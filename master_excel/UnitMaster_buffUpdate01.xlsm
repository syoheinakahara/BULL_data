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7610" codeName="{00000000-0000-0000-0000-000000000000}"/>
  <workbookPr showInkAnnotation="0" codeName="ThisWorkbook" autoCompressPictures="0"/>
  <mc:AlternateContent xmlns:mc="http://schemas.openxmlformats.org/markup-compatibility/2006">
    <mc:Choice Requires="x15">
      <x15ac:absPath xmlns:x15ac="http://schemas.microsoft.com/office/spreadsheetml/2010/11/ac" url="/Users/nagaminesusumutakashi/BULL_data/master_excel/"/>
    </mc:Choice>
  </mc:AlternateContent>
  <bookViews>
    <workbookView xWindow="6640" yWindow="780" windowWidth="22080" windowHeight="15940" tabRatio="963" activeTab="10"/>
  </bookViews>
  <sheets>
    <sheet name="output" sheetId="49" r:id="rId1"/>
    <sheet name="units" sheetId="23" r:id="rId2"/>
    <sheet name="unit_skills" sheetId="52" r:id="rId3"/>
    <sheet name="crash_skills" sheetId="53" r:id="rId4"/>
    <sheet name="unit_serifs" sheetId="54" r:id="rId5"/>
    <sheet name="fork_awake_units" sheetId="58" r:id="rId6"/>
    <sheet name="awake_materials" sheetId="3" r:id="rId7"/>
    <sheet name="abilities" sheetId="56" r:id="rId8"/>
    <sheet name="unit_abilities" sheetId="57" r:id="rId9"/>
    <sheet name="→base値" sheetId="51" r:id="rId10"/>
    <sheet name="コスト" sheetId="13" r:id="rId11"/>
    <sheet name="レベル" sheetId="12" r:id="rId12"/>
    <sheet name="経験値" sheetId="10" r:id="rId13"/>
    <sheet name="RC6SV" sheetId="11" r:id="rId14"/>
    <sheet name="ビット" sheetId="15" r:id="rId15"/>
    <sheet name="ghosts_label" sheetId="59" r:id="rId16"/>
    <sheet name="チェックシート" sheetId="55" r:id="rId17"/>
  </sheets>
  <externalReferences>
    <externalReference r:id="rId18"/>
    <externalReference r:id="rId19"/>
    <externalReference r:id="rId20"/>
    <externalReference r:id="rId21"/>
    <externalReference r:id="rId22"/>
  </externalReferences>
  <definedNames>
    <definedName name="_xlnm._FilterDatabase" localSheetId="6" hidden="1">awake_materials!$B$1:$K$1</definedName>
    <definedName name="_xlnm._FilterDatabase" localSheetId="3" hidden="1">crash_skills!$A$1:$J$1</definedName>
    <definedName name="_xlnm._FilterDatabase" localSheetId="5" hidden="1">fork_awake_units!$A$1:$U$2</definedName>
    <definedName name="_xlnm._FilterDatabase" localSheetId="2" hidden="1">unit_skills!$A$1:$S$1</definedName>
    <definedName name="_xlnm._FilterDatabase" localSheetId="1" hidden="1">units!$A$1:$BQ$1</definedName>
    <definedName name="base_character_id" localSheetId="5">#REF!</definedName>
    <definedName name="base_character_id" localSheetId="4">#REF!</definedName>
    <definedName name="base_character_id">awake_materials!$B$1</definedName>
    <definedName name="character_id" localSheetId="5">fork_awake_units!$A$1</definedName>
    <definedName name="character_id" localSheetId="4">#REF!</definedName>
    <definedName name="character_id">units!$A$1</definedName>
    <definedName name="LIMIT">INDIRECT("Definitions.xlsm!LIMIT")</definedName>
  </definedNames>
  <calcPr calcId="150001" calcMode="manual"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F38" i="57" l="1"/>
  <c r="E38" i="57"/>
  <c r="B38" i="57"/>
  <c r="F37" i="57"/>
  <c r="E37" i="57"/>
  <c r="B37" i="57"/>
  <c r="F36" i="57"/>
  <c r="E36" i="57"/>
  <c r="B36" i="57"/>
  <c r="F9" i="57"/>
  <c r="E9" i="57"/>
  <c r="B9" i="57"/>
  <c r="F12" i="57"/>
  <c r="E12" i="57"/>
  <c r="B12" i="57"/>
  <c r="F35" i="57"/>
  <c r="E35" i="57"/>
  <c r="B35" i="57"/>
  <c r="F34" i="57"/>
  <c r="E34" i="57"/>
  <c r="B34" i="57"/>
  <c r="F33" i="57"/>
  <c r="E33" i="57"/>
  <c r="B33" i="57"/>
  <c r="F32" i="57"/>
  <c r="E32" i="57"/>
  <c r="B32" i="57"/>
  <c r="E26" i="57"/>
  <c r="F26" i="57"/>
  <c r="E27" i="57"/>
  <c r="F27" i="57"/>
  <c r="E28" i="57"/>
  <c r="F28" i="57"/>
  <c r="E29" i="57"/>
  <c r="F29" i="57"/>
  <c r="E30" i="57"/>
  <c r="F30" i="57"/>
  <c r="E31" i="57"/>
  <c r="F31" i="57"/>
  <c r="B31" i="57"/>
  <c r="B30" i="57"/>
  <c r="B29" i="57"/>
  <c r="B28" i="57"/>
  <c r="B26" i="57"/>
  <c r="B27" i="57"/>
  <c r="F16" i="57"/>
  <c r="E16" i="57"/>
  <c r="B16" i="57"/>
  <c r="F4" i="57"/>
  <c r="E4" i="57"/>
  <c r="B4" i="57"/>
  <c r="H5" i="53"/>
  <c r="G5" i="53"/>
  <c r="E5" i="53"/>
  <c r="H4" i="53"/>
  <c r="G4" i="53"/>
  <c r="E4" i="53"/>
  <c r="F25" i="57"/>
  <c r="E25" i="57"/>
  <c r="B25" i="57"/>
  <c r="B23" i="57"/>
  <c r="E23" i="57"/>
  <c r="F23" i="57"/>
  <c r="B24" i="57"/>
  <c r="E24" i="57"/>
  <c r="F24" i="57"/>
  <c r="F22" i="57"/>
  <c r="E22" i="57"/>
  <c r="B22" i="57"/>
  <c r="F21" i="57"/>
  <c r="E21" i="57"/>
  <c r="B21" i="57"/>
  <c r="F20" i="57"/>
  <c r="E20" i="57"/>
  <c r="B20" i="57"/>
  <c r="F19" i="57"/>
  <c r="E19" i="57"/>
  <c r="B19" i="57"/>
  <c r="F18" i="57"/>
  <c r="E18" i="57"/>
  <c r="B18" i="57"/>
  <c r="F17" i="57"/>
  <c r="E17" i="57"/>
  <c r="B17" i="57"/>
  <c r="F15" i="57"/>
  <c r="E15" i="57"/>
  <c r="B15" i="57"/>
  <c r="F14" i="57"/>
  <c r="E14" i="57"/>
  <c r="B14" i="57"/>
  <c r="F13" i="57"/>
  <c r="E13" i="57"/>
  <c r="B13" i="57"/>
  <c r="F11" i="57"/>
  <c r="E11" i="57"/>
  <c r="B11" i="57"/>
  <c r="F10" i="57"/>
  <c r="E10" i="57"/>
  <c r="B10" i="57"/>
  <c r="F8" i="57"/>
  <c r="E8" i="57"/>
  <c r="B8" i="57"/>
  <c r="F7" i="57"/>
  <c r="E7" i="57"/>
  <c r="B7" i="57"/>
  <c r="F6" i="57"/>
  <c r="E6" i="57"/>
  <c r="B6" i="57"/>
  <c r="F5" i="57"/>
  <c r="E5" i="57"/>
  <c r="B5" i="57"/>
  <c r="F3" i="57"/>
  <c r="E3" i="57"/>
  <c r="B3" i="57"/>
  <c r="H3" i="23"/>
  <c r="BR3" i="23"/>
  <c r="H2" i="23"/>
  <c r="BR2" i="23"/>
  <c r="E2" i="54"/>
  <c r="E10" i="54"/>
  <c r="E9" i="54"/>
  <c r="E8" i="54"/>
  <c r="E7" i="54"/>
  <c r="E6" i="54"/>
  <c r="E5" i="54"/>
  <c r="E4" i="54"/>
  <c r="E3" i="54"/>
  <c r="D10" i="54"/>
  <c r="B10" i="54"/>
  <c r="B4" i="54"/>
  <c r="D9" i="54"/>
  <c r="B9" i="54"/>
  <c r="D8" i="54"/>
  <c r="B8" i="54"/>
  <c r="D7" i="54"/>
  <c r="B7" i="54"/>
  <c r="D6" i="54"/>
  <c r="B6" i="54"/>
  <c r="D5" i="54"/>
  <c r="D4" i="54"/>
  <c r="D3" i="54"/>
  <c r="B3" i="54"/>
  <c r="G2" i="58"/>
  <c r="U2" i="58"/>
  <c r="G2" i="23"/>
  <c r="BC2" i="23"/>
  <c r="BD2" i="23"/>
  <c r="Q2" i="23"/>
  <c r="S2" i="23"/>
  <c r="W2" i="23"/>
  <c r="AA2" i="23"/>
  <c r="I2" i="23"/>
  <c r="J2" i="23"/>
  <c r="BK2" i="23"/>
  <c r="G3" i="23"/>
  <c r="BC3" i="23"/>
  <c r="BD3" i="23"/>
  <c r="Q3" i="23"/>
  <c r="S3" i="23"/>
  <c r="W3" i="23"/>
  <c r="AA3" i="23"/>
  <c r="I3" i="23"/>
  <c r="J3" i="23"/>
  <c r="BK3" i="23"/>
  <c r="J4" i="3"/>
  <c r="J3" i="3"/>
  <c r="J5" i="3"/>
  <c r="J2" i="3"/>
  <c r="H5" i="3"/>
  <c r="C5" i="3"/>
  <c r="F5" i="3"/>
  <c r="E5" i="3"/>
  <c r="D5" i="3"/>
  <c r="A5" i="3"/>
  <c r="H4" i="3"/>
  <c r="C4" i="3"/>
  <c r="F4" i="3"/>
  <c r="E4" i="3"/>
  <c r="D4" i="3"/>
  <c r="A4" i="3"/>
  <c r="H3" i="3"/>
  <c r="C3" i="3"/>
  <c r="F3" i="3"/>
  <c r="E3" i="3"/>
  <c r="D3" i="3"/>
  <c r="A3" i="3"/>
  <c r="F2" i="57"/>
  <c r="E2" i="57"/>
  <c r="B2" i="57"/>
  <c r="C2" i="3"/>
  <c r="D2" i="3"/>
  <c r="T3" i="23"/>
  <c r="AB3" i="23"/>
  <c r="K3" i="23"/>
  <c r="BL3" i="23"/>
  <c r="T2" i="23"/>
  <c r="AB2" i="23"/>
  <c r="K2" i="23"/>
  <c r="BL2" i="23"/>
  <c r="V3" i="23"/>
  <c r="AD3" i="23"/>
  <c r="M3" i="23"/>
  <c r="BN3" i="23"/>
  <c r="V2" i="23"/>
  <c r="AD2" i="23"/>
  <c r="M2" i="23"/>
  <c r="BN2" i="23"/>
  <c r="AL3" i="23"/>
  <c r="H2" i="3"/>
  <c r="S2" i="58"/>
  <c r="T2" i="58"/>
  <c r="R2" i="58"/>
  <c r="B2" i="58"/>
  <c r="D2" i="54"/>
  <c r="B2" i="54"/>
  <c r="G2" i="53"/>
  <c r="AH3" i="23"/>
  <c r="AH2" i="23"/>
  <c r="G10" i="13"/>
  <c r="G11" i="13"/>
  <c r="G9" i="13"/>
  <c r="B2" i="23"/>
  <c r="B3" i="23"/>
  <c r="G3" i="13"/>
  <c r="G4" i="13"/>
  <c r="R3" i="23"/>
  <c r="R2" i="23"/>
  <c r="J2" i="52"/>
  <c r="AQ2" i="23"/>
  <c r="H3" i="53"/>
  <c r="G3" i="53"/>
  <c r="E3" i="53"/>
  <c r="AU3" i="23"/>
  <c r="K3" i="52"/>
  <c r="J3" i="52"/>
  <c r="H3" i="52"/>
  <c r="E3" i="52"/>
  <c r="AQ3" i="23"/>
  <c r="U3" i="23"/>
  <c r="AC3" i="23"/>
  <c r="L3" i="23"/>
  <c r="BM3" i="23"/>
  <c r="BE3" i="23"/>
  <c r="BJ3" i="23"/>
  <c r="BI3" i="23"/>
  <c r="BH3" i="23"/>
  <c r="BG3" i="23"/>
  <c r="BF3" i="23"/>
  <c r="AX3" i="23"/>
  <c r="AW3" i="23"/>
  <c r="AV3" i="23"/>
  <c r="AS3" i="23"/>
  <c r="AR3" i="23"/>
  <c r="AN3" i="23"/>
  <c r="AM3" i="23"/>
  <c r="AK3" i="23"/>
  <c r="AI3" i="23"/>
  <c r="AF3" i="23"/>
  <c r="Y3" i="23"/>
  <c r="Z3" i="23"/>
  <c r="X3" i="23"/>
  <c r="P3" i="23"/>
  <c r="O3" i="23"/>
  <c r="N3" i="23"/>
  <c r="F3" i="23"/>
  <c r="E3" i="23"/>
  <c r="D3" i="23"/>
  <c r="C3" i="23"/>
  <c r="P2" i="58"/>
  <c r="K2" i="52"/>
  <c r="E3" i="49"/>
  <c r="E5" i="49"/>
  <c r="F2" i="3"/>
  <c r="E2" i="3"/>
  <c r="O2" i="58"/>
  <c r="N2" i="58"/>
  <c r="M2" i="58"/>
  <c r="L2" i="58"/>
  <c r="J2" i="58"/>
  <c r="K2" i="58"/>
  <c r="I2" i="58"/>
  <c r="H2" i="58"/>
  <c r="F2" i="58"/>
  <c r="E2" i="58"/>
  <c r="D2" i="58"/>
  <c r="C2" i="58"/>
  <c r="E15" i="49"/>
  <c r="E14" i="49"/>
  <c r="E13" i="49"/>
  <c r="P2" i="23"/>
  <c r="G8" i="13"/>
  <c r="G2" i="13"/>
  <c r="C2" i="23"/>
  <c r="D2" i="23"/>
  <c r="E2" i="23"/>
  <c r="F2" i="23"/>
  <c r="L2" i="23"/>
  <c r="N2" i="23"/>
  <c r="O2" i="23"/>
  <c r="U2" i="23"/>
  <c r="X2" i="23"/>
  <c r="Y2" i="23"/>
  <c r="Z2" i="23"/>
  <c r="AC2" i="23"/>
  <c r="AF2" i="23"/>
  <c r="AI2" i="23"/>
  <c r="AK2" i="23"/>
  <c r="AL2" i="23"/>
  <c r="AM2" i="23"/>
  <c r="AN2" i="23"/>
  <c r="AR2" i="23"/>
  <c r="AS2" i="23"/>
  <c r="AU2" i="23"/>
  <c r="AV2" i="23"/>
  <c r="AW2" i="23"/>
  <c r="AX2" i="23"/>
  <c r="BE2" i="23"/>
  <c r="BF2" i="23"/>
  <c r="BG2" i="23"/>
  <c r="BH2" i="23"/>
  <c r="BM2" i="23"/>
  <c r="BI2" i="23"/>
  <c r="BJ2" i="23"/>
  <c r="B15" i="55"/>
  <c r="C15" i="55"/>
  <c r="D15" i="55"/>
  <c r="B16" i="55"/>
  <c r="C16" i="55"/>
  <c r="D16" i="55"/>
  <c r="D14" i="55"/>
  <c r="C14" i="55"/>
  <c r="B14" i="55"/>
  <c r="A21" i="55"/>
  <c r="A26" i="55"/>
  <c r="A2" i="3"/>
  <c r="A53" i="55"/>
  <c r="A52" i="55"/>
  <c r="A51" i="55"/>
  <c r="A50" i="55"/>
  <c r="A49" i="55"/>
  <c r="A46" i="55"/>
  <c r="A45" i="55"/>
  <c r="A44" i="55"/>
  <c r="A42" i="55"/>
  <c r="A41" i="55"/>
  <c r="A40" i="55"/>
  <c r="A38" i="55"/>
  <c r="A37" i="55"/>
  <c r="A36" i="55"/>
  <c r="A33" i="55"/>
  <c r="A32" i="55"/>
  <c r="A31" i="55"/>
  <c r="A30" i="55"/>
  <c r="A28" i="55"/>
  <c r="A27" i="55"/>
  <c r="A25" i="55"/>
  <c r="A23" i="55"/>
  <c r="A22" i="55"/>
  <c r="A20" i="55"/>
  <c r="A10" i="55"/>
  <c r="A9" i="55"/>
  <c r="A8" i="55"/>
  <c r="B5" i="54"/>
  <c r="E2" i="53"/>
  <c r="H2" i="52"/>
  <c r="E2" i="52"/>
  <c r="E10" i="49"/>
  <c r="E9" i="49"/>
  <c r="E8" i="49"/>
  <c r="E7" i="49"/>
  <c r="E11" i="49"/>
  <c r="E12" i="49"/>
  <c r="E4" i="49"/>
  <c r="E6" i="49"/>
  <c r="E2" i="49"/>
</calcChain>
</file>

<file path=xl/sharedStrings.xml><?xml version="1.0" encoding="utf-8"?>
<sst xmlns="http://schemas.openxmlformats.org/spreadsheetml/2006/main" count="998" uniqueCount="378">
  <si>
    <t>color</t>
  </si>
  <si>
    <t>rare</t>
  </si>
  <si>
    <t>max_level</t>
  </si>
  <si>
    <t>cost</t>
  </si>
  <si>
    <t>valid_flg</t>
  </si>
  <si>
    <t>進化前RC6SV</t>
  </si>
  <si>
    <t>進化前MAXレベル</t>
  </si>
  <si>
    <t>Drop1W</t>
  </si>
  <si>
    <t>Drop1N</t>
  </si>
  <si>
    <t>PremiumS</t>
  </si>
  <si>
    <t>ラベル</t>
  </si>
  <si>
    <t>-</t>
  </si>
  <si>
    <t>限定キャラ</t>
  </si>
  <si>
    <t>特殊キャラ</t>
  </si>
  <si>
    <t>強化合成時の取得経験値</t>
  </si>
  <si>
    <t>レアレリティ</t>
  </si>
  <si>
    <t>金額</t>
  </si>
  <si>
    <t>character_id</t>
  </si>
  <si>
    <t>character_type_id</t>
  </si>
  <si>
    <t>drop_label</t>
  </si>
  <si>
    <t>unit_skill_id</t>
  </si>
  <si>
    <t>成長速度名</t>
    <rPh sb="0" eb="4">
      <t>セイチョウソクド</t>
    </rPh>
    <rPh sb="4" eb="5">
      <t>メイ</t>
    </rPh>
    <phoneticPr fontId="10"/>
  </si>
  <si>
    <t>RC6SV</t>
    <phoneticPr fontId="10"/>
  </si>
  <si>
    <t>HP係数</t>
    <rPh sb="2" eb="4">
      <t>ケイスウ</t>
    </rPh>
    <phoneticPr fontId="10"/>
  </si>
  <si>
    <t>攻撃係数</t>
    <rPh sb="0" eb="2">
      <t>コウゲキ</t>
    </rPh>
    <rPh sb="2" eb="4">
      <t>ケイスウ</t>
    </rPh>
    <phoneticPr fontId="10"/>
  </si>
  <si>
    <t>回復係数</t>
    <rPh sb="0" eb="2">
      <t>カイフク</t>
    </rPh>
    <rPh sb="2" eb="4">
      <t>ケイスウ</t>
    </rPh>
    <phoneticPr fontId="10"/>
  </si>
  <si>
    <t>防御係数</t>
    <rPh sb="0" eb="2">
      <t>ボウギョ</t>
    </rPh>
    <rPh sb="2" eb="4">
      <t>ケイスウ</t>
    </rPh>
    <phoneticPr fontId="10"/>
  </si>
  <si>
    <t>特徴</t>
    <rPh sb="0" eb="2">
      <t>トクチョウ</t>
    </rPh>
    <phoneticPr fontId="10"/>
  </si>
  <si>
    <t>訴求軸</t>
    <phoneticPr fontId="10"/>
  </si>
  <si>
    <t>性別</t>
    <phoneticPr fontId="10"/>
  </si>
  <si>
    <t>勢力</t>
    <rPh sb="0" eb="2">
      <t>セイリョク</t>
    </rPh>
    <phoneticPr fontId="10"/>
  </si>
  <si>
    <t>スキルタイプ</t>
    <phoneticPr fontId="10"/>
  </si>
  <si>
    <t>character_main_tribe_id</t>
    <phoneticPr fontId="10"/>
  </si>
  <si>
    <t>character_sub_tribe_id</t>
    <phoneticPr fontId="10"/>
  </si>
  <si>
    <t>調整後</t>
    <rPh sb="0" eb="2">
      <t>チョウセイ</t>
    </rPh>
    <rPh sb="2" eb="3">
      <t>アト</t>
    </rPh>
    <phoneticPr fontId="10"/>
  </si>
  <si>
    <t>使用せず</t>
    <rPh sb="0" eb="2">
      <t>シヨウ</t>
    </rPh>
    <phoneticPr fontId="9"/>
  </si>
  <si>
    <t>material_character_id</t>
  </si>
  <si>
    <t>material_count</t>
  </si>
  <si>
    <t>base_character_id</t>
    <phoneticPr fontId="9"/>
  </si>
  <si>
    <t>awake_price</t>
    <phoneticPr fontId="11"/>
  </si>
  <si>
    <t>name</t>
    <phoneticPr fontId="9"/>
  </si>
  <si>
    <t>name</t>
    <phoneticPr fontId="9"/>
  </si>
  <si>
    <t>rare</t>
    <phoneticPr fontId="9"/>
  </si>
  <si>
    <t>drop_label</t>
    <phoneticPr fontId="9"/>
  </si>
  <si>
    <t>name</t>
    <phoneticPr fontId="10"/>
  </si>
  <si>
    <t>name</t>
    <phoneticPr fontId="10"/>
  </si>
  <si>
    <t>awake_price</t>
    <phoneticPr fontId="10"/>
  </si>
  <si>
    <t>NULL</t>
  </si>
  <si>
    <t>攻撃係数</t>
    <rPh sb="0" eb="2">
      <t>コウゲキ</t>
    </rPh>
    <rPh sb="2" eb="4">
      <t>ケイスウ</t>
    </rPh>
    <phoneticPr fontId="9"/>
  </si>
  <si>
    <t>HP係数</t>
    <rPh sb="2" eb="4">
      <t>ケイスウ</t>
    </rPh>
    <phoneticPr fontId="9"/>
  </si>
  <si>
    <t>防御系数</t>
    <rPh sb="0" eb="4">
      <t>ボウギョケイスウ</t>
    </rPh>
    <phoneticPr fontId="9"/>
  </si>
  <si>
    <t>回復系数</t>
    <rPh sb="0" eb="4">
      <t>カイフクケイスウ</t>
    </rPh>
    <phoneticPr fontId="9"/>
  </si>
  <si>
    <t>name</t>
    <phoneticPr fontId="10"/>
  </si>
  <si>
    <t>name</t>
    <phoneticPr fontId="10"/>
  </si>
  <si>
    <t>HP係数</t>
    <rPh sb="2" eb="4">
      <t>ケイスウ</t>
    </rPh>
    <phoneticPr fontId="10"/>
  </si>
  <si>
    <t>攻撃系数</t>
    <rPh sb="0" eb="4">
      <t>コウゲキケイスウ</t>
    </rPh>
    <phoneticPr fontId="10"/>
  </si>
  <si>
    <t>回復系数</t>
    <rPh sb="0" eb="4">
      <t>カイフクケイスウ</t>
    </rPh>
    <phoneticPr fontId="10"/>
  </si>
  <si>
    <t>base_character_id</t>
    <phoneticPr fontId="11"/>
  </si>
  <si>
    <t>base_character_id</t>
    <phoneticPr fontId="10"/>
  </si>
  <si>
    <t>required_exp_200</t>
  </si>
  <si>
    <t>required_exp_150</t>
  </si>
  <si>
    <t>required_exp_100</t>
  </si>
  <si>
    <t>required_exp_70</t>
  </si>
  <si>
    <t>required_exp_50</t>
  </si>
  <si>
    <t>rare</t>
    <phoneticPr fontId="9"/>
  </si>
  <si>
    <t>base_material_exp</t>
    <phoneticPr fontId="9"/>
  </si>
  <si>
    <t>base_material_exp</t>
    <phoneticPr fontId="10"/>
  </si>
  <si>
    <t>growth_speed</t>
    <phoneticPr fontId="10"/>
  </si>
  <si>
    <t>exp_table</t>
    <phoneticPr fontId="10"/>
  </si>
  <si>
    <t>base_soldprice</t>
    <phoneticPr fontId="10"/>
  </si>
  <si>
    <t>min_hp</t>
    <phoneticPr fontId="10"/>
  </si>
  <si>
    <t>min_attack</t>
    <phoneticPr fontId="10"/>
  </si>
  <si>
    <t>min_defense</t>
    <phoneticPr fontId="10"/>
  </si>
  <si>
    <t>min_heal</t>
    <phoneticPr fontId="10"/>
  </si>
  <si>
    <t>max_hp</t>
    <phoneticPr fontId="10"/>
  </si>
  <si>
    <t>max_defense</t>
    <phoneticPr fontId="10"/>
  </si>
  <si>
    <t>max_heal</t>
    <phoneticPr fontId="10"/>
  </si>
  <si>
    <t>skip</t>
    <phoneticPr fontId="10"/>
  </si>
  <si>
    <t>min_max</t>
    <phoneticPr fontId="10"/>
  </si>
  <si>
    <t>growth_speed</t>
    <phoneticPr fontId="11"/>
  </si>
  <si>
    <t>exp_table</t>
    <phoneticPr fontId="11"/>
  </si>
  <si>
    <t>base_material_exp</t>
    <phoneticPr fontId="11"/>
  </si>
  <si>
    <t>base_soldprice</t>
    <phoneticPr fontId="11"/>
  </si>
  <si>
    <t>skip</t>
    <phoneticPr fontId="11"/>
  </si>
  <si>
    <t>min_max</t>
    <phoneticPr fontId="11"/>
  </si>
  <si>
    <t>level_test</t>
    <phoneticPr fontId="11"/>
  </si>
  <si>
    <t>level_test</t>
    <phoneticPr fontId="9"/>
  </si>
  <si>
    <t>min_hp</t>
  </si>
  <si>
    <t>min_attack</t>
  </si>
  <si>
    <t>min_defense</t>
  </si>
  <si>
    <t>min_heal</t>
  </si>
  <si>
    <t>max_hp</t>
  </si>
  <si>
    <t>max_defense</t>
  </si>
  <si>
    <t>max_heal</t>
  </si>
  <si>
    <t>max_attack</t>
    <phoneticPr fontId="11"/>
  </si>
  <si>
    <t>max_attack</t>
    <phoneticPr fontId="10"/>
  </si>
  <si>
    <t>drop_label</t>
    <phoneticPr fontId="11"/>
  </si>
  <si>
    <t>max_bug</t>
    <phoneticPr fontId="10"/>
  </si>
  <si>
    <t>max_bug</t>
    <phoneticPr fontId="11"/>
  </si>
  <si>
    <t>temp_awake</t>
    <phoneticPr fontId="9"/>
  </si>
  <si>
    <t>awake_character_id</t>
    <phoneticPr fontId="10"/>
  </si>
  <si>
    <t>awake_character_id</t>
    <phoneticPr fontId="11"/>
  </si>
  <si>
    <t>crash_skill_id</t>
    <phoneticPr fontId="10"/>
  </si>
  <si>
    <t>crash_skill_id</t>
    <phoneticPr fontId="11"/>
  </si>
  <si>
    <t>等級</t>
    <rPh sb="0" eb="2">
      <t>トウキュウ</t>
    </rPh>
    <phoneticPr fontId="10"/>
  </si>
  <si>
    <t>Drop2W</t>
    <phoneticPr fontId="9"/>
  </si>
  <si>
    <t>PremiumW</t>
    <phoneticPr fontId="9"/>
  </si>
  <si>
    <t>comment</t>
    <phoneticPr fontId="10"/>
  </si>
  <si>
    <t>character_id</t>
    <phoneticPr fontId="10"/>
  </si>
  <si>
    <t>-</t>
    <phoneticPr fontId="9"/>
  </si>
  <si>
    <t>name</t>
    <phoneticPr fontId="10"/>
  </si>
  <si>
    <t>進化に必要なビット</t>
    <phoneticPr fontId="9"/>
  </si>
  <si>
    <t>売却時のビット価格</t>
    <rPh sb="0" eb="3">
      <t>バイキャクジ</t>
    </rPh>
    <rPh sb="7" eb="9">
      <t>カカク</t>
    </rPh>
    <phoneticPr fontId="9"/>
  </si>
  <si>
    <t>name</t>
    <phoneticPr fontId="10"/>
  </si>
  <si>
    <t>防御係数</t>
    <rPh sb="0" eb="2">
      <t>ボウギョケイスウ</t>
    </rPh>
    <rPh sb="2" eb="4">
      <t>ケイスウ</t>
    </rPh>
    <phoneticPr fontId="10"/>
  </si>
  <si>
    <t>required_exp_250</t>
    <phoneticPr fontId="9"/>
  </si>
  <si>
    <t>接頭語</t>
    <rPh sb="0" eb="3">
      <t>セットウゴ</t>
    </rPh>
    <phoneticPr fontId="22"/>
  </si>
  <si>
    <t>識別子</t>
    <rPh sb="0" eb="3">
      <t>シキベツシ</t>
    </rPh>
    <phoneticPr fontId="22"/>
  </si>
  <si>
    <t>形式</t>
    <rPh sb="0" eb="2">
      <t>ケイシキ</t>
    </rPh>
    <phoneticPr fontId="22"/>
  </si>
  <si>
    <t>出力ファイル名</t>
    <rPh sb="0" eb="2">
      <t>シュツリョク</t>
    </rPh>
    <rPh sb="6" eb="7">
      <t>メイ</t>
    </rPh>
    <phoneticPr fontId="22"/>
  </si>
  <si>
    <t>入力シート名</t>
    <rPh sb="0" eb="2">
      <t>ニュウリョク</t>
    </rPh>
    <rPh sb="5" eb="6">
      <t>メイ</t>
    </rPh>
    <phoneticPr fontId="22"/>
  </si>
  <si>
    <t>出力データ</t>
    <rPh sb="0" eb="2">
      <t>シュツリョク</t>
    </rPh>
    <phoneticPr fontId="22"/>
  </si>
  <si>
    <t>units</t>
  </si>
  <si>
    <t>awake_materials</t>
  </si>
  <si>
    <t>units</t>
    <phoneticPr fontId="22"/>
  </si>
  <si>
    <t>出力flg</t>
    <rPh sb="0" eb="2">
      <t>シュツリョク</t>
    </rPh>
    <phoneticPr fontId="22"/>
  </si>
  <si>
    <t>material_bug</t>
    <phoneticPr fontId="22"/>
  </si>
  <si>
    <t>material_bug</t>
    <phoneticPr fontId="9"/>
  </si>
  <si>
    <t>.tmp</t>
    <phoneticPr fontId="22"/>
  </si>
  <si>
    <t>units_</t>
    <phoneticPr fontId="22"/>
  </si>
  <si>
    <t>awake_materials_</t>
    <phoneticPr fontId="22"/>
  </si>
  <si>
    <t>unit_levels_calc_</t>
    <phoneticPr fontId="22"/>
  </si>
  <si>
    <t>.tmp</t>
    <phoneticPr fontId="22"/>
  </si>
  <si>
    <t>serif_type</t>
  </si>
  <si>
    <t>language</t>
    <phoneticPr fontId="22"/>
  </si>
  <si>
    <t>unit_serifs_data_</t>
    <phoneticPr fontId="22"/>
  </si>
  <si>
    <t>unit_serifs_i18n_</t>
    <phoneticPr fontId="22"/>
  </si>
  <si>
    <t>unit_serifs</t>
    <phoneticPr fontId="22"/>
  </si>
  <si>
    <t>character_id</t>
    <phoneticPr fontId="22"/>
  </si>
  <si>
    <t>serif_id</t>
    <phoneticPr fontId="22"/>
  </si>
  <si>
    <t>serif_id</t>
    <phoneticPr fontId="22"/>
  </si>
  <si>
    <t>language</t>
    <phoneticPr fontId="22"/>
  </si>
  <si>
    <t>serif</t>
    <phoneticPr fontId="22"/>
  </si>
  <si>
    <t>unit_skills_data_</t>
    <phoneticPr fontId="22"/>
  </si>
  <si>
    <t>.tmp</t>
    <phoneticPr fontId="22"/>
  </si>
  <si>
    <t>unit_skills</t>
  </si>
  <si>
    <t>skill_cost</t>
  </si>
  <si>
    <t>skill_up_pattern_id</t>
  </si>
  <si>
    <t>effect_param</t>
  </si>
  <si>
    <t>unit_skills_i18n_</t>
    <phoneticPr fontId="22"/>
  </si>
  <si>
    <t>unit_skill_id</t>
    <phoneticPr fontId="22"/>
  </si>
  <si>
    <t>name</t>
    <phoneticPr fontId="22"/>
  </si>
  <si>
    <t>comment</t>
    <phoneticPr fontId="22"/>
  </si>
  <si>
    <t>crash_skills_data_</t>
    <phoneticPr fontId="22"/>
  </si>
  <si>
    <t>.tmp</t>
    <phoneticPr fontId="22"/>
  </si>
  <si>
    <t>crash_skills</t>
  </si>
  <si>
    <t>crash_skill_id</t>
    <phoneticPr fontId="22"/>
  </si>
  <si>
    <t>crash_skills_i18n_</t>
    <phoneticPr fontId="22"/>
  </si>
  <si>
    <t>.tmp</t>
    <phoneticPr fontId="22"/>
  </si>
  <si>
    <t>crash_skill_id</t>
    <phoneticPr fontId="22"/>
  </si>
  <si>
    <t>language</t>
  </si>
  <si>
    <t>name</t>
  </si>
  <si>
    <t>comment</t>
  </si>
  <si>
    <t>comment</t>
    <phoneticPr fontId="9"/>
  </si>
  <si>
    <t>文字数</t>
    <rPh sb="0" eb="3">
      <t>モj</t>
    </rPh>
    <phoneticPr fontId="22"/>
  </si>
  <si>
    <t>skill_up_pattern_id</t>
    <phoneticPr fontId="22"/>
  </si>
  <si>
    <t>effect_param</t>
    <phoneticPr fontId="9"/>
  </si>
  <si>
    <t>ダメージ</t>
    <phoneticPr fontId="9"/>
  </si>
  <si>
    <t>回復</t>
    <rPh sb="0" eb="2">
      <t>カイフク</t>
    </rPh>
    <phoneticPr fontId="9"/>
  </si>
  <si>
    <t>バフ</t>
    <phoneticPr fontId="9"/>
  </si>
  <si>
    <t>デバフ</t>
    <phoneticPr fontId="9"/>
  </si>
  <si>
    <t>パズル</t>
    <phoneticPr fontId="9"/>
  </si>
  <si>
    <t>その他</t>
    <rPh sb="2" eb="3">
      <t>タ</t>
    </rPh>
    <phoneticPr fontId="9"/>
  </si>
  <si>
    <t>分類2</t>
    <rPh sb="0" eb="2">
      <t>ブンルイ</t>
    </rPh>
    <phoneticPr fontId="9"/>
  </si>
  <si>
    <t>等級</t>
    <rPh sb="0" eb="2">
      <t>トウキュウ</t>
    </rPh>
    <phoneticPr fontId="9"/>
  </si>
  <si>
    <t>分類</t>
    <rPh sb="0" eb="2">
      <t>ブンルイ</t>
    </rPh>
    <phoneticPr fontId="9"/>
  </si>
  <si>
    <t>valid_flg</t>
    <phoneticPr fontId="9"/>
  </si>
  <si>
    <t>effect_param</t>
    <phoneticPr fontId="9"/>
  </si>
  <si>
    <t>文字数チェック</t>
    <rPh sb="0" eb="7">
      <t>モジスウty</t>
    </rPh>
    <phoneticPr fontId="22"/>
  </si>
  <si>
    <t>comment</t>
    <phoneticPr fontId="9"/>
  </si>
  <si>
    <t>name</t>
    <phoneticPr fontId="9"/>
  </si>
  <si>
    <t>language</t>
    <phoneticPr fontId="22"/>
  </si>
  <si>
    <t>crash_skill_id</t>
    <phoneticPr fontId="9"/>
  </si>
  <si>
    <t>NULL</t>
    <phoneticPr fontId="9"/>
  </si>
  <si>
    <t>skip</t>
  </si>
  <si>
    <t>対象ユニット</t>
    <rPh sb="0" eb="6">
      <t>タイショ</t>
    </rPh>
    <phoneticPr fontId="22"/>
  </si>
  <si>
    <t>ja</t>
    <phoneticPr fontId="22"/>
  </si>
  <si>
    <t>ja</t>
    <phoneticPr fontId="22"/>
  </si>
  <si>
    <t>character_id</t>
    <phoneticPr fontId="22"/>
  </si>
  <si>
    <t>name</t>
    <phoneticPr fontId="22"/>
  </si>
  <si>
    <t>serif_type</t>
    <phoneticPr fontId="22"/>
  </si>
  <si>
    <t>frame_type</t>
  </si>
  <si>
    <t>temp</t>
    <phoneticPr fontId="22"/>
  </si>
  <si>
    <t>serif_id</t>
    <phoneticPr fontId="22"/>
  </si>
  <si>
    <t>language</t>
    <phoneticPr fontId="22"/>
  </si>
  <si>
    <t>serif</t>
    <phoneticPr fontId="22"/>
  </si>
  <si>
    <t>skill</t>
  </si>
  <si>
    <t>maru</t>
  </si>
  <si>
    <t>ja</t>
    <phoneticPr fontId="22"/>
  </si>
  <si>
    <t>cskill</t>
  </si>
  <si>
    <t>R3</t>
  </si>
  <si>
    <t>R4</t>
  </si>
  <si>
    <t>R5</t>
  </si>
  <si>
    <t>ユニット名</t>
  </si>
  <si>
    <t>スキル</t>
  </si>
  <si>
    <t>Cスキル</t>
  </si>
  <si>
    <t>覚醒素材</t>
  </si>
  <si>
    <t>PremiumW</t>
    <phoneticPr fontId="9"/>
  </si>
  <si>
    <t>PremiumL</t>
    <phoneticPr fontId="9"/>
  </si>
  <si>
    <t>PremiumSSS</t>
    <phoneticPr fontId="9"/>
  </si>
  <si>
    <t>PremiumSS</t>
    <phoneticPr fontId="9"/>
  </si>
  <si>
    <t>PremiumN</t>
    <phoneticPr fontId="9"/>
  </si>
  <si>
    <t>Drop2S</t>
    <phoneticPr fontId="9"/>
  </si>
  <si>
    <t>Drop2N</t>
    <phoneticPr fontId="9"/>
  </si>
  <si>
    <t>Drop1S</t>
    <phoneticPr fontId="9"/>
  </si>
  <si>
    <t>Drop1T</t>
    <phoneticPr fontId="9"/>
  </si>
  <si>
    <t>Material</t>
    <phoneticPr fontId="9"/>
  </si>
  <si>
    <t>-</t>
    <phoneticPr fontId="9"/>
  </si>
  <si>
    <t>-</t>
    <phoneticPr fontId="9"/>
  </si>
  <si>
    <t>required_exp_300</t>
    <phoneticPr fontId="9"/>
  </si>
  <si>
    <t>-</t>
    <phoneticPr fontId="9"/>
  </si>
  <si>
    <t>required_exp_250</t>
    <phoneticPr fontId="9"/>
  </si>
  <si>
    <t>ステータス</t>
    <phoneticPr fontId="22"/>
  </si>
  <si>
    <t>R5</t>
    <phoneticPr fontId="22"/>
  </si>
  <si>
    <t>R3</t>
    <phoneticPr fontId="22"/>
  </si>
  <si>
    <t>R4</t>
    <phoneticPr fontId="22"/>
  </si>
  <si>
    <t>HP</t>
    <phoneticPr fontId="22"/>
  </si>
  <si>
    <t>Attack</t>
    <phoneticPr fontId="22"/>
  </si>
  <si>
    <t>Heal</t>
    <phoneticPr fontId="22"/>
  </si>
  <si>
    <t>DropWizSSS</t>
    <phoneticPr fontId="9"/>
  </si>
  <si>
    <t>DropWizSS</t>
    <phoneticPr fontId="9"/>
  </si>
  <si>
    <t>required_exp_250</t>
    <phoneticPr fontId="9"/>
  </si>
  <si>
    <t>DropWizS</t>
    <phoneticPr fontId="9"/>
  </si>
  <si>
    <t>DropWizN</t>
    <phoneticPr fontId="9"/>
  </si>
  <si>
    <t>DropWizW</t>
    <phoneticPr fontId="9"/>
  </si>
  <si>
    <t>ラベル/レアリティ</t>
    <phoneticPr fontId="9"/>
  </si>
  <si>
    <t>DropWizSSS</t>
    <phoneticPr fontId="9"/>
  </si>
  <si>
    <t>-</t>
    <phoneticPr fontId="9"/>
  </si>
  <si>
    <t>DropWizSS</t>
    <phoneticPr fontId="9"/>
  </si>
  <si>
    <t>DropWizS</t>
    <phoneticPr fontId="9"/>
  </si>
  <si>
    <t>DropWizN</t>
    <phoneticPr fontId="9"/>
  </si>
  <si>
    <t>DropWizW</t>
    <phoneticPr fontId="9"/>
  </si>
  <si>
    <t>PremiumL</t>
    <phoneticPr fontId="9"/>
  </si>
  <si>
    <t>PremiumSSS</t>
    <phoneticPr fontId="9"/>
  </si>
  <si>
    <t>PremiumSS</t>
    <phoneticPr fontId="9"/>
  </si>
  <si>
    <t>PremiumN</t>
    <phoneticPr fontId="9"/>
  </si>
  <si>
    <t>PremiumW</t>
    <phoneticPr fontId="9"/>
  </si>
  <si>
    <t>Drop2S</t>
    <phoneticPr fontId="9"/>
  </si>
  <si>
    <t>Drop2N</t>
    <phoneticPr fontId="9"/>
  </si>
  <si>
    <t>Drop2W</t>
    <phoneticPr fontId="9"/>
  </si>
  <si>
    <t>Drop1S</t>
    <phoneticPr fontId="9"/>
  </si>
  <si>
    <t>Drop1T</t>
    <phoneticPr fontId="9"/>
  </si>
  <si>
    <t>Material</t>
    <phoneticPr fontId="9"/>
  </si>
  <si>
    <t>required_exp_300</t>
    <phoneticPr fontId="9"/>
  </si>
  <si>
    <t>.tmp</t>
    <phoneticPr fontId="22"/>
  </si>
  <si>
    <t>abilities</t>
    <phoneticPr fontId="22"/>
  </si>
  <si>
    <t>ability_id</t>
    <phoneticPr fontId="22"/>
  </si>
  <si>
    <t>ability_param</t>
    <phoneticPr fontId="22"/>
  </si>
  <si>
    <t>valid_flg</t>
    <phoneticPr fontId="22"/>
  </si>
  <si>
    <t>abilities_i18n_</t>
    <phoneticPr fontId="22"/>
  </si>
  <si>
    <t>abilities</t>
    <phoneticPr fontId="22"/>
  </si>
  <si>
    <t>name</t>
    <phoneticPr fontId="22"/>
  </si>
  <si>
    <t>unit_abilities_</t>
    <phoneticPr fontId="22"/>
  </si>
  <si>
    <t>unit_abilities</t>
    <phoneticPr fontId="22"/>
  </si>
  <si>
    <t>ability_slot</t>
    <phoneticPr fontId="22"/>
  </si>
  <si>
    <t>ability_id</t>
    <phoneticPr fontId="9"/>
  </si>
  <si>
    <t>unlock_type</t>
    <phoneticPr fontId="9"/>
  </si>
  <si>
    <t>unlock_value</t>
    <phoneticPr fontId="22"/>
  </si>
  <si>
    <t>名前</t>
    <rPh sb="0" eb="2">
      <t>ナマ</t>
    </rPh>
    <phoneticPr fontId="22"/>
  </si>
  <si>
    <t>ability_slot</t>
    <phoneticPr fontId="22"/>
  </si>
  <si>
    <t>ability_id</t>
    <phoneticPr fontId="9"/>
  </si>
  <si>
    <t>　アビリティ名</t>
    <phoneticPr fontId="22"/>
  </si>
  <si>
    <t>効果</t>
    <rPh sb="0" eb="2">
      <t>コウk</t>
    </rPh>
    <phoneticPr fontId="22"/>
  </si>
  <si>
    <t>unlock_type</t>
    <phoneticPr fontId="9"/>
  </si>
  <si>
    <t>unlock_value</t>
    <phoneticPr fontId="22"/>
  </si>
  <si>
    <t>bug</t>
    <phoneticPr fontId="22"/>
  </si>
  <si>
    <t>character_id</t>
    <phoneticPr fontId="9"/>
  </si>
  <si>
    <t>name</t>
    <phoneticPr fontId="9"/>
  </si>
  <si>
    <t>特徴</t>
    <rPh sb="0" eb="2">
      <t>トクチョウ</t>
    </rPh>
    <phoneticPr fontId="9"/>
  </si>
  <si>
    <t>勢力</t>
    <rPh sb="0" eb="2">
      <t>セイリョク</t>
    </rPh>
    <phoneticPr fontId="9"/>
  </si>
  <si>
    <t>訴求軸</t>
    <phoneticPr fontId="9"/>
  </si>
  <si>
    <t>性別</t>
    <phoneticPr fontId="9"/>
  </si>
  <si>
    <t>character_sub_tribe_id</t>
    <phoneticPr fontId="9"/>
  </si>
  <si>
    <t>防御係数</t>
    <rPh sb="0" eb="2">
      <t>ボウギョ</t>
    </rPh>
    <rPh sb="2" eb="4">
      <t>ケイスウ</t>
    </rPh>
    <phoneticPr fontId="9"/>
  </si>
  <si>
    <t>回復係数</t>
    <rPh sb="0" eb="2">
      <t>カイフク</t>
    </rPh>
    <rPh sb="2" eb="4">
      <t>ケイスウ</t>
    </rPh>
    <phoneticPr fontId="9"/>
  </si>
  <si>
    <t>awake_type</t>
    <phoneticPr fontId="9"/>
  </si>
  <si>
    <t>awake_character_id</t>
    <phoneticPr fontId="9"/>
  </si>
  <si>
    <t>base_character_id</t>
    <phoneticPr fontId="9"/>
  </si>
  <si>
    <t>awake_cost</t>
    <phoneticPr fontId="9"/>
  </si>
  <si>
    <t>character_id</t>
    <phoneticPr fontId="9"/>
  </si>
  <si>
    <t>awake_character_id</t>
    <phoneticPr fontId="9"/>
  </si>
  <si>
    <t>←リトルハンプティは1000 / イベントユニットは100 / 曜日素材は10</t>
    <phoneticPr fontId="9"/>
  </si>
  <si>
    <t>priority</t>
    <phoneticPr fontId="9"/>
  </si>
  <si>
    <t>fork_awake_materials_</t>
    <phoneticPr fontId="22"/>
  </si>
  <si>
    <t>fork_awake_units_</t>
    <phoneticPr fontId="22"/>
  </si>
  <si>
    <t>fork_awake_units</t>
    <phoneticPr fontId="22"/>
  </si>
  <si>
    <t>awake_character_id</t>
    <phoneticPr fontId="9"/>
  </si>
  <si>
    <t>awake_cost</t>
    <phoneticPr fontId="9"/>
  </si>
  <si>
    <t>awake_type</t>
    <phoneticPr fontId="9"/>
  </si>
  <si>
    <t>character_id</t>
    <phoneticPr fontId="22"/>
  </si>
  <si>
    <t>awake_character_id</t>
    <phoneticPr fontId="22"/>
  </si>
  <si>
    <t>material_bug</t>
  </si>
  <si>
    <t>priority</t>
    <phoneticPr fontId="22"/>
  </si>
  <si>
    <t>ability_id</t>
    <phoneticPr fontId="22"/>
  </si>
  <si>
    <t>language</t>
    <phoneticPr fontId="22"/>
  </si>
  <si>
    <t>name</t>
    <phoneticPr fontId="9"/>
  </si>
  <si>
    <t>comment</t>
    <phoneticPr fontId="9"/>
  </si>
  <si>
    <t>ver</t>
    <phoneticPr fontId="22"/>
  </si>
  <si>
    <t>conditions</t>
    <phoneticPr fontId="22"/>
  </si>
  <si>
    <t>effects</t>
    <phoneticPr fontId="22"/>
  </si>
  <si>
    <t>priority</t>
    <phoneticPr fontId="22"/>
  </si>
  <si>
    <t>ability_param</t>
    <phoneticPr fontId="22"/>
  </si>
  <si>
    <t>valid_flg</t>
    <phoneticPr fontId="22"/>
  </si>
  <si>
    <t>PremiumSSw</t>
    <phoneticPr fontId="9"/>
  </si>
  <si>
    <t>PremiumSSw</t>
    <phoneticPr fontId="9"/>
  </si>
  <si>
    <t>PremiumSSw</t>
    <phoneticPr fontId="9"/>
  </si>
  <si>
    <t>kumo</t>
    <phoneticPr fontId="22"/>
  </si>
  <si>
    <t>覚醒後ID</t>
    <phoneticPr fontId="10"/>
  </si>
  <si>
    <t>Aと同じID</t>
    <phoneticPr fontId="10"/>
  </si>
  <si>
    <t>このユニットの初期のID</t>
    <phoneticPr fontId="10"/>
  </si>
  <si>
    <t>スキル名</t>
    <phoneticPr fontId="22"/>
  </si>
  <si>
    <t>スキル説明</t>
    <phoneticPr fontId="22"/>
  </si>
  <si>
    <t>スキルターン</t>
    <phoneticPr fontId="22"/>
  </si>
  <si>
    <t>スキル文字列</t>
    <phoneticPr fontId="22"/>
  </si>
  <si>
    <t>Cスキル2</t>
  </si>
  <si>
    <t>Cスキル3</t>
  </si>
  <si>
    <t>Cスキル1</t>
    <phoneticPr fontId="22"/>
  </si>
  <si>
    <t>覚醒があるユニットのみID入れる</t>
    <phoneticPr fontId="22"/>
  </si>
  <si>
    <t>覚醒先のID</t>
    <phoneticPr fontId="22"/>
  </si>
  <si>
    <t>覚醒ベースユニットのID</t>
    <phoneticPr fontId="9"/>
  </si>
  <si>
    <t>覚醒先のID</t>
    <phoneticPr fontId="9"/>
  </si>
  <si>
    <t>素材のID</t>
    <phoneticPr fontId="9"/>
  </si>
  <si>
    <t>右を参照</t>
    <phoneticPr fontId="9"/>
  </si>
  <si>
    <t>必要バグ数</t>
    <phoneticPr fontId="9"/>
  </si>
  <si>
    <t>必要数</t>
    <phoneticPr fontId="9"/>
  </si>
  <si>
    <t>abilities_tmp_</t>
    <phoneticPr fontId="22"/>
  </si>
  <si>
    <t>Cスキル4</t>
    <phoneticPr fontId="22"/>
  </si>
  <si>
    <t>ユニットスキル1</t>
    <phoneticPr fontId="22"/>
  </si>
  <si>
    <t>sell_ghosts</t>
    <phoneticPr fontId="11"/>
  </si>
  <si>
    <t>sell_ghosts</t>
    <phoneticPr fontId="9"/>
  </si>
  <si>
    <t>label</t>
    <phoneticPr fontId="22"/>
  </si>
  <si>
    <t>sell_ghosts</t>
    <phoneticPr fontId="22"/>
  </si>
  <si>
    <t>Drop1T</t>
    <phoneticPr fontId="22"/>
  </si>
  <si>
    <t>Drop1W</t>
    <phoneticPr fontId="22"/>
  </si>
  <si>
    <t>Drop1N</t>
    <phoneticPr fontId="22"/>
  </si>
  <si>
    <t>Drop1S</t>
    <phoneticPr fontId="22"/>
  </si>
  <si>
    <t>Drop2N</t>
    <phoneticPr fontId="22"/>
  </si>
  <si>
    <t>Drop2W</t>
    <phoneticPr fontId="22"/>
  </si>
  <si>
    <t>DropWizW</t>
    <phoneticPr fontId="22"/>
  </si>
  <si>
    <t>DropWizN</t>
    <phoneticPr fontId="22"/>
  </si>
  <si>
    <t>DropWizS</t>
    <phoneticPr fontId="22"/>
  </si>
  <si>
    <t>DropWizSS</t>
    <phoneticPr fontId="22"/>
  </si>
  <si>
    <t>DropWizSSS</t>
    <phoneticPr fontId="22"/>
  </si>
  <si>
    <t>Material</t>
    <phoneticPr fontId="22"/>
  </si>
  <si>
    <t>PremiumW</t>
    <phoneticPr fontId="22"/>
  </si>
  <si>
    <t>PremiumN</t>
    <phoneticPr fontId="22"/>
  </si>
  <si>
    <t>PremiumS</t>
    <phoneticPr fontId="22"/>
  </si>
  <si>
    <t>PremiumSS</t>
    <phoneticPr fontId="22"/>
  </si>
  <si>
    <t>PremiumSSw</t>
    <phoneticPr fontId="22"/>
  </si>
  <si>
    <t>PremiumSSS</t>
    <phoneticPr fontId="22"/>
  </si>
  <si>
    <t>old</t>
  </si>
  <si>
    <t>1</t>
    <phoneticPr fontId="22"/>
  </si>
  <si>
    <t>buffUpdate01</t>
    <phoneticPr fontId="22"/>
  </si>
  <si>
    <t>50</t>
    <phoneticPr fontId="22"/>
  </si>
  <si>
    <t>1</t>
    <phoneticPr fontId="22"/>
  </si>
  <si>
    <t>30</t>
    <phoneticPr fontId="22"/>
  </si>
  <si>
    <t>イエロークラッシャー</t>
    <phoneticPr fontId="22"/>
  </si>
  <si>
    <t>1体に小ダメージ
黄属性に効果大</t>
    <phoneticPr fontId="22"/>
  </si>
  <si>
    <t>[effect:damage_anti_color, target:enemy_one, color:yellow, val1:2.25, val2:1.13, animation:damage_one_green05]</t>
    <phoneticPr fontId="22"/>
  </si>
  <si>
    <t>ブルークラッシャー</t>
    <phoneticPr fontId="22"/>
  </si>
  <si>
    <t>1体に小ダメージ
青属性に効果大</t>
    <phoneticPr fontId="22"/>
  </si>
  <si>
    <t>[effect:damage_anti_color, target:enemy_one, color:blue, val1:2.25, val2:1.13, animation:damage_one_yellow05]</t>
    <phoneticPr fontId="22"/>
  </si>
  <si>
    <t>リトルフレイムバーン</t>
  </si>
  <si>
    <t>1体に小ダメージ</t>
  </si>
  <si>
    <t>フレイムバーンナップ</t>
  </si>
  <si>
    <t>1体にダメージ</t>
  </si>
  <si>
    <t>[effect:damage, target:enemy_one, color:red, val:1.5, animation:damage_one_red05]</t>
    <phoneticPr fontId="22"/>
  </si>
  <si>
    <t>[effect:damage, target:enemy_one, color:red, val:1.75, animation:damage_one_red05]</t>
    <phoneticPr fontId="22"/>
  </si>
</sst>
</file>

<file path=xl/styles.xml><?xml version="1.0" encoding="utf-8"?>
<styleSheet xmlns="http://schemas.openxmlformats.org/spreadsheetml/2006/main" xmlns:mc="http://schemas.openxmlformats.org/markup-compatibility/2006" xmlns:x14ac="http://schemas.microsoft.com/office/spreadsheetml/2009/9/ac" mc:Ignorable="x14ac">
  <fonts count="29" x14ac:knownFonts="1">
    <font>
      <sz val="12"/>
      <color theme="1"/>
      <name val="ＭＳ Ｐゴシック"/>
      <family val="2"/>
      <charset val="128"/>
      <scheme val="minor"/>
    </font>
    <font>
      <sz val="12"/>
      <color indexed="8"/>
      <name val="Times New Roman"/>
      <family val="1"/>
    </font>
    <font>
      <sz val="12"/>
      <color indexed="8"/>
      <name val="ＭＳ Ｐゴシック"/>
      <family val="3"/>
      <charset val="128"/>
    </font>
    <font>
      <sz val="11"/>
      <color indexed="8"/>
      <name val="ＭＳ Ｐゴシック"/>
      <family val="3"/>
      <charset val="128"/>
    </font>
    <font>
      <sz val="12"/>
      <color indexed="52"/>
      <name val="ＭＳ Ｐゴシック"/>
      <family val="3"/>
      <charset val="128"/>
    </font>
    <font>
      <sz val="12"/>
      <color indexed="10"/>
      <name val="ＭＳ Ｐゴシック"/>
      <family val="3"/>
      <charset val="128"/>
    </font>
    <font>
      <sz val="12"/>
      <color indexed="15"/>
      <name val="ＭＳ Ｐゴシック"/>
      <family val="3"/>
      <charset val="128"/>
    </font>
    <font>
      <sz val="10"/>
      <color indexed="8"/>
      <name val="Arial"/>
      <family val="2"/>
    </font>
    <font>
      <sz val="10"/>
      <color indexed="8"/>
      <name val="ＭＳ Ｐゴシック"/>
      <family val="3"/>
      <charset val="128"/>
    </font>
    <font>
      <sz val="6"/>
      <name val="ＭＳ Ｐゴシック"/>
      <family val="3"/>
      <charset val="128"/>
    </font>
    <font>
      <sz val="6"/>
      <name val="ＭＳ Ｐゴシック"/>
      <family val="3"/>
      <charset val="128"/>
    </font>
    <font>
      <sz val="6"/>
      <name val="ＭＳ Ｐゴシック"/>
      <family val="3"/>
      <charset val="128"/>
    </font>
    <font>
      <sz val="10"/>
      <name val="ＭＳ Ｐゴシック"/>
      <family val="3"/>
      <charset val="128"/>
    </font>
    <font>
      <sz val="10"/>
      <color theme="1"/>
      <name val="ＭＳ Ｐゴシック"/>
      <family val="3"/>
      <charset val="128"/>
      <scheme val="minor"/>
    </font>
    <font>
      <sz val="10"/>
      <color rgb="FF000000"/>
      <name val="ＭＳ Ｐゴシック"/>
      <family val="3"/>
      <charset val="128"/>
      <scheme val="minor"/>
    </font>
    <font>
      <sz val="10"/>
      <color rgb="FF000000"/>
      <name val="ＭＳ Ｐゴシック"/>
      <family val="3"/>
      <charset val="128"/>
    </font>
    <font>
      <sz val="10"/>
      <color theme="1"/>
      <name val="ＭＳ Ｐゴシック"/>
      <family val="3"/>
      <charset val="128"/>
    </font>
    <font>
      <sz val="10"/>
      <color theme="1"/>
      <name val="ＭＳ Ｐゴシック"/>
      <family val="3"/>
      <charset val="128"/>
      <scheme val="major"/>
    </font>
    <font>
      <sz val="10"/>
      <color indexed="8"/>
      <name val="ＭＳ Ｐゴシック"/>
      <family val="3"/>
      <charset val="128"/>
      <scheme val="major"/>
    </font>
    <font>
      <sz val="10"/>
      <color theme="0"/>
      <name val="ＭＳ Ｐゴシック"/>
      <family val="3"/>
      <charset val="128"/>
    </font>
    <font>
      <u/>
      <sz val="12"/>
      <color theme="10"/>
      <name val="ＭＳ Ｐゴシック"/>
      <family val="2"/>
      <charset val="128"/>
      <scheme val="minor"/>
    </font>
    <font>
      <u/>
      <sz val="12"/>
      <color theme="11"/>
      <name val="ＭＳ Ｐゴシック"/>
      <family val="2"/>
      <charset val="128"/>
      <scheme val="minor"/>
    </font>
    <font>
      <sz val="6"/>
      <name val="ＭＳ Ｐゴシック"/>
      <family val="2"/>
      <charset val="128"/>
      <scheme val="minor"/>
    </font>
    <font>
      <sz val="12"/>
      <color theme="0"/>
      <name val="ＭＳ Ｐゴシック"/>
      <family val="2"/>
      <charset val="128"/>
      <scheme val="minor"/>
    </font>
    <font>
      <sz val="11"/>
      <color theme="1"/>
      <name val="ＭＳ Ｐゴシック"/>
      <family val="2"/>
      <charset val="128"/>
      <scheme val="minor"/>
    </font>
    <font>
      <sz val="10"/>
      <color indexed="8"/>
      <name val="ＭＳ Ｐゴシック"/>
      <family val="3"/>
      <charset val="128"/>
      <scheme val="minor"/>
    </font>
    <font>
      <sz val="10"/>
      <name val="ＭＳ Ｐゴシック"/>
      <family val="3"/>
      <charset val="128"/>
      <scheme val="minor"/>
    </font>
    <font>
      <sz val="10"/>
      <color rgb="FF000000"/>
      <name val="‚lＳ Ｐゴシック"/>
      <family val="3"/>
      <charset val="128"/>
    </font>
    <font>
      <sz val="12"/>
      <color indexed="206"/>
      <name val="ＭＳ Ｐゴシック"/>
      <family val="2"/>
      <charset val="128"/>
    </font>
  </fonts>
  <fills count="29">
    <fill>
      <patternFill patternType="none"/>
    </fill>
    <fill>
      <patternFill patternType="gray125"/>
    </fill>
    <fill>
      <patternFill patternType="solid">
        <fgColor indexed="18"/>
        <bgColor indexed="32"/>
      </patternFill>
    </fill>
    <fill>
      <patternFill patternType="solid">
        <fgColor indexed="16"/>
        <bgColor indexed="59"/>
      </patternFill>
    </fill>
    <fill>
      <patternFill patternType="solid">
        <fgColor indexed="22"/>
        <bgColor indexed="55"/>
      </patternFill>
    </fill>
    <fill>
      <patternFill patternType="solid">
        <fgColor indexed="53"/>
        <bgColor indexed="52"/>
      </patternFill>
    </fill>
    <fill>
      <patternFill patternType="solid">
        <fgColor indexed="10"/>
        <bgColor indexed="60"/>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0.14999847407452621"/>
        <bgColor indexed="59"/>
      </patternFill>
    </fill>
    <fill>
      <patternFill patternType="solid">
        <fgColor theme="0" tint="-0.14999847407452621"/>
        <bgColor indexed="31"/>
      </patternFill>
    </fill>
    <fill>
      <patternFill patternType="solid">
        <fgColor theme="4" tint="0.79998168889431442"/>
        <bgColor indexed="64"/>
      </patternFill>
    </fill>
    <fill>
      <patternFill patternType="solid">
        <fgColor theme="4" tint="0.79998168889431442"/>
        <bgColor indexed="27"/>
      </patternFill>
    </fill>
    <fill>
      <patternFill patternType="solid">
        <fgColor theme="0" tint="-4.9989318521683403E-2"/>
        <bgColor indexed="64"/>
      </patternFill>
    </fill>
    <fill>
      <patternFill patternType="solid">
        <fgColor rgb="FFFFFF00"/>
        <bgColor indexed="64"/>
      </patternFill>
    </fill>
    <fill>
      <patternFill patternType="solid">
        <fgColor rgb="FF008000"/>
        <bgColor indexed="64"/>
      </patternFill>
    </fill>
    <fill>
      <patternFill patternType="solid">
        <fgColor rgb="FF008000"/>
        <bgColor indexed="59"/>
      </patternFill>
    </fill>
    <fill>
      <patternFill patternType="solid">
        <fgColor rgb="FF008000"/>
        <bgColor indexed="40"/>
      </patternFill>
    </fill>
    <fill>
      <patternFill patternType="solid">
        <fgColor theme="1"/>
        <bgColor indexed="64"/>
      </patternFill>
    </fill>
    <fill>
      <patternFill patternType="solid">
        <fgColor theme="0"/>
        <bgColor indexed="64"/>
      </patternFill>
    </fill>
    <fill>
      <patternFill patternType="solid">
        <fgColor theme="1" tint="0.499984740745262"/>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9" tint="0.79998168889431442"/>
        <bgColor indexed="5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9" tint="0.79998168889431442"/>
        <bgColor indexed="27"/>
      </patternFill>
    </fill>
    <fill>
      <patternFill patternType="solid">
        <fgColor theme="4" tint="0.79998168889431442"/>
        <bgColor indexed="59"/>
      </patternFill>
    </fill>
    <fill>
      <patternFill patternType="solid">
        <fgColor theme="9" tint="0.79998168889431442"/>
        <bgColor indexed="59"/>
      </patternFill>
    </fill>
  </fills>
  <borders count="28">
    <border>
      <left/>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indexed="8"/>
      </right>
      <top style="thin">
        <color auto="1"/>
      </top>
      <bottom style="thin">
        <color auto="1"/>
      </bottom>
      <diagonal/>
    </border>
    <border>
      <left style="thin">
        <color indexed="8"/>
      </left>
      <right style="thin">
        <color indexed="8"/>
      </right>
      <top style="thin">
        <color auto="1"/>
      </top>
      <bottom style="thin">
        <color auto="1"/>
      </bottom>
      <diagonal/>
    </border>
    <border>
      <left style="thin">
        <color auto="1"/>
      </left>
      <right style="thin">
        <color auto="1"/>
      </right>
      <top style="thin">
        <color indexed="8"/>
      </top>
      <bottom style="thin">
        <color auto="1"/>
      </bottom>
      <diagonal/>
    </border>
    <border>
      <left style="thin">
        <color indexed="8"/>
      </left>
      <right style="thin">
        <color auto="1"/>
      </right>
      <top style="thin">
        <color auto="1"/>
      </top>
      <bottom/>
      <diagonal/>
    </border>
    <border>
      <left style="thin">
        <color auto="1"/>
      </left>
      <right style="thin">
        <color auto="1"/>
      </right>
      <top style="thin">
        <color auto="1"/>
      </top>
      <bottom/>
      <diagonal/>
    </border>
    <border>
      <left style="thin">
        <color indexed="8"/>
      </left>
      <right style="thin">
        <color indexed="8"/>
      </right>
      <top/>
      <bottom style="thin">
        <color indexed="8"/>
      </bottom>
      <diagonal/>
    </border>
    <border>
      <left/>
      <right/>
      <top/>
      <bottom style="thin">
        <color auto="1"/>
      </bottom>
      <diagonal/>
    </border>
    <border>
      <left/>
      <right style="thin">
        <color auto="1"/>
      </right>
      <top/>
      <bottom style="thin">
        <color auto="1"/>
      </bottom>
      <diagonal/>
    </border>
    <border>
      <left/>
      <right style="thin">
        <color indexed="8"/>
      </right>
      <top style="thin">
        <color indexed="8"/>
      </top>
      <bottom/>
      <diagonal/>
    </border>
    <border>
      <left style="thin">
        <color auto="1"/>
      </left>
      <right style="thin">
        <color auto="1"/>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auto="1"/>
      </right>
      <top style="thin">
        <color auto="1"/>
      </top>
      <bottom style="thin">
        <color auto="1"/>
      </bottom>
      <diagonal/>
    </border>
    <border>
      <left style="thin">
        <color indexed="8"/>
      </left>
      <right style="thin">
        <color auto="1"/>
      </right>
      <top style="thin">
        <color indexed="8"/>
      </top>
      <bottom style="thin">
        <color auto="1"/>
      </bottom>
      <diagonal/>
    </border>
    <border>
      <left style="thin">
        <color indexed="8"/>
      </left>
      <right style="thin">
        <color auto="1"/>
      </right>
      <top style="thin">
        <color indexed="8"/>
      </top>
      <bottom style="thin">
        <color indexed="8"/>
      </bottom>
      <diagonal/>
    </border>
    <border>
      <left style="thin">
        <color auto="1"/>
      </left>
      <right/>
      <top/>
      <bottom style="thin">
        <color auto="1"/>
      </bottom>
      <diagonal/>
    </border>
    <border>
      <left style="thin">
        <color indexed="8"/>
      </left>
      <right style="thin">
        <color auto="1"/>
      </right>
      <top style="thin">
        <color auto="1"/>
      </top>
      <bottom style="thin">
        <color indexed="8"/>
      </bottom>
      <diagonal/>
    </border>
    <border>
      <left style="thin">
        <color auto="1"/>
      </left>
      <right style="thin">
        <color auto="1"/>
      </right>
      <top style="thin">
        <color auto="1"/>
      </top>
      <bottom style="thin">
        <color indexed="8"/>
      </bottom>
      <diagonal/>
    </border>
    <border>
      <left/>
      <right style="thin">
        <color auto="1"/>
      </right>
      <top style="thin">
        <color auto="1"/>
      </top>
      <bottom/>
      <diagonal/>
    </border>
    <border>
      <left/>
      <right style="thin">
        <color auto="1"/>
      </right>
      <top style="thin">
        <color indexed="8"/>
      </top>
      <bottom style="thin">
        <color auto="1"/>
      </bottom>
      <diagonal/>
    </border>
    <border>
      <left/>
      <right style="thin">
        <color auto="1"/>
      </right>
      <top style="thin">
        <color auto="1"/>
      </top>
      <bottom style="thin">
        <color indexed="8"/>
      </bottom>
      <diagonal/>
    </border>
  </borders>
  <cellStyleXfs count="4582">
    <xf numFmtId="0" fontId="0" fillId="0" borderId="0"/>
    <xf numFmtId="0" fontId="7" fillId="0" borderId="0"/>
    <xf numFmtId="38" fontId="1" fillId="0" borderId="0" applyFill="0" applyBorder="0" applyAlignment="0" applyProtection="0"/>
    <xf numFmtId="0" fontId="6" fillId="2" borderId="0" applyNumberFormat="0" applyBorder="0" applyAlignment="0" applyProtection="0"/>
    <xf numFmtId="0" fontId="5" fillId="3" borderId="0" applyNumberFormat="0" applyBorder="0" applyAlignment="0" applyProtection="0"/>
    <xf numFmtId="0" fontId="2" fillId="0" borderId="0"/>
    <xf numFmtId="0" fontId="3" fillId="0" borderId="0">
      <alignment vertical="center"/>
    </xf>
    <xf numFmtId="0" fontId="3" fillId="0" borderId="0">
      <alignment vertical="center"/>
    </xf>
    <xf numFmtId="0" fontId="4" fillId="3" borderId="0" applyNumberFormat="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4" fillId="0" borderId="0">
      <alignment vertical="center"/>
    </xf>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cellStyleXfs>
  <cellXfs count="198">
    <xf numFmtId="0" fontId="0" fillId="0" borderId="0" xfId="0"/>
    <xf numFmtId="0" fontId="0" fillId="0" borderId="0" xfId="0" applyFont="1" applyFill="1"/>
    <xf numFmtId="0" fontId="0" fillId="0" borderId="0" xfId="0" applyFont="1"/>
    <xf numFmtId="0" fontId="13" fillId="0" borderId="0" xfId="0" applyFont="1"/>
    <xf numFmtId="0" fontId="16" fillId="0" borderId="0" xfId="0" applyFont="1" applyAlignment="1">
      <alignment horizontal="center" vertical="center"/>
    </xf>
    <xf numFmtId="0" fontId="16" fillId="7" borderId="4" xfId="0" applyFont="1" applyFill="1" applyBorder="1" applyAlignment="1">
      <alignment horizontal="left" vertical="center"/>
    </xf>
    <xf numFmtId="0" fontId="16" fillId="0" borderId="8" xfId="0" applyFont="1" applyFill="1" applyBorder="1" applyAlignment="1">
      <alignment vertical="center"/>
    </xf>
    <xf numFmtId="0" fontId="16" fillId="7" borderId="9" xfId="0" applyFont="1" applyFill="1" applyBorder="1" applyAlignment="1">
      <alignment horizontal="left" vertical="center"/>
    </xf>
    <xf numFmtId="0" fontId="16" fillId="10" borderId="1" xfId="0" applyFont="1" applyFill="1" applyBorder="1" applyAlignment="1">
      <alignment vertical="center"/>
    </xf>
    <xf numFmtId="0" fontId="16" fillId="0" borderId="4" xfId="0" applyFont="1" applyBorder="1" applyAlignment="1">
      <alignment horizontal="left" vertical="center"/>
    </xf>
    <xf numFmtId="0" fontId="16" fillId="7" borderId="4" xfId="0" applyFont="1" applyFill="1" applyBorder="1" applyAlignment="1">
      <alignment horizontal="right" vertical="center"/>
    </xf>
    <xf numFmtId="0" fontId="16" fillId="0" borderId="0" xfId="0" applyFont="1" applyAlignment="1">
      <alignment horizontal="left" vertical="center"/>
    </xf>
    <xf numFmtId="0" fontId="16" fillId="7" borderId="0" xfId="0" applyFont="1" applyFill="1" applyAlignment="1">
      <alignment horizontal="left" vertical="center"/>
    </xf>
    <xf numFmtId="0" fontId="16" fillId="7" borderId="0" xfId="0" applyFont="1" applyFill="1" applyAlignment="1">
      <alignment vertical="center"/>
    </xf>
    <xf numFmtId="0" fontId="16" fillId="0" borderId="0" xfId="0" applyFont="1" applyAlignment="1">
      <alignment horizontal="right" vertical="center"/>
    </xf>
    <xf numFmtId="0" fontId="13" fillId="7" borderId="1" xfId="0" applyFont="1" applyFill="1" applyBorder="1" applyAlignment="1">
      <alignment vertical="center"/>
    </xf>
    <xf numFmtId="0" fontId="16" fillId="10" borderId="3" xfId="0" applyFont="1" applyFill="1" applyBorder="1" applyAlignment="1">
      <alignment vertical="center"/>
    </xf>
    <xf numFmtId="0" fontId="16" fillId="12" borderId="4" xfId="0" applyFont="1" applyFill="1" applyBorder="1" applyAlignment="1">
      <alignment horizontal="center" vertical="center" wrapText="1"/>
    </xf>
    <xf numFmtId="0" fontId="12" fillId="9" borderId="4" xfId="0" applyFont="1" applyFill="1" applyBorder="1" applyAlignment="1">
      <alignment horizontal="center"/>
    </xf>
    <xf numFmtId="0" fontId="16" fillId="4" borderId="1" xfId="0" applyFont="1" applyFill="1" applyBorder="1" applyAlignment="1">
      <alignment vertical="center"/>
    </xf>
    <xf numFmtId="0" fontId="8" fillId="4" borderId="1" xfId="0" applyFont="1" applyFill="1" applyBorder="1" applyAlignment="1">
      <alignment vertical="center"/>
    </xf>
    <xf numFmtId="0" fontId="16" fillId="0" borderId="0" xfId="0" applyFont="1" applyAlignment="1">
      <alignment vertical="center"/>
    </xf>
    <xf numFmtId="0" fontId="8" fillId="0" borderId="1" xfId="0" applyFont="1" applyBorder="1" applyAlignment="1">
      <alignment vertical="center"/>
    </xf>
    <xf numFmtId="0" fontId="8" fillId="0" borderId="19" xfId="0" applyFont="1" applyBorder="1" applyAlignment="1">
      <alignment vertical="center"/>
    </xf>
    <xf numFmtId="0" fontId="8" fillId="0" borderId="4" xfId="0" applyFont="1" applyFill="1" applyBorder="1" applyAlignment="1">
      <alignment vertical="center"/>
    </xf>
    <xf numFmtId="0" fontId="16" fillId="5" borderId="0" xfId="0" applyFont="1" applyFill="1" applyAlignment="1">
      <alignment vertical="center"/>
    </xf>
    <xf numFmtId="0" fontId="8" fillId="0" borderId="1" xfId="0" applyFont="1" applyFill="1" applyBorder="1" applyAlignment="1">
      <alignment vertical="center"/>
    </xf>
    <xf numFmtId="0" fontId="16" fillId="6" borderId="0" xfId="0" applyFont="1" applyFill="1" applyAlignment="1">
      <alignment vertical="center"/>
    </xf>
    <xf numFmtId="0" fontId="16" fillId="4" borderId="1" xfId="0" applyFont="1" applyFill="1" applyBorder="1" applyAlignment="1">
      <alignment horizontal="center" vertical="center"/>
    </xf>
    <xf numFmtId="0" fontId="8" fillId="0" borderId="2" xfId="0" applyFont="1" applyFill="1" applyBorder="1" applyAlignment="1">
      <alignment vertical="center"/>
    </xf>
    <xf numFmtId="0" fontId="8" fillId="4" borderId="1" xfId="0" applyFont="1" applyFill="1" applyBorder="1" applyAlignment="1">
      <alignment horizontal="center" vertical="center"/>
    </xf>
    <xf numFmtId="0" fontId="8" fillId="0" borderId="20" xfId="0" applyFont="1" applyBorder="1" applyAlignment="1">
      <alignment vertical="center"/>
    </xf>
    <xf numFmtId="0" fontId="16" fillId="0" borderId="19" xfId="0" applyFont="1" applyBorder="1" applyAlignment="1">
      <alignment vertical="center"/>
    </xf>
    <xf numFmtId="0" fontId="16" fillId="0" borderId="20" xfId="0" applyFont="1" applyBorder="1" applyAlignment="1">
      <alignment vertical="center"/>
    </xf>
    <xf numFmtId="0" fontId="16" fillId="0" borderId="4" xfId="0" applyFont="1" applyBorder="1" applyAlignment="1">
      <alignment vertical="center"/>
    </xf>
    <xf numFmtId="0" fontId="16" fillId="0" borderId="4" xfId="0" applyFont="1" applyBorder="1" applyAlignment="1">
      <alignment horizontal="center" vertical="center"/>
    </xf>
    <xf numFmtId="0" fontId="16" fillId="0" borderId="12" xfId="0" applyFont="1" applyBorder="1" applyAlignment="1">
      <alignment horizontal="left" vertical="center"/>
    </xf>
    <xf numFmtId="0" fontId="8" fillId="13" borderId="10" xfId="0" applyFont="1" applyFill="1" applyBorder="1" applyAlignment="1">
      <alignment vertical="center"/>
    </xf>
    <xf numFmtId="0" fontId="16" fillId="13" borderId="4" xfId="0" applyFont="1" applyFill="1" applyBorder="1" applyAlignment="1">
      <alignment vertical="center"/>
    </xf>
    <xf numFmtId="0" fontId="13" fillId="12" borderId="4" xfId="0" applyFont="1" applyFill="1" applyBorder="1" applyAlignment="1">
      <alignment horizontal="center" vertical="center" wrapText="1"/>
    </xf>
    <xf numFmtId="0" fontId="16" fillId="12" borderId="6" xfId="0" applyFont="1" applyFill="1" applyBorder="1" applyAlignment="1">
      <alignment horizontal="center" vertical="center" wrapText="1"/>
    </xf>
    <xf numFmtId="0" fontId="16" fillId="0" borderId="3" xfId="0" applyFont="1" applyFill="1" applyBorder="1" applyAlignment="1">
      <alignment vertical="center"/>
    </xf>
    <xf numFmtId="0" fontId="16" fillId="0" borderId="0" xfId="0" applyFont="1" applyFill="1" applyAlignment="1">
      <alignment vertical="center"/>
    </xf>
    <xf numFmtId="0" fontId="8" fillId="13" borderId="1" xfId="0" applyFont="1" applyFill="1" applyBorder="1" applyAlignment="1">
      <alignment vertical="center"/>
    </xf>
    <xf numFmtId="0" fontId="16" fillId="7" borderId="8" xfId="0" applyFont="1" applyFill="1" applyBorder="1" applyAlignment="1">
      <alignment horizontal="right" vertical="center"/>
    </xf>
    <xf numFmtId="0" fontId="17" fillId="4" borderId="4" xfId="0" applyFont="1" applyFill="1" applyBorder="1" applyAlignment="1">
      <alignment horizontal="center" vertical="center"/>
    </xf>
    <xf numFmtId="0" fontId="18" fillId="4" borderId="4" xfId="0" applyFont="1" applyFill="1" applyBorder="1" applyAlignment="1">
      <alignment horizontal="center" vertical="center"/>
    </xf>
    <xf numFmtId="0" fontId="18" fillId="0" borderId="4" xfId="0" applyFont="1" applyBorder="1" applyAlignment="1">
      <alignment horizontal="center" vertical="center"/>
    </xf>
    <xf numFmtId="0" fontId="18" fillId="0" borderId="4" xfId="0" applyFont="1" applyFill="1" applyBorder="1" applyAlignment="1">
      <alignment horizontal="center" vertical="center"/>
    </xf>
    <xf numFmtId="0" fontId="17" fillId="0" borderId="4" xfId="0" applyFont="1" applyBorder="1" applyAlignment="1">
      <alignment horizontal="center" vertical="center" wrapText="1"/>
    </xf>
    <xf numFmtId="0" fontId="17" fillId="0" borderId="12" xfId="0" applyFont="1" applyBorder="1" applyAlignment="1">
      <alignment horizontal="center" vertical="center" wrapText="1"/>
    </xf>
    <xf numFmtId="0" fontId="13" fillId="0" borderId="4" xfId="0" applyFont="1" applyBorder="1" applyAlignment="1">
      <alignment horizontal="center" vertical="center" wrapText="1"/>
    </xf>
    <xf numFmtId="0" fontId="18" fillId="0" borderId="7" xfId="0" applyFont="1" applyBorder="1" applyAlignment="1">
      <alignment horizontal="center" vertical="center"/>
    </xf>
    <xf numFmtId="0" fontId="16" fillId="7" borderId="1" xfId="0" applyFont="1" applyFill="1" applyBorder="1" applyAlignment="1">
      <alignment horizontal="left" vertical="center"/>
    </xf>
    <xf numFmtId="0" fontId="16" fillId="7" borderId="1" xfId="0" applyFont="1" applyFill="1" applyBorder="1" applyAlignment="1">
      <alignment horizontal="right" vertical="center"/>
    </xf>
    <xf numFmtId="0" fontId="15" fillId="11" borderId="0" xfId="0" applyFont="1" applyFill="1" applyBorder="1" applyAlignment="1">
      <alignment horizontal="center" vertical="center"/>
    </xf>
    <xf numFmtId="0" fontId="14" fillId="11" borderId="0" xfId="0" applyFont="1" applyFill="1" applyBorder="1" applyAlignment="1">
      <alignment horizontal="center" vertical="center"/>
    </xf>
    <xf numFmtId="0" fontId="13" fillId="11" borderId="0" xfId="0" applyFont="1" applyFill="1" applyAlignment="1">
      <alignment vertical="center"/>
    </xf>
    <xf numFmtId="0" fontId="16" fillId="7" borderId="3" xfId="0" applyFont="1" applyFill="1" applyBorder="1" applyAlignment="1">
      <alignment horizontal="left" vertical="center"/>
    </xf>
    <xf numFmtId="0" fontId="15" fillId="8" borderId="0" xfId="0" applyFont="1" applyFill="1" applyBorder="1" applyAlignment="1">
      <alignment horizontal="center" vertical="center"/>
    </xf>
    <xf numFmtId="0" fontId="14" fillId="8" borderId="0" xfId="0" applyFont="1" applyFill="1" applyBorder="1" applyAlignment="1">
      <alignment horizontal="center" vertical="center"/>
    </xf>
    <xf numFmtId="0" fontId="23" fillId="18" borderId="0" xfId="0" applyFont="1" applyFill="1"/>
    <xf numFmtId="0" fontId="16" fillId="0" borderId="4" xfId="0" applyFont="1" applyFill="1" applyBorder="1" applyAlignment="1">
      <alignment vertical="center"/>
    </xf>
    <xf numFmtId="0" fontId="13" fillId="14" borderId="4" xfId="0" applyFont="1" applyFill="1" applyBorder="1" applyAlignment="1">
      <alignment vertical="center"/>
    </xf>
    <xf numFmtId="0" fontId="16" fillId="14" borderId="10" xfId="0" applyFont="1" applyFill="1" applyBorder="1" applyAlignment="1">
      <alignment horizontal="right" vertical="center"/>
    </xf>
    <xf numFmtId="0" fontId="8" fillId="7" borderId="1" xfId="0" applyFont="1" applyFill="1" applyBorder="1" applyAlignment="1">
      <alignment vertical="center"/>
    </xf>
    <xf numFmtId="0" fontId="8" fillId="7" borderId="2" xfId="0" applyFont="1" applyFill="1" applyBorder="1" applyAlignment="1">
      <alignment vertical="center"/>
    </xf>
    <xf numFmtId="0" fontId="16" fillId="7" borderId="4" xfId="0" applyFont="1" applyFill="1" applyBorder="1" applyAlignment="1">
      <alignment vertical="center"/>
    </xf>
    <xf numFmtId="0" fontId="12" fillId="7" borderId="0" xfId="0" applyFont="1" applyFill="1" applyAlignment="1">
      <alignment vertical="center"/>
    </xf>
    <xf numFmtId="0" fontId="19" fillId="0" borderId="0" xfId="0" applyFont="1" applyFill="1" applyAlignment="1">
      <alignment vertical="center"/>
    </xf>
    <xf numFmtId="0" fontId="8" fillId="13" borderId="21" xfId="0" applyFont="1" applyFill="1" applyBorder="1" applyAlignment="1">
      <alignment horizontal="center" vertical="center"/>
    </xf>
    <xf numFmtId="0" fontId="8" fillId="13" borderId="1" xfId="0" applyFont="1" applyFill="1" applyBorder="1" applyAlignment="1">
      <alignment horizontal="center" vertical="center"/>
    </xf>
    <xf numFmtId="0" fontId="8" fillId="0" borderId="1" xfId="0" applyFont="1" applyFill="1" applyBorder="1" applyAlignment="1">
      <alignment horizontal="center" vertical="center"/>
    </xf>
    <xf numFmtId="0" fontId="8" fillId="0" borderId="2" xfId="0" applyFont="1" applyFill="1" applyBorder="1" applyAlignment="1">
      <alignment horizontal="center" vertical="center"/>
    </xf>
    <xf numFmtId="0" fontId="8" fillId="0" borderId="4" xfId="0" applyFont="1" applyFill="1" applyBorder="1" applyAlignment="1">
      <alignment horizontal="center" vertical="center"/>
    </xf>
    <xf numFmtId="0" fontId="17" fillId="0" borderId="4" xfId="0" applyFont="1" applyFill="1" applyBorder="1" applyAlignment="1">
      <alignment horizontal="center" vertical="center" wrapText="1"/>
    </xf>
    <xf numFmtId="0" fontId="15" fillId="7" borderId="4" xfId="0" applyFont="1" applyFill="1" applyBorder="1" applyAlignment="1">
      <alignment horizontal="left" vertical="center"/>
    </xf>
    <xf numFmtId="0" fontId="15" fillId="8" borderId="7" xfId="0" applyFont="1" applyFill="1" applyBorder="1" applyAlignment="1">
      <alignment horizontal="left" vertical="center"/>
    </xf>
    <xf numFmtId="0" fontId="19" fillId="15" borderId="4" xfId="0" applyFont="1" applyFill="1" applyBorder="1" applyAlignment="1">
      <alignment horizontal="left" vertical="center"/>
    </xf>
    <xf numFmtId="0" fontId="15" fillId="11" borderId="14" xfId="0" applyFont="1" applyFill="1" applyBorder="1" applyAlignment="1">
      <alignment horizontal="left" vertical="center"/>
    </xf>
    <xf numFmtId="0" fontId="12" fillId="8" borderId="7" xfId="0" applyFont="1" applyFill="1" applyBorder="1" applyAlignment="1">
      <alignment horizontal="left" vertical="center"/>
    </xf>
    <xf numFmtId="0" fontId="15" fillId="11" borderId="7" xfId="0" applyFont="1" applyFill="1" applyBorder="1" applyAlignment="1">
      <alignment horizontal="left" vertical="center"/>
    </xf>
    <xf numFmtId="0" fontId="15" fillId="7" borderId="7" xfId="0" applyFont="1" applyFill="1" applyBorder="1" applyAlignment="1">
      <alignment horizontal="left" vertical="center"/>
    </xf>
    <xf numFmtId="0" fontId="12" fillId="9" borderId="13" xfId="0" applyFont="1" applyFill="1" applyBorder="1" applyAlignment="1">
      <alignment horizontal="left" vertical="center"/>
    </xf>
    <xf numFmtId="0" fontId="15" fillId="8" borderId="15" xfId="0" applyFont="1" applyFill="1" applyBorder="1" applyAlignment="1">
      <alignment horizontal="left" vertical="center"/>
    </xf>
    <xf numFmtId="0" fontId="15" fillId="11" borderId="6" xfId="0" applyFont="1" applyFill="1" applyBorder="1" applyAlignment="1">
      <alignment horizontal="left" vertical="center"/>
    </xf>
    <xf numFmtId="0" fontId="12" fillId="9" borderId="1" xfId="0" applyFont="1" applyFill="1" applyBorder="1" applyAlignment="1">
      <alignment horizontal="left" vertical="center"/>
    </xf>
    <xf numFmtId="0" fontId="15" fillId="8" borderId="4" xfId="0" applyFont="1" applyFill="1" applyBorder="1" applyAlignment="1">
      <alignment horizontal="left" vertical="center"/>
    </xf>
    <xf numFmtId="0" fontId="15" fillId="8" borderId="5" xfId="0" applyFont="1" applyFill="1" applyBorder="1" applyAlignment="1">
      <alignment horizontal="left" vertical="center"/>
    </xf>
    <xf numFmtId="0" fontId="19" fillId="16" borderId="16" xfId="0" applyFont="1" applyFill="1" applyBorder="1" applyAlignment="1">
      <alignment horizontal="left" vertical="center"/>
    </xf>
    <xf numFmtId="0" fontId="19" fillId="17" borderId="1" xfId="0" applyFont="1" applyFill="1" applyBorder="1" applyAlignment="1">
      <alignment horizontal="left" vertical="center"/>
    </xf>
    <xf numFmtId="0" fontId="15" fillId="7" borderId="14" xfId="0" applyFont="1" applyFill="1" applyBorder="1" applyAlignment="1">
      <alignment horizontal="left" vertical="center"/>
    </xf>
    <xf numFmtId="0" fontId="15" fillId="7" borderId="6" xfId="0" applyFont="1" applyFill="1" applyBorder="1" applyAlignment="1">
      <alignment horizontal="left" vertical="center"/>
    </xf>
    <xf numFmtId="0" fontId="12" fillId="0" borderId="17" xfId="0" applyFont="1" applyFill="1" applyBorder="1" applyAlignment="1">
      <alignment horizontal="left" vertical="center"/>
    </xf>
    <xf numFmtId="0" fontId="12" fillId="9" borderId="18" xfId="0" applyFont="1" applyFill="1" applyBorder="1" applyAlignment="1">
      <alignment horizontal="left" vertical="center"/>
    </xf>
    <xf numFmtId="0" fontId="12" fillId="9" borderId="3" xfId="0" applyFont="1" applyFill="1" applyBorder="1" applyAlignment="1">
      <alignment horizontal="left" vertical="center"/>
    </xf>
    <xf numFmtId="0" fontId="12" fillId="9" borderId="4" xfId="0" applyFont="1" applyFill="1" applyBorder="1" applyAlignment="1">
      <alignment horizontal="left" vertical="center"/>
    </xf>
    <xf numFmtId="0" fontId="19" fillId="15" borderId="17" xfId="0" applyFont="1" applyFill="1" applyBorder="1" applyAlignment="1">
      <alignment horizontal="left" vertical="center"/>
    </xf>
    <xf numFmtId="0" fontId="19" fillId="16" borderId="17" xfId="0" applyFont="1" applyFill="1" applyBorder="1" applyAlignment="1">
      <alignment horizontal="left" vertical="center"/>
    </xf>
    <xf numFmtId="0" fontId="19" fillId="15" borderId="11" xfId="0" applyFont="1" applyFill="1" applyBorder="1" applyAlignment="1">
      <alignment horizontal="left" vertical="center"/>
    </xf>
    <xf numFmtId="0" fontId="19" fillId="15" borderId="12" xfId="0" applyFont="1" applyFill="1" applyBorder="1" applyAlignment="1">
      <alignment horizontal="left" vertical="center"/>
    </xf>
    <xf numFmtId="0" fontId="8" fillId="19" borderId="1" xfId="0" applyFont="1" applyFill="1" applyBorder="1" applyAlignment="1">
      <alignment horizontal="center" vertical="center"/>
    </xf>
    <xf numFmtId="0" fontId="8" fillId="0" borderId="10" xfId="0" applyFont="1" applyFill="1" applyBorder="1" applyAlignment="1">
      <alignment vertical="center"/>
    </xf>
    <xf numFmtId="0" fontId="23" fillId="20" borderId="4" xfId="0" applyFont="1" applyFill="1" applyBorder="1"/>
    <xf numFmtId="0" fontId="0" fillId="20" borderId="4" xfId="0" applyFill="1" applyBorder="1"/>
    <xf numFmtId="0" fontId="0" fillId="0" borderId="4" xfId="0" applyBorder="1"/>
    <xf numFmtId="0" fontId="13" fillId="8" borderId="0" xfId="0" applyFont="1" applyFill="1" applyBorder="1" applyAlignment="1">
      <alignment horizontal="center" vertical="center"/>
    </xf>
    <xf numFmtId="0" fontId="16" fillId="8" borderId="0" xfId="0" applyFont="1" applyFill="1" applyBorder="1" applyAlignment="1">
      <alignment horizontal="center" vertical="center"/>
    </xf>
    <xf numFmtId="0" fontId="0" fillId="0" borderId="4" xfId="0" applyFill="1" applyBorder="1"/>
    <xf numFmtId="0" fontId="0" fillId="8" borderId="4" xfId="0" applyFill="1" applyBorder="1"/>
    <xf numFmtId="0" fontId="0" fillId="21" borderId="4" xfId="0" applyFill="1" applyBorder="1"/>
    <xf numFmtId="0" fontId="0" fillId="11" borderId="6" xfId="0" applyFill="1" applyBorder="1"/>
    <xf numFmtId="0" fontId="0" fillId="11" borderId="4" xfId="0" applyFill="1" applyBorder="1"/>
    <xf numFmtId="0" fontId="13" fillId="0" borderId="4" xfId="0" applyFont="1" applyFill="1" applyBorder="1" applyAlignment="1">
      <alignment vertical="center"/>
    </xf>
    <xf numFmtId="0" fontId="13" fillId="11" borderId="7" xfId="0" applyFont="1" applyFill="1" applyBorder="1" applyAlignment="1">
      <alignment horizontal="center" vertical="center"/>
    </xf>
    <xf numFmtId="0" fontId="13" fillId="11" borderId="15" xfId="0" applyFont="1" applyFill="1" applyBorder="1" applyAlignment="1">
      <alignment horizontal="center" vertical="center"/>
    </xf>
    <xf numFmtId="0" fontId="13" fillId="8" borderId="15" xfId="0" applyFont="1" applyFill="1" applyBorder="1" applyAlignment="1">
      <alignment horizontal="center" vertical="center"/>
    </xf>
    <xf numFmtId="0" fontId="13" fillId="8" borderId="22" xfId="0" applyFont="1" applyFill="1" applyBorder="1" applyAlignment="1">
      <alignment horizontal="center" vertical="center"/>
    </xf>
    <xf numFmtId="0" fontId="13" fillId="11" borderId="22" xfId="0" applyFont="1" applyFill="1" applyBorder="1" applyAlignment="1">
      <alignment horizontal="center" vertical="center"/>
    </xf>
    <xf numFmtId="0" fontId="13" fillId="7" borderId="22" xfId="0" applyFont="1" applyFill="1" applyBorder="1" applyAlignment="1">
      <alignment horizontal="center" vertical="center"/>
    </xf>
    <xf numFmtId="0" fontId="13" fillId="7" borderId="6" xfId="0" applyFont="1" applyFill="1" applyBorder="1" applyAlignment="1">
      <alignment horizontal="left" vertical="center"/>
    </xf>
    <xf numFmtId="0" fontId="13" fillId="7" borderId="4" xfId="0" applyFont="1" applyFill="1" applyBorder="1" applyAlignment="1">
      <alignment horizontal="left" vertical="center"/>
    </xf>
    <xf numFmtId="0" fontId="13" fillId="7" borderId="5" xfId="0" applyFont="1" applyFill="1" applyBorder="1" applyAlignment="1">
      <alignment horizontal="left" vertical="center"/>
    </xf>
    <xf numFmtId="0" fontId="13" fillId="7" borderId="7" xfId="0" applyFont="1" applyFill="1" applyBorder="1" applyAlignment="1">
      <alignment horizontal="center" vertical="center"/>
    </xf>
    <xf numFmtId="0" fontId="13" fillId="7" borderId="7" xfId="0" applyFont="1" applyFill="1" applyBorder="1" applyAlignment="1">
      <alignment horizontal="left" vertical="center"/>
    </xf>
    <xf numFmtId="0" fontId="13" fillId="0" borderId="0" xfId="0" applyFont="1" applyFill="1" applyAlignment="1">
      <alignment horizontal="center" vertical="center"/>
    </xf>
    <xf numFmtId="0" fontId="13" fillId="0" borderId="0" xfId="0" applyFont="1" applyFill="1" applyAlignment="1">
      <alignment vertical="center"/>
    </xf>
    <xf numFmtId="0" fontId="25" fillId="0" borderId="0" xfId="0" applyFont="1" applyFill="1" applyAlignment="1">
      <alignment vertical="center"/>
    </xf>
    <xf numFmtId="0" fontId="16" fillId="19" borderId="4" xfId="0" applyFont="1" applyFill="1" applyBorder="1" applyAlignment="1">
      <alignment horizontal="left" vertical="center"/>
    </xf>
    <xf numFmtId="0" fontId="26" fillId="0" borderId="7" xfId="0" applyFont="1" applyFill="1" applyBorder="1" applyAlignment="1">
      <alignment horizontal="right" vertical="center" wrapText="1"/>
    </xf>
    <xf numFmtId="0" fontId="14" fillId="0" borderId="4" xfId="0" applyFont="1" applyFill="1" applyBorder="1" applyAlignment="1">
      <alignment horizontal="left" vertical="center" wrapText="1"/>
    </xf>
    <xf numFmtId="0" fontId="26" fillId="0" borderId="7" xfId="0" applyFont="1" applyFill="1" applyBorder="1" applyAlignment="1">
      <alignment horizontal="left" vertical="center" wrapText="1"/>
    </xf>
    <xf numFmtId="0" fontId="13" fillId="0" borderId="4" xfId="0" applyFont="1" applyFill="1" applyBorder="1" applyAlignment="1">
      <alignment horizontal="left" vertical="center" wrapText="1"/>
    </xf>
    <xf numFmtId="0" fontId="13" fillId="0" borderId="7" xfId="0" applyFont="1" applyFill="1" applyBorder="1" applyAlignment="1">
      <alignment horizontal="right" vertical="center" wrapText="1"/>
    </xf>
    <xf numFmtId="0" fontId="27" fillId="0" borderId="4" xfId="0" applyFont="1" applyFill="1" applyBorder="1" applyAlignment="1">
      <alignment horizontal="center" vertical="center" wrapText="1"/>
    </xf>
    <xf numFmtId="0" fontId="14" fillId="0" borderId="4" xfId="0" applyFont="1" applyFill="1" applyBorder="1" applyAlignment="1">
      <alignment horizontal="center" vertical="center" wrapText="1"/>
    </xf>
    <xf numFmtId="0" fontId="13" fillId="0" borderId="4" xfId="0" applyFont="1" applyFill="1" applyBorder="1" applyAlignment="1">
      <alignment horizontal="center" vertical="center"/>
    </xf>
    <xf numFmtId="0" fontId="13" fillId="0" borderId="7" xfId="0" applyFont="1" applyFill="1" applyBorder="1" applyAlignment="1">
      <alignment horizontal="left" vertical="center" wrapText="1"/>
    </xf>
    <xf numFmtId="0" fontId="0" fillId="22" borderId="4" xfId="0" applyFill="1" applyBorder="1"/>
    <xf numFmtId="0" fontId="0" fillId="22" borderId="0" xfId="0" applyFill="1"/>
    <xf numFmtId="0" fontId="28" fillId="0" borderId="0" xfId="0" applyFont="1"/>
    <xf numFmtId="0" fontId="16" fillId="23" borderId="3" xfId="0" applyFont="1" applyFill="1" applyBorder="1" applyAlignment="1">
      <alignment horizontal="center" vertical="center"/>
    </xf>
    <xf numFmtId="0" fontId="8" fillId="23" borderId="20" xfId="0" applyFont="1" applyFill="1" applyBorder="1" applyAlignment="1">
      <alignment horizontal="center" vertical="center"/>
    </xf>
    <xf numFmtId="0" fontId="8" fillId="23" borderId="10" xfId="0" applyFont="1" applyFill="1" applyBorder="1" applyAlignment="1">
      <alignment horizontal="center" vertical="center"/>
    </xf>
    <xf numFmtId="0" fontId="8" fillId="24" borderId="10" xfId="0" applyFont="1" applyFill="1" applyBorder="1" applyAlignment="1">
      <alignment vertical="center"/>
    </xf>
    <xf numFmtId="0" fontId="8" fillId="23" borderId="19" xfId="0" applyFont="1" applyFill="1" applyBorder="1" applyAlignment="1">
      <alignment horizontal="center" vertical="center"/>
    </xf>
    <xf numFmtId="0" fontId="8" fillId="23" borderId="4" xfId="0" applyFont="1" applyFill="1" applyBorder="1" applyAlignment="1">
      <alignment horizontal="center" vertical="center"/>
    </xf>
    <xf numFmtId="0" fontId="8" fillId="24" borderId="4" xfId="0" applyFont="1" applyFill="1" applyBorder="1" applyAlignment="1">
      <alignment vertical="center"/>
    </xf>
    <xf numFmtId="0" fontId="8" fillId="23" borderId="23" xfId="0" applyFont="1" applyFill="1" applyBorder="1" applyAlignment="1">
      <alignment horizontal="center" vertical="center"/>
    </xf>
    <xf numFmtId="0" fontId="8" fillId="23" borderId="24" xfId="0" applyFont="1" applyFill="1" applyBorder="1" applyAlignment="1">
      <alignment horizontal="center" vertical="center"/>
    </xf>
    <xf numFmtId="0" fontId="8" fillId="24" borderId="24" xfId="0" applyFont="1" applyFill="1" applyBorder="1" applyAlignment="1">
      <alignment vertical="center"/>
    </xf>
    <xf numFmtId="0" fontId="16" fillId="24" borderId="4" xfId="0" applyFont="1" applyFill="1" applyBorder="1" applyAlignment="1">
      <alignment vertical="center"/>
    </xf>
    <xf numFmtId="0" fontId="18" fillId="24" borderId="4" xfId="0" applyFont="1" applyFill="1" applyBorder="1" applyAlignment="1">
      <alignment horizontal="center" vertical="center"/>
    </xf>
    <xf numFmtId="0" fontId="17" fillId="24" borderId="4" xfId="0" applyFont="1" applyFill="1" applyBorder="1" applyAlignment="1">
      <alignment horizontal="center" vertical="center" wrapText="1"/>
    </xf>
    <xf numFmtId="0" fontId="8" fillId="24" borderId="1" xfId="0" applyFont="1" applyFill="1" applyBorder="1" applyAlignment="1">
      <alignment vertical="center"/>
    </xf>
    <xf numFmtId="0" fontId="8" fillId="23" borderId="25" xfId="0" applyFont="1" applyFill="1" applyBorder="1" applyAlignment="1">
      <alignment horizontal="center" vertical="center"/>
    </xf>
    <xf numFmtId="0" fontId="8" fillId="23" borderId="12" xfId="0" applyFont="1" applyFill="1" applyBorder="1" applyAlignment="1">
      <alignment horizontal="center" vertical="center"/>
    </xf>
    <xf numFmtId="0" fontId="8" fillId="23" borderId="26" xfId="0" applyFont="1" applyFill="1" applyBorder="1" applyAlignment="1">
      <alignment horizontal="center" vertical="center"/>
    </xf>
    <xf numFmtId="0" fontId="8" fillId="23" borderId="6" xfId="0" applyFont="1" applyFill="1" applyBorder="1" applyAlignment="1">
      <alignment horizontal="center" vertical="center"/>
    </xf>
    <xf numFmtId="0" fontId="8" fillId="23" borderId="27" xfId="0" applyFont="1" applyFill="1" applyBorder="1" applyAlignment="1">
      <alignment horizontal="center" vertical="center"/>
    </xf>
    <xf numFmtId="0" fontId="16" fillId="23" borderId="21" xfId="0" applyFont="1" applyFill="1" applyBorder="1" applyAlignment="1">
      <alignment horizontal="center" vertical="center"/>
    </xf>
    <xf numFmtId="0" fontId="17" fillId="24" borderId="12" xfId="0" applyFont="1" applyFill="1" applyBorder="1" applyAlignment="1">
      <alignment horizontal="center" vertical="center" wrapText="1"/>
    </xf>
    <xf numFmtId="0" fontId="0" fillId="14" borderId="4" xfId="0" applyFill="1" applyBorder="1"/>
    <xf numFmtId="0" fontId="16" fillId="25" borderId="4" xfId="0" applyFont="1" applyFill="1" applyBorder="1" applyAlignment="1">
      <alignment horizontal="center" vertical="center"/>
    </xf>
    <xf numFmtId="0" fontId="0" fillId="25" borderId="4" xfId="0" applyFill="1" applyBorder="1"/>
    <xf numFmtId="0" fontId="13" fillId="25" borderId="15" xfId="0" applyFont="1" applyFill="1" applyBorder="1" applyAlignment="1">
      <alignment horizontal="center" vertical="center"/>
    </xf>
    <xf numFmtId="0" fontId="13" fillId="25" borderId="22" xfId="0" applyFont="1" applyFill="1" applyBorder="1" applyAlignment="1">
      <alignment horizontal="center" vertical="center"/>
    </xf>
    <xf numFmtId="0" fontId="16" fillId="11" borderId="4" xfId="0" applyFont="1" applyFill="1" applyBorder="1" applyAlignment="1">
      <alignment horizontal="center" vertical="center"/>
    </xf>
    <xf numFmtId="0" fontId="16" fillId="24" borderId="4" xfId="0" applyFont="1" applyFill="1" applyBorder="1" applyAlignment="1">
      <alignment horizontal="center" vertical="center"/>
    </xf>
    <xf numFmtId="0" fontId="16" fillId="0" borderId="4" xfId="0" applyFont="1" applyFill="1" applyBorder="1" applyAlignment="1">
      <alignment horizontal="center" vertical="center"/>
    </xf>
    <xf numFmtId="0" fontId="16" fillId="22" borderId="15" xfId="0" applyFont="1" applyFill="1" applyBorder="1" applyAlignment="1">
      <alignment horizontal="center" vertical="center"/>
    </xf>
    <xf numFmtId="0" fontId="13" fillId="22" borderId="15" xfId="0" applyFont="1" applyFill="1" applyBorder="1" applyAlignment="1">
      <alignment horizontal="center" vertical="center"/>
    </xf>
    <xf numFmtId="0" fontId="16" fillId="7" borderId="4" xfId="0" applyFont="1" applyFill="1" applyBorder="1" applyAlignment="1">
      <alignment horizontal="center" vertical="center"/>
    </xf>
    <xf numFmtId="0" fontId="16" fillId="22" borderId="4" xfId="0" applyFont="1" applyFill="1" applyBorder="1" applyAlignment="1">
      <alignment horizontal="center" vertical="center"/>
    </xf>
    <xf numFmtId="49" fontId="12" fillId="0" borderId="4" xfId="0" applyNumberFormat="1" applyFont="1" applyFill="1" applyBorder="1" applyAlignment="1">
      <alignment horizontal="center" vertical="center"/>
    </xf>
    <xf numFmtId="0" fontId="12" fillId="7" borderId="7" xfId="0" applyFont="1" applyFill="1" applyBorder="1" applyAlignment="1">
      <alignment horizontal="left" vertical="center"/>
    </xf>
    <xf numFmtId="0" fontId="16" fillId="0" borderId="4" xfId="0" applyFont="1" applyFill="1" applyBorder="1" applyAlignment="1">
      <alignment horizontal="right" vertical="center"/>
    </xf>
    <xf numFmtId="0" fontId="13" fillId="26" borderId="4" xfId="0" applyFont="1" applyFill="1" applyBorder="1" applyAlignment="1">
      <alignment horizontal="center" vertical="center" wrapText="1"/>
    </xf>
    <xf numFmtId="0" fontId="14" fillId="7" borderId="4" xfId="0" applyFont="1" applyFill="1" applyBorder="1" applyAlignment="1">
      <alignment horizontal="right" vertical="center" wrapText="1"/>
    </xf>
    <xf numFmtId="0" fontId="12" fillId="27" borderId="4" xfId="0" applyFont="1" applyFill="1" applyBorder="1" applyAlignment="1">
      <alignment horizontal="center"/>
    </xf>
    <xf numFmtId="0" fontId="12" fillId="28" borderId="4" xfId="0" applyFont="1" applyFill="1" applyBorder="1" applyAlignment="1">
      <alignment horizontal="center"/>
    </xf>
    <xf numFmtId="0" fontId="24" fillId="8" borderId="0" xfId="0" applyFont="1" applyFill="1" applyAlignment="1">
      <alignment horizontal="center"/>
    </xf>
    <xf numFmtId="0" fontId="8" fillId="14" borderId="1" xfId="0" applyFont="1" applyFill="1" applyBorder="1" applyAlignment="1">
      <alignment horizontal="center" vertical="center"/>
    </xf>
    <xf numFmtId="0" fontId="8" fillId="14" borderId="1" xfId="0" applyFont="1" applyFill="1" applyBorder="1" applyAlignment="1">
      <alignment vertical="center"/>
    </xf>
    <xf numFmtId="0" fontId="16" fillId="14" borderId="4" xfId="0" applyFont="1" applyFill="1" applyBorder="1" applyAlignment="1">
      <alignment vertical="center"/>
    </xf>
    <xf numFmtId="0" fontId="18" fillId="14" borderId="4" xfId="0" applyFont="1" applyFill="1" applyBorder="1" applyAlignment="1">
      <alignment horizontal="center" vertical="center"/>
    </xf>
    <xf numFmtId="0" fontId="16" fillId="14" borderId="0" xfId="0" applyFont="1" applyFill="1" applyAlignment="1">
      <alignment horizontal="left" vertical="center"/>
    </xf>
    <xf numFmtId="0" fontId="16" fillId="14" borderId="1" xfId="0" applyFont="1" applyFill="1" applyBorder="1" applyAlignment="1">
      <alignment vertical="center"/>
    </xf>
    <xf numFmtId="0" fontId="14" fillId="14" borderId="4" xfId="0" applyFont="1" applyFill="1" applyBorder="1" applyAlignment="1">
      <alignment horizontal="left" vertical="center" wrapText="1"/>
    </xf>
    <xf numFmtId="0" fontId="13" fillId="14" borderId="4" xfId="0" applyFont="1" applyFill="1" applyBorder="1" applyAlignment="1">
      <alignment horizontal="left" vertical="center" wrapText="1"/>
    </xf>
    <xf numFmtId="0" fontId="13" fillId="14" borderId="0" xfId="0" applyFont="1" applyFill="1" applyAlignment="1">
      <alignment vertical="center"/>
    </xf>
    <xf numFmtId="0" fontId="16" fillId="14" borderId="4" xfId="0" applyFont="1" applyFill="1" applyBorder="1" applyAlignment="1">
      <alignment horizontal="right" vertical="center"/>
    </xf>
    <xf numFmtId="0" fontId="16" fillId="14" borderId="4" xfId="0" applyFont="1" applyFill="1" applyBorder="1" applyAlignment="1">
      <alignment horizontal="right" vertical="center" wrapText="1"/>
    </xf>
    <xf numFmtId="0" fontId="0" fillId="14" borderId="4" xfId="0" applyFont="1" applyFill="1" applyBorder="1"/>
    <xf numFmtId="0" fontId="16" fillId="14" borderId="4" xfId="0" applyFont="1" applyFill="1" applyBorder="1"/>
    <xf numFmtId="0" fontId="14" fillId="14" borderId="4" xfId="0" applyFont="1" applyFill="1" applyBorder="1" applyAlignment="1">
      <alignment horizontal="right" vertical="center" wrapText="1"/>
    </xf>
    <xf numFmtId="0" fontId="16" fillId="14" borderId="4" xfId="0" applyFont="1" applyFill="1" applyBorder="1" applyAlignment="1">
      <alignment horizontal="center" vertical="center"/>
    </xf>
    <xf numFmtId="49" fontId="12" fillId="14" borderId="4" xfId="0" applyNumberFormat="1" applyFont="1" applyFill="1" applyBorder="1" applyAlignment="1">
      <alignment horizontal="center" vertical="center"/>
    </xf>
  </cellXfs>
  <cellStyles count="4582">
    <cellStyle name="Excel Built-in Normal" xfId="1"/>
    <cellStyle name="ハイパーリンク" xfId="9" builtinId="8" hidden="1"/>
    <cellStyle name="ハイパーリンク" xfId="11" builtinId="8" hidden="1"/>
    <cellStyle name="ハイパーリンク" xfId="13" builtinId="8" hidden="1"/>
    <cellStyle name="ハイパーリンク" xfId="15" builtinId="8" hidden="1"/>
    <cellStyle name="ハイパーリンク" xfId="17" builtinId="8" hidden="1"/>
    <cellStyle name="ハイパーリンク" xfId="19" builtinId="8" hidden="1"/>
    <cellStyle name="ハイパーリンク" xfId="21" builtinId="8" hidden="1"/>
    <cellStyle name="ハイパーリンク" xfId="23"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hidden="1"/>
    <cellStyle name="ハイパーリンク" xfId="61" builtinId="8" hidden="1"/>
    <cellStyle name="ハイパーリンク" xfId="63" builtinId="8" hidden="1"/>
    <cellStyle name="ハイパーリンク" xfId="65" builtinId="8" hidden="1"/>
    <cellStyle name="ハイパーリンク" xfId="67" builtinId="8" hidden="1"/>
    <cellStyle name="ハイパーリンク" xfId="69" builtinId="8" hidden="1"/>
    <cellStyle name="ハイパーリンク" xfId="71" builtinId="8" hidden="1"/>
    <cellStyle name="ハイパーリンク" xfId="73" builtinId="8" hidden="1"/>
    <cellStyle name="ハイパーリンク" xfId="75" builtinId="8" hidden="1"/>
    <cellStyle name="ハイパーリンク" xfId="77" builtinId="8" hidden="1"/>
    <cellStyle name="ハイパーリンク" xfId="79" builtinId="8" hidden="1"/>
    <cellStyle name="ハイパーリンク" xfId="81" builtinId="8" hidden="1"/>
    <cellStyle name="ハイパーリンク" xfId="83" builtinId="8" hidden="1"/>
    <cellStyle name="ハイパーリンク" xfId="85" builtinId="8" hidden="1"/>
    <cellStyle name="ハイパーリンク" xfId="87" builtinId="8" hidden="1"/>
    <cellStyle name="ハイパーリンク" xfId="89" builtinId="8" hidden="1"/>
    <cellStyle name="ハイパーリンク" xfId="91" builtinId="8" hidden="1"/>
    <cellStyle name="ハイパーリンク" xfId="93" builtinId="8" hidden="1"/>
    <cellStyle name="ハイパーリンク" xfId="95" builtinId="8" hidden="1"/>
    <cellStyle name="ハイパーリンク" xfId="97" builtinId="8" hidden="1"/>
    <cellStyle name="ハイパーリンク" xfId="99" builtinId="8" hidden="1"/>
    <cellStyle name="ハイパーリンク" xfId="101" builtinId="8" hidden="1"/>
    <cellStyle name="ハイパーリンク" xfId="103" builtinId="8" hidden="1"/>
    <cellStyle name="ハイパーリンク" xfId="105" builtinId="8" hidden="1"/>
    <cellStyle name="ハイパーリンク" xfId="107" builtinId="8" hidden="1"/>
    <cellStyle name="ハイパーリンク" xfId="109" builtinId="8" hidden="1"/>
    <cellStyle name="ハイパーリンク" xfId="111" builtinId="8" hidden="1"/>
    <cellStyle name="ハイパーリンク" xfId="113" builtinId="8" hidden="1"/>
    <cellStyle name="ハイパーリンク" xfId="115" builtinId="8" hidden="1"/>
    <cellStyle name="ハイパーリンク" xfId="117" builtinId="8" hidden="1"/>
    <cellStyle name="ハイパーリンク" xfId="119" builtinId="8" hidden="1"/>
    <cellStyle name="ハイパーリンク" xfId="121" builtinId="8" hidden="1"/>
    <cellStyle name="ハイパーリンク" xfId="123" builtinId="8" hidden="1"/>
    <cellStyle name="ハイパーリンク" xfId="125" builtinId="8" hidden="1"/>
    <cellStyle name="ハイパーリンク" xfId="127" builtinId="8" hidden="1"/>
    <cellStyle name="ハイパーリンク" xfId="129" builtinId="8" hidden="1"/>
    <cellStyle name="ハイパーリンク" xfId="131" builtinId="8" hidden="1"/>
    <cellStyle name="ハイパーリンク" xfId="133" builtinId="8" hidden="1"/>
    <cellStyle name="ハイパーリンク" xfId="135" builtinId="8" hidden="1"/>
    <cellStyle name="ハイパーリンク" xfId="137" builtinId="8" hidden="1"/>
    <cellStyle name="ハイパーリンク" xfId="139" builtinId="8" hidden="1"/>
    <cellStyle name="ハイパーリンク" xfId="141" builtinId="8" hidden="1"/>
    <cellStyle name="ハイパーリンク" xfId="143" builtinId="8" hidden="1"/>
    <cellStyle name="ハイパーリンク" xfId="145" builtinId="8" hidden="1"/>
    <cellStyle name="ハイパーリンク" xfId="147" builtinId="8" hidden="1"/>
    <cellStyle name="ハイパーリンク" xfId="149" builtinId="8" hidden="1"/>
    <cellStyle name="ハイパーリンク" xfId="151" builtinId="8" hidden="1"/>
    <cellStyle name="ハイパーリンク" xfId="153" builtinId="8" hidden="1"/>
    <cellStyle name="ハイパーリンク" xfId="155" builtinId="8" hidden="1"/>
    <cellStyle name="ハイパーリンク" xfId="157" builtinId="8" hidden="1"/>
    <cellStyle name="ハイパーリンク" xfId="159" builtinId="8" hidden="1"/>
    <cellStyle name="ハイパーリンク" xfId="161" builtinId="8" hidden="1"/>
    <cellStyle name="ハイパーリンク" xfId="163" builtinId="8" hidden="1"/>
    <cellStyle name="ハイパーリンク" xfId="165" builtinId="8" hidden="1"/>
    <cellStyle name="ハイパーリンク" xfId="167" builtinId="8" hidden="1"/>
    <cellStyle name="ハイパーリンク" xfId="169" builtinId="8" hidden="1"/>
    <cellStyle name="ハイパーリンク" xfId="171" builtinId="8" hidden="1"/>
    <cellStyle name="ハイパーリンク" xfId="173" builtinId="8" hidden="1"/>
    <cellStyle name="ハイパーリンク" xfId="175" builtinId="8" hidden="1"/>
    <cellStyle name="ハイパーリンク" xfId="177" builtinId="8" hidden="1"/>
    <cellStyle name="ハイパーリンク" xfId="179" builtinId="8" hidden="1"/>
    <cellStyle name="ハイパーリンク" xfId="181" builtinId="8" hidden="1"/>
    <cellStyle name="ハイパーリンク" xfId="183" builtinId="8" hidden="1"/>
    <cellStyle name="ハイパーリンク" xfId="185" builtinId="8" hidden="1"/>
    <cellStyle name="ハイパーリンク" xfId="187" builtinId="8" hidden="1"/>
    <cellStyle name="ハイパーリンク" xfId="189" builtinId="8" hidden="1"/>
    <cellStyle name="ハイパーリンク" xfId="191" builtinId="8" hidden="1"/>
    <cellStyle name="ハイパーリンク" xfId="193" builtinId="8" hidden="1"/>
    <cellStyle name="ハイパーリンク" xfId="195" builtinId="8" hidden="1"/>
    <cellStyle name="ハイパーリンク" xfId="197" builtinId="8" hidden="1"/>
    <cellStyle name="ハイパーリンク" xfId="199" builtinId="8" hidden="1"/>
    <cellStyle name="ハイパーリンク" xfId="201" builtinId="8" hidden="1"/>
    <cellStyle name="ハイパーリンク" xfId="203" builtinId="8" hidden="1"/>
    <cellStyle name="ハイパーリンク" xfId="205" builtinId="8" hidden="1"/>
    <cellStyle name="ハイパーリンク" xfId="207" builtinId="8" hidden="1"/>
    <cellStyle name="ハイパーリンク" xfId="209" builtinId="8" hidden="1"/>
    <cellStyle name="ハイパーリンク" xfId="211" builtinId="8" hidden="1"/>
    <cellStyle name="ハイパーリンク" xfId="213" builtinId="8" hidden="1"/>
    <cellStyle name="ハイパーリンク" xfId="215" builtinId="8" hidden="1"/>
    <cellStyle name="ハイパーリンク" xfId="217" builtinId="8" hidden="1"/>
    <cellStyle name="ハイパーリンク" xfId="219" builtinId="8" hidden="1"/>
    <cellStyle name="ハイパーリンク" xfId="221" builtinId="8" hidden="1"/>
    <cellStyle name="ハイパーリンク" xfId="223" builtinId="8" hidden="1"/>
    <cellStyle name="ハイパーリンク" xfId="225" builtinId="8" hidden="1"/>
    <cellStyle name="ハイパーリンク" xfId="227" builtinId="8" hidden="1"/>
    <cellStyle name="ハイパーリンク" xfId="229" builtinId="8" hidden="1"/>
    <cellStyle name="ハイパーリンク" xfId="231" builtinId="8" hidden="1"/>
    <cellStyle name="ハイパーリンク" xfId="233" builtinId="8" hidden="1"/>
    <cellStyle name="ハイパーリンク" xfId="235" builtinId="8" hidden="1"/>
    <cellStyle name="ハイパーリンク" xfId="237" builtinId="8" hidden="1"/>
    <cellStyle name="ハイパーリンク" xfId="239" builtinId="8" hidden="1"/>
    <cellStyle name="ハイパーリンク" xfId="241" builtinId="8" hidden="1"/>
    <cellStyle name="ハイパーリンク" xfId="243" builtinId="8" hidden="1"/>
    <cellStyle name="ハイパーリンク" xfId="245" builtinId="8" hidden="1"/>
    <cellStyle name="ハイパーリンク" xfId="247" builtinId="8" hidden="1"/>
    <cellStyle name="ハイパーリンク" xfId="249" builtinId="8" hidden="1"/>
    <cellStyle name="ハイパーリンク" xfId="251" builtinId="8" hidden="1"/>
    <cellStyle name="ハイパーリンク" xfId="253" builtinId="8" hidden="1"/>
    <cellStyle name="ハイパーリンク" xfId="255" builtinId="8" hidden="1"/>
    <cellStyle name="ハイパーリンク" xfId="257" builtinId="8" hidden="1"/>
    <cellStyle name="ハイパーリンク" xfId="259" builtinId="8" hidden="1"/>
    <cellStyle name="ハイパーリンク" xfId="261" builtinId="8" hidden="1"/>
    <cellStyle name="ハイパーリンク" xfId="263" builtinId="8" hidden="1"/>
    <cellStyle name="ハイパーリンク" xfId="265" builtinId="8" hidden="1"/>
    <cellStyle name="ハイパーリンク" xfId="267" builtinId="8" hidden="1"/>
    <cellStyle name="ハイパーリンク" xfId="269" builtinId="8" hidden="1"/>
    <cellStyle name="ハイパーリンク" xfId="271" builtinId="8" hidden="1"/>
    <cellStyle name="ハイパーリンク" xfId="273" builtinId="8" hidden="1"/>
    <cellStyle name="ハイパーリンク" xfId="275" builtinId="8" hidden="1"/>
    <cellStyle name="ハイパーリンク" xfId="277" builtinId="8" hidden="1"/>
    <cellStyle name="ハイパーリンク" xfId="279" builtinId="8" hidden="1"/>
    <cellStyle name="ハイパーリンク" xfId="281" builtinId="8" hidden="1"/>
    <cellStyle name="ハイパーリンク" xfId="283" builtinId="8" hidden="1"/>
    <cellStyle name="ハイパーリンク" xfId="285" builtinId="8" hidden="1"/>
    <cellStyle name="ハイパーリンク" xfId="287" builtinId="8" hidden="1"/>
    <cellStyle name="ハイパーリンク" xfId="289" builtinId="8" hidden="1"/>
    <cellStyle name="ハイパーリンク" xfId="291" builtinId="8" hidden="1"/>
    <cellStyle name="ハイパーリンク" xfId="293" builtinId="8" hidden="1"/>
    <cellStyle name="ハイパーリンク" xfId="295" builtinId="8" hidden="1"/>
    <cellStyle name="ハイパーリンク" xfId="297" builtinId="8" hidden="1"/>
    <cellStyle name="ハイパーリンク" xfId="299" builtinId="8" hidden="1"/>
    <cellStyle name="ハイパーリンク" xfId="301" builtinId="8" hidden="1"/>
    <cellStyle name="ハイパーリンク" xfId="303" builtinId="8" hidden="1"/>
    <cellStyle name="ハイパーリンク" xfId="305" builtinId="8" hidden="1"/>
    <cellStyle name="ハイパーリンク" xfId="307" builtinId="8" hidden="1"/>
    <cellStyle name="ハイパーリンク" xfId="309" builtinId="8" hidden="1"/>
    <cellStyle name="ハイパーリンク" xfId="311" builtinId="8" hidden="1"/>
    <cellStyle name="ハイパーリンク" xfId="313" builtinId="8" hidden="1"/>
    <cellStyle name="ハイパーリンク" xfId="315" builtinId="8" hidden="1"/>
    <cellStyle name="ハイパーリンク" xfId="317" builtinId="8" hidden="1"/>
    <cellStyle name="ハイパーリンク" xfId="319" builtinId="8" hidden="1"/>
    <cellStyle name="ハイパーリンク" xfId="321" builtinId="8" hidden="1"/>
    <cellStyle name="ハイパーリンク" xfId="323" builtinId="8" hidden="1"/>
    <cellStyle name="ハイパーリンク" xfId="325" builtinId="8" hidden="1"/>
    <cellStyle name="ハイパーリンク" xfId="327" builtinId="8" hidden="1"/>
    <cellStyle name="ハイパーリンク" xfId="329" builtinId="8" hidden="1"/>
    <cellStyle name="ハイパーリンク" xfId="331" builtinId="8" hidden="1"/>
    <cellStyle name="ハイパーリンク" xfId="333" builtinId="8" hidden="1"/>
    <cellStyle name="ハイパーリンク" xfId="335" builtinId="8" hidden="1"/>
    <cellStyle name="ハイパーリンク" xfId="337" builtinId="8" hidden="1"/>
    <cellStyle name="ハイパーリンク" xfId="339" builtinId="8" hidden="1"/>
    <cellStyle name="ハイパーリンク" xfId="341" builtinId="8" hidden="1"/>
    <cellStyle name="ハイパーリンク" xfId="343" builtinId="8" hidden="1"/>
    <cellStyle name="ハイパーリンク" xfId="345" builtinId="8" hidden="1"/>
    <cellStyle name="ハイパーリンク" xfId="347" builtinId="8" hidden="1"/>
    <cellStyle name="ハイパーリンク" xfId="349" builtinId="8" hidden="1"/>
    <cellStyle name="ハイパーリンク" xfId="351" builtinId="8" hidden="1"/>
    <cellStyle name="ハイパーリンク" xfId="353" builtinId="8" hidden="1"/>
    <cellStyle name="ハイパーリンク" xfId="355" builtinId="8" hidden="1"/>
    <cellStyle name="ハイパーリンク" xfId="357" builtinId="8" hidden="1"/>
    <cellStyle name="ハイパーリンク" xfId="359" builtinId="8" hidden="1"/>
    <cellStyle name="ハイパーリンク" xfId="361" builtinId="8" hidden="1"/>
    <cellStyle name="ハイパーリンク" xfId="363" builtinId="8" hidden="1"/>
    <cellStyle name="ハイパーリンク" xfId="365" builtinId="8" hidden="1"/>
    <cellStyle name="ハイパーリンク" xfId="367" builtinId="8" hidden="1"/>
    <cellStyle name="ハイパーリンク" xfId="369" builtinId="8" hidden="1"/>
    <cellStyle name="ハイパーリンク" xfId="371" builtinId="8" hidden="1"/>
    <cellStyle name="ハイパーリンク" xfId="373" builtinId="8" hidden="1"/>
    <cellStyle name="ハイパーリンク" xfId="375" builtinId="8" hidden="1"/>
    <cellStyle name="ハイパーリンク" xfId="377" builtinId="8" hidden="1"/>
    <cellStyle name="ハイパーリンク" xfId="379" builtinId="8" hidden="1"/>
    <cellStyle name="ハイパーリンク" xfId="381" builtinId="8" hidden="1"/>
    <cellStyle name="ハイパーリンク" xfId="383" builtinId="8" hidden="1"/>
    <cellStyle name="ハイパーリンク" xfId="385" builtinId="8" hidden="1"/>
    <cellStyle name="ハイパーリンク" xfId="387" builtinId="8" hidden="1"/>
    <cellStyle name="ハイパーリンク" xfId="389" builtinId="8" hidden="1"/>
    <cellStyle name="ハイパーリンク" xfId="391" builtinId="8" hidden="1"/>
    <cellStyle name="ハイパーリンク" xfId="393" builtinId="8" hidden="1"/>
    <cellStyle name="ハイパーリンク" xfId="395" builtinId="8" hidden="1"/>
    <cellStyle name="ハイパーリンク" xfId="397" builtinId="8" hidden="1"/>
    <cellStyle name="ハイパーリンク" xfId="399" builtinId="8" hidden="1"/>
    <cellStyle name="ハイパーリンク" xfId="401" builtinId="8" hidden="1"/>
    <cellStyle name="ハイパーリンク" xfId="403" builtinId="8" hidden="1"/>
    <cellStyle name="ハイパーリンク" xfId="405" builtinId="8" hidden="1"/>
    <cellStyle name="ハイパーリンク" xfId="407" builtinId="8" hidden="1"/>
    <cellStyle name="ハイパーリンク" xfId="409" builtinId="8" hidden="1"/>
    <cellStyle name="ハイパーリンク" xfId="411" builtinId="8" hidden="1"/>
    <cellStyle name="ハイパーリンク" xfId="413" builtinId="8" hidden="1"/>
    <cellStyle name="ハイパーリンク" xfId="415" builtinId="8" hidden="1"/>
    <cellStyle name="ハイパーリンク" xfId="417" builtinId="8" hidden="1"/>
    <cellStyle name="ハイパーリンク" xfId="419" builtinId="8" hidden="1"/>
    <cellStyle name="ハイパーリンク" xfId="421" builtinId="8" hidden="1"/>
    <cellStyle name="ハイパーリンク" xfId="423" builtinId="8" hidden="1"/>
    <cellStyle name="ハイパーリンク" xfId="425" builtinId="8" hidden="1"/>
    <cellStyle name="ハイパーリンク" xfId="427" builtinId="8" hidden="1"/>
    <cellStyle name="ハイパーリンク" xfId="429" builtinId="8" hidden="1"/>
    <cellStyle name="ハイパーリンク" xfId="431" builtinId="8" hidden="1"/>
    <cellStyle name="ハイパーリンク" xfId="433" builtinId="8" hidden="1"/>
    <cellStyle name="ハイパーリンク" xfId="435" builtinId="8" hidden="1"/>
    <cellStyle name="ハイパーリンク" xfId="437" builtinId="8" hidden="1"/>
    <cellStyle name="ハイパーリンク" xfId="439" builtinId="8" hidden="1"/>
    <cellStyle name="ハイパーリンク" xfId="441" builtinId="8" hidden="1"/>
    <cellStyle name="ハイパーリンク" xfId="443" builtinId="8" hidden="1"/>
    <cellStyle name="ハイパーリンク" xfId="445" builtinId="8" hidden="1"/>
    <cellStyle name="ハイパーリンク" xfId="447" builtinId="8" hidden="1"/>
    <cellStyle name="ハイパーリンク" xfId="449" builtinId="8" hidden="1"/>
    <cellStyle name="ハイパーリンク" xfId="451" builtinId="8" hidden="1"/>
    <cellStyle name="ハイパーリンク" xfId="453" builtinId="8" hidden="1"/>
    <cellStyle name="ハイパーリンク" xfId="455" builtinId="8" hidden="1"/>
    <cellStyle name="ハイパーリンク" xfId="457" builtinId="8" hidden="1"/>
    <cellStyle name="ハイパーリンク" xfId="459" builtinId="8" hidden="1"/>
    <cellStyle name="ハイパーリンク" xfId="461" builtinId="8" hidden="1"/>
    <cellStyle name="ハイパーリンク" xfId="463" builtinId="8" hidden="1"/>
    <cellStyle name="ハイパーリンク" xfId="465"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xfId="485" builtinId="8" hidden="1"/>
    <cellStyle name="ハイパーリンク" xfId="487" builtinId="8" hidden="1"/>
    <cellStyle name="ハイパーリンク" xfId="489" builtinId="8" hidden="1"/>
    <cellStyle name="ハイパーリンク" xfId="491" builtinId="8" hidden="1"/>
    <cellStyle name="ハイパーリンク" xfId="493" builtinId="8" hidden="1"/>
    <cellStyle name="ハイパーリンク" xfId="495" builtinId="8" hidden="1"/>
    <cellStyle name="ハイパーリンク" xfId="497" builtinId="8" hidden="1"/>
    <cellStyle name="ハイパーリンク" xfId="499" builtinId="8" hidden="1"/>
    <cellStyle name="ハイパーリンク" xfId="501" builtinId="8" hidden="1"/>
    <cellStyle name="ハイパーリンク" xfId="503" builtinId="8" hidden="1"/>
    <cellStyle name="ハイパーリンク" xfId="505" builtinId="8" hidden="1"/>
    <cellStyle name="ハイパーリンク" xfId="507" builtinId="8" hidden="1"/>
    <cellStyle name="ハイパーリンク" xfId="509" builtinId="8" hidden="1"/>
    <cellStyle name="ハイパーリンク" xfId="511" builtinId="8" hidden="1"/>
    <cellStyle name="ハイパーリンク" xfId="513" builtinId="8" hidden="1"/>
    <cellStyle name="ハイパーリンク" xfId="515" builtinId="8" hidden="1"/>
    <cellStyle name="ハイパーリンク" xfId="517" builtinId="8" hidden="1"/>
    <cellStyle name="ハイパーリンク" xfId="519" builtinId="8" hidden="1"/>
    <cellStyle name="ハイパーリンク" xfId="521" builtinId="8" hidden="1"/>
    <cellStyle name="ハイパーリンク" xfId="523" builtinId="8" hidden="1"/>
    <cellStyle name="ハイパーリンク" xfId="525" builtinId="8" hidden="1"/>
    <cellStyle name="ハイパーリンク" xfId="527" builtinId="8" hidden="1"/>
    <cellStyle name="ハイパーリンク" xfId="529" builtinId="8" hidden="1"/>
    <cellStyle name="ハイパーリンク" xfId="531" builtinId="8" hidden="1"/>
    <cellStyle name="ハイパーリンク" xfId="533" builtinId="8" hidden="1"/>
    <cellStyle name="ハイパーリンク" xfId="535" builtinId="8" hidden="1"/>
    <cellStyle name="ハイパーリンク" xfId="537" builtinId="8" hidden="1"/>
    <cellStyle name="ハイパーリンク" xfId="539" builtinId="8" hidden="1"/>
    <cellStyle name="ハイパーリンク" xfId="541" builtinId="8" hidden="1"/>
    <cellStyle name="ハイパーリンク" xfId="543" builtinId="8" hidden="1"/>
    <cellStyle name="ハイパーリンク" xfId="545" builtinId="8" hidden="1"/>
    <cellStyle name="ハイパーリンク" xfId="547" builtinId="8" hidden="1"/>
    <cellStyle name="ハイパーリンク" xfId="549" builtinId="8" hidden="1"/>
    <cellStyle name="ハイパーリンク" xfId="551" builtinId="8" hidden="1"/>
    <cellStyle name="ハイパーリンク" xfId="553" builtinId="8" hidden="1"/>
    <cellStyle name="ハイパーリンク" xfId="555" builtinId="8" hidden="1"/>
    <cellStyle name="ハイパーリンク" xfId="557" builtinId="8" hidden="1"/>
    <cellStyle name="ハイパーリンク" xfId="559" builtinId="8" hidden="1"/>
    <cellStyle name="ハイパーリンク" xfId="561" builtinId="8" hidden="1"/>
    <cellStyle name="ハイパーリンク" xfId="563" builtinId="8" hidden="1"/>
    <cellStyle name="ハイパーリンク" xfId="565" builtinId="8" hidden="1"/>
    <cellStyle name="ハイパーリンク" xfId="567" builtinId="8" hidden="1"/>
    <cellStyle name="ハイパーリンク" xfId="569" builtinId="8" hidden="1"/>
    <cellStyle name="ハイパーリンク" xfId="571" builtinId="8" hidden="1"/>
    <cellStyle name="ハイパーリンク" xfId="573" builtinId="8" hidden="1"/>
    <cellStyle name="ハイパーリンク" xfId="575" builtinId="8" hidden="1"/>
    <cellStyle name="ハイパーリンク" xfId="577" builtinId="8" hidden="1"/>
    <cellStyle name="ハイパーリンク" xfId="579" builtinId="8" hidden="1"/>
    <cellStyle name="ハイパーリンク" xfId="581" builtinId="8" hidden="1"/>
    <cellStyle name="ハイパーリンク" xfId="583" builtinId="8" hidden="1"/>
    <cellStyle name="ハイパーリンク" xfId="585" builtinId="8" hidden="1"/>
    <cellStyle name="ハイパーリンク" xfId="587" builtinId="8" hidden="1"/>
    <cellStyle name="ハイパーリンク" xfId="589" builtinId="8" hidden="1"/>
    <cellStyle name="ハイパーリンク" xfId="591" builtinId="8" hidden="1"/>
    <cellStyle name="ハイパーリンク" xfId="593" builtinId="8" hidden="1"/>
    <cellStyle name="ハイパーリンク" xfId="595" builtinId="8" hidden="1"/>
    <cellStyle name="ハイパーリンク" xfId="597" builtinId="8" hidden="1"/>
    <cellStyle name="ハイパーリンク" xfId="599" builtinId="8" hidden="1"/>
    <cellStyle name="ハイパーリンク" xfId="601" builtinId="8" hidden="1"/>
    <cellStyle name="ハイパーリンク" xfId="603" builtinId="8" hidden="1"/>
    <cellStyle name="ハイパーリンク" xfId="605" builtinId="8" hidden="1"/>
    <cellStyle name="ハイパーリンク" xfId="607" builtinId="8" hidden="1"/>
    <cellStyle name="ハイパーリンク" xfId="609" builtinId="8" hidden="1"/>
    <cellStyle name="ハイパーリンク" xfId="611" builtinId="8" hidden="1"/>
    <cellStyle name="ハイパーリンク" xfId="613" builtinId="8" hidden="1"/>
    <cellStyle name="ハイパーリンク" xfId="615" builtinId="8" hidden="1"/>
    <cellStyle name="ハイパーリンク" xfId="617" builtinId="8" hidden="1"/>
    <cellStyle name="ハイパーリンク" xfId="619" builtinId="8" hidden="1"/>
    <cellStyle name="ハイパーリンク" xfId="621" builtinId="8" hidden="1"/>
    <cellStyle name="ハイパーリンク" xfId="623" builtinId="8" hidden="1"/>
    <cellStyle name="ハイパーリンク" xfId="625" builtinId="8" hidden="1"/>
    <cellStyle name="ハイパーリンク" xfId="627" builtinId="8" hidden="1"/>
    <cellStyle name="ハイパーリンク" xfId="629" builtinId="8" hidden="1"/>
    <cellStyle name="ハイパーリンク" xfId="631" builtinId="8" hidden="1"/>
    <cellStyle name="ハイパーリンク" xfId="633" builtinId="8" hidden="1"/>
    <cellStyle name="ハイパーリンク" xfId="635" builtinId="8" hidden="1"/>
    <cellStyle name="ハイパーリンク" xfId="637" builtinId="8" hidden="1"/>
    <cellStyle name="ハイパーリンク" xfId="639" builtinId="8" hidden="1"/>
    <cellStyle name="ハイパーリンク" xfId="641" builtinId="8" hidden="1"/>
    <cellStyle name="ハイパーリンク" xfId="643" builtinId="8" hidden="1"/>
    <cellStyle name="ハイパーリンク" xfId="645" builtinId="8" hidden="1"/>
    <cellStyle name="ハイパーリンク" xfId="647" builtinId="8" hidden="1"/>
    <cellStyle name="ハイパーリンク" xfId="649" builtinId="8" hidden="1"/>
    <cellStyle name="ハイパーリンク" xfId="651" builtinId="8" hidden="1"/>
    <cellStyle name="ハイパーリンク" xfId="653" builtinId="8" hidden="1"/>
    <cellStyle name="ハイパーリンク" xfId="655" builtinId="8" hidden="1"/>
    <cellStyle name="ハイパーリンク" xfId="657" builtinId="8" hidden="1"/>
    <cellStyle name="ハイパーリンク" xfId="659" builtinId="8" hidden="1"/>
    <cellStyle name="ハイパーリンク" xfId="661" builtinId="8" hidden="1"/>
    <cellStyle name="ハイパーリンク" xfId="663" builtinId="8" hidden="1"/>
    <cellStyle name="ハイパーリンク" xfId="665" builtinId="8" hidden="1"/>
    <cellStyle name="ハイパーリンク" xfId="667" builtinId="8" hidden="1"/>
    <cellStyle name="ハイパーリンク" xfId="669" builtinId="8" hidden="1"/>
    <cellStyle name="ハイパーリンク" xfId="671" builtinId="8" hidden="1"/>
    <cellStyle name="ハイパーリンク" xfId="673" builtinId="8" hidden="1"/>
    <cellStyle name="ハイパーリンク" xfId="675" builtinId="8" hidden="1"/>
    <cellStyle name="ハイパーリンク" xfId="677" builtinId="8" hidden="1"/>
    <cellStyle name="ハイパーリンク" xfId="679" builtinId="8" hidden="1"/>
    <cellStyle name="ハイパーリンク" xfId="681" builtinId="8" hidden="1"/>
    <cellStyle name="ハイパーリンク" xfId="683" builtinId="8" hidden="1"/>
    <cellStyle name="ハイパーリンク" xfId="685" builtinId="8" hidden="1"/>
    <cellStyle name="ハイパーリンク" xfId="687" builtinId="8" hidden="1"/>
    <cellStyle name="ハイパーリンク" xfId="689" builtinId="8" hidden="1"/>
    <cellStyle name="ハイパーリンク" xfId="691" builtinId="8" hidden="1"/>
    <cellStyle name="ハイパーリンク" xfId="693" builtinId="8" hidden="1"/>
    <cellStyle name="ハイパーリンク" xfId="695" builtinId="8" hidden="1"/>
    <cellStyle name="ハイパーリンク" xfId="697" builtinId="8" hidden="1"/>
    <cellStyle name="ハイパーリンク" xfId="699" builtinId="8" hidden="1"/>
    <cellStyle name="ハイパーリンク" xfId="701" builtinId="8" hidden="1"/>
    <cellStyle name="ハイパーリンク" xfId="703" builtinId="8" hidden="1"/>
    <cellStyle name="ハイパーリンク" xfId="705" builtinId="8" hidden="1"/>
    <cellStyle name="ハイパーリンク" xfId="707" builtinId="8" hidden="1"/>
    <cellStyle name="ハイパーリンク" xfId="709" builtinId="8" hidden="1"/>
    <cellStyle name="ハイパーリンク" xfId="711" builtinId="8" hidden="1"/>
    <cellStyle name="ハイパーリンク" xfId="713" builtinId="8" hidden="1"/>
    <cellStyle name="ハイパーリンク" xfId="715" builtinId="8" hidden="1"/>
    <cellStyle name="ハイパーリンク" xfId="717" builtinId="8" hidden="1"/>
    <cellStyle name="ハイパーリンク" xfId="719" builtinId="8" hidden="1"/>
    <cellStyle name="ハイパーリンク" xfId="721" builtinId="8" hidden="1"/>
    <cellStyle name="ハイパーリンク" xfId="723" builtinId="8" hidden="1"/>
    <cellStyle name="ハイパーリンク" xfId="725" builtinId="8" hidden="1"/>
    <cellStyle name="ハイパーリンク" xfId="727" builtinId="8" hidden="1"/>
    <cellStyle name="ハイパーリンク" xfId="729" builtinId="8" hidden="1"/>
    <cellStyle name="ハイパーリンク" xfId="731" builtinId="8" hidden="1"/>
    <cellStyle name="ハイパーリンク" xfId="733" builtinId="8" hidden="1"/>
    <cellStyle name="ハイパーリンク" xfId="735" builtinId="8" hidden="1"/>
    <cellStyle name="ハイパーリンク" xfId="737" builtinId="8" hidden="1"/>
    <cellStyle name="ハイパーリンク" xfId="739" builtinId="8" hidden="1"/>
    <cellStyle name="ハイパーリンク" xfId="741" builtinId="8" hidden="1"/>
    <cellStyle name="ハイパーリンク" xfId="743" builtinId="8" hidden="1"/>
    <cellStyle name="ハイパーリンク" xfId="745" builtinId="8" hidden="1"/>
    <cellStyle name="ハイパーリンク" xfId="747" builtinId="8" hidden="1"/>
    <cellStyle name="ハイパーリンク" xfId="749" builtinId="8" hidden="1"/>
    <cellStyle name="ハイパーリンク" xfId="751" builtinId="8" hidden="1"/>
    <cellStyle name="ハイパーリンク" xfId="753" builtinId="8" hidden="1"/>
    <cellStyle name="ハイパーリンク" xfId="755" builtinId="8" hidden="1"/>
    <cellStyle name="ハイパーリンク" xfId="757" builtinId="8" hidden="1"/>
    <cellStyle name="ハイパーリンク" xfId="759" builtinId="8" hidden="1"/>
    <cellStyle name="ハイパーリンク" xfId="761" builtinId="8" hidden="1"/>
    <cellStyle name="ハイパーリンク" xfId="763" builtinId="8" hidden="1"/>
    <cellStyle name="ハイパーリンク" xfId="765" builtinId="8" hidden="1"/>
    <cellStyle name="ハイパーリンク" xfId="767" builtinId="8" hidden="1"/>
    <cellStyle name="ハイパーリンク" xfId="769" builtinId="8" hidden="1"/>
    <cellStyle name="ハイパーリンク" xfId="771" builtinId="8" hidden="1"/>
    <cellStyle name="ハイパーリンク" xfId="773" builtinId="8" hidden="1"/>
    <cellStyle name="ハイパーリンク" xfId="775" builtinId="8" hidden="1"/>
    <cellStyle name="ハイパーリンク" xfId="777" builtinId="8" hidden="1"/>
    <cellStyle name="ハイパーリンク" xfId="779" builtinId="8" hidden="1"/>
    <cellStyle name="ハイパーリンク" xfId="781" builtinId="8" hidden="1"/>
    <cellStyle name="ハイパーリンク" xfId="783" builtinId="8" hidden="1"/>
    <cellStyle name="ハイパーリンク" xfId="785" builtinId="8" hidden="1"/>
    <cellStyle name="ハイパーリンク" xfId="787" builtinId="8" hidden="1"/>
    <cellStyle name="ハイパーリンク" xfId="789" builtinId="8" hidden="1"/>
    <cellStyle name="ハイパーリンク" xfId="791" builtinId="8" hidden="1"/>
    <cellStyle name="ハイパーリンク" xfId="793" builtinId="8" hidden="1"/>
    <cellStyle name="ハイパーリンク" xfId="795" builtinId="8" hidden="1"/>
    <cellStyle name="ハイパーリンク" xfId="797" builtinId="8" hidden="1"/>
    <cellStyle name="ハイパーリンク" xfId="799" builtinId="8" hidden="1"/>
    <cellStyle name="ハイパーリンク" xfId="801" builtinId="8" hidden="1"/>
    <cellStyle name="ハイパーリンク" xfId="803" builtinId="8" hidden="1"/>
    <cellStyle name="ハイパーリンク" xfId="805" builtinId="8" hidden="1"/>
    <cellStyle name="ハイパーリンク" xfId="807" builtinId="8" hidden="1"/>
    <cellStyle name="ハイパーリンク" xfId="809" builtinId="8" hidden="1"/>
    <cellStyle name="ハイパーリンク" xfId="811" builtinId="8" hidden="1"/>
    <cellStyle name="ハイパーリンク" xfId="813" builtinId="8" hidden="1"/>
    <cellStyle name="ハイパーリンク" xfId="815" builtinId="8" hidden="1"/>
    <cellStyle name="ハイパーリンク" xfId="817" builtinId="8" hidden="1"/>
    <cellStyle name="ハイパーリンク" xfId="819" builtinId="8" hidden="1"/>
    <cellStyle name="ハイパーリンク" xfId="821" builtinId="8" hidden="1"/>
    <cellStyle name="ハイパーリンク" xfId="823" builtinId="8" hidden="1"/>
    <cellStyle name="ハイパーリンク" xfId="825" builtinId="8" hidden="1"/>
    <cellStyle name="ハイパーリンク" xfId="827" builtinId="8" hidden="1"/>
    <cellStyle name="ハイパーリンク" xfId="829" builtinId="8" hidden="1"/>
    <cellStyle name="ハイパーリンク" xfId="831" builtinId="8" hidden="1"/>
    <cellStyle name="ハイパーリンク" xfId="833" builtinId="8" hidden="1"/>
    <cellStyle name="ハイパーリンク" xfId="835" builtinId="8" hidden="1"/>
    <cellStyle name="ハイパーリンク" xfId="837" builtinId="8" hidden="1"/>
    <cellStyle name="ハイパーリンク" xfId="839" builtinId="8" hidden="1"/>
    <cellStyle name="ハイパーリンク" xfId="841" builtinId="8" hidden="1"/>
    <cellStyle name="ハイパーリンク" xfId="843" builtinId="8" hidden="1"/>
    <cellStyle name="ハイパーリンク" xfId="845" builtinId="8" hidden="1"/>
    <cellStyle name="ハイパーリンク" xfId="847" builtinId="8" hidden="1"/>
    <cellStyle name="ハイパーリンク" xfId="849" builtinId="8" hidden="1"/>
    <cellStyle name="ハイパーリンク" xfId="851" builtinId="8" hidden="1"/>
    <cellStyle name="ハイパーリンク" xfId="853" builtinId="8" hidden="1"/>
    <cellStyle name="ハイパーリンク" xfId="855" builtinId="8" hidden="1"/>
    <cellStyle name="ハイパーリンク" xfId="857" builtinId="8" hidden="1"/>
    <cellStyle name="ハイパーリンク" xfId="859" builtinId="8" hidden="1"/>
    <cellStyle name="ハイパーリンク" xfId="861" builtinId="8" hidden="1"/>
    <cellStyle name="ハイパーリンク" xfId="863" builtinId="8" hidden="1"/>
    <cellStyle name="ハイパーリンク" xfId="865" builtinId="8" hidden="1"/>
    <cellStyle name="ハイパーリンク" xfId="867" builtinId="8" hidden="1"/>
    <cellStyle name="ハイパーリンク" xfId="869" builtinId="8" hidden="1"/>
    <cellStyle name="ハイパーリンク" xfId="871" builtinId="8" hidden="1"/>
    <cellStyle name="ハイパーリンク" xfId="873" builtinId="8" hidden="1"/>
    <cellStyle name="ハイパーリンク" xfId="875" builtinId="8" hidden="1"/>
    <cellStyle name="ハイパーリンク" xfId="877" builtinId="8" hidden="1"/>
    <cellStyle name="ハイパーリンク" xfId="879" builtinId="8" hidden="1"/>
    <cellStyle name="ハイパーリンク" xfId="881" builtinId="8" hidden="1"/>
    <cellStyle name="ハイパーリンク" xfId="883" builtinId="8" hidden="1"/>
    <cellStyle name="ハイパーリンク" xfId="885" builtinId="8" hidden="1"/>
    <cellStyle name="ハイパーリンク" xfId="887" builtinId="8" hidden="1"/>
    <cellStyle name="ハイパーリンク" xfId="889" builtinId="8" hidden="1"/>
    <cellStyle name="ハイパーリンク" xfId="891" builtinId="8" hidden="1"/>
    <cellStyle name="ハイパーリンク" xfId="893" builtinId="8" hidden="1"/>
    <cellStyle name="ハイパーリンク" xfId="895" builtinId="8" hidden="1"/>
    <cellStyle name="ハイパーリンク" xfId="897" builtinId="8" hidden="1"/>
    <cellStyle name="ハイパーリンク" xfId="899" builtinId="8" hidden="1"/>
    <cellStyle name="ハイパーリンク" xfId="901" builtinId="8" hidden="1"/>
    <cellStyle name="ハイパーリンク" xfId="903" builtinId="8" hidden="1"/>
    <cellStyle name="ハイパーリンク" xfId="905" builtinId="8" hidden="1"/>
    <cellStyle name="ハイパーリンク" xfId="907" builtinId="8" hidden="1"/>
    <cellStyle name="ハイパーリンク" xfId="909" builtinId="8" hidden="1"/>
    <cellStyle name="ハイパーリンク" xfId="911" builtinId="8" hidden="1"/>
    <cellStyle name="ハイパーリンク" xfId="913" builtinId="8" hidden="1"/>
    <cellStyle name="ハイパーリンク" xfId="915" builtinId="8" hidden="1"/>
    <cellStyle name="ハイパーリンク" xfId="917" builtinId="8" hidden="1"/>
    <cellStyle name="ハイパーリンク" xfId="919" builtinId="8" hidden="1"/>
    <cellStyle name="ハイパーリンク" xfId="921" builtinId="8" hidden="1"/>
    <cellStyle name="ハイパーリンク" xfId="923" builtinId="8" hidden="1"/>
    <cellStyle name="ハイパーリンク" xfId="925" builtinId="8" hidden="1"/>
    <cellStyle name="ハイパーリンク" xfId="927" builtinId="8" hidden="1"/>
    <cellStyle name="ハイパーリンク" xfId="929" builtinId="8" hidden="1"/>
    <cellStyle name="ハイパーリンク" xfId="931" builtinId="8" hidden="1"/>
    <cellStyle name="ハイパーリンク" xfId="933" builtinId="8" hidden="1"/>
    <cellStyle name="ハイパーリンク" xfId="935" builtinId="8" hidden="1"/>
    <cellStyle name="ハイパーリンク" xfId="937" builtinId="8" hidden="1"/>
    <cellStyle name="ハイパーリンク" xfId="939" builtinId="8" hidden="1"/>
    <cellStyle name="ハイパーリンク" xfId="941" builtinId="8" hidden="1"/>
    <cellStyle name="ハイパーリンク" xfId="943" builtinId="8" hidden="1"/>
    <cellStyle name="ハイパーリンク" xfId="945" builtinId="8" hidden="1"/>
    <cellStyle name="ハイパーリンク" xfId="947" builtinId="8" hidden="1"/>
    <cellStyle name="ハイパーリンク" xfId="949" builtinId="8" hidden="1"/>
    <cellStyle name="ハイパーリンク" xfId="951" builtinId="8" hidden="1"/>
    <cellStyle name="ハイパーリンク" xfId="953" builtinId="8" hidden="1"/>
    <cellStyle name="ハイパーリンク" xfId="955" builtinId="8" hidden="1"/>
    <cellStyle name="ハイパーリンク" xfId="957" builtinId="8" hidden="1"/>
    <cellStyle name="ハイパーリンク" xfId="959" builtinId="8" hidden="1"/>
    <cellStyle name="ハイパーリンク" xfId="961" builtinId="8" hidden="1"/>
    <cellStyle name="ハイパーリンク" xfId="963" builtinId="8" hidden="1"/>
    <cellStyle name="ハイパーリンク" xfId="965" builtinId="8" hidden="1"/>
    <cellStyle name="ハイパーリンク" xfId="967" builtinId="8" hidden="1"/>
    <cellStyle name="ハイパーリンク" xfId="969" builtinId="8" hidden="1"/>
    <cellStyle name="ハイパーリンク" xfId="971" builtinId="8" hidden="1"/>
    <cellStyle name="ハイパーリンク" xfId="973" builtinId="8" hidden="1"/>
    <cellStyle name="ハイパーリンク" xfId="975" builtinId="8" hidden="1"/>
    <cellStyle name="ハイパーリンク" xfId="977" builtinId="8" hidden="1"/>
    <cellStyle name="ハイパーリンク" xfId="979" builtinId="8" hidden="1"/>
    <cellStyle name="ハイパーリンク" xfId="981" builtinId="8" hidden="1"/>
    <cellStyle name="ハイパーリンク" xfId="983" builtinId="8" hidden="1"/>
    <cellStyle name="ハイパーリンク" xfId="985" builtinId="8" hidden="1"/>
    <cellStyle name="ハイパーリンク" xfId="987" builtinId="8" hidden="1"/>
    <cellStyle name="ハイパーリンク" xfId="989" builtinId="8" hidden="1"/>
    <cellStyle name="ハイパーリンク" xfId="991" builtinId="8" hidden="1"/>
    <cellStyle name="ハイパーリンク" xfId="993" builtinId="8" hidden="1"/>
    <cellStyle name="ハイパーリンク" xfId="995" builtinId="8" hidden="1"/>
    <cellStyle name="ハイパーリンク" xfId="997" builtinId="8" hidden="1"/>
    <cellStyle name="ハイパーリンク" xfId="999" builtinId="8" hidden="1"/>
    <cellStyle name="ハイパーリンク" xfId="1001" builtinId="8" hidden="1"/>
    <cellStyle name="ハイパーリンク" xfId="1003" builtinId="8" hidden="1"/>
    <cellStyle name="ハイパーリンク" xfId="1005" builtinId="8" hidden="1"/>
    <cellStyle name="ハイパーリンク" xfId="1007" builtinId="8" hidden="1"/>
    <cellStyle name="ハイパーリンク" xfId="1009" builtinId="8" hidden="1"/>
    <cellStyle name="ハイパーリンク" xfId="1011" builtinId="8" hidden="1"/>
    <cellStyle name="ハイパーリンク" xfId="1013" builtinId="8" hidden="1"/>
    <cellStyle name="ハイパーリンク" xfId="1015" builtinId="8" hidden="1"/>
    <cellStyle name="ハイパーリンク" xfId="1017" builtinId="8" hidden="1"/>
    <cellStyle name="ハイパーリンク" xfId="1019" builtinId="8" hidden="1"/>
    <cellStyle name="ハイパーリンク" xfId="1021" builtinId="8" hidden="1"/>
    <cellStyle name="ハイパーリンク" xfId="1023" builtinId="8" hidden="1"/>
    <cellStyle name="ハイパーリンク" xfId="1025" builtinId="8" hidden="1"/>
    <cellStyle name="ハイパーリンク" xfId="1027" builtinId="8" hidden="1"/>
    <cellStyle name="ハイパーリンク" xfId="1029" builtinId="8" hidden="1"/>
    <cellStyle name="ハイパーリンク" xfId="1031" builtinId="8" hidden="1"/>
    <cellStyle name="ハイパーリンク" xfId="1033" builtinId="8" hidden="1"/>
    <cellStyle name="ハイパーリンク" xfId="1035" builtinId="8" hidden="1"/>
    <cellStyle name="ハイパーリンク" xfId="1037" builtinId="8" hidden="1"/>
    <cellStyle name="ハイパーリンク" xfId="1039" builtinId="8" hidden="1"/>
    <cellStyle name="ハイパーリンク" xfId="1041" builtinId="8" hidden="1"/>
    <cellStyle name="ハイパーリンク" xfId="1043" builtinId="8" hidden="1"/>
    <cellStyle name="ハイパーリンク" xfId="1045" builtinId="8" hidden="1"/>
    <cellStyle name="ハイパーリンク" xfId="1047" builtinId="8" hidden="1"/>
    <cellStyle name="ハイパーリンク" xfId="1049" builtinId="8" hidden="1"/>
    <cellStyle name="ハイパーリンク" xfId="1051" builtinId="8" hidden="1"/>
    <cellStyle name="ハイパーリンク" xfId="1053" builtinId="8" hidden="1"/>
    <cellStyle name="ハイパーリンク" xfId="1055" builtinId="8" hidden="1"/>
    <cellStyle name="ハイパーリンク" xfId="1057" builtinId="8" hidden="1"/>
    <cellStyle name="ハイパーリンク" xfId="1059" builtinId="8" hidden="1"/>
    <cellStyle name="ハイパーリンク" xfId="1061" builtinId="8" hidden="1"/>
    <cellStyle name="ハイパーリンク" xfId="1063" builtinId="8" hidden="1"/>
    <cellStyle name="ハイパーリンク" xfId="1065" builtinId="8" hidden="1"/>
    <cellStyle name="ハイパーリンク" xfId="1067" builtinId="8" hidden="1"/>
    <cellStyle name="ハイパーリンク" xfId="1069" builtinId="8" hidden="1"/>
    <cellStyle name="ハイパーリンク" xfId="1071" builtinId="8" hidden="1"/>
    <cellStyle name="ハイパーリンク" xfId="1073" builtinId="8" hidden="1"/>
    <cellStyle name="ハイパーリンク" xfId="1075" builtinId="8" hidden="1"/>
    <cellStyle name="ハイパーリンク" xfId="1077" builtinId="8" hidden="1"/>
    <cellStyle name="ハイパーリンク" xfId="1079" builtinId="8" hidden="1"/>
    <cellStyle name="ハイパーリンク" xfId="1081" builtinId="8" hidden="1"/>
    <cellStyle name="ハイパーリンク" xfId="1083" builtinId="8" hidden="1"/>
    <cellStyle name="ハイパーリンク" xfId="1085" builtinId="8" hidden="1"/>
    <cellStyle name="ハイパーリンク" xfId="1087" builtinId="8" hidden="1"/>
    <cellStyle name="ハイパーリンク" xfId="1089" builtinId="8" hidden="1"/>
    <cellStyle name="ハイパーリンク" xfId="1091" builtinId="8" hidden="1"/>
    <cellStyle name="ハイパーリンク" xfId="1093" builtinId="8" hidden="1"/>
    <cellStyle name="ハイパーリンク" xfId="1095" builtinId="8" hidden="1"/>
    <cellStyle name="ハイパーリンク" xfId="1097" builtinId="8" hidden="1"/>
    <cellStyle name="ハイパーリンク" xfId="1099" builtinId="8" hidden="1"/>
    <cellStyle name="ハイパーリンク" xfId="1101" builtinId="8" hidden="1"/>
    <cellStyle name="ハイパーリンク" xfId="1103" builtinId="8" hidden="1"/>
    <cellStyle name="ハイパーリンク" xfId="1105" builtinId="8" hidden="1"/>
    <cellStyle name="ハイパーリンク" xfId="1107" builtinId="8" hidden="1"/>
    <cellStyle name="ハイパーリンク" xfId="1109" builtinId="8" hidden="1"/>
    <cellStyle name="ハイパーリンク" xfId="1111" builtinId="8" hidden="1"/>
    <cellStyle name="ハイパーリンク" xfId="1113" builtinId="8" hidden="1"/>
    <cellStyle name="ハイパーリンク" xfId="1115" builtinId="8" hidden="1"/>
    <cellStyle name="ハイパーリンク" xfId="1117" builtinId="8" hidden="1"/>
    <cellStyle name="ハイパーリンク" xfId="1119" builtinId="8" hidden="1"/>
    <cellStyle name="ハイパーリンク" xfId="1121" builtinId="8" hidden="1"/>
    <cellStyle name="ハイパーリンク" xfId="1123" builtinId="8" hidden="1"/>
    <cellStyle name="ハイパーリンク" xfId="1125" builtinId="8" hidden="1"/>
    <cellStyle name="ハイパーリンク" xfId="1127" builtinId="8" hidden="1"/>
    <cellStyle name="ハイパーリンク" xfId="1129" builtinId="8" hidden="1"/>
    <cellStyle name="ハイパーリンク" xfId="1131" builtinId="8" hidden="1"/>
    <cellStyle name="ハイパーリンク" xfId="1133" builtinId="8" hidden="1"/>
    <cellStyle name="ハイパーリンク" xfId="1135" builtinId="8" hidden="1"/>
    <cellStyle name="ハイパーリンク" xfId="1137" builtinId="8" hidden="1"/>
    <cellStyle name="ハイパーリンク" xfId="1139" builtinId="8" hidden="1"/>
    <cellStyle name="ハイパーリンク" xfId="1141" builtinId="8" hidden="1"/>
    <cellStyle name="ハイパーリンク" xfId="1143" builtinId="8" hidden="1"/>
    <cellStyle name="ハイパーリンク" xfId="1145" builtinId="8" hidden="1"/>
    <cellStyle name="ハイパーリンク" xfId="1147" builtinId="8" hidden="1"/>
    <cellStyle name="ハイパーリンク" xfId="1149" builtinId="8" hidden="1"/>
    <cellStyle name="ハイパーリンク" xfId="1151" builtinId="8" hidden="1"/>
    <cellStyle name="ハイパーリンク" xfId="1153" builtinId="8" hidden="1"/>
    <cellStyle name="ハイパーリンク" xfId="1155" builtinId="8" hidden="1"/>
    <cellStyle name="ハイパーリンク" xfId="1157" builtinId="8" hidden="1"/>
    <cellStyle name="ハイパーリンク" xfId="1159" builtinId="8" hidden="1"/>
    <cellStyle name="ハイパーリンク" xfId="1161" builtinId="8" hidden="1"/>
    <cellStyle name="ハイパーリンク" xfId="1163" builtinId="8" hidden="1"/>
    <cellStyle name="ハイパーリンク" xfId="1165" builtinId="8" hidden="1"/>
    <cellStyle name="ハイパーリンク" xfId="1167" builtinId="8" hidden="1"/>
    <cellStyle name="ハイパーリンク" xfId="1169" builtinId="8" hidden="1"/>
    <cellStyle name="ハイパーリンク" xfId="1171" builtinId="8" hidden="1"/>
    <cellStyle name="ハイパーリンク" xfId="1173" builtinId="8" hidden="1"/>
    <cellStyle name="ハイパーリンク" xfId="1175" builtinId="8" hidden="1"/>
    <cellStyle name="ハイパーリンク" xfId="1177" builtinId="8" hidden="1"/>
    <cellStyle name="ハイパーリンク" xfId="1179" builtinId="8" hidden="1"/>
    <cellStyle name="ハイパーリンク" xfId="1181" builtinId="8" hidden="1"/>
    <cellStyle name="ハイパーリンク" xfId="1183" builtinId="8" hidden="1"/>
    <cellStyle name="ハイパーリンク" xfId="1185" builtinId="8" hidden="1"/>
    <cellStyle name="ハイパーリンク" xfId="1187" builtinId="8" hidden="1"/>
    <cellStyle name="ハイパーリンク" xfId="1189" builtinId="8" hidden="1"/>
    <cellStyle name="ハイパーリンク" xfId="1191" builtinId="8" hidden="1"/>
    <cellStyle name="ハイパーリンク" xfId="1193" builtinId="8" hidden="1"/>
    <cellStyle name="ハイパーリンク" xfId="1195" builtinId="8" hidden="1"/>
    <cellStyle name="ハイパーリンク" xfId="1197" builtinId="8" hidden="1"/>
    <cellStyle name="ハイパーリンク" xfId="1199" builtinId="8" hidden="1"/>
    <cellStyle name="ハイパーリンク" xfId="1201" builtinId="8" hidden="1"/>
    <cellStyle name="ハイパーリンク" xfId="1203" builtinId="8" hidden="1"/>
    <cellStyle name="ハイパーリンク" xfId="1205" builtinId="8" hidden="1"/>
    <cellStyle name="ハイパーリンク" xfId="1207" builtinId="8" hidden="1"/>
    <cellStyle name="ハイパーリンク" xfId="1209" builtinId="8" hidden="1"/>
    <cellStyle name="ハイパーリンク" xfId="1211" builtinId="8" hidden="1"/>
    <cellStyle name="ハイパーリンク" xfId="1213" builtinId="8" hidden="1"/>
    <cellStyle name="ハイパーリンク" xfId="1215" builtinId="8" hidden="1"/>
    <cellStyle name="ハイパーリンク" xfId="1217" builtinId="8" hidden="1"/>
    <cellStyle name="ハイパーリンク" xfId="1219" builtinId="8" hidden="1"/>
    <cellStyle name="ハイパーリンク" xfId="1221" builtinId="8" hidden="1"/>
    <cellStyle name="ハイパーリンク" xfId="1223" builtinId="8" hidden="1"/>
    <cellStyle name="ハイパーリンク" xfId="1225" builtinId="8" hidden="1"/>
    <cellStyle name="ハイパーリンク" xfId="1227" builtinId="8" hidden="1"/>
    <cellStyle name="ハイパーリンク" xfId="1229" builtinId="8" hidden="1"/>
    <cellStyle name="ハイパーリンク" xfId="1231" builtinId="8" hidden="1"/>
    <cellStyle name="ハイパーリンク" xfId="1233" builtinId="8" hidden="1"/>
    <cellStyle name="ハイパーリンク" xfId="1235" builtinId="8" hidden="1"/>
    <cellStyle name="ハイパーリンク" xfId="1237" builtinId="8" hidden="1"/>
    <cellStyle name="ハイパーリンク" xfId="1239" builtinId="8" hidden="1"/>
    <cellStyle name="ハイパーリンク" xfId="1241" builtinId="8" hidden="1"/>
    <cellStyle name="ハイパーリンク" xfId="1243" builtinId="8" hidden="1"/>
    <cellStyle name="ハイパーリンク" xfId="1245" builtinId="8" hidden="1"/>
    <cellStyle name="ハイパーリンク" xfId="1247" builtinId="8" hidden="1"/>
    <cellStyle name="ハイパーリンク" xfId="1249" builtinId="8" hidden="1"/>
    <cellStyle name="ハイパーリンク" xfId="1251" builtinId="8" hidden="1"/>
    <cellStyle name="ハイパーリンク" xfId="1253" builtinId="8" hidden="1"/>
    <cellStyle name="ハイパーリンク" xfId="1255" builtinId="8" hidden="1"/>
    <cellStyle name="ハイパーリンク" xfId="1257" builtinId="8" hidden="1"/>
    <cellStyle name="ハイパーリンク" xfId="1259" builtinId="8" hidden="1"/>
    <cellStyle name="ハイパーリンク" xfId="1261" builtinId="8" hidden="1"/>
    <cellStyle name="ハイパーリンク" xfId="1263" builtinId="8" hidden="1"/>
    <cellStyle name="ハイパーリンク" xfId="1265" builtinId="8" hidden="1"/>
    <cellStyle name="ハイパーリンク" xfId="1267" builtinId="8" hidden="1"/>
    <cellStyle name="ハイパーリンク" xfId="1269" builtinId="8" hidden="1"/>
    <cellStyle name="ハイパーリンク" xfId="1271" builtinId="8" hidden="1"/>
    <cellStyle name="ハイパーリンク" xfId="1273" builtinId="8" hidden="1"/>
    <cellStyle name="ハイパーリンク" xfId="1275" builtinId="8" hidden="1"/>
    <cellStyle name="ハイパーリンク" xfId="1277" builtinId="8" hidden="1"/>
    <cellStyle name="ハイパーリンク" xfId="1279" builtinId="8" hidden="1"/>
    <cellStyle name="ハイパーリンク" xfId="1281" builtinId="8" hidden="1"/>
    <cellStyle name="ハイパーリンク" xfId="1283" builtinId="8" hidden="1"/>
    <cellStyle name="ハイパーリンク" xfId="1285" builtinId="8" hidden="1"/>
    <cellStyle name="ハイパーリンク" xfId="1287" builtinId="8" hidden="1"/>
    <cellStyle name="ハイパーリンク" xfId="1289" builtinId="8" hidden="1"/>
    <cellStyle name="ハイパーリンク" xfId="1291" builtinId="8" hidden="1"/>
    <cellStyle name="ハイパーリンク" xfId="1293" builtinId="8" hidden="1"/>
    <cellStyle name="ハイパーリンク" xfId="1295" builtinId="8" hidden="1"/>
    <cellStyle name="ハイパーリンク" xfId="1297" builtinId="8" hidden="1"/>
    <cellStyle name="ハイパーリンク" xfId="1299" builtinId="8" hidden="1"/>
    <cellStyle name="ハイパーリンク" xfId="1301" builtinId="8" hidden="1"/>
    <cellStyle name="ハイパーリンク" xfId="1303" builtinId="8" hidden="1"/>
    <cellStyle name="ハイパーリンク" xfId="1305" builtinId="8" hidden="1"/>
    <cellStyle name="ハイパーリンク" xfId="1307" builtinId="8" hidden="1"/>
    <cellStyle name="ハイパーリンク" xfId="1309" builtinId="8" hidden="1"/>
    <cellStyle name="ハイパーリンク" xfId="1311" builtinId="8" hidden="1"/>
    <cellStyle name="ハイパーリンク" xfId="1313" builtinId="8" hidden="1"/>
    <cellStyle name="ハイパーリンク" xfId="1315" builtinId="8" hidden="1"/>
    <cellStyle name="ハイパーリンク" xfId="1317" builtinId="8" hidden="1"/>
    <cellStyle name="ハイパーリンク" xfId="1319" builtinId="8" hidden="1"/>
    <cellStyle name="ハイパーリンク" xfId="1321" builtinId="8" hidden="1"/>
    <cellStyle name="ハイパーリンク" xfId="1323" builtinId="8" hidden="1"/>
    <cellStyle name="ハイパーリンク" xfId="1325" builtinId="8" hidden="1"/>
    <cellStyle name="ハイパーリンク" xfId="1327" builtinId="8" hidden="1"/>
    <cellStyle name="ハイパーリンク" xfId="1329" builtinId="8" hidden="1"/>
    <cellStyle name="ハイパーリンク" xfId="1331" builtinId="8" hidden="1"/>
    <cellStyle name="ハイパーリンク" xfId="1333" builtinId="8" hidden="1"/>
    <cellStyle name="ハイパーリンク" xfId="1335" builtinId="8" hidden="1"/>
    <cellStyle name="ハイパーリンク" xfId="1337" builtinId="8" hidden="1"/>
    <cellStyle name="ハイパーリンク" xfId="1339" builtinId="8" hidden="1"/>
    <cellStyle name="ハイパーリンク" xfId="1341" builtinId="8" hidden="1"/>
    <cellStyle name="ハイパーリンク" xfId="1343" builtinId="8" hidden="1"/>
    <cellStyle name="ハイパーリンク" xfId="1345" builtinId="8" hidden="1"/>
    <cellStyle name="ハイパーリンク" xfId="1347" builtinId="8" hidden="1"/>
    <cellStyle name="ハイパーリンク" xfId="1349" builtinId="8" hidden="1"/>
    <cellStyle name="ハイパーリンク" xfId="1351" builtinId="8" hidden="1"/>
    <cellStyle name="ハイパーリンク" xfId="1353" builtinId="8" hidden="1"/>
    <cellStyle name="ハイパーリンク" xfId="1355" builtinId="8" hidden="1"/>
    <cellStyle name="ハイパーリンク" xfId="1357" builtinId="8" hidden="1"/>
    <cellStyle name="ハイパーリンク" xfId="1359" builtinId="8" hidden="1"/>
    <cellStyle name="ハイパーリンク" xfId="1361" builtinId="8" hidden="1"/>
    <cellStyle name="ハイパーリンク" xfId="1363" builtinId="8" hidden="1"/>
    <cellStyle name="ハイパーリンク" xfId="1365" builtinId="8" hidden="1"/>
    <cellStyle name="ハイパーリンク" xfId="1367" builtinId="8" hidden="1"/>
    <cellStyle name="ハイパーリンク" xfId="1369" builtinId="8" hidden="1"/>
    <cellStyle name="ハイパーリンク" xfId="1371" builtinId="8" hidden="1"/>
    <cellStyle name="ハイパーリンク" xfId="1373" builtinId="8" hidden="1"/>
    <cellStyle name="ハイパーリンク" xfId="1375" builtinId="8" hidden="1"/>
    <cellStyle name="ハイパーリンク" xfId="1377" builtinId="8" hidden="1"/>
    <cellStyle name="ハイパーリンク" xfId="1379" builtinId="8" hidden="1"/>
    <cellStyle name="ハイパーリンク" xfId="1381" builtinId="8" hidden="1"/>
    <cellStyle name="ハイパーリンク" xfId="1383" builtinId="8" hidden="1"/>
    <cellStyle name="ハイパーリンク" xfId="1385" builtinId="8" hidden="1"/>
    <cellStyle name="ハイパーリンク" xfId="1387" builtinId="8" hidden="1"/>
    <cellStyle name="ハイパーリンク" xfId="1389" builtinId="8" hidden="1"/>
    <cellStyle name="ハイパーリンク" xfId="1391" builtinId="8" hidden="1"/>
    <cellStyle name="ハイパーリンク" xfId="1393" builtinId="8" hidden="1"/>
    <cellStyle name="ハイパーリンク" xfId="1395" builtinId="8" hidden="1"/>
    <cellStyle name="ハイパーリンク" xfId="1397" builtinId="8" hidden="1"/>
    <cellStyle name="ハイパーリンク" xfId="1399" builtinId="8" hidden="1"/>
    <cellStyle name="ハイパーリンク" xfId="1401" builtinId="8" hidden="1"/>
    <cellStyle name="ハイパーリンク" xfId="1403" builtinId="8" hidden="1"/>
    <cellStyle name="ハイパーリンク" xfId="1405" builtinId="8" hidden="1"/>
    <cellStyle name="ハイパーリンク" xfId="1407" builtinId="8" hidden="1"/>
    <cellStyle name="ハイパーリンク" xfId="1409" builtinId="8" hidden="1"/>
    <cellStyle name="ハイパーリンク" xfId="1411" builtinId="8" hidden="1"/>
    <cellStyle name="ハイパーリンク" xfId="1413" builtinId="8" hidden="1"/>
    <cellStyle name="ハイパーリンク" xfId="1415" builtinId="8" hidden="1"/>
    <cellStyle name="ハイパーリンク" xfId="1417" builtinId="8" hidden="1"/>
    <cellStyle name="ハイパーリンク" xfId="1419" builtinId="8" hidden="1"/>
    <cellStyle name="ハイパーリンク" xfId="1421" builtinId="8" hidden="1"/>
    <cellStyle name="ハイパーリンク" xfId="1423" builtinId="8" hidden="1"/>
    <cellStyle name="ハイパーリンク" xfId="1425" builtinId="8" hidden="1"/>
    <cellStyle name="ハイパーリンク" xfId="1427" builtinId="8" hidden="1"/>
    <cellStyle name="ハイパーリンク" xfId="1429" builtinId="8" hidden="1"/>
    <cellStyle name="ハイパーリンク" xfId="1431" builtinId="8" hidden="1"/>
    <cellStyle name="ハイパーリンク" xfId="1433" builtinId="8" hidden="1"/>
    <cellStyle name="ハイパーリンク" xfId="1435" builtinId="8" hidden="1"/>
    <cellStyle name="ハイパーリンク" xfId="1437" builtinId="8" hidden="1"/>
    <cellStyle name="ハイパーリンク" xfId="1439" builtinId="8" hidden="1"/>
    <cellStyle name="ハイパーリンク" xfId="1441" builtinId="8" hidden="1"/>
    <cellStyle name="ハイパーリンク" xfId="1443" builtinId="8" hidden="1"/>
    <cellStyle name="ハイパーリンク" xfId="1445" builtinId="8" hidden="1"/>
    <cellStyle name="ハイパーリンク" xfId="1447" builtinId="8" hidden="1"/>
    <cellStyle name="ハイパーリンク" xfId="1449" builtinId="8" hidden="1"/>
    <cellStyle name="ハイパーリンク" xfId="1451" builtinId="8" hidden="1"/>
    <cellStyle name="ハイパーリンク" xfId="1453" builtinId="8" hidden="1"/>
    <cellStyle name="ハイパーリンク" xfId="1455" builtinId="8" hidden="1"/>
    <cellStyle name="ハイパーリンク" xfId="1457" builtinId="8" hidden="1"/>
    <cellStyle name="ハイパーリンク" xfId="1459" builtinId="8" hidden="1"/>
    <cellStyle name="ハイパーリンク" xfId="1461" builtinId="8" hidden="1"/>
    <cellStyle name="ハイパーリンク" xfId="1463" builtinId="8" hidden="1"/>
    <cellStyle name="ハイパーリンク" xfId="1465" builtinId="8" hidden="1"/>
    <cellStyle name="ハイパーリンク" xfId="1467" builtinId="8" hidden="1"/>
    <cellStyle name="ハイパーリンク" xfId="1469" builtinId="8" hidden="1"/>
    <cellStyle name="ハイパーリンク" xfId="1471" builtinId="8" hidden="1"/>
    <cellStyle name="ハイパーリンク" xfId="1473" builtinId="8" hidden="1"/>
    <cellStyle name="ハイパーリンク" xfId="1475" builtinId="8" hidden="1"/>
    <cellStyle name="ハイパーリンク" xfId="1477" builtinId="8" hidden="1"/>
    <cellStyle name="ハイパーリンク" xfId="1479" builtinId="8" hidden="1"/>
    <cellStyle name="ハイパーリンク" xfId="1481" builtinId="8" hidden="1"/>
    <cellStyle name="ハイパーリンク" xfId="1483" builtinId="8" hidden="1"/>
    <cellStyle name="ハイパーリンク" xfId="1485" builtinId="8" hidden="1"/>
    <cellStyle name="ハイパーリンク" xfId="1487" builtinId="8" hidden="1"/>
    <cellStyle name="ハイパーリンク" xfId="1489" builtinId="8" hidden="1"/>
    <cellStyle name="ハイパーリンク" xfId="1491" builtinId="8" hidden="1"/>
    <cellStyle name="ハイパーリンク" xfId="1493" builtinId="8" hidden="1"/>
    <cellStyle name="ハイパーリンク" xfId="1495" builtinId="8" hidden="1"/>
    <cellStyle name="ハイパーリンク" xfId="1497" builtinId="8" hidden="1"/>
    <cellStyle name="ハイパーリンク" xfId="1499" builtinId="8" hidden="1"/>
    <cellStyle name="ハイパーリンク" xfId="1501" builtinId="8" hidden="1"/>
    <cellStyle name="ハイパーリンク" xfId="1503" builtinId="8" hidden="1"/>
    <cellStyle name="ハイパーリンク" xfId="1505" builtinId="8" hidden="1"/>
    <cellStyle name="ハイパーリンク" xfId="1507" builtinId="8" hidden="1"/>
    <cellStyle name="ハイパーリンク" xfId="1509" builtinId="8" hidden="1"/>
    <cellStyle name="ハイパーリンク" xfId="1511" builtinId="8" hidden="1"/>
    <cellStyle name="ハイパーリンク" xfId="1513" builtinId="8" hidden="1"/>
    <cellStyle name="ハイパーリンク" xfId="1515" builtinId="8" hidden="1"/>
    <cellStyle name="ハイパーリンク" xfId="1517" builtinId="8" hidden="1"/>
    <cellStyle name="ハイパーリンク" xfId="1519" builtinId="8" hidden="1"/>
    <cellStyle name="ハイパーリンク" xfId="1521" builtinId="8" hidden="1"/>
    <cellStyle name="ハイパーリンク" xfId="1523" builtinId="8" hidden="1"/>
    <cellStyle name="ハイパーリンク" xfId="1525" builtinId="8" hidden="1"/>
    <cellStyle name="ハイパーリンク" xfId="1527" builtinId="8" hidden="1"/>
    <cellStyle name="ハイパーリンク" xfId="1529" builtinId="8" hidden="1"/>
    <cellStyle name="ハイパーリンク" xfId="1531" builtinId="8" hidden="1"/>
    <cellStyle name="ハイパーリンク" xfId="1533" builtinId="8" hidden="1"/>
    <cellStyle name="ハイパーリンク" xfId="1535" builtinId="8" hidden="1"/>
    <cellStyle name="ハイパーリンク" xfId="1537" builtinId="8" hidden="1"/>
    <cellStyle name="ハイパーリンク" xfId="1539" builtinId="8" hidden="1"/>
    <cellStyle name="ハイパーリンク" xfId="1541" builtinId="8" hidden="1"/>
    <cellStyle name="ハイパーリンク" xfId="1543" builtinId="8" hidden="1"/>
    <cellStyle name="ハイパーリンク" xfId="1545" builtinId="8" hidden="1"/>
    <cellStyle name="ハイパーリンク" xfId="1547" builtinId="8" hidden="1"/>
    <cellStyle name="ハイパーリンク" xfId="1549" builtinId="8" hidden="1"/>
    <cellStyle name="ハイパーリンク" xfId="1551" builtinId="8" hidden="1"/>
    <cellStyle name="ハイパーリンク" xfId="1553" builtinId="8" hidden="1"/>
    <cellStyle name="ハイパーリンク" xfId="1555" builtinId="8" hidden="1"/>
    <cellStyle name="ハイパーリンク" xfId="1557" builtinId="8" hidden="1"/>
    <cellStyle name="ハイパーリンク" xfId="1559" builtinId="8" hidden="1"/>
    <cellStyle name="ハイパーリンク" xfId="1561" builtinId="8" hidden="1"/>
    <cellStyle name="ハイパーリンク" xfId="1563" builtinId="8" hidden="1"/>
    <cellStyle name="ハイパーリンク" xfId="1565" builtinId="8" hidden="1"/>
    <cellStyle name="ハイパーリンク" xfId="1567" builtinId="8" hidden="1"/>
    <cellStyle name="ハイパーリンク" xfId="1569" builtinId="8" hidden="1"/>
    <cellStyle name="ハイパーリンク" xfId="1571" builtinId="8" hidden="1"/>
    <cellStyle name="ハイパーリンク" xfId="1573" builtinId="8" hidden="1"/>
    <cellStyle name="ハイパーリンク" xfId="1575" builtinId="8" hidden="1"/>
    <cellStyle name="ハイパーリンク" xfId="1577" builtinId="8" hidden="1"/>
    <cellStyle name="ハイパーリンク" xfId="1579" builtinId="8" hidden="1"/>
    <cellStyle name="ハイパーリンク" xfId="1581" builtinId="8" hidden="1"/>
    <cellStyle name="ハイパーリンク" xfId="1583" builtinId="8" hidden="1"/>
    <cellStyle name="ハイパーリンク" xfId="1585" builtinId="8" hidden="1"/>
    <cellStyle name="ハイパーリンク" xfId="1587" builtinId="8" hidden="1"/>
    <cellStyle name="ハイパーリンク" xfId="1589" builtinId="8" hidden="1"/>
    <cellStyle name="ハイパーリンク" xfId="1591" builtinId="8" hidden="1"/>
    <cellStyle name="ハイパーリンク" xfId="1593" builtinId="8" hidden="1"/>
    <cellStyle name="ハイパーリンク" xfId="1595" builtinId="8" hidden="1"/>
    <cellStyle name="ハイパーリンク" xfId="1597" builtinId="8" hidden="1"/>
    <cellStyle name="ハイパーリンク" xfId="1599" builtinId="8" hidden="1"/>
    <cellStyle name="ハイパーリンク" xfId="1601" builtinId="8" hidden="1"/>
    <cellStyle name="ハイパーリンク" xfId="1603" builtinId="8" hidden="1"/>
    <cellStyle name="ハイパーリンク" xfId="1605" builtinId="8" hidden="1"/>
    <cellStyle name="ハイパーリンク" xfId="1607" builtinId="8" hidden="1"/>
    <cellStyle name="ハイパーリンク" xfId="1609" builtinId="8" hidden="1"/>
    <cellStyle name="ハイパーリンク" xfId="1611" builtinId="8" hidden="1"/>
    <cellStyle name="ハイパーリンク" xfId="1613" builtinId="8" hidden="1"/>
    <cellStyle name="ハイパーリンク" xfId="1615" builtinId="8" hidden="1"/>
    <cellStyle name="ハイパーリンク" xfId="1617" builtinId="8" hidden="1"/>
    <cellStyle name="ハイパーリンク" xfId="1619" builtinId="8" hidden="1"/>
    <cellStyle name="ハイパーリンク" xfId="1621" builtinId="8" hidden="1"/>
    <cellStyle name="ハイパーリンク" xfId="1623" builtinId="8" hidden="1"/>
    <cellStyle name="ハイパーリンク" xfId="1625" builtinId="8" hidden="1"/>
    <cellStyle name="ハイパーリンク" xfId="1627" builtinId="8" hidden="1"/>
    <cellStyle name="ハイパーリンク" xfId="1629" builtinId="8" hidden="1"/>
    <cellStyle name="ハイパーリンク" xfId="1631" builtinId="8" hidden="1"/>
    <cellStyle name="ハイパーリンク" xfId="1633" builtinId="8" hidden="1"/>
    <cellStyle name="ハイパーリンク" xfId="1635" builtinId="8" hidden="1"/>
    <cellStyle name="ハイパーリンク" xfId="1637" builtinId="8" hidden="1"/>
    <cellStyle name="ハイパーリンク" xfId="1639" builtinId="8" hidden="1"/>
    <cellStyle name="ハイパーリンク" xfId="1641" builtinId="8" hidden="1"/>
    <cellStyle name="ハイパーリンク" xfId="1643" builtinId="8" hidden="1"/>
    <cellStyle name="ハイパーリンク" xfId="1645" builtinId="8" hidden="1"/>
    <cellStyle name="ハイパーリンク" xfId="1647" builtinId="8" hidden="1"/>
    <cellStyle name="ハイパーリンク" xfId="1649" builtinId="8" hidden="1"/>
    <cellStyle name="ハイパーリンク" xfId="1651" builtinId="8" hidden="1"/>
    <cellStyle name="ハイパーリンク" xfId="1653" builtinId="8" hidden="1"/>
    <cellStyle name="ハイパーリンク" xfId="1655" builtinId="8" hidden="1"/>
    <cellStyle name="ハイパーリンク" xfId="1657" builtinId="8" hidden="1"/>
    <cellStyle name="ハイパーリンク" xfId="1659" builtinId="8" hidden="1"/>
    <cellStyle name="ハイパーリンク" xfId="1661" builtinId="8" hidden="1"/>
    <cellStyle name="ハイパーリンク" xfId="1663" builtinId="8" hidden="1"/>
    <cellStyle name="ハイパーリンク" xfId="1665" builtinId="8" hidden="1"/>
    <cellStyle name="ハイパーリンク" xfId="1667" builtinId="8" hidden="1"/>
    <cellStyle name="ハイパーリンク" xfId="1669" builtinId="8" hidden="1"/>
    <cellStyle name="ハイパーリンク" xfId="1671" builtinId="8" hidden="1"/>
    <cellStyle name="ハイパーリンク" xfId="1673" builtinId="8" hidden="1"/>
    <cellStyle name="ハイパーリンク" xfId="1675" builtinId="8" hidden="1"/>
    <cellStyle name="ハイパーリンク" xfId="1677" builtinId="8" hidden="1"/>
    <cellStyle name="ハイパーリンク" xfId="1679" builtinId="8" hidden="1"/>
    <cellStyle name="ハイパーリンク" xfId="1681" builtinId="8" hidden="1"/>
    <cellStyle name="ハイパーリンク" xfId="1683" builtinId="8" hidden="1"/>
    <cellStyle name="ハイパーリンク" xfId="1685" builtinId="8" hidden="1"/>
    <cellStyle name="ハイパーリンク" xfId="1687" builtinId="8" hidden="1"/>
    <cellStyle name="ハイパーリンク" xfId="1689" builtinId="8" hidden="1"/>
    <cellStyle name="ハイパーリンク" xfId="1691" builtinId="8" hidden="1"/>
    <cellStyle name="ハイパーリンク" xfId="1693" builtinId="8" hidden="1"/>
    <cellStyle name="ハイパーリンク" xfId="1695" builtinId="8" hidden="1"/>
    <cellStyle name="ハイパーリンク" xfId="1697" builtinId="8" hidden="1"/>
    <cellStyle name="ハイパーリンク" xfId="1699" builtinId="8" hidden="1"/>
    <cellStyle name="ハイパーリンク" xfId="1701" builtinId="8" hidden="1"/>
    <cellStyle name="ハイパーリンク" xfId="1703" builtinId="8" hidden="1"/>
    <cellStyle name="ハイパーリンク" xfId="1705" builtinId="8" hidden="1"/>
    <cellStyle name="ハイパーリンク" xfId="1707" builtinId="8" hidden="1"/>
    <cellStyle name="ハイパーリンク" xfId="1709" builtinId="8" hidden="1"/>
    <cellStyle name="ハイパーリンク" xfId="1711" builtinId="8" hidden="1"/>
    <cellStyle name="ハイパーリンク" xfId="1713" builtinId="8" hidden="1"/>
    <cellStyle name="ハイパーリンク" xfId="1715" builtinId="8" hidden="1"/>
    <cellStyle name="ハイパーリンク" xfId="1717" builtinId="8" hidden="1"/>
    <cellStyle name="ハイパーリンク" xfId="1719" builtinId="8" hidden="1"/>
    <cellStyle name="ハイパーリンク" xfId="1721" builtinId="8" hidden="1"/>
    <cellStyle name="ハイパーリンク" xfId="1723" builtinId="8" hidden="1"/>
    <cellStyle name="ハイパーリンク" xfId="1725" builtinId="8" hidden="1"/>
    <cellStyle name="ハイパーリンク" xfId="1727" builtinId="8" hidden="1"/>
    <cellStyle name="ハイパーリンク" xfId="1729" builtinId="8" hidden="1"/>
    <cellStyle name="ハイパーリンク" xfId="1731" builtinId="8" hidden="1"/>
    <cellStyle name="ハイパーリンク" xfId="1733" builtinId="8" hidden="1"/>
    <cellStyle name="ハイパーリンク" xfId="1735" builtinId="8" hidden="1"/>
    <cellStyle name="ハイパーリンク" xfId="1737" builtinId="8" hidden="1"/>
    <cellStyle name="ハイパーリンク" xfId="1739" builtinId="8" hidden="1"/>
    <cellStyle name="ハイパーリンク" xfId="1741" builtinId="8" hidden="1"/>
    <cellStyle name="ハイパーリンク" xfId="1743" builtinId="8" hidden="1"/>
    <cellStyle name="ハイパーリンク" xfId="1745" builtinId="8" hidden="1"/>
    <cellStyle name="ハイパーリンク" xfId="1747" builtinId="8" hidden="1"/>
    <cellStyle name="ハイパーリンク" xfId="1749" builtinId="8" hidden="1"/>
    <cellStyle name="ハイパーリンク" xfId="1751" builtinId="8" hidden="1"/>
    <cellStyle name="ハイパーリンク" xfId="1753" builtinId="8" hidden="1"/>
    <cellStyle name="ハイパーリンク" xfId="1755" builtinId="8" hidden="1"/>
    <cellStyle name="ハイパーリンク" xfId="1757" builtinId="8" hidden="1"/>
    <cellStyle name="ハイパーリンク" xfId="1759" builtinId="8" hidden="1"/>
    <cellStyle name="ハイパーリンク" xfId="1761" builtinId="8" hidden="1"/>
    <cellStyle name="ハイパーリンク" xfId="1763" builtinId="8" hidden="1"/>
    <cellStyle name="ハイパーリンク" xfId="1765" builtinId="8" hidden="1"/>
    <cellStyle name="ハイパーリンク" xfId="1767" builtinId="8" hidden="1"/>
    <cellStyle name="ハイパーリンク" xfId="1769" builtinId="8" hidden="1"/>
    <cellStyle name="ハイパーリンク" xfId="1771" builtinId="8" hidden="1"/>
    <cellStyle name="ハイパーリンク" xfId="1773" builtinId="8" hidden="1"/>
    <cellStyle name="ハイパーリンク" xfId="1775" builtinId="8" hidden="1"/>
    <cellStyle name="ハイパーリンク" xfId="1777" builtinId="8" hidden="1"/>
    <cellStyle name="ハイパーリンク" xfId="1779" builtinId="8" hidden="1"/>
    <cellStyle name="ハイパーリンク" xfId="1781" builtinId="8" hidden="1"/>
    <cellStyle name="ハイパーリンク" xfId="1783" builtinId="8" hidden="1"/>
    <cellStyle name="ハイパーリンク" xfId="1785" builtinId="8" hidden="1"/>
    <cellStyle name="ハイパーリンク" xfId="1787" builtinId="8" hidden="1"/>
    <cellStyle name="ハイパーリンク" xfId="1789" builtinId="8" hidden="1"/>
    <cellStyle name="ハイパーリンク" xfId="1791" builtinId="8" hidden="1"/>
    <cellStyle name="ハイパーリンク" xfId="1793" builtinId="8" hidden="1"/>
    <cellStyle name="ハイパーリンク" xfId="1795" builtinId="8" hidden="1"/>
    <cellStyle name="ハイパーリンク" xfId="1797" builtinId="8" hidden="1"/>
    <cellStyle name="ハイパーリンク" xfId="1799" builtinId="8" hidden="1"/>
    <cellStyle name="ハイパーリンク" xfId="1801" builtinId="8" hidden="1"/>
    <cellStyle name="ハイパーリンク" xfId="1803" builtinId="8" hidden="1"/>
    <cellStyle name="ハイパーリンク" xfId="1805" builtinId="8" hidden="1"/>
    <cellStyle name="ハイパーリンク" xfId="1807" builtinId="8" hidden="1"/>
    <cellStyle name="ハイパーリンク" xfId="1809" builtinId="8" hidden="1"/>
    <cellStyle name="ハイパーリンク" xfId="1811" builtinId="8" hidden="1"/>
    <cellStyle name="ハイパーリンク" xfId="1813" builtinId="8" hidden="1"/>
    <cellStyle name="ハイパーリンク" xfId="1815" builtinId="8" hidden="1"/>
    <cellStyle name="ハイパーリンク" xfId="1817" builtinId="8" hidden="1"/>
    <cellStyle name="ハイパーリンク" xfId="1819" builtinId="8" hidden="1"/>
    <cellStyle name="ハイパーリンク" xfId="1821" builtinId="8" hidden="1"/>
    <cellStyle name="ハイパーリンク" xfId="1823" builtinId="8" hidden="1"/>
    <cellStyle name="ハイパーリンク" xfId="1825" builtinId="8" hidden="1"/>
    <cellStyle name="ハイパーリンク" xfId="1827" builtinId="8" hidden="1"/>
    <cellStyle name="ハイパーリンク" xfId="1829" builtinId="8" hidden="1"/>
    <cellStyle name="ハイパーリンク" xfId="1831" builtinId="8" hidden="1"/>
    <cellStyle name="ハイパーリンク" xfId="1833" builtinId="8" hidden="1"/>
    <cellStyle name="ハイパーリンク" xfId="1835" builtinId="8" hidden="1"/>
    <cellStyle name="ハイパーリンク" xfId="1837" builtinId="8" hidden="1"/>
    <cellStyle name="ハイパーリンク" xfId="1839" builtinId="8" hidden="1"/>
    <cellStyle name="ハイパーリンク" xfId="1841" builtinId="8" hidden="1"/>
    <cellStyle name="ハイパーリンク" xfId="1843" builtinId="8" hidden="1"/>
    <cellStyle name="ハイパーリンク" xfId="1845" builtinId="8" hidden="1"/>
    <cellStyle name="ハイパーリンク" xfId="1847" builtinId="8" hidden="1"/>
    <cellStyle name="ハイパーリンク" xfId="1849" builtinId="8" hidden="1"/>
    <cellStyle name="ハイパーリンク" xfId="1851" builtinId="8" hidden="1"/>
    <cellStyle name="ハイパーリンク" xfId="1853" builtinId="8" hidden="1"/>
    <cellStyle name="ハイパーリンク" xfId="1855" builtinId="8" hidden="1"/>
    <cellStyle name="ハイパーリンク" xfId="1857" builtinId="8" hidden="1"/>
    <cellStyle name="ハイパーリンク" xfId="1859" builtinId="8" hidden="1"/>
    <cellStyle name="ハイパーリンク" xfId="1861" builtinId="8" hidden="1"/>
    <cellStyle name="ハイパーリンク" xfId="1863" builtinId="8" hidden="1"/>
    <cellStyle name="ハイパーリンク" xfId="1865" builtinId="8" hidden="1"/>
    <cellStyle name="ハイパーリンク" xfId="1867" builtinId="8" hidden="1"/>
    <cellStyle name="ハイパーリンク" xfId="1869" builtinId="8" hidden="1"/>
    <cellStyle name="ハイパーリンク" xfId="1871" builtinId="8" hidden="1"/>
    <cellStyle name="ハイパーリンク" xfId="1873" builtinId="8" hidden="1"/>
    <cellStyle name="ハイパーリンク" xfId="1875" builtinId="8" hidden="1"/>
    <cellStyle name="ハイパーリンク" xfId="1877" builtinId="8" hidden="1"/>
    <cellStyle name="ハイパーリンク" xfId="1879" builtinId="8" hidden="1"/>
    <cellStyle name="ハイパーリンク" xfId="1881" builtinId="8" hidden="1"/>
    <cellStyle name="ハイパーリンク" xfId="1883" builtinId="8" hidden="1"/>
    <cellStyle name="ハイパーリンク" xfId="1885" builtinId="8" hidden="1"/>
    <cellStyle name="ハイパーリンク" xfId="1887" builtinId="8" hidden="1"/>
    <cellStyle name="ハイパーリンク" xfId="1889" builtinId="8" hidden="1"/>
    <cellStyle name="ハイパーリンク" xfId="1891" builtinId="8" hidden="1"/>
    <cellStyle name="ハイパーリンク" xfId="1893" builtinId="8" hidden="1"/>
    <cellStyle name="ハイパーリンク" xfId="1895" builtinId="8" hidden="1"/>
    <cellStyle name="ハイパーリンク" xfId="1897" builtinId="8" hidden="1"/>
    <cellStyle name="ハイパーリンク" xfId="1899" builtinId="8" hidden="1"/>
    <cellStyle name="ハイパーリンク" xfId="1901" builtinId="8" hidden="1"/>
    <cellStyle name="ハイパーリンク" xfId="1903" builtinId="8" hidden="1"/>
    <cellStyle name="ハイパーリンク" xfId="1905" builtinId="8" hidden="1"/>
    <cellStyle name="ハイパーリンク" xfId="1907" builtinId="8" hidden="1"/>
    <cellStyle name="ハイパーリンク" xfId="1909" builtinId="8" hidden="1"/>
    <cellStyle name="ハイパーリンク" xfId="1911" builtinId="8" hidden="1"/>
    <cellStyle name="ハイパーリンク" xfId="1913" builtinId="8" hidden="1"/>
    <cellStyle name="ハイパーリンク" xfId="1915" builtinId="8" hidden="1"/>
    <cellStyle name="ハイパーリンク" xfId="1917" builtinId="8" hidden="1"/>
    <cellStyle name="ハイパーリンク" xfId="1919" builtinId="8" hidden="1"/>
    <cellStyle name="ハイパーリンク" xfId="1921" builtinId="8" hidden="1"/>
    <cellStyle name="ハイパーリンク" xfId="1923" builtinId="8" hidden="1"/>
    <cellStyle name="ハイパーリンク" xfId="1925" builtinId="8" hidden="1"/>
    <cellStyle name="ハイパーリンク" xfId="1927" builtinId="8" hidden="1"/>
    <cellStyle name="ハイパーリンク" xfId="1929" builtinId="8" hidden="1"/>
    <cellStyle name="ハイパーリンク" xfId="1931" builtinId="8" hidden="1"/>
    <cellStyle name="ハイパーリンク" xfId="1933" builtinId="8" hidden="1"/>
    <cellStyle name="ハイパーリンク" xfId="1935" builtinId="8" hidden="1"/>
    <cellStyle name="ハイパーリンク" xfId="1937" builtinId="8" hidden="1"/>
    <cellStyle name="ハイパーリンク" xfId="1939" builtinId="8" hidden="1"/>
    <cellStyle name="ハイパーリンク" xfId="1941" builtinId="8" hidden="1"/>
    <cellStyle name="ハイパーリンク" xfId="1943" builtinId="8" hidden="1"/>
    <cellStyle name="ハイパーリンク" xfId="1945" builtinId="8" hidden="1"/>
    <cellStyle name="ハイパーリンク" xfId="1947" builtinId="8" hidden="1"/>
    <cellStyle name="ハイパーリンク" xfId="1949" builtinId="8" hidden="1"/>
    <cellStyle name="ハイパーリンク" xfId="1951" builtinId="8" hidden="1"/>
    <cellStyle name="ハイパーリンク" xfId="1953" builtinId="8" hidden="1"/>
    <cellStyle name="ハイパーリンク" xfId="1955" builtinId="8" hidden="1"/>
    <cellStyle name="ハイパーリンク" xfId="1957" builtinId="8" hidden="1"/>
    <cellStyle name="ハイパーリンク" xfId="1959" builtinId="8" hidden="1"/>
    <cellStyle name="ハイパーリンク" xfId="1961" builtinId="8" hidden="1"/>
    <cellStyle name="ハイパーリンク" xfId="1963" builtinId="8" hidden="1"/>
    <cellStyle name="ハイパーリンク" xfId="1965" builtinId="8" hidden="1"/>
    <cellStyle name="ハイパーリンク" xfId="1967" builtinId="8" hidden="1"/>
    <cellStyle name="ハイパーリンク" xfId="1969" builtinId="8" hidden="1"/>
    <cellStyle name="ハイパーリンク" xfId="1971" builtinId="8" hidden="1"/>
    <cellStyle name="ハイパーリンク" xfId="1973" builtinId="8" hidden="1"/>
    <cellStyle name="ハイパーリンク" xfId="1975" builtinId="8" hidden="1"/>
    <cellStyle name="ハイパーリンク" xfId="1977" builtinId="8" hidden="1"/>
    <cellStyle name="ハイパーリンク" xfId="1979" builtinId="8" hidden="1"/>
    <cellStyle name="ハイパーリンク" xfId="1981" builtinId="8" hidden="1"/>
    <cellStyle name="ハイパーリンク" xfId="1983" builtinId="8" hidden="1"/>
    <cellStyle name="ハイパーリンク" xfId="1985" builtinId="8" hidden="1"/>
    <cellStyle name="ハイパーリンク" xfId="1987" builtinId="8" hidden="1"/>
    <cellStyle name="ハイパーリンク" xfId="1989" builtinId="8" hidden="1"/>
    <cellStyle name="ハイパーリンク" xfId="1991" builtinId="8" hidden="1"/>
    <cellStyle name="ハイパーリンク" xfId="1993" builtinId="8" hidden="1"/>
    <cellStyle name="ハイパーリンク" xfId="1995" builtinId="8" hidden="1"/>
    <cellStyle name="ハイパーリンク" xfId="1997" builtinId="8" hidden="1"/>
    <cellStyle name="ハイパーリンク" xfId="1999" builtinId="8" hidden="1"/>
    <cellStyle name="ハイパーリンク" xfId="2001" builtinId="8" hidden="1"/>
    <cellStyle name="ハイパーリンク" xfId="2003" builtinId="8" hidden="1"/>
    <cellStyle name="ハイパーリンク" xfId="2005" builtinId="8" hidden="1"/>
    <cellStyle name="ハイパーリンク" xfId="2007" builtinId="8" hidden="1"/>
    <cellStyle name="ハイパーリンク" xfId="2009" builtinId="8" hidden="1"/>
    <cellStyle name="ハイパーリンク" xfId="2011" builtinId="8" hidden="1"/>
    <cellStyle name="ハイパーリンク" xfId="2013" builtinId="8" hidden="1"/>
    <cellStyle name="ハイパーリンク" xfId="2015" builtinId="8" hidden="1"/>
    <cellStyle name="ハイパーリンク" xfId="2017" builtinId="8" hidden="1"/>
    <cellStyle name="ハイパーリンク" xfId="2019" builtinId="8" hidden="1"/>
    <cellStyle name="ハイパーリンク" xfId="2021" builtinId="8" hidden="1"/>
    <cellStyle name="ハイパーリンク" xfId="2023" builtinId="8" hidden="1"/>
    <cellStyle name="ハイパーリンク" xfId="2025" builtinId="8" hidden="1"/>
    <cellStyle name="ハイパーリンク" xfId="2027" builtinId="8" hidden="1"/>
    <cellStyle name="ハイパーリンク" xfId="2029" builtinId="8" hidden="1"/>
    <cellStyle name="ハイパーリンク" xfId="2031" builtinId="8" hidden="1"/>
    <cellStyle name="ハイパーリンク" xfId="2033" builtinId="8" hidden="1"/>
    <cellStyle name="ハイパーリンク" xfId="2035" builtinId="8" hidden="1"/>
    <cellStyle name="ハイパーリンク" xfId="2037" builtinId="8" hidden="1"/>
    <cellStyle name="ハイパーリンク" xfId="2039" builtinId="8" hidden="1"/>
    <cellStyle name="ハイパーリンク" xfId="2041" builtinId="8" hidden="1"/>
    <cellStyle name="ハイパーリンク" xfId="2043" builtinId="8" hidden="1"/>
    <cellStyle name="ハイパーリンク" xfId="2045" builtinId="8" hidden="1"/>
    <cellStyle name="ハイパーリンク" xfId="2047" builtinId="8" hidden="1"/>
    <cellStyle name="ハイパーリンク" xfId="2049" builtinId="8" hidden="1"/>
    <cellStyle name="ハイパーリンク" xfId="2051" builtinId="8" hidden="1"/>
    <cellStyle name="ハイパーリンク" xfId="2053" builtinId="8" hidden="1"/>
    <cellStyle name="ハイパーリンク" xfId="2055" builtinId="8" hidden="1"/>
    <cellStyle name="ハイパーリンク" xfId="2057" builtinId="8" hidden="1"/>
    <cellStyle name="ハイパーリンク" xfId="2059" builtinId="8" hidden="1"/>
    <cellStyle name="ハイパーリンク" xfId="2061" builtinId="8" hidden="1"/>
    <cellStyle name="ハイパーリンク" xfId="2063" builtinId="8" hidden="1"/>
    <cellStyle name="ハイパーリンク" xfId="2065" builtinId="8" hidden="1"/>
    <cellStyle name="ハイパーリンク" xfId="2067" builtinId="8" hidden="1"/>
    <cellStyle name="ハイパーリンク" xfId="2069" builtinId="8" hidden="1"/>
    <cellStyle name="ハイパーリンク" xfId="2071" builtinId="8" hidden="1"/>
    <cellStyle name="ハイパーリンク" xfId="2073" builtinId="8" hidden="1"/>
    <cellStyle name="ハイパーリンク" xfId="2075" builtinId="8" hidden="1"/>
    <cellStyle name="ハイパーリンク" xfId="2077" builtinId="8" hidden="1"/>
    <cellStyle name="ハイパーリンク" xfId="2079" builtinId="8" hidden="1"/>
    <cellStyle name="ハイパーリンク" xfId="2081" builtinId="8" hidden="1"/>
    <cellStyle name="ハイパーリンク" xfId="2083" builtinId="8" hidden="1"/>
    <cellStyle name="ハイパーリンク" xfId="2085" builtinId="8" hidden="1"/>
    <cellStyle name="ハイパーリンク" xfId="2087" builtinId="8" hidden="1"/>
    <cellStyle name="ハイパーリンク" xfId="2089" builtinId="8" hidden="1"/>
    <cellStyle name="ハイパーリンク" xfId="2091" builtinId="8" hidden="1"/>
    <cellStyle name="ハイパーリンク" xfId="2093" builtinId="8" hidden="1"/>
    <cellStyle name="ハイパーリンク" xfId="2095" builtinId="8" hidden="1"/>
    <cellStyle name="ハイパーリンク" xfId="2097" builtinId="8" hidden="1"/>
    <cellStyle name="ハイパーリンク" xfId="2099" builtinId="8" hidden="1"/>
    <cellStyle name="ハイパーリンク" xfId="2101" builtinId="8" hidden="1"/>
    <cellStyle name="ハイパーリンク" xfId="2103" builtinId="8" hidden="1"/>
    <cellStyle name="ハイパーリンク" xfId="2105" builtinId="8" hidden="1"/>
    <cellStyle name="ハイパーリンク" xfId="2107" builtinId="8" hidden="1"/>
    <cellStyle name="ハイパーリンク" xfId="2109" builtinId="8" hidden="1"/>
    <cellStyle name="ハイパーリンク" xfId="2111" builtinId="8" hidden="1"/>
    <cellStyle name="ハイパーリンク" xfId="2113" builtinId="8" hidden="1"/>
    <cellStyle name="ハイパーリンク" xfId="2115" builtinId="8" hidden="1"/>
    <cellStyle name="ハイパーリンク" xfId="2117" builtinId="8" hidden="1"/>
    <cellStyle name="ハイパーリンク" xfId="2119" builtinId="8" hidden="1"/>
    <cellStyle name="ハイパーリンク" xfId="2121" builtinId="8" hidden="1"/>
    <cellStyle name="ハイパーリンク" xfId="2123" builtinId="8" hidden="1"/>
    <cellStyle name="ハイパーリンク" xfId="2125" builtinId="8" hidden="1"/>
    <cellStyle name="ハイパーリンク" xfId="2127" builtinId="8" hidden="1"/>
    <cellStyle name="ハイパーリンク" xfId="2129" builtinId="8" hidden="1"/>
    <cellStyle name="ハイパーリンク" xfId="2131" builtinId="8" hidden="1"/>
    <cellStyle name="ハイパーリンク" xfId="2133" builtinId="8" hidden="1"/>
    <cellStyle name="ハイパーリンク" xfId="2135" builtinId="8" hidden="1"/>
    <cellStyle name="ハイパーリンク" xfId="2137" builtinId="8" hidden="1"/>
    <cellStyle name="ハイパーリンク" xfId="2139" builtinId="8" hidden="1"/>
    <cellStyle name="ハイパーリンク" xfId="2141" builtinId="8" hidden="1"/>
    <cellStyle name="ハイパーリンク" xfId="2143" builtinId="8" hidden="1"/>
    <cellStyle name="ハイパーリンク" xfId="2145" builtinId="8" hidden="1"/>
    <cellStyle name="ハイパーリンク" xfId="2147" builtinId="8" hidden="1"/>
    <cellStyle name="ハイパーリンク" xfId="2149" builtinId="8" hidden="1"/>
    <cellStyle name="ハイパーリンク" xfId="2151" builtinId="8" hidden="1"/>
    <cellStyle name="ハイパーリンク" xfId="2153" builtinId="8" hidden="1"/>
    <cellStyle name="ハイパーリンク" xfId="2155" builtinId="8" hidden="1"/>
    <cellStyle name="ハイパーリンク" xfId="2157" builtinId="8" hidden="1"/>
    <cellStyle name="ハイパーリンク" xfId="2159" builtinId="8" hidden="1"/>
    <cellStyle name="ハイパーリンク" xfId="2161" builtinId="8" hidden="1"/>
    <cellStyle name="ハイパーリンク" xfId="2163" builtinId="8" hidden="1"/>
    <cellStyle name="ハイパーリンク" xfId="2165" builtinId="8" hidden="1"/>
    <cellStyle name="ハイパーリンク" xfId="2167" builtinId="8" hidden="1"/>
    <cellStyle name="ハイパーリンク" xfId="2169" builtinId="8" hidden="1"/>
    <cellStyle name="ハイパーリンク" xfId="2171" builtinId="8" hidden="1"/>
    <cellStyle name="ハイパーリンク" xfId="2173" builtinId="8" hidden="1"/>
    <cellStyle name="ハイパーリンク" xfId="2175" builtinId="8" hidden="1"/>
    <cellStyle name="ハイパーリンク" xfId="2177" builtinId="8" hidden="1"/>
    <cellStyle name="ハイパーリンク" xfId="2179" builtinId="8" hidden="1"/>
    <cellStyle name="ハイパーリンク" xfId="2181" builtinId="8" hidden="1"/>
    <cellStyle name="ハイパーリンク" xfId="2183" builtinId="8" hidden="1"/>
    <cellStyle name="ハイパーリンク" xfId="2185" builtinId="8" hidden="1"/>
    <cellStyle name="ハイパーリンク" xfId="2187" builtinId="8" hidden="1"/>
    <cellStyle name="ハイパーリンク" xfId="2189" builtinId="8" hidden="1"/>
    <cellStyle name="ハイパーリンク" xfId="2191" builtinId="8" hidden="1"/>
    <cellStyle name="ハイパーリンク" xfId="2193" builtinId="8" hidden="1"/>
    <cellStyle name="ハイパーリンク" xfId="2195" builtinId="8" hidden="1"/>
    <cellStyle name="ハイパーリンク" xfId="2197" builtinId="8" hidden="1"/>
    <cellStyle name="ハイパーリンク" xfId="2199" builtinId="8" hidden="1"/>
    <cellStyle name="ハイパーリンク" xfId="2201" builtinId="8" hidden="1"/>
    <cellStyle name="ハイパーリンク" xfId="2203" builtinId="8" hidden="1"/>
    <cellStyle name="ハイパーリンク" xfId="2205" builtinId="8" hidden="1"/>
    <cellStyle name="ハイパーリンク" xfId="2207" builtinId="8" hidden="1"/>
    <cellStyle name="ハイパーリンク" xfId="2209" builtinId="8" hidden="1"/>
    <cellStyle name="ハイパーリンク" xfId="2211" builtinId="8" hidden="1"/>
    <cellStyle name="ハイパーリンク" xfId="2213" builtinId="8" hidden="1"/>
    <cellStyle name="ハイパーリンク" xfId="2215" builtinId="8" hidden="1"/>
    <cellStyle name="ハイパーリンク" xfId="2217" builtinId="8" hidden="1"/>
    <cellStyle name="ハイパーリンク" xfId="2219" builtinId="8" hidden="1"/>
    <cellStyle name="ハイパーリンク" xfId="2221" builtinId="8" hidden="1"/>
    <cellStyle name="ハイパーリンク" xfId="2223" builtinId="8" hidden="1"/>
    <cellStyle name="ハイパーリンク" xfId="2225" builtinId="8" hidden="1"/>
    <cellStyle name="ハイパーリンク" xfId="2227" builtinId="8" hidden="1"/>
    <cellStyle name="ハイパーリンク" xfId="2229" builtinId="8" hidden="1"/>
    <cellStyle name="ハイパーリンク" xfId="2231" builtinId="8" hidden="1"/>
    <cellStyle name="ハイパーリンク" xfId="2233" builtinId="8" hidden="1"/>
    <cellStyle name="ハイパーリンク" xfId="2235" builtinId="8" hidden="1"/>
    <cellStyle name="ハイパーリンク" xfId="2237" builtinId="8" hidden="1"/>
    <cellStyle name="ハイパーリンク" xfId="2239" builtinId="8" hidden="1"/>
    <cellStyle name="ハイパーリンク" xfId="2241" builtinId="8" hidden="1"/>
    <cellStyle name="ハイパーリンク" xfId="2243" builtinId="8" hidden="1"/>
    <cellStyle name="ハイパーリンク" xfId="2245" builtinId="8" hidden="1"/>
    <cellStyle name="ハイパーリンク" xfId="2247" builtinId="8" hidden="1"/>
    <cellStyle name="ハイパーリンク" xfId="2249" builtinId="8" hidden="1"/>
    <cellStyle name="ハイパーリンク" xfId="2251" builtinId="8" hidden="1"/>
    <cellStyle name="ハイパーリンク" xfId="2253" builtinId="8" hidden="1"/>
    <cellStyle name="ハイパーリンク" xfId="2255" builtinId="8" hidden="1"/>
    <cellStyle name="ハイパーリンク" xfId="2257" builtinId="8" hidden="1"/>
    <cellStyle name="ハイパーリンク" xfId="2259" builtinId="8" hidden="1"/>
    <cellStyle name="ハイパーリンク" xfId="2261" builtinId="8" hidden="1"/>
    <cellStyle name="ハイパーリンク" xfId="2263" builtinId="8" hidden="1"/>
    <cellStyle name="ハイパーリンク" xfId="2265" builtinId="8" hidden="1"/>
    <cellStyle name="ハイパーリンク" xfId="2267" builtinId="8" hidden="1"/>
    <cellStyle name="ハイパーリンク" xfId="2269" builtinId="8" hidden="1"/>
    <cellStyle name="ハイパーリンク" xfId="2271" builtinId="8" hidden="1"/>
    <cellStyle name="ハイパーリンク" xfId="2273" builtinId="8" hidden="1"/>
    <cellStyle name="ハイパーリンク" xfId="2275" builtinId="8" hidden="1"/>
    <cellStyle name="ハイパーリンク" xfId="2277" builtinId="8" hidden="1"/>
    <cellStyle name="ハイパーリンク" xfId="2279" builtinId="8" hidden="1"/>
    <cellStyle name="ハイパーリンク" xfId="2281" builtinId="8" hidden="1"/>
    <cellStyle name="ハイパーリンク" xfId="2283" builtinId="8" hidden="1"/>
    <cellStyle name="ハイパーリンク" xfId="2285" builtinId="8" hidden="1"/>
    <cellStyle name="ハイパーリンク" xfId="2287" builtinId="8" hidden="1"/>
    <cellStyle name="ハイパーリンク" xfId="2289" builtinId="8" hidden="1"/>
    <cellStyle name="ハイパーリンク" xfId="2291" builtinId="8" hidden="1"/>
    <cellStyle name="ハイパーリンク" xfId="2293" builtinId="8" hidden="1"/>
    <cellStyle name="ハイパーリンク" xfId="2295" builtinId="8" hidden="1"/>
    <cellStyle name="ハイパーリンク" xfId="2297" builtinId="8" hidden="1"/>
    <cellStyle name="ハイパーリンク" xfId="2299" builtinId="8" hidden="1"/>
    <cellStyle name="ハイパーリンク" xfId="2301" builtinId="8" hidden="1"/>
    <cellStyle name="ハイパーリンク" xfId="2303" builtinId="8" hidden="1"/>
    <cellStyle name="ハイパーリンク" xfId="2305" builtinId="8" hidden="1"/>
    <cellStyle name="ハイパーリンク" xfId="2307" builtinId="8" hidden="1"/>
    <cellStyle name="ハイパーリンク" xfId="2309" builtinId="8" hidden="1"/>
    <cellStyle name="ハイパーリンク" xfId="2311" builtinId="8" hidden="1"/>
    <cellStyle name="ハイパーリンク" xfId="2313" builtinId="8" hidden="1"/>
    <cellStyle name="ハイパーリンク" xfId="2315" builtinId="8" hidden="1"/>
    <cellStyle name="ハイパーリンク" xfId="2317" builtinId="8" hidden="1"/>
    <cellStyle name="ハイパーリンク" xfId="2319" builtinId="8" hidden="1"/>
    <cellStyle name="ハイパーリンク" xfId="2321" builtinId="8" hidden="1"/>
    <cellStyle name="ハイパーリンク" xfId="2323" builtinId="8" hidden="1"/>
    <cellStyle name="ハイパーリンク" xfId="2325" builtinId="8" hidden="1"/>
    <cellStyle name="ハイパーリンク" xfId="2327" builtinId="8" hidden="1"/>
    <cellStyle name="ハイパーリンク" xfId="2329" builtinId="8" hidden="1"/>
    <cellStyle name="ハイパーリンク" xfId="2331" builtinId="8" hidden="1"/>
    <cellStyle name="ハイパーリンク" xfId="2333" builtinId="8" hidden="1"/>
    <cellStyle name="ハイパーリンク" xfId="2335" builtinId="8" hidden="1"/>
    <cellStyle name="ハイパーリンク" xfId="2337" builtinId="8" hidden="1"/>
    <cellStyle name="ハイパーリンク" xfId="2339" builtinId="8" hidden="1"/>
    <cellStyle name="ハイパーリンク" xfId="2341" builtinId="8" hidden="1"/>
    <cellStyle name="ハイパーリンク" xfId="2343" builtinId="8" hidden="1"/>
    <cellStyle name="ハイパーリンク" xfId="2345" builtinId="8" hidden="1"/>
    <cellStyle name="ハイパーリンク" xfId="2347" builtinId="8" hidden="1"/>
    <cellStyle name="ハイパーリンク" xfId="2349" builtinId="8" hidden="1"/>
    <cellStyle name="ハイパーリンク" xfId="2351" builtinId="8" hidden="1"/>
    <cellStyle name="ハイパーリンク" xfId="2353" builtinId="8" hidden="1"/>
    <cellStyle name="ハイパーリンク" xfId="2355" builtinId="8" hidden="1"/>
    <cellStyle name="ハイパーリンク" xfId="2357" builtinId="8" hidden="1"/>
    <cellStyle name="ハイパーリンク" xfId="2359" builtinId="8" hidden="1"/>
    <cellStyle name="ハイパーリンク" xfId="2361" builtinId="8" hidden="1"/>
    <cellStyle name="ハイパーリンク" xfId="2363" builtinId="8" hidden="1"/>
    <cellStyle name="ハイパーリンク" xfId="2365" builtinId="8" hidden="1"/>
    <cellStyle name="ハイパーリンク" xfId="2367" builtinId="8" hidden="1"/>
    <cellStyle name="ハイパーリンク" xfId="2369" builtinId="8" hidden="1"/>
    <cellStyle name="ハイパーリンク" xfId="2371" builtinId="8" hidden="1"/>
    <cellStyle name="ハイパーリンク" xfId="2373" builtinId="8" hidden="1"/>
    <cellStyle name="ハイパーリンク" xfId="2375" builtinId="8" hidden="1"/>
    <cellStyle name="ハイパーリンク" xfId="2377" builtinId="8" hidden="1"/>
    <cellStyle name="ハイパーリンク" xfId="2379" builtinId="8" hidden="1"/>
    <cellStyle name="ハイパーリンク" xfId="2381" builtinId="8" hidden="1"/>
    <cellStyle name="ハイパーリンク" xfId="2383" builtinId="8" hidden="1"/>
    <cellStyle name="ハイパーリンク" xfId="2385" builtinId="8" hidden="1"/>
    <cellStyle name="ハイパーリンク" xfId="2387" builtinId="8" hidden="1"/>
    <cellStyle name="ハイパーリンク" xfId="2389" builtinId="8" hidden="1"/>
    <cellStyle name="ハイパーリンク" xfId="2391" builtinId="8" hidden="1"/>
    <cellStyle name="ハイパーリンク" xfId="2393" builtinId="8" hidden="1"/>
    <cellStyle name="ハイパーリンク" xfId="2395" builtinId="8" hidden="1"/>
    <cellStyle name="ハイパーリンク" xfId="2397" builtinId="8" hidden="1"/>
    <cellStyle name="ハイパーリンク" xfId="2399" builtinId="8" hidden="1"/>
    <cellStyle name="ハイパーリンク" xfId="2401" builtinId="8" hidden="1"/>
    <cellStyle name="ハイパーリンク" xfId="2403" builtinId="8" hidden="1"/>
    <cellStyle name="ハイパーリンク" xfId="2405" builtinId="8" hidden="1"/>
    <cellStyle name="ハイパーリンク" xfId="2407" builtinId="8" hidden="1"/>
    <cellStyle name="ハイパーリンク" xfId="2409" builtinId="8" hidden="1"/>
    <cellStyle name="ハイパーリンク" xfId="2411" builtinId="8" hidden="1"/>
    <cellStyle name="ハイパーリンク" xfId="2413" builtinId="8" hidden="1"/>
    <cellStyle name="ハイパーリンク" xfId="2415" builtinId="8" hidden="1"/>
    <cellStyle name="ハイパーリンク" xfId="2417" builtinId="8" hidden="1"/>
    <cellStyle name="ハイパーリンク" xfId="2419" builtinId="8" hidden="1"/>
    <cellStyle name="ハイパーリンク" xfId="2421" builtinId="8" hidden="1"/>
    <cellStyle name="ハイパーリンク" xfId="2423" builtinId="8" hidden="1"/>
    <cellStyle name="ハイパーリンク" xfId="2425" builtinId="8" hidden="1"/>
    <cellStyle name="ハイパーリンク" xfId="2427" builtinId="8" hidden="1"/>
    <cellStyle name="ハイパーリンク" xfId="2429" builtinId="8" hidden="1"/>
    <cellStyle name="ハイパーリンク" xfId="2431" builtinId="8" hidden="1"/>
    <cellStyle name="ハイパーリンク" xfId="2433" builtinId="8" hidden="1"/>
    <cellStyle name="ハイパーリンク" xfId="2435" builtinId="8" hidden="1"/>
    <cellStyle name="ハイパーリンク" xfId="2437" builtinId="8" hidden="1"/>
    <cellStyle name="ハイパーリンク" xfId="2439" builtinId="8" hidden="1"/>
    <cellStyle name="ハイパーリンク" xfId="2441" builtinId="8" hidden="1"/>
    <cellStyle name="ハイパーリンク" xfId="2443" builtinId="8" hidden="1"/>
    <cellStyle name="ハイパーリンク" xfId="2445" builtinId="8" hidden="1"/>
    <cellStyle name="ハイパーリンク" xfId="2447" builtinId="8" hidden="1"/>
    <cellStyle name="ハイパーリンク" xfId="2449" builtinId="8" hidden="1"/>
    <cellStyle name="ハイパーリンク" xfId="2451" builtinId="8" hidden="1"/>
    <cellStyle name="ハイパーリンク" xfId="2453" builtinId="8" hidden="1"/>
    <cellStyle name="ハイパーリンク" xfId="2455" builtinId="8" hidden="1"/>
    <cellStyle name="ハイパーリンク" xfId="2457" builtinId="8" hidden="1"/>
    <cellStyle name="ハイパーリンク" xfId="2459" builtinId="8" hidden="1"/>
    <cellStyle name="ハイパーリンク" xfId="2461" builtinId="8" hidden="1"/>
    <cellStyle name="ハイパーリンク" xfId="2463" builtinId="8" hidden="1"/>
    <cellStyle name="ハイパーリンク" xfId="2465" builtinId="8" hidden="1"/>
    <cellStyle name="ハイパーリンク" xfId="2467" builtinId="8" hidden="1"/>
    <cellStyle name="ハイパーリンク" xfId="2469" builtinId="8" hidden="1"/>
    <cellStyle name="ハイパーリンク" xfId="2471" builtinId="8" hidden="1"/>
    <cellStyle name="ハイパーリンク" xfId="2473" builtinId="8" hidden="1"/>
    <cellStyle name="ハイパーリンク" xfId="2475" builtinId="8" hidden="1"/>
    <cellStyle name="ハイパーリンク" xfId="2477" builtinId="8" hidden="1"/>
    <cellStyle name="ハイパーリンク" xfId="2479" builtinId="8" hidden="1"/>
    <cellStyle name="ハイパーリンク" xfId="2481" builtinId="8" hidden="1"/>
    <cellStyle name="ハイパーリンク" xfId="2483" builtinId="8" hidden="1"/>
    <cellStyle name="ハイパーリンク" xfId="2485" builtinId="8" hidden="1"/>
    <cellStyle name="ハイパーリンク" xfId="2487" builtinId="8" hidden="1"/>
    <cellStyle name="ハイパーリンク" xfId="2489" builtinId="8" hidden="1"/>
    <cellStyle name="ハイパーリンク" xfId="2491" builtinId="8" hidden="1"/>
    <cellStyle name="ハイパーリンク" xfId="2493" builtinId="8" hidden="1"/>
    <cellStyle name="ハイパーリンク" xfId="2495" builtinId="8" hidden="1"/>
    <cellStyle name="ハイパーリンク" xfId="2497" builtinId="8" hidden="1"/>
    <cellStyle name="ハイパーリンク" xfId="2499" builtinId="8" hidden="1"/>
    <cellStyle name="ハイパーリンク" xfId="2501" builtinId="8" hidden="1"/>
    <cellStyle name="ハイパーリンク" xfId="2503" builtinId="8" hidden="1"/>
    <cellStyle name="ハイパーリンク" xfId="2505" builtinId="8" hidden="1"/>
    <cellStyle name="ハイパーリンク" xfId="2507" builtinId="8" hidden="1"/>
    <cellStyle name="ハイパーリンク" xfId="2509" builtinId="8" hidden="1"/>
    <cellStyle name="ハイパーリンク" xfId="2511" builtinId="8" hidden="1"/>
    <cellStyle name="ハイパーリンク" xfId="2513" builtinId="8" hidden="1"/>
    <cellStyle name="ハイパーリンク" xfId="2515" builtinId="8" hidden="1"/>
    <cellStyle name="ハイパーリンク" xfId="2517" builtinId="8" hidden="1"/>
    <cellStyle name="ハイパーリンク" xfId="2519" builtinId="8" hidden="1"/>
    <cellStyle name="ハイパーリンク" xfId="2521" builtinId="8" hidden="1"/>
    <cellStyle name="ハイパーリンク" xfId="2523" builtinId="8" hidden="1"/>
    <cellStyle name="ハイパーリンク" xfId="2525" builtinId="8" hidden="1"/>
    <cellStyle name="ハイパーリンク" xfId="2527" builtinId="8" hidden="1"/>
    <cellStyle name="ハイパーリンク" xfId="2529" builtinId="8" hidden="1"/>
    <cellStyle name="ハイパーリンク" xfId="2531" builtinId="8" hidden="1"/>
    <cellStyle name="ハイパーリンク" xfId="2533" builtinId="8" hidden="1"/>
    <cellStyle name="ハイパーリンク" xfId="2535" builtinId="8" hidden="1"/>
    <cellStyle name="ハイパーリンク" xfId="2537" builtinId="8" hidden="1"/>
    <cellStyle name="ハイパーリンク" xfId="2539" builtinId="8" hidden="1"/>
    <cellStyle name="ハイパーリンク" xfId="2541" builtinId="8" hidden="1"/>
    <cellStyle name="ハイパーリンク" xfId="2543" builtinId="8" hidden="1"/>
    <cellStyle name="ハイパーリンク" xfId="2545" builtinId="8" hidden="1"/>
    <cellStyle name="ハイパーリンク" xfId="2547" builtinId="8" hidden="1"/>
    <cellStyle name="ハイパーリンク" xfId="2549" builtinId="8" hidden="1"/>
    <cellStyle name="ハイパーリンク" xfId="2551" builtinId="8" hidden="1"/>
    <cellStyle name="ハイパーリンク" xfId="2553" builtinId="8" hidden="1"/>
    <cellStyle name="ハイパーリンク" xfId="2555" builtinId="8" hidden="1"/>
    <cellStyle name="ハイパーリンク" xfId="2557" builtinId="8" hidden="1"/>
    <cellStyle name="ハイパーリンク" xfId="2559" builtinId="8" hidden="1"/>
    <cellStyle name="ハイパーリンク" xfId="2561" builtinId="8" hidden="1"/>
    <cellStyle name="ハイパーリンク" xfId="2563" builtinId="8" hidden="1"/>
    <cellStyle name="ハイパーリンク" xfId="2565" builtinId="8" hidden="1"/>
    <cellStyle name="ハイパーリンク" xfId="2567" builtinId="8" hidden="1"/>
    <cellStyle name="ハイパーリンク" xfId="2569" builtinId="8" hidden="1"/>
    <cellStyle name="ハイパーリンク" xfId="2571" builtinId="8" hidden="1"/>
    <cellStyle name="ハイパーリンク" xfId="2573" builtinId="8" hidden="1"/>
    <cellStyle name="ハイパーリンク" xfId="2575" builtinId="8" hidden="1"/>
    <cellStyle name="ハイパーリンク" xfId="2577" builtinId="8" hidden="1"/>
    <cellStyle name="ハイパーリンク" xfId="2579" builtinId="8" hidden="1"/>
    <cellStyle name="ハイパーリンク" xfId="2581" builtinId="8" hidden="1"/>
    <cellStyle name="ハイパーリンク" xfId="2583" builtinId="8" hidden="1"/>
    <cellStyle name="ハイパーリンク" xfId="2585" builtinId="8" hidden="1"/>
    <cellStyle name="ハイパーリンク" xfId="2587" builtinId="8" hidden="1"/>
    <cellStyle name="ハイパーリンク" xfId="2589" builtinId="8" hidden="1"/>
    <cellStyle name="ハイパーリンク" xfId="2591" builtinId="8" hidden="1"/>
    <cellStyle name="ハイパーリンク" xfId="2593" builtinId="8" hidden="1"/>
    <cellStyle name="ハイパーリンク" xfId="2595" builtinId="8" hidden="1"/>
    <cellStyle name="ハイパーリンク" xfId="2597" builtinId="8" hidden="1"/>
    <cellStyle name="ハイパーリンク" xfId="2599" builtinId="8" hidden="1"/>
    <cellStyle name="ハイパーリンク" xfId="2601" builtinId="8" hidden="1"/>
    <cellStyle name="ハイパーリンク" xfId="2603" builtinId="8" hidden="1"/>
    <cellStyle name="ハイパーリンク" xfId="2605" builtinId="8" hidden="1"/>
    <cellStyle name="ハイパーリンク" xfId="2607" builtinId="8" hidden="1"/>
    <cellStyle name="ハイパーリンク" xfId="2609" builtinId="8" hidden="1"/>
    <cellStyle name="ハイパーリンク" xfId="2611" builtinId="8" hidden="1"/>
    <cellStyle name="ハイパーリンク" xfId="2613" builtinId="8" hidden="1"/>
    <cellStyle name="ハイパーリンク" xfId="2615" builtinId="8" hidden="1"/>
    <cellStyle name="ハイパーリンク" xfId="2617" builtinId="8" hidden="1"/>
    <cellStyle name="ハイパーリンク" xfId="2619" builtinId="8" hidden="1"/>
    <cellStyle name="ハイパーリンク" xfId="2621" builtinId="8" hidden="1"/>
    <cellStyle name="ハイパーリンク" xfId="2623" builtinId="8" hidden="1"/>
    <cellStyle name="ハイパーリンク" xfId="2625" builtinId="8" hidden="1"/>
    <cellStyle name="ハイパーリンク" xfId="2627" builtinId="8" hidden="1"/>
    <cellStyle name="ハイパーリンク" xfId="2629" builtinId="8" hidden="1"/>
    <cellStyle name="ハイパーリンク" xfId="2631" builtinId="8" hidden="1"/>
    <cellStyle name="ハイパーリンク" xfId="2633" builtinId="8" hidden="1"/>
    <cellStyle name="ハイパーリンク" xfId="2635" builtinId="8" hidden="1"/>
    <cellStyle name="ハイパーリンク" xfId="2637" builtinId="8" hidden="1"/>
    <cellStyle name="ハイパーリンク" xfId="2639" builtinId="8" hidden="1"/>
    <cellStyle name="ハイパーリンク" xfId="2641" builtinId="8" hidden="1"/>
    <cellStyle name="ハイパーリンク" xfId="2643" builtinId="8" hidden="1"/>
    <cellStyle name="ハイパーリンク" xfId="2645" builtinId="8" hidden="1"/>
    <cellStyle name="ハイパーリンク" xfId="2647" builtinId="8" hidden="1"/>
    <cellStyle name="ハイパーリンク" xfId="2649" builtinId="8" hidden="1"/>
    <cellStyle name="ハイパーリンク" xfId="2651" builtinId="8" hidden="1"/>
    <cellStyle name="ハイパーリンク" xfId="2653" builtinId="8" hidden="1"/>
    <cellStyle name="ハイパーリンク" xfId="2655" builtinId="8" hidden="1"/>
    <cellStyle name="ハイパーリンク" xfId="2657" builtinId="8" hidden="1"/>
    <cellStyle name="ハイパーリンク" xfId="2659" builtinId="8" hidden="1"/>
    <cellStyle name="ハイパーリンク" xfId="2661" builtinId="8" hidden="1"/>
    <cellStyle name="ハイパーリンク" xfId="2663" builtinId="8" hidden="1"/>
    <cellStyle name="ハイパーリンク" xfId="2665" builtinId="8" hidden="1"/>
    <cellStyle name="ハイパーリンク" xfId="2667" builtinId="8" hidden="1"/>
    <cellStyle name="ハイパーリンク" xfId="2669" builtinId="8" hidden="1"/>
    <cellStyle name="ハイパーリンク" xfId="2671" builtinId="8" hidden="1"/>
    <cellStyle name="ハイパーリンク" xfId="2673" builtinId="8" hidden="1"/>
    <cellStyle name="ハイパーリンク" xfId="2675" builtinId="8" hidden="1"/>
    <cellStyle name="ハイパーリンク" xfId="2677" builtinId="8" hidden="1"/>
    <cellStyle name="ハイパーリンク" xfId="2679" builtinId="8" hidden="1"/>
    <cellStyle name="ハイパーリンク" xfId="2681" builtinId="8" hidden="1"/>
    <cellStyle name="ハイパーリンク" xfId="2683" builtinId="8" hidden="1"/>
    <cellStyle name="ハイパーリンク" xfId="2685" builtinId="8" hidden="1"/>
    <cellStyle name="ハイパーリンク" xfId="2687" builtinId="8" hidden="1"/>
    <cellStyle name="ハイパーリンク" xfId="2689" builtinId="8" hidden="1"/>
    <cellStyle name="ハイパーリンク" xfId="2691" builtinId="8" hidden="1"/>
    <cellStyle name="ハイパーリンク" xfId="2693" builtinId="8" hidden="1"/>
    <cellStyle name="ハイパーリンク" xfId="2695" builtinId="8" hidden="1"/>
    <cellStyle name="ハイパーリンク" xfId="2697" builtinId="8" hidden="1"/>
    <cellStyle name="ハイパーリンク" xfId="2699" builtinId="8" hidden="1"/>
    <cellStyle name="ハイパーリンク" xfId="2701" builtinId="8" hidden="1"/>
    <cellStyle name="ハイパーリンク" xfId="2703" builtinId="8" hidden="1"/>
    <cellStyle name="ハイパーリンク" xfId="2705" builtinId="8" hidden="1"/>
    <cellStyle name="ハイパーリンク" xfId="2707" builtinId="8" hidden="1"/>
    <cellStyle name="ハイパーリンク" xfId="2709" builtinId="8" hidden="1"/>
    <cellStyle name="ハイパーリンク" xfId="2711" builtinId="8" hidden="1"/>
    <cellStyle name="ハイパーリンク" xfId="2713" builtinId="8" hidden="1"/>
    <cellStyle name="ハイパーリンク" xfId="2715" builtinId="8" hidden="1"/>
    <cellStyle name="ハイパーリンク" xfId="2717" builtinId="8" hidden="1"/>
    <cellStyle name="ハイパーリンク" xfId="2719" builtinId="8" hidden="1"/>
    <cellStyle name="ハイパーリンク" xfId="2721" builtinId="8" hidden="1"/>
    <cellStyle name="ハイパーリンク" xfId="2723" builtinId="8" hidden="1"/>
    <cellStyle name="ハイパーリンク" xfId="2725" builtinId="8" hidden="1"/>
    <cellStyle name="ハイパーリンク" xfId="2727" builtinId="8" hidden="1"/>
    <cellStyle name="ハイパーリンク" xfId="2729" builtinId="8" hidden="1"/>
    <cellStyle name="ハイパーリンク" xfId="2731" builtinId="8" hidden="1"/>
    <cellStyle name="ハイパーリンク" xfId="2733" builtinId="8" hidden="1"/>
    <cellStyle name="ハイパーリンク" xfId="2735" builtinId="8" hidden="1"/>
    <cellStyle name="ハイパーリンク" xfId="2737" builtinId="8" hidden="1"/>
    <cellStyle name="ハイパーリンク" xfId="2739" builtinId="8" hidden="1"/>
    <cellStyle name="ハイパーリンク" xfId="2741" builtinId="8" hidden="1"/>
    <cellStyle name="ハイパーリンク" xfId="2743" builtinId="8" hidden="1"/>
    <cellStyle name="ハイパーリンク" xfId="2745" builtinId="8" hidden="1"/>
    <cellStyle name="ハイパーリンク" xfId="2747" builtinId="8" hidden="1"/>
    <cellStyle name="ハイパーリンク" xfId="2749" builtinId="8" hidden="1"/>
    <cellStyle name="ハイパーリンク" xfId="2751" builtinId="8" hidden="1"/>
    <cellStyle name="ハイパーリンク" xfId="2753" builtinId="8" hidden="1"/>
    <cellStyle name="ハイパーリンク" xfId="2755" builtinId="8" hidden="1"/>
    <cellStyle name="ハイパーリンク" xfId="2757" builtinId="8" hidden="1"/>
    <cellStyle name="ハイパーリンク" xfId="2759" builtinId="8" hidden="1"/>
    <cellStyle name="ハイパーリンク" xfId="2761" builtinId="8" hidden="1"/>
    <cellStyle name="ハイパーリンク" xfId="2763" builtinId="8" hidden="1"/>
    <cellStyle name="ハイパーリンク" xfId="2765" builtinId="8" hidden="1"/>
    <cellStyle name="ハイパーリンク" xfId="2767" builtinId="8" hidden="1"/>
    <cellStyle name="ハイパーリンク" xfId="2769" builtinId="8" hidden="1"/>
    <cellStyle name="ハイパーリンク" xfId="2771" builtinId="8" hidden="1"/>
    <cellStyle name="ハイパーリンク" xfId="2773" builtinId="8" hidden="1"/>
    <cellStyle name="ハイパーリンク" xfId="2775" builtinId="8" hidden="1"/>
    <cellStyle name="ハイパーリンク" xfId="2777" builtinId="8" hidden="1"/>
    <cellStyle name="ハイパーリンク" xfId="2779" builtinId="8" hidden="1"/>
    <cellStyle name="ハイパーリンク" xfId="2781" builtinId="8" hidden="1"/>
    <cellStyle name="ハイパーリンク" xfId="2783" builtinId="8" hidden="1"/>
    <cellStyle name="ハイパーリンク" xfId="2785" builtinId="8" hidden="1"/>
    <cellStyle name="ハイパーリンク" xfId="2787" builtinId="8" hidden="1"/>
    <cellStyle name="ハイパーリンク" xfId="2789" builtinId="8" hidden="1"/>
    <cellStyle name="ハイパーリンク" xfId="2791" builtinId="8" hidden="1"/>
    <cellStyle name="ハイパーリンク" xfId="2793" builtinId="8" hidden="1"/>
    <cellStyle name="ハイパーリンク" xfId="2795" builtinId="8" hidden="1"/>
    <cellStyle name="ハイパーリンク" xfId="2797" builtinId="8" hidden="1"/>
    <cellStyle name="ハイパーリンク" xfId="2799" builtinId="8" hidden="1"/>
    <cellStyle name="ハイパーリンク" xfId="2801" builtinId="8" hidden="1"/>
    <cellStyle name="ハイパーリンク" xfId="2803" builtinId="8" hidden="1"/>
    <cellStyle name="ハイパーリンク" xfId="2805" builtinId="8" hidden="1"/>
    <cellStyle name="ハイパーリンク" xfId="2807" builtinId="8" hidden="1"/>
    <cellStyle name="ハイパーリンク" xfId="2809" builtinId="8" hidden="1"/>
    <cellStyle name="ハイパーリンク" xfId="2811" builtinId="8" hidden="1"/>
    <cellStyle name="ハイパーリンク" xfId="2813" builtinId="8" hidden="1"/>
    <cellStyle name="ハイパーリンク" xfId="2815" builtinId="8" hidden="1"/>
    <cellStyle name="ハイパーリンク" xfId="2817" builtinId="8" hidden="1"/>
    <cellStyle name="ハイパーリンク" xfId="2819" builtinId="8" hidden="1"/>
    <cellStyle name="ハイパーリンク" xfId="2821" builtinId="8" hidden="1"/>
    <cellStyle name="ハイパーリンク" xfId="2823" builtinId="8" hidden="1"/>
    <cellStyle name="ハイパーリンク" xfId="2825" builtinId="8" hidden="1"/>
    <cellStyle name="ハイパーリンク" xfId="2827" builtinId="8" hidden="1"/>
    <cellStyle name="ハイパーリンク" xfId="2829" builtinId="8" hidden="1"/>
    <cellStyle name="ハイパーリンク" xfId="2831" builtinId="8" hidden="1"/>
    <cellStyle name="ハイパーリンク" xfId="2833" builtinId="8" hidden="1"/>
    <cellStyle name="ハイパーリンク" xfId="2835" builtinId="8" hidden="1"/>
    <cellStyle name="ハイパーリンク" xfId="2837" builtinId="8" hidden="1"/>
    <cellStyle name="ハイパーリンク" xfId="2839" builtinId="8" hidden="1"/>
    <cellStyle name="ハイパーリンク" xfId="2841" builtinId="8" hidden="1"/>
    <cellStyle name="ハイパーリンク" xfId="2843" builtinId="8" hidden="1"/>
    <cellStyle name="ハイパーリンク" xfId="2845" builtinId="8" hidden="1"/>
    <cellStyle name="ハイパーリンク" xfId="2847" builtinId="8" hidden="1"/>
    <cellStyle name="ハイパーリンク" xfId="2849" builtinId="8" hidden="1"/>
    <cellStyle name="ハイパーリンク" xfId="2851" builtinId="8" hidden="1"/>
    <cellStyle name="ハイパーリンク" xfId="2853" builtinId="8" hidden="1"/>
    <cellStyle name="ハイパーリンク" xfId="2855" builtinId="8" hidden="1"/>
    <cellStyle name="ハイパーリンク" xfId="2857" builtinId="8" hidden="1"/>
    <cellStyle name="ハイパーリンク" xfId="2859" builtinId="8" hidden="1"/>
    <cellStyle name="ハイパーリンク" xfId="2861" builtinId="8" hidden="1"/>
    <cellStyle name="ハイパーリンク" xfId="2863" builtinId="8" hidden="1"/>
    <cellStyle name="ハイパーリンク" xfId="2865" builtinId="8" hidden="1"/>
    <cellStyle name="ハイパーリンク" xfId="2867" builtinId="8" hidden="1"/>
    <cellStyle name="ハイパーリンク" xfId="2869" builtinId="8" hidden="1"/>
    <cellStyle name="ハイパーリンク" xfId="2871" builtinId="8" hidden="1"/>
    <cellStyle name="ハイパーリンク" xfId="2873" builtinId="8" hidden="1"/>
    <cellStyle name="ハイパーリンク" xfId="2875" builtinId="8" hidden="1"/>
    <cellStyle name="ハイパーリンク" xfId="2877" builtinId="8" hidden="1"/>
    <cellStyle name="ハイパーリンク" xfId="2879" builtinId="8" hidden="1"/>
    <cellStyle name="ハイパーリンク" xfId="2881" builtinId="8" hidden="1"/>
    <cellStyle name="ハイパーリンク" xfId="2883" builtinId="8" hidden="1"/>
    <cellStyle name="ハイパーリンク" xfId="2885" builtinId="8" hidden="1"/>
    <cellStyle name="ハイパーリンク" xfId="2887" builtinId="8" hidden="1"/>
    <cellStyle name="ハイパーリンク" xfId="2889" builtinId="8" hidden="1"/>
    <cellStyle name="ハイパーリンク" xfId="2891" builtinId="8" hidden="1"/>
    <cellStyle name="ハイパーリンク" xfId="2893" builtinId="8" hidden="1"/>
    <cellStyle name="ハイパーリンク" xfId="2895" builtinId="8" hidden="1"/>
    <cellStyle name="ハイパーリンク" xfId="2897" builtinId="8" hidden="1"/>
    <cellStyle name="ハイパーリンク" xfId="2899" builtinId="8" hidden="1"/>
    <cellStyle name="ハイパーリンク" xfId="2901" builtinId="8" hidden="1"/>
    <cellStyle name="ハイパーリンク" xfId="2903" builtinId="8" hidden="1"/>
    <cellStyle name="ハイパーリンク" xfId="2905" builtinId="8" hidden="1"/>
    <cellStyle name="ハイパーリンク" xfId="2907" builtinId="8" hidden="1"/>
    <cellStyle name="ハイパーリンク" xfId="2909" builtinId="8" hidden="1"/>
    <cellStyle name="ハイパーリンク" xfId="2911" builtinId="8" hidden="1"/>
    <cellStyle name="ハイパーリンク" xfId="2913" builtinId="8" hidden="1"/>
    <cellStyle name="ハイパーリンク" xfId="2915" builtinId="8" hidden="1"/>
    <cellStyle name="ハイパーリンク" xfId="2917" builtinId="8" hidden="1"/>
    <cellStyle name="ハイパーリンク" xfId="2919" builtinId="8" hidden="1"/>
    <cellStyle name="ハイパーリンク" xfId="2921" builtinId="8" hidden="1"/>
    <cellStyle name="ハイパーリンク" xfId="2923" builtinId="8" hidden="1"/>
    <cellStyle name="ハイパーリンク" xfId="2925" builtinId="8" hidden="1"/>
    <cellStyle name="ハイパーリンク" xfId="2927" builtinId="8" hidden="1"/>
    <cellStyle name="ハイパーリンク" xfId="2929" builtinId="8" hidden="1"/>
    <cellStyle name="ハイパーリンク" xfId="2931" builtinId="8" hidden="1"/>
    <cellStyle name="ハイパーリンク" xfId="2933" builtinId="8" hidden="1"/>
    <cellStyle name="ハイパーリンク" xfId="2935" builtinId="8" hidden="1"/>
    <cellStyle name="ハイパーリンク" xfId="2937" builtinId="8" hidden="1"/>
    <cellStyle name="ハイパーリンク" xfId="2939" builtinId="8" hidden="1"/>
    <cellStyle name="ハイパーリンク" xfId="2941" builtinId="8" hidden="1"/>
    <cellStyle name="ハイパーリンク" xfId="2943" builtinId="8" hidden="1"/>
    <cellStyle name="ハイパーリンク" xfId="2945" builtinId="8" hidden="1"/>
    <cellStyle name="ハイパーリンク" xfId="2947" builtinId="8" hidden="1"/>
    <cellStyle name="ハイパーリンク" xfId="2949" builtinId="8" hidden="1"/>
    <cellStyle name="ハイパーリンク" xfId="2951" builtinId="8" hidden="1"/>
    <cellStyle name="ハイパーリンク" xfId="2953" builtinId="8" hidden="1"/>
    <cellStyle name="ハイパーリンク" xfId="2955" builtinId="8" hidden="1"/>
    <cellStyle name="ハイパーリンク" xfId="2957" builtinId="8" hidden="1"/>
    <cellStyle name="ハイパーリンク" xfId="2959" builtinId="8" hidden="1"/>
    <cellStyle name="ハイパーリンク" xfId="2961" builtinId="8" hidden="1"/>
    <cellStyle name="ハイパーリンク" xfId="2963" builtinId="8" hidden="1"/>
    <cellStyle name="ハイパーリンク" xfId="2965" builtinId="8" hidden="1"/>
    <cellStyle name="ハイパーリンク" xfId="2967" builtinId="8" hidden="1"/>
    <cellStyle name="ハイパーリンク" xfId="2969" builtinId="8" hidden="1"/>
    <cellStyle name="ハイパーリンク" xfId="2971" builtinId="8" hidden="1"/>
    <cellStyle name="ハイパーリンク" xfId="2973" builtinId="8" hidden="1"/>
    <cellStyle name="ハイパーリンク" xfId="2975" builtinId="8" hidden="1"/>
    <cellStyle name="ハイパーリンク" xfId="2977" builtinId="8" hidden="1"/>
    <cellStyle name="ハイパーリンク" xfId="2979" builtinId="8" hidden="1"/>
    <cellStyle name="ハイパーリンク" xfId="2981" builtinId="8" hidden="1"/>
    <cellStyle name="ハイパーリンク" xfId="2983" builtinId="8" hidden="1"/>
    <cellStyle name="ハイパーリンク" xfId="2985" builtinId="8" hidden="1"/>
    <cellStyle name="ハイパーリンク" xfId="2987" builtinId="8" hidden="1"/>
    <cellStyle name="ハイパーリンク" xfId="2989" builtinId="8" hidden="1"/>
    <cellStyle name="ハイパーリンク" xfId="2991" builtinId="8" hidden="1"/>
    <cellStyle name="ハイパーリンク" xfId="2993" builtinId="8" hidden="1"/>
    <cellStyle name="ハイパーリンク" xfId="2995" builtinId="8" hidden="1"/>
    <cellStyle name="ハイパーリンク" xfId="2997" builtinId="8" hidden="1"/>
    <cellStyle name="ハイパーリンク" xfId="2999" builtinId="8" hidden="1"/>
    <cellStyle name="ハイパーリンク" xfId="3001" builtinId="8" hidden="1"/>
    <cellStyle name="ハイパーリンク" xfId="3003" builtinId="8" hidden="1"/>
    <cellStyle name="ハイパーリンク" xfId="3005" builtinId="8" hidden="1"/>
    <cellStyle name="ハイパーリンク" xfId="3007" builtinId="8" hidden="1"/>
    <cellStyle name="ハイパーリンク" xfId="3009" builtinId="8" hidden="1"/>
    <cellStyle name="ハイパーリンク" xfId="3011" builtinId="8" hidden="1"/>
    <cellStyle name="ハイパーリンク" xfId="3013" builtinId="8" hidden="1"/>
    <cellStyle name="ハイパーリンク" xfId="3015" builtinId="8" hidden="1"/>
    <cellStyle name="ハイパーリンク" xfId="3017" builtinId="8" hidden="1"/>
    <cellStyle name="ハイパーリンク" xfId="3019" builtinId="8" hidden="1"/>
    <cellStyle name="ハイパーリンク" xfId="3021" builtinId="8" hidden="1"/>
    <cellStyle name="ハイパーリンク" xfId="3023" builtinId="8" hidden="1"/>
    <cellStyle name="ハイパーリンク" xfId="3025" builtinId="8" hidden="1"/>
    <cellStyle name="ハイパーリンク" xfId="3027" builtinId="8" hidden="1"/>
    <cellStyle name="ハイパーリンク" xfId="3029" builtinId="8" hidden="1"/>
    <cellStyle name="ハイパーリンク" xfId="3031" builtinId="8" hidden="1"/>
    <cellStyle name="ハイパーリンク" xfId="3033" builtinId="8" hidden="1"/>
    <cellStyle name="ハイパーリンク" xfId="3035" builtinId="8" hidden="1"/>
    <cellStyle name="ハイパーリンク" xfId="3037" builtinId="8" hidden="1"/>
    <cellStyle name="ハイパーリンク" xfId="3039" builtinId="8" hidden="1"/>
    <cellStyle name="ハイパーリンク" xfId="3041" builtinId="8" hidden="1"/>
    <cellStyle name="ハイパーリンク" xfId="3043" builtinId="8" hidden="1"/>
    <cellStyle name="ハイパーリンク" xfId="3045" builtinId="8" hidden="1"/>
    <cellStyle name="ハイパーリンク" xfId="3047" builtinId="8" hidden="1"/>
    <cellStyle name="ハイパーリンク" xfId="3049" builtinId="8" hidden="1"/>
    <cellStyle name="ハイパーリンク" xfId="3051" builtinId="8" hidden="1"/>
    <cellStyle name="ハイパーリンク" xfId="3053" builtinId="8" hidden="1"/>
    <cellStyle name="ハイパーリンク" xfId="3055" builtinId="8" hidden="1"/>
    <cellStyle name="ハイパーリンク" xfId="3057" builtinId="8" hidden="1"/>
    <cellStyle name="ハイパーリンク" xfId="3059" builtinId="8" hidden="1"/>
    <cellStyle name="ハイパーリンク" xfId="3061" builtinId="8" hidden="1"/>
    <cellStyle name="ハイパーリンク" xfId="3063" builtinId="8" hidden="1"/>
    <cellStyle name="ハイパーリンク" xfId="3065" builtinId="8" hidden="1"/>
    <cellStyle name="ハイパーリンク" xfId="3067" builtinId="8" hidden="1"/>
    <cellStyle name="ハイパーリンク" xfId="3069" builtinId="8" hidden="1"/>
    <cellStyle name="ハイパーリンク" xfId="3071" builtinId="8" hidden="1"/>
    <cellStyle name="ハイパーリンク" xfId="3073" builtinId="8" hidden="1"/>
    <cellStyle name="ハイパーリンク" xfId="3075" builtinId="8" hidden="1"/>
    <cellStyle name="ハイパーリンク" xfId="3077" builtinId="8" hidden="1"/>
    <cellStyle name="ハイパーリンク" xfId="3079" builtinId="8" hidden="1"/>
    <cellStyle name="ハイパーリンク" xfId="3081" builtinId="8" hidden="1"/>
    <cellStyle name="ハイパーリンク" xfId="3083" builtinId="8" hidden="1"/>
    <cellStyle name="ハイパーリンク" xfId="3085" builtinId="8" hidden="1"/>
    <cellStyle name="ハイパーリンク" xfId="3087" builtinId="8" hidden="1"/>
    <cellStyle name="ハイパーリンク" xfId="3089" builtinId="8" hidden="1"/>
    <cellStyle name="ハイパーリンク" xfId="3091" builtinId="8" hidden="1"/>
    <cellStyle name="ハイパーリンク" xfId="3093" builtinId="8" hidden="1"/>
    <cellStyle name="ハイパーリンク" xfId="3095" builtinId="8" hidden="1"/>
    <cellStyle name="ハイパーリンク" xfId="3097" builtinId="8" hidden="1"/>
    <cellStyle name="ハイパーリンク" xfId="3099" builtinId="8" hidden="1"/>
    <cellStyle name="ハイパーリンク" xfId="3101" builtinId="8" hidden="1"/>
    <cellStyle name="ハイパーリンク" xfId="3103" builtinId="8" hidden="1"/>
    <cellStyle name="ハイパーリンク" xfId="3105" builtinId="8" hidden="1"/>
    <cellStyle name="ハイパーリンク" xfId="3107" builtinId="8" hidden="1"/>
    <cellStyle name="ハイパーリンク" xfId="3109" builtinId="8" hidden="1"/>
    <cellStyle name="ハイパーリンク" xfId="3111" builtinId="8" hidden="1"/>
    <cellStyle name="ハイパーリンク" xfId="3113" builtinId="8" hidden="1"/>
    <cellStyle name="ハイパーリンク" xfId="3115" builtinId="8" hidden="1"/>
    <cellStyle name="ハイパーリンク" xfId="3117" builtinId="8" hidden="1"/>
    <cellStyle name="ハイパーリンク" xfId="3119" builtinId="8" hidden="1"/>
    <cellStyle name="ハイパーリンク" xfId="3121" builtinId="8" hidden="1"/>
    <cellStyle name="ハイパーリンク" xfId="3123" builtinId="8" hidden="1"/>
    <cellStyle name="ハイパーリンク" xfId="3125" builtinId="8" hidden="1"/>
    <cellStyle name="ハイパーリンク" xfId="3127" builtinId="8" hidden="1"/>
    <cellStyle name="ハイパーリンク" xfId="3129" builtinId="8" hidden="1"/>
    <cellStyle name="ハイパーリンク" xfId="3131" builtinId="8" hidden="1"/>
    <cellStyle name="ハイパーリンク" xfId="3133" builtinId="8" hidden="1"/>
    <cellStyle name="ハイパーリンク" xfId="3135" builtinId="8" hidden="1"/>
    <cellStyle name="ハイパーリンク" xfId="3137" builtinId="8" hidden="1"/>
    <cellStyle name="ハイパーリンク" xfId="3139" builtinId="8" hidden="1"/>
    <cellStyle name="ハイパーリンク" xfId="3141" builtinId="8" hidden="1"/>
    <cellStyle name="ハイパーリンク" xfId="3143" builtinId="8" hidden="1"/>
    <cellStyle name="ハイパーリンク" xfId="3145" builtinId="8" hidden="1"/>
    <cellStyle name="ハイパーリンク" xfId="3147" builtinId="8" hidden="1"/>
    <cellStyle name="ハイパーリンク" xfId="3149" builtinId="8" hidden="1"/>
    <cellStyle name="ハイパーリンク" xfId="3151" builtinId="8" hidden="1"/>
    <cellStyle name="ハイパーリンク" xfId="3153" builtinId="8" hidden="1"/>
    <cellStyle name="ハイパーリンク" xfId="3155" builtinId="8" hidden="1"/>
    <cellStyle name="ハイパーリンク" xfId="3157" builtinId="8" hidden="1"/>
    <cellStyle name="ハイパーリンク" xfId="3159" builtinId="8" hidden="1"/>
    <cellStyle name="ハイパーリンク" xfId="3161" builtinId="8" hidden="1"/>
    <cellStyle name="ハイパーリンク" xfId="3163" builtinId="8" hidden="1"/>
    <cellStyle name="ハイパーリンク" xfId="3165" builtinId="8" hidden="1"/>
    <cellStyle name="ハイパーリンク" xfId="3167" builtinId="8" hidden="1"/>
    <cellStyle name="ハイパーリンク" xfId="3169" builtinId="8" hidden="1"/>
    <cellStyle name="ハイパーリンク" xfId="3171" builtinId="8" hidden="1"/>
    <cellStyle name="ハイパーリンク" xfId="3173" builtinId="8" hidden="1"/>
    <cellStyle name="ハイパーリンク" xfId="3175" builtinId="8" hidden="1"/>
    <cellStyle name="ハイパーリンク" xfId="3177" builtinId="8" hidden="1"/>
    <cellStyle name="ハイパーリンク" xfId="3179" builtinId="8" hidden="1"/>
    <cellStyle name="ハイパーリンク" xfId="3181" builtinId="8" hidden="1"/>
    <cellStyle name="ハイパーリンク" xfId="3183" builtinId="8" hidden="1"/>
    <cellStyle name="ハイパーリンク" xfId="3185" builtinId="8" hidden="1"/>
    <cellStyle name="ハイパーリンク" xfId="3187" builtinId="8" hidden="1"/>
    <cellStyle name="ハイパーリンク" xfId="3189" builtinId="8" hidden="1"/>
    <cellStyle name="ハイパーリンク" xfId="3191" builtinId="8" hidden="1"/>
    <cellStyle name="ハイパーリンク" xfId="3193" builtinId="8" hidden="1"/>
    <cellStyle name="ハイパーリンク" xfId="3195" builtinId="8" hidden="1"/>
    <cellStyle name="ハイパーリンク" xfId="3197" builtinId="8" hidden="1"/>
    <cellStyle name="ハイパーリンク" xfId="3199" builtinId="8" hidden="1"/>
    <cellStyle name="ハイパーリンク" xfId="3201" builtinId="8" hidden="1"/>
    <cellStyle name="ハイパーリンク" xfId="3203" builtinId="8" hidden="1"/>
    <cellStyle name="ハイパーリンク" xfId="3205" builtinId="8" hidden="1"/>
    <cellStyle name="ハイパーリンク" xfId="3207" builtinId="8" hidden="1"/>
    <cellStyle name="ハイパーリンク" xfId="3209" builtinId="8" hidden="1"/>
    <cellStyle name="ハイパーリンク" xfId="3211" builtinId="8" hidden="1"/>
    <cellStyle name="ハイパーリンク" xfId="3213" builtinId="8" hidden="1"/>
    <cellStyle name="ハイパーリンク" xfId="3215" builtinId="8" hidden="1"/>
    <cellStyle name="ハイパーリンク" xfId="3217" builtinId="8" hidden="1"/>
    <cellStyle name="ハイパーリンク" xfId="3219" builtinId="8" hidden="1"/>
    <cellStyle name="ハイパーリンク" xfId="3221" builtinId="8" hidden="1"/>
    <cellStyle name="ハイパーリンク" xfId="3223" builtinId="8" hidden="1"/>
    <cellStyle name="ハイパーリンク" xfId="3225" builtinId="8" hidden="1"/>
    <cellStyle name="ハイパーリンク" xfId="3227" builtinId="8" hidden="1"/>
    <cellStyle name="ハイパーリンク" xfId="3229" builtinId="8" hidden="1"/>
    <cellStyle name="ハイパーリンク" xfId="3231" builtinId="8" hidden="1"/>
    <cellStyle name="ハイパーリンク" xfId="3233" builtinId="8" hidden="1"/>
    <cellStyle name="ハイパーリンク" xfId="3235" builtinId="8" hidden="1"/>
    <cellStyle name="ハイパーリンク" xfId="3237" builtinId="8" hidden="1"/>
    <cellStyle name="ハイパーリンク" xfId="3239" builtinId="8" hidden="1"/>
    <cellStyle name="ハイパーリンク" xfId="3241" builtinId="8" hidden="1"/>
    <cellStyle name="ハイパーリンク" xfId="3243" builtinId="8" hidden="1"/>
    <cellStyle name="ハイパーリンク" xfId="3245" builtinId="8" hidden="1"/>
    <cellStyle name="ハイパーリンク" xfId="3247" builtinId="8" hidden="1"/>
    <cellStyle name="ハイパーリンク" xfId="3249" builtinId="8" hidden="1"/>
    <cellStyle name="ハイパーリンク" xfId="3251" builtinId="8" hidden="1"/>
    <cellStyle name="ハイパーリンク" xfId="3253" builtinId="8" hidden="1"/>
    <cellStyle name="ハイパーリンク" xfId="3255" builtinId="8" hidden="1"/>
    <cellStyle name="ハイパーリンク" xfId="3257" builtinId="8" hidden="1"/>
    <cellStyle name="ハイパーリンク" xfId="3259" builtinId="8" hidden="1"/>
    <cellStyle name="ハイパーリンク" xfId="3261" builtinId="8" hidden="1"/>
    <cellStyle name="ハイパーリンク" xfId="3263" builtinId="8" hidden="1"/>
    <cellStyle name="ハイパーリンク" xfId="3265" builtinId="8" hidden="1"/>
    <cellStyle name="ハイパーリンク" xfId="3267" builtinId="8" hidden="1"/>
    <cellStyle name="ハイパーリンク" xfId="3269" builtinId="8" hidden="1"/>
    <cellStyle name="ハイパーリンク" xfId="3271" builtinId="8" hidden="1"/>
    <cellStyle name="ハイパーリンク" xfId="3273" builtinId="8" hidden="1"/>
    <cellStyle name="ハイパーリンク" xfId="3275" builtinId="8" hidden="1"/>
    <cellStyle name="ハイパーリンク" xfId="3277" builtinId="8" hidden="1"/>
    <cellStyle name="ハイパーリンク" xfId="3279" builtinId="8" hidden="1"/>
    <cellStyle name="ハイパーリンク" xfId="3281" builtinId="8" hidden="1"/>
    <cellStyle name="ハイパーリンク" xfId="3283" builtinId="8" hidden="1"/>
    <cellStyle name="ハイパーリンク" xfId="3285" builtinId="8" hidden="1"/>
    <cellStyle name="ハイパーリンク" xfId="3287" builtinId="8" hidden="1"/>
    <cellStyle name="ハイパーリンク" xfId="3289" builtinId="8" hidden="1"/>
    <cellStyle name="ハイパーリンク" xfId="3291" builtinId="8" hidden="1"/>
    <cellStyle name="ハイパーリンク" xfId="3293" builtinId="8" hidden="1"/>
    <cellStyle name="ハイパーリンク" xfId="3295" builtinId="8" hidden="1"/>
    <cellStyle name="ハイパーリンク" xfId="3297" builtinId="8" hidden="1"/>
    <cellStyle name="ハイパーリンク" xfId="3299" builtinId="8" hidden="1"/>
    <cellStyle name="ハイパーリンク" xfId="3301" builtinId="8" hidden="1"/>
    <cellStyle name="ハイパーリンク" xfId="3303" builtinId="8" hidden="1"/>
    <cellStyle name="ハイパーリンク" xfId="3305" builtinId="8" hidden="1"/>
    <cellStyle name="ハイパーリンク" xfId="3307" builtinId="8" hidden="1"/>
    <cellStyle name="ハイパーリンク" xfId="3309" builtinId="8" hidden="1"/>
    <cellStyle name="ハイパーリンク" xfId="3311" builtinId="8" hidden="1"/>
    <cellStyle name="ハイパーリンク" xfId="3313" builtinId="8" hidden="1"/>
    <cellStyle name="ハイパーリンク" xfId="3315" builtinId="8" hidden="1"/>
    <cellStyle name="ハイパーリンク" xfId="3317" builtinId="8" hidden="1"/>
    <cellStyle name="ハイパーリンク" xfId="3319" builtinId="8" hidden="1"/>
    <cellStyle name="ハイパーリンク" xfId="3321" builtinId="8" hidden="1"/>
    <cellStyle name="ハイパーリンク" xfId="3323" builtinId="8" hidden="1"/>
    <cellStyle name="ハイパーリンク" xfId="3325" builtinId="8" hidden="1"/>
    <cellStyle name="ハイパーリンク" xfId="3327" builtinId="8" hidden="1"/>
    <cellStyle name="ハイパーリンク" xfId="3329" builtinId="8" hidden="1"/>
    <cellStyle name="ハイパーリンク" xfId="3331" builtinId="8" hidden="1"/>
    <cellStyle name="ハイパーリンク" xfId="3333" builtinId="8" hidden="1"/>
    <cellStyle name="ハイパーリンク" xfId="3335" builtinId="8" hidden="1"/>
    <cellStyle name="ハイパーリンク" xfId="3337" builtinId="8" hidden="1"/>
    <cellStyle name="ハイパーリンク" xfId="3339" builtinId="8" hidden="1"/>
    <cellStyle name="ハイパーリンク" xfId="3341" builtinId="8" hidden="1"/>
    <cellStyle name="ハイパーリンク" xfId="3343" builtinId="8" hidden="1"/>
    <cellStyle name="ハイパーリンク" xfId="3345" builtinId="8" hidden="1"/>
    <cellStyle name="ハイパーリンク" xfId="3347" builtinId="8" hidden="1"/>
    <cellStyle name="ハイパーリンク" xfId="3349" builtinId="8" hidden="1"/>
    <cellStyle name="ハイパーリンク" xfId="3351" builtinId="8" hidden="1"/>
    <cellStyle name="ハイパーリンク" xfId="3353" builtinId="8" hidden="1"/>
    <cellStyle name="ハイパーリンク" xfId="3355" builtinId="8" hidden="1"/>
    <cellStyle name="ハイパーリンク" xfId="3357" builtinId="8" hidden="1"/>
    <cellStyle name="ハイパーリンク" xfId="3359" builtinId="8" hidden="1"/>
    <cellStyle name="ハイパーリンク" xfId="3361" builtinId="8" hidden="1"/>
    <cellStyle name="ハイパーリンク" xfId="3363" builtinId="8" hidden="1"/>
    <cellStyle name="ハイパーリンク" xfId="3365" builtinId="8" hidden="1"/>
    <cellStyle name="ハイパーリンク" xfId="3367" builtinId="8" hidden="1"/>
    <cellStyle name="ハイパーリンク" xfId="3369" builtinId="8" hidden="1"/>
    <cellStyle name="ハイパーリンク" xfId="3371" builtinId="8" hidden="1"/>
    <cellStyle name="ハイパーリンク" xfId="3373" builtinId="8" hidden="1"/>
    <cellStyle name="ハイパーリンク" xfId="3375" builtinId="8" hidden="1"/>
    <cellStyle name="ハイパーリンク" xfId="3377" builtinId="8" hidden="1"/>
    <cellStyle name="ハイパーリンク" xfId="3379" builtinId="8" hidden="1"/>
    <cellStyle name="ハイパーリンク" xfId="3381" builtinId="8" hidden="1"/>
    <cellStyle name="ハイパーリンク" xfId="3383" builtinId="8" hidden="1"/>
    <cellStyle name="ハイパーリンク" xfId="3385" builtinId="8" hidden="1"/>
    <cellStyle name="ハイパーリンク" xfId="3387" builtinId="8" hidden="1"/>
    <cellStyle name="ハイパーリンク" xfId="3389" builtinId="8" hidden="1"/>
    <cellStyle name="ハイパーリンク" xfId="3391" builtinId="8" hidden="1"/>
    <cellStyle name="ハイパーリンク" xfId="3393" builtinId="8" hidden="1"/>
    <cellStyle name="ハイパーリンク" xfId="3395" builtinId="8" hidden="1"/>
    <cellStyle name="ハイパーリンク" xfId="3397" builtinId="8" hidden="1"/>
    <cellStyle name="ハイパーリンク" xfId="3399" builtinId="8" hidden="1"/>
    <cellStyle name="ハイパーリンク" xfId="3401" builtinId="8" hidden="1"/>
    <cellStyle name="ハイパーリンク" xfId="3403" builtinId="8" hidden="1"/>
    <cellStyle name="ハイパーリンク" xfId="3405" builtinId="8" hidden="1"/>
    <cellStyle name="ハイパーリンク" xfId="3407" builtinId="8" hidden="1"/>
    <cellStyle name="ハイパーリンク" xfId="3409" builtinId="8" hidden="1"/>
    <cellStyle name="ハイパーリンク" xfId="3411" builtinId="8" hidden="1"/>
    <cellStyle name="ハイパーリンク" xfId="3413" builtinId="8" hidden="1"/>
    <cellStyle name="ハイパーリンク" xfId="3415" builtinId="8" hidden="1"/>
    <cellStyle name="ハイパーリンク" xfId="3417" builtinId="8" hidden="1"/>
    <cellStyle name="ハイパーリンク" xfId="3419" builtinId="8" hidden="1"/>
    <cellStyle name="ハイパーリンク" xfId="3421" builtinId="8" hidden="1"/>
    <cellStyle name="ハイパーリンク" xfId="3423" builtinId="8" hidden="1"/>
    <cellStyle name="ハイパーリンク" xfId="3425" builtinId="8" hidden="1"/>
    <cellStyle name="ハイパーリンク" xfId="3427" builtinId="8" hidden="1"/>
    <cellStyle name="ハイパーリンク" xfId="3429" builtinId="8" hidden="1"/>
    <cellStyle name="ハイパーリンク" xfId="3431" builtinId="8" hidden="1"/>
    <cellStyle name="ハイパーリンク" xfId="3433" builtinId="8" hidden="1"/>
    <cellStyle name="ハイパーリンク" xfId="3435" builtinId="8" hidden="1"/>
    <cellStyle name="ハイパーリンク" xfId="3437" builtinId="8" hidden="1"/>
    <cellStyle name="ハイパーリンク" xfId="3439" builtinId="8" hidden="1"/>
    <cellStyle name="ハイパーリンク" xfId="3441" builtinId="8" hidden="1"/>
    <cellStyle name="ハイパーリンク" xfId="3443" builtinId="8" hidden="1"/>
    <cellStyle name="ハイパーリンク" xfId="3445" builtinId="8" hidden="1"/>
    <cellStyle name="ハイパーリンク" xfId="3447" builtinId="8" hidden="1"/>
    <cellStyle name="ハイパーリンク" xfId="3449" builtinId="8" hidden="1"/>
    <cellStyle name="ハイパーリンク" xfId="3451" builtinId="8" hidden="1"/>
    <cellStyle name="ハイパーリンク" xfId="3453" builtinId="8" hidden="1"/>
    <cellStyle name="ハイパーリンク" xfId="3455" builtinId="8" hidden="1"/>
    <cellStyle name="ハイパーリンク" xfId="3457" builtinId="8" hidden="1"/>
    <cellStyle name="ハイパーリンク" xfId="3459" builtinId="8" hidden="1"/>
    <cellStyle name="ハイパーリンク" xfId="3461" builtinId="8" hidden="1"/>
    <cellStyle name="ハイパーリンク" xfId="3463" builtinId="8" hidden="1"/>
    <cellStyle name="ハイパーリンク" xfId="3465" builtinId="8" hidden="1"/>
    <cellStyle name="ハイパーリンク" xfId="3467" builtinId="8" hidden="1"/>
    <cellStyle name="ハイパーリンク" xfId="3469" builtinId="8" hidden="1"/>
    <cellStyle name="ハイパーリンク" xfId="3471" builtinId="8" hidden="1"/>
    <cellStyle name="ハイパーリンク" xfId="3473" builtinId="8" hidden="1"/>
    <cellStyle name="ハイパーリンク" xfId="3475" builtinId="8" hidden="1"/>
    <cellStyle name="ハイパーリンク" xfId="3477" builtinId="8" hidden="1"/>
    <cellStyle name="ハイパーリンク" xfId="3479" builtinId="8" hidden="1"/>
    <cellStyle name="ハイパーリンク" xfId="3481" builtinId="8" hidden="1"/>
    <cellStyle name="ハイパーリンク" xfId="3483" builtinId="8" hidden="1"/>
    <cellStyle name="ハイパーリンク" xfId="3485" builtinId="8" hidden="1"/>
    <cellStyle name="ハイパーリンク" xfId="3487" builtinId="8" hidden="1"/>
    <cellStyle name="ハイパーリンク" xfId="3489" builtinId="8" hidden="1"/>
    <cellStyle name="ハイパーリンク" xfId="3491" builtinId="8" hidden="1"/>
    <cellStyle name="ハイパーリンク" xfId="3493" builtinId="8" hidden="1"/>
    <cellStyle name="ハイパーリンク" xfId="3495" builtinId="8" hidden="1"/>
    <cellStyle name="ハイパーリンク" xfId="3497" builtinId="8" hidden="1"/>
    <cellStyle name="ハイパーリンク" xfId="3499" builtinId="8" hidden="1"/>
    <cellStyle name="ハイパーリンク" xfId="3501" builtinId="8" hidden="1"/>
    <cellStyle name="ハイパーリンク" xfId="3503" builtinId="8" hidden="1"/>
    <cellStyle name="ハイパーリンク" xfId="3505" builtinId="8" hidden="1"/>
    <cellStyle name="ハイパーリンク" xfId="3507" builtinId="8" hidden="1"/>
    <cellStyle name="ハイパーリンク" xfId="3509" builtinId="8" hidden="1"/>
    <cellStyle name="ハイパーリンク" xfId="3511" builtinId="8" hidden="1"/>
    <cellStyle name="ハイパーリンク" xfId="3513" builtinId="8" hidden="1"/>
    <cellStyle name="ハイパーリンク" xfId="3515" builtinId="8" hidden="1"/>
    <cellStyle name="ハイパーリンク" xfId="3517" builtinId="8" hidden="1"/>
    <cellStyle name="ハイパーリンク" xfId="3519" builtinId="8" hidden="1"/>
    <cellStyle name="ハイパーリンク" xfId="3521" builtinId="8" hidden="1"/>
    <cellStyle name="ハイパーリンク" xfId="3523" builtinId="8" hidden="1"/>
    <cellStyle name="ハイパーリンク" xfId="3525" builtinId="8" hidden="1"/>
    <cellStyle name="ハイパーリンク" xfId="3527" builtinId="8" hidden="1"/>
    <cellStyle name="ハイパーリンク" xfId="3529" builtinId="8" hidden="1"/>
    <cellStyle name="ハイパーリンク" xfId="3531" builtinId="8" hidden="1"/>
    <cellStyle name="ハイパーリンク" xfId="3533" builtinId="8" hidden="1"/>
    <cellStyle name="ハイパーリンク" xfId="3535" builtinId="8" hidden="1"/>
    <cellStyle name="ハイパーリンク" xfId="3537" builtinId="8" hidden="1"/>
    <cellStyle name="ハイパーリンク" xfId="3539" builtinId="8" hidden="1"/>
    <cellStyle name="ハイパーリンク" xfId="3541" builtinId="8" hidden="1"/>
    <cellStyle name="ハイパーリンク" xfId="3543" builtinId="8" hidden="1"/>
    <cellStyle name="ハイパーリンク" xfId="3545" builtinId="8" hidden="1"/>
    <cellStyle name="ハイパーリンク" xfId="3547" builtinId="8" hidden="1"/>
    <cellStyle name="ハイパーリンク" xfId="3549" builtinId="8" hidden="1"/>
    <cellStyle name="ハイパーリンク" xfId="3551" builtinId="8" hidden="1"/>
    <cellStyle name="ハイパーリンク" xfId="3553" builtinId="8" hidden="1"/>
    <cellStyle name="ハイパーリンク" xfId="3555" builtinId="8" hidden="1"/>
    <cellStyle name="ハイパーリンク" xfId="3557" builtinId="8" hidden="1"/>
    <cellStyle name="ハイパーリンク" xfId="3559" builtinId="8" hidden="1"/>
    <cellStyle name="ハイパーリンク" xfId="3561" builtinId="8" hidden="1"/>
    <cellStyle name="ハイパーリンク" xfId="3563" builtinId="8" hidden="1"/>
    <cellStyle name="ハイパーリンク" xfId="3565" builtinId="8" hidden="1"/>
    <cellStyle name="ハイパーリンク" xfId="3567" builtinId="8" hidden="1"/>
    <cellStyle name="ハイパーリンク" xfId="3569" builtinId="8" hidden="1"/>
    <cellStyle name="ハイパーリンク" xfId="3571" builtinId="8" hidden="1"/>
    <cellStyle name="ハイパーリンク" xfId="3573" builtinId="8" hidden="1"/>
    <cellStyle name="ハイパーリンク" xfId="3575" builtinId="8" hidden="1"/>
    <cellStyle name="ハイパーリンク" xfId="3577" builtinId="8" hidden="1"/>
    <cellStyle name="ハイパーリンク" xfId="3579" builtinId="8" hidden="1"/>
    <cellStyle name="ハイパーリンク" xfId="3581" builtinId="8" hidden="1"/>
    <cellStyle name="ハイパーリンク" xfId="3583" builtinId="8" hidden="1"/>
    <cellStyle name="ハイパーリンク" xfId="3585" builtinId="8" hidden="1"/>
    <cellStyle name="ハイパーリンク" xfId="3587" builtinId="8" hidden="1"/>
    <cellStyle name="ハイパーリンク" xfId="3589" builtinId="8" hidden="1"/>
    <cellStyle name="ハイパーリンク" xfId="3591" builtinId="8" hidden="1"/>
    <cellStyle name="ハイパーリンク" xfId="3593" builtinId="8" hidden="1"/>
    <cellStyle name="ハイパーリンク" xfId="3595" builtinId="8" hidden="1"/>
    <cellStyle name="ハイパーリンク" xfId="3597" builtinId="8" hidden="1"/>
    <cellStyle name="ハイパーリンク" xfId="3599" builtinId="8" hidden="1"/>
    <cellStyle name="ハイパーリンク" xfId="3601" builtinId="8" hidden="1"/>
    <cellStyle name="ハイパーリンク" xfId="3603" builtinId="8" hidden="1"/>
    <cellStyle name="ハイパーリンク" xfId="3605" builtinId="8" hidden="1"/>
    <cellStyle name="ハイパーリンク" xfId="3607" builtinId="8" hidden="1"/>
    <cellStyle name="ハイパーリンク" xfId="3609" builtinId="8" hidden="1"/>
    <cellStyle name="ハイパーリンク" xfId="3611" builtinId="8" hidden="1"/>
    <cellStyle name="ハイパーリンク" xfId="3613" builtinId="8" hidden="1"/>
    <cellStyle name="ハイパーリンク" xfId="3615" builtinId="8" hidden="1"/>
    <cellStyle name="ハイパーリンク" xfId="3617" builtinId="8" hidden="1"/>
    <cellStyle name="ハイパーリンク" xfId="3619" builtinId="8" hidden="1"/>
    <cellStyle name="ハイパーリンク" xfId="3621" builtinId="8" hidden="1"/>
    <cellStyle name="ハイパーリンク" xfId="3623" builtinId="8" hidden="1"/>
    <cellStyle name="ハイパーリンク" xfId="3625" builtinId="8" hidden="1"/>
    <cellStyle name="ハイパーリンク" xfId="3627" builtinId="8" hidden="1"/>
    <cellStyle name="ハイパーリンク" xfId="3629" builtinId="8" hidden="1"/>
    <cellStyle name="ハイパーリンク" xfId="3631" builtinId="8" hidden="1"/>
    <cellStyle name="ハイパーリンク" xfId="3633" builtinId="8" hidden="1"/>
    <cellStyle name="ハイパーリンク" xfId="3635" builtinId="8" hidden="1"/>
    <cellStyle name="ハイパーリンク" xfId="3637" builtinId="8" hidden="1"/>
    <cellStyle name="ハイパーリンク" xfId="3639" builtinId="8" hidden="1"/>
    <cellStyle name="ハイパーリンク" xfId="3641" builtinId="8" hidden="1"/>
    <cellStyle name="ハイパーリンク" xfId="3643" builtinId="8" hidden="1"/>
    <cellStyle name="ハイパーリンク" xfId="3645" builtinId="8" hidden="1"/>
    <cellStyle name="ハイパーリンク" xfId="3647" builtinId="8" hidden="1"/>
    <cellStyle name="ハイパーリンク" xfId="3649" builtinId="8" hidden="1"/>
    <cellStyle name="ハイパーリンク" xfId="3651" builtinId="8" hidden="1"/>
    <cellStyle name="ハイパーリンク" xfId="3653" builtinId="8" hidden="1"/>
    <cellStyle name="ハイパーリンク" xfId="3655" builtinId="8" hidden="1"/>
    <cellStyle name="ハイパーリンク" xfId="3657" builtinId="8" hidden="1"/>
    <cellStyle name="ハイパーリンク" xfId="3659" builtinId="8" hidden="1"/>
    <cellStyle name="ハイパーリンク" xfId="3661" builtinId="8" hidden="1"/>
    <cellStyle name="ハイパーリンク" xfId="3663" builtinId="8" hidden="1"/>
    <cellStyle name="ハイパーリンク" xfId="3665" builtinId="8" hidden="1"/>
    <cellStyle name="ハイパーリンク" xfId="3667" builtinId="8" hidden="1"/>
    <cellStyle name="ハイパーリンク" xfId="3669" builtinId="8" hidden="1"/>
    <cellStyle name="ハイパーリンク" xfId="3671" builtinId="8" hidden="1"/>
    <cellStyle name="ハイパーリンク" xfId="3673" builtinId="8" hidden="1"/>
    <cellStyle name="ハイパーリンク" xfId="3675" builtinId="8" hidden="1"/>
    <cellStyle name="ハイパーリンク" xfId="3677" builtinId="8" hidden="1"/>
    <cellStyle name="ハイパーリンク" xfId="3679" builtinId="8" hidden="1"/>
    <cellStyle name="ハイパーリンク" xfId="3681" builtinId="8" hidden="1"/>
    <cellStyle name="ハイパーリンク" xfId="3683" builtinId="8" hidden="1"/>
    <cellStyle name="ハイパーリンク" xfId="3685" builtinId="8" hidden="1"/>
    <cellStyle name="ハイパーリンク" xfId="3687" builtinId="8" hidden="1"/>
    <cellStyle name="ハイパーリンク" xfId="3689" builtinId="8" hidden="1"/>
    <cellStyle name="ハイパーリンク" xfId="3691" builtinId="8" hidden="1"/>
    <cellStyle name="ハイパーリンク" xfId="3693" builtinId="8" hidden="1"/>
    <cellStyle name="ハイパーリンク" xfId="3695" builtinId="8" hidden="1"/>
    <cellStyle name="ハイパーリンク" xfId="3697" builtinId="8" hidden="1"/>
    <cellStyle name="ハイパーリンク" xfId="3699" builtinId="8" hidden="1"/>
    <cellStyle name="ハイパーリンク" xfId="3701" builtinId="8" hidden="1"/>
    <cellStyle name="ハイパーリンク" xfId="3703" builtinId="8" hidden="1"/>
    <cellStyle name="ハイパーリンク" xfId="3705" builtinId="8" hidden="1"/>
    <cellStyle name="ハイパーリンク" xfId="3707" builtinId="8" hidden="1"/>
    <cellStyle name="ハイパーリンク" xfId="3709" builtinId="8" hidden="1"/>
    <cellStyle name="ハイパーリンク" xfId="3711" builtinId="8" hidden="1"/>
    <cellStyle name="ハイパーリンク" xfId="3713" builtinId="8" hidden="1"/>
    <cellStyle name="ハイパーリンク" xfId="3715" builtinId="8" hidden="1"/>
    <cellStyle name="ハイパーリンク" xfId="3717" builtinId="8" hidden="1"/>
    <cellStyle name="ハイパーリンク" xfId="3719" builtinId="8" hidden="1"/>
    <cellStyle name="ハイパーリンク" xfId="3721" builtinId="8" hidden="1"/>
    <cellStyle name="ハイパーリンク" xfId="3723" builtinId="8" hidden="1"/>
    <cellStyle name="ハイパーリンク" xfId="3725" builtinId="8" hidden="1"/>
    <cellStyle name="ハイパーリンク" xfId="3727" builtinId="8" hidden="1"/>
    <cellStyle name="ハイパーリンク" xfId="3729" builtinId="8" hidden="1"/>
    <cellStyle name="ハイパーリンク" xfId="3731" builtinId="8" hidden="1"/>
    <cellStyle name="ハイパーリンク" xfId="3733" builtinId="8" hidden="1"/>
    <cellStyle name="ハイパーリンク" xfId="3735" builtinId="8" hidden="1"/>
    <cellStyle name="ハイパーリンク" xfId="3737" builtinId="8" hidden="1"/>
    <cellStyle name="ハイパーリンク" xfId="3739" builtinId="8" hidden="1"/>
    <cellStyle name="ハイパーリンク" xfId="3741" builtinId="8" hidden="1"/>
    <cellStyle name="ハイパーリンク" xfId="3743" builtinId="8" hidden="1"/>
    <cellStyle name="ハイパーリンク" xfId="3745" builtinId="8" hidden="1"/>
    <cellStyle name="ハイパーリンク" xfId="3747" builtinId="8" hidden="1"/>
    <cellStyle name="ハイパーリンク" xfId="3749" builtinId="8" hidden="1"/>
    <cellStyle name="ハイパーリンク" xfId="3751" builtinId="8" hidden="1"/>
    <cellStyle name="ハイパーリンク" xfId="3753" builtinId="8" hidden="1"/>
    <cellStyle name="ハイパーリンク" xfId="3755" builtinId="8" hidden="1"/>
    <cellStyle name="ハイパーリンク" xfId="3757" builtinId="8" hidden="1"/>
    <cellStyle name="ハイパーリンク" xfId="3759" builtinId="8" hidden="1"/>
    <cellStyle name="ハイパーリンク" xfId="3761" builtinId="8" hidden="1"/>
    <cellStyle name="ハイパーリンク" xfId="3763" builtinId="8" hidden="1"/>
    <cellStyle name="ハイパーリンク" xfId="3765" builtinId="8" hidden="1"/>
    <cellStyle name="ハイパーリンク" xfId="3767" builtinId="8" hidden="1"/>
    <cellStyle name="ハイパーリンク" xfId="3769" builtinId="8" hidden="1"/>
    <cellStyle name="ハイパーリンク" xfId="3771" builtinId="8" hidden="1"/>
    <cellStyle name="ハイパーリンク" xfId="3773" builtinId="8" hidden="1"/>
    <cellStyle name="ハイパーリンク" xfId="3775" builtinId="8" hidden="1"/>
    <cellStyle name="ハイパーリンク" xfId="3777" builtinId="8" hidden="1"/>
    <cellStyle name="ハイパーリンク" xfId="3779" builtinId="8" hidden="1"/>
    <cellStyle name="ハイパーリンク" xfId="3781" builtinId="8" hidden="1"/>
    <cellStyle name="ハイパーリンク" xfId="3783" builtinId="8" hidden="1"/>
    <cellStyle name="ハイパーリンク" xfId="3785" builtinId="8" hidden="1"/>
    <cellStyle name="ハイパーリンク" xfId="3787" builtinId="8" hidden="1"/>
    <cellStyle name="ハイパーリンク" xfId="3789" builtinId="8" hidden="1"/>
    <cellStyle name="ハイパーリンク" xfId="3791" builtinId="8" hidden="1"/>
    <cellStyle name="ハイパーリンク" xfId="3793" builtinId="8" hidden="1"/>
    <cellStyle name="ハイパーリンク" xfId="3795" builtinId="8" hidden="1"/>
    <cellStyle name="ハイパーリンク" xfId="3797" builtinId="8" hidden="1"/>
    <cellStyle name="ハイパーリンク" xfId="3799" builtinId="8" hidden="1"/>
    <cellStyle name="ハイパーリンク" xfId="3801" builtinId="8" hidden="1"/>
    <cellStyle name="ハイパーリンク" xfId="3803" builtinId="8" hidden="1"/>
    <cellStyle name="ハイパーリンク" xfId="3805" builtinId="8" hidden="1"/>
    <cellStyle name="ハイパーリンク" xfId="3807" builtinId="8" hidden="1"/>
    <cellStyle name="ハイパーリンク" xfId="3809" builtinId="8" hidden="1"/>
    <cellStyle name="ハイパーリンク" xfId="3811" builtinId="8" hidden="1"/>
    <cellStyle name="ハイパーリンク" xfId="3813" builtinId="8" hidden="1"/>
    <cellStyle name="ハイパーリンク" xfId="3815" builtinId="8" hidden="1"/>
    <cellStyle name="ハイパーリンク" xfId="3817" builtinId="8" hidden="1"/>
    <cellStyle name="ハイパーリンク" xfId="3819" builtinId="8" hidden="1"/>
    <cellStyle name="ハイパーリンク" xfId="3821" builtinId="8" hidden="1"/>
    <cellStyle name="ハイパーリンク" xfId="3823" builtinId="8" hidden="1"/>
    <cellStyle name="ハイパーリンク" xfId="3825" builtinId="8" hidden="1"/>
    <cellStyle name="ハイパーリンク" xfId="3827" builtinId="8" hidden="1"/>
    <cellStyle name="ハイパーリンク" xfId="3829" builtinId="8" hidden="1"/>
    <cellStyle name="ハイパーリンク" xfId="3831" builtinId="8" hidden="1"/>
    <cellStyle name="ハイパーリンク" xfId="3833" builtinId="8" hidden="1"/>
    <cellStyle name="ハイパーリンク" xfId="3835" builtinId="8" hidden="1"/>
    <cellStyle name="ハイパーリンク" xfId="3837" builtinId="8" hidden="1"/>
    <cellStyle name="ハイパーリンク" xfId="3839" builtinId="8" hidden="1"/>
    <cellStyle name="ハイパーリンク" xfId="3841" builtinId="8" hidden="1"/>
    <cellStyle name="ハイパーリンク" xfId="3843" builtinId="8" hidden="1"/>
    <cellStyle name="ハイパーリンク" xfId="3845" builtinId="8" hidden="1"/>
    <cellStyle name="ハイパーリンク" xfId="3847" builtinId="8" hidden="1"/>
    <cellStyle name="ハイパーリンク" xfId="3849" builtinId="8" hidden="1"/>
    <cellStyle name="ハイパーリンク" xfId="3851" builtinId="8" hidden="1"/>
    <cellStyle name="ハイパーリンク" xfId="3853" builtinId="8" hidden="1"/>
    <cellStyle name="ハイパーリンク" xfId="3855" builtinId="8" hidden="1"/>
    <cellStyle name="ハイパーリンク" xfId="3857" builtinId="8" hidden="1"/>
    <cellStyle name="ハイパーリンク" xfId="3859" builtinId="8" hidden="1"/>
    <cellStyle name="ハイパーリンク" xfId="3861" builtinId="8" hidden="1"/>
    <cellStyle name="ハイパーリンク" xfId="3863" builtinId="8" hidden="1"/>
    <cellStyle name="ハイパーリンク" xfId="3865" builtinId="8" hidden="1"/>
    <cellStyle name="ハイパーリンク" xfId="3867" builtinId="8" hidden="1"/>
    <cellStyle name="ハイパーリンク" xfId="3869" builtinId="8" hidden="1"/>
    <cellStyle name="ハイパーリンク" xfId="3871" builtinId="8" hidden="1"/>
    <cellStyle name="ハイパーリンク" xfId="3873" builtinId="8" hidden="1"/>
    <cellStyle name="ハイパーリンク" xfId="3875" builtinId="8" hidden="1"/>
    <cellStyle name="ハイパーリンク" xfId="3877" builtinId="8" hidden="1"/>
    <cellStyle name="ハイパーリンク" xfId="3879" builtinId="8" hidden="1"/>
    <cellStyle name="ハイパーリンク" xfId="3881" builtinId="8" hidden="1"/>
    <cellStyle name="ハイパーリンク" xfId="3883" builtinId="8" hidden="1"/>
    <cellStyle name="ハイパーリンク" xfId="3885" builtinId="8" hidden="1"/>
    <cellStyle name="ハイパーリンク" xfId="3887" builtinId="8" hidden="1"/>
    <cellStyle name="ハイパーリンク" xfId="3889" builtinId="8" hidden="1"/>
    <cellStyle name="ハイパーリンク" xfId="3891" builtinId="8" hidden="1"/>
    <cellStyle name="ハイパーリンク" xfId="3893" builtinId="8" hidden="1"/>
    <cellStyle name="ハイパーリンク" xfId="3895" builtinId="8" hidden="1"/>
    <cellStyle name="ハイパーリンク" xfId="3897" builtinId="8" hidden="1"/>
    <cellStyle name="ハイパーリンク" xfId="3899" builtinId="8" hidden="1"/>
    <cellStyle name="ハイパーリンク" xfId="3901" builtinId="8" hidden="1"/>
    <cellStyle name="ハイパーリンク" xfId="3903" builtinId="8" hidden="1"/>
    <cellStyle name="ハイパーリンク" xfId="3905" builtinId="8" hidden="1"/>
    <cellStyle name="ハイパーリンク" xfId="3907" builtinId="8" hidden="1"/>
    <cellStyle name="ハイパーリンク" xfId="3909" builtinId="8" hidden="1"/>
    <cellStyle name="ハイパーリンク" xfId="3911" builtinId="8" hidden="1"/>
    <cellStyle name="ハイパーリンク" xfId="3913" builtinId="8" hidden="1"/>
    <cellStyle name="ハイパーリンク" xfId="3915" builtinId="8" hidden="1"/>
    <cellStyle name="ハイパーリンク" xfId="3917" builtinId="8" hidden="1"/>
    <cellStyle name="ハイパーリンク" xfId="3919" builtinId="8" hidden="1"/>
    <cellStyle name="ハイパーリンク" xfId="3921" builtinId="8" hidden="1"/>
    <cellStyle name="ハイパーリンク" xfId="3923" builtinId="8" hidden="1"/>
    <cellStyle name="ハイパーリンク" xfId="3925" builtinId="8" hidden="1"/>
    <cellStyle name="ハイパーリンク" xfId="3927" builtinId="8" hidden="1"/>
    <cellStyle name="ハイパーリンク" xfId="3929" builtinId="8" hidden="1"/>
    <cellStyle name="ハイパーリンク" xfId="3931" builtinId="8" hidden="1"/>
    <cellStyle name="ハイパーリンク" xfId="3933" builtinId="8" hidden="1"/>
    <cellStyle name="ハイパーリンク" xfId="3935" builtinId="8" hidden="1"/>
    <cellStyle name="ハイパーリンク" xfId="3937" builtinId="8" hidden="1"/>
    <cellStyle name="ハイパーリンク" xfId="3939" builtinId="8" hidden="1"/>
    <cellStyle name="ハイパーリンク" xfId="3941" builtinId="8" hidden="1"/>
    <cellStyle name="ハイパーリンク" xfId="3943" builtinId="8" hidden="1"/>
    <cellStyle name="ハイパーリンク" xfId="3945" builtinId="8" hidden="1"/>
    <cellStyle name="ハイパーリンク" xfId="3947" builtinId="8" hidden="1"/>
    <cellStyle name="ハイパーリンク" xfId="3949" builtinId="8" hidden="1"/>
    <cellStyle name="ハイパーリンク" xfId="3951" builtinId="8" hidden="1"/>
    <cellStyle name="ハイパーリンク" xfId="3953" builtinId="8" hidden="1"/>
    <cellStyle name="ハイパーリンク" xfId="3955" builtinId="8" hidden="1"/>
    <cellStyle name="ハイパーリンク" xfId="3957" builtinId="8" hidden="1"/>
    <cellStyle name="ハイパーリンク" xfId="3959" builtinId="8" hidden="1"/>
    <cellStyle name="ハイパーリンク" xfId="3961" builtinId="8" hidden="1"/>
    <cellStyle name="ハイパーリンク" xfId="3963" builtinId="8" hidden="1"/>
    <cellStyle name="ハイパーリンク" xfId="3965" builtinId="8" hidden="1"/>
    <cellStyle name="ハイパーリンク" xfId="3967" builtinId="8" hidden="1"/>
    <cellStyle name="ハイパーリンク" xfId="3969" builtinId="8" hidden="1"/>
    <cellStyle name="ハイパーリンク" xfId="3971" builtinId="8" hidden="1"/>
    <cellStyle name="ハイパーリンク" xfId="3973" builtinId="8" hidden="1"/>
    <cellStyle name="ハイパーリンク" xfId="3975" builtinId="8" hidden="1"/>
    <cellStyle name="ハイパーリンク" xfId="3977" builtinId="8" hidden="1"/>
    <cellStyle name="ハイパーリンク" xfId="3979" builtinId="8" hidden="1"/>
    <cellStyle name="ハイパーリンク" xfId="3981" builtinId="8" hidden="1"/>
    <cellStyle name="ハイパーリンク" xfId="3983" builtinId="8" hidden="1"/>
    <cellStyle name="ハイパーリンク" xfId="3985" builtinId="8" hidden="1"/>
    <cellStyle name="ハイパーリンク" xfId="3987" builtinId="8" hidden="1"/>
    <cellStyle name="ハイパーリンク" xfId="3989" builtinId="8" hidden="1"/>
    <cellStyle name="ハイパーリンク" xfId="3991" builtinId="8" hidden="1"/>
    <cellStyle name="ハイパーリンク" xfId="3993" builtinId="8" hidden="1"/>
    <cellStyle name="ハイパーリンク" xfId="3995" builtinId="8" hidden="1"/>
    <cellStyle name="ハイパーリンク" xfId="3997" builtinId="8" hidden="1"/>
    <cellStyle name="ハイパーリンク" xfId="3999" builtinId="8" hidden="1"/>
    <cellStyle name="ハイパーリンク" xfId="4001" builtinId="8" hidden="1"/>
    <cellStyle name="ハイパーリンク" xfId="4003" builtinId="8" hidden="1"/>
    <cellStyle name="ハイパーリンク" xfId="4005" builtinId="8" hidden="1"/>
    <cellStyle name="ハイパーリンク" xfId="4007" builtinId="8" hidden="1"/>
    <cellStyle name="ハイパーリンク" xfId="4009" builtinId="8" hidden="1"/>
    <cellStyle name="ハイパーリンク" xfId="4011" builtinId="8" hidden="1"/>
    <cellStyle name="ハイパーリンク" xfId="4013" builtinId="8" hidden="1"/>
    <cellStyle name="ハイパーリンク" xfId="4015" builtinId="8" hidden="1"/>
    <cellStyle name="ハイパーリンク" xfId="4017" builtinId="8" hidden="1"/>
    <cellStyle name="ハイパーリンク" xfId="4019" builtinId="8" hidden="1"/>
    <cellStyle name="ハイパーリンク" xfId="4021" builtinId="8" hidden="1"/>
    <cellStyle name="ハイパーリンク" xfId="4023" builtinId="8" hidden="1"/>
    <cellStyle name="ハイパーリンク" xfId="4025" builtinId="8" hidden="1"/>
    <cellStyle name="ハイパーリンク" xfId="4027" builtinId="8" hidden="1"/>
    <cellStyle name="ハイパーリンク" xfId="4029" builtinId="8" hidden="1"/>
    <cellStyle name="ハイパーリンク" xfId="4031" builtinId="8" hidden="1"/>
    <cellStyle name="ハイパーリンク" xfId="4033" builtinId="8" hidden="1"/>
    <cellStyle name="ハイパーリンク" xfId="4035" builtinId="8" hidden="1"/>
    <cellStyle name="ハイパーリンク" xfId="4037" builtinId="8" hidden="1"/>
    <cellStyle name="ハイパーリンク" xfId="4039" builtinId="8" hidden="1"/>
    <cellStyle name="ハイパーリンク" xfId="4041" builtinId="8" hidden="1"/>
    <cellStyle name="ハイパーリンク" xfId="4043" builtinId="8" hidden="1"/>
    <cellStyle name="ハイパーリンク" xfId="4045" builtinId="8" hidden="1"/>
    <cellStyle name="ハイパーリンク" xfId="4047" builtinId="8" hidden="1"/>
    <cellStyle name="ハイパーリンク" xfId="4049" builtinId="8" hidden="1"/>
    <cellStyle name="ハイパーリンク" xfId="4051" builtinId="8" hidden="1"/>
    <cellStyle name="ハイパーリンク" xfId="4053" builtinId="8" hidden="1"/>
    <cellStyle name="ハイパーリンク" xfId="4055" builtinId="8" hidden="1"/>
    <cellStyle name="ハイパーリンク" xfId="4057" builtinId="8" hidden="1"/>
    <cellStyle name="ハイパーリンク" xfId="4059" builtinId="8" hidden="1"/>
    <cellStyle name="ハイパーリンク" xfId="4061" builtinId="8" hidden="1"/>
    <cellStyle name="ハイパーリンク" xfId="4063" builtinId="8" hidden="1"/>
    <cellStyle name="ハイパーリンク" xfId="4065" builtinId="8" hidden="1"/>
    <cellStyle name="ハイパーリンク" xfId="4067" builtinId="8" hidden="1"/>
    <cellStyle name="ハイパーリンク" xfId="4069" builtinId="8" hidden="1"/>
    <cellStyle name="ハイパーリンク" xfId="4071" builtinId="8" hidden="1"/>
    <cellStyle name="ハイパーリンク" xfId="4073" builtinId="8" hidden="1"/>
    <cellStyle name="ハイパーリンク" xfId="4075" builtinId="8" hidden="1"/>
    <cellStyle name="ハイパーリンク" xfId="4077" builtinId="8" hidden="1"/>
    <cellStyle name="ハイパーリンク" xfId="4079" builtinId="8" hidden="1"/>
    <cellStyle name="ハイパーリンク" xfId="4081" builtinId="8" hidden="1"/>
    <cellStyle name="ハイパーリンク" xfId="4083" builtinId="8" hidden="1"/>
    <cellStyle name="ハイパーリンク" xfId="4085" builtinId="8" hidden="1"/>
    <cellStyle name="ハイパーリンク" xfId="4087" builtinId="8" hidden="1"/>
    <cellStyle name="ハイパーリンク" xfId="4089" builtinId="8" hidden="1"/>
    <cellStyle name="ハイパーリンク" xfId="4091" builtinId="8" hidden="1"/>
    <cellStyle name="ハイパーリンク" xfId="4093" builtinId="8" hidden="1"/>
    <cellStyle name="ハイパーリンク" xfId="4095" builtinId="8" hidden="1"/>
    <cellStyle name="ハイパーリンク" xfId="4097" builtinId="8" hidden="1"/>
    <cellStyle name="ハイパーリンク" xfId="4099" builtinId="8" hidden="1"/>
    <cellStyle name="ハイパーリンク" xfId="4101" builtinId="8" hidden="1"/>
    <cellStyle name="ハイパーリンク" xfId="4103" builtinId="8" hidden="1"/>
    <cellStyle name="ハイパーリンク" xfId="4105" builtinId="8" hidden="1"/>
    <cellStyle name="ハイパーリンク" xfId="4107" builtinId="8" hidden="1"/>
    <cellStyle name="ハイパーリンク" xfId="4109" builtinId="8" hidden="1"/>
    <cellStyle name="ハイパーリンク" xfId="4111" builtinId="8" hidden="1"/>
    <cellStyle name="ハイパーリンク" xfId="4113" builtinId="8" hidden="1"/>
    <cellStyle name="ハイパーリンク" xfId="4115" builtinId="8" hidden="1"/>
    <cellStyle name="ハイパーリンク" xfId="4117" builtinId="8" hidden="1"/>
    <cellStyle name="ハイパーリンク" xfId="4119" builtinId="8" hidden="1"/>
    <cellStyle name="ハイパーリンク" xfId="4121" builtinId="8" hidden="1"/>
    <cellStyle name="ハイパーリンク" xfId="4123" builtinId="8" hidden="1"/>
    <cellStyle name="ハイパーリンク" xfId="4125" builtinId="8" hidden="1"/>
    <cellStyle name="ハイパーリンク" xfId="4127" builtinId="8" hidden="1"/>
    <cellStyle name="ハイパーリンク" xfId="4129" builtinId="8" hidden="1"/>
    <cellStyle name="ハイパーリンク" xfId="4131" builtinId="8" hidden="1"/>
    <cellStyle name="ハイパーリンク" xfId="4133" builtinId="8" hidden="1"/>
    <cellStyle name="ハイパーリンク" xfId="4135" builtinId="8" hidden="1"/>
    <cellStyle name="ハイパーリンク" xfId="4137" builtinId="8" hidden="1"/>
    <cellStyle name="ハイパーリンク" xfId="4139" builtinId="8" hidden="1"/>
    <cellStyle name="ハイパーリンク" xfId="4141" builtinId="8" hidden="1"/>
    <cellStyle name="ハイパーリンク" xfId="4143" builtinId="8" hidden="1"/>
    <cellStyle name="ハイパーリンク" xfId="4145" builtinId="8" hidden="1"/>
    <cellStyle name="ハイパーリンク" xfId="4147" builtinId="8" hidden="1"/>
    <cellStyle name="ハイパーリンク" xfId="4149" builtinId="8" hidden="1"/>
    <cellStyle name="ハイパーリンク" xfId="4151" builtinId="8" hidden="1"/>
    <cellStyle name="ハイパーリンク" xfId="4153" builtinId="8" hidden="1"/>
    <cellStyle name="ハイパーリンク" xfId="4155" builtinId="8" hidden="1"/>
    <cellStyle name="ハイパーリンク" xfId="4157" builtinId="8" hidden="1"/>
    <cellStyle name="ハイパーリンク" xfId="4159" builtinId="8" hidden="1"/>
    <cellStyle name="ハイパーリンク" xfId="4161" builtinId="8" hidden="1"/>
    <cellStyle name="ハイパーリンク" xfId="4163" builtinId="8" hidden="1"/>
    <cellStyle name="ハイパーリンク" xfId="4165" builtinId="8" hidden="1"/>
    <cellStyle name="ハイパーリンク" xfId="4167" builtinId="8" hidden="1"/>
    <cellStyle name="ハイパーリンク" xfId="4169" builtinId="8" hidden="1"/>
    <cellStyle name="ハイパーリンク" xfId="4171" builtinId="8" hidden="1"/>
    <cellStyle name="ハイパーリンク" xfId="4173" builtinId="8" hidden="1"/>
    <cellStyle name="ハイパーリンク" xfId="4175" builtinId="8" hidden="1"/>
    <cellStyle name="ハイパーリンク" xfId="4177" builtinId="8" hidden="1"/>
    <cellStyle name="ハイパーリンク" xfId="4179" builtinId="8" hidden="1"/>
    <cellStyle name="ハイパーリンク" xfId="4181" builtinId="8" hidden="1"/>
    <cellStyle name="ハイパーリンク" xfId="4183" builtinId="8" hidden="1"/>
    <cellStyle name="ハイパーリンク" xfId="4185" builtinId="8" hidden="1"/>
    <cellStyle name="ハイパーリンク" xfId="4187" builtinId="8" hidden="1"/>
    <cellStyle name="ハイパーリンク" xfId="4189" builtinId="8" hidden="1"/>
    <cellStyle name="ハイパーリンク" xfId="4191" builtinId="8" hidden="1"/>
    <cellStyle name="ハイパーリンク" xfId="4193" builtinId="8" hidden="1"/>
    <cellStyle name="ハイパーリンク" xfId="4195" builtinId="8" hidden="1"/>
    <cellStyle name="ハイパーリンク" xfId="4197" builtinId="8" hidden="1"/>
    <cellStyle name="ハイパーリンク" xfId="4199" builtinId="8" hidden="1"/>
    <cellStyle name="ハイパーリンク" xfId="4201" builtinId="8" hidden="1"/>
    <cellStyle name="ハイパーリンク" xfId="4203" builtinId="8" hidden="1"/>
    <cellStyle name="ハイパーリンク" xfId="4205" builtinId="8" hidden="1"/>
    <cellStyle name="ハイパーリンク" xfId="4207" builtinId="8" hidden="1"/>
    <cellStyle name="ハイパーリンク" xfId="4209" builtinId="8" hidden="1"/>
    <cellStyle name="ハイパーリンク" xfId="4211" builtinId="8" hidden="1"/>
    <cellStyle name="ハイパーリンク" xfId="4213" builtinId="8" hidden="1"/>
    <cellStyle name="ハイパーリンク" xfId="4215" builtinId="8" hidden="1"/>
    <cellStyle name="ハイパーリンク" xfId="4217" builtinId="8" hidden="1"/>
    <cellStyle name="ハイパーリンク" xfId="4219" builtinId="8" hidden="1"/>
    <cellStyle name="ハイパーリンク" xfId="4221" builtinId="8" hidden="1"/>
    <cellStyle name="ハイパーリンク" xfId="4223" builtinId="8" hidden="1"/>
    <cellStyle name="ハイパーリンク" xfId="4225" builtinId="8" hidden="1"/>
    <cellStyle name="ハイパーリンク" xfId="4227" builtinId="8" hidden="1"/>
    <cellStyle name="ハイパーリンク" xfId="4229" builtinId="8" hidden="1"/>
    <cellStyle name="ハイパーリンク" xfId="4231" builtinId="8" hidden="1"/>
    <cellStyle name="ハイパーリンク" xfId="4233" builtinId="8" hidden="1"/>
    <cellStyle name="ハイパーリンク" xfId="4235" builtinId="8" hidden="1"/>
    <cellStyle name="ハイパーリンク" xfId="4237" builtinId="8" hidden="1"/>
    <cellStyle name="ハイパーリンク" xfId="4239" builtinId="8" hidden="1"/>
    <cellStyle name="ハイパーリンク" xfId="4241" builtinId="8" hidden="1"/>
    <cellStyle name="ハイパーリンク" xfId="4243" builtinId="8" hidden="1"/>
    <cellStyle name="ハイパーリンク" xfId="4245" builtinId="8" hidden="1"/>
    <cellStyle name="ハイパーリンク" xfId="4247" builtinId="8" hidden="1"/>
    <cellStyle name="ハイパーリンク" xfId="4249" builtinId="8" hidden="1"/>
    <cellStyle name="ハイパーリンク" xfId="4251" builtinId="8" hidden="1"/>
    <cellStyle name="ハイパーリンク" xfId="4253" builtinId="8" hidden="1"/>
    <cellStyle name="ハイパーリンク" xfId="4255" builtinId="8" hidden="1"/>
    <cellStyle name="ハイパーリンク" xfId="4257" builtinId="8" hidden="1"/>
    <cellStyle name="ハイパーリンク" xfId="4259" builtinId="8" hidden="1"/>
    <cellStyle name="ハイパーリンク" xfId="4261" builtinId="8" hidden="1"/>
    <cellStyle name="ハイパーリンク" xfId="4263" builtinId="8" hidden="1"/>
    <cellStyle name="ハイパーリンク" xfId="4265" builtinId="8" hidden="1"/>
    <cellStyle name="ハイパーリンク" xfId="4267" builtinId="8" hidden="1"/>
    <cellStyle name="ハイパーリンク" xfId="4269" builtinId="8" hidden="1"/>
    <cellStyle name="ハイパーリンク" xfId="4271" builtinId="8" hidden="1"/>
    <cellStyle name="ハイパーリンク" xfId="4273" builtinId="8" hidden="1"/>
    <cellStyle name="ハイパーリンク" xfId="4275" builtinId="8" hidden="1"/>
    <cellStyle name="ハイパーリンク" xfId="4277" builtinId="8" hidden="1"/>
    <cellStyle name="ハイパーリンク" xfId="4279" builtinId="8" hidden="1"/>
    <cellStyle name="ハイパーリンク" xfId="4281" builtinId="8" hidden="1"/>
    <cellStyle name="ハイパーリンク" xfId="4283" builtinId="8" hidden="1"/>
    <cellStyle name="ハイパーリンク" xfId="4285" builtinId="8" hidden="1"/>
    <cellStyle name="ハイパーリンク" xfId="4287" builtinId="8" hidden="1"/>
    <cellStyle name="ハイパーリンク" xfId="4289" builtinId="8" hidden="1"/>
    <cellStyle name="ハイパーリンク" xfId="4291" builtinId="8" hidden="1"/>
    <cellStyle name="ハイパーリンク" xfId="4293" builtinId="8" hidden="1"/>
    <cellStyle name="ハイパーリンク" xfId="4295" builtinId="8" hidden="1"/>
    <cellStyle name="ハイパーリンク" xfId="4297" builtinId="8" hidden="1"/>
    <cellStyle name="ハイパーリンク" xfId="4299" builtinId="8" hidden="1"/>
    <cellStyle name="ハイパーリンク" xfId="4301" builtinId="8" hidden="1"/>
    <cellStyle name="ハイパーリンク" xfId="4303" builtinId="8" hidden="1"/>
    <cellStyle name="ハイパーリンク" xfId="4305" builtinId="8" hidden="1"/>
    <cellStyle name="ハイパーリンク" xfId="4307" builtinId="8" hidden="1"/>
    <cellStyle name="ハイパーリンク" xfId="4309" builtinId="8" hidden="1"/>
    <cellStyle name="ハイパーリンク" xfId="4311" builtinId="8" hidden="1"/>
    <cellStyle name="ハイパーリンク" xfId="4313" builtinId="8" hidden="1"/>
    <cellStyle name="ハイパーリンク" xfId="4315" builtinId="8" hidden="1"/>
    <cellStyle name="ハイパーリンク" xfId="4317" builtinId="8" hidden="1"/>
    <cellStyle name="ハイパーリンク" xfId="4319" builtinId="8" hidden="1"/>
    <cellStyle name="ハイパーリンク" xfId="4321" builtinId="8" hidden="1"/>
    <cellStyle name="ハイパーリンク" xfId="4323" builtinId="8" hidden="1"/>
    <cellStyle name="ハイパーリンク" xfId="4325" builtinId="8" hidden="1"/>
    <cellStyle name="ハイパーリンク" xfId="4327" builtinId="8" hidden="1"/>
    <cellStyle name="ハイパーリンク" xfId="4329" builtinId="8" hidden="1"/>
    <cellStyle name="ハイパーリンク" xfId="4331" builtinId="8" hidden="1"/>
    <cellStyle name="ハイパーリンク" xfId="4333" builtinId="8" hidden="1"/>
    <cellStyle name="ハイパーリンク" xfId="4335" builtinId="8" hidden="1"/>
    <cellStyle name="ハイパーリンク" xfId="4337" builtinId="8" hidden="1"/>
    <cellStyle name="ハイパーリンク" xfId="4339" builtinId="8" hidden="1"/>
    <cellStyle name="ハイパーリンク" xfId="4341" builtinId="8" hidden="1"/>
    <cellStyle name="ハイパーリンク" xfId="4343" builtinId="8" hidden="1"/>
    <cellStyle name="ハイパーリンク" xfId="4345" builtinId="8" hidden="1"/>
    <cellStyle name="ハイパーリンク" xfId="4347" builtinId="8" hidden="1"/>
    <cellStyle name="ハイパーリンク" xfId="4349" builtinId="8" hidden="1"/>
    <cellStyle name="ハイパーリンク" xfId="4351" builtinId="8" hidden="1"/>
    <cellStyle name="ハイパーリンク" xfId="4353" builtinId="8" hidden="1"/>
    <cellStyle name="ハイパーリンク" xfId="4355" builtinId="8" hidden="1"/>
    <cellStyle name="ハイパーリンク" xfId="4357" builtinId="8" hidden="1"/>
    <cellStyle name="ハイパーリンク" xfId="4359" builtinId="8" hidden="1"/>
    <cellStyle name="ハイパーリンク" xfId="4361" builtinId="8" hidden="1"/>
    <cellStyle name="ハイパーリンク" xfId="4363" builtinId="8" hidden="1"/>
    <cellStyle name="ハイパーリンク" xfId="4365" builtinId="8" hidden="1"/>
    <cellStyle name="ハイパーリンク" xfId="4367" builtinId="8" hidden="1"/>
    <cellStyle name="ハイパーリンク" xfId="4369" builtinId="8" hidden="1"/>
    <cellStyle name="ハイパーリンク" xfId="4371" builtinId="8" hidden="1"/>
    <cellStyle name="ハイパーリンク" xfId="4374" builtinId="8" hidden="1"/>
    <cellStyle name="ハイパーリンク" xfId="4376" builtinId="8" hidden="1"/>
    <cellStyle name="ハイパーリンク" xfId="4378" builtinId="8" hidden="1"/>
    <cellStyle name="ハイパーリンク" xfId="4380" builtinId="8" hidden="1"/>
    <cellStyle name="ハイパーリンク" xfId="4382" builtinId="8" hidden="1"/>
    <cellStyle name="ハイパーリンク" xfId="4384" builtinId="8" hidden="1"/>
    <cellStyle name="ハイパーリンク" xfId="4386" builtinId="8" hidden="1"/>
    <cellStyle name="ハイパーリンク" xfId="4388" builtinId="8" hidden="1"/>
    <cellStyle name="ハイパーリンク" xfId="4390" builtinId="8" hidden="1"/>
    <cellStyle name="ハイパーリンク" xfId="4392" builtinId="8" hidden="1"/>
    <cellStyle name="ハイパーリンク" xfId="4394" builtinId="8" hidden="1"/>
    <cellStyle name="ハイパーリンク" xfId="4396" builtinId="8" hidden="1"/>
    <cellStyle name="ハイパーリンク" xfId="4398" builtinId="8" hidden="1"/>
    <cellStyle name="ハイパーリンク" xfId="4400" builtinId="8" hidden="1"/>
    <cellStyle name="ハイパーリンク" xfId="4402" builtinId="8" hidden="1"/>
    <cellStyle name="ハイパーリンク" xfId="4404" builtinId="8" hidden="1"/>
    <cellStyle name="ハイパーリンク" xfId="4406" builtinId="8" hidden="1"/>
    <cellStyle name="ハイパーリンク" xfId="4408" builtinId="8" hidden="1"/>
    <cellStyle name="ハイパーリンク" xfId="4410" builtinId="8" hidden="1"/>
    <cellStyle name="ハイパーリンク" xfId="4412" builtinId="8" hidden="1"/>
    <cellStyle name="ハイパーリンク" xfId="4414" builtinId="8" hidden="1"/>
    <cellStyle name="ハイパーリンク" xfId="4416" builtinId="8" hidden="1"/>
    <cellStyle name="ハイパーリンク" xfId="4418" builtinId="8" hidden="1"/>
    <cellStyle name="ハイパーリンク" xfId="4420" builtinId="8" hidden="1"/>
    <cellStyle name="ハイパーリンク" xfId="4422" builtinId="8" hidden="1"/>
    <cellStyle name="ハイパーリンク" xfId="4424" builtinId="8" hidden="1"/>
    <cellStyle name="ハイパーリンク" xfId="4426" builtinId="8" hidden="1"/>
    <cellStyle name="ハイパーリンク" xfId="4428" builtinId="8" hidden="1"/>
    <cellStyle name="ハイパーリンク" xfId="4430" builtinId="8" hidden="1"/>
    <cellStyle name="ハイパーリンク" xfId="4432" builtinId="8" hidden="1"/>
    <cellStyle name="ハイパーリンク" xfId="4434" builtinId="8" hidden="1"/>
    <cellStyle name="ハイパーリンク" xfId="4436" builtinId="8" hidden="1"/>
    <cellStyle name="ハイパーリンク" xfId="4438" builtinId="8" hidden="1"/>
    <cellStyle name="ハイパーリンク" xfId="4440" builtinId="8" hidden="1"/>
    <cellStyle name="ハイパーリンク" xfId="4442" builtinId="8" hidden="1"/>
    <cellStyle name="ハイパーリンク" xfId="4444" builtinId="8" hidden="1"/>
    <cellStyle name="ハイパーリンク" xfId="4446" builtinId="8" hidden="1"/>
    <cellStyle name="ハイパーリンク" xfId="4448" builtinId="8" hidden="1"/>
    <cellStyle name="ハイパーリンク" xfId="4450" builtinId="8" hidden="1"/>
    <cellStyle name="ハイパーリンク" xfId="4452" builtinId="8" hidden="1"/>
    <cellStyle name="ハイパーリンク" xfId="4454" builtinId="8" hidden="1"/>
    <cellStyle name="ハイパーリンク" xfId="4456" builtinId="8" hidden="1"/>
    <cellStyle name="ハイパーリンク" xfId="4458" builtinId="8" hidden="1"/>
    <cellStyle name="ハイパーリンク" xfId="4460" builtinId="8" hidden="1"/>
    <cellStyle name="ハイパーリンク" xfId="4462" builtinId="8" hidden="1"/>
    <cellStyle name="ハイパーリンク" xfId="4464" builtinId="8" hidden="1"/>
    <cellStyle name="ハイパーリンク" xfId="4466" builtinId="8" hidden="1"/>
    <cellStyle name="ハイパーリンク" xfId="4468" builtinId="8" hidden="1"/>
    <cellStyle name="ハイパーリンク" xfId="4470" builtinId="8" hidden="1"/>
    <cellStyle name="ハイパーリンク" xfId="4472" builtinId="8" hidden="1"/>
    <cellStyle name="ハイパーリンク" xfId="4474" builtinId="8" hidden="1"/>
    <cellStyle name="ハイパーリンク" xfId="4476" builtinId="8" hidden="1"/>
    <cellStyle name="ハイパーリンク" xfId="4478" builtinId="8" hidden="1"/>
    <cellStyle name="ハイパーリンク" xfId="4480" builtinId="8" hidden="1"/>
    <cellStyle name="ハイパーリンク" xfId="4482" builtinId="8" hidden="1"/>
    <cellStyle name="ハイパーリンク" xfId="4484" builtinId="8" hidden="1"/>
    <cellStyle name="ハイパーリンク" xfId="4486" builtinId="8" hidden="1"/>
    <cellStyle name="ハイパーリンク" xfId="4488" builtinId="8" hidden="1"/>
    <cellStyle name="ハイパーリンク" xfId="4490" builtinId="8" hidden="1"/>
    <cellStyle name="ハイパーリンク" xfId="4492" builtinId="8" hidden="1"/>
    <cellStyle name="ハイパーリンク" xfId="4494" builtinId="8" hidden="1"/>
    <cellStyle name="ハイパーリンク" xfId="4496" builtinId="8" hidden="1"/>
    <cellStyle name="ハイパーリンク" xfId="4498" builtinId="8" hidden="1"/>
    <cellStyle name="ハイパーリンク" xfId="4500" builtinId="8" hidden="1"/>
    <cellStyle name="ハイパーリンク" xfId="4502" builtinId="8" hidden="1"/>
    <cellStyle name="ハイパーリンク" xfId="4504" builtinId="8" hidden="1"/>
    <cellStyle name="ハイパーリンク" xfId="4506" builtinId="8" hidden="1"/>
    <cellStyle name="ハイパーリンク" xfId="4508" builtinId="8" hidden="1"/>
    <cellStyle name="ハイパーリンク" xfId="4510" builtinId="8" hidden="1"/>
    <cellStyle name="ハイパーリンク" xfId="4512" builtinId="8" hidden="1"/>
    <cellStyle name="ハイパーリンク" xfId="4514" builtinId="8" hidden="1"/>
    <cellStyle name="ハイパーリンク" xfId="4516" builtinId="8" hidden="1"/>
    <cellStyle name="ハイパーリンク" xfId="4518" builtinId="8" hidden="1"/>
    <cellStyle name="ハイパーリンク" xfId="4520" builtinId="8" hidden="1"/>
    <cellStyle name="ハイパーリンク" xfId="4522" builtinId="8" hidden="1"/>
    <cellStyle name="ハイパーリンク" xfId="4524" builtinId="8" hidden="1"/>
    <cellStyle name="ハイパーリンク" xfId="4526" builtinId="8" hidden="1"/>
    <cellStyle name="ハイパーリンク" xfId="4528" builtinId="8" hidden="1"/>
    <cellStyle name="ハイパーリンク" xfId="4530" builtinId="8" hidden="1"/>
    <cellStyle name="ハイパーリンク" xfId="4532" builtinId="8" hidden="1"/>
    <cellStyle name="ハイパーリンク" xfId="4534" builtinId="8" hidden="1"/>
    <cellStyle name="ハイパーリンク" xfId="4536" builtinId="8" hidden="1"/>
    <cellStyle name="ハイパーリンク" xfId="4538" builtinId="8" hidden="1"/>
    <cellStyle name="ハイパーリンク" xfId="4540" builtinId="8" hidden="1"/>
    <cellStyle name="ハイパーリンク" xfId="4542" builtinId="8" hidden="1"/>
    <cellStyle name="ハイパーリンク" xfId="4544" builtinId="8" hidden="1"/>
    <cellStyle name="ハイパーリンク" xfId="4546" builtinId="8" hidden="1"/>
    <cellStyle name="ハイパーリンク" xfId="4548" builtinId="8" hidden="1"/>
    <cellStyle name="ハイパーリンク" xfId="4550" builtinId="8" hidden="1"/>
    <cellStyle name="ハイパーリンク" xfId="4552" builtinId="8" hidden="1"/>
    <cellStyle name="ハイパーリンク" xfId="4554" builtinId="8" hidden="1"/>
    <cellStyle name="ハイパーリンク" xfId="4556" builtinId="8" hidden="1"/>
    <cellStyle name="ハイパーリンク" xfId="4558" builtinId="8" hidden="1"/>
    <cellStyle name="ハイパーリンク" xfId="4560" builtinId="8" hidden="1"/>
    <cellStyle name="ハイパーリンク" xfId="4562" builtinId="8" hidden="1"/>
    <cellStyle name="ハイパーリンク" xfId="4564" builtinId="8" hidden="1"/>
    <cellStyle name="ハイパーリンク" xfId="4566" builtinId="8" hidden="1"/>
    <cellStyle name="ハイパーリンク" xfId="4568" builtinId="8" hidden="1"/>
    <cellStyle name="ハイパーリンク" xfId="4570" builtinId="8" hidden="1"/>
    <cellStyle name="ハイパーリンク" xfId="4572" builtinId="8" hidden="1"/>
    <cellStyle name="ハイパーリンク" xfId="4574" builtinId="8" hidden="1"/>
    <cellStyle name="ハイパーリンク" xfId="4576" builtinId="8" hidden="1"/>
    <cellStyle name="ハイパーリンク" xfId="4578" builtinId="8" hidden="1"/>
    <cellStyle name="ハイパーリンク" xfId="4580" builtinId="8" hidden="1"/>
    <cellStyle name="桁区切り 2" xfId="2"/>
    <cellStyle name="標準" xfId="0" builtinId="0"/>
    <cellStyle name="標準 2" xfId="5"/>
    <cellStyle name="標準 2 2" xfId="4373"/>
    <cellStyle name="標準 3" xfId="6"/>
    <cellStyle name="標準 4" xfId="7"/>
    <cellStyle name="無題1" xfId="8"/>
    <cellStyle name="表示済みのハイパーリンク" xfId="10" builtinId="9" hidden="1"/>
    <cellStyle name="表示済みのハイパーリンク" xfId="12" builtinId="9" hidden="1"/>
    <cellStyle name="表示済みのハイパーリンク" xfId="14" builtinId="9" hidden="1"/>
    <cellStyle name="表示済みのハイパーリンク" xfId="16" builtinId="9" hidden="1"/>
    <cellStyle name="表示済みのハイパーリンク" xfId="18" builtinId="9" hidden="1"/>
    <cellStyle name="表示済みのハイパーリンク" xfId="20" builtinId="9" hidden="1"/>
    <cellStyle name="表示済みのハイパーリンク" xfId="22" builtinId="9" hidden="1"/>
    <cellStyle name="表示済みのハイパーリンク" xfId="24"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 name="表示済みのハイパーリンク" xfId="60" builtinId="9" hidden="1"/>
    <cellStyle name="表示済みのハイパーリンク" xfId="62" builtinId="9" hidden="1"/>
    <cellStyle name="表示済みのハイパーリンク" xfId="64" builtinId="9" hidden="1"/>
    <cellStyle name="表示済みのハイパーリンク" xfId="66" builtinId="9" hidden="1"/>
    <cellStyle name="表示済みのハイパーリンク" xfId="68" builtinId="9" hidden="1"/>
    <cellStyle name="表示済みのハイパーリンク" xfId="70" builtinId="9" hidden="1"/>
    <cellStyle name="表示済みのハイパーリンク" xfId="72" builtinId="9" hidden="1"/>
    <cellStyle name="表示済みのハイパーリンク" xfId="74" builtinId="9" hidden="1"/>
    <cellStyle name="表示済みのハイパーリンク" xfId="76" builtinId="9" hidden="1"/>
    <cellStyle name="表示済みのハイパーリンク" xfId="78" builtinId="9" hidden="1"/>
    <cellStyle name="表示済みのハイパーリンク" xfId="80" builtinId="9" hidden="1"/>
    <cellStyle name="表示済みのハイパーリンク" xfId="82" builtinId="9" hidden="1"/>
    <cellStyle name="表示済みのハイパーリンク" xfId="84" builtinId="9" hidden="1"/>
    <cellStyle name="表示済みのハイパーリンク" xfId="86" builtinId="9" hidden="1"/>
    <cellStyle name="表示済みのハイパーリンク" xfId="88" builtinId="9" hidden="1"/>
    <cellStyle name="表示済みのハイパーリンク" xfId="90" builtinId="9" hidden="1"/>
    <cellStyle name="表示済みのハイパーリンク" xfId="92" builtinId="9" hidden="1"/>
    <cellStyle name="表示済みのハイパーリンク" xfId="94" builtinId="9" hidden="1"/>
    <cellStyle name="表示済みのハイパーリンク" xfId="96" builtinId="9" hidden="1"/>
    <cellStyle name="表示済みのハイパーリンク" xfId="98" builtinId="9" hidden="1"/>
    <cellStyle name="表示済みのハイパーリンク" xfId="100" builtinId="9" hidden="1"/>
    <cellStyle name="表示済みのハイパーリンク" xfId="102" builtinId="9" hidden="1"/>
    <cellStyle name="表示済みのハイパーリンク" xfId="104" builtinId="9" hidden="1"/>
    <cellStyle name="表示済みのハイパーリンク" xfId="106" builtinId="9" hidden="1"/>
    <cellStyle name="表示済みのハイパーリンク" xfId="108" builtinId="9" hidden="1"/>
    <cellStyle name="表示済みのハイパーリンク" xfId="110" builtinId="9" hidden="1"/>
    <cellStyle name="表示済みのハイパーリンク" xfId="112" builtinId="9" hidden="1"/>
    <cellStyle name="表示済みのハイパーリンク" xfId="114" builtinId="9" hidden="1"/>
    <cellStyle name="表示済みのハイパーリンク" xfId="116" builtinId="9" hidden="1"/>
    <cellStyle name="表示済みのハイパーリンク" xfId="118" builtinId="9" hidden="1"/>
    <cellStyle name="表示済みのハイパーリンク" xfId="120" builtinId="9" hidden="1"/>
    <cellStyle name="表示済みのハイパーリンク" xfId="122" builtinId="9" hidden="1"/>
    <cellStyle name="表示済みのハイパーリンク" xfId="124" builtinId="9" hidden="1"/>
    <cellStyle name="表示済みのハイパーリンク" xfId="126" builtinId="9" hidden="1"/>
    <cellStyle name="表示済みのハイパーリンク" xfId="128" builtinId="9" hidden="1"/>
    <cellStyle name="表示済みのハイパーリンク" xfId="130" builtinId="9" hidden="1"/>
    <cellStyle name="表示済みのハイパーリンク" xfId="132" builtinId="9" hidden="1"/>
    <cellStyle name="表示済みのハイパーリンク" xfId="134" builtinId="9" hidden="1"/>
    <cellStyle name="表示済みのハイパーリンク" xfId="136" builtinId="9" hidden="1"/>
    <cellStyle name="表示済みのハイパーリンク" xfId="138" builtinId="9" hidden="1"/>
    <cellStyle name="表示済みのハイパーリンク" xfId="140" builtinId="9" hidden="1"/>
    <cellStyle name="表示済みのハイパーリンク" xfId="142" builtinId="9" hidden="1"/>
    <cellStyle name="表示済みのハイパーリンク" xfId="144" builtinId="9" hidden="1"/>
    <cellStyle name="表示済みのハイパーリンク" xfId="146" builtinId="9" hidden="1"/>
    <cellStyle name="表示済みのハイパーリンク" xfId="148" builtinId="9" hidden="1"/>
    <cellStyle name="表示済みのハイパーリンク" xfId="150" builtinId="9" hidden="1"/>
    <cellStyle name="表示済みのハイパーリンク" xfId="152" builtinId="9" hidden="1"/>
    <cellStyle name="表示済みのハイパーリンク" xfId="154" builtinId="9" hidden="1"/>
    <cellStyle name="表示済みのハイパーリンク" xfId="156" builtinId="9" hidden="1"/>
    <cellStyle name="表示済みのハイパーリンク" xfId="158" builtinId="9" hidden="1"/>
    <cellStyle name="表示済みのハイパーリンク" xfId="160" builtinId="9" hidden="1"/>
    <cellStyle name="表示済みのハイパーリンク" xfId="162" builtinId="9" hidden="1"/>
    <cellStyle name="表示済みのハイパーリンク" xfId="164" builtinId="9" hidden="1"/>
    <cellStyle name="表示済みのハイパーリンク" xfId="166" builtinId="9" hidden="1"/>
    <cellStyle name="表示済みのハイパーリンク" xfId="168" builtinId="9" hidden="1"/>
    <cellStyle name="表示済みのハイパーリンク" xfId="170" builtinId="9" hidden="1"/>
    <cellStyle name="表示済みのハイパーリンク" xfId="172" builtinId="9" hidden="1"/>
    <cellStyle name="表示済みのハイパーリンク" xfId="174" builtinId="9" hidden="1"/>
    <cellStyle name="表示済みのハイパーリンク" xfId="176" builtinId="9" hidden="1"/>
    <cellStyle name="表示済みのハイパーリンク" xfId="178" builtinId="9" hidden="1"/>
    <cellStyle name="表示済みのハイパーリンク" xfId="180" builtinId="9" hidden="1"/>
    <cellStyle name="表示済みのハイパーリンク" xfId="182" builtinId="9" hidden="1"/>
    <cellStyle name="表示済みのハイパーリンク" xfId="184" builtinId="9" hidden="1"/>
    <cellStyle name="表示済みのハイパーリンク" xfId="186" builtinId="9" hidden="1"/>
    <cellStyle name="表示済みのハイパーリンク" xfId="188" builtinId="9" hidden="1"/>
    <cellStyle name="表示済みのハイパーリンク" xfId="190" builtinId="9" hidden="1"/>
    <cellStyle name="表示済みのハイパーリンク" xfId="192" builtinId="9" hidden="1"/>
    <cellStyle name="表示済みのハイパーリンク" xfId="194" builtinId="9" hidden="1"/>
    <cellStyle name="表示済みのハイパーリンク" xfId="196" builtinId="9" hidden="1"/>
    <cellStyle name="表示済みのハイパーリンク" xfId="198" builtinId="9" hidden="1"/>
    <cellStyle name="表示済みのハイパーリンク" xfId="200" builtinId="9" hidden="1"/>
    <cellStyle name="表示済みのハイパーリンク" xfId="202" builtinId="9" hidden="1"/>
    <cellStyle name="表示済みのハイパーリンク" xfId="204" builtinId="9" hidden="1"/>
    <cellStyle name="表示済みのハイパーリンク" xfId="206" builtinId="9" hidden="1"/>
    <cellStyle name="表示済みのハイパーリンク" xfId="208" builtinId="9" hidden="1"/>
    <cellStyle name="表示済みのハイパーリンク" xfId="210" builtinId="9" hidden="1"/>
    <cellStyle name="表示済みのハイパーリンク" xfId="212" builtinId="9" hidden="1"/>
    <cellStyle name="表示済みのハイパーリンク" xfId="214" builtinId="9" hidden="1"/>
    <cellStyle name="表示済みのハイパーリンク" xfId="216" builtinId="9" hidden="1"/>
    <cellStyle name="表示済みのハイパーリンク" xfId="218" builtinId="9" hidden="1"/>
    <cellStyle name="表示済みのハイパーリンク" xfId="220" builtinId="9" hidden="1"/>
    <cellStyle name="表示済みのハイパーリンク" xfId="222" builtinId="9" hidden="1"/>
    <cellStyle name="表示済みのハイパーリンク" xfId="224" builtinId="9" hidden="1"/>
    <cellStyle name="表示済みのハイパーリンク" xfId="226" builtinId="9" hidden="1"/>
    <cellStyle name="表示済みのハイパーリンク" xfId="228" builtinId="9" hidden="1"/>
    <cellStyle name="表示済みのハイパーリンク" xfId="230" builtinId="9" hidden="1"/>
    <cellStyle name="表示済みのハイパーリンク" xfId="232" builtinId="9" hidden="1"/>
    <cellStyle name="表示済みのハイパーリンク" xfId="234" builtinId="9" hidden="1"/>
    <cellStyle name="表示済みのハイパーリンク" xfId="236" builtinId="9" hidden="1"/>
    <cellStyle name="表示済みのハイパーリンク" xfId="238" builtinId="9" hidden="1"/>
    <cellStyle name="表示済みのハイパーリンク" xfId="240" builtinId="9" hidden="1"/>
    <cellStyle name="表示済みのハイパーリンク" xfId="242" builtinId="9" hidden="1"/>
    <cellStyle name="表示済みのハイパーリンク" xfId="244" builtinId="9" hidden="1"/>
    <cellStyle name="表示済みのハイパーリンク" xfId="246" builtinId="9" hidden="1"/>
    <cellStyle name="表示済みのハイパーリンク" xfId="248" builtinId="9" hidden="1"/>
    <cellStyle name="表示済みのハイパーリンク" xfId="250" builtinId="9" hidden="1"/>
    <cellStyle name="表示済みのハイパーリンク" xfId="252" builtinId="9" hidden="1"/>
    <cellStyle name="表示済みのハイパーリンク" xfId="254" builtinId="9" hidden="1"/>
    <cellStyle name="表示済みのハイパーリンク" xfId="256" builtinId="9" hidden="1"/>
    <cellStyle name="表示済みのハイパーリンク" xfId="258" builtinId="9" hidden="1"/>
    <cellStyle name="表示済みのハイパーリンク" xfId="260" builtinId="9" hidden="1"/>
    <cellStyle name="表示済みのハイパーリンク" xfId="262" builtinId="9" hidden="1"/>
    <cellStyle name="表示済みのハイパーリンク" xfId="264" builtinId="9" hidden="1"/>
    <cellStyle name="表示済みのハイパーリンク" xfId="266" builtinId="9" hidden="1"/>
    <cellStyle name="表示済みのハイパーリンク" xfId="268" builtinId="9" hidden="1"/>
    <cellStyle name="表示済みのハイパーリンク" xfId="270" builtinId="9" hidden="1"/>
    <cellStyle name="表示済みのハイパーリンク" xfId="272" builtinId="9" hidden="1"/>
    <cellStyle name="表示済みのハイパーリンク" xfId="274" builtinId="9" hidden="1"/>
    <cellStyle name="表示済みのハイパーリンク" xfId="276" builtinId="9" hidden="1"/>
    <cellStyle name="表示済みのハイパーリンク" xfId="278" builtinId="9" hidden="1"/>
    <cellStyle name="表示済みのハイパーリンク" xfId="280" builtinId="9" hidden="1"/>
    <cellStyle name="表示済みのハイパーリンク" xfId="282" builtinId="9" hidden="1"/>
    <cellStyle name="表示済みのハイパーリンク" xfId="284" builtinId="9" hidden="1"/>
    <cellStyle name="表示済みのハイパーリンク" xfId="286" builtinId="9" hidden="1"/>
    <cellStyle name="表示済みのハイパーリンク" xfId="288" builtinId="9" hidden="1"/>
    <cellStyle name="表示済みのハイパーリンク" xfId="290" builtinId="9" hidden="1"/>
    <cellStyle name="表示済みのハイパーリンク" xfId="292" builtinId="9" hidden="1"/>
    <cellStyle name="表示済みのハイパーリンク" xfId="294" builtinId="9" hidden="1"/>
    <cellStyle name="表示済みのハイパーリンク" xfId="296" builtinId="9" hidden="1"/>
    <cellStyle name="表示済みのハイパーリンク" xfId="298" builtinId="9" hidden="1"/>
    <cellStyle name="表示済みのハイパーリンク" xfId="300" builtinId="9" hidden="1"/>
    <cellStyle name="表示済みのハイパーリンク" xfId="302" builtinId="9" hidden="1"/>
    <cellStyle name="表示済みのハイパーリンク" xfId="304" builtinId="9" hidden="1"/>
    <cellStyle name="表示済みのハイパーリンク" xfId="306" builtinId="9" hidden="1"/>
    <cellStyle name="表示済みのハイパーリンク" xfId="308" builtinId="9" hidden="1"/>
    <cellStyle name="表示済みのハイパーリンク" xfId="310" builtinId="9" hidden="1"/>
    <cellStyle name="表示済みのハイパーリンク" xfId="312" builtinId="9" hidden="1"/>
    <cellStyle name="表示済みのハイパーリンク" xfId="314" builtinId="9" hidden="1"/>
    <cellStyle name="表示済みのハイパーリンク" xfId="316" builtinId="9" hidden="1"/>
    <cellStyle name="表示済みのハイパーリンク" xfId="318" builtinId="9" hidden="1"/>
    <cellStyle name="表示済みのハイパーリンク" xfId="320" builtinId="9" hidden="1"/>
    <cellStyle name="表示済みのハイパーリンク" xfId="322" builtinId="9" hidden="1"/>
    <cellStyle name="表示済みのハイパーリンク" xfId="324" builtinId="9" hidden="1"/>
    <cellStyle name="表示済みのハイパーリンク" xfId="326" builtinId="9" hidden="1"/>
    <cellStyle name="表示済みのハイパーリンク" xfId="328" builtinId="9" hidden="1"/>
    <cellStyle name="表示済みのハイパーリンク" xfId="330" builtinId="9" hidden="1"/>
    <cellStyle name="表示済みのハイパーリンク" xfId="332" builtinId="9" hidden="1"/>
    <cellStyle name="表示済みのハイパーリンク" xfId="334" builtinId="9" hidden="1"/>
    <cellStyle name="表示済みのハイパーリンク" xfId="336" builtinId="9" hidden="1"/>
    <cellStyle name="表示済みのハイパーリンク" xfId="338" builtinId="9" hidden="1"/>
    <cellStyle name="表示済みのハイパーリンク" xfId="340" builtinId="9" hidden="1"/>
    <cellStyle name="表示済みのハイパーリンク" xfId="342" builtinId="9" hidden="1"/>
    <cellStyle name="表示済みのハイパーリンク" xfId="344" builtinId="9" hidden="1"/>
    <cellStyle name="表示済みのハイパーリンク" xfId="346" builtinId="9" hidden="1"/>
    <cellStyle name="表示済みのハイパーリンク" xfId="348" builtinId="9" hidden="1"/>
    <cellStyle name="表示済みのハイパーリンク" xfId="350" builtinId="9" hidden="1"/>
    <cellStyle name="表示済みのハイパーリンク" xfId="352" builtinId="9" hidden="1"/>
    <cellStyle name="表示済みのハイパーリンク" xfId="354" builtinId="9" hidden="1"/>
    <cellStyle name="表示済みのハイパーリンク" xfId="356" builtinId="9" hidden="1"/>
    <cellStyle name="表示済みのハイパーリンク" xfId="358" builtinId="9" hidden="1"/>
    <cellStyle name="表示済みのハイパーリンク" xfId="360" builtinId="9" hidden="1"/>
    <cellStyle name="表示済みのハイパーリンク" xfId="362" builtinId="9" hidden="1"/>
    <cellStyle name="表示済みのハイパーリンク" xfId="364" builtinId="9" hidden="1"/>
    <cellStyle name="表示済みのハイパーリンク" xfId="366" builtinId="9" hidden="1"/>
    <cellStyle name="表示済みのハイパーリンク" xfId="368" builtinId="9" hidden="1"/>
    <cellStyle name="表示済みのハイパーリンク" xfId="370" builtinId="9" hidden="1"/>
    <cellStyle name="表示済みのハイパーリンク" xfId="372" builtinId="9" hidden="1"/>
    <cellStyle name="表示済みのハイパーリンク" xfId="374" builtinId="9" hidden="1"/>
    <cellStyle name="表示済みのハイパーリンク" xfId="376" builtinId="9" hidden="1"/>
    <cellStyle name="表示済みのハイパーリンク" xfId="378" builtinId="9" hidden="1"/>
    <cellStyle name="表示済みのハイパーリンク" xfId="380" builtinId="9" hidden="1"/>
    <cellStyle name="表示済みのハイパーリンク" xfId="382" builtinId="9" hidden="1"/>
    <cellStyle name="表示済みのハイパーリンク" xfId="384" builtinId="9" hidden="1"/>
    <cellStyle name="表示済みのハイパーリンク" xfId="386" builtinId="9" hidden="1"/>
    <cellStyle name="表示済みのハイパーリンク" xfId="388" builtinId="9" hidden="1"/>
    <cellStyle name="表示済みのハイパーリンク" xfId="390" builtinId="9" hidden="1"/>
    <cellStyle name="表示済みのハイパーリンク" xfId="392" builtinId="9" hidden="1"/>
    <cellStyle name="表示済みのハイパーリンク" xfId="394" builtinId="9" hidden="1"/>
    <cellStyle name="表示済みのハイパーリンク" xfId="396" builtinId="9" hidden="1"/>
    <cellStyle name="表示済みのハイパーリンク" xfId="398" builtinId="9" hidden="1"/>
    <cellStyle name="表示済みのハイパーリンク" xfId="400" builtinId="9" hidden="1"/>
    <cellStyle name="表示済みのハイパーリンク" xfId="402" builtinId="9" hidden="1"/>
    <cellStyle name="表示済みのハイパーリンク" xfId="404" builtinId="9" hidden="1"/>
    <cellStyle name="表示済みのハイパーリンク" xfId="406" builtinId="9" hidden="1"/>
    <cellStyle name="表示済みのハイパーリンク" xfId="408" builtinId="9" hidden="1"/>
    <cellStyle name="表示済みのハイパーリンク" xfId="410" builtinId="9" hidden="1"/>
    <cellStyle name="表示済みのハイパーリンク" xfId="412" builtinId="9" hidden="1"/>
    <cellStyle name="表示済みのハイパーリンク" xfId="414" builtinId="9" hidden="1"/>
    <cellStyle name="表示済みのハイパーリンク" xfId="416" builtinId="9" hidden="1"/>
    <cellStyle name="表示済みのハイパーリンク" xfId="418" builtinId="9" hidden="1"/>
    <cellStyle name="表示済みのハイパーリンク" xfId="420" builtinId="9" hidden="1"/>
    <cellStyle name="表示済みのハイパーリンク" xfId="422" builtinId="9" hidden="1"/>
    <cellStyle name="表示済みのハイパーリンク" xfId="424" builtinId="9" hidden="1"/>
    <cellStyle name="表示済みのハイパーリンク" xfId="426" builtinId="9" hidden="1"/>
    <cellStyle name="表示済みのハイパーリンク" xfId="428" builtinId="9" hidden="1"/>
    <cellStyle name="表示済みのハイパーリンク" xfId="430" builtinId="9" hidden="1"/>
    <cellStyle name="表示済みのハイパーリンク" xfId="432" builtinId="9" hidden="1"/>
    <cellStyle name="表示済みのハイパーリンク" xfId="434" builtinId="9" hidden="1"/>
    <cellStyle name="表示済みのハイパーリンク" xfId="436" builtinId="9" hidden="1"/>
    <cellStyle name="表示済みのハイパーリンク" xfId="438" builtinId="9" hidden="1"/>
    <cellStyle name="表示済みのハイパーリンク" xfId="440" builtinId="9" hidden="1"/>
    <cellStyle name="表示済みのハイパーリンク" xfId="442" builtinId="9" hidden="1"/>
    <cellStyle name="表示済みのハイパーリンク" xfId="444" builtinId="9" hidden="1"/>
    <cellStyle name="表示済みのハイパーリンク" xfId="446" builtinId="9" hidden="1"/>
    <cellStyle name="表示済みのハイパーリンク" xfId="448" builtinId="9" hidden="1"/>
    <cellStyle name="表示済みのハイパーリンク" xfId="450" builtinId="9" hidden="1"/>
    <cellStyle name="表示済みのハイパーリンク" xfId="452" builtinId="9" hidden="1"/>
    <cellStyle name="表示済みのハイパーリンク" xfId="454" builtinId="9" hidden="1"/>
    <cellStyle name="表示済みのハイパーリンク" xfId="456" builtinId="9" hidden="1"/>
    <cellStyle name="表示済みのハイパーリンク" xfId="458" builtinId="9" hidden="1"/>
    <cellStyle name="表示済みのハイパーリンク" xfId="460" builtinId="9" hidden="1"/>
    <cellStyle name="表示済みのハイパーリンク" xfId="462" builtinId="9" hidden="1"/>
    <cellStyle name="表示済みのハイパーリンク" xfId="464" builtinId="9" hidden="1"/>
    <cellStyle name="表示済みのハイパーリンク" xfId="466"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表示済みのハイパーリンク" xfId="486" builtinId="9" hidden="1"/>
    <cellStyle name="表示済みのハイパーリンク" xfId="488" builtinId="9" hidden="1"/>
    <cellStyle name="表示済みのハイパーリンク" xfId="490" builtinId="9" hidden="1"/>
    <cellStyle name="表示済みのハイパーリンク" xfId="492" builtinId="9" hidden="1"/>
    <cellStyle name="表示済みのハイパーリンク" xfId="494" builtinId="9" hidden="1"/>
    <cellStyle name="表示済みのハイパーリンク" xfId="496" builtinId="9" hidden="1"/>
    <cellStyle name="表示済みのハイパーリンク" xfId="498" builtinId="9" hidden="1"/>
    <cellStyle name="表示済みのハイパーリンク" xfId="500" builtinId="9" hidden="1"/>
    <cellStyle name="表示済みのハイパーリンク" xfId="502" builtinId="9" hidden="1"/>
    <cellStyle name="表示済みのハイパーリンク" xfId="504" builtinId="9" hidden="1"/>
    <cellStyle name="表示済みのハイパーリンク" xfId="506" builtinId="9" hidden="1"/>
    <cellStyle name="表示済みのハイパーリンク" xfId="508" builtinId="9" hidden="1"/>
    <cellStyle name="表示済みのハイパーリンク" xfId="510" builtinId="9" hidden="1"/>
    <cellStyle name="表示済みのハイパーリンク" xfId="512" builtinId="9" hidden="1"/>
    <cellStyle name="表示済みのハイパーリンク" xfId="514" builtinId="9" hidden="1"/>
    <cellStyle name="表示済みのハイパーリンク" xfId="516" builtinId="9" hidden="1"/>
    <cellStyle name="表示済みのハイパーリンク" xfId="518" builtinId="9" hidden="1"/>
    <cellStyle name="表示済みのハイパーリンク" xfId="520" builtinId="9" hidden="1"/>
    <cellStyle name="表示済みのハイパーリンク" xfId="522" builtinId="9" hidden="1"/>
    <cellStyle name="表示済みのハイパーリンク" xfId="524" builtinId="9" hidden="1"/>
    <cellStyle name="表示済みのハイパーリンク" xfId="526" builtinId="9" hidden="1"/>
    <cellStyle name="表示済みのハイパーリンク" xfId="528" builtinId="9" hidden="1"/>
    <cellStyle name="表示済みのハイパーリンク" xfId="530" builtinId="9" hidden="1"/>
    <cellStyle name="表示済みのハイパーリンク" xfId="532" builtinId="9" hidden="1"/>
    <cellStyle name="表示済みのハイパーリンク" xfId="534" builtinId="9" hidden="1"/>
    <cellStyle name="表示済みのハイパーリンク" xfId="536" builtinId="9" hidden="1"/>
    <cellStyle name="表示済みのハイパーリンク" xfId="538" builtinId="9" hidden="1"/>
    <cellStyle name="表示済みのハイパーリンク" xfId="540" builtinId="9" hidden="1"/>
    <cellStyle name="表示済みのハイパーリンク" xfId="542" builtinId="9" hidden="1"/>
    <cellStyle name="表示済みのハイパーリンク" xfId="544" builtinId="9" hidden="1"/>
    <cellStyle name="表示済みのハイパーリンク" xfId="546" builtinId="9" hidden="1"/>
    <cellStyle name="表示済みのハイパーリンク" xfId="548" builtinId="9" hidden="1"/>
    <cellStyle name="表示済みのハイパーリンク" xfId="550" builtinId="9" hidden="1"/>
    <cellStyle name="表示済みのハイパーリンク" xfId="552" builtinId="9" hidden="1"/>
    <cellStyle name="表示済みのハイパーリンク" xfId="554" builtinId="9" hidden="1"/>
    <cellStyle name="表示済みのハイパーリンク" xfId="556" builtinId="9" hidden="1"/>
    <cellStyle name="表示済みのハイパーリンク" xfId="558" builtinId="9" hidden="1"/>
    <cellStyle name="表示済みのハイパーリンク" xfId="560" builtinId="9" hidden="1"/>
    <cellStyle name="表示済みのハイパーリンク" xfId="562" builtinId="9" hidden="1"/>
    <cellStyle name="表示済みのハイパーリンク" xfId="564" builtinId="9" hidden="1"/>
    <cellStyle name="表示済みのハイパーリンク" xfId="566" builtinId="9" hidden="1"/>
    <cellStyle name="表示済みのハイパーリンク" xfId="568" builtinId="9" hidden="1"/>
    <cellStyle name="表示済みのハイパーリンク" xfId="570" builtinId="9" hidden="1"/>
    <cellStyle name="表示済みのハイパーリンク" xfId="572" builtinId="9" hidden="1"/>
    <cellStyle name="表示済みのハイパーリンク" xfId="574" builtinId="9" hidden="1"/>
    <cellStyle name="表示済みのハイパーリンク" xfId="576" builtinId="9" hidden="1"/>
    <cellStyle name="表示済みのハイパーリンク" xfId="578" builtinId="9" hidden="1"/>
    <cellStyle name="表示済みのハイパーリンク" xfId="580" builtinId="9" hidden="1"/>
    <cellStyle name="表示済みのハイパーリンク" xfId="582" builtinId="9" hidden="1"/>
    <cellStyle name="表示済みのハイパーリンク" xfId="584" builtinId="9" hidden="1"/>
    <cellStyle name="表示済みのハイパーリンク" xfId="586" builtinId="9" hidden="1"/>
    <cellStyle name="表示済みのハイパーリンク" xfId="588" builtinId="9" hidden="1"/>
    <cellStyle name="表示済みのハイパーリンク" xfId="590" builtinId="9" hidden="1"/>
    <cellStyle name="表示済みのハイパーリンク" xfId="592" builtinId="9" hidden="1"/>
    <cellStyle name="表示済みのハイパーリンク" xfId="594" builtinId="9" hidden="1"/>
    <cellStyle name="表示済みのハイパーリンク" xfId="596" builtinId="9" hidden="1"/>
    <cellStyle name="表示済みのハイパーリンク" xfId="598" builtinId="9" hidden="1"/>
    <cellStyle name="表示済みのハイパーリンク" xfId="600" builtinId="9" hidden="1"/>
    <cellStyle name="表示済みのハイパーリンク" xfId="602" builtinId="9" hidden="1"/>
    <cellStyle name="表示済みのハイパーリンク" xfId="604" builtinId="9" hidden="1"/>
    <cellStyle name="表示済みのハイパーリンク" xfId="606" builtinId="9" hidden="1"/>
    <cellStyle name="表示済みのハイパーリンク" xfId="608" builtinId="9" hidden="1"/>
    <cellStyle name="表示済みのハイパーリンク" xfId="610" builtinId="9" hidden="1"/>
    <cellStyle name="表示済みのハイパーリンク" xfId="612" builtinId="9" hidden="1"/>
    <cellStyle name="表示済みのハイパーリンク" xfId="614" builtinId="9" hidden="1"/>
    <cellStyle name="表示済みのハイパーリンク" xfId="616" builtinId="9" hidden="1"/>
    <cellStyle name="表示済みのハイパーリンク" xfId="618" builtinId="9" hidden="1"/>
    <cellStyle name="表示済みのハイパーリンク" xfId="620" builtinId="9" hidden="1"/>
    <cellStyle name="表示済みのハイパーリンク" xfId="622" builtinId="9" hidden="1"/>
    <cellStyle name="表示済みのハイパーリンク" xfId="624" builtinId="9" hidden="1"/>
    <cellStyle name="表示済みのハイパーリンク" xfId="626" builtinId="9" hidden="1"/>
    <cellStyle name="表示済みのハイパーリンク" xfId="628" builtinId="9" hidden="1"/>
    <cellStyle name="表示済みのハイパーリンク" xfId="630" builtinId="9" hidden="1"/>
    <cellStyle name="表示済みのハイパーリンク" xfId="632" builtinId="9" hidden="1"/>
    <cellStyle name="表示済みのハイパーリンク" xfId="634" builtinId="9" hidden="1"/>
    <cellStyle name="表示済みのハイパーリンク" xfId="636" builtinId="9" hidden="1"/>
    <cellStyle name="表示済みのハイパーリンク" xfId="638" builtinId="9" hidden="1"/>
    <cellStyle name="表示済みのハイパーリンク" xfId="640" builtinId="9" hidden="1"/>
    <cellStyle name="表示済みのハイパーリンク" xfId="642" builtinId="9" hidden="1"/>
    <cellStyle name="表示済みのハイパーリンク" xfId="644" builtinId="9" hidden="1"/>
    <cellStyle name="表示済みのハイパーリンク" xfId="646" builtinId="9" hidden="1"/>
    <cellStyle name="表示済みのハイパーリンク" xfId="648" builtinId="9" hidden="1"/>
    <cellStyle name="表示済みのハイパーリンク" xfId="650" builtinId="9" hidden="1"/>
    <cellStyle name="表示済みのハイパーリンク" xfId="652" builtinId="9" hidden="1"/>
    <cellStyle name="表示済みのハイパーリンク" xfId="654" builtinId="9" hidden="1"/>
    <cellStyle name="表示済みのハイパーリンク" xfId="656" builtinId="9" hidden="1"/>
    <cellStyle name="表示済みのハイパーリンク" xfId="658" builtinId="9" hidden="1"/>
    <cellStyle name="表示済みのハイパーリンク" xfId="660" builtinId="9" hidden="1"/>
    <cellStyle name="表示済みのハイパーリンク" xfId="662" builtinId="9" hidden="1"/>
    <cellStyle name="表示済みのハイパーリンク" xfId="664" builtinId="9" hidden="1"/>
    <cellStyle name="表示済みのハイパーリンク" xfId="666" builtinId="9" hidden="1"/>
    <cellStyle name="表示済みのハイパーリンク" xfId="668" builtinId="9" hidden="1"/>
    <cellStyle name="表示済みのハイパーリンク" xfId="670" builtinId="9" hidden="1"/>
    <cellStyle name="表示済みのハイパーリンク" xfId="672" builtinId="9" hidden="1"/>
    <cellStyle name="表示済みのハイパーリンク" xfId="674" builtinId="9" hidden="1"/>
    <cellStyle name="表示済みのハイパーリンク" xfId="676" builtinId="9" hidden="1"/>
    <cellStyle name="表示済みのハイパーリンク" xfId="678" builtinId="9" hidden="1"/>
    <cellStyle name="表示済みのハイパーリンク" xfId="680" builtinId="9" hidden="1"/>
    <cellStyle name="表示済みのハイパーリンク" xfId="682" builtinId="9" hidden="1"/>
    <cellStyle name="表示済みのハイパーリンク" xfId="684" builtinId="9" hidden="1"/>
    <cellStyle name="表示済みのハイパーリンク" xfId="686" builtinId="9" hidden="1"/>
    <cellStyle name="表示済みのハイパーリンク" xfId="688" builtinId="9" hidden="1"/>
    <cellStyle name="表示済みのハイパーリンク" xfId="690" builtinId="9" hidden="1"/>
    <cellStyle name="表示済みのハイパーリンク" xfId="692" builtinId="9" hidden="1"/>
    <cellStyle name="表示済みのハイパーリンク" xfId="694" builtinId="9" hidden="1"/>
    <cellStyle name="表示済みのハイパーリンク" xfId="696" builtinId="9" hidden="1"/>
    <cellStyle name="表示済みのハイパーリンク" xfId="698" builtinId="9" hidden="1"/>
    <cellStyle name="表示済みのハイパーリンク" xfId="700" builtinId="9" hidden="1"/>
    <cellStyle name="表示済みのハイパーリンク" xfId="702" builtinId="9" hidden="1"/>
    <cellStyle name="表示済みのハイパーリンク" xfId="704" builtinId="9" hidden="1"/>
    <cellStyle name="表示済みのハイパーリンク" xfId="706" builtinId="9" hidden="1"/>
    <cellStyle name="表示済みのハイパーリンク" xfId="708" builtinId="9" hidden="1"/>
    <cellStyle name="表示済みのハイパーリンク" xfId="710" builtinId="9" hidden="1"/>
    <cellStyle name="表示済みのハイパーリンク" xfId="712" builtinId="9" hidden="1"/>
    <cellStyle name="表示済みのハイパーリンク" xfId="714" builtinId="9" hidden="1"/>
    <cellStyle name="表示済みのハイパーリンク" xfId="716" builtinId="9" hidden="1"/>
    <cellStyle name="表示済みのハイパーリンク" xfId="718" builtinId="9" hidden="1"/>
    <cellStyle name="表示済みのハイパーリンク" xfId="720" builtinId="9" hidden="1"/>
    <cellStyle name="表示済みのハイパーリンク" xfId="722" builtinId="9" hidden="1"/>
    <cellStyle name="表示済みのハイパーリンク" xfId="724" builtinId="9" hidden="1"/>
    <cellStyle name="表示済みのハイパーリンク" xfId="726" builtinId="9" hidden="1"/>
    <cellStyle name="表示済みのハイパーリンク" xfId="728" builtinId="9" hidden="1"/>
    <cellStyle name="表示済みのハイパーリンク" xfId="730" builtinId="9" hidden="1"/>
    <cellStyle name="表示済みのハイパーリンク" xfId="732" builtinId="9" hidden="1"/>
    <cellStyle name="表示済みのハイパーリンク" xfId="734" builtinId="9" hidden="1"/>
    <cellStyle name="表示済みのハイパーリンク" xfId="736" builtinId="9" hidden="1"/>
    <cellStyle name="表示済みのハイパーリンク" xfId="738" builtinId="9" hidden="1"/>
    <cellStyle name="表示済みのハイパーリンク" xfId="740" builtinId="9" hidden="1"/>
    <cellStyle name="表示済みのハイパーリンク" xfId="742" builtinId="9" hidden="1"/>
    <cellStyle name="表示済みのハイパーリンク" xfId="744" builtinId="9" hidden="1"/>
    <cellStyle name="表示済みのハイパーリンク" xfId="746" builtinId="9" hidden="1"/>
    <cellStyle name="表示済みのハイパーリンク" xfId="748" builtinId="9" hidden="1"/>
    <cellStyle name="表示済みのハイパーリンク" xfId="750" builtinId="9" hidden="1"/>
    <cellStyle name="表示済みのハイパーリンク" xfId="752" builtinId="9" hidden="1"/>
    <cellStyle name="表示済みのハイパーリンク" xfId="754" builtinId="9" hidden="1"/>
    <cellStyle name="表示済みのハイパーリンク" xfId="756" builtinId="9" hidden="1"/>
    <cellStyle name="表示済みのハイパーリンク" xfId="758" builtinId="9" hidden="1"/>
    <cellStyle name="表示済みのハイパーリンク" xfId="760" builtinId="9" hidden="1"/>
    <cellStyle name="表示済みのハイパーリンク" xfId="762" builtinId="9" hidden="1"/>
    <cellStyle name="表示済みのハイパーリンク" xfId="764" builtinId="9" hidden="1"/>
    <cellStyle name="表示済みのハイパーリンク" xfId="766" builtinId="9" hidden="1"/>
    <cellStyle name="表示済みのハイパーリンク" xfId="768" builtinId="9" hidden="1"/>
    <cellStyle name="表示済みのハイパーリンク" xfId="770" builtinId="9" hidden="1"/>
    <cellStyle name="表示済みのハイパーリンク" xfId="772" builtinId="9" hidden="1"/>
    <cellStyle name="表示済みのハイパーリンク" xfId="774" builtinId="9" hidden="1"/>
    <cellStyle name="表示済みのハイパーリンク" xfId="776" builtinId="9" hidden="1"/>
    <cellStyle name="表示済みのハイパーリンク" xfId="778" builtinId="9" hidden="1"/>
    <cellStyle name="表示済みのハイパーリンク" xfId="780" builtinId="9" hidden="1"/>
    <cellStyle name="表示済みのハイパーリンク" xfId="782" builtinId="9" hidden="1"/>
    <cellStyle name="表示済みのハイパーリンク" xfId="784" builtinId="9" hidden="1"/>
    <cellStyle name="表示済みのハイパーリンク" xfId="786" builtinId="9" hidden="1"/>
    <cellStyle name="表示済みのハイパーリンク" xfId="788" builtinId="9" hidden="1"/>
    <cellStyle name="表示済みのハイパーリンク" xfId="790" builtinId="9" hidden="1"/>
    <cellStyle name="表示済みのハイパーリンク" xfId="792" builtinId="9" hidden="1"/>
    <cellStyle name="表示済みのハイパーリンク" xfId="794" builtinId="9" hidden="1"/>
    <cellStyle name="表示済みのハイパーリンク" xfId="796" builtinId="9" hidden="1"/>
    <cellStyle name="表示済みのハイパーリンク" xfId="798" builtinId="9" hidden="1"/>
    <cellStyle name="表示済みのハイパーリンク" xfId="800" builtinId="9" hidden="1"/>
    <cellStyle name="表示済みのハイパーリンク" xfId="802" builtinId="9" hidden="1"/>
    <cellStyle name="表示済みのハイパーリンク" xfId="804" builtinId="9" hidden="1"/>
    <cellStyle name="表示済みのハイパーリンク" xfId="806" builtinId="9" hidden="1"/>
    <cellStyle name="表示済みのハイパーリンク" xfId="808" builtinId="9" hidden="1"/>
    <cellStyle name="表示済みのハイパーリンク" xfId="810" builtinId="9" hidden="1"/>
    <cellStyle name="表示済みのハイパーリンク" xfId="812" builtinId="9" hidden="1"/>
    <cellStyle name="表示済みのハイパーリンク" xfId="814" builtinId="9" hidden="1"/>
    <cellStyle name="表示済みのハイパーリンク" xfId="816" builtinId="9" hidden="1"/>
    <cellStyle name="表示済みのハイパーリンク" xfId="818" builtinId="9" hidden="1"/>
    <cellStyle name="表示済みのハイパーリンク" xfId="820" builtinId="9" hidden="1"/>
    <cellStyle name="表示済みのハイパーリンク" xfId="822" builtinId="9" hidden="1"/>
    <cellStyle name="表示済みのハイパーリンク" xfId="824" builtinId="9" hidden="1"/>
    <cellStyle name="表示済みのハイパーリンク" xfId="826" builtinId="9" hidden="1"/>
    <cellStyle name="表示済みのハイパーリンク" xfId="828" builtinId="9" hidden="1"/>
    <cellStyle name="表示済みのハイパーリンク" xfId="830" builtinId="9" hidden="1"/>
    <cellStyle name="表示済みのハイパーリンク" xfId="832" builtinId="9" hidden="1"/>
    <cellStyle name="表示済みのハイパーリンク" xfId="834" builtinId="9" hidden="1"/>
    <cellStyle name="表示済みのハイパーリンク" xfId="836" builtinId="9" hidden="1"/>
    <cellStyle name="表示済みのハイパーリンク" xfId="838" builtinId="9" hidden="1"/>
    <cellStyle name="表示済みのハイパーリンク" xfId="840" builtinId="9" hidden="1"/>
    <cellStyle name="表示済みのハイパーリンク" xfId="842" builtinId="9" hidden="1"/>
    <cellStyle name="表示済みのハイパーリンク" xfId="844" builtinId="9" hidden="1"/>
    <cellStyle name="表示済みのハイパーリンク" xfId="846" builtinId="9" hidden="1"/>
    <cellStyle name="表示済みのハイパーリンク" xfId="848" builtinId="9" hidden="1"/>
    <cellStyle name="表示済みのハイパーリンク" xfId="850" builtinId="9" hidden="1"/>
    <cellStyle name="表示済みのハイパーリンク" xfId="852" builtinId="9" hidden="1"/>
    <cellStyle name="表示済みのハイパーリンク" xfId="854" builtinId="9" hidden="1"/>
    <cellStyle name="表示済みのハイパーリンク" xfId="856" builtinId="9" hidden="1"/>
    <cellStyle name="表示済みのハイパーリンク" xfId="858" builtinId="9" hidden="1"/>
    <cellStyle name="表示済みのハイパーリンク" xfId="860" builtinId="9" hidden="1"/>
    <cellStyle name="表示済みのハイパーリンク" xfId="862" builtinId="9" hidden="1"/>
    <cellStyle name="表示済みのハイパーリンク" xfId="864" builtinId="9" hidden="1"/>
    <cellStyle name="表示済みのハイパーリンク" xfId="866" builtinId="9" hidden="1"/>
    <cellStyle name="表示済みのハイパーリンク" xfId="868" builtinId="9" hidden="1"/>
    <cellStyle name="表示済みのハイパーリンク" xfId="870" builtinId="9" hidden="1"/>
    <cellStyle name="表示済みのハイパーリンク" xfId="872" builtinId="9" hidden="1"/>
    <cellStyle name="表示済みのハイパーリンク" xfId="874" builtinId="9" hidden="1"/>
    <cellStyle name="表示済みのハイパーリンク" xfId="876" builtinId="9" hidden="1"/>
    <cellStyle name="表示済みのハイパーリンク" xfId="878" builtinId="9" hidden="1"/>
    <cellStyle name="表示済みのハイパーリンク" xfId="880" builtinId="9" hidden="1"/>
    <cellStyle name="表示済みのハイパーリンク" xfId="882" builtinId="9" hidden="1"/>
    <cellStyle name="表示済みのハイパーリンク" xfId="884" builtinId="9" hidden="1"/>
    <cellStyle name="表示済みのハイパーリンク" xfId="886" builtinId="9" hidden="1"/>
    <cellStyle name="表示済みのハイパーリンク" xfId="888" builtinId="9" hidden="1"/>
    <cellStyle name="表示済みのハイパーリンク" xfId="890" builtinId="9" hidden="1"/>
    <cellStyle name="表示済みのハイパーリンク" xfId="892" builtinId="9" hidden="1"/>
    <cellStyle name="表示済みのハイパーリンク" xfId="894" builtinId="9" hidden="1"/>
    <cellStyle name="表示済みのハイパーリンク" xfId="896" builtinId="9" hidden="1"/>
    <cellStyle name="表示済みのハイパーリンク" xfId="898" builtinId="9" hidden="1"/>
    <cellStyle name="表示済みのハイパーリンク" xfId="900" builtinId="9" hidden="1"/>
    <cellStyle name="表示済みのハイパーリンク" xfId="902" builtinId="9" hidden="1"/>
    <cellStyle name="表示済みのハイパーリンク" xfId="904" builtinId="9" hidden="1"/>
    <cellStyle name="表示済みのハイパーリンク" xfId="906" builtinId="9" hidden="1"/>
    <cellStyle name="表示済みのハイパーリンク" xfId="908" builtinId="9" hidden="1"/>
    <cellStyle name="表示済みのハイパーリンク" xfId="910" builtinId="9" hidden="1"/>
    <cellStyle name="表示済みのハイパーリンク" xfId="912" builtinId="9" hidden="1"/>
    <cellStyle name="表示済みのハイパーリンク" xfId="914" builtinId="9" hidden="1"/>
    <cellStyle name="表示済みのハイパーリンク" xfId="916" builtinId="9" hidden="1"/>
    <cellStyle name="表示済みのハイパーリンク" xfId="918" builtinId="9" hidden="1"/>
    <cellStyle name="表示済みのハイパーリンク" xfId="920" builtinId="9" hidden="1"/>
    <cellStyle name="表示済みのハイパーリンク" xfId="922" builtinId="9" hidden="1"/>
    <cellStyle name="表示済みのハイパーリンク" xfId="924" builtinId="9" hidden="1"/>
    <cellStyle name="表示済みのハイパーリンク" xfId="926" builtinId="9" hidden="1"/>
    <cellStyle name="表示済みのハイパーリンク" xfId="928" builtinId="9" hidden="1"/>
    <cellStyle name="表示済みのハイパーリンク" xfId="930" builtinId="9" hidden="1"/>
    <cellStyle name="表示済みのハイパーリンク" xfId="932" builtinId="9" hidden="1"/>
    <cellStyle name="表示済みのハイパーリンク" xfId="934" builtinId="9" hidden="1"/>
    <cellStyle name="表示済みのハイパーリンク" xfId="936" builtinId="9" hidden="1"/>
    <cellStyle name="表示済みのハイパーリンク" xfId="938" builtinId="9" hidden="1"/>
    <cellStyle name="表示済みのハイパーリンク" xfId="940" builtinId="9" hidden="1"/>
    <cellStyle name="表示済みのハイパーリンク" xfId="942" builtinId="9" hidden="1"/>
    <cellStyle name="表示済みのハイパーリンク" xfId="944" builtinId="9" hidden="1"/>
    <cellStyle name="表示済みのハイパーリンク" xfId="946" builtinId="9" hidden="1"/>
    <cellStyle name="表示済みのハイパーリンク" xfId="948" builtinId="9" hidden="1"/>
    <cellStyle name="表示済みのハイパーリンク" xfId="950" builtinId="9" hidden="1"/>
    <cellStyle name="表示済みのハイパーリンク" xfId="952" builtinId="9" hidden="1"/>
    <cellStyle name="表示済みのハイパーリンク" xfId="954" builtinId="9" hidden="1"/>
    <cellStyle name="表示済みのハイパーリンク" xfId="956" builtinId="9" hidden="1"/>
    <cellStyle name="表示済みのハイパーリンク" xfId="958" builtinId="9" hidden="1"/>
    <cellStyle name="表示済みのハイパーリンク" xfId="960" builtinId="9" hidden="1"/>
    <cellStyle name="表示済みのハイパーリンク" xfId="962" builtinId="9" hidden="1"/>
    <cellStyle name="表示済みのハイパーリンク" xfId="964" builtinId="9" hidden="1"/>
    <cellStyle name="表示済みのハイパーリンク" xfId="966" builtinId="9" hidden="1"/>
    <cellStyle name="表示済みのハイパーリンク" xfId="968" builtinId="9" hidden="1"/>
    <cellStyle name="表示済みのハイパーリンク" xfId="970" builtinId="9" hidden="1"/>
    <cellStyle name="表示済みのハイパーリンク" xfId="972" builtinId="9" hidden="1"/>
    <cellStyle name="表示済みのハイパーリンク" xfId="974" builtinId="9" hidden="1"/>
    <cellStyle name="表示済みのハイパーリンク" xfId="976" builtinId="9" hidden="1"/>
    <cellStyle name="表示済みのハイパーリンク" xfId="978" builtinId="9" hidden="1"/>
    <cellStyle name="表示済みのハイパーリンク" xfId="980" builtinId="9" hidden="1"/>
    <cellStyle name="表示済みのハイパーリンク" xfId="982" builtinId="9" hidden="1"/>
    <cellStyle name="表示済みのハイパーリンク" xfId="984" builtinId="9" hidden="1"/>
    <cellStyle name="表示済みのハイパーリンク" xfId="986" builtinId="9" hidden="1"/>
    <cellStyle name="表示済みのハイパーリンク" xfId="988" builtinId="9" hidden="1"/>
    <cellStyle name="表示済みのハイパーリンク" xfId="990" builtinId="9" hidden="1"/>
    <cellStyle name="表示済みのハイパーリンク" xfId="992" builtinId="9" hidden="1"/>
    <cellStyle name="表示済みのハイパーリンク" xfId="994" builtinId="9" hidden="1"/>
    <cellStyle name="表示済みのハイパーリンク" xfId="996" builtinId="9" hidden="1"/>
    <cellStyle name="表示済みのハイパーリンク" xfId="998" builtinId="9" hidden="1"/>
    <cellStyle name="表示済みのハイパーリンク" xfId="1000" builtinId="9" hidden="1"/>
    <cellStyle name="表示済みのハイパーリンク" xfId="1002" builtinId="9" hidden="1"/>
    <cellStyle name="表示済みのハイパーリンク" xfId="1004" builtinId="9" hidden="1"/>
    <cellStyle name="表示済みのハイパーリンク" xfId="1006" builtinId="9" hidden="1"/>
    <cellStyle name="表示済みのハイパーリンク" xfId="1008" builtinId="9" hidden="1"/>
    <cellStyle name="表示済みのハイパーリンク" xfId="1010" builtinId="9" hidden="1"/>
    <cellStyle name="表示済みのハイパーリンク" xfId="1012" builtinId="9" hidden="1"/>
    <cellStyle name="表示済みのハイパーリンク" xfId="1014" builtinId="9" hidden="1"/>
    <cellStyle name="表示済みのハイパーリンク" xfId="1016" builtinId="9" hidden="1"/>
    <cellStyle name="表示済みのハイパーリンク" xfId="1018" builtinId="9" hidden="1"/>
    <cellStyle name="表示済みのハイパーリンク" xfId="1020" builtinId="9" hidden="1"/>
    <cellStyle name="表示済みのハイパーリンク" xfId="1022" builtinId="9" hidden="1"/>
    <cellStyle name="表示済みのハイパーリンク" xfId="1024" builtinId="9" hidden="1"/>
    <cellStyle name="表示済みのハイパーリンク" xfId="1026" builtinId="9" hidden="1"/>
    <cellStyle name="表示済みのハイパーリンク" xfId="1028" builtinId="9" hidden="1"/>
    <cellStyle name="表示済みのハイパーリンク" xfId="1030" builtinId="9" hidden="1"/>
    <cellStyle name="表示済みのハイパーリンク" xfId="1032" builtinId="9" hidden="1"/>
    <cellStyle name="表示済みのハイパーリンク" xfId="1034" builtinId="9" hidden="1"/>
    <cellStyle name="表示済みのハイパーリンク" xfId="1036" builtinId="9" hidden="1"/>
    <cellStyle name="表示済みのハイパーリンク" xfId="1038" builtinId="9" hidden="1"/>
    <cellStyle name="表示済みのハイパーリンク" xfId="1040" builtinId="9" hidden="1"/>
    <cellStyle name="表示済みのハイパーリンク" xfId="1042" builtinId="9" hidden="1"/>
    <cellStyle name="表示済みのハイパーリンク" xfId="1044" builtinId="9" hidden="1"/>
    <cellStyle name="表示済みのハイパーリンク" xfId="1046" builtinId="9" hidden="1"/>
    <cellStyle name="表示済みのハイパーリンク" xfId="1048" builtinId="9" hidden="1"/>
    <cellStyle name="表示済みのハイパーリンク" xfId="1050" builtinId="9" hidden="1"/>
    <cellStyle name="表示済みのハイパーリンク" xfId="1052" builtinId="9" hidden="1"/>
    <cellStyle name="表示済みのハイパーリンク" xfId="1054" builtinId="9" hidden="1"/>
    <cellStyle name="表示済みのハイパーリンク" xfId="1056" builtinId="9" hidden="1"/>
    <cellStyle name="表示済みのハイパーリンク" xfId="1058" builtinId="9" hidden="1"/>
    <cellStyle name="表示済みのハイパーリンク" xfId="1060" builtinId="9" hidden="1"/>
    <cellStyle name="表示済みのハイパーリンク" xfId="1062" builtinId="9" hidden="1"/>
    <cellStyle name="表示済みのハイパーリンク" xfId="1064" builtinId="9" hidden="1"/>
    <cellStyle name="表示済みのハイパーリンク" xfId="1066" builtinId="9" hidden="1"/>
    <cellStyle name="表示済みのハイパーリンク" xfId="1068" builtinId="9" hidden="1"/>
    <cellStyle name="表示済みのハイパーリンク" xfId="1070" builtinId="9" hidden="1"/>
    <cellStyle name="表示済みのハイパーリンク" xfId="1072" builtinId="9" hidden="1"/>
    <cellStyle name="表示済みのハイパーリンク" xfId="1074" builtinId="9" hidden="1"/>
    <cellStyle name="表示済みのハイパーリンク" xfId="1076" builtinId="9" hidden="1"/>
    <cellStyle name="表示済みのハイパーリンク" xfId="1078" builtinId="9" hidden="1"/>
    <cellStyle name="表示済みのハイパーリンク" xfId="1080" builtinId="9" hidden="1"/>
    <cellStyle name="表示済みのハイパーリンク" xfId="1082" builtinId="9" hidden="1"/>
    <cellStyle name="表示済みのハイパーリンク" xfId="1084" builtinId="9" hidden="1"/>
    <cellStyle name="表示済みのハイパーリンク" xfId="1086" builtinId="9" hidden="1"/>
    <cellStyle name="表示済みのハイパーリンク" xfId="1088" builtinId="9" hidden="1"/>
    <cellStyle name="表示済みのハイパーリンク" xfId="1090" builtinId="9" hidden="1"/>
    <cellStyle name="表示済みのハイパーリンク" xfId="1092" builtinId="9" hidden="1"/>
    <cellStyle name="表示済みのハイパーリンク" xfId="1094" builtinId="9" hidden="1"/>
    <cellStyle name="表示済みのハイパーリンク" xfId="1096" builtinId="9" hidden="1"/>
    <cellStyle name="表示済みのハイパーリンク" xfId="1098" builtinId="9" hidden="1"/>
    <cellStyle name="表示済みのハイパーリンク" xfId="1100" builtinId="9" hidden="1"/>
    <cellStyle name="表示済みのハイパーリンク" xfId="1102" builtinId="9" hidden="1"/>
    <cellStyle name="表示済みのハイパーリンク" xfId="1104" builtinId="9" hidden="1"/>
    <cellStyle name="表示済みのハイパーリンク" xfId="1106" builtinId="9" hidden="1"/>
    <cellStyle name="表示済みのハイパーリンク" xfId="1108" builtinId="9" hidden="1"/>
    <cellStyle name="表示済みのハイパーリンク" xfId="1110" builtinId="9" hidden="1"/>
    <cellStyle name="表示済みのハイパーリンク" xfId="1112" builtinId="9" hidden="1"/>
    <cellStyle name="表示済みのハイパーリンク" xfId="1114" builtinId="9" hidden="1"/>
    <cellStyle name="表示済みのハイパーリンク" xfId="1116" builtinId="9" hidden="1"/>
    <cellStyle name="表示済みのハイパーリンク" xfId="1118" builtinId="9" hidden="1"/>
    <cellStyle name="表示済みのハイパーリンク" xfId="1120" builtinId="9" hidden="1"/>
    <cellStyle name="表示済みのハイパーリンク" xfId="1122" builtinId="9" hidden="1"/>
    <cellStyle name="表示済みのハイパーリンク" xfId="1124" builtinId="9" hidden="1"/>
    <cellStyle name="表示済みのハイパーリンク" xfId="1126" builtinId="9" hidden="1"/>
    <cellStyle name="表示済みのハイパーリンク" xfId="1128" builtinId="9" hidden="1"/>
    <cellStyle name="表示済みのハイパーリンク" xfId="1130" builtinId="9" hidden="1"/>
    <cellStyle name="表示済みのハイパーリンク" xfId="1132" builtinId="9" hidden="1"/>
    <cellStyle name="表示済みのハイパーリンク" xfId="1134" builtinId="9" hidden="1"/>
    <cellStyle name="表示済みのハイパーリンク" xfId="1136" builtinId="9" hidden="1"/>
    <cellStyle name="表示済みのハイパーリンク" xfId="1138" builtinId="9" hidden="1"/>
    <cellStyle name="表示済みのハイパーリンク" xfId="1140" builtinId="9" hidden="1"/>
    <cellStyle name="表示済みのハイパーリンク" xfId="1142" builtinId="9" hidden="1"/>
    <cellStyle name="表示済みのハイパーリンク" xfId="1144" builtinId="9" hidden="1"/>
    <cellStyle name="表示済みのハイパーリンク" xfId="1146" builtinId="9" hidden="1"/>
    <cellStyle name="表示済みのハイパーリンク" xfId="1148" builtinId="9" hidden="1"/>
    <cellStyle name="表示済みのハイパーリンク" xfId="1150" builtinId="9" hidden="1"/>
    <cellStyle name="表示済みのハイパーリンク" xfId="1152" builtinId="9" hidden="1"/>
    <cellStyle name="表示済みのハイパーリンク" xfId="1154" builtinId="9" hidden="1"/>
    <cellStyle name="表示済みのハイパーリンク" xfId="1156" builtinId="9" hidden="1"/>
    <cellStyle name="表示済みのハイパーリンク" xfId="1158" builtinId="9" hidden="1"/>
    <cellStyle name="表示済みのハイパーリンク" xfId="1160" builtinId="9" hidden="1"/>
    <cellStyle name="表示済みのハイパーリンク" xfId="1162" builtinId="9" hidden="1"/>
    <cellStyle name="表示済みのハイパーリンク" xfId="1164" builtinId="9" hidden="1"/>
    <cellStyle name="表示済みのハイパーリンク" xfId="1166" builtinId="9" hidden="1"/>
    <cellStyle name="表示済みのハイパーリンク" xfId="1168" builtinId="9" hidden="1"/>
    <cellStyle name="表示済みのハイパーリンク" xfId="1170" builtinId="9" hidden="1"/>
    <cellStyle name="表示済みのハイパーリンク" xfId="1172" builtinId="9" hidden="1"/>
    <cellStyle name="表示済みのハイパーリンク" xfId="1174" builtinId="9" hidden="1"/>
    <cellStyle name="表示済みのハイパーリンク" xfId="1176" builtinId="9" hidden="1"/>
    <cellStyle name="表示済みのハイパーリンク" xfId="1178" builtinId="9" hidden="1"/>
    <cellStyle name="表示済みのハイパーリンク" xfId="1180" builtinId="9" hidden="1"/>
    <cellStyle name="表示済みのハイパーリンク" xfId="1182" builtinId="9" hidden="1"/>
    <cellStyle name="表示済みのハイパーリンク" xfId="1184" builtinId="9" hidden="1"/>
    <cellStyle name="表示済みのハイパーリンク" xfId="1186" builtinId="9" hidden="1"/>
    <cellStyle name="表示済みのハイパーリンク" xfId="1188" builtinId="9" hidden="1"/>
    <cellStyle name="表示済みのハイパーリンク" xfId="1190" builtinId="9" hidden="1"/>
    <cellStyle name="表示済みのハイパーリンク" xfId="1192" builtinId="9" hidden="1"/>
    <cellStyle name="表示済みのハイパーリンク" xfId="1194" builtinId="9" hidden="1"/>
    <cellStyle name="表示済みのハイパーリンク" xfId="1196" builtinId="9" hidden="1"/>
    <cellStyle name="表示済みのハイパーリンク" xfId="1198" builtinId="9" hidden="1"/>
    <cellStyle name="表示済みのハイパーリンク" xfId="1200" builtinId="9" hidden="1"/>
    <cellStyle name="表示済みのハイパーリンク" xfId="1202" builtinId="9" hidden="1"/>
    <cellStyle name="表示済みのハイパーリンク" xfId="1204" builtinId="9" hidden="1"/>
    <cellStyle name="表示済みのハイパーリンク" xfId="1206" builtinId="9" hidden="1"/>
    <cellStyle name="表示済みのハイパーリンク" xfId="1208" builtinId="9" hidden="1"/>
    <cellStyle name="表示済みのハイパーリンク" xfId="1210" builtinId="9" hidden="1"/>
    <cellStyle name="表示済みのハイパーリンク" xfId="1212" builtinId="9" hidden="1"/>
    <cellStyle name="表示済みのハイパーリンク" xfId="1214" builtinId="9" hidden="1"/>
    <cellStyle name="表示済みのハイパーリンク" xfId="1216" builtinId="9" hidden="1"/>
    <cellStyle name="表示済みのハイパーリンク" xfId="1218" builtinId="9" hidden="1"/>
    <cellStyle name="表示済みのハイパーリンク" xfId="1220" builtinId="9" hidden="1"/>
    <cellStyle name="表示済みのハイパーリンク" xfId="1222" builtinId="9" hidden="1"/>
    <cellStyle name="表示済みのハイパーリンク" xfId="1224" builtinId="9" hidden="1"/>
    <cellStyle name="表示済みのハイパーリンク" xfId="1226" builtinId="9" hidden="1"/>
    <cellStyle name="表示済みのハイパーリンク" xfId="1228" builtinId="9" hidden="1"/>
    <cellStyle name="表示済みのハイパーリンク" xfId="1230" builtinId="9" hidden="1"/>
    <cellStyle name="表示済みのハイパーリンク" xfId="1232" builtinId="9" hidden="1"/>
    <cellStyle name="表示済みのハイパーリンク" xfId="1234" builtinId="9" hidden="1"/>
    <cellStyle name="表示済みのハイパーリンク" xfId="1236" builtinId="9" hidden="1"/>
    <cellStyle name="表示済みのハイパーリンク" xfId="1238" builtinId="9" hidden="1"/>
    <cellStyle name="表示済みのハイパーリンク" xfId="1240" builtinId="9" hidden="1"/>
    <cellStyle name="表示済みのハイパーリンク" xfId="1242" builtinId="9" hidden="1"/>
    <cellStyle name="表示済みのハイパーリンク" xfId="1244" builtinId="9" hidden="1"/>
    <cellStyle name="表示済みのハイパーリンク" xfId="1246" builtinId="9" hidden="1"/>
    <cellStyle name="表示済みのハイパーリンク" xfId="1248" builtinId="9" hidden="1"/>
    <cellStyle name="表示済みのハイパーリンク" xfId="1250" builtinId="9" hidden="1"/>
    <cellStyle name="表示済みのハイパーリンク" xfId="1252" builtinId="9" hidden="1"/>
    <cellStyle name="表示済みのハイパーリンク" xfId="1254" builtinId="9" hidden="1"/>
    <cellStyle name="表示済みのハイパーリンク" xfId="1256" builtinId="9" hidden="1"/>
    <cellStyle name="表示済みのハイパーリンク" xfId="1258" builtinId="9" hidden="1"/>
    <cellStyle name="表示済みのハイパーリンク" xfId="1260" builtinId="9" hidden="1"/>
    <cellStyle name="表示済みのハイパーリンク" xfId="1262" builtinId="9" hidden="1"/>
    <cellStyle name="表示済みのハイパーリンク" xfId="1264" builtinId="9" hidden="1"/>
    <cellStyle name="表示済みのハイパーリンク" xfId="1266" builtinId="9" hidden="1"/>
    <cellStyle name="表示済みのハイパーリンク" xfId="1268" builtinId="9" hidden="1"/>
    <cellStyle name="表示済みのハイパーリンク" xfId="1270" builtinId="9" hidden="1"/>
    <cellStyle name="表示済みのハイパーリンク" xfId="1272" builtinId="9" hidden="1"/>
    <cellStyle name="表示済みのハイパーリンク" xfId="1274" builtinId="9" hidden="1"/>
    <cellStyle name="表示済みのハイパーリンク" xfId="1276" builtinId="9" hidden="1"/>
    <cellStyle name="表示済みのハイパーリンク" xfId="1278" builtinId="9" hidden="1"/>
    <cellStyle name="表示済みのハイパーリンク" xfId="1280" builtinId="9" hidden="1"/>
    <cellStyle name="表示済みのハイパーリンク" xfId="1282" builtinId="9" hidden="1"/>
    <cellStyle name="表示済みのハイパーリンク" xfId="1284" builtinId="9" hidden="1"/>
    <cellStyle name="表示済みのハイパーリンク" xfId="1286" builtinId="9" hidden="1"/>
    <cellStyle name="表示済みのハイパーリンク" xfId="1288" builtinId="9" hidden="1"/>
    <cellStyle name="表示済みのハイパーリンク" xfId="1290" builtinId="9" hidden="1"/>
    <cellStyle name="表示済みのハイパーリンク" xfId="1292" builtinId="9" hidden="1"/>
    <cellStyle name="表示済みのハイパーリンク" xfId="1294" builtinId="9" hidden="1"/>
    <cellStyle name="表示済みのハイパーリンク" xfId="1296" builtinId="9" hidden="1"/>
    <cellStyle name="表示済みのハイパーリンク" xfId="1298" builtinId="9" hidden="1"/>
    <cellStyle name="表示済みのハイパーリンク" xfId="1300" builtinId="9" hidden="1"/>
    <cellStyle name="表示済みのハイパーリンク" xfId="1302" builtinId="9" hidden="1"/>
    <cellStyle name="表示済みのハイパーリンク" xfId="1304" builtinId="9" hidden="1"/>
    <cellStyle name="表示済みのハイパーリンク" xfId="1306" builtinId="9" hidden="1"/>
    <cellStyle name="表示済みのハイパーリンク" xfId="1308" builtinId="9" hidden="1"/>
    <cellStyle name="表示済みのハイパーリンク" xfId="1310" builtinId="9" hidden="1"/>
    <cellStyle name="表示済みのハイパーリンク" xfId="1312" builtinId="9" hidden="1"/>
    <cellStyle name="表示済みのハイパーリンク" xfId="1314" builtinId="9" hidden="1"/>
    <cellStyle name="表示済みのハイパーリンク" xfId="1316" builtinId="9" hidden="1"/>
    <cellStyle name="表示済みのハイパーリンク" xfId="1318" builtinId="9" hidden="1"/>
    <cellStyle name="表示済みのハイパーリンク" xfId="1320" builtinId="9" hidden="1"/>
    <cellStyle name="表示済みのハイパーリンク" xfId="1322" builtinId="9" hidden="1"/>
    <cellStyle name="表示済みのハイパーリンク" xfId="1324" builtinId="9" hidden="1"/>
    <cellStyle name="表示済みのハイパーリンク" xfId="1326" builtinId="9" hidden="1"/>
    <cellStyle name="表示済みのハイパーリンク" xfId="1328" builtinId="9" hidden="1"/>
    <cellStyle name="表示済みのハイパーリンク" xfId="1330" builtinId="9" hidden="1"/>
    <cellStyle name="表示済みのハイパーリンク" xfId="1332" builtinId="9" hidden="1"/>
    <cellStyle name="表示済みのハイパーリンク" xfId="1334" builtinId="9" hidden="1"/>
    <cellStyle name="表示済みのハイパーリンク" xfId="1336" builtinId="9" hidden="1"/>
    <cellStyle name="表示済みのハイパーリンク" xfId="1338" builtinId="9" hidden="1"/>
    <cellStyle name="表示済みのハイパーリンク" xfId="1340" builtinId="9" hidden="1"/>
    <cellStyle name="表示済みのハイパーリンク" xfId="1342" builtinId="9" hidden="1"/>
    <cellStyle name="表示済みのハイパーリンク" xfId="1344" builtinId="9" hidden="1"/>
    <cellStyle name="表示済みのハイパーリンク" xfId="1346" builtinId="9" hidden="1"/>
    <cellStyle name="表示済みのハイパーリンク" xfId="1348" builtinId="9" hidden="1"/>
    <cellStyle name="表示済みのハイパーリンク" xfId="1350" builtinId="9" hidden="1"/>
    <cellStyle name="表示済みのハイパーリンク" xfId="1352" builtinId="9" hidden="1"/>
    <cellStyle name="表示済みのハイパーリンク" xfId="1354" builtinId="9" hidden="1"/>
    <cellStyle name="表示済みのハイパーリンク" xfId="1356" builtinId="9" hidden="1"/>
    <cellStyle name="表示済みのハイパーリンク" xfId="1358" builtinId="9" hidden="1"/>
    <cellStyle name="表示済みのハイパーリンク" xfId="1360" builtinId="9" hidden="1"/>
    <cellStyle name="表示済みのハイパーリンク" xfId="1362" builtinId="9" hidden="1"/>
    <cellStyle name="表示済みのハイパーリンク" xfId="1364" builtinId="9" hidden="1"/>
    <cellStyle name="表示済みのハイパーリンク" xfId="1366" builtinId="9" hidden="1"/>
    <cellStyle name="表示済みのハイパーリンク" xfId="1368" builtinId="9" hidden="1"/>
    <cellStyle name="表示済みのハイパーリンク" xfId="1370" builtinId="9" hidden="1"/>
    <cellStyle name="表示済みのハイパーリンク" xfId="1372" builtinId="9" hidden="1"/>
    <cellStyle name="表示済みのハイパーリンク" xfId="1374" builtinId="9" hidden="1"/>
    <cellStyle name="表示済みのハイパーリンク" xfId="1376" builtinId="9" hidden="1"/>
    <cellStyle name="表示済みのハイパーリンク" xfId="1378" builtinId="9" hidden="1"/>
    <cellStyle name="表示済みのハイパーリンク" xfId="1380" builtinId="9" hidden="1"/>
    <cellStyle name="表示済みのハイパーリンク" xfId="1382" builtinId="9" hidden="1"/>
    <cellStyle name="表示済みのハイパーリンク" xfId="1384" builtinId="9" hidden="1"/>
    <cellStyle name="表示済みのハイパーリンク" xfId="1386" builtinId="9" hidden="1"/>
    <cellStyle name="表示済みのハイパーリンク" xfId="1388" builtinId="9" hidden="1"/>
    <cellStyle name="表示済みのハイパーリンク" xfId="1390" builtinId="9" hidden="1"/>
    <cellStyle name="表示済みのハイパーリンク" xfId="1392" builtinId="9" hidden="1"/>
    <cellStyle name="表示済みのハイパーリンク" xfId="1394" builtinId="9" hidden="1"/>
    <cellStyle name="表示済みのハイパーリンク" xfId="1396" builtinId="9" hidden="1"/>
    <cellStyle name="表示済みのハイパーリンク" xfId="1398" builtinId="9" hidden="1"/>
    <cellStyle name="表示済みのハイパーリンク" xfId="1400" builtinId="9" hidden="1"/>
    <cellStyle name="表示済みのハイパーリンク" xfId="1402" builtinId="9" hidden="1"/>
    <cellStyle name="表示済みのハイパーリンク" xfId="1404" builtinId="9" hidden="1"/>
    <cellStyle name="表示済みのハイパーリンク" xfId="1406" builtinId="9" hidden="1"/>
    <cellStyle name="表示済みのハイパーリンク" xfId="1408" builtinId="9" hidden="1"/>
    <cellStyle name="表示済みのハイパーリンク" xfId="1410" builtinId="9" hidden="1"/>
    <cellStyle name="表示済みのハイパーリンク" xfId="1412" builtinId="9" hidden="1"/>
    <cellStyle name="表示済みのハイパーリンク" xfId="1414" builtinId="9" hidden="1"/>
    <cellStyle name="表示済みのハイパーリンク" xfId="1416" builtinId="9" hidden="1"/>
    <cellStyle name="表示済みのハイパーリンク" xfId="1418" builtinId="9" hidden="1"/>
    <cellStyle name="表示済みのハイパーリンク" xfId="1420" builtinId="9" hidden="1"/>
    <cellStyle name="表示済みのハイパーリンク" xfId="1422" builtinId="9" hidden="1"/>
    <cellStyle name="表示済みのハイパーリンク" xfId="1424" builtinId="9" hidden="1"/>
    <cellStyle name="表示済みのハイパーリンク" xfId="1426" builtinId="9" hidden="1"/>
    <cellStyle name="表示済みのハイパーリンク" xfId="1428" builtinId="9" hidden="1"/>
    <cellStyle name="表示済みのハイパーリンク" xfId="1430" builtinId="9" hidden="1"/>
    <cellStyle name="表示済みのハイパーリンク" xfId="1432" builtinId="9" hidden="1"/>
    <cellStyle name="表示済みのハイパーリンク" xfId="1434" builtinId="9" hidden="1"/>
    <cellStyle name="表示済みのハイパーリンク" xfId="1436" builtinId="9" hidden="1"/>
    <cellStyle name="表示済みのハイパーリンク" xfId="1438" builtinId="9" hidden="1"/>
    <cellStyle name="表示済みのハイパーリンク" xfId="1440" builtinId="9" hidden="1"/>
    <cellStyle name="表示済みのハイパーリンク" xfId="1442" builtinId="9" hidden="1"/>
    <cellStyle name="表示済みのハイパーリンク" xfId="1444" builtinId="9" hidden="1"/>
    <cellStyle name="表示済みのハイパーリンク" xfId="1446" builtinId="9" hidden="1"/>
    <cellStyle name="表示済みのハイパーリンク" xfId="1448" builtinId="9" hidden="1"/>
    <cellStyle name="表示済みのハイパーリンク" xfId="1450" builtinId="9" hidden="1"/>
    <cellStyle name="表示済みのハイパーリンク" xfId="1452" builtinId="9" hidden="1"/>
    <cellStyle name="表示済みのハイパーリンク" xfId="1454" builtinId="9" hidden="1"/>
    <cellStyle name="表示済みのハイパーリンク" xfId="1456" builtinId="9" hidden="1"/>
    <cellStyle name="表示済みのハイパーリンク" xfId="1458" builtinId="9" hidden="1"/>
    <cellStyle name="表示済みのハイパーリンク" xfId="1460" builtinId="9" hidden="1"/>
    <cellStyle name="表示済みのハイパーリンク" xfId="1462" builtinId="9" hidden="1"/>
    <cellStyle name="表示済みのハイパーリンク" xfId="1464" builtinId="9" hidden="1"/>
    <cellStyle name="表示済みのハイパーリンク" xfId="1466" builtinId="9" hidden="1"/>
    <cellStyle name="表示済みのハイパーリンク" xfId="1468" builtinId="9" hidden="1"/>
    <cellStyle name="表示済みのハイパーリンク" xfId="1470" builtinId="9" hidden="1"/>
    <cellStyle name="表示済みのハイパーリンク" xfId="1472" builtinId="9" hidden="1"/>
    <cellStyle name="表示済みのハイパーリンク" xfId="1474" builtinId="9" hidden="1"/>
    <cellStyle name="表示済みのハイパーリンク" xfId="1476" builtinId="9" hidden="1"/>
    <cellStyle name="表示済みのハイパーリンク" xfId="1478" builtinId="9" hidden="1"/>
    <cellStyle name="表示済みのハイパーリンク" xfId="1480" builtinId="9" hidden="1"/>
    <cellStyle name="表示済みのハイパーリンク" xfId="1482" builtinId="9" hidden="1"/>
    <cellStyle name="表示済みのハイパーリンク" xfId="1484" builtinId="9" hidden="1"/>
    <cellStyle name="表示済みのハイパーリンク" xfId="1486" builtinId="9" hidden="1"/>
    <cellStyle name="表示済みのハイパーリンク" xfId="1488" builtinId="9" hidden="1"/>
    <cellStyle name="表示済みのハイパーリンク" xfId="1490" builtinId="9" hidden="1"/>
    <cellStyle name="表示済みのハイパーリンク" xfId="1492" builtinId="9" hidden="1"/>
    <cellStyle name="表示済みのハイパーリンク" xfId="1494" builtinId="9" hidden="1"/>
    <cellStyle name="表示済みのハイパーリンク" xfId="1496" builtinId="9" hidden="1"/>
    <cellStyle name="表示済みのハイパーリンク" xfId="1498" builtinId="9" hidden="1"/>
    <cellStyle name="表示済みのハイパーリンク" xfId="1500" builtinId="9" hidden="1"/>
    <cellStyle name="表示済みのハイパーリンク" xfId="1502" builtinId="9" hidden="1"/>
    <cellStyle name="表示済みのハイパーリンク" xfId="1504" builtinId="9" hidden="1"/>
    <cellStyle name="表示済みのハイパーリンク" xfId="1506" builtinId="9" hidden="1"/>
    <cellStyle name="表示済みのハイパーリンク" xfId="1508" builtinId="9" hidden="1"/>
    <cellStyle name="表示済みのハイパーリンク" xfId="1510" builtinId="9" hidden="1"/>
    <cellStyle name="表示済みのハイパーリンク" xfId="1512" builtinId="9" hidden="1"/>
    <cellStyle name="表示済みのハイパーリンク" xfId="1514" builtinId="9" hidden="1"/>
    <cellStyle name="表示済みのハイパーリンク" xfId="1516" builtinId="9" hidden="1"/>
    <cellStyle name="表示済みのハイパーリンク" xfId="1518" builtinId="9" hidden="1"/>
    <cellStyle name="表示済みのハイパーリンク" xfId="1520" builtinId="9" hidden="1"/>
    <cellStyle name="表示済みのハイパーリンク" xfId="1522" builtinId="9" hidden="1"/>
    <cellStyle name="表示済みのハイパーリンク" xfId="1524" builtinId="9" hidden="1"/>
    <cellStyle name="表示済みのハイパーリンク" xfId="1526" builtinId="9" hidden="1"/>
    <cellStyle name="表示済みのハイパーリンク" xfId="1528" builtinId="9" hidden="1"/>
    <cellStyle name="表示済みのハイパーリンク" xfId="1530" builtinId="9" hidden="1"/>
    <cellStyle name="表示済みのハイパーリンク" xfId="1532" builtinId="9" hidden="1"/>
    <cellStyle name="表示済みのハイパーリンク" xfId="1534" builtinId="9" hidden="1"/>
    <cellStyle name="表示済みのハイパーリンク" xfId="1536" builtinId="9" hidden="1"/>
    <cellStyle name="表示済みのハイパーリンク" xfId="1538" builtinId="9" hidden="1"/>
    <cellStyle name="表示済みのハイパーリンク" xfId="1540" builtinId="9" hidden="1"/>
    <cellStyle name="表示済みのハイパーリンク" xfId="1542" builtinId="9" hidden="1"/>
    <cellStyle name="表示済みのハイパーリンク" xfId="1544" builtinId="9" hidden="1"/>
    <cellStyle name="表示済みのハイパーリンク" xfId="1546" builtinId="9" hidden="1"/>
    <cellStyle name="表示済みのハイパーリンク" xfId="1548" builtinId="9" hidden="1"/>
    <cellStyle name="表示済みのハイパーリンク" xfId="1550" builtinId="9" hidden="1"/>
    <cellStyle name="表示済みのハイパーリンク" xfId="1552" builtinId="9" hidden="1"/>
    <cellStyle name="表示済みのハイパーリンク" xfId="1554" builtinId="9" hidden="1"/>
    <cellStyle name="表示済みのハイパーリンク" xfId="1556" builtinId="9" hidden="1"/>
    <cellStyle name="表示済みのハイパーリンク" xfId="1558" builtinId="9" hidden="1"/>
    <cellStyle name="表示済みのハイパーリンク" xfId="1560" builtinId="9" hidden="1"/>
    <cellStyle name="表示済みのハイパーリンク" xfId="1562" builtinId="9" hidden="1"/>
    <cellStyle name="表示済みのハイパーリンク" xfId="1564" builtinId="9" hidden="1"/>
    <cellStyle name="表示済みのハイパーリンク" xfId="1566" builtinId="9" hidden="1"/>
    <cellStyle name="表示済みのハイパーリンク" xfId="1568" builtinId="9" hidden="1"/>
    <cellStyle name="表示済みのハイパーリンク" xfId="1570" builtinId="9" hidden="1"/>
    <cellStyle name="表示済みのハイパーリンク" xfId="1572" builtinId="9" hidden="1"/>
    <cellStyle name="表示済みのハイパーリンク" xfId="1574" builtinId="9" hidden="1"/>
    <cellStyle name="表示済みのハイパーリンク" xfId="1576" builtinId="9" hidden="1"/>
    <cellStyle name="表示済みのハイパーリンク" xfId="1578" builtinId="9" hidden="1"/>
    <cellStyle name="表示済みのハイパーリンク" xfId="1580" builtinId="9" hidden="1"/>
    <cellStyle name="表示済みのハイパーリンク" xfId="1582" builtinId="9" hidden="1"/>
    <cellStyle name="表示済みのハイパーリンク" xfId="1584" builtinId="9" hidden="1"/>
    <cellStyle name="表示済みのハイパーリンク" xfId="1586" builtinId="9" hidden="1"/>
    <cellStyle name="表示済みのハイパーリンク" xfId="1588" builtinId="9" hidden="1"/>
    <cellStyle name="表示済みのハイパーリンク" xfId="1590" builtinId="9" hidden="1"/>
    <cellStyle name="表示済みのハイパーリンク" xfId="1592" builtinId="9" hidden="1"/>
    <cellStyle name="表示済みのハイパーリンク" xfId="1594" builtinId="9" hidden="1"/>
    <cellStyle name="表示済みのハイパーリンク" xfId="1596" builtinId="9" hidden="1"/>
    <cellStyle name="表示済みのハイパーリンク" xfId="1598" builtinId="9" hidden="1"/>
    <cellStyle name="表示済みのハイパーリンク" xfId="1600" builtinId="9" hidden="1"/>
    <cellStyle name="表示済みのハイパーリンク" xfId="1602" builtinId="9" hidden="1"/>
    <cellStyle name="表示済みのハイパーリンク" xfId="1604" builtinId="9" hidden="1"/>
    <cellStyle name="表示済みのハイパーリンク" xfId="1606" builtinId="9" hidden="1"/>
    <cellStyle name="表示済みのハイパーリンク" xfId="1608" builtinId="9" hidden="1"/>
    <cellStyle name="表示済みのハイパーリンク" xfId="1610" builtinId="9" hidden="1"/>
    <cellStyle name="表示済みのハイパーリンク" xfId="1612" builtinId="9" hidden="1"/>
    <cellStyle name="表示済みのハイパーリンク" xfId="1614" builtinId="9" hidden="1"/>
    <cellStyle name="表示済みのハイパーリンク" xfId="1616" builtinId="9" hidden="1"/>
    <cellStyle name="表示済みのハイパーリンク" xfId="1618" builtinId="9" hidden="1"/>
    <cellStyle name="表示済みのハイパーリンク" xfId="1620" builtinId="9" hidden="1"/>
    <cellStyle name="表示済みのハイパーリンク" xfId="1622" builtinId="9" hidden="1"/>
    <cellStyle name="表示済みのハイパーリンク" xfId="1624" builtinId="9" hidden="1"/>
    <cellStyle name="表示済みのハイパーリンク" xfId="1626" builtinId="9" hidden="1"/>
    <cellStyle name="表示済みのハイパーリンク" xfId="1628" builtinId="9" hidden="1"/>
    <cellStyle name="表示済みのハイパーリンク" xfId="1630" builtinId="9" hidden="1"/>
    <cellStyle name="表示済みのハイパーリンク" xfId="1632" builtinId="9" hidden="1"/>
    <cellStyle name="表示済みのハイパーリンク" xfId="1634" builtinId="9" hidden="1"/>
    <cellStyle name="表示済みのハイパーリンク" xfId="1636" builtinId="9" hidden="1"/>
    <cellStyle name="表示済みのハイパーリンク" xfId="1638" builtinId="9" hidden="1"/>
    <cellStyle name="表示済みのハイパーリンク" xfId="1640" builtinId="9" hidden="1"/>
    <cellStyle name="表示済みのハイパーリンク" xfId="1642" builtinId="9" hidden="1"/>
    <cellStyle name="表示済みのハイパーリンク" xfId="1644" builtinId="9" hidden="1"/>
    <cellStyle name="表示済みのハイパーリンク" xfId="1646" builtinId="9" hidden="1"/>
    <cellStyle name="表示済みのハイパーリンク" xfId="1648" builtinId="9" hidden="1"/>
    <cellStyle name="表示済みのハイパーリンク" xfId="1650" builtinId="9" hidden="1"/>
    <cellStyle name="表示済みのハイパーリンク" xfId="1652" builtinId="9" hidden="1"/>
    <cellStyle name="表示済みのハイパーリンク" xfId="1654" builtinId="9" hidden="1"/>
    <cellStyle name="表示済みのハイパーリンク" xfId="1656" builtinId="9" hidden="1"/>
    <cellStyle name="表示済みのハイパーリンク" xfId="1658" builtinId="9" hidden="1"/>
    <cellStyle name="表示済みのハイパーリンク" xfId="1660" builtinId="9" hidden="1"/>
    <cellStyle name="表示済みのハイパーリンク" xfId="1662" builtinId="9" hidden="1"/>
    <cellStyle name="表示済みのハイパーリンク" xfId="1664" builtinId="9" hidden="1"/>
    <cellStyle name="表示済みのハイパーリンク" xfId="1666" builtinId="9" hidden="1"/>
    <cellStyle name="表示済みのハイパーリンク" xfId="1668" builtinId="9" hidden="1"/>
    <cellStyle name="表示済みのハイパーリンク" xfId="1670" builtinId="9" hidden="1"/>
    <cellStyle name="表示済みのハイパーリンク" xfId="1672" builtinId="9" hidden="1"/>
    <cellStyle name="表示済みのハイパーリンク" xfId="1674" builtinId="9" hidden="1"/>
    <cellStyle name="表示済みのハイパーリンク" xfId="1676" builtinId="9" hidden="1"/>
    <cellStyle name="表示済みのハイパーリンク" xfId="1678" builtinId="9" hidden="1"/>
    <cellStyle name="表示済みのハイパーリンク" xfId="1680" builtinId="9" hidden="1"/>
    <cellStyle name="表示済みのハイパーリンク" xfId="1682" builtinId="9" hidden="1"/>
    <cellStyle name="表示済みのハイパーリンク" xfId="1684" builtinId="9" hidden="1"/>
    <cellStyle name="表示済みのハイパーリンク" xfId="1686" builtinId="9" hidden="1"/>
    <cellStyle name="表示済みのハイパーリンク" xfId="1688" builtinId="9" hidden="1"/>
    <cellStyle name="表示済みのハイパーリンク" xfId="1690" builtinId="9" hidden="1"/>
    <cellStyle name="表示済みのハイパーリンク" xfId="1692" builtinId="9" hidden="1"/>
    <cellStyle name="表示済みのハイパーリンク" xfId="1694" builtinId="9" hidden="1"/>
    <cellStyle name="表示済みのハイパーリンク" xfId="1696" builtinId="9" hidden="1"/>
    <cellStyle name="表示済みのハイパーリンク" xfId="1698" builtinId="9" hidden="1"/>
    <cellStyle name="表示済みのハイパーリンク" xfId="1700" builtinId="9" hidden="1"/>
    <cellStyle name="表示済みのハイパーリンク" xfId="1702" builtinId="9" hidden="1"/>
    <cellStyle name="表示済みのハイパーリンク" xfId="1704" builtinId="9" hidden="1"/>
    <cellStyle name="表示済みのハイパーリンク" xfId="1706" builtinId="9" hidden="1"/>
    <cellStyle name="表示済みのハイパーリンク" xfId="1708" builtinId="9" hidden="1"/>
    <cellStyle name="表示済みのハイパーリンク" xfId="1710" builtinId="9" hidden="1"/>
    <cellStyle name="表示済みのハイパーリンク" xfId="1712" builtinId="9" hidden="1"/>
    <cellStyle name="表示済みのハイパーリンク" xfId="1714" builtinId="9" hidden="1"/>
    <cellStyle name="表示済みのハイパーリンク" xfId="1716" builtinId="9" hidden="1"/>
    <cellStyle name="表示済みのハイパーリンク" xfId="1718" builtinId="9" hidden="1"/>
    <cellStyle name="表示済みのハイパーリンク" xfId="1720" builtinId="9" hidden="1"/>
    <cellStyle name="表示済みのハイパーリンク" xfId="1722" builtinId="9" hidden="1"/>
    <cellStyle name="表示済みのハイパーリンク" xfId="1724" builtinId="9" hidden="1"/>
    <cellStyle name="表示済みのハイパーリンク" xfId="1726" builtinId="9" hidden="1"/>
    <cellStyle name="表示済みのハイパーリンク" xfId="1728" builtinId="9" hidden="1"/>
    <cellStyle name="表示済みのハイパーリンク" xfId="1730" builtinId="9" hidden="1"/>
    <cellStyle name="表示済みのハイパーリンク" xfId="1732" builtinId="9" hidden="1"/>
    <cellStyle name="表示済みのハイパーリンク" xfId="1734" builtinId="9" hidden="1"/>
    <cellStyle name="表示済みのハイパーリンク" xfId="1736" builtinId="9" hidden="1"/>
    <cellStyle name="表示済みのハイパーリンク" xfId="1738" builtinId="9" hidden="1"/>
    <cellStyle name="表示済みのハイパーリンク" xfId="1740" builtinId="9" hidden="1"/>
    <cellStyle name="表示済みのハイパーリンク" xfId="1742" builtinId="9" hidden="1"/>
    <cellStyle name="表示済みのハイパーリンク" xfId="1744" builtinId="9" hidden="1"/>
    <cellStyle name="表示済みのハイパーリンク" xfId="1746" builtinId="9" hidden="1"/>
    <cellStyle name="表示済みのハイパーリンク" xfId="1748" builtinId="9" hidden="1"/>
    <cellStyle name="表示済みのハイパーリンク" xfId="1750" builtinId="9" hidden="1"/>
    <cellStyle name="表示済みのハイパーリンク" xfId="1752" builtinId="9" hidden="1"/>
    <cellStyle name="表示済みのハイパーリンク" xfId="1754" builtinId="9" hidden="1"/>
    <cellStyle name="表示済みのハイパーリンク" xfId="1756" builtinId="9" hidden="1"/>
    <cellStyle name="表示済みのハイパーリンク" xfId="1758" builtinId="9" hidden="1"/>
    <cellStyle name="表示済みのハイパーリンク" xfId="1760" builtinId="9" hidden="1"/>
    <cellStyle name="表示済みのハイパーリンク" xfId="1762" builtinId="9" hidden="1"/>
    <cellStyle name="表示済みのハイパーリンク" xfId="1764" builtinId="9" hidden="1"/>
    <cellStyle name="表示済みのハイパーリンク" xfId="1766" builtinId="9" hidden="1"/>
    <cellStyle name="表示済みのハイパーリンク" xfId="1768" builtinId="9" hidden="1"/>
    <cellStyle name="表示済みのハイパーリンク" xfId="1770" builtinId="9" hidden="1"/>
    <cellStyle name="表示済みのハイパーリンク" xfId="1772" builtinId="9" hidden="1"/>
    <cellStyle name="表示済みのハイパーリンク" xfId="1774" builtinId="9" hidden="1"/>
    <cellStyle name="表示済みのハイパーリンク" xfId="1776" builtinId="9" hidden="1"/>
    <cellStyle name="表示済みのハイパーリンク" xfId="1778" builtinId="9" hidden="1"/>
    <cellStyle name="表示済みのハイパーリンク" xfId="1780" builtinId="9" hidden="1"/>
    <cellStyle name="表示済みのハイパーリンク" xfId="1782" builtinId="9" hidden="1"/>
    <cellStyle name="表示済みのハイパーリンク" xfId="1784" builtinId="9" hidden="1"/>
    <cellStyle name="表示済みのハイパーリンク" xfId="1786" builtinId="9" hidden="1"/>
    <cellStyle name="表示済みのハイパーリンク" xfId="1788" builtinId="9" hidden="1"/>
    <cellStyle name="表示済みのハイパーリンク" xfId="1790" builtinId="9" hidden="1"/>
    <cellStyle name="表示済みのハイパーリンク" xfId="1792" builtinId="9" hidden="1"/>
    <cellStyle name="表示済みのハイパーリンク" xfId="1794" builtinId="9" hidden="1"/>
    <cellStyle name="表示済みのハイパーリンク" xfId="1796" builtinId="9" hidden="1"/>
    <cellStyle name="表示済みのハイパーリンク" xfId="1798" builtinId="9" hidden="1"/>
    <cellStyle name="表示済みのハイパーリンク" xfId="1800" builtinId="9" hidden="1"/>
    <cellStyle name="表示済みのハイパーリンク" xfId="1802" builtinId="9" hidden="1"/>
    <cellStyle name="表示済みのハイパーリンク" xfId="1804" builtinId="9" hidden="1"/>
    <cellStyle name="表示済みのハイパーリンク" xfId="1806" builtinId="9" hidden="1"/>
    <cellStyle name="表示済みのハイパーリンク" xfId="1808" builtinId="9" hidden="1"/>
    <cellStyle name="表示済みのハイパーリンク" xfId="1810" builtinId="9" hidden="1"/>
    <cellStyle name="表示済みのハイパーリンク" xfId="1812" builtinId="9" hidden="1"/>
    <cellStyle name="表示済みのハイパーリンク" xfId="1814" builtinId="9" hidden="1"/>
    <cellStyle name="表示済みのハイパーリンク" xfId="1816" builtinId="9" hidden="1"/>
    <cellStyle name="表示済みのハイパーリンク" xfId="1818" builtinId="9" hidden="1"/>
    <cellStyle name="表示済みのハイパーリンク" xfId="1820" builtinId="9" hidden="1"/>
    <cellStyle name="表示済みのハイパーリンク" xfId="1822" builtinId="9" hidden="1"/>
    <cellStyle name="表示済みのハイパーリンク" xfId="1824" builtinId="9" hidden="1"/>
    <cellStyle name="表示済みのハイパーリンク" xfId="1826" builtinId="9" hidden="1"/>
    <cellStyle name="表示済みのハイパーリンク" xfId="1828" builtinId="9" hidden="1"/>
    <cellStyle name="表示済みのハイパーリンク" xfId="1830" builtinId="9" hidden="1"/>
    <cellStyle name="表示済みのハイパーリンク" xfId="1832" builtinId="9" hidden="1"/>
    <cellStyle name="表示済みのハイパーリンク" xfId="1834" builtinId="9" hidden="1"/>
    <cellStyle name="表示済みのハイパーリンク" xfId="1836" builtinId="9" hidden="1"/>
    <cellStyle name="表示済みのハイパーリンク" xfId="1838" builtinId="9" hidden="1"/>
    <cellStyle name="表示済みのハイパーリンク" xfId="1840" builtinId="9" hidden="1"/>
    <cellStyle name="表示済みのハイパーリンク" xfId="1842" builtinId="9" hidden="1"/>
    <cellStyle name="表示済みのハイパーリンク" xfId="1844" builtinId="9" hidden="1"/>
    <cellStyle name="表示済みのハイパーリンク" xfId="1846" builtinId="9" hidden="1"/>
    <cellStyle name="表示済みのハイパーリンク" xfId="1848" builtinId="9" hidden="1"/>
    <cellStyle name="表示済みのハイパーリンク" xfId="1850" builtinId="9" hidden="1"/>
    <cellStyle name="表示済みのハイパーリンク" xfId="1852" builtinId="9" hidden="1"/>
    <cellStyle name="表示済みのハイパーリンク" xfId="1854" builtinId="9" hidden="1"/>
    <cellStyle name="表示済みのハイパーリンク" xfId="1856" builtinId="9" hidden="1"/>
    <cellStyle name="表示済みのハイパーリンク" xfId="1858" builtinId="9" hidden="1"/>
    <cellStyle name="表示済みのハイパーリンク" xfId="1860" builtinId="9" hidden="1"/>
    <cellStyle name="表示済みのハイパーリンク" xfId="1862" builtinId="9" hidden="1"/>
    <cellStyle name="表示済みのハイパーリンク" xfId="1864" builtinId="9" hidden="1"/>
    <cellStyle name="表示済みのハイパーリンク" xfId="1866" builtinId="9" hidden="1"/>
    <cellStyle name="表示済みのハイパーリンク" xfId="1868" builtinId="9" hidden="1"/>
    <cellStyle name="表示済みのハイパーリンク" xfId="1870" builtinId="9" hidden="1"/>
    <cellStyle name="表示済みのハイパーリンク" xfId="1872" builtinId="9" hidden="1"/>
    <cellStyle name="表示済みのハイパーリンク" xfId="1874" builtinId="9" hidden="1"/>
    <cellStyle name="表示済みのハイパーリンク" xfId="1876" builtinId="9" hidden="1"/>
    <cellStyle name="表示済みのハイパーリンク" xfId="1878" builtinId="9" hidden="1"/>
    <cellStyle name="表示済みのハイパーリンク" xfId="1880" builtinId="9" hidden="1"/>
    <cellStyle name="表示済みのハイパーリンク" xfId="1882" builtinId="9" hidden="1"/>
    <cellStyle name="表示済みのハイパーリンク" xfId="1884" builtinId="9" hidden="1"/>
    <cellStyle name="表示済みのハイパーリンク" xfId="1886" builtinId="9" hidden="1"/>
    <cellStyle name="表示済みのハイパーリンク" xfId="1888" builtinId="9" hidden="1"/>
    <cellStyle name="表示済みのハイパーリンク" xfId="1890" builtinId="9" hidden="1"/>
    <cellStyle name="表示済みのハイパーリンク" xfId="1892" builtinId="9" hidden="1"/>
    <cellStyle name="表示済みのハイパーリンク" xfId="1894" builtinId="9" hidden="1"/>
    <cellStyle name="表示済みのハイパーリンク" xfId="1896" builtinId="9" hidden="1"/>
    <cellStyle name="表示済みのハイパーリンク" xfId="1898" builtinId="9" hidden="1"/>
    <cellStyle name="表示済みのハイパーリンク" xfId="1900" builtinId="9" hidden="1"/>
    <cellStyle name="表示済みのハイパーリンク" xfId="1902" builtinId="9" hidden="1"/>
    <cellStyle name="表示済みのハイパーリンク" xfId="1904" builtinId="9" hidden="1"/>
    <cellStyle name="表示済みのハイパーリンク" xfId="1906" builtinId="9" hidden="1"/>
    <cellStyle name="表示済みのハイパーリンク" xfId="1908" builtinId="9" hidden="1"/>
    <cellStyle name="表示済みのハイパーリンク" xfId="1910" builtinId="9" hidden="1"/>
    <cellStyle name="表示済みのハイパーリンク" xfId="1912" builtinId="9" hidden="1"/>
    <cellStyle name="表示済みのハイパーリンク" xfId="1914" builtinId="9" hidden="1"/>
    <cellStyle name="表示済みのハイパーリンク" xfId="1916" builtinId="9" hidden="1"/>
    <cellStyle name="表示済みのハイパーリンク" xfId="1918" builtinId="9" hidden="1"/>
    <cellStyle name="表示済みのハイパーリンク" xfId="1920" builtinId="9" hidden="1"/>
    <cellStyle name="表示済みのハイパーリンク" xfId="1922" builtinId="9" hidden="1"/>
    <cellStyle name="表示済みのハイパーリンク" xfId="1924" builtinId="9" hidden="1"/>
    <cellStyle name="表示済みのハイパーリンク" xfId="1926" builtinId="9" hidden="1"/>
    <cellStyle name="表示済みのハイパーリンク" xfId="1928" builtinId="9" hidden="1"/>
    <cellStyle name="表示済みのハイパーリンク" xfId="1930" builtinId="9" hidden="1"/>
    <cellStyle name="表示済みのハイパーリンク" xfId="1932" builtinId="9" hidden="1"/>
    <cellStyle name="表示済みのハイパーリンク" xfId="1934" builtinId="9" hidden="1"/>
    <cellStyle name="表示済みのハイパーリンク" xfId="1936" builtinId="9" hidden="1"/>
    <cellStyle name="表示済みのハイパーリンク" xfId="1938" builtinId="9" hidden="1"/>
    <cellStyle name="表示済みのハイパーリンク" xfId="1940" builtinId="9" hidden="1"/>
    <cellStyle name="表示済みのハイパーリンク" xfId="1942" builtinId="9" hidden="1"/>
    <cellStyle name="表示済みのハイパーリンク" xfId="1944" builtinId="9" hidden="1"/>
    <cellStyle name="表示済みのハイパーリンク" xfId="1946" builtinId="9" hidden="1"/>
    <cellStyle name="表示済みのハイパーリンク" xfId="1948" builtinId="9" hidden="1"/>
    <cellStyle name="表示済みのハイパーリンク" xfId="1950" builtinId="9" hidden="1"/>
    <cellStyle name="表示済みのハイパーリンク" xfId="1952" builtinId="9" hidden="1"/>
    <cellStyle name="表示済みのハイパーリンク" xfId="1954" builtinId="9" hidden="1"/>
    <cellStyle name="表示済みのハイパーリンク" xfId="1956" builtinId="9" hidden="1"/>
    <cellStyle name="表示済みのハイパーリンク" xfId="1958" builtinId="9" hidden="1"/>
    <cellStyle name="表示済みのハイパーリンク" xfId="1960" builtinId="9" hidden="1"/>
    <cellStyle name="表示済みのハイパーリンク" xfId="1962" builtinId="9" hidden="1"/>
    <cellStyle name="表示済みのハイパーリンク" xfId="1964" builtinId="9" hidden="1"/>
    <cellStyle name="表示済みのハイパーリンク" xfId="1966" builtinId="9" hidden="1"/>
    <cellStyle name="表示済みのハイパーリンク" xfId="1968" builtinId="9" hidden="1"/>
    <cellStyle name="表示済みのハイパーリンク" xfId="1970" builtinId="9" hidden="1"/>
    <cellStyle name="表示済みのハイパーリンク" xfId="1972" builtinId="9" hidden="1"/>
    <cellStyle name="表示済みのハイパーリンク" xfId="1974" builtinId="9" hidden="1"/>
    <cellStyle name="表示済みのハイパーリンク" xfId="1976" builtinId="9" hidden="1"/>
    <cellStyle name="表示済みのハイパーリンク" xfId="1978" builtinId="9" hidden="1"/>
    <cellStyle name="表示済みのハイパーリンク" xfId="1980" builtinId="9" hidden="1"/>
    <cellStyle name="表示済みのハイパーリンク" xfId="1982" builtinId="9" hidden="1"/>
    <cellStyle name="表示済みのハイパーリンク" xfId="1984" builtinId="9" hidden="1"/>
    <cellStyle name="表示済みのハイパーリンク" xfId="1986" builtinId="9" hidden="1"/>
    <cellStyle name="表示済みのハイパーリンク" xfId="1988" builtinId="9" hidden="1"/>
    <cellStyle name="表示済みのハイパーリンク" xfId="1990" builtinId="9" hidden="1"/>
    <cellStyle name="表示済みのハイパーリンク" xfId="1992" builtinId="9" hidden="1"/>
    <cellStyle name="表示済みのハイパーリンク" xfId="1994" builtinId="9" hidden="1"/>
    <cellStyle name="表示済みのハイパーリンク" xfId="1996" builtinId="9" hidden="1"/>
    <cellStyle name="表示済みのハイパーリンク" xfId="1998" builtinId="9" hidden="1"/>
    <cellStyle name="表示済みのハイパーリンク" xfId="2000" builtinId="9" hidden="1"/>
    <cellStyle name="表示済みのハイパーリンク" xfId="2002" builtinId="9" hidden="1"/>
    <cellStyle name="表示済みのハイパーリンク" xfId="2004" builtinId="9" hidden="1"/>
    <cellStyle name="表示済みのハイパーリンク" xfId="2006" builtinId="9" hidden="1"/>
    <cellStyle name="表示済みのハイパーリンク" xfId="2008" builtinId="9" hidden="1"/>
    <cellStyle name="表示済みのハイパーリンク" xfId="2010" builtinId="9" hidden="1"/>
    <cellStyle name="表示済みのハイパーリンク" xfId="2012" builtinId="9" hidden="1"/>
    <cellStyle name="表示済みのハイパーリンク" xfId="2014" builtinId="9" hidden="1"/>
    <cellStyle name="表示済みのハイパーリンク" xfId="2016" builtinId="9" hidden="1"/>
    <cellStyle name="表示済みのハイパーリンク" xfId="2018" builtinId="9" hidden="1"/>
    <cellStyle name="表示済みのハイパーリンク" xfId="2020" builtinId="9" hidden="1"/>
    <cellStyle name="表示済みのハイパーリンク" xfId="2022" builtinId="9" hidden="1"/>
    <cellStyle name="表示済みのハイパーリンク" xfId="2024" builtinId="9" hidden="1"/>
    <cellStyle name="表示済みのハイパーリンク" xfId="2026" builtinId="9" hidden="1"/>
    <cellStyle name="表示済みのハイパーリンク" xfId="2028" builtinId="9" hidden="1"/>
    <cellStyle name="表示済みのハイパーリンク" xfId="2030" builtinId="9" hidden="1"/>
    <cellStyle name="表示済みのハイパーリンク" xfId="2032" builtinId="9" hidden="1"/>
    <cellStyle name="表示済みのハイパーリンク" xfId="2034" builtinId="9" hidden="1"/>
    <cellStyle name="表示済みのハイパーリンク" xfId="2036" builtinId="9" hidden="1"/>
    <cellStyle name="表示済みのハイパーリンク" xfId="2038" builtinId="9" hidden="1"/>
    <cellStyle name="表示済みのハイパーリンク" xfId="2040" builtinId="9" hidden="1"/>
    <cellStyle name="表示済みのハイパーリンク" xfId="2042" builtinId="9" hidden="1"/>
    <cellStyle name="表示済みのハイパーリンク" xfId="2044" builtinId="9" hidden="1"/>
    <cellStyle name="表示済みのハイパーリンク" xfId="2046" builtinId="9" hidden="1"/>
    <cellStyle name="表示済みのハイパーリンク" xfId="2048" builtinId="9" hidden="1"/>
    <cellStyle name="表示済みのハイパーリンク" xfId="2050" builtinId="9" hidden="1"/>
    <cellStyle name="表示済みのハイパーリンク" xfId="2052" builtinId="9" hidden="1"/>
    <cellStyle name="表示済みのハイパーリンク" xfId="2054" builtinId="9" hidden="1"/>
    <cellStyle name="表示済みのハイパーリンク" xfId="2056" builtinId="9" hidden="1"/>
    <cellStyle name="表示済みのハイパーリンク" xfId="2058" builtinId="9" hidden="1"/>
    <cellStyle name="表示済みのハイパーリンク" xfId="2060" builtinId="9" hidden="1"/>
    <cellStyle name="表示済みのハイパーリンク" xfId="2062" builtinId="9" hidden="1"/>
    <cellStyle name="表示済みのハイパーリンク" xfId="2064" builtinId="9" hidden="1"/>
    <cellStyle name="表示済みのハイパーリンク" xfId="2066" builtinId="9" hidden="1"/>
    <cellStyle name="表示済みのハイパーリンク" xfId="2068" builtinId="9" hidden="1"/>
    <cellStyle name="表示済みのハイパーリンク" xfId="2070" builtinId="9" hidden="1"/>
    <cellStyle name="表示済みのハイパーリンク" xfId="2072" builtinId="9" hidden="1"/>
    <cellStyle name="表示済みのハイパーリンク" xfId="2074" builtinId="9" hidden="1"/>
    <cellStyle name="表示済みのハイパーリンク" xfId="2076" builtinId="9" hidden="1"/>
    <cellStyle name="表示済みのハイパーリンク" xfId="2078" builtinId="9" hidden="1"/>
    <cellStyle name="表示済みのハイパーリンク" xfId="2080" builtinId="9" hidden="1"/>
    <cellStyle name="表示済みのハイパーリンク" xfId="2082" builtinId="9" hidden="1"/>
    <cellStyle name="表示済みのハイパーリンク" xfId="2084" builtinId="9" hidden="1"/>
    <cellStyle name="表示済みのハイパーリンク" xfId="2086" builtinId="9" hidden="1"/>
    <cellStyle name="表示済みのハイパーリンク" xfId="2088" builtinId="9" hidden="1"/>
    <cellStyle name="表示済みのハイパーリンク" xfId="2090" builtinId="9" hidden="1"/>
    <cellStyle name="表示済みのハイパーリンク" xfId="2092" builtinId="9" hidden="1"/>
    <cellStyle name="表示済みのハイパーリンク" xfId="2094" builtinId="9" hidden="1"/>
    <cellStyle name="表示済みのハイパーリンク" xfId="2096" builtinId="9" hidden="1"/>
    <cellStyle name="表示済みのハイパーリンク" xfId="2098" builtinId="9" hidden="1"/>
    <cellStyle name="表示済みのハイパーリンク" xfId="2100" builtinId="9" hidden="1"/>
    <cellStyle name="表示済みのハイパーリンク" xfId="2102" builtinId="9" hidden="1"/>
    <cellStyle name="表示済みのハイパーリンク" xfId="2104" builtinId="9" hidden="1"/>
    <cellStyle name="表示済みのハイパーリンク" xfId="2106" builtinId="9" hidden="1"/>
    <cellStyle name="表示済みのハイパーリンク" xfId="2108" builtinId="9" hidden="1"/>
    <cellStyle name="表示済みのハイパーリンク" xfId="2110" builtinId="9" hidden="1"/>
    <cellStyle name="表示済みのハイパーリンク" xfId="2112" builtinId="9" hidden="1"/>
    <cellStyle name="表示済みのハイパーリンク" xfId="2114" builtinId="9" hidden="1"/>
    <cellStyle name="表示済みのハイパーリンク" xfId="2116" builtinId="9" hidden="1"/>
    <cellStyle name="表示済みのハイパーリンク" xfId="2118" builtinId="9" hidden="1"/>
    <cellStyle name="表示済みのハイパーリンク" xfId="2120" builtinId="9" hidden="1"/>
    <cellStyle name="表示済みのハイパーリンク" xfId="2122" builtinId="9" hidden="1"/>
    <cellStyle name="表示済みのハイパーリンク" xfId="2124" builtinId="9" hidden="1"/>
    <cellStyle name="表示済みのハイパーリンク" xfId="2126" builtinId="9" hidden="1"/>
    <cellStyle name="表示済みのハイパーリンク" xfId="2128" builtinId="9" hidden="1"/>
    <cellStyle name="表示済みのハイパーリンク" xfId="2130" builtinId="9" hidden="1"/>
    <cellStyle name="表示済みのハイパーリンク" xfId="2132" builtinId="9" hidden="1"/>
    <cellStyle name="表示済みのハイパーリンク" xfId="2134" builtinId="9" hidden="1"/>
    <cellStyle name="表示済みのハイパーリンク" xfId="2136" builtinId="9" hidden="1"/>
    <cellStyle name="表示済みのハイパーリンク" xfId="2138" builtinId="9" hidden="1"/>
    <cellStyle name="表示済みのハイパーリンク" xfId="2140" builtinId="9" hidden="1"/>
    <cellStyle name="表示済みのハイパーリンク" xfId="2142" builtinId="9" hidden="1"/>
    <cellStyle name="表示済みのハイパーリンク" xfId="2144" builtinId="9" hidden="1"/>
    <cellStyle name="表示済みのハイパーリンク" xfId="2146" builtinId="9" hidden="1"/>
    <cellStyle name="表示済みのハイパーリンク" xfId="2148" builtinId="9" hidden="1"/>
    <cellStyle name="表示済みのハイパーリンク" xfId="2150" builtinId="9" hidden="1"/>
    <cellStyle name="表示済みのハイパーリンク" xfId="2152" builtinId="9" hidden="1"/>
    <cellStyle name="表示済みのハイパーリンク" xfId="2154" builtinId="9" hidden="1"/>
    <cellStyle name="表示済みのハイパーリンク" xfId="2156" builtinId="9" hidden="1"/>
    <cellStyle name="表示済みのハイパーリンク" xfId="2158" builtinId="9" hidden="1"/>
    <cellStyle name="表示済みのハイパーリンク" xfId="2160" builtinId="9" hidden="1"/>
    <cellStyle name="表示済みのハイパーリンク" xfId="2162" builtinId="9" hidden="1"/>
    <cellStyle name="表示済みのハイパーリンク" xfId="2164" builtinId="9" hidden="1"/>
    <cellStyle name="表示済みのハイパーリンク" xfId="2166" builtinId="9" hidden="1"/>
    <cellStyle name="表示済みのハイパーリンク" xfId="2168" builtinId="9" hidden="1"/>
    <cellStyle name="表示済みのハイパーリンク" xfId="2170" builtinId="9" hidden="1"/>
    <cellStyle name="表示済みのハイパーリンク" xfId="2172" builtinId="9" hidden="1"/>
    <cellStyle name="表示済みのハイパーリンク" xfId="2174" builtinId="9" hidden="1"/>
    <cellStyle name="表示済みのハイパーリンク" xfId="2176" builtinId="9" hidden="1"/>
    <cellStyle name="表示済みのハイパーリンク" xfId="2178" builtinId="9" hidden="1"/>
    <cellStyle name="表示済みのハイパーリンク" xfId="2180" builtinId="9" hidden="1"/>
    <cellStyle name="表示済みのハイパーリンク" xfId="2182" builtinId="9" hidden="1"/>
    <cellStyle name="表示済みのハイパーリンク" xfId="2184" builtinId="9" hidden="1"/>
    <cellStyle name="表示済みのハイパーリンク" xfId="2186" builtinId="9" hidden="1"/>
    <cellStyle name="表示済みのハイパーリンク" xfId="2188" builtinId="9" hidden="1"/>
    <cellStyle name="表示済みのハイパーリンク" xfId="2190" builtinId="9" hidden="1"/>
    <cellStyle name="表示済みのハイパーリンク" xfId="2192" builtinId="9" hidden="1"/>
    <cellStyle name="表示済みのハイパーリンク" xfId="2194" builtinId="9" hidden="1"/>
    <cellStyle name="表示済みのハイパーリンク" xfId="2196" builtinId="9" hidden="1"/>
    <cellStyle name="表示済みのハイパーリンク" xfId="2198" builtinId="9" hidden="1"/>
    <cellStyle name="表示済みのハイパーリンク" xfId="2200" builtinId="9" hidden="1"/>
    <cellStyle name="表示済みのハイパーリンク" xfId="2202" builtinId="9" hidden="1"/>
    <cellStyle name="表示済みのハイパーリンク" xfId="2204" builtinId="9" hidden="1"/>
    <cellStyle name="表示済みのハイパーリンク" xfId="2206" builtinId="9" hidden="1"/>
    <cellStyle name="表示済みのハイパーリンク" xfId="2208" builtinId="9" hidden="1"/>
    <cellStyle name="表示済みのハイパーリンク" xfId="2210" builtinId="9" hidden="1"/>
    <cellStyle name="表示済みのハイパーリンク" xfId="2212" builtinId="9" hidden="1"/>
    <cellStyle name="表示済みのハイパーリンク" xfId="2214" builtinId="9" hidden="1"/>
    <cellStyle name="表示済みのハイパーリンク" xfId="2216" builtinId="9" hidden="1"/>
    <cellStyle name="表示済みのハイパーリンク" xfId="2218" builtinId="9" hidden="1"/>
    <cellStyle name="表示済みのハイパーリンク" xfId="2220" builtinId="9" hidden="1"/>
    <cellStyle name="表示済みのハイパーリンク" xfId="2222" builtinId="9" hidden="1"/>
    <cellStyle name="表示済みのハイパーリンク" xfId="2224" builtinId="9" hidden="1"/>
    <cellStyle name="表示済みのハイパーリンク" xfId="2226" builtinId="9" hidden="1"/>
    <cellStyle name="表示済みのハイパーリンク" xfId="2228" builtinId="9" hidden="1"/>
    <cellStyle name="表示済みのハイパーリンク" xfId="2230" builtinId="9" hidden="1"/>
    <cellStyle name="表示済みのハイパーリンク" xfId="2232" builtinId="9" hidden="1"/>
    <cellStyle name="表示済みのハイパーリンク" xfId="2234" builtinId="9" hidden="1"/>
    <cellStyle name="表示済みのハイパーリンク" xfId="2236" builtinId="9" hidden="1"/>
    <cellStyle name="表示済みのハイパーリンク" xfId="2238" builtinId="9" hidden="1"/>
    <cellStyle name="表示済みのハイパーリンク" xfId="2240" builtinId="9" hidden="1"/>
    <cellStyle name="表示済みのハイパーリンク" xfId="2242" builtinId="9" hidden="1"/>
    <cellStyle name="表示済みのハイパーリンク" xfId="2244" builtinId="9" hidden="1"/>
    <cellStyle name="表示済みのハイパーリンク" xfId="2246" builtinId="9" hidden="1"/>
    <cellStyle name="表示済みのハイパーリンク" xfId="2248" builtinId="9" hidden="1"/>
    <cellStyle name="表示済みのハイパーリンク" xfId="2250" builtinId="9" hidden="1"/>
    <cellStyle name="表示済みのハイパーリンク" xfId="2252" builtinId="9" hidden="1"/>
    <cellStyle name="表示済みのハイパーリンク" xfId="2254" builtinId="9" hidden="1"/>
    <cellStyle name="表示済みのハイパーリンク" xfId="2256" builtinId="9" hidden="1"/>
    <cellStyle name="表示済みのハイパーリンク" xfId="2258" builtinId="9" hidden="1"/>
    <cellStyle name="表示済みのハイパーリンク" xfId="2260" builtinId="9" hidden="1"/>
    <cellStyle name="表示済みのハイパーリンク" xfId="2262" builtinId="9" hidden="1"/>
    <cellStyle name="表示済みのハイパーリンク" xfId="2264" builtinId="9" hidden="1"/>
    <cellStyle name="表示済みのハイパーリンク" xfId="2266" builtinId="9" hidden="1"/>
    <cellStyle name="表示済みのハイパーリンク" xfId="2268" builtinId="9" hidden="1"/>
    <cellStyle name="表示済みのハイパーリンク" xfId="2270" builtinId="9" hidden="1"/>
    <cellStyle name="表示済みのハイパーリンク" xfId="2272" builtinId="9" hidden="1"/>
    <cellStyle name="表示済みのハイパーリンク" xfId="2274" builtinId="9" hidden="1"/>
    <cellStyle name="表示済みのハイパーリンク" xfId="2276" builtinId="9" hidden="1"/>
    <cellStyle name="表示済みのハイパーリンク" xfId="2278" builtinId="9" hidden="1"/>
    <cellStyle name="表示済みのハイパーリンク" xfId="2280" builtinId="9" hidden="1"/>
    <cellStyle name="表示済みのハイパーリンク" xfId="2282" builtinId="9" hidden="1"/>
    <cellStyle name="表示済みのハイパーリンク" xfId="2284" builtinId="9" hidden="1"/>
    <cellStyle name="表示済みのハイパーリンク" xfId="2286" builtinId="9" hidden="1"/>
    <cellStyle name="表示済みのハイパーリンク" xfId="2288" builtinId="9" hidden="1"/>
    <cellStyle name="表示済みのハイパーリンク" xfId="2290" builtinId="9" hidden="1"/>
    <cellStyle name="表示済みのハイパーリンク" xfId="2292" builtinId="9" hidden="1"/>
    <cellStyle name="表示済みのハイパーリンク" xfId="2294" builtinId="9" hidden="1"/>
    <cellStyle name="表示済みのハイパーリンク" xfId="2296" builtinId="9" hidden="1"/>
    <cellStyle name="表示済みのハイパーリンク" xfId="2298" builtinId="9" hidden="1"/>
    <cellStyle name="表示済みのハイパーリンク" xfId="2300" builtinId="9" hidden="1"/>
    <cellStyle name="表示済みのハイパーリンク" xfId="2302" builtinId="9" hidden="1"/>
    <cellStyle name="表示済みのハイパーリンク" xfId="2304" builtinId="9" hidden="1"/>
    <cellStyle name="表示済みのハイパーリンク" xfId="2306" builtinId="9" hidden="1"/>
    <cellStyle name="表示済みのハイパーリンク" xfId="2308" builtinId="9" hidden="1"/>
    <cellStyle name="表示済みのハイパーリンク" xfId="2310" builtinId="9" hidden="1"/>
    <cellStyle name="表示済みのハイパーリンク" xfId="2312" builtinId="9" hidden="1"/>
    <cellStyle name="表示済みのハイパーリンク" xfId="2314" builtinId="9" hidden="1"/>
    <cellStyle name="表示済みのハイパーリンク" xfId="2316" builtinId="9" hidden="1"/>
    <cellStyle name="表示済みのハイパーリンク" xfId="2318" builtinId="9" hidden="1"/>
    <cellStyle name="表示済みのハイパーリンク" xfId="2320" builtinId="9" hidden="1"/>
    <cellStyle name="表示済みのハイパーリンク" xfId="2322" builtinId="9" hidden="1"/>
    <cellStyle name="表示済みのハイパーリンク" xfId="2324" builtinId="9" hidden="1"/>
    <cellStyle name="表示済みのハイパーリンク" xfId="2326" builtinId="9" hidden="1"/>
    <cellStyle name="表示済みのハイパーリンク" xfId="2328" builtinId="9" hidden="1"/>
    <cellStyle name="表示済みのハイパーリンク" xfId="2330" builtinId="9" hidden="1"/>
    <cellStyle name="表示済みのハイパーリンク" xfId="2332" builtinId="9" hidden="1"/>
    <cellStyle name="表示済みのハイパーリンク" xfId="2334" builtinId="9" hidden="1"/>
    <cellStyle name="表示済みのハイパーリンク" xfId="2336" builtinId="9" hidden="1"/>
    <cellStyle name="表示済みのハイパーリンク" xfId="2338" builtinId="9" hidden="1"/>
    <cellStyle name="表示済みのハイパーリンク" xfId="2340" builtinId="9" hidden="1"/>
    <cellStyle name="表示済みのハイパーリンク" xfId="2342" builtinId="9" hidden="1"/>
    <cellStyle name="表示済みのハイパーリンク" xfId="2344" builtinId="9" hidden="1"/>
    <cellStyle name="表示済みのハイパーリンク" xfId="2346" builtinId="9" hidden="1"/>
    <cellStyle name="表示済みのハイパーリンク" xfId="2348" builtinId="9" hidden="1"/>
    <cellStyle name="表示済みのハイパーリンク" xfId="2350" builtinId="9" hidden="1"/>
    <cellStyle name="表示済みのハイパーリンク" xfId="2352" builtinId="9" hidden="1"/>
    <cellStyle name="表示済みのハイパーリンク" xfId="2354" builtinId="9" hidden="1"/>
    <cellStyle name="表示済みのハイパーリンク" xfId="2356" builtinId="9" hidden="1"/>
    <cellStyle name="表示済みのハイパーリンク" xfId="2358" builtinId="9" hidden="1"/>
    <cellStyle name="表示済みのハイパーリンク" xfId="2360" builtinId="9" hidden="1"/>
    <cellStyle name="表示済みのハイパーリンク" xfId="2362" builtinId="9" hidden="1"/>
    <cellStyle name="表示済みのハイパーリンク" xfId="2364" builtinId="9" hidden="1"/>
    <cellStyle name="表示済みのハイパーリンク" xfId="2366" builtinId="9" hidden="1"/>
    <cellStyle name="表示済みのハイパーリンク" xfId="2368" builtinId="9" hidden="1"/>
    <cellStyle name="表示済みのハイパーリンク" xfId="2370" builtinId="9" hidden="1"/>
    <cellStyle name="表示済みのハイパーリンク" xfId="2372" builtinId="9" hidden="1"/>
    <cellStyle name="表示済みのハイパーリンク" xfId="2374" builtinId="9" hidden="1"/>
    <cellStyle name="表示済みのハイパーリンク" xfId="2376" builtinId="9" hidden="1"/>
    <cellStyle name="表示済みのハイパーリンク" xfId="2378" builtinId="9" hidden="1"/>
    <cellStyle name="表示済みのハイパーリンク" xfId="2380" builtinId="9" hidden="1"/>
    <cellStyle name="表示済みのハイパーリンク" xfId="2382" builtinId="9" hidden="1"/>
    <cellStyle name="表示済みのハイパーリンク" xfId="2384" builtinId="9" hidden="1"/>
    <cellStyle name="表示済みのハイパーリンク" xfId="2386" builtinId="9" hidden="1"/>
    <cellStyle name="表示済みのハイパーリンク" xfId="2388" builtinId="9" hidden="1"/>
    <cellStyle name="表示済みのハイパーリンク" xfId="2390" builtinId="9" hidden="1"/>
    <cellStyle name="表示済みのハイパーリンク" xfId="2392" builtinId="9" hidden="1"/>
    <cellStyle name="表示済みのハイパーリンク" xfId="2394" builtinId="9" hidden="1"/>
    <cellStyle name="表示済みのハイパーリンク" xfId="2396" builtinId="9" hidden="1"/>
    <cellStyle name="表示済みのハイパーリンク" xfId="2398" builtinId="9" hidden="1"/>
    <cellStyle name="表示済みのハイパーリンク" xfId="2400" builtinId="9" hidden="1"/>
    <cellStyle name="表示済みのハイパーリンク" xfId="2402" builtinId="9" hidden="1"/>
    <cellStyle name="表示済みのハイパーリンク" xfId="2404" builtinId="9" hidden="1"/>
    <cellStyle name="表示済みのハイパーリンク" xfId="2406" builtinId="9" hidden="1"/>
    <cellStyle name="表示済みのハイパーリンク" xfId="2408" builtinId="9" hidden="1"/>
    <cellStyle name="表示済みのハイパーリンク" xfId="2410" builtinId="9" hidden="1"/>
    <cellStyle name="表示済みのハイパーリンク" xfId="2412" builtinId="9" hidden="1"/>
    <cellStyle name="表示済みのハイパーリンク" xfId="2414" builtinId="9" hidden="1"/>
    <cellStyle name="表示済みのハイパーリンク" xfId="2416" builtinId="9" hidden="1"/>
    <cellStyle name="表示済みのハイパーリンク" xfId="2418" builtinId="9" hidden="1"/>
    <cellStyle name="表示済みのハイパーリンク" xfId="2420" builtinId="9" hidden="1"/>
    <cellStyle name="表示済みのハイパーリンク" xfId="2422" builtinId="9" hidden="1"/>
    <cellStyle name="表示済みのハイパーリンク" xfId="2424" builtinId="9" hidden="1"/>
    <cellStyle name="表示済みのハイパーリンク" xfId="2426" builtinId="9" hidden="1"/>
    <cellStyle name="表示済みのハイパーリンク" xfId="2428" builtinId="9" hidden="1"/>
    <cellStyle name="表示済みのハイパーリンク" xfId="2430" builtinId="9" hidden="1"/>
    <cellStyle name="表示済みのハイパーリンク" xfId="2432" builtinId="9" hidden="1"/>
    <cellStyle name="表示済みのハイパーリンク" xfId="2434" builtinId="9" hidden="1"/>
    <cellStyle name="表示済みのハイパーリンク" xfId="2436" builtinId="9" hidden="1"/>
    <cellStyle name="表示済みのハイパーリンク" xfId="2438" builtinId="9" hidden="1"/>
    <cellStyle name="表示済みのハイパーリンク" xfId="2440" builtinId="9" hidden="1"/>
    <cellStyle name="表示済みのハイパーリンク" xfId="2442" builtinId="9" hidden="1"/>
    <cellStyle name="表示済みのハイパーリンク" xfId="2444" builtinId="9" hidden="1"/>
    <cellStyle name="表示済みのハイパーリンク" xfId="2446" builtinId="9" hidden="1"/>
    <cellStyle name="表示済みのハイパーリンク" xfId="2448" builtinId="9" hidden="1"/>
    <cellStyle name="表示済みのハイパーリンク" xfId="2450" builtinId="9" hidden="1"/>
    <cellStyle name="表示済みのハイパーリンク" xfId="2452" builtinId="9" hidden="1"/>
    <cellStyle name="表示済みのハイパーリンク" xfId="2454" builtinId="9" hidden="1"/>
    <cellStyle name="表示済みのハイパーリンク" xfId="2456" builtinId="9" hidden="1"/>
    <cellStyle name="表示済みのハイパーリンク" xfId="2458" builtinId="9" hidden="1"/>
    <cellStyle name="表示済みのハイパーリンク" xfId="2460" builtinId="9" hidden="1"/>
    <cellStyle name="表示済みのハイパーリンク" xfId="2462" builtinId="9" hidden="1"/>
    <cellStyle name="表示済みのハイパーリンク" xfId="2464" builtinId="9" hidden="1"/>
    <cellStyle name="表示済みのハイパーリンク" xfId="2466" builtinId="9" hidden="1"/>
    <cellStyle name="表示済みのハイパーリンク" xfId="2468" builtinId="9" hidden="1"/>
    <cellStyle name="表示済みのハイパーリンク" xfId="2470" builtinId="9" hidden="1"/>
    <cellStyle name="表示済みのハイパーリンク" xfId="2472" builtinId="9" hidden="1"/>
    <cellStyle name="表示済みのハイパーリンク" xfId="2474" builtinId="9" hidden="1"/>
    <cellStyle name="表示済みのハイパーリンク" xfId="2476" builtinId="9" hidden="1"/>
    <cellStyle name="表示済みのハイパーリンク" xfId="2478" builtinId="9" hidden="1"/>
    <cellStyle name="表示済みのハイパーリンク" xfId="2480" builtinId="9" hidden="1"/>
    <cellStyle name="表示済みのハイパーリンク" xfId="2482" builtinId="9" hidden="1"/>
    <cellStyle name="表示済みのハイパーリンク" xfId="2484" builtinId="9" hidden="1"/>
    <cellStyle name="表示済みのハイパーリンク" xfId="2486" builtinId="9" hidden="1"/>
    <cellStyle name="表示済みのハイパーリンク" xfId="2488" builtinId="9" hidden="1"/>
    <cellStyle name="表示済みのハイパーリンク" xfId="2490" builtinId="9" hidden="1"/>
    <cellStyle name="表示済みのハイパーリンク" xfId="2492" builtinId="9" hidden="1"/>
    <cellStyle name="表示済みのハイパーリンク" xfId="2494" builtinId="9" hidden="1"/>
    <cellStyle name="表示済みのハイパーリンク" xfId="2496" builtinId="9" hidden="1"/>
    <cellStyle name="表示済みのハイパーリンク" xfId="2498" builtinId="9" hidden="1"/>
    <cellStyle name="表示済みのハイパーリンク" xfId="2500" builtinId="9" hidden="1"/>
    <cellStyle name="表示済みのハイパーリンク" xfId="2502" builtinId="9" hidden="1"/>
    <cellStyle name="表示済みのハイパーリンク" xfId="2504" builtinId="9" hidden="1"/>
    <cellStyle name="表示済みのハイパーリンク" xfId="2506" builtinId="9" hidden="1"/>
    <cellStyle name="表示済みのハイパーリンク" xfId="2508" builtinId="9" hidden="1"/>
    <cellStyle name="表示済みのハイパーリンク" xfId="2510" builtinId="9" hidden="1"/>
    <cellStyle name="表示済みのハイパーリンク" xfId="2512" builtinId="9" hidden="1"/>
    <cellStyle name="表示済みのハイパーリンク" xfId="2514" builtinId="9" hidden="1"/>
    <cellStyle name="表示済みのハイパーリンク" xfId="2516" builtinId="9" hidden="1"/>
    <cellStyle name="表示済みのハイパーリンク" xfId="2518" builtinId="9" hidden="1"/>
    <cellStyle name="表示済みのハイパーリンク" xfId="2520" builtinId="9" hidden="1"/>
    <cellStyle name="表示済みのハイパーリンク" xfId="2522" builtinId="9" hidden="1"/>
    <cellStyle name="表示済みのハイパーリンク" xfId="2524" builtinId="9" hidden="1"/>
    <cellStyle name="表示済みのハイパーリンク" xfId="2526" builtinId="9" hidden="1"/>
    <cellStyle name="表示済みのハイパーリンク" xfId="2528" builtinId="9" hidden="1"/>
    <cellStyle name="表示済みのハイパーリンク" xfId="2530" builtinId="9" hidden="1"/>
    <cellStyle name="表示済みのハイパーリンク" xfId="2532" builtinId="9" hidden="1"/>
    <cellStyle name="表示済みのハイパーリンク" xfId="2534" builtinId="9" hidden="1"/>
    <cellStyle name="表示済みのハイパーリンク" xfId="2536" builtinId="9" hidden="1"/>
    <cellStyle name="表示済みのハイパーリンク" xfId="2538" builtinId="9" hidden="1"/>
    <cellStyle name="表示済みのハイパーリンク" xfId="2540" builtinId="9" hidden="1"/>
    <cellStyle name="表示済みのハイパーリンク" xfId="2542" builtinId="9" hidden="1"/>
    <cellStyle name="表示済みのハイパーリンク" xfId="2544" builtinId="9" hidden="1"/>
    <cellStyle name="表示済みのハイパーリンク" xfId="2546" builtinId="9" hidden="1"/>
    <cellStyle name="表示済みのハイパーリンク" xfId="2548" builtinId="9" hidden="1"/>
    <cellStyle name="表示済みのハイパーリンク" xfId="2550" builtinId="9" hidden="1"/>
    <cellStyle name="表示済みのハイパーリンク" xfId="2552" builtinId="9" hidden="1"/>
    <cellStyle name="表示済みのハイパーリンク" xfId="2554" builtinId="9" hidden="1"/>
    <cellStyle name="表示済みのハイパーリンク" xfId="2556" builtinId="9" hidden="1"/>
    <cellStyle name="表示済みのハイパーリンク" xfId="2558" builtinId="9" hidden="1"/>
    <cellStyle name="表示済みのハイパーリンク" xfId="2560" builtinId="9" hidden="1"/>
    <cellStyle name="表示済みのハイパーリンク" xfId="2562" builtinId="9" hidden="1"/>
    <cellStyle name="表示済みのハイパーリンク" xfId="2564" builtinId="9" hidden="1"/>
    <cellStyle name="表示済みのハイパーリンク" xfId="2566" builtinId="9" hidden="1"/>
    <cellStyle name="表示済みのハイパーリンク" xfId="2568" builtinId="9" hidden="1"/>
    <cellStyle name="表示済みのハイパーリンク" xfId="2570" builtinId="9" hidden="1"/>
    <cellStyle name="表示済みのハイパーリンク" xfId="2572" builtinId="9" hidden="1"/>
    <cellStyle name="表示済みのハイパーリンク" xfId="2574" builtinId="9" hidden="1"/>
    <cellStyle name="表示済みのハイパーリンク" xfId="2576" builtinId="9" hidden="1"/>
    <cellStyle name="表示済みのハイパーリンク" xfId="2578" builtinId="9" hidden="1"/>
    <cellStyle name="表示済みのハイパーリンク" xfId="2580" builtinId="9" hidden="1"/>
    <cellStyle name="表示済みのハイパーリンク" xfId="2582" builtinId="9" hidden="1"/>
    <cellStyle name="表示済みのハイパーリンク" xfId="2584" builtinId="9" hidden="1"/>
    <cellStyle name="表示済みのハイパーリンク" xfId="2586" builtinId="9" hidden="1"/>
    <cellStyle name="表示済みのハイパーリンク" xfId="2588" builtinId="9" hidden="1"/>
    <cellStyle name="表示済みのハイパーリンク" xfId="2590" builtinId="9" hidden="1"/>
    <cellStyle name="表示済みのハイパーリンク" xfId="2592" builtinId="9" hidden="1"/>
    <cellStyle name="表示済みのハイパーリンク" xfId="2594" builtinId="9" hidden="1"/>
    <cellStyle name="表示済みのハイパーリンク" xfId="2596" builtinId="9" hidden="1"/>
    <cellStyle name="表示済みのハイパーリンク" xfId="2598" builtinId="9" hidden="1"/>
    <cellStyle name="表示済みのハイパーリンク" xfId="2600" builtinId="9" hidden="1"/>
    <cellStyle name="表示済みのハイパーリンク" xfId="2602" builtinId="9" hidden="1"/>
    <cellStyle name="表示済みのハイパーリンク" xfId="2604" builtinId="9" hidden="1"/>
    <cellStyle name="表示済みのハイパーリンク" xfId="2606" builtinId="9" hidden="1"/>
    <cellStyle name="表示済みのハイパーリンク" xfId="2608" builtinId="9" hidden="1"/>
    <cellStyle name="表示済みのハイパーリンク" xfId="2610" builtinId="9" hidden="1"/>
    <cellStyle name="表示済みのハイパーリンク" xfId="2612" builtinId="9" hidden="1"/>
    <cellStyle name="表示済みのハイパーリンク" xfId="2614" builtinId="9" hidden="1"/>
    <cellStyle name="表示済みのハイパーリンク" xfId="2616" builtinId="9" hidden="1"/>
    <cellStyle name="表示済みのハイパーリンク" xfId="2618" builtinId="9" hidden="1"/>
    <cellStyle name="表示済みのハイパーリンク" xfId="2620" builtinId="9" hidden="1"/>
    <cellStyle name="表示済みのハイパーリンク" xfId="2622" builtinId="9" hidden="1"/>
    <cellStyle name="表示済みのハイパーリンク" xfId="2624" builtinId="9" hidden="1"/>
    <cellStyle name="表示済みのハイパーリンク" xfId="2626" builtinId="9" hidden="1"/>
    <cellStyle name="表示済みのハイパーリンク" xfId="2628" builtinId="9" hidden="1"/>
    <cellStyle name="表示済みのハイパーリンク" xfId="2630" builtinId="9" hidden="1"/>
    <cellStyle name="表示済みのハイパーリンク" xfId="2632" builtinId="9" hidden="1"/>
    <cellStyle name="表示済みのハイパーリンク" xfId="2634" builtinId="9" hidden="1"/>
    <cellStyle name="表示済みのハイパーリンク" xfId="2636" builtinId="9" hidden="1"/>
    <cellStyle name="表示済みのハイパーリンク" xfId="2638" builtinId="9" hidden="1"/>
    <cellStyle name="表示済みのハイパーリンク" xfId="2640" builtinId="9" hidden="1"/>
    <cellStyle name="表示済みのハイパーリンク" xfId="2642" builtinId="9" hidden="1"/>
    <cellStyle name="表示済みのハイパーリンク" xfId="2644" builtinId="9" hidden="1"/>
    <cellStyle name="表示済みのハイパーリンク" xfId="2646" builtinId="9" hidden="1"/>
    <cellStyle name="表示済みのハイパーリンク" xfId="2648" builtinId="9" hidden="1"/>
    <cellStyle name="表示済みのハイパーリンク" xfId="2650" builtinId="9" hidden="1"/>
    <cellStyle name="表示済みのハイパーリンク" xfId="2652" builtinId="9" hidden="1"/>
    <cellStyle name="表示済みのハイパーリンク" xfId="2654" builtinId="9" hidden="1"/>
    <cellStyle name="表示済みのハイパーリンク" xfId="2656" builtinId="9" hidden="1"/>
    <cellStyle name="表示済みのハイパーリンク" xfId="2658" builtinId="9" hidden="1"/>
    <cellStyle name="表示済みのハイパーリンク" xfId="2660" builtinId="9" hidden="1"/>
    <cellStyle name="表示済みのハイパーリンク" xfId="2662" builtinId="9" hidden="1"/>
    <cellStyle name="表示済みのハイパーリンク" xfId="2664" builtinId="9" hidden="1"/>
    <cellStyle name="表示済みのハイパーリンク" xfId="2666" builtinId="9" hidden="1"/>
    <cellStyle name="表示済みのハイパーリンク" xfId="2668" builtinId="9" hidden="1"/>
    <cellStyle name="表示済みのハイパーリンク" xfId="2670" builtinId="9" hidden="1"/>
    <cellStyle name="表示済みのハイパーリンク" xfId="2672" builtinId="9" hidden="1"/>
    <cellStyle name="表示済みのハイパーリンク" xfId="2674" builtinId="9" hidden="1"/>
    <cellStyle name="表示済みのハイパーリンク" xfId="2676" builtinId="9" hidden="1"/>
    <cellStyle name="表示済みのハイパーリンク" xfId="2678" builtinId="9" hidden="1"/>
    <cellStyle name="表示済みのハイパーリンク" xfId="2680" builtinId="9" hidden="1"/>
    <cellStyle name="表示済みのハイパーリンク" xfId="2682" builtinId="9" hidden="1"/>
    <cellStyle name="表示済みのハイパーリンク" xfId="2684" builtinId="9" hidden="1"/>
    <cellStyle name="表示済みのハイパーリンク" xfId="2686" builtinId="9" hidden="1"/>
    <cellStyle name="表示済みのハイパーリンク" xfId="2688" builtinId="9" hidden="1"/>
    <cellStyle name="表示済みのハイパーリンク" xfId="2690" builtinId="9" hidden="1"/>
    <cellStyle name="表示済みのハイパーリンク" xfId="2692" builtinId="9" hidden="1"/>
    <cellStyle name="表示済みのハイパーリンク" xfId="2694" builtinId="9" hidden="1"/>
    <cellStyle name="表示済みのハイパーリンク" xfId="2696" builtinId="9" hidden="1"/>
    <cellStyle name="表示済みのハイパーリンク" xfId="2698" builtinId="9" hidden="1"/>
    <cellStyle name="表示済みのハイパーリンク" xfId="2700" builtinId="9" hidden="1"/>
    <cellStyle name="表示済みのハイパーリンク" xfId="2702" builtinId="9" hidden="1"/>
    <cellStyle name="表示済みのハイパーリンク" xfId="2704" builtinId="9" hidden="1"/>
    <cellStyle name="表示済みのハイパーリンク" xfId="2706" builtinId="9" hidden="1"/>
    <cellStyle name="表示済みのハイパーリンク" xfId="2708" builtinId="9" hidden="1"/>
    <cellStyle name="表示済みのハイパーリンク" xfId="2710" builtinId="9" hidden="1"/>
    <cellStyle name="表示済みのハイパーリンク" xfId="2712" builtinId="9" hidden="1"/>
    <cellStyle name="表示済みのハイパーリンク" xfId="2714" builtinId="9" hidden="1"/>
    <cellStyle name="表示済みのハイパーリンク" xfId="2716" builtinId="9" hidden="1"/>
    <cellStyle name="表示済みのハイパーリンク" xfId="2718" builtinId="9" hidden="1"/>
    <cellStyle name="表示済みのハイパーリンク" xfId="2720" builtinId="9" hidden="1"/>
    <cellStyle name="表示済みのハイパーリンク" xfId="2722" builtinId="9" hidden="1"/>
    <cellStyle name="表示済みのハイパーリンク" xfId="2724" builtinId="9" hidden="1"/>
    <cellStyle name="表示済みのハイパーリンク" xfId="2726" builtinId="9" hidden="1"/>
    <cellStyle name="表示済みのハイパーリンク" xfId="2728" builtinId="9" hidden="1"/>
    <cellStyle name="表示済みのハイパーリンク" xfId="2730" builtinId="9" hidden="1"/>
    <cellStyle name="表示済みのハイパーリンク" xfId="2732" builtinId="9" hidden="1"/>
    <cellStyle name="表示済みのハイパーリンク" xfId="2734" builtinId="9" hidden="1"/>
    <cellStyle name="表示済みのハイパーリンク" xfId="2736" builtinId="9" hidden="1"/>
    <cellStyle name="表示済みのハイパーリンク" xfId="2738" builtinId="9" hidden="1"/>
    <cellStyle name="表示済みのハイパーリンク" xfId="2740" builtinId="9" hidden="1"/>
    <cellStyle name="表示済みのハイパーリンク" xfId="2742" builtinId="9" hidden="1"/>
    <cellStyle name="表示済みのハイパーリンク" xfId="2744" builtinId="9" hidden="1"/>
    <cellStyle name="表示済みのハイパーリンク" xfId="2746" builtinId="9" hidden="1"/>
    <cellStyle name="表示済みのハイパーリンク" xfId="2748" builtinId="9" hidden="1"/>
    <cellStyle name="表示済みのハイパーリンク" xfId="2750" builtinId="9" hidden="1"/>
    <cellStyle name="表示済みのハイパーリンク" xfId="2752" builtinId="9" hidden="1"/>
    <cellStyle name="表示済みのハイパーリンク" xfId="2754" builtinId="9" hidden="1"/>
    <cellStyle name="表示済みのハイパーリンク" xfId="2756" builtinId="9" hidden="1"/>
    <cellStyle name="表示済みのハイパーリンク" xfId="2758" builtinId="9" hidden="1"/>
    <cellStyle name="表示済みのハイパーリンク" xfId="2760" builtinId="9" hidden="1"/>
    <cellStyle name="表示済みのハイパーリンク" xfId="2762" builtinId="9" hidden="1"/>
    <cellStyle name="表示済みのハイパーリンク" xfId="2764" builtinId="9" hidden="1"/>
    <cellStyle name="表示済みのハイパーリンク" xfId="2766" builtinId="9" hidden="1"/>
    <cellStyle name="表示済みのハイパーリンク" xfId="2768" builtinId="9" hidden="1"/>
    <cellStyle name="表示済みのハイパーリンク" xfId="2770" builtinId="9" hidden="1"/>
    <cellStyle name="表示済みのハイパーリンク" xfId="2772" builtinId="9" hidden="1"/>
    <cellStyle name="表示済みのハイパーリンク" xfId="2774" builtinId="9" hidden="1"/>
    <cellStyle name="表示済みのハイパーリンク" xfId="2776" builtinId="9" hidden="1"/>
    <cellStyle name="表示済みのハイパーリンク" xfId="2778" builtinId="9" hidden="1"/>
    <cellStyle name="表示済みのハイパーリンク" xfId="2780" builtinId="9" hidden="1"/>
    <cellStyle name="表示済みのハイパーリンク" xfId="2782" builtinId="9" hidden="1"/>
    <cellStyle name="表示済みのハイパーリンク" xfId="2784" builtinId="9" hidden="1"/>
    <cellStyle name="表示済みのハイパーリンク" xfId="2786" builtinId="9" hidden="1"/>
    <cellStyle name="表示済みのハイパーリンク" xfId="2788" builtinId="9" hidden="1"/>
    <cellStyle name="表示済みのハイパーリンク" xfId="2790" builtinId="9" hidden="1"/>
    <cellStyle name="表示済みのハイパーリンク" xfId="2792" builtinId="9" hidden="1"/>
    <cellStyle name="表示済みのハイパーリンク" xfId="2794" builtinId="9" hidden="1"/>
    <cellStyle name="表示済みのハイパーリンク" xfId="2796" builtinId="9" hidden="1"/>
    <cellStyle name="表示済みのハイパーリンク" xfId="2798" builtinId="9" hidden="1"/>
    <cellStyle name="表示済みのハイパーリンク" xfId="2800" builtinId="9" hidden="1"/>
    <cellStyle name="表示済みのハイパーリンク" xfId="2802" builtinId="9" hidden="1"/>
    <cellStyle name="表示済みのハイパーリンク" xfId="2804" builtinId="9" hidden="1"/>
    <cellStyle name="表示済みのハイパーリンク" xfId="2806" builtinId="9" hidden="1"/>
    <cellStyle name="表示済みのハイパーリンク" xfId="2808" builtinId="9" hidden="1"/>
    <cellStyle name="表示済みのハイパーリンク" xfId="2810" builtinId="9" hidden="1"/>
    <cellStyle name="表示済みのハイパーリンク" xfId="2812" builtinId="9" hidden="1"/>
    <cellStyle name="表示済みのハイパーリンク" xfId="2814" builtinId="9" hidden="1"/>
    <cellStyle name="表示済みのハイパーリンク" xfId="2816" builtinId="9" hidden="1"/>
    <cellStyle name="表示済みのハイパーリンク" xfId="2818" builtinId="9" hidden="1"/>
    <cellStyle name="表示済みのハイパーリンク" xfId="2820" builtinId="9" hidden="1"/>
    <cellStyle name="表示済みのハイパーリンク" xfId="2822" builtinId="9" hidden="1"/>
    <cellStyle name="表示済みのハイパーリンク" xfId="2824" builtinId="9" hidden="1"/>
    <cellStyle name="表示済みのハイパーリンク" xfId="2826" builtinId="9" hidden="1"/>
    <cellStyle name="表示済みのハイパーリンク" xfId="2828" builtinId="9" hidden="1"/>
    <cellStyle name="表示済みのハイパーリンク" xfId="2830" builtinId="9" hidden="1"/>
    <cellStyle name="表示済みのハイパーリンク" xfId="2832" builtinId="9" hidden="1"/>
    <cellStyle name="表示済みのハイパーリンク" xfId="2834" builtinId="9" hidden="1"/>
    <cellStyle name="表示済みのハイパーリンク" xfId="2836" builtinId="9" hidden="1"/>
    <cellStyle name="表示済みのハイパーリンク" xfId="2838" builtinId="9" hidden="1"/>
    <cellStyle name="表示済みのハイパーリンク" xfId="2840" builtinId="9" hidden="1"/>
    <cellStyle name="表示済みのハイパーリンク" xfId="2842" builtinId="9" hidden="1"/>
    <cellStyle name="表示済みのハイパーリンク" xfId="2844" builtinId="9" hidden="1"/>
    <cellStyle name="表示済みのハイパーリンク" xfId="2846" builtinId="9" hidden="1"/>
    <cellStyle name="表示済みのハイパーリンク" xfId="2848" builtinId="9" hidden="1"/>
    <cellStyle name="表示済みのハイパーリンク" xfId="2850" builtinId="9" hidden="1"/>
    <cellStyle name="表示済みのハイパーリンク" xfId="2852" builtinId="9" hidden="1"/>
    <cellStyle name="表示済みのハイパーリンク" xfId="2854" builtinId="9" hidden="1"/>
    <cellStyle name="表示済みのハイパーリンク" xfId="2856" builtinId="9" hidden="1"/>
    <cellStyle name="表示済みのハイパーリンク" xfId="2858" builtinId="9" hidden="1"/>
    <cellStyle name="表示済みのハイパーリンク" xfId="2860" builtinId="9" hidden="1"/>
    <cellStyle name="表示済みのハイパーリンク" xfId="2862" builtinId="9" hidden="1"/>
    <cellStyle name="表示済みのハイパーリンク" xfId="2864" builtinId="9" hidden="1"/>
    <cellStyle name="表示済みのハイパーリンク" xfId="2866" builtinId="9" hidden="1"/>
    <cellStyle name="表示済みのハイパーリンク" xfId="2868" builtinId="9" hidden="1"/>
    <cellStyle name="表示済みのハイパーリンク" xfId="2870" builtinId="9" hidden="1"/>
    <cellStyle name="表示済みのハイパーリンク" xfId="2872" builtinId="9" hidden="1"/>
    <cellStyle name="表示済みのハイパーリンク" xfId="2874" builtinId="9" hidden="1"/>
    <cellStyle name="表示済みのハイパーリンク" xfId="2876" builtinId="9" hidden="1"/>
    <cellStyle name="表示済みのハイパーリンク" xfId="2878" builtinId="9" hidden="1"/>
    <cellStyle name="表示済みのハイパーリンク" xfId="2880" builtinId="9" hidden="1"/>
    <cellStyle name="表示済みのハイパーリンク" xfId="2882" builtinId="9" hidden="1"/>
    <cellStyle name="表示済みのハイパーリンク" xfId="2884" builtinId="9" hidden="1"/>
    <cellStyle name="表示済みのハイパーリンク" xfId="2886" builtinId="9" hidden="1"/>
    <cellStyle name="表示済みのハイパーリンク" xfId="2888" builtinId="9" hidden="1"/>
    <cellStyle name="表示済みのハイパーリンク" xfId="2890" builtinId="9" hidden="1"/>
    <cellStyle name="表示済みのハイパーリンク" xfId="2892" builtinId="9" hidden="1"/>
    <cellStyle name="表示済みのハイパーリンク" xfId="2894" builtinId="9" hidden="1"/>
    <cellStyle name="表示済みのハイパーリンク" xfId="2896" builtinId="9" hidden="1"/>
    <cellStyle name="表示済みのハイパーリンク" xfId="2898" builtinId="9" hidden="1"/>
    <cellStyle name="表示済みのハイパーリンク" xfId="2900" builtinId="9" hidden="1"/>
    <cellStyle name="表示済みのハイパーリンク" xfId="2902" builtinId="9" hidden="1"/>
    <cellStyle name="表示済みのハイパーリンク" xfId="2904" builtinId="9" hidden="1"/>
    <cellStyle name="表示済みのハイパーリンク" xfId="2906" builtinId="9" hidden="1"/>
    <cellStyle name="表示済みのハイパーリンク" xfId="2908" builtinId="9" hidden="1"/>
    <cellStyle name="表示済みのハイパーリンク" xfId="2910" builtinId="9" hidden="1"/>
    <cellStyle name="表示済みのハイパーリンク" xfId="2912" builtinId="9" hidden="1"/>
    <cellStyle name="表示済みのハイパーリンク" xfId="2914" builtinId="9" hidden="1"/>
    <cellStyle name="表示済みのハイパーリンク" xfId="2916" builtinId="9" hidden="1"/>
    <cellStyle name="表示済みのハイパーリンク" xfId="2918" builtinId="9" hidden="1"/>
    <cellStyle name="表示済みのハイパーリンク" xfId="2920" builtinId="9" hidden="1"/>
    <cellStyle name="表示済みのハイパーリンク" xfId="2922" builtinId="9" hidden="1"/>
    <cellStyle name="表示済みのハイパーリンク" xfId="2924" builtinId="9" hidden="1"/>
    <cellStyle name="表示済みのハイパーリンク" xfId="2926" builtinId="9" hidden="1"/>
    <cellStyle name="表示済みのハイパーリンク" xfId="2928" builtinId="9" hidden="1"/>
    <cellStyle name="表示済みのハイパーリンク" xfId="2930" builtinId="9" hidden="1"/>
    <cellStyle name="表示済みのハイパーリンク" xfId="2932" builtinId="9" hidden="1"/>
    <cellStyle name="表示済みのハイパーリンク" xfId="2934" builtinId="9" hidden="1"/>
    <cellStyle name="表示済みのハイパーリンク" xfId="2936" builtinId="9" hidden="1"/>
    <cellStyle name="表示済みのハイパーリンク" xfId="2938" builtinId="9" hidden="1"/>
    <cellStyle name="表示済みのハイパーリンク" xfId="2940" builtinId="9" hidden="1"/>
    <cellStyle name="表示済みのハイパーリンク" xfId="2942" builtinId="9" hidden="1"/>
    <cellStyle name="表示済みのハイパーリンク" xfId="2944" builtinId="9" hidden="1"/>
    <cellStyle name="表示済みのハイパーリンク" xfId="2946" builtinId="9" hidden="1"/>
    <cellStyle name="表示済みのハイパーリンク" xfId="2948" builtinId="9" hidden="1"/>
    <cellStyle name="表示済みのハイパーリンク" xfId="2950" builtinId="9" hidden="1"/>
    <cellStyle name="表示済みのハイパーリンク" xfId="2952" builtinId="9" hidden="1"/>
    <cellStyle name="表示済みのハイパーリンク" xfId="2954" builtinId="9" hidden="1"/>
    <cellStyle name="表示済みのハイパーリンク" xfId="2956" builtinId="9" hidden="1"/>
    <cellStyle name="表示済みのハイパーリンク" xfId="2958" builtinId="9" hidden="1"/>
    <cellStyle name="表示済みのハイパーリンク" xfId="2960" builtinId="9" hidden="1"/>
    <cellStyle name="表示済みのハイパーリンク" xfId="2962" builtinId="9" hidden="1"/>
    <cellStyle name="表示済みのハイパーリンク" xfId="2964" builtinId="9" hidden="1"/>
    <cellStyle name="表示済みのハイパーリンク" xfId="2966" builtinId="9" hidden="1"/>
    <cellStyle name="表示済みのハイパーリンク" xfId="2968" builtinId="9" hidden="1"/>
    <cellStyle name="表示済みのハイパーリンク" xfId="2970" builtinId="9" hidden="1"/>
    <cellStyle name="表示済みのハイパーリンク" xfId="2972" builtinId="9" hidden="1"/>
    <cellStyle name="表示済みのハイパーリンク" xfId="2974" builtinId="9" hidden="1"/>
    <cellStyle name="表示済みのハイパーリンク" xfId="2976" builtinId="9" hidden="1"/>
    <cellStyle name="表示済みのハイパーリンク" xfId="2978" builtinId="9" hidden="1"/>
    <cellStyle name="表示済みのハイパーリンク" xfId="2980" builtinId="9" hidden="1"/>
    <cellStyle name="表示済みのハイパーリンク" xfId="2982" builtinId="9" hidden="1"/>
    <cellStyle name="表示済みのハイパーリンク" xfId="2984" builtinId="9" hidden="1"/>
    <cellStyle name="表示済みのハイパーリンク" xfId="2986" builtinId="9" hidden="1"/>
    <cellStyle name="表示済みのハイパーリンク" xfId="2988" builtinId="9" hidden="1"/>
    <cellStyle name="表示済みのハイパーリンク" xfId="2990" builtinId="9" hidden="1"/>
    <cellStyle name="表示済みのハイパーリンク" xfId="2992" builtinId="9" hidden="1"/>
    <cellStyle name="表示済みのハイパーリンク" xfId="2994" builtinId="9" hidden="1"/>
    <cellStyle name="表示済みのハイパーリンク" xfId="2996" builtinId="9" hidden="1"/>
    <cellStyle name="表示済みのハイパーリンク" xfId="2998" builtinId="9" hidden="1"/>
    <cellStyle name="表示済みのハイパーリンク" xfId="3000" builtinId="9" hidden="1"/>
    <cellStyle name="表示済みのハイパーリンク" xfId="3002" builtinId="9" hidden="1"/>
    <cellStyle name="表示済みのハイパーリンク" xfId="3004" builtinId="9" hidden="1"/>
    <cellStyle name="表示済みのハイパーリンク" xfId="3006" builtinId="9" hidden="1"/>
    <cellStyle name="表示済みのハイパーリンク" xfId="3008" builtinId="9" hidden="1"/>
    <cellStyle name="表示済みのハイパーリンク" xfId="3010" builtinId="9" hidden="1"/>
    <cellStyle name="表示済みのハイパーリンク" xfId="3012" builtinId="9" hidden="1"/>
    <cellStyle name="表示済みのハイパーリンク" xfId="3014" builtinId="9" hidden="1"/>
    <cellStyle name="表示済みのハイパーリンク" xfId="3016" builtinId="9" hidden="1"/>
    <cellStyle name="表示済みのハイパーリンク" xfId="3018" builtinId="9" hidden="1"/>
    <cellStyle name="表示済みのハイパーリンク" xfId="3020" builtinId="9" hidden="1"/>
    <cellStyle name="表示済みのハイパーリンク" xfId="3022" builtinId="9" hidden="1"/>
    <cellStyle name="表示済みのハイパーリンク" xfId="3024" builtinId="9" hidden="1"/>
    <cellStyle name="表示済みのハイパーリンク" xfId="3026" builtinId="9" hidden="1"/>
    <cellStyle name="表示済みのハイパーリンク" xfId="3028" builtinId="9" hidden="1"/>
    <cellStyle name="表示済みのハイパーリンク" xfId="3030" builtinId="9" hidden="1"/>
    <cellStyle name="表示済みのハイパーリンク" xfId="3032" builtinId="9" hidden="1"/>
    <cellStyle name="表示済みのハイパーリンク" xfId="3034" builtinId="9" hidden="1"/>
    <cellStyle name="表示済みのハイパーリンク" xfId="3036" builtinId="9" hidden="1"/>
    <cellStyle name="表示済みのハイパーリンク" xfId="3038" builtinId="9" hidden="1"/>
    <cellStyle name="表示済みのハイパーリンク" xfId="3040" builtinId="9" hidden="1"/>
    <cellStyle name="表示済みのハイパーリンク" xfId="3042" builtinId="9" hidden="1"/>
    <cellStyle name="表示済みのハイパーリンク" xfId="3044" builtinId="9" hidden="1"/>
    <cellStyle name="表示済みのハイパーリンク" xfId="3046" builtinId="9" hidden="1"/>
    <cellStyle name="表示済みのハイパーリンク" xfId="3048" builtinId="9" hidden="1"/>
    <cellStyle name="表示済みのハイパーリンク" xfId="3050" builtinId="9" hidden="1"/>
    <cellStyle name="表示済みのハイパーリンク" xfId="3052" builtinId="9" hidden="1"/>
    <cellStyle name="表示済みのハイパーリンク" xfId="3054" builtinId="9" hidden="1"/>
    <cellStyle name="表示済みのハイパーリンク" xfId="3056" builtinId="9" hidden="1"/>
    <cellStyle name="表示済みのハイパーリンク" xfId="3058" builtinId="9" hidden="1"/>
    <cellStyle name="表示済みのハイパーリンク" xfId="3060" builtinId="9" hidden="1"/>
    <cellStyle name="表示済みのハイパーリンク" xfId="3062" builtinId="9" hidden="1"/>
    <cellStyle name="表示済みのハイパーリンク" xfId="3064" builtinId="9" hidden="1"/>
    <cellStyle name="表示済みのハイパーリンク" xfId="3066" builtinId="9" hidden="1"/>
    <cellStyle name="表示済みのハイパーリンク" xfId="3068" builtinId="9" hidden="1"/>
    <cellStyle name="表示済みのハイパーリンク" xfId="3070" builtinId="9" hidden="1"/>
    <cellStyle name="表示済みのハイパーリンク" xfId="3072" builtinId="9" hidden="1"/>
    <cellStyle name="表示済みのハイパーリンク" xfId="3074" builtinId="9" hidden="1"/>
    <cellStyle name="表示済みのハイパーリンク" xfId="3076" builtinId="9" hidden="1"/>
    <cellStyle name="表示済みのハイパーリンク" xfId="3078" builtinId="9" hidden="1"/>
    <cellStyle name="表示済みのハイパーリンク" xfId="3080" builtinId="9" hidden="1"/>
    <cellStyle name="表示済みのハイパーリンク" xfId="3082" builtinId="9" hidden="1"/>
    <cellStyle name="表示済みのハイパーリンク" xfId="3084" builtinId="9" hidden="1"/>
    <cellStyle name="表示済みのハイパーリンク" xfId="3086" builtinId="9" hidden="1"/>
    <cellStyle name="表示済みのハイパーリンク" xfId="3088" builtinId="9" hidden="1"/>
    <cellStyle name="表示済みのハイパーリンク" xfId="3090" builtinId="9" hidden="1"/>
    <cellStyle name="表示済みのハイパーリンク" xfId="3092" builtinId="9" hidden="1"/>
    <cellStyle name="表示済みのハイパーリンク" xfId="3094" builtinId="9" hidden="1"/>
    <cellStyle name="表示済みのハイパーリンク" xfId="3096" builtinId="9" hidden="1"/>
    <cellStyle name="表示済みのハイパーリンク" xfId="3098" builtinId="9" hidden="1"/>
    <cellStyle name="表示済みのハイパーリンク" xfId="3100" builtinId="9" hidden="1"/>
    <cellStyle name="表示済みのハイパーリンク" xfId="3102" builtinId="9" hidden="1"/>
    <cellStyle name="表示済みのハイパーリンク" xfId="3104" builtinId="9" hidden="1"/>
    <cellStyle name="表示済みのハイパーリンク" xfId="3106" builtinId="9" hidden="1"/>
    <cellStyle name="表示済みのハイパーリンク" xfId="3108" builtinId="9" hidden="1"/>
    <cellStyle name="表示済みのハイパーリンク" xfId="3110" builtinId="9" hidden="1"/>
    <cellStyle name="表示済みのハイパーリンク" xfId="3112" builtinId="9" hidden="1"/>
    <cellStyle name="表示済みのハイパーリンク" xfId="3114" builtinId="9" hidden="1"/>
    <cellStyle name="表示済みのハイパーリンク" xfId="3116" builtinId="9" hidden="1"/>
    <cellStyle name="表示済みのハイパーリンク" xfId="3118" builtinId="9" hidden="1"/>
    <cellStyle name="表示済みのハイパーリンク" xfId="3120" builtinId="9" hidden="1"/>
    <cellStyle name="表示済みのハイパーリンク" xfId="3122" builtinId="9" hidden="1"/>
    <cellStyle name="表示済みのハイパーリンク" xfId="3124" builtinId="9" hidden="1"/>
    <cellStyle name="表示済みのハイパーリンク" xfId="3126" builtinId="9" hidden="1"/>
    <cellStyle name="表示済みのハイパーリンク" xfId="3128" builtinId="9" hidden="1"/>
    <cellStyle name="表示済みのハイパーリンク" xfId="3130" builtinId="9" hidden="1"/>
    <cellStyle name="表示済みのハイパーリンク" xfId="3132" builtinId="9" hidden="1"/>
    <cellStyle name="表示済みのハイパーリンク" xfId="3134" builtinId="9" hidden="1"/>
    <cellStyle name="表示済みのハイパーリンク" xfId="3136" builtinId="9" hidden="1"/>
    <cellStyle name="表示済みのハイパーリンク" xfId="3138" builtinId="9" hidden="1"/>
    <cellStyle name="表示済みのハイパーリンク" xfId="3140" builtinId="9" hidden="1"/>
    <cellStyle name="表示済みのハイパーリンク" xfId="3142" builtinId="9" hidden="1"/>
    <cellStyle name="表示済みのハイパーリンク" xfId="3144" builtinId="9" hidden="1"/>
    <cellStyle name="表示済みのハイパーリンク" xfId="3146" builtinId="9" hidden="1"/>
    <cellStyle name="表示済みのハイパーリンク" xfId="3148" builtinId="9" hidden="1"/>
    <cellStyle name="表示済みのハイパーリンク" xfId="3150" builtinId="9" hidden="1"/>
    <cellStyle name="表示済みのハイパーリンク" xfId="3152" builtinId="9" hidden="1"/>
    <cellStyle name="表示済みのハイパーリンク" xfId="3154" builtinId="9" hidden="1"/>
    <cellStyle name="表示済みのハイパーリンク" xfId="3156" builtinId="9" hidden="1"/>
    <cellStyle name="表示済みのハイパーリンク" xfId="3158" builtinId="9" hidden="1"/>
    <cellStyle name="表示済みのハイパーリンク" xfId="3160" builtinId="9" hidden="1"/>
    <cellStyle name="表示済みのハイパーリンク" xfId="3162" builtinId="9" hidden="1"/>
    <cellStyle name="表示済みのハイパーリンク" xfId="3164" builtinId="9" hidden="1"/>
    <cellStyle name="表示済みのハイパーリンク" xfId="3166" builtinId="9" hidden="1"/>
    <cellStyle name="表示済みのハイパーリンク" xfId="3168" builtinId="9" hidden="1"/>
    <cellStyle name="表示済みのハイパーリンク" xfId="3170" builtinId="9" hidden="1"/>
    <cellStyle name="表示済みのハイパーリンク" xfId="3172" builtinId="9" hidden="1"/>
    <cellStyle name="表示済みのハイパーリンク" xfId="3174" builtinId="9" hidden="1"/>
    <cellStyle name="表示済みのハイパーリンク" xfId="3176" builtinId="9" hidden="1"/>
    <cellStyle name="表示済みのハイパーリンク" xfId="3178" builtinId="9" hidden="1"/>
    <cellStyle name="表示済みのハイパーリンク" xfId="3180" builtinId="9" hidden="1"/>
    <cellStyle name="表示済みのハイパーリンク" xfId="3182" builtinId="9" hidden="1"/>
    <cellStyle name="表示済みのハイパーリンク" xfId="3184" builtinId="9" hidden="1"/>
    <cellStyle name="表示済みのハイパーリンク" xfId="3186" builtinId="9" hidden="1"/>
    <cellStyle name="表示済みのハイパーリンク" xfId="3188" builtinId="9" hidden="1"/>
    <cellStyle name="表示済みのハイパーリンク" xfId="3190" builtinId="9" hidden="1"/>
    <cellStyle name="表示済みのハイパーリンク" xfId="3192" builtinId="9" hidden="1"/>
    <cellStyle name="表示済みのハイパーリンク" xfId="3194" builtinId="9" hidden="1"/>
    <cellStyle name="表示済みのハイパーリンク" xfId="3196" builtinId="9" hidden="1"/>
    <cellStyle name="表示済みのハイパーリンク" xfId="3198" builtinId="9" hidden="1"/>
    <cellStyle name="表示済みのハイパーリンク" xfId="3200" builtinId="9" hidden="1"/>
    <cellStyle name="表示済みのハイパーリンク" xfId="3202" builtinId="9" hidden="1"/>
    <cellStyle name="表示済みのハイパーリンク" xfId="3204" builtinId="9" hidden="1"/>
    <cellStyle name="表示済みのハイパーリンク" xfId="3206" builtinId="9" hidden="1"/>
    <cellStyle name="表示済みのハイパーリンク" xfId="3208" builtinId="9" hidden="1"/>
    <cellStyle name="表示済みのハイパーリンク" xfId="3210" builtinId="9" hidden="1"/>
    <cellStyle name="表示済みのハイパーリンク" xfId="3212" builtinId="9" hidden="1"/>
    <cellStyle name="表示済みのハイパーリンク" xfId="3214" builtinId="9" hidden="1"/>
    <cellStyle name="表示済みのハイパーリンク" xfId="3216" builtinId="9" hidden="1"/>
    <cellStyle name="表示済みのハイパーリンク" xfId="3218" builtinId="9" hidden="1"/>
    <cellStyle name="表示済みのハイパーリンク" xfId="3220" builtinId="9" hidden="1"/>
    <cellStyle name="表示済みのハイパーリンク" xfId="3222" builtinId="9" hidden="1"/>
    <cellStyle name="表示済みのハイパーリンク" xfId="3224" builtinId="9" hidden="1"/>
    <cellStyle name="表示済みのハイパーリンク" xfId="3226" builtinId="9" hidden="1"/>
    <cellStyle name="表示済みのハイパーリンク" xfId="3228" builtinId="9" hidden="1"/>
    <cellStyle name="表示済みのハイパーリンク" xfId="3230" builtinId="9" hidden="1"/>
    <cellStyle name="表示済みのハイパーリンク" xfId="3232" builtinId="9" hidden="1"/>
    <cellStyle name="表示済みのハイパーリンク" xfId="3234" builtinId="9" hidden="1"/>
    <cellStyle name="表示済みのハイパーリンク" xfId="3236" builtinId="9" hidden="1"/>
    <cellStyle name="表示済みのハイパーリンク" xfId="3238" builtinId="9" hidden="1"/>
    <cellStyle name="表示済みのハイパーリンク" xfId="3240" builtinId="9" hidden="1"/>
    <cellStyle name="表示済みのハイパーリンク" xfId="3242" builtinId="9" hidden="1"/>
    <cellStyle name="表示済みのハイパーリンク" xfId="3244" builtinId="9" hidden="1"/>
    <cellStyle name="表示済みのハイパーリンク" xfId="3246" builtinId="9" hidden="1"/>
    <cellStyle name="表示済みのハイパーリンク" xfId="3248" builtinId="9" hidden="1"/>
    <cellStyle name="表示済みのハイパーリンク" xfId="3250" builtinId="9" hidden="1"/>
    <cellStyle name="表示済みのハイパーリンク" xfId="3252" builtinId="9" hidden="1"/>
    <cellStyle name="表示済みのハイパーリンク" xfId="3254" builtinId="9" hidden="1"/>
    <cellStyle name="表示済みのハイパーリンク" xfId="3256" builtinId="9" hidden="1"/>
    <cellStyle name="表示済みのハイパーリンク" xfId="3258" builtinId="9" hidden="1"/>
    <cellStyle name="表示済みのハイパーリンク" xfId="3260" builtinId="9" hidden="1"/>
    <cellStyle name="表示済みのハイパーリンク" xfId="3262" builtinId="9" hidden="1"/>
    <cellStyle name="表示済みのハイパーリンク" xfId="3264" builtinId="9" hidden="1"/>
    <cellStyle name="表示済みのハイパーリンク" xfId="3266" builtinId="9" hidden="1"/>
    <cellStyle name="表示済みのハイパーリンク" xfId="3268" builtinId="9" hidden="1"/>
    <cellStyle name="表示済みのハイパーリンク" xfId="3270" builtinId="9" hidden="1"/>
    <cellStyle name="表示済みのハイパーリンク" xfId="3272" builtinId="9" hidden="1"/>
    <cellStyle name="表示済みのハイパーリンク" xfId="3274" builtinId="9" hidden="1"/>
    <cellStyle name="表示済みのハイパーリンク" xfId="3276" builtinId="9" hidden="1"/>
    <cellStyle name="表示済みのハイパーリンク" xfId="3278" builtinId="9" hidden="1"/>
    <cellStyle name="表示済みのハイパーリンク" xfId="3280" builtinId="9" hidden="1"/>
    <cellStyle name="表示済みのハイパーリンク" xfId="3282" builtinId="9" hidden="1"/>
    <cellStyle name="表示済みのハイパーリンク" xfId="3284" builtinId="9" hidden="1"/>
    <cellStyle name="表示済みのハイパーリンク" xfId="3286" builtinId="9" hidden="1"/>
    <cellStyle name="表示済みのハイパーリンク" xfId="3288" builtinId="9" hidden="1"/>
    <cellStyle name="表示済みのハイパーリンク" xfId="3290" builtinId="9" hidden="1"/>
    <cellStyle name="表示済みのハイパーリンク" xfId="3292" builtinId="9" hidden="1"/>
    <cellStyle name="表示済みのハイパーリンク" xfId="3294" builtinId="9" hidden="1"/>
    <cellStyle name="表示済みのハイパーリンク" xfId="3296" builtinId="9" hidden="1"/>
    <cellStyle name="表示済みのハイパーリンク" xfId="3298" builtinId="9" hidden="1"/>
    <cellStyle name="表示済みのハイパーリンク" xfId="3300" builtinId="9" hidden="1"/>
    <cellStyle name="表示済みのハイパーリンク" xfId="3302" builtinId="9" hidden="1"/>
    <cellStyle name="表示済みのハイパーリンク" xfId="3304" builtinId="9" hidden="1"/>
    <cellStyle name="表示済みのハイパーリンク" xfId="3306" builtinId="9" hidden="1"/>
    <cellStyle name="表示済みのハイパーリンク" xfId="3308" builtinId="9" hidden="1"/>
    <cellStyle name="表示済みのハイパーリンク" xfId="3310" builtinId="9" hidden="1"/>
    <cellStyle name="表示済みのハイパーリンク" xfId="3312" builtinId="9" hidden="1"/>
    <cellStyle name="表示済みのハイパーリンク" xfId="3314" builtinId="9" hidden="1"/>
    <cellStyle name="表示済みのハイパーリンク" xfId="3316" builtinId="9" hidden="1"/>
    <cellStyle name="表示済みのハイパーリンク" xfId="3318" builtinId="9" hidden="1"/>
    <cellStyle name="表示済みのハイパーリンク" xfId="3320" builtinId="9" hidden="1"/>
    <cellStyle name="表示済みのハイパーリンク" xfId="3322" builtinId="9" hidden="1"/>
    <cellStyle name="表示済みのハイパーリンク" xfId="3324" builtinId="9" hidden="1"/>
    <cellStyle name="表示済みのハイパーリンク" xfId="3326" builtinId="9" hidden="1"/>
    <cellStyle name="表示済みのハイパーリンク" xfId="3328" builtinId="9" hidden="1"/>
    <cellStyle name="表示済みのハイパーリンク" xfId="3330" builtinId="9" hidden="1"/>
    <cellStyle name="表示済みのハイパーリンク" xfId="3332" builtinId="9" hidden="1"/>
    <cellStyle name="表示済みのハイパーリンク" xfId="3334" builtinId="9" hidden="1"/>
    <cellStyle name="表示済みのハイパーリンク" xfId="3336" builtinId="9" hidden="1"/>
    <cellStyle name="表示済みのハイパーリンク" xfId="3338" builtinId="9" hidden="1"/>
    <cellStyle name="表示済みのハイパーリンク" xfId="3340" builtinId="9" hidden="1"/>
    <cellStyle name="表示済みのハイパーリンク" xfId="3342" builtinId="9" hidden="1"/>
    <cellStyle name="表示済みのハイパーリンク" xfId="3344" builtinId="9" hidden="1"/>
    <cellStyle name="表示済みのハイパーリンク" xfId="3346" builtinId="9" hidden="1"/>
    <cellStyle name="表示済みのハイパーリンク" xfId="3348" builtinId="9" hidden="1"/>
    <cellStyle name="表示済みのハイパーリンク" xfId="3350" builtinId="9" hidden="1"/>
    <cellStyle name="表示済みのハイパーリンク" xfId="3352" builtinId="9" hidden="1"/>
    <cellStyle name="表示済みのハイパーリンク" xfId="3354" builtinId="9" hidden="1"/>
    <cellStyle name="表示済みのハイパーリンク" xfId="3356" builtinId="9" hidden="1"/>
    <cellStyle name="表示済みのハイパーリンク" xfId="3358" builtinId="9" hidden="1"/>
    <cellStyle name="表示済みのハイパーリンク" xfId="3360" builtinId="9" hidden="1"/>
    <cellStyle name="表示済みのハイパーリンク" xfId="3362" builtinId="9" hidden="1"/>
    <cellStyle name="表示済みのハイパーリンク" xfId="3364" builtinId="9" hidden="1"/>
    <cellStyle name="表示済みのハイパーリンク" xfId="3366" builtinId="9" hidden="1"/>
    <cellStyle name="表示済みのハイパーリンク" xfId="3368" builtinId="9" hidden="1"/>
    <cellStyle name="表示済みのハイパーリンク" xfId="3370" builtinId="9" hidden="1"/>
    <cellStyle name="表示済みのハイパーリンク" xfId="3372" builtinId="9" hidden="1"/>
    <cellStyle name="表示済みのハイパーリンク" xfId="3374" builtinId="9" hidden="1"/>
    <cellStyle name="表示済みのハイパーリンク" xfId="3376" builtinId="9" hidden="1"/>
    <cellStyle name="表示済みのハイパーリンク" xfId="3378" builtinId="9" hidden="1"/>
    <cellStyle name="表示済みのハイパーリンク" xfId="3380" builtinId="9" hidden="1"/>
    <cellStyle name="表示済みのハイパーリンク" xfId="3382" builtinId="9" hidden="1"/>
    <cellStyle name="表示済みのハイパーリンク" xfId="3384" builtinId="9" hidden="1"/>
    <cellStyle name="表示済みのハイパーリンク" xfId="3386" builtinId="9" hidden="1"/>
    <cellStyle name="表示済みのハイパーリンク" xfId="3388" builtinId="9" hidden="1"/>
    <cellStyle name="表示済みのハイパーリンク" xfId="3390" builtinId="9" hidden="1"/>
    <cellStyle name="表示済みのハイパーリンク" xfId="3392" builtinId="9" hidden="1"/>
    <cellStyle name="表示済みのハイパーリンク" xfId="3394" builtinId="9" hidden="1"/>
    <cellStyle name="表示済みのハイパーリンク" xfId="3396" builtinId="9" hidden="1"/>
    <cellStyle name="表示済みのハイパーリンク" xfId="3398" builtinId="9" hidden="1"/>
    <cellStyle name="表示済みのハイパーリンク" xfId="3400" builtinId="9" hidden="1"/>
    <cellStyle name="表示済みのハイパーリンク" xfId="3402" builtinId="9" hidden="1"/>
    <cellStyle name="表示済みのハイパーリンク" xfId="3404" builtinId="9" hidden="1"/>
    <cellStyle name="表示済みのハイパーリンク" xfId="3406" builtinId="9" hidden="1"/>
    <cellStyle name="表示済みのハイパーリンク" xfId="3408" builtinId="9" hidden="1"/>
    <cellStyle name="表示済みのハイパーリンク" xfId="3410" builtinId="9" hidden="1"/>
    <cellStyle name="表示済みのハイパーリンク" xfId="3412" builtinId="9" hidden="1"/>
    <cellStyle name="表示済みのハイパーリンク" xfId="3414" builtinId="9" hidden="1"/>
    <cellStyle name="表示済みのハイパーリンク" xfId="3416" builtinId="9" hidden="1"/>
    <cellStyle name="表示済みのハイパーリンク" xfId="3418" builtinId="9" hidden="1"/>
    <cellStyle name="表示済みのハイパーリンク" xfId="3420" builtinId="9" hidden="1"/>
    <cellStyle name="表示済みのハイパーリンク" xfId="3422" builtinId="9" hidden="1"/>
    <cellStyle name="表示済みのハイパーリンク" xfId="3424" builtinId="9" hidden="1"/>
    <cellStyle name="表示済みのハイパーリンク" xfId="3426" builtinId="9" hidden="1"/>
    <cellStyle name="表示済みのハイパーリンク" xfId="3428" builtinId="9" hidden="1"/>
    <cellStyle name="表示済みのハイパーリンク" xfId="3430" builtinId="9" hidden="1"/>
    <cellStyle name="表示済みのハイパーリンク" xfId="3432" builtinId="9" hidden="1"/>
    <cellStyle name="表示済みのハイパーリンク" xfId="3434" builtinId="9" hidden="1"/>
    <cellStyle name="表示済みのハイパーリンク" xfId="3436" builtinId="9" hidden="1"/>
    <cellStyle name="表示済みのハイパーリンク" xfId="3438" builtinId="9" hidden="1"/>
    <cellStyle name="表示済みのハイパーリンク" xfId="3440" builtinId="9" hidden="1"/>
    <cellStyle name="表示済みのハイパーリンク" xfId="3442" builtinId="9" hidden="1"/>
    <cellStyle name="表示済みのハイパーリンク" xfId="3444" builtinId="9" hidden="1"/>
    <cellStyle name="表示済みのハイパーリンク" xfId="3446" builtinId="9" hidden="1"/>
    <cellStyle name="表示済みのハイパーリンク" xfId="3448" builtinId="9" hidden="1"/>
    <cellStyle name="表示済みのハイパーリンク" xfId="3450" builtinId="9" hidden="1"/>
    <cellStyle name="表示済みのハイパーリンク" xfId="3452" builtinId="9" hidden="1"/>
    <cellStyle name="表示済みのハイパーリンク" xfId="3454" builtinId="9" hidden="1"/>
    <cellStyle name="表示済みのハイパーリンク" xfId="3456" builtinId="9" hidden="1"/>
    <cellStyle name="表示済みのハイパーリンク" xfId="3458" builtinId="9" hidden="1"/>
    <cellStyle name="表示済みのハイパーリンク" xfId="3460" builtinId="9" hidden="1"/>
    <cellStyle name="表示済みのハイパーリンク" xfId="3462" builtinId="9" hidden="1"/>
    <cellStyle name="表示済みのハイパーリンク" xfId="3464" builtinId="9" hidden="1"/>
    <cellStyle name="表示済みのハイパーリンク" xfId="3466" builtinId="9" hidden="1"/>
    <cellStyle name="表示済みのハイパーリンク" xfId="3468" builtinId="9" hidden="1"/>
    <cellStyle name="表示済みのハイパーリンク" xfId="3470" builtinId="9" hidden="1"/>
    <cellStyle name="表示済みのハイパーリンク" xfId="3472" builtinId="9" hidden="1"/>
    <cellStyle name="表示済みのハイパーリンク" xfId="3474" builtinId="9" hidden="1"/>
    <cellStyle name="表示済みのハイパーリンク" xfId="3476" builtinId="9" hidden="1"/>
    <cellStyle name="表示済みのハイパーリンク" xfId="3478" builtinId="9" hidden="1"/>
    <cellStyle name="表示済みのハイパーリンク" xfId="3480" builtinId="9" hidden="1"/>
    <cellStyle name="表示済みのハイパーリンク" xfId="3482" builtinId="9" hidden="1"/>
    <cellStyle name="表示済みのハイパーリンク" xfId="3484" builtinId="9" hidden="1"/>
    <cellStyle name="表示済みのハイパーリンク" xfId="3486" builtinId="9" hidden="1"/>
    <cellStyle name="表示済みのハイパーリンク" xfId="3488" builtinId="9" hidden="1"/>
    <cellStyle name="表示済みのハイパーリンク" xfId="3490" builtinId="9" hidden="1"/>
    <cellStyle name="表示済みのハイパーリンク" xfId="3492" builtinId="9" hidden="1"/>
    <cellStyle name="表示済みのハイパーリンク" xfId="3494" builtinId="9" hidden="1"/>
    <cellStyle name="表示済みのハイパーリンク" xfId="3496" builtinId="9" hidden="1"/>
    <cellStyle name="表示済みのハイパーリンク" xfId="3498" builtinId="9" hidden="1"/>
    <cellStyle name="表示済みのハイパーリンク" xfId="3500" builtinId="9" hidden="1"/>
    <cellStyle name="表示済みのハイパーリンク" xfId="3502" builtinId="9" hidden="1"/>
    <cellStyle name="表示済みのハイパーリンク" xfId="3504" builtinId="9" hidden="1"/>
    <cellStyle name="表示済みのハイパーリンク" xfId="3506" builtinId="9" hidden="1"/>
    <cellStyle name="表示済みのハイパーリンク" xfId="3508" builtinId="9" hidden="1"/>
    <cellStyle name="表示済みのハイパーリンク" xfId="3510" builtinId="9" hidden="1"/>
    <cellStyle name="表示済みのハイパーリンク" xfId="3512" builtinId="9" hidden="1"/>
    <cellStyle name="表示済みのハイパーリンク" xfId="3514" builtinId="9" hidden="1"/>
    <cellStyle name="表示済みのハイパーリンク" xfId="3516" builtinId="9" hidden="1"/>
    <cellStyle name="表示済みのハイパーリンク" xfId="3518" builtinId="9" hidden="1"/>
    <cellStyle name="表示済みのハイパーリンク" xfId="3520" builtinId="9" hidden="1"/>
    <cellStyle name="表示済みのハイパーリンク" xfId="3522" builtinId="9" hidden="1"/>
    <cellStyle name="表示済みのハイパーリンク" xfId="3524" builtinId="9" hidden="1"/>
    <cellStyle name="表示済みのハイパーリンク" xfId="3526" builtinId="9" hidden="1"/>
    <cellStyle name="表示済みのハイパーリンク" xfId="3528" builtinId="9" hidden="1"/>
    <cellStyle name="表示済みのハイパーリンク" xfId="3530" builtinId="9" hidden="1"/>
    <cellStyle name="表示済みのハイパーリンク" xfId="3532" builtinId="9" hidden="1"/>
    <cellStyle name="表示済みのハイパーリンク" xfId="3534" builtinId="9" hidden="1"/>
    <cellStyle name="表示済みのハイパーリンク" xfId="3536" builtinId="9" hidden="1"/>
    <cellStyle name="表示済みのハイパーリンク" xfId="3538" builtinId="9" hidden="1"/>
    <cellStyle name="表示済みのハイパーリンク" xfId="3540" builtinId="9" hidden="1"/>
    <cellStyle name="表示済みのハイパーリンク" xfId="3542" builtinId="9" hidden="1"/>
    <cellStyle name="表示済みのハイパーリンク" xfId="3544" builtinId="9" hidden="1"/>
    <cellStyle name="表示済みのハイパーリンク" xfId="3546" builtinId="9" hidden="1"/>
    <cellStyle name="表示済みのハイパーリンク" xfId="3548" builtinId="9" hidden="1"/>
    <cellStyle name="表示済みのハイパーリンク" xfId="3550" builtinId="9" hidden="1"/>
    <cellStyle name="表示済みのハイパーリンク" xfId="3552" builtinId="9" hidden="1"/>
    <cellStyle name="表示済みのハイパーリンク" xfId="3554" builtinId="9" hidden="1"/>
    <cellStyle name="表示済みのハイパーリンク" xfId="3556" builtinId="9" hidden="1"/>
    <cellStyle name="表示済みのハイパーリンク" xfId="3558" builtinId="9" hidden="1"/>
    <cellStyle name="表示済みのハイパーリンク" xfId="3560" builtinId="9" hidden="1"/>
    <cellStyle name="表示済みのハイパーリンク" xfId="3562" builtinId="9" hidden="1"/>
    <cellStyle name="表示済みのハイパーリンク" xfId="3564" builtinId="9" hidden="1"/>
    <cellStyle name="表示済みのハイパーリンク" xfId="3566" builtinId="9" hidden="1"/>
    <cellStyle name="表示済みのハイパーリンク" xfId="3568" builtinId="9" hidden="1"/>
    <cellStyle name="表示済みのハイパーリンク" xfId="3570" builtinId="9" hidden="1"/>
    <cellStyle name="表示済みのハイパーリンク" xfId="3572" builtinId="9" hidden="1"/>
    <cellStyle name="表示済みのハイパーリンク" xfId="3574" builtinId="9" hidden="1"/>
    <cellStyle name="表示済みのハイパーリンク" xfId="3576" builtinId="9" hidden="1"/>
    <cellStyle name="表示済みのハイパーリンク" xfId="3578" builtinId="9" hidden="1"/>
    <cellStyle name="表示済みのハイパーリンク" xfId="3580" builtinId="9" hidden="1"/>
    <cellStyle name="表示済みのハイパーリンク" xfId="3582" builtinId="9" hidden="1"/>
    <cellStyle name="表示済みのハイパーリンク" xfId="3584" builtinId="9" hidden="1"/>
    <cellStyle name="表示済みのハイパーリンク" xfId="3586" builtinId="9" hidden="1"/>
    <cellStyle name="表示済みのハイパーリンク" xfId="3588" builtinId="9" hidden="1"/>
    <cellStyle name="表示済みのハイパーリンク" xfId="3590" builtinId="9" hidden="1"/>
    <cellStyle name="表示済みのハイパーリンク" xfId="3592" builtinId="9" hidden="1"/>
    <cellStyle name="表示済みのハイパーリンク" xfId="3594" builtinId="9" hidden="1"/>
    <cellStyle name="表示済みのハイパーリンク" xfId="3596" builtinId="9" hidden="1"/>
    <cellStyle name="表示済みのハイパーリンク" xfId="3598" builtinId="9" hidden="1"/>
    <cellStyle name="表示済みのハイパーリンク" xfId="3600" builtinId="9" hidden="1"/>
    <cellStyle name="表示済みのハイパーリンク" xfId="3602" builtinId="9" hidden="1"/>
    <cellStyle name="表示済みのハイパーリンク" xfId="3604" builtinId="9" hidden="1"/>
    <cellStyle name="表示済みのハイパーリンク" xfId="3606" builtinId="9" hidden="1"/>
    <cellStyle name="表示済みのハイパーリンク" xfId="3608" builtinId="9" hidden="1"/>
    <cellStyle name="表示済みのハイパーリンク" xfId="3610" builtinId="9" hidden="1"/>
    <cellStyle name="表示済みのハイパーリンク" xfId="3612" builtinId="9" hidden="1"/>
    <cellStyle name="表示済みのハイパーリンク" xfId="3614" builtinId="9" hidden="1"/>
    <cellStyle name="表示済みのハイパーリンク" xfId="3616" builtinId="9" hidden="1"/>
    <cellStyle name="表示済みのハイパーリンク" xfId="3618" builtinId="9" hidden="1"/>
    <cellStyle name="表示済みのハイパーリンク" xfId="3620" builtinId="9" hidden="1"/>
    <cellStyle name="表示済みのハイパーリンク" xfId="3622" builtinId="9" hidden="1"/>
    <cellStyle name="表示済みのハイパーリンク" xfId="3624" builtinId="9" hidden="1"/>
    <cellStyle name="表示済みのハイパーリンク" xfId="3626" builtinId="9" hidden="1"/>
    <cellStyle name="表示済みのハイパーリンク" xfId="3628" builtinId="9" hidden="1"/>
    <cellStyle name="表示済みのハイパーリンク" xfId="3630" builtinId="9" hidden="1"/>
    <cellStyle name="表示済みのハイパーリンク" xfId="3632" builtinId="9" hidden="1"/>
    <cellStyle name="表示済みのハイパーリンク" xfId="3634" builtinId="9" hidden="1"/>
    <cellStyle name="表示済みのハイパーリンク" xfId="3636" builtinId="9" hidden="1"/>
    <cellStyle name="表示済みのハイパーリンク" xfId="3638" builtinId="9" hidden="1"/>
    <cellStyle name="表示済みのハイパーリンク" xfId="3640" builtinId="9" hidden="1"/>
    <cellStyle name="表示済みのハイパーリンク" xfId="3642" builtinId="9" hidden="1"/>
    <cellStyle name="表示済みのハイパーリンク" xfId="3644" builtinId="9" hidden="1"/>
    <cellStyle name="表示済みのハイパーリンク" xfId="3646" builtinId="9" hidden="1"/>
    <cellStyle name="表示済みのハイパーリンク" xfId="3648" builtinId="9" hidden="1"/>
    <cellStyle name="表示済みのハイパーリンク" xfId="3650" builtinId="9" hidden="1"/>
    <cellStyle name="表示済みのハイパーリンク" xfId="3652" builtinId="9" hidden="1"/>
    <cellStyle name="表示済みのハイパーリンク" xfId="3654" builtinId="9" hidden="1"/>
    <cellStyle name="表示済みのハイパーリンク" xfId="3656" builtinId="9" hidden="1"/>
    <cellStyle name="表示済みのハイパーリンク" xfId="3658" builtinId="9" hidden="1"/>
    <cellStyle name="表示済みのハイパーリンク" xfId="3660" builtinId="9" hidden="1"/>
    <cellStyle name="表示済みのハイパーリンク" xfId="3662" builtinId="9" hidden="1"/>
    <cellStyle name="表示済みのハイパーリンク" xfId="3664" builtinId="9" hidden="1"/>
    <cellStyle name="表示済みのハイパーリンク" xfId="3666" builtinId="9" hidden="1"/>
    <cellStyle name="表示済みのハイパーリンク" xfId="3668" builtinId="9" hidden="1"/>
    <cellStyle name="表示済みのハイパーリンク" xfId="3670" builtinId="9" hidden="1"/>
    <cellStyle name="表示済みのハイパーリンク" xfId="3672" builtinId="9" hidden="1"/>
    <cellStyle name="表示済みのハイパーリンク" xfId="3674" builtinId="9" hidden="1"/>
    <cellStyle name="表示済みのハイパーリンク" xfId="3676" builtinId="9" hidden="1"/>
    <cellStyle name="表示済みのハイパーリンク" xfId="3678" builtinId="9" hidden="1"/>
    <cellStyle name="表示済みのハイパーリンク" xfId="3680" builtinId="9" hidden="1"/>
    <cellStyle name="表示済みのハイパーリンク" xfId="3682" builtinId="9" hidden="1"/>
    <cellStyle name="表示済みのハイパーリンク" xfId="3684" builtinId="9" hidden="1"/>
    <cellStyle name="表示済みのハイパーリンク" xfId="3686" builtinId="9" hidden="1"/>
    <cellStyle name="表示済みのハイパーリンク" xfId="3688" builtinId="9" hidden="1"/>
    <cellStyle name="表示済みのハイパーリンク" xfId="3690" builtinId="9" hidden="1"/>
    <cellStyle name="表示済みのハイパーリンク" xfId="3692" builtinId="9" hidden="1"/>
    <cellStyle name="表示済みのハイパーリンク" xfId="3694" builtinId="9" hidden="1"/>
    <cellStyle name="表示済みのハイパーリンク" xfId="3696" builtinId="9" hidden="1"/>
    <cellStyle name="表示済みのハイパーリンク" xfId="3698" builtinId="9" hidden="1"/>
    <cellStyle name="表示済みのハイパーリンク" xfId="3700" builtinId="9" hidden="1"/>
    <cellStyle name="表示済みのハイパーリンク" xfId="3702" builtinId="9" hidden="1"/>
    <cellStyle name="表示済みのハイパーリンク" xfId="3704" builtinId="9" hidden="1"/>
    <cellStyle name="表示済みのハイパーリンク" xfId="3706" builtinId="9" hidden="1"/>
    <cellStyle name="表示済みのハイパーリンク" xfId="3708" builtinId="9" hidden="1"/>
    <cellStyle name="表示済みのハイパーリンク" xfId="3710" builtinId="9" hidden="1"/>
    <cellStyle name="表示済みのハイパーリンク" xfId="3712" builtinId="9" hidden="1"/>
    <cellStyle name="表示済みのハイパーリンク" xfId="3714" builtinId="9" hidden="1"/>
    <cellStyle name="表示済みのハイパーリンク" xfId="3716" builtinId="9" hidden="1"/>
    <cellStyle name="表示済みのハイパーリンク" xfId="3718" builtinId="9" hidden="1"/>
    <cellStyle name="表示済みのハイパーリンク" xfId="3720" builtinId="9" hidden="1"/>
    <cellStyle name="表示済みのハイパーリンク" xfId="3722" builtinId="9" hidden="1"/>
    <cellStyle name="表示済みのハイパーリンク" xfId="3724" builtinId="9" hidden="1"/>
    <cellStyle name="表示済みのハイパーリンク" xfId="3726" builtinId="9" hidden="1"/>
    <cellStyle name="表示済みのハイパーリンク" xfId="3728" builtinId="9" hidden="1"/>
    <cellStyle name="表示済みのハイパーリンク" xfId="3730" builtinId="9" hidden="1"/>
    <cellStyle name="表示済みのハイパーリンク" xfId="3732" builtinId="9" hidden="1"/>
    <cellStyle name="表示済みのハイパーリンク" xfId="3734" builtinId="9" hidden="1"/>
    <cellStyle name="表示済みのハイパーリンク" xfId="3736" builtinId="9" hidden="1"/>
    <cellStyle name="表示済みのハイパーリンク" xfId="3738" builtinId="9" hidden="1"/>
    <cellStyle name="表示済みのハイパーリンク" xfId="3740" builtinId="9" hidden="1"/>
    <cellStyle name="表示済みのハイパーリンク" xfId="3742" builtinId="9" hidden="1"/>
    <cellStyle name="表示済みのハイパーリンク" xfId="3744" builtinId="9" hidden="1"/>
    <cellStyle name="表示済みのハイパーリンク" xfId="3746" builtinId="9" hidden="1"/>
    <cellStyle name="表示済みのハイパーリンク" xfId="3748" builtinId="9" hidden="1"/>
    <cellStyle name="表示済みのハイパーリンク" xfId="3750" builtinId="9" hidden="1"/>
    <cellStyle name="表示済みのハイパーリンク" xfId="3752" builtinId="9" hidden="1"/>
    <cellStyle name="表示済みのハイパーリンク" xfId="3754" builtinId="9" hidden="1"/>
    <cellStyle name="表示済みのハイパーリンク" xfId="3756" builtinId="9" hidden="1"/>
    <cellStyle name="表示済みのハイパーリンク" xfId="3758" builtinId="9" hidden="1"/>
    <cellStyle name="表示済みのハイパーリンク" xfId="3760" builtinId="9" hidden="1"/>
    <cellStyle name="表示済みのハイパーリンク" xfId="3762" builtinId="9" hidden="1"/>
    <cellStyle name="表示済みのハイパーリンク" xfId="3764" builtinId="9" hidden="1"/>
    <cellStyle name="表示済みのハイパーリンク" xfId="3766" builtinId="9" hidden="1"/>
    <cellStyle name="表示済みのハイパーリンク" xfId="3768" builtinId="9" hidden="1"/>
    <cellStyle name="表示済みのハイパーリンク" xfId="3770" builtinId="9" hidden="1"/>
    <cellStyle name="表示済みのハイパーリンク" xfId="3772" builtinId="9" hidden="1"/>
    <cellStyle name="表示済みのハイパーリンク" xfId="3774" builtinId="9" hidden="1"/>
    <cellStyle name="表示済みのハイパーリンク" xfId="3776" builtinId="9" hidden="1"/>
    <cellStyle name="表示済みのハイパーリンク" xfId="3778" builtinId="9" hidden="1"/>
    <cellStyle name="表示済みのハイパーリンク" xfId="3780" builtinId="9" hidden="1"/>
    <cellStyle name="表示済みのハイパーリンク" xfId="3782" builtinId="9" hidden="1"/>
    <cellStyle name="表示済みのハイパーリンク" xfId="3784" builtinId="9" hidden="1"/>
    <cellStyle name="表示済みのハイパーリンク" xfId="3786" builtinId="9" hidden="1"/>
    <cellStyle name="表示済みのハイパーリンク" xfId="3788" builtinId="9" hidden="1"/>
    <cellStyle name="表示済みのハイパーリンク" xfId="3790" builtinId="9" hidden="1"/>
    <cellStyle name="表示済みのハイパーリンク" xfId="3792" builtinId="9" hidden="1"/>
    <cellStyle name="表示済みのハイパーリンク" xfId="3794" builtinId="9" hidden="1"/>
    <cellStyle name="表示済みのハイパーリンク" xfId="3796" builtinId="9" hidden="1"/>
    <cellStyle name="表示済みのハイパーリンク" xfId="3798" builtinId="9" hidden="1"/>
    <cellStyle name="表示済みのハイパーリンク" xfId="3800" builtinId="9" hidden="1"/>
    <cellStyle name="表示済みのハイパーリンク" xfId="3802" builtinId="9" hidden="1"/>
    <cellStyle name="表示済みのハイパーリンク" xfId="3804" builtinId="9" hidden="1"/>
    <cellStyle name="表示済みのハイパーリンク" xfId="3806" builtinId="9" hidden="1"/>
    <cellStyle name="表示済みのハイパーリンク" xfId="3808" builtinId="9" hidden="1"/>
    <cellStyle name="表示済みのハイパーリンク" xfId="3810" builtinId="9" hidden="1"/>
    <cellStyle name="表示済みのハイパーリンク" xfId="3812" builtinId="9" hidden="1"/>
    <cellStyle name="表示済みのハイパーリンク" xfId="3814" builtinId="9" hidden="1"/>
    <cellStyle name="表示済みのハイパーリンク" xfId="3816" builtinId="9" hidden="1"/>
    <cellStyle name="表示済みのハイパーリンク" xfId="3818" builtinId="9" hidden="1"/>
    <cellStyle name="表示済みのハイパーリンク" xfId="3820" builtinId="9" hidden="1"/>
    <cellStyle name="表示済みのハイパーリンク" xfId="3822" builtinId="9" hidden="1"/>
    <cellStyle name="表示済みのハイパーリンク" xfId="3824" builtinId="9" hidden="1"/>
    <cellStyle name="表示済みのハイパーリンク" xfId="3826" builtinId="9" hidden="1"/>
    <cellStyle name="表示済みのハイパーリンク" xfId="3828" builtinId="9" hidden="1"/>
    <cellStyle name="表示済みのハイパーリンク" xfId="3830" builtinId="9" hidden="1"/>
    <cellStyle name="表示済みのハイパーリンク" xfId="3832" builtinId="9" hidden="1"/>
    <cellStyle name="表示済みのハイパーリンク" xfId="3834" builtinId="9" hidden="1"/>
    <cellStyle name="表示済みのハイパーリンク" xfId="3836" builtinId="9" hidden="1"/>
    <cellStyle name="表示済みのハイパーリンク" xfId="3838" builtinId="9" hidden="1"/>
    <cellStyle name="表示済みのハイパーリンク" xfId="3840" builtinId="9" hidden="1"/>
    <cellStyle name="表示済みのハイパーリンク" xfId="3842" builtinId="9" hidden="1"/>
    <cellStyle name="表示済みのハイパーリンク" xfId="3844" builtinId="9" hidden="1"/>
    <cellStyle name="表示済みのハイパーリンク" xfId="3846" builtinId="9" hidden="1"/>
    <cellStyle name="表示済みのハイパーリンク" xfId="3848" builtinId="9" hidden="1"/>
    <cellStyle name="表示済みのハイパーリンク" xfId="3850" builtinId="9" hidden="1"/>
    <cellStyle name="表示済みのハイパーリンク" xfId="3852" builtinId="9" hidden="1"/>
    <cellStyle name="表示済みのハイパーリンク" xfId="3854" builtinId="9" hidden="1"/>
    <cellStyle name="表示済みのハイパーリンク" xfId="3856" builtinId="9" hidden="1"/>
    <cellStyle name="表示済みのハイパーリンク" xfId="3858" builtinId="9" hidden="1"/>
    <cellStyle name="表示済みのハイパーリンク" xfId="3860" builtinId="9" hidden="1"/>
    <cellStyle name="表示済みのハイパーリンク" xfId="3862" builtinId="9" hidden="1"/>
    <cellStyle name="表示済みのハイパーリンク" xfId="3864" builtinId="9" hidden="1"/>
    <cellStyle name="表示済みのハイパーリンク" xfId="3866" builtinId="9" hidden="1"/>
    <cellStyle name="表示済みのハイパーリンク" xfId="3868" builtinId="9" hidden="1"/>
    <cellStyle name="表示済みのハイパーリンク" xfId="3870" builtinId="9" hidden="1"/>
    <cellStyle name="表示済みのハイパーリンク" xfId="3872" builtinId="9" hidden="1"/>
    <cellStyle name="表示済みのハイパーリンク" xfId="3874" builtinId="9" hidden="1"/>
    <cellStyle name="表示済みのハイパーリンク" xfId="3876" builtinId="9" hidden="1"/>
    <cellStyle name="表示済みのハイパーリンク" xfId="3878" builtinId="9" hidden="1"/>
    <cellStyle name="表示済みのハイパーリンク" xfId="3880" builtinId="9" hidden="1"/>
    <cellStyle name="表示済みのハイパーリンク" xfId="3882" builtinId="9" hidden="1"/>
    <cellStyle name="表示済みのハイパーリンク" xfId="3884" builtinId="9" hidden="1"/>
    <cellStyle name="表示済みのハイパーリンク" xfId="3886" builtinId="9" hidden="1"/>
    <cellStyle name="表示済みのハイパーリンク" xfId="3888" builtinId="9" hidden="1"/>
    <cellStyle name="表示済みのハイパーリンク" xfId="3890" builtinId="9" hidden="1"/>
    <cellStyle name="表示済みのハイパーリンク" xfId="3892" builtinId="9" hidden="1"/>
    <cellStyle name="表示済みのハイパーリンク" xfId="3894" builtinId="9" hidden="1"/>
    <cellStyle name="表示済みのハイパーリンク" xfId="3896" builtinId="9" hidden="1"/>
    <cellStyle name="表示済みのハイパーリンク" xfId="3898" builtinId="9" hidden="1"/>
    <cellStyle name="表示済みのハイパーリンク" xfId="3900" builtinId="9" hidden="1"/>
    <cellStyle name="表示済みのハイパーリンク" xfId="3902" builtinId="9" hidden="1"/>
    <cellStyle name="表示済みのハイパーリンク" xfId="3904" builtinId="9" hidden="1"/>
    <cellStyle name="表示済みのハイパーリンク" xfId="3906" builtinId="9" hidden="1"/>
    <cellStyle name="表示済みのハイパーリンク" xfId="3908" builtinId="9" hidden="1"/>
    <cellStyle name="表示済みのハイパーリンク" xfId="3910" builtinId="9" hidden="1"/>
    <cellStyle name="表示済みのハイパーリンク" xfId="3912" builtinId="9" hidden="1"/>
    <cellStyle name="表示済みのハイパーリンク" xfId="3914" builtinId="9" hidden="1"/>
    <cellStyle name="表示済みのハイパーリンク" xfId="3916" builtinId="9" hidden="1"/>
    <cellStyle name="表示済みのハイパーリンク" xfId="3918" builtinId="9" hidden="1"/>
    <cellStyle name="表示済みのハイパーリンク" xfId="3920" builtinId="9" hidden="1"/>
    <cellStyle name="表示済みのハイパーリンク" xfId="3922" builtinId="9" hidden="1"/>
    <cellStyle name="表示済みのハイパーリンク" xfId="3924" builtinId="9" hidden="1"/>
    <cellStyle name="表示済みのハイパーリンク" xfId="3926" builtinId="9" hidden="1"/>
    <cellStyle name="表示済みのハイパーリンク" xfId="3928" builtinId="9" hidden="1"/>
    <cellStyle name="表示済みのハイパーリンク" xfId="3930" builtinId="9" hidden="1"/>
    <cellStyle name="表示済みのハイパーリンク" xfId="3932" builtinId="9" hidden="1"/>
    <cellStyle name="表示済みのハイパーリンク" xfId="3934" builtinId="9" hidden="1"/>
    <cellStyle name="表示済みのハイパーリンク" xfId="3936" builtinId="9" hidden="1"/>
    <cellStyle name="表示済みのハイパーリンク" xfId="3938" builtinId="9" hidden="1"/>
    <cellStyle name="表示済みのハイパーリンク" xfId="3940" builtinId="9" hidden="1"/>
    <cellStyle name="表示済みのハイパーリンク" xfId="3942" builtinId="9" hidden="1"/>
    <cellStyle name="表示済みのハイパーリンク" xfId="3944" builtinId="9" hidden="1"/>
    <cellStyle name="表示済みのハイパーリンク" xfId="3946" builtinId="9" hidden="1"/>
    <cellStyle name="表示済みのハイパーリンク" xfId="3948" builtinId="9" hidden="1"/>
    <cellStyle name="表示済みのハイパーリンク" xfId="3950" builtinId="9" hidden="1"/>
    <cellStyle name="表示済みのハイパーリンク" xfId="3952" builtinId="9" hidden="1"/>
    <cellStyle name="表示済みのハイパーリンク" xfId="3954" builtinId="9" hidden="1"/>
    <cellStyle name="表示済みのハイパーリンク" xfId="3956" builtinId="9" hidden="1"/>
    <cellStyle name="表示済みのハイパーリンク" xfId="3958" builtinId="9" hidden="1"/>
    <cellStyle name="表示済みのハイパーリンク" xfId="3960" builtinId="9" hidden="1"/>
    <cellStyle name="表示済みのハイパーリンク" xfId="3962" builtinId="9" hidden="1"/>
    <cellStyle name="表示済みのハイパーリンク" xfId="3964" builtinId="9" hidden="1"/>
    <cellStyle name="表示済みのハイパーリンク" xfId="3966" builtinId="9" hidden="1"/>
    <cellStyle name="表示済みのハイパーリンク" xfId="3968" builtinId="9" hidden="1"/>
    <cellStyle name="表示済みのハイパーリンク" xfId="3970" builtinId="9" hidden="1"/>
    <cellStyle name="表示済みのハイパーリンク" xfId="3972" builtinId="9" hidden="1"/>
    <cellStyle name="表示済みのハイパーリンク" xfId="3974" builtinId="9" hidden="1"/>
    <cellStyle name="表示済みのハイパーリンク" xfId="3976" builtinId="9" hidden="1"/>
    <cellStyle name="表示済みのハイパーリンク" xfId="3978" builtinId="9" hidden="1"/>
    <cellStyle name="表示済みのハイパーリンク" xfId="3980" builtinId="9" hidden="1"/>
    <cellStyle name="表示済みのハイパーリンク" xfId="3982" builtinId="9" hidden="1"/>
    <cellStyle name="表示済みのハイパーリンク" xfId="3984" builtinId="9" hidden="1"/>
    <cellStyle name="表示済みのハイパーリンク" xfId="3986" builtinId="9" hidden="1"/>
    <cellStyle name="表示済みのハイパーリンク" xfId="3988" builtinId="9" hidden="1"/>
    <cellStyle name="表示済みのハイパーリンク" xfId="3990" builtinId="9" hidden="1"/>
    <cellStyle name="表示済みのハイパーリンク" xfId="3992" builtinId="9" hidden="1"/>
    <cellStyle name="表示済みのハイパーリンク" xfId="3994" builtinId="9" hidden="1"/>
    <cellStyle name="表示済みのハイパーリンク" xfId="3996" builtinId="9" hidden="1"/>
    <cellStyle name="表示済みのハイパーリンク" xfId="3998" builtinId="9" hidden="1"/>
    <cellStyle name="表示済みのハイパーリンク" xfId="4000" builtinId="9" hidden="1"/>
    <cellStyle name="表示済みのハイパーリンク" xfId="4002" builtinId="9" hidden="1"/>
    <cellStyle name="表示済みのハイパーリンク" xfId="4004" builtinId="9" hidden="1"/>
    <cellStyle name="表示済みのハイパーリンク" xfId="4006" builtinId="9" hidden="1"/>
    <cellStyle name="表示済みのハイパーリンク" xfId="4008" builtinId="9" hidden="1"/>
    <cellStyle name="表示済みのハイパーリンク" xfId="4010" builtinId="9" hidden="1"/>
    <cellStyle name="表示済みのハイパーリンク" xfId="4012" builtinId="9" hidden="1"/>
    <cellStyle name="表示済みのハイパーリンク" xfId="4014" builtinId="9" hidden="1"/>
    <cellStyle name="表示済みのハイパーリンク" xfId="4016" builtinId="9" hidden="1"/>
    <cellStyle name="表示済みのハイパーリンク" xfId="4018" builtinId="9" hidden="1"/>
    <cellStyle name="表示済みのハイパーリンク" xfId="4020" builtinId="9" hidden="1"/>
    <cellStyle name="表示済みのハイパーリンク" xfId="4022" builtinId="9" hidden="1"/>
    <cellStyle name="表示済みのハイパーリンク" xfId="4024" builtinId="9" hidden="1"/>
    <cellStyle name="表示済みのハイパーリンク" xfId="4026" builtinId="9" hidden="1"/>
    <cellStyle name="表示済みのハイパーリンク" xfId="4028" builtinId="9" hidden="1"/>
    <cellStyle name="表示済みのハイパーリンク" xfId="4030" builtinId="9" hidden="1"/>
    <cellStyle name="表示済みのハイパーリンク" xfId="4032" builtinId="9" hidden="1"/>
    <cellStyle name="表示済みのハイパーリンク" xfId="4034" builtinId="9" hidden="1"/>
    <cellStyle name="表示済みのハイパーリンク" xfId="4036" builtinId="9" hidden="1"/>
    <cellStyle name="表示済みのハイパーリンク" xfId="4038" builtinId="9" hidden="1"/>
    <cellStyle name="表示済みのハイパーリンク" xfId="4040" builtinId="9" hidden="1"/>
    <cellStyle name="表示済みのハイパーリンク" xfId="4042" builtinId="9" hidden="1"/>
    <cellStyle name="表示済みのハイパーリンク" xfId="4044" builtinId="9" hidden="1"/>
    <cellStyle name="表示済みのハイパーリンク" xfId="4046" builtinId="9" hidden="1"/>
    <cellStyle name="表示済みのハイパーリンク" xfId="4048" builtinId="9" hidden="1"/>
    <cellStyle name="表示済みのハイパーリンク" xfId="4050" builtinId="9" hidden="1"/>
    <cellStyle name="表示済みのハイパーリンク" xfId="4052" builtinId="9" hidden="1"/>
    <cellStyle name="表示済みのハイパーリンク" xfId="4054" builtinId="9" hidden="1"/>
    <cellStyle name="表示済みのハイパーリンク" xfId="4056" builtinId="9" hidden="1"/>
    <cellStyle name="表示済みのハイパーリンク" xfId="4058" builtinId="9" hidden="1"/>
    <cellStyle name="表示済みのハイパーリンク" xfId="4060" builtinId="9" hidden="1"/>
    <cellStyle name="表示済みのハイパーリンク" xfId="4062" builtinId="9" hidden="1"/>
    <cellStyle name="表示済みのハイパーリンク" xfId="4064" builtinId="9" hidden="1"/>
    <cellStyle name="表示済みのハイパーリンク" xfId="4066" builtinId="9" hidden="1"/>
    <cellStyle name="表示済みのハイパーリンク" xfId="4068" builtinId="9" hidden="1"/>
    <cellStyle name="表示済みのハイパーリンク" xfId="4070" builtinId="9" hidden="1"/>
    <cellStyle name="表示済みのハイパーリンク" xfId="4072" builtinId="9" hidden="1"/>
    <cellStyle name="表示済みのハイパーリンク" xfId="4074" builtinId="9" hidden="1"/>
    <cellStyle name="表示済みのハイパーリンク" xfId="4076" builtinId="9" hidden="1"/>
    <cellStyle name="表示済みのハイパーリンク" xfId="4078" builtinId="9" hidden="1"/>
    <cellStyle name="表示済みのハイパーリンク" xfId="4080" builtinId="9" hidden="1"/>
    <cellStyle name="表示済みのハイパーリンク" xfId="4082" builtinId="9" hidden="1"/>
    <cellStyle name="表示済みのハイパーリンク" xfId="4084" builtinId="9" hidden="1"/>
    <cellStyle name="表示済みのハイパーリンク" xfId="4086" builtinId="9" hidden="1"/>
    <cellStyle name="表示済みのハイパーリンク" xfId="4088" builtinId="9" hidden="1"/>
    <cellStyle name="表示済みのハイパーリンク" xfId="4090" builtinId="9" hidden="1"/>
    <cellStyle name="表示済みのハイパーリンク" xfId="4092" builtinId="9" hidden="1"/>
    <cellStyle name="表示済みのハイパーリンク" xfId="4094" builtinId="9" hidden="1"/>
    <cellStyle name="表示済みのハイパーリンク" xfId="4096" builtinId="9" hidden="1"/>
    <cellStyle name="表示済みのハイパーリンク" xfId="4098" builtinId="9" hidden="1"/>
    <cellStyle name="表示済みのハイパーリンク" xfId="4100" builtinId="9" hidden="1"/>
    <cellStyle name="表示済みのハイパーリンク" xfId="4102" builtinId="9" hidden="1"/>
    <cellStyle name="表示済みのハイパーリンク" xfId="4104" builtinId="9" hidden="1"/>
    <cellStyle name="表示済みのハイパーリンク" xfId="4106" builtinId="9" hidden="1"/>
    <cellStyle name="表示済みのハイパーリンク" xfId="4108" builtinId="9" hidden="1"/>
    <cellStyle name="表示済みのハイパーリンク" xfId="4110" builtinId="9" hidden="1"/>
    <cellStyle name="表示済みのハイパーリンク" xfId="4112" builtinId="9" hidden="1"/>
    <cellStyle name="表示済みのハイパーリンク" xfId="4114" builtinId="9" hidden="1"/>
    <cellStyle name="表示済みのハイパーリンク" xfId="4116" builtinId="9" hidden="1"/>
    <cellStyle name="表示済みのハイパーリンク" xfId="4118" builtinId="9" hidden="1"/>
    <cellStyle name="表示済みのハイパーリンク" xfId="4120" builtinId="9" hidden="1"/>
    <cellStyle name="表示済みのハイパーリンク" xfId="4122" builtinId="9" hidden="1"/>
    <cellStyle name="表示済みのハイパーリンク" xfId="4124" builtinId="9" hidden="1"/>
    <cellStyle name="表示済みのハイパーリンク" xfId="4126" builtinId="9" hidden="1"/>
    <cellStyle name="表示済みのハイパーリンク" xfId="4128" builtinId="9" hidden="1"/>
    <cellStyle name="表示済みのハイパーリンク" xfId="4130" builtinId="9" hidden="1"/>
    <cellStyle name="表示済みのハイパーリンク" xfId="4132" builtinId="9" hidden="1"/>
    <cellStyle name="表示済みのハイパーリンク" xfId="4134" builtinId="9" hidden="1"/>
    <cellStyle name="表示済みのハイパーリンク" xfId="4136" builtinId="9" hidden="1"/>
    <cellStyle name="表示済みのハイパーリンク" xfId="4138" builtinId="9" hidden="1"/>
    <cellStyle name="表示済みのハイパーリンク" xfId="4140" builtinId="9" hidden="1"/>
    <cellStyle name="表示済みのハイパーリンク" xfId="4142" builtinId="9" hidden="1"/>
    <cellStyle name="表示済みのハイパーリンク" xfId="4144" builtinId="9" hidden="1"/>
    <cellStyle name="表示済みのハイパーリンク" xfId="4146" builtinId="9" hidden="1"/>
    <cellStyle name="表示済みのハイパーリンク" xfId="4148" builtinId="9" hidden="1"/>
    <cellStyle name="表示済みのハイパーリンク" xfId="4150" builtinId="9" hidden="1"/>
    <cellStyle name="表示済みのハイパーリンク" xfId="4152" builtinId="9" hidden="1"/>
    <cellStyle name="表示済みのハイパーリンク" xfId="4154" builtinId="9" hidden="1"/>
    <cellStyle name="表示済みのハイパーリンク" xfId="4156" builtinId="9" hidden="1"/>
    <cellStyle name="表示済みのハイパーリンク" xfId="4158" builtinId="9" hidden="1"/>
    <cellStyle name="表示済みのハイパーリンク" xfId="4160" builtinId="9" hidden="1"/>
    <cellStyle name="表示済みのハイパーリンク" xfId="4162" builtinId="9" hidden="1"/>
    <cellStyle name="表示済みのハイパーリンク" xfId="4164" builtinId="9" hidden="1"/>
    <cellStyle name="表示済みのハイパーリンク" xfId="4166" builtinId="9" hidden="1"/>
    <cellStyle name="表示済みのハイパーリンク" xfId="4168" builtinId="9" hidden="1"/>
    <cellStyle name="表示済みのハイパーリンク" xfId="4170" builtinId="9" hidden="1"/>
    <cellStyle name="表示済みのハイパーリンク" xfId="4172" builtinId="9" hidden="1"/>
    <cellStyle name="表示済みのハイパーリンク" xfId="4174" builtinId="9" hidden="1"/>
    <cellStyle name="表示済みのハイパーリンク" xfId="4176" builtinId="9" hidden="1"/>
    <cellStyle name="表示済みのハイパーリンク" xfId="4178" builtinId="9" hidden="1"/>
    <cellStyle name="表示済みのハイパーリンク" xfId="4180" builtinId="9" hidden="1"/>
    <cellStyle name="表示済みのハイパーリンク" xfId="4182" builtinId="9" hidden="1"/>
    <cellStyle name="表示済みのハイパーリンク" xfId="4184" builtinId="9" hidden="1"/>
    <cellStyle name="表示済みのハイパーリンク" xfId="4186" builtinId="9" hidden="1"/>
    <cellStyle name="表示済みのハイパーリンク" xfId="4188" builtinId="9" hidden="1"/>
    <cellStyle name="表示済みのハイパーリンク" xfId="4190" builtinId="9" hidden="1"/>
    <cellStyle name="表示済みのハイパーリンク" xfId="4192" builtinId="9" hidden="1"/>
    <cellStyle name="表示済みのハイパーリンク" xfId="4194" builtinId="9" hidden="1"/>
    <cellStyle name="表示済みのハイパーリンク" xfId="4196" builtinId="9" hidden="1"/>
    <cellStyle name="表示済みのハイパーリンク" xfId="4198" builtinId="9" hidden="1"/>
    <cellStyle name="表示済みのハイパーリンク" xfId="4200" builtinId="9" hidden="1"/>
    <cellStyle name="表示済みのハイパーリンク" xfId="4202" builtinId="9" hidden="1"/>
    <cellStyle name="表示済みのハイパーリンク" xfId="4204" builtinId="9" hidden="1"/>
    <cellStyle name="表示済みのハイパーリンク" xfId="4206" builtinId="9" hidden="1"/>
    <cellStyle name="表示済みのハイパーリンク" xfId="4208" builtinId="9" hidden="1"/>
    <cellStyle name="表示済みのハイパーリンク" xfId="4210" builtinId="9" hidden="1"/>
    <cellStyle name="表示済みのハイパーリンク" xfId="4212" builtinId="9" hidden="1"/>
    <cellStyle name="表示済みのハイパーリンク" xfId="4214" builtinId="9" hidden="1"/>
    <cellStyle name="表示済みのハイパーリンク" xfId="4216" builtinId="9" hidden="1"/>
    <cellStyle name="表示済みのハイパーリンク" xfId="4218" builtinId="9" hidden="1"/>
    <cellStyle name="表示済みのハイパーリンク" xfId="4220" builtinId="9" hidden="1"/>
    <cellStyle name="表示済みのハイパーリンク" xfId="4222" builtinId="9" hidden="1"/>
    <cellStyle name="表示済みのハイパーリンク" xfId="4224" builtinId="9" hidden="1"/>
    <cellStyle name="表示済みのハイパーリンク" xfId="4226" builtinId="9" hidden="1"/>
    <cellStyle name="表示済みのハイパーリンク" xfId="4228" builtinId="9" hidden="1"/>
    <cellStyle name="表示済みのハイパーリンク" xfId="4230" builtinId="9" hidden="1"/>
    <cellStyle name="表示済みのハイパーリンク" xfId="4232" builtinId="9" hidden="1"/>
    <cellStyle name="表示済みのハイパーリンク" xfId="4234" builtinId="9" hidden="1"/>
    <cellStyle name="表示済みのハイパーリンク" xfId="4236" builtinId="9" hidden="1"/>
    <cellStyle name="表示済みのハイパーリンク" xfId="4238" builtinId="9" hidden="1"/>
    <cellStyle name="表示済みのハイパーリンク" xfId="4240" builtinId="9" hidden="1"/>
    <cellStyle name="表示済みのハイパーリンク" xfId="4242" builtinId="9" hidden="1"/>
    <cellStyle name="表示済みのハイパーリンク" xfId="4244" builtinId="9" hidden="1"/>
    <cellStyle name="表示済みのハイパーリンク" xfId="4246" builtinId="9" hidden="1"/>
    <cellStyle name="表示済みのハイパーリンク" xfId="4248" builtinId="9" hidden="1"/>
    <cellStyle name="表示済みのハイパーリンク" xfId="4250" builtinId="9" hidden="1"/>
    <cellStyle name="表示済みのハイパーリンク" xfId="4252" builtinId="9" hidden="1"/>
    <cellStyle name="表示済みのハイパーリンク" xfId="4254" builtinId="9" hidden="1"/>
    <cellStyle name="表示済みのハイパーリンク" xfId="4256" builtinId="9" hidden="1"/>
    <cellStyle name="表示済みのハイパーリンク" xfId="4258" builtinId="9" hidden="1"/>
    <cellStyle name="表示済みのハイパーリンク" xfId="4260" builtinId="9" hidden="1"/>
    <cellStyle name="表示済みのハイパーリンク" xfId="4262" builtinId="9" hidden="1"/>
    <cellStyle name="表示済みのハイパーリンク" xfId="4264" builtinId="9" hidden="1"/>
    <cellStyle name="表示済みのハイパーリンク" xfId="4266" builtinId="9" hidden="1"/>
    <cellStyle name="表示済みのハイパーリンク" xfId="4268" builtinId="9" hidden="1"/>
    <cellStyle name="表示済みのハイパーリンク" xfId="4270" builtinId="9" hidden="1"/>
    <cellStyle name="表示済みのハイパーリンク" xfId="4272" builtinId="9" hidden="1"/>
    <cellStyle name="表示済みのハイパーリンク" xfId="4274" builtinId="9" hidden="1"/>
    <cellStyle name="表示済みのハイパーリンク" xfId="4276" builtinId="9" hidden="1"/>
    <cellStyle name="表示済みのハイパーリンク" xfId="4278" builtinId="9" hidden="1"/>
    <cellStyle name="表示済みのハイパーリンク" xfId="4280" builtinId="9" hidden="1"/>
    <cellStyle name="表示済みのハイパーリンク" xfId="4282" builtinId="9" hidden="1"/>
    <cellStyle name="表示済みのハイパーリンク" xfId="4284" builtinId="9" hidden="1"/>
    <cellStyle name="表示済みのハイパーリンク" xfId="4286" builtinId="9" hidden="1"/>
    <cellStyle name="表示済みのハイパーリンク" xfId="4288" builtinId="9" hidden="1"/>
    <cellStyle name="表示済みのハイパーリンク" xfId="4290" builtinId="9" hidden="1"/>
    <cellStyle name="表示済みのハイパーリンク" xfId="4292" builtinId="9" hidden="1"/>
    <cellStyle name="表示済みのハイパーリンク" xfId="4294" builtinId="9" hidden="1"/>
    <cellStyle name="表示済みのハイパーリンク" xfId="4296" builtinId="9" hidden="1"/>
    <cellStyle name="表示済みのハイパーリンク" xfId="4298" builtinId="9" hidden="1"/>
    <cellStyle name="表示済みのハイパーリンク" xfId="4300" builtinId="9" hidden="1"/>
    <cellStyle name="表示済みのハイパーリンク" xfId="4302" builtinId="9" hidden="1"/>
    <cellStyle name="表示済みのハイパーリンク" xfId="4304" builtinId="9" hidden="1"/>
    <cellStyle name="表示済みのハイパーリンク" xfId="4306" builtinId="9" hidden="1"/>
    <cellStyle name="表示済みのハイパーリンク" xfId="4308" builtinId="9" hidden="1"/>
    <cellStyle name="表示済みのハイパーリンク" xfId="4310" builtinId="9" hidden="1"/>
    <cellStyle name="表示済みのハイパーリンク" xfId="4312" builtinId="9" hidden="1"/>
    <cellStyle name="表示済みのハイパーリンク" xfId="4314" builtinId="9" hidden="1"/>
    <cellStyle name="表示済みのハイパーリンク" xfId="4316" builtinId="9" hidden="1"/>
    <cellStyle name="表示済みのハイパーリンク" xfId="4318" builtinId="9" hidden="1"/>
    <cellStyle name="表示済みのハイパーリンク" xfId="4320" builtinId="9" hidden="1"/>
    <cellStyle name="表示済みのハイパーリンク" xfId="4322" builtinId="9" hidden="1"/>
    <cellStyle name="表示済みのハイパーリンク" xfId="4324" builtinId="9" hidden="1"/>
    <cellStyle name="表示済みのハイパーリンク" xfId="4326" builtinId="9" hidden="1"/>
    <cellStyle name="表示済みのハイパーリンク" xfId="4328" builtinId="9" hidden="1"/>
    <cellStyle name="表示済みのハイパーリンク" xfId="4330" builtinId="9" hidden="1"/>
    <cellStyle name="表示済みのハイパーリンク" xfId="4332" builtinId="9" hidden="1"/>
    <cellStyle name="表示済みのハイパーリンク" xfId="4334" builtinId="9" hidden="1"/>
    <cellStyle name="表示済みのハイパーリンク" xfId="4336" builtinId="9" hidden="1"/>
    <cellStyle name="表示済みのハイパーリンク" xfId="4338" builtinId="9" hidden="1"/>
    <cellStyle name="表示済みのハイパーリンク" xfId="4340" builtinId="9" hidden="1"/>
    <cellStyle name="表示済みのハイパーリンク" xfId="4342" builtinId="9" hidden="1"/>
    <cellStyle name="表示済みのハイパーリンク" xfId="4344" builtinId="9" hidden="1"/>
    <cellStyle name="表示済みのハイパーリンク" xfId="4346" builtinId="9" hidden="1"/>
    <cellStyle name="表示済みのハイパーリンク" xfId="4348" builtinId="9" hidden="1"/>
    <cellStyle name="表示済みのハイパーリンク" xfId="4350" builtinId="9" hidden="1"/>
    <cellStyle name="表示済みのハイパーリンク" xfId="4352" builtinId="9" hidden="1"/>
    <cellStyle name="表示済みのハイパーリンク" xfId="4354" builtinId="9" hidden="1"/>
    <cellStyle name="表示済みのハイパーリンク" xfId="4356" builtinId="9" hidden="1"/>
    <cellStyle name="表示済みのハイパーリンク" xfId="4358" builtinId="9" hidden="1"/>
    <cellStyle name="表示済みのハイパーリンク" xfId="4360" builtinId="9" hidden="1"/>
    <cellStyle name="表示済みのハイパーリンク" xfId="4362" builtinId="9" hidden="1"/>
    <cellStyle name="表示済みのハイパーリンク" xfId="4364" builtinId="9" hidden="1"/>
    <cellStyle name="表示済みのハイパーリンク" xfId="4366" builtinId="9" hidden="1"/>
    <cellStyle name="表示済みのハイパーリンク" xfId="4368" builtinId="9" hidden="1"/>
    <cellStyle name="表示済みのハイパーリンク" xfId="4370" builtinId="9" hidden="1"/>
    <cellStyle name="表示済みのハイパーリンク" xfId="4372" builtinId="9" hidden="1"/>
    <cellStyle name="表示済みのハイパーリンク" xfId="4375" builtinId="9" hidden="1"/>
    <cellStyle name="表示済みのハイパーリンク" xfId="4377" builtinId="9" hidden="1"/>
    <cellStyle name="表示済みのハイパーリンク" xfId="4379" builtinId="9" hidden="1"/>
    <cellStyle name="表示済みのハイパーリンク" xfId="4381" builtinId="9" hidden="1"/>
    <cellStyle name="表示済みのハイパーリンク" xfId="4383" builtinId="9" hidden="1"/>
    <cellStyle name="表示済みのハイパーリンク" xfId="4385" builtinId="9" hidden="1"/>
    <cellStyle name="表示済みのハイパーリンク" xfId="4387" builtinId="9" hidden="1"/>
    <cellStyle name="表示済みのハイパーリンク" xfId="4389" builtinId="9" hidden="1"/>
    <cellStyle name="表示済みのハイパーリンク" xfId="4391" builtinId="9" hidden="1"/>
    <cellStyle name="表示済みのハイパーリンク" xfId="4393" builtinId="9" hidden="1"/>
    <cellStyle name="表示済みのハイパーリンク" xfId="4395" builtinId="9" hidden="1"/>
    <cellStyle name="表示済みのハイパーリンク" xfId="4397" builtinId="9" hidden="1"/>
    <cellStyle name="表示済みのハイパーリンク" xfId="4399" builtinId="9" hidden="1"/>
    <cellStyle name="表示済みのハイパーリンク" xfId="4401" builtinId="9" hidden="1"/>
    <cellStyle name="表示済みのハイパーリンク" xfId="4403" builtinId="9" hidden="1"/>
    <cellStyle name="表示済みのハイパーリンク" xfId="4405" builtinId="9" hidden="1"/>
    <cellStyle name="表示済みのハイパーリンク" xfId="4407" builtinId="9" hidden="1"/>
    <cellStyle name="表示済みのハイパーリンク" xfId="4409" builtinId="9" hidden="1"/>
    <cellStyle name="表示済みのハイパーリンク" xfId="4411" builtinId="9" hidden="1"/>
    <cellStyle name="表示済みのハイパーリンク" xfId="4413" builtinId="9" hidden="1"/>
    <cellStyle name="表示済みのハイパーリンク" xfId="4415" builtinId="9" hidden="1"/>
    <cellStyle name="表示済みのハイパーリンク" xfId="4417" builtinId="9" hidden="1"/>
    <cellStyle name="表示済みのハイパーリンク" xfId="4419" builtinId="9" hidden="1"/>
    <cellStyle name="表示済みのハイパーリンク" xfId="4421" builtinId="9" hidden="1"/>
    <cellStyle name="表示済みのハイパーリンク" xfId="4423" builtinId="9" hidden="1"/>
    <cellStyle name="表示済みのハイパーリンク" xfId="4425" builtinId="9" hidden="1"/>
    <cellStyle name="表示済みのハイパーリンク" xfId="4427" builtinId="9" hidden="1"/>
    <cellStyle name="表示済みのハイパーリンク" xfId="4429" builtinId="9" hidden="1"/>
    <cellStyle name="表示済みのハイパーリンク" xfId="4431" builtinId="9" hidden="1"/>
    <cellStyle name="表示済みのハイパーリンク" xfId="4433" builtinId="9" hidden="1"/>
    <cellStyle name="表示済みのハイパーリンク" xfId="4435" builtinId="9" hidden="1"/>
    <cellStyle name="表示済みのハイパーリンク" xfId="4437" builtinId="9" hidden="1"/>
    <cellStyle name="表示済みのハイパーリンク" xfId="4439" builtinId="9" hidden="1"/>
    <cellStyle name="表示済みのハイパーリンク" xfId="4441" builtinId="9" hidden="1"/>
    <cellStyle name="表示済みのハイパーリンク" xfId="4443" builtinId="9" hidden="1"/>
    <cellStyle name="表示済みのハイパーリンク" xfId="4445" builtinId="9" hidden="1"/>
    <cellStyle name="表示済みのハイパーリンク" xfId="4447" builtinId="9" hidden="1"/>
    <cellStyle name="表示済みのハイパーリンク" xfId="4449" builtinId="9" hidden="1"/>
    <cellStyle name="表示済みのハイパーリンク" xfId="4451" builtinId="9" hidden="1"/>
    <cellStyle name="表示済みのハイパーリンク" xfId="4453" builtinId="9" hidden="1"/>
    <cellStyle name="表示済みのハイパーリンク" xfId="4455" builtinId="9" hidden="1"/>
    <cellStyle name="表示済みのハイパーリンク" xfId="4457" builtinId="9" hidden="1"/>
    <cellStyle name="表示済みのハイパーリンク" xfId="4459" builtinId="9" hidden="1"/>
    <cellStyle name="表示済みのハイパーリンク" xfId="4461" builtinId="9" hidden="1"/>
    <cellStyle name="表示済みのハイパーリンク" xfId="4463" builtinId="9" hidden="1"/>
    <cellStyle name="表示済みのハイパーリンク" xfId="4465" builtinId="9" hidden="1"/>
    <cellStyle name="表示済みのハイパーリンク" xfId="4467" builtinId="9" hidden="1"/>
    <cellStyle name="表示済みのハイパーリンク" xfId="4469" builtinId="9" hidden="1"/>
    <cellStyle name="表示済みのハイパーリンク" xfId="4471" builtinId="9" hidden="1"/>
    <cellStyle name="表示済みのハイパーリンク" xfId="4473" builtinId="9" hidden="1"/>
    <cellStyle name="表示済みのハイパーリンク" xfId="4475" builtinId="9" hidden="1"/>
    <cellStyle name="表示済みのハイパーリンク" xfId="4477" builtinId="9" hidden="1"/>
    <cellStyle name="表示済みのハイパーリンク" xfId="4479" builtinId="9" hidden="1"/>
    <cellStyle name="表示済みのハイパーリンク" xfId="4481" builtinId="9" hidden="1"/>
    <cellStyle name="表示済みのハイパーリンク" xfId="4483" builtinId="9" hidden="1"/>
    <cellStyle name="表示済みのハイパーリンク" xfId="4485" builtinId="9" hidden="1"/>
    <cellStyle name="表示済みのハイパーリンク" xfId="4487" builtinId="9" hidden="1"/>
    <cellStyle name="表示済みのハイパーリンク" xfId="4489" builtinId="9" hidden="1"/>
    <cellStyle name="表示済みのハイパーリンク" xfId="4491" builtinId="9" hidden="1"/>
    <cellStyle name="表示済みのハイパーリンク" xfId="4493" builtinId="9" hidden="1"/>
    <cellStyle name="表示済みのハイパーリンク" xfId="4495" builtinId="9" hidden="1"/>
    <cellStyle name="表示済みのハイパーリンク" xfId="4497" builtinId="9" hidden="1"/>
    <cellStyle name="表示済みのハイパーリンク" xfId="4499" builtinId="9" hidden="1"/>
    <cellStyle name="表示済みのハイパーリンク" xfId="4501" builtinId="9" hidden="1"/>
    <cellStyle name="表示済みのハイパーリンク" xfId="4503" builtinId="9" hidden="1"/>
    <cellStyle name="表示済みのハイパーリンク" xfId="4505" builtinId="9" hidden="1"/>
    <cellStyle name="表示済みのハイパーリンク" xfId="4507" builtinId="9" hidden="1"/>
    <cellStyle name="表示済みのハイパーリンク" xfId="4509" builtinId="9" hidden="1"/>
    <cellStyle name="表示済みのハイパーリンク" xfId="4511" builtinId="9" hidden="1"/>
    <cellStyle name="表示済みのハイパーリンク" xfId="4513" builtinId="9" hidden="1"/>
    <cellStyle name="表示済みのハイパーリンク" xfId="4515" builtinId="9" hidden="1"/>
    <cellStyle name="表示済みのハイパーリンク" xfId="4517" builtinId="9" hidden="1"/>
    <cellStyle name="表示済みのハイパーリンク" xfId="4519" builtinId="9" hidden="1"/>
    <cellStyle name="表示済みのハイパーリンク" xfId="4521" builtinId="9" hidden="1"/>
    <cellStyle name="表示済みのハイパーリンク" xfId="4523" builtinId="9" hidden="1"/>
    <cellStyle name="表示済みのハイパーリンク" xfId="4525" builtinId="9" hidden="1"/>
    <cellStyle name="表示済みのハイパーリンク" xfId="4527" builtinId="9" hidden="1"/>
    <cellStyle name="表示済みのハイパーリンク" xfId="4529" builtinId="9" hidden="1"/>
    <cellStyle name="表示済みのハイパーリンク" xfId="4531" builtinId="9" hidden="1"/>
    <cellStyle name="表示済みのハイパーリンク" xfId="4533" builtinId="9" hidden="1"/>
    <cellStyle name="表示済みのハイパーリンク" xfId="4535" builtinId="9" hidden="1"/>
    <cellStyle name="表示済みのハイパーリンク" xfId="4537" builtinId="9" hidden="1"/>
    <cellStyle name="表示済みのハイパーリンク" xfId="4539" builtinId="9" hidden="1"/>
    <cellStyle name="表示済みのハイパーリンク" xfId="4541" builtinId="9" hidden="1"/>
    <cellStyle name="表示済みのハイパーリンク" xfId="4543" builtinId="9" hidden="1"/>
    <cellStyle name="表示済みのハイパーリンク" xfId="4545" builtinId="9" hidden="1"/>
    <cellStyle name="表示済みのハイパーリンク" xfId="4547" builtinId="9" hidden="1"/>
    <cellStyle name="表示済みのハイパーリンク" xfId="4549" builtinId="9" hidden="1"/>
    <cellStyle name="表示済みのハイパーリンク" xfId="4551" builtinId="9" hidden="1"/>
    <cellStyle name="表示済みのハイパーリンク" xfId="4553" builtinId="9" hidden="1"/>
    <cellStyle name="表示済みのハイパーリンク" xfId="4555" builtinId="9" hidden="1"/>
    <cellStyle name="表示済みのハイパーリンク" xfId="4557" builtinId="9" hidden="1"/>
    <cellStyle name="表示済みのハイパーリンク" xfId="4559" builtinId="9" hidden="1"/>
    <cellStyle name="表示済みのハイパーリンク" xfId="4561" builtinId="9" hidden="1"/>
    <cellStyle name="表示済みのハイパーリンク" xfId="4563" builtinId="9" hidden="1"/>
    <cellStyle name="表示済みのハイパーリンク" xfId="4565" builtinId="9" hidden="1"/>
    <cellStyle name="表示済みのハイパーリンク" xfId="4567" builtinId="9" hidden="1"/>
    <cellStyle name="表示済みのハイパーリンク" xfId="4569" builtinId="9" hidden="1"/>
    <cellStyle name="表示済みのハイパーリンク" xfId="4571" builtinId="9" hidden="1"/>
    <cellStyle name="表示済みのハイパーリンク" xfId="4573" builtinId="9" hidden="1"/>
    <cellStyle name="表示済みのハイパーリンク" xfId="4575" builtinId="9" hidden="1"/>
    <cellStyle name="表示済みのハイパーリンク" xfId="4577" builtinId="9" hidden="1"/>
    <cellStyle name="表示済みのハイパーリンク" xfId="4579" builtinId="9" hidden="1"/>
    <cellStyle name="表示済みのハイパーリンク" xfId="4581" builtinId="9" hidden="1"/>
    <cellStyle name="赤字強調" xfId="4"/>
    <cellStyle name="青字強調" xfId="3"/>
  </cellStyles>
  <dxfs count="33">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FF0000"/>
      <rgbColor rgb="0000FF00"/>
      <rgbColor rgb="000000D4"/>
      <rgbColor rgb="00FFFF00"/>
      <rgbColor rgb="00FF00FF"/>
      <rgbColor rgb="0000FFFF"/>
      <rgbColor rgb="004C19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CF305"/>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950E"/>
      <rgbColor rgb="00666699"/>
      <rgbColor rgb="00B2B2B2"/>
      <rgbColor rgb="00003366"/>
      <rgbColor rgb="00339966"/>
      <rgbColor rgb="00003300"/>
      <rgbColor rgb="00262626"/>
      <rgbColor rgb="00DD0806"/>
      <rgbColor rgb="00993366"/>
      <rgbColor rgb="00333399"/>
      <rgbColor rgb="00333333"/>
    </indexedColors>
    <mruColors>
      <color rgb="FF293173"/>
      <color rgb="FF3A4497"/>
      <color rgb="FF4A56B8"/>
      <color rgb="FF6552C3"/>
      <color rgb="FF7870C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externalLink" Target="externalLinks/externalLink3.xml"/><Relationship Id="rId21" Type="http://schemas.openxmlformats.org/officeDocument/2006/relationships/externalLink" Target="externalLinks/externalLink4.xml"/><Relationship Id="rId22" Type="http://schemas.openxmlformats.org/officeDocument/2006/relationships/externalLink" Target="externalLinks/externalLink5.xml"/><Relationship Id="rId23" Type="http://schemas.openxmlformats.org/officeDocument/2006/relationships/theme" Target="theme/theme1.xml"/><Relationship Id="rId24" Type="http://schemas.openxmlformats.org/officeDocument/2006/relationships/styles" Target="styles.xml"/><Relationship Id="rId25" Type="http://schemas.openxmlformats.org/officeDocument/2006/relationships/sharedStrings" Target="sharedStrings.xml"/><Relationship Id="rId26" Type="http://schemas.openxmlformats.org/officeDocument/2006/relationships/calcChain" Target="calcChain.xml"/><Relationship Id="rId27"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externalLink" Target="externalLinks/externalLink1.xml"/><Relationship Id="rId19" Type="http://schemas.openxmlformats.org/officeDocument/2006/relationships/externalLink" Target="externalLinks/externalLink2.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CharacterMasterDat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nitMaster_staff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nitAwakeMasterData.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nitAbilityMasterData.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var/folders/pn/6yp0p0ls631ghcfgw6049xxr0000gn/T/master_excel_UnitMaster_buffUpdate01_Before_9f303a28a6fe3be1b711a496f78cefb442bb542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
      <sheetName val="属性"/>
      <sheetName val="characters"/>
      <sheetName val="character_type_i18n"/>
      <sheetName val="character_tribe_i18n"/>
      <sheetName val="unit_cautions"/>
    </sheetNames>
    <sheetDataSet>
      <sheetData sheetId="0"/>
      <sheetData sheetId="1">
        <row r="2">
          <cell r="B2">
            <v>0.5</v>
          </cell>
          <cell r="C2">
            <v>0.3</v>
          </cell>
          <cell r="D2">
            <v>1</v>
          </cell>
          <cell r="E2">
            <v>0.25</v>
          </cell>
        </row>
      </sheetData>
      <sheetData sheetId="2">
        <row r="1">
          <cell r="A1" t="str">
            <v>属性</v>
          </cell>
          <cell r="B1" t="str">
            <v>HP係数</v>
          </cell>
          <cell r="C1" t="str">
            <v>攻撃係数</v>
          </cell>
          <cell r="D1" t="str">
            <v>防御系数</v>
          </cell>
          <cell r="E1" t="str">
            <v>回復系数</v>
          </cell>
        </row>
        <row r="2">
          <cell r="A2" t="str">
            <v>red</v>
          </cell>
          <cell r="B2">
            <v>1</v>
          </cell>
          <cell r="C2">
            <v>1.02</v>
          </cell>
          <cell r="D2">
            <v>1</v>
          </cell>
          <cell r="E2">
            <v>0.98</v>
          </cell>
        </row>
        <row r="3">
          <cell r="A3" t="str">
            <v>green</v>
          </cell>
          <cell r="B3">
            <v>1.02</v>
          </cell>
          <cell r="C3">
            <v>0.98</v>
          </cell>
          <cell r="D3">
            <v>1</v>
          </cell>
          <cell r="E3">
            <v>1</v>
          </cell>
        </row>
        <row r="4">
          <cell r="A4" t="str">
            <v>blue</v>
          </cell>
          <cell r="B4">
            <v>1</v>
          </cell>
          <cell r="C4">
            <v>0.98</v>
          </cell>
          <cell r="D4">
            <v>1</v>
          </cell>
          <cell r="E4">
            <v>1.02</v>
          </cell>
        </row>
        <row r="5">
          <cell r="A5" t="str">
            <v>yellow</v>
          </cell>
          <cell r="B5">
            <v>0.98</v>
          </cell>
          <cell r="C5">
            <v>1.01</v>
          </cell>
          <cell r="D5">
            <v>1</v>
          </cell>
          <cell r="E5">
            <v>1.01</v>
          </cell>
        </row>
        <row r="6">
          <cell r="A6" t="str">
            <v>colorless</v>
          </cell>
          <cell r="B6">
            <v>1</v>
          </cell>
          <cell r="C6">
            <v>1</v>
          </cell>
          <cell r="D6">
            <v>1</v>
          </cell>
          <cell r="E6">
            <v>1</v>
          </cell>
        </row>
      </sheetData>
      <sheetData sheetId="3">
        <row r="1">
          <cell r="A1" t="str">
            <v>character_id</v>
          </cell>
          <cell r="B1" t="str">
            <v>language</v>
          </cell>
          <cell r="C1" t="str">
            <v>name</v>
          </cell>
          <cell r="D1" t="str">
            <v>特徴</v>
          </cell>
          <cell r="E1" t="str">
            <v>勢力</v>
          </cell>
          <cell r="F1" t="str">
            <v>訴求軸</v>
          </cell>
          <cell r="G1" t="str">
            <v>性別</v>
          </cell>
          <cell r="H1" t="str">
            <v>color</v>
          </cell>
          <cell r="I1" t="str">
            <v>rare</v>
          </cell>
          <cell r="J1" t="str">
            <v>drop_label</v>
          </cell>
          <cell r="K1" t="str">
            <v>character_type_id</v>
          </cell>
          <cell r="L1" t="str">
            <v>name</v>
          </cell>
          <cell r="M1" t="str">
            <v>character_main_tribe_id</v>
          </cell>
          <cell r="N1" t="str">
            <v>name</v>
          </cell>
          <cell r="O1" t="str">
            <v>character_sub_tribe_id</v>
          </cell>
          <cell r="P1" t="str">
            <v>name</v>
          </cell>
          <cell r="Q1" t="str">
            <v>スキルタイプ</v>
          </cell>
          <cell r="R1" t="str">
            <v>valid_flg</v>
          </cell>
          <cell r="S1" t="str">
            <v>category</v>
          </cell>
          <cell r="T1" t="str">
            <v>awaketype</v>
          </cell>
          <cell r="U1" t="str">
            <v>flavor_text</v>
          </cell>
          <cell r="V1" t="str">
            <v>obtain_message</v>
          </cell>
          <cell r="W1" t="str">
            <v>awaken_message</v>
          </cell>
        </row>
        <row r="2">
          <cell r="A2">
            <v>1</v>
          </cell>
          <cell r="B2" t="str">
            <v>ja</v>
          </cell>
          <cell r="C2" t="str">
            <v>ジェリー</v>
          </cell>
          <cell r="D2" t="str">
            <v>ノーマルクエスト</v>
          </cell>
          <cell r="E2" t="str">
            <v>QoH</v>
          </cell>
          <cell r="F2" t="str">
            <v>世界観</v>
          </cell>
          <cell r="G2" t="str">
            <v>不明</v>
          </cell>
          <cell r="H2" t="str">
            <v>red</v>
          </cell>
          <cell r="I2">
            <v>1</v>
          </cell>
          <cell r="J2" t="str">
            <v>Drop1T</v>
          </cell>
          <cell r="K2" t="str">
            <v>attack</v>
          </cell>
          <cell r="L2" t="str">
            <v>攻撃タイプ</v>
          </cell>
          <cell r="M2" t="str">
            <v>unknown</v>
          </cell>
          <cell r="N2" t="str">
            <v>Unknown</v>
          </cell>
          <cell r="O2" t="str">
            <v>none</v>
          </cell>
          <cell r="P2" t="str">
            <v>種族なし</v>
          </cell>
          <cell r="Q2" t="str">
            <v>アタッカー</v>
          </cell>
          <cell r="R2">
            <v>3</v>
          </cell>
          <cell r="S2" t="str">
            <v>NULL</v>
          </cell>
          <cell r="T2" t="str">
            <v>normal</v>
          </cell>
          <cell r="U2" t="str">
            <v>NULL</v>
          </cell>
          <cell r="V2" t="str">
            <v>NULL</v>
          </cell>
          <cell r="W2" t="str">
            <v>NULL</v>
          </cell>
        </row>
        <row r="3">
          <cell r="A3">
            <v>2</v>
          </cell>
          <cell r="B3" t="str">
            <v>ja</v>
          </cell>
          <cell r="C3" t="str">
            <v>イレギュラー・ジェリー</v>
          </cell>
          <cell r="D3" t="str">
            <v>ノーマルクエスト</v>
          </cell>
          <cell r="E3" t="str">
            <v>QoH</v>
          </cell>
          <cell r="F3" t="str">
            <v>世界観</v>
          </cell>
          <cell r="G3" t="str">
            <v>不明</v>
          </cell>
          <cell r="H3" t="str">
            <v>red</v>
          </cell>
          <cell r="I3">
            <v>2</v>
          </cell>
          <cell r="J3" t="str">
            <v>Drop1T</v>
          </cell>
          <cell r="K3" t="str">
            <v>attack</v>
          </cell>
          <cell r="L3" t="str">
            <v>攻撃タイプ</v>
          </cell>
          <cell r="M3" t="str">
            <v>unknown</v>
          </cell>
          <cell r="N3" t="str">
            <v>Unknown</v>
          </cell>
          <cell r="O3" t="str">
            <v>none</v>
          </cell>
          <cell r="P3" t="str">
            <v>種族なし</v>
          </cell>
          <cell r="Q3" t="str">
            <v>アタッカー</v>
          </cell>
          <cell r="R3">
            <v>3</v>
          </cell>
          <cell r="S3" t="str">
            <v>NULL</v>
          </cell>
          <cell r="T3" t="str">
            <v>normal</v>
          </cell>
          <cell r="U3" t="str">
            <v>NULL</v>
          </cell>
          <cell r="V3" t="str">
            <v>NULL</v>
          </cell>
          <cell r="W3" t="str">
            <v>NULL</v>
          </cell>
        </row>
        <row r="4">
          <cell r="A4">
            <v>3</v>
          </cell>
          <cell r="B4" t="str">
            <v>ja</v>
          </cell>
          <cell r="C4" t="str">
            <v>エージェント ジョー</v>
          </cell>
          <cell r="D4" t="str">
            <v>ノーマルクエスト</v>
          </cell>
          <cell r="E4" t="str">
            <v>QoH</v>
          </cell>
          <cell r="F4" t="str">
            <v>世界観</v>
          </cell>
          <cell r="G4" t="str">
            <v>不明</v>
          </cell>
          <cell r="H4" t="str">
            <v>green</v>
          </cell>
          <cell r="I4">
            <v>1</v>
          </cell>
          <cell r="J4" t="str">
            <v>Drop1T</v>
          </cell>
          <cell r="K4" t="str">
            <v>balance</v>
          </cell>
          <cell r="L4" t="str">
            <v>バランスタイプ</v>
          </cell>
          <cell r="M4" t="str">
            <v>unknown</v>
          </cell>
          <cell r="N4" t="str">
            <v>Unknown</v>
          </cell>
          <cell r="O4" t="str">
            <v>none</v>
          </cell>
          <cell r="P4" t="str">
            <v>種族なし</v>
          </cell>
          <cell r="Q4" t="str">
            <v>バッファー</v>
          </cell>
          <cell r="R4">
            <v>3</v>
          </cell>
          <cell r="S4" t="str">
            <v>NULL</v>
          </cell>
          <cell r="T4" t="str">
            <v>normal</v>
          </cell>
          <cell r="U4" t="str">
            <v>NULL</v>
          </cell>
          <cell r="V4" t="str">
            <v>NULL</v>
          </cell>
          <cell r="W4" t="str">
            <v>NULL</v>
          </cell>
        </row>
        <row r="5">
          <cell r="A5">
            <v>4</v>
          </cell>
          <cell r="B5" t="str">
            <v>ja</v>
          </cell>
          <cell r="C5" t="str">
            <v>エースエージェント ジョー</v>
          </cell>
          <cell r="D5" t="str">
            <v>ノーマルクエスト</v>
          </cell>
          <cell r="E5" t="str">
            <v>QoH</v>
          </cell>
          <cell r="F5" t="str">
            <v>世界観</v>
          </cell>
          <cell r="G5" t="str">
            <v>不明</v>
          </cell>
          <cell r="H5" t="str">
            <v>green</v>
          </cell>
          <cell r="I5">
            <v>2</v>
          </cell>
          <cell r="J5" t="str">
            <v>Drop1T</v>
          </cell>
          <cell r="K5" t="str">
            <v>balance</v>
          </cell>
          <cell r="L5" t="str">
            <v>バランスタイプ</v>
          </cell>
          <cell r="M5" t="str">
            <v>unknown</v>
          </cell>
          <cell r="N5" t="str">
            <v>Unknown</v>
          </cell>
          <cell r="O5" t="str">
            <v>none</v>
          </cell>
          <cell r="P5" t="str">
            <v>種族なし</v>
          </cell>
          <cell r="Q5" t="str">
            <v>バッファー</v>
          </cell>
          <cell r="R5">
            <v>3</v>
          </cell>
          <cell r="S5" t="str">
            <v>NULL</v>
          </cell>
          <cell r="T5" t="str">
            <v>normal</v>
          </cell>
          <cell r="U5" t="str">
            <v>NULL</v>
          </cell>
          <cell r="V5" t="str">
            <v>NULL</v>
          </cell>
          <cell r="W5" t="str">
            <v>NULL</v>
          </cell>
        </row>
        <row r="6">
          <cell r="A6">
            <v>5</v>
          </cell>
          <cell r="B6" t="str">
            <v>ja</v>
          </cell>
          <cell r="C6" t="str">
            <v>パトドッグ ポチ</v>
          </cell>
          <cell r="D6" t="str">
            <v>ノーマルクエスト</v>
          </cell>
          <cell r="E6" t="str">
            <v>QoH</v>
          </cell>
          <cell r="F6" t="str">
            <v>世界観</v>
          </cell>
          <cell r="G6" t="str">
            <v>不明</v>
          </cell>
          <cell r="H6" t="str">
            <v>blue</v>
          </cell>
          <cell r="I6">
            <v>1</v>
          </cell>
          <cell r="J6" t="str">
            <v>Drop1T</v>
          </cell>
          <cell r="K6" t="str">
            <v>heal</v>
          </cell>
          <cell r="L6" t="str">
            <v>回復タイプ</v>
          </cell>
          <cell r="M6" t="str">
            <v>unknown</v>
          </cell>
          <cell r="N6" t="str">
            <v>Unknown</v>
          </cell>
          <cell r="O6" t="str">
            <v>none</v>
          </cell>
          <cell r="P6" t="str">
            <v>種族なし</v>
          </cell>
          <cell r="Q6" t="str">
            <v>ヒーラー</v>
          </cell>
          <cell r="R6">
            <v>3</v>
          </cell>
          <cell r="S6" t="str">
            <v>NULL</v>
          </cell>
          <cell r="T6" t="str">
            <v>normal</v>
          </cell>
          <cell r="U6" t="str">
            <v>NULL</v>
          </cell>
          <cell r="V6" t="str">
            <v>NULL</v>
          </cell>
          <cell r="W6" t="str">
            <v>NULL</v>
          </cell>
        </row>
        <row r="7">
          <cell r="A7">
            <v>6</v>
          </cell>
          <cell r="B7" t="str">
            <v>ja</v>
          </cell>
          <cell r="C7" t="str">
            <v>パトドッグリーダー ポチ</v>
          </cell>
          <cell r="D7" t="str">
            <v>ノーマルクエスト</v>
          </cell>
          <cell r="E7" t="str">
            <v>QoH</v>
          </cell>
          <cell r="F7" t="str">
            <v>世界観</v>
          </cell>
          <cell r="G7" t="str">
            <v>不明</v>
          </cell>
          <cell r="H7" t="str">
            <v>blue</v>
          </cell>
          <cell r="I7">
            <v>2</v>
          </cell>
          <cell r="J7" t="str">
            <v>Drop1T</v>
          </cell>
          <cell r="K7" t="str">
            <v>heal</v>
          </cell>
          <cell r="L7" t="str">
            <v>回復タイプ</v>
          </cell>
          <cell r="M7" t="str">
            <v>unknown</v>
          </cell>
          <cell r="N7" t="str">
            <v>Unknown</v>
          </cell>
          <cell r="O7" t="str">
            <v>none</v>
          </cell>
          <cell r="P7" t="str">
            <v>種族なし</v>
          </cell>
          <cell r="Q7" t="str">
            <v>ヒーラー</v>
          </cell>
          <cell r="R7">
            <v>3</v>
          </cell>
          <cell r="S7" t="str">
            <v>NULL</v>
          </cell>
          <cell r="T7" t="str">
            <v>normal</v>
          </cell>
          <cell r="U7" t="str">
            <v>NULL</v>
          </cell>
          <cell r="V7" t="str">
            <v>NULL</v>
          </cell>
          <cell r="W7" t="str">
            <v>NULL</v>
          </cell>
        </row>
        <row r="8">
          <cell r="A8">
            <v>7</v>
          </cell>
          <cell r="B8" t="str">
            <v>ja</v>
          </cell>
          <cell r="C8" t="str">
            <v>エレキポット</v>
          </cell>
          <cell r="D8" t="str">
            <v>ノーマルクエスト</v>
          </cell>
          <cell r="E8" t="str">
            <v>QoH</v>
          </cell>
          <cell r="F8" t="str">
            <v>世界観</v>
          </cell>
          <cell r="G8" t="str">
            <v>不明</v>
          </cell>
          <cell r="H8" t="str">
            <v>yellow</v>
          </cell>
          <cell r="I8">
            <v>1</v>
          </cell>
          <cell r="J8" t="str">
            <v>Drop1T</v>
          </cell>
          <cell r="K8" t="str">
            <v>attack</v>
          </cell>
          <cell r="L8" t="str">
            <v>攻撃タイプ</v>
          </cell>
          <cell r="M8" t="str">
            <v>unknown</v>
          </cell>
          <cell r="N8" t="str">
            <v>Unknown</v>
          </cell>
          <cell r="O8" t="str">
            <v>none</v>
          </cell>
          <cell r="P8" t="str">
            <v>種族なし</v>
          </cell>
          <cell r="Q8" t="str">
            <v>アタッカー</v>
          </cell>
          <cell r="R8">
            <v>3</v>
          </cell>
          <cell r="S8" t="str">
            <v>NULL</v>
          </cell>
          <cell r="T8" t="str">
            <v>normal</v>
          </cell>
          <cell r="U8" t="str">
            <v>NULL</v>
          </cell>
          <cell r="V8" t="str">
            <v>NULL</v>
          </cell>
          <cell r="W8" t="str">
            <v>NULL</v>
          </cell>
        </row>
        <row r="9">
          <cell r="A9">
            <v>8</v>
          </cell>
          <cell r="B9" t="str">
            <v>ja</v>
          </cell>
          <cell r="C9" t="str">
            <v>ハイボルテージ エレキポット</v>
          </cell>
          <cell r="D9" t="str">
            <v>ノーマルクエスト</v>
          </cell>
          <cell r="E9" t="str">
            <v>QoH</v>
          </cell>
          <cell r="F9" t="str">
            <v>世界観</v>
          </cell>
          <cell r="G9" t="str">
            <v>不明</v>
          </cell>
          <cell r="H9" t="str">
            <v>yellow</v>
          </cell>
          <cell r="I9">
            <v>2</v>
          </cell>
          <cell r="J9" t="str">
            <v>Drop1T</v>
          </cell>
          <cell r="K9" t="str">
            <v>attack</v>
          </cell>
          <cell r="L9" t="str">
            <v>攻撃タイプ</v>
          </cell>
          <cell r="M9" t="str">
            <v>unknown</v>
          </cell>
          <cell r="N9" t="str">
            <v>Unknown</v>
          </cell>
          <cell r="O9" t="str">
            <v>none</v>
          </cell>
          <cell r="P9" t="str">
            <v>種族なし</v>
          </cell>
          <cell r="Q9" t="str">
            <v>アタッカー</v>
          </cell>
          <cell r="R9">
            <v>3</v>
          </cell>
          <cell r="S9" t="str">
            <v>NULL</v>
          </cell>
          <cell r="T9" t="str">
            <v>normal</v>
          </cell>
          <cell r="U9" t="str">
            <v>NULL</v>
          </cell>
          <cell r="V9" t="str">
            <v>NULL</v>
          </cell>
          <cell r="W9" t="str">
            <v>NULL</v>
          </cell>
        </row>
        <row r="10">
          <cell r="A10">
            <v>9</v>
          </cell>
          <cell r="B10" t="str">
            <v>ja</v>
          </cell>
          <cell r="C10" t="str">
            <v>ブレット</v>
          </cell>
          <cell r="D10" t="str">
            <v>ノーマルクエスト</v>
          </cell>
          <cell r="E10" t="str">
            <v>アバター</v>
          </cell>
          <cell r="F10" t="str">
            <v>世界観</v>
          </cell>
          <cell r="G10" t="str">
            <v>不明</v>
          </cell>
          <cell r="H10" t="str">
            <v>red</v>
          </cell>
          <cell r="I10">
            <v>1</v>
          </cell>
          <cell r="J10" t="str">
            <v>Drop1W</v>
          </cell>
          <cell r="K10" t="str">
            <v>attack</v>
          </cell>
          <cell r="L10" t="str">
            <v>攻撃タイプ</v>
          </cell>
          <cell r="M10" t="str">
            <v>animal</v>
          </cell>
          <cell r="N10" t="str">
            <v>アニマル</v>
          </cell>
          <cell r="O10" t="str">
            <v>none</v>
          </cell>
          <cell r="P10" t="str">
            <v>種族なし</v>
          </cell>
          <cell r="Q10" t="str">
            <v>アタッカー</v>
          </cell>
          <cell r="R10">
            <v>3</v>
          </cell>
          <cell r="S10" t="str">
            <v>NULL</v>
          </cell>
          <cell r="T10" t="str">
            <v>normal</v>
          </cell>
          <cell r="U10" t="str">
            <v>NULL</v>
          </cell>
          <cell r="V10" t="str">
            <v>NULL</v>
          </cell>
          <cell r="W10" t="str">
            <v>NULL</v>
          </cell>
        </row>
        <row r="11">
          <cell r="A11">
            <v>10</v>
          </cell>
          <cell r="B11" t="str">
            <v>ja</v>
          </cell>
          <cell r="C11" t="str">
            <v>燃える悪戯魂 ブレット</v>
          </cell>
          <cell r="D11" t="str">
            <v>ノーマルクエスト</v>
          </cell>
          <cell r="E11" t="str">
            <v>アバター</v>
          </cell>
          <cell r="F11" t="str">
            <v>世界観</v>
          </cell>
          <cell r="G11" t="str">
            <v>不明</v>
          </cell>
          <cell r="H11" t="str">
            <v>red</v>
          </cell>
          <cell r="I11">
            <v>2</v>
          </cell>
          <cell r="J11" t="str">
            <v>Drop1W</v>
          </cell>
          <cell r="K11" t="str">
            <v>attack</v>
          </cell>
          <cell r="L11" t="str">
            <v>攻撃タイプ</v>
          </cell>
          <cell r="M11" t="str">
            <v>animal</v>
          </cell>
          <cell r="N11" t="str">
            <v>アニマル</v>
          </cell>
          <cell r="O11" t="str">
            <v>none</v>
          </cell>
          <cell r="P11" t="str">
            <v>種族なし</v>
          </cell>
          <cell r="Q11" t="str">
            <v>アタッカー</v>
          </cell>
          <cell r="R11">
            <v>3</v>
          </cell>
          <cell r="S11" t="str">
            <v>NULL</v>
          </cell>
          <cell r="T11" t="str">
            <v>normal</v>
          </cell>
          <cell r="U11" t="str">
            <v>NULL</v>
          </cell>
          <cell r="V11" t="str">
            <v>NULL</v>
          </cell>
          <cell r="W11" t="str">
            <v>NULL</v>
          </cell>
        </row>
        <row r="12">
          <cell r="A12">
            <v>11</v>
          </cell>
          <cell r="B12" t="str">
            <v>ja</v>
          </cell>
          <cell r="C12" t="str">
            <v>マグリット</v>
          </cell>
          <cell r="D12" t="str">
            <v>ノーマルクエスト</v>
          </cell>
          <cell r="E12" t="str">
            <v>アバター</v>
          </cell>
          <cell r="F12" t="str">
            <v>世界観</v>
          </cell>
          <cell r="G12" t="str">
            <v>不明</v>
          </cell>
          <cell r="H12" t="str">
            <v>green</v>
          </cell>
          <cell r="I12">
            <v>1</v>
          </cell>
          <cell r="J12" t="str">
            <v>Drop1W</v>
          </cell>
          <cell r="K12" t="str">
            <v>heal</v>
          </cell>
          <cell r="L12" t="str">
            <v>回復タイプ</v>
          </cell>
          <cell r="M12" t="str">
            <v>animal</v>
          </cell>
          <cell r="N12" t="str">
            <v>アニマル</v>
          </cell>
          <cell r="O12" t="str">
            <v>none</v>
          </cell>
          <cell r="P12" t="str">
            <v>種族なし</v>
          </cell>
          <cell r="Q12" t="str">
            <v>ヒーラー</v>
          </cell>
          <cell r="R12">
            <v>3</v>
          </cell>
          <cell r="S12" t="str">
            <v>NULL</v>
          </cell>
          <cell r="T12" t="str">
            <v>normal</v>
          </cell>
          <cell r="U12" t="str">
            <v>NULL</v>
          </cell>
          <cell r="V12" t="str">
            <v>NULL</v>
          </cell>
          <cell r="W12" t="str">
            <v>NULL</v>
          </cell>
        </row>
        <row r="13">
          <cell r="A13">
            <v>12</v>
          </cell>
          <cell r="B13" t="str">
            <v>ja</v>
          </cell>
          <cell r="C13" t="str">
            <v>癒しのグラフィティ マグリット</v>
          </cell>
          <cell r="D13" t="str">
            <v>ノーマルクエスト</v>
          </cell>
          <cell r="E13" t="str">
            <v>アバター</v>
          </cell>
          <cell r="F13" t="str">
            <v>世界観</v>
          </cell>
          <cell r="G13" t="str">
            <v>不明</v>
          </cell>
          <cell r="H13" t="str">
            <v>green</v>
          </cell>
          <cell r="I13">
            <v>2</v>
          </cell>
          <cell r="J13" t="str">
            <v>Drop1W</v>
          </cell>
          <cell r="K13" t="str">
            <v>heal</v>
          </cell>
          <cell r="L13" t="str">
            <v>回復タイプ</v>
          </cell>
          <cell r="M13" t="str">
            <v>animal</v>
          </cell>
          <cell r="N13" t="str">
            <v>アニマル</v>
          </cell>
          <cell r="O13" t="str">
            <v>none</v>
          </cell>
          <cell r="P13" t="str">
            <v>種族なし</v>
          </cell>
          <cell r="Q13" t="str">
            <v>ヒーラー</v>
          </cell>
          <cell r="R13">
            <v>3</v>
          </cell>
          <cell r="S13" t="str">
            <v>NULL</v>
          </cell>
          <cell r="T13" t="str">
            <v>normal</v>
          </cell>
          <cell r="U13" t="str">
            <v>NULL</v>
          </cell>
          <cell r="V13" t="str">
            <v>NULL</v>
          </cell>
          <cell r="W13" t="str">
            <v>NULL</v>
          </cell>
        </row>
        <row r="14">
          <cell r="A14">
            <v>13</v>
          </cell>
          <cell r="B14" t="str">
            <v>ja</v>
          </cell>
          <cell r="C14" t="str">
            <v>ミミ</v>
          </cell>
          <cell r="D14" t="str">
            <v>ノーマルクエスト</v>
          </cell>
          <cell r="E14" t="str">
            <v>アバター</v>
          </cell>
          <cell r="F14" t="str">
            <v>世界観</v>
          </cell>
          <cell r="G14" t="str">
            <v>不明</v>
          </cell>
          <cell r="H14" t="str">
            <v>yellow</v>
          </cell>
          <cell r="I14">
            <v>1</v>
          </cell>
          <cell r="J14" t="str">
            <v>Drop1W</v>
          </cell>
          <cell r="K14" t="str">
            <v>attack</v>
          </cell>
          <cell r="L14" t="str">
            <v>攻撃タイプ</v>
          </cell>
          <cell r="M14" t="str">
            <v>animal</v>
          </cell>
          <cell r="N14" t="str">
            <v>アニマル</v>
          </cell>
          <cell r="O14" t="str">
            <v>none</v>
          </cell>
          <cell r="P14" t="str">
            <v>種族なし</v>
          </cell>
          <cell r="Q14" t="str">
            <v>アタッカー</v>
          </cell>
          <cell r="R14">
            <v>3</v>
          </cell>
          <cell r="S14" t="str">
            <v>NULL</v>
          </cell>
          <cell r="T14" t="str">
            <v>normal</v>
          </cell>
          <cell r="U14" t="str">
            <v>NULL</v>
          </cell>
          <cell r="V14" t="str">
            <v>NULL</v>
          </cell>
          <cell r="W14" t="str">
            <v>NULL</v>
          </cell>
        </row>
        <row r="15">
          <cell r="A15">
            <v>14</v>
          </cell>
          <cell r="B15" t="str">
            <v>ja</v>
          </cell>
          <cell r="C15" t="str">
            <v>ミミ・ザ・ガンマンキャット</v>
          </cell>
          <cell r="D15" t="str">
            <v>ノーマルクエスト</v>
          </cell>
          <cell r="E15" t="str">
            <v>アバター</v>
          </cell>
          <cell r="F15" t="str">
            <v>世界観</v>
          </cell>
          <cell r="G15" t="str">
            <v>不明</v>
          </cell>
          <cell r="H15" t="str">
            <v>yellow</v>
          </cell>
          <cell r="I15">
            <v>2</v>
          </cell>
          <cell r="J15" t="str">
            <v>Drop1W</v>
          </cell>
          <cell r="K15" t="str">
            <v>attack</v>
          </cell>
          <cell r="L15" t="str">
            <v>攻撃タイプ</v>
          </cell>
          <cell r="M15" t="str">
            <v>animal</v>
          </cell>
          <cell r="N15" t="str">
            <v>アニマル</v>
          </cell>
          <cell r="O15" t="str">
            <v>none</v>
          </cell>
          <cell r="P15" t="str">
            <v>種族なし</v>
          </cell>
          <cell r="Q15" t="str">
            <v>アタッカー</v>
          </cell>
          <cell r="R15">
            <v>3</v>
          </cell>
          <cell r="S15" t="str">
            <v>NULL</v>
          </cell>
          <cell r="T15" t="str">
            <v>normal</v>
          </cell>
          <cell r="U15" t="str">
            <v>NULL</v>
          </cell>
          <cell r="V15" t="str">
            <v>NULL</v>
          </cell>
          <cell r="W15" t="str">
            <v>NULL</v>
          </cell>
        </row>
        <row r="16">
          <cell r="A16">
            <v>15</v>
          </cell>
          <cell r="B16" t="str">
            <v>ja</v>
          </cell>
          <cell r="C16" t="str">
            <v>アカネ</v>
          </cell>
          <cell r="D16" t="str">
            <v>ノーマルクエスト</v>
          </cell>
          <cell r="E16" t="str">
            <v>アバター</v>
          </cell>
          <cell r="F16" t="str">
            <v>世界観</v>
          </cell>
          <cell r="G16" t="str">
            <v>女性</v>
          </cell>
          <cell r="H16" t="str">
            <v>red</v>
          </cell>
          <cell r="I16">
            <v>1</v>
          </cell>
          <cell r="J16" t="str">
            <v>Drop1W</v>
          </cell>
          <cell r="K16" t="str">
            <v>balance</v>
          </cell>
          <cell r="L16" t="str">
            <v>バランスタイプ</v>
          </cell>
          <cell r="M16" t="str">
            <v>human</v>
          </cell>
          <cell r="N16" t="str">
            <v>ヒューマン</v>
          </cell>
          <cell r="O16" t="str">
            <v>none</v>
          </cell>
          <cell r="P16" t="str">
            <v>種族なし</v>
          </cell>
          <cell r="Q16" t="str">
            <v>バッファー</v>
          </cell>
          <cell r="R16">
            <v>3</v>
          </cell>
          <cell r="S16" t="str">
            <v>NULL</v>
          </cell>
          <cell r="T16" t="str">
            <v>normal</v>
          </cell>
          <cell r="U16" t="str">
            <v>NULL</v>
          </cell>
          <cell r="V16" t="str">
            <v>NULL</v>
          </cell>
          <cell r="W16" t="str">
            <v>NULL</v>
          </cell>
        </row>
        <row r="17">
          <cell r="A17">
            <v>16</v>
          </cell>
          <cell r="B17" t="str">
            <v>ja</v>
          </cell>
          <cell r="C17" t="str">
            <v>炎戦少女 アカネ</v>
          </cell>
          <cell r="D17" t="str">
            <v>ノーマルクエスト</v>
          </cell>
          <cell r="E17" t="str">
            <v>アバター</v>
          </cell>
          <cell r="F17" t="str">
            <v>世界観</v>
          </cell>
          <cell r="G17" t="str">
            <v>女性</v>
          </cell>
          <cell r="H17" t="str">
            <v>red</v>
          </cell>
          <cell r="I17">
            <v>2</v>
          </cell>
          <cell r="J17" t="str">
            <v>Drop1W</v>
          </cell>
          <cell r="K17" t="str">
            <v>balance</v>
          </cell>
          <cell r="L17" t="str">
            <v>バランスタイプ</v>
          </cell>
          <cell r="M17" t="str">
            <v>human</v>
          </cell>
          <cell r="N17" t="str">
            <v>ヒューマン</v>
          </cell>
          <cell r="O17" t="str">
            <v>none</v>
          </cell>
          <cell r="P17" t="str">
            <v>種族なし</v>
          </cell>
          <cell r="Q17" t="str">
            <v>バッファー</v>
          </cell>
          <cell r="R17">
            <v>3</v>
          </cell>
          <cell r="S17" t="str">
            <v>NULL</v>
          </cell>
          <cell r="T17" t="str">
            <v>normal</v>
          </cell>
          <cell r="U17" t="str">
            <v>NULL</v>
          </cell>
          <cell r="V17" t="str">
            <v>NULL</v>
          </cell>
          <cell r="W17" t="str">
            <v>NULL</v>
          </cell>
        </row>
        <row r="18">
          <cell r="A18">
            <v>17</v>
          </cell>
          <cell r="B18" t="str">
            <v>ja</v>
          </cell>
          <cell r="C18" t="str">
            <v>リム</v>
          </cell>
          <cell r="D18" t="str">
            <v>ノーマルクエスト</v>
          </cell>
          <cell r="E18" t="str">
            <v>アバター</v>
          </cell>
          <cell r="F18" t="str">
            <v>世界観</v>
          </cell>
          <cell r="G18" t="str">
            <v>女性</v>
          </cell>
          <cell r="H18" t="str">
            <v>blue</v>
          </cell>
          <cell r="I18">
            <v>1</v>
          </cell>
          <cell r="J18" t="str">
            <v>Drop1W</v>
          </cell>
          <cell r="K18" t="str">
            <v>balance</v>
          </cell>
          <cell r="L18" t="str">
            <v>バランスタイプ</v>
          </cell>
          <cell r="M18" t="str">
            <v>human</v>
          </cell>
          <cell r="N18" t="str">
            <v>ヒューマン</v>
          </cell>
          <cell r="O18" t="str">
            <v>machine</v>
          </cell>
          <cell r="P18" t="str">
            <v>マシン</v>
          </cell>
          <cell r="Q18" t="str">
            <v>バッファー</v>
          </cell>
          <cell r="R18">
            <v>3</v>
          </cell>
          <cell r="S18" t="str">
            <v>NULL</v>
          </cell>
          <cell r="T18" t="str">
            <v>normal</v>
          </cell>
          <cell r="U18" t="str">
            <v>NULL</v>
          </cell>
          <cell r="V18" t="str">
            <v>NULL</v>
          </cell>
          <cell r="W18" t="str">
            <v>NULL</v>
          </cell>
        </row>
        <row r="19">
          <cell r="A19">
            <v>18</v>
          </cell>
          <cell r="B19" t="str">
            <v>ja</v>
          </cell>
          <cell r="C19" t="str">
            <v>戦闘案内人 リム</v>
          </cell>
          <cell r="D19" t="str">
            <v>ノーマルクエスト</v>
          </cell>
          <cell r="E19" t="str">
            <v>アバター</v>
          </cell>
          <cell r="F19" t="str">
            <v>世界観</v>
          </cell>
          <cell r="G19" t="str">
            <v>女性</v>
          </cell>
          <cell r="H19" t="str">
            <v>blue</v>
          </cell>
          <cell r="I19">
            <v>2</v>
          </cell>
          <cell r="J19" t="str">
            <v>Drop1W</v>
          </cell>
          <cell r="K19" t="str">
            <v>balance</v>
          </cell>
          <cell r="L19" t="str">
            <v>バランスタイプ</v>
          </cell>
          <cell r="M19" t="str">
            <v>human</v>
          </cell>
          <cell r="N19" t="str">
            <v>ヒューマン</v>
          </cell>
          <cell r="O19" t="str">
            <v>machine</v>
          </cell>
          <cell r="P19" t="str">
            <v>マシン</v>
          </cell>
          <cell r="Q19" t="str">
            <v>バッファー</v>
          </cell>
          <cell r="R19">
            <v>3</v>
          </cell>
          <cell r="S19" t="str">
            <v>NULL</v>
          </cell>
          <cell r="T19" t="str">
            <v>normal</v>
          </cell>
          <cell r="U19" t="str">
            <v>NULL</v>
          </cell>
          <cell r="V19" t="str">
            <v>NULL</v>
          </cell>
          <cell r="W19" t="str">
            <v>NULL</v>
          </cell>
        </row>
        <row r="20">
          <cell r="A20">
            <v>19</v>
          </cell>
          <cell r="B20" t="str">
            <v>ja</v>
          </cell>
          <cell r="C20" t="str">
            <v>ティンク</v>
          </cell>
          <cell r="D20" t="str">
            <v>ノーマルクエスト</v>
          </cell>
          <cell r="E20" t="str">
            <v>アバター</v>
          </cell>
          <cell r="F20" t="str">
            <v>世界観</v>
          </cell>
          <cell r="G20" t="str">
            <v>女性</v>
          </cell>
          <cell r="H20" t="str">
            <v>yellow</v>
          </cell>
          <cell r="I20">
            <v>1</v>
          </cell>
          <cell r="J20" t="str">
            <v>Drop1W</v>
          </cell>
          <cell r="K20" t="str">
            <v>balance</v>
          </cell>
          <cell r="L20" t="str">
            <v>バランスタイプ</v>
          </cell>
          <cell r="M20" t="str">
            <v>human</v>
          </cell>
          <cell r="N20" t="str">
            <v>ヒューマン</v>
          </cell>
          <cell r="O20" t="str">
            <v>none</v>
          </cell>
          <cell r="P20" t="str">
            <v>種族なし</v>
          </cell>
          <cell r="Q20" t="str">
            <v>バッファー</v>
          </cell>
          <cell r="R20">
            <v>3</v>
          </cell>
          <cell r="S20" t="str">
            <v>NULL</v>
          </cell>
          <cell r="T20" t="str">
            <v>normal</v>
          </cell>
          <cell r="U20" t="str">
            <v>NULL</v>
          </cell>
          <cell r="V20" t="str">
            <v>NULL</v>
          </cell>
          <cell r="W20" t="str">
            <v>NULL</v>
          </cell>
        </row>
        <row r="21">
          <cell r="A21">
            <v>20</v>
          </cell>
          <cell r="B21" t="str">
            <v>ja</v>
          </cell>
          <cell r="C21" t="str">
            <v>電子妖精 ティンク</v>
          </cell>
          <cell r="D21" t="str">
            <v>ノーマルクエスト</v>
          </cell>
          <cell r="E21" t="str">
            <v>アバター</v>
          </cell>
          <cell r="F21" t="str">
            <v>世界観</v>
          </cell>
          <cell r="G21" t="str">
            <v>女性</v>
          </cell>
          <cell r="H21" t="str">
            <v>yellow</v>
          </cell>
          <cell r="I21">
            <v>2</v>
          </cell>
          <cell r="J21" t="str">
            <v>Drop1W</v>
          </cell>
          <cell r="K21" t="str">
            <v>balance</v>
          </cell>
          <cell r="L21" t="str">
            <v>バランスタイプ</v>
          </cell>
          <cell r="M21" t="str">
            <v>human</v>
          </cell>
          <cell r="N21" t="str">
            <v>ヒューマン</v>
          </cell>
          <cell r="O21" t="str">
            <v>none</v>
          </cell>
          <cell r="P21" t="str">
            <v>種族なし</v>
          </cell>
          <cell r="Q21" t="str">
            <v>バッファー</v>
          </cell>
          <cell r="R21">
            <v>3</v>
          </cell>
          <cell r="S21" t="str">
            <v>NULL</v>
          </cell>
          <cell r="T21" t="str">
            <v>normal</v>
          </cell>
          <cell r="U21" t="str">
            <v>NULL</v>
          </cell>
          <cell r="V21" t="str">
            <v>NULL</v>
          </cell>
          <cell r="W21" t="str">
            <v>NULL</v>
          </cell>
        </row>
        <row r="22">
          <cell r="A22">
            <v>21</v>
          </cell>
          <cell r="B22" t="str">
            <v>ja</v>
          </cell>
          <cell r="C22" t="str">
            <v>ヴェロキー</v>
          </cell>
          <cell r="D22" t="str">
            <v>ノーマルクエスト</v>
          </cell>
          <cell r="E22" t="str">
            <v>アバター</v>
          </cell>
          <cell r="F22" t="str">
            <v>世界観</v>
          </cell>
          <cell r="G22" t="str">
            <v>不明</v>
          </cell>
          <cell r="H22" t="str">
            <v>red</v>
          </cell>
          <cell r="I22">
            <v>1</v>
          </cell>
          <cell r="J22" t="str">
            <v>Drop1N</v>
          </cell>
          <cell r="K22" t="str">
            <v>hp</v>
          </cell>
          <cell r="L22" t="str">
            <v>体力タイプ</v>
          </cell>
          <cell r="M22" t="str">
            <v>dragon</v>
          </cell>
          <cell r="N22" t="str">
            <v>ドラゴン</v>
          </cell>
          <cell r="O22" t="str">
            <v>none</v>
          </cell>
          <cell r="P22" t="str">
            <v>種族なし</v>
          </cell>
          <cell r="Q22" t="str">
            <v>アタッカー</v>
          </cell>
          <cell r="R22">
            <v>3</v>
          </cell>
          <cell r="S22" t="str">
            <v>NULL</v>
          </cell>
          <cell r="T22" t="str">
            <v>normal</v>
          </cell>
          <cell r="U22" t="str">
            <v>NULL</v>
          </cell>
          <cell r="V22" t="str">
            <v>NULL</v>
          </cell>
          <cell r="W22" t="str">
            <v>NULL</v>
          </cell>
        </row>
        <row r="23">
          <cell r="A23">
            <v>22</v>
          </cell>
          <cell r="B23" t="str">
            <v>ja</v>
          </cell>
          <cell r="C23" t="str">
            <v>突然変異ヴェロキー</v>
          </cell>
          <cell r="D23" t="str">
            <v>ノーマルクエスト</v>
          </cell>
          <cell r="E23" t="str">
            <v>アバター</v>
          </cell>
          <cell r="F23" t="str">
            <v>世界観</v>
          </cell>
          <cell r="G23" t="str">
            <v>不明</v>
          </cell>
          <cell r="H23" t="str">
            <v>red</v>
          </cell>
          <cell r="I23">
            <v>2</v>
          </cell>
          <cell r="J23" t="str">
            <v>Drop1N</v>
          </cell>
          <cell r="K23" t="str">
            <v>hp</v>
          </cell>
          <cell r="L23" t="str">
            <v>体力タイプ</v>
          </cell>
          <cell r="M23" t="str">
            <v>dragon</v>
          </cell>
          <cell r="N23" t="str">
            <v>ドラゴン</v>
          </cell>
          <cell r="O23" t="str">
            <v>none</v>
          </cell>
          <cell r="P23" t="str">
            <v>種族なし</v>
          </cell>
          <cell r="Q23" t="str">
            <v>アタッカー</v>
          </cell>
          <cell r="R23">
            <v>3</v>
          </cell>
          <cell r="S23" t="str">
            <v>NULL</v>
          </cell>
          <cell r="T23" t="str">
            <v>normal</v>
          </cell>
          <cell r="U23" t="str">
            <v>NULL</v>
          </cell>
          <cell r="V23" t="str">
            <v>NULL</v>
          </cell>
          <cell r="W23" t="str">
            <v>NULL</v>
          </cell>
        </row>
        <row r="24">
          <cell r="A24">
            <v>23</v>
          </cell>
          <cell r="B24" t="str">
            <v>ja</v>
          </cell>
          <cell r="C24" t="str">
            <v>ミール</v>
          </cell>
          <cell r="D24" t="str">
            <v>ノーマルクエスト</v>
          </cell>
          <cell r="E24" t="str">
            <v>アバター</v>
          </cell>
          <cell r="F24" t="str">
            <v>世界観</v>
          </cell>
          <cell r="G24" t="str">
            <v>不明</v>
          </cell>
          <cell r="H24" t="str">
            <v>green</v>
          </cell>
          <cell r="I24">
            <v>1</v>
          </cell>
          <cell r="J24" t="str">
            <v>Drop1N</v>
          </cell>
          <cell r="K24" t="str">
            <v>hp</v>
          </cell>
          <cell r="L24" t="str">
            <v>体力タイプ</v>
          </cell>
          <cell r="M24" t="str">
            <v>animal</v>
          </cell>
          <cell r="N24" t="str">
            <v>アニマル</v>
          </cell>
          <cell r="O24" t="str">
            <v>none</v>
          </cell>
          <cell r="P24" t="str">
            <v>種族なし</v>
          </cell>
          <cell r="Q24" t="str">
            <v>アタッカー</v>
          </cell>
          <cell r="R24">
            <v>3</v>
          </cell>
          <cell r="S24" t="str">
            <v>NULL</v>
          </cell>
          <cell r="T24" t="str">
            <v>normal</v>
          </cell>
          <cell r="U24" t="str">
            <v>NULL</v>
          </cell>
          <cell r="V24" t="str">
            <v>NULL</v>
          </cell>
          <cell r="W24" t="str">
            <v>NULL</v>
          </cell>
        </row>
        <row r="25">
          <cell r="A25">
            <v>24</v>
          </cell>
          <cell r="B25" t="str">
            <v>ja</v>
          </cell>
          <cell r="C25" t="str">
            <v>天翔のミール</v>
          </cell>
          <cell r="D25" t="str">
            <v>ノーマルクエスト</v>
          </cell>
          <cell r="E25" t="str">
            <v>アバター</v>
          </cell>
          <cell r="F25" t="str">
            <v>世界観</v>
          </cell>
          <cell r="G25" t="str">
            <v>不明</v>
          </cell>
          <cell r="H25" t="str">
            <v>green</v>
          </cell>
          <cell r="I25">
            <v>2</v>
          </cell>
          <cell r="J25" t="str">
            <v>Drop1N</v>
          </cell>
          <cell r="K25" t="str">
            <v>hp</v>
          </cell>
          <cell r="L25" t="str">
            <v>体力タイプ</v>
          </cell>
          <cell r="M25" t="str">
            <v>animal</v>
          </cell>
          <cell r="N25" t="str">
            <v>アニマル</v>
          </cell>
          <cell r="O25" t="str">
            <v>none</v>
          </cell>
          <cell r="P25" t="str">
            <v>種族なし</v>
          </cell>
          <cell r="Q25" t="str">
            <v>アタッカー</v>
          </cell>
          <cell r="R25">
            <v>3</v>
          </cell>
          <cell r="S25" t="str">
            <v>NULL</v>
          </cell>
          <cell r="T25" t="str">
            <v>normal</v>
          </cell>
          <cell r="U25" t="str">
            <v>NULL</v>
          </cell>
          <cell r="V25" t="str">
            <v>NULL</v>
          </cell>
          <cell r="W25" t="str">
            <v>NULL</v>
          </cell>
        </row>
        <row r="26">
          <cell r="A26">
            <v>25</v>
          </cell>
          <cell r="B26" t="str">
            <v>ja</v>
          </cell>
          <cell r="C26" t="str">
            <v>ハチ</v>
          </cell>
          <cell r="D26" t="str">
            <v>ノーマルクエスト</v>
          </cell>
          <cell r="E26" t="str">
            <v>アバター</v>
          </cell>
          <cell r="F26" t="str">
            <v>世界観</v>
          </cell>
          <cell r="G26" t="str">
            <v>不明</v>
          </cell>
          <cell r="H26" t="str">
            <v>blue</v>
          </cell>
          <cell r="I26">
            <v>1</v>
          </cell>
          <cell r="J26" t="str">
            <v>Drop1N</v>
          </cell>
          <cell r="K26" t="str">
            <v>hp</v>
          </cell>
          <cell r="L26" t="str">
            <v>体力タイプ</v>
          </cell>
          <cell r="M26" t="str">
            <v>animal</v>
          </cell>
          <cell r="N26" t="str">
            <v>アニマル</v>
          </cell>
          <cell r="O26" t="str">
            <v>none</v>
          </cell>
          <cell r="P26" t="str">
            <v>種族なし</v>
          </cell>
          <cell r="Q26" t="str">
            <v>アタッカー</v>
          </cell>
          <cell r="R26">
            <v>3</v>
          </cell>
          <cell r="S26" t="str">
            <v>NULL</v>
          </cell>
          <cell r="T26" t="str">
            <v>normal</v>
          </cell>
          <cell r="U26" t="str">
            <v>NULL</v>
          </cell>
          <cell r="V26" t="str">
            <v>NULL</v>
          </cell>
          <cell r="W26" t="str">
            <v>NULL</v>
          </cell>
        </row>
        <row r="27">
          <cell r="A27">
            <v>26</v>
          </cell>
          <cell r="B27" t="str">
            <v>ja</v>
          </cell>
          <cell r="C27" t="str">
            <v>勇犬 ハチ</v>
          </cell>
          <cell r="D27" t="str">
            <v>ノーマルクエスト</v>
          </cell>
          <cell r="E27" t="str">
            <v>アバター</v>
          </cell>
          <cell r="F27" t="str">
            <v>世界観</v>
          </cell>
          <cell r="G27" t="str">
            <v>不明</v>
          </cell>
          <cell r="H27" t="str">
            <v>blue</v>
          </cell>
          <cell r="I27">
            <v>2</v>
          </cell>
          <cell r="J27" t="str">
            <v>Drop1N</v>
          </cell>
          <cell r="K27" t="str">
            <v>hp</v>
          </cell>
          <cell r="L27" t="str">
            <v>体力タイプ</v>
          </cell>
          <cell r="M27" t="str">
            <v>animal</v>
          </cell>
          <cell r="N27" t="str">
            <v>アニマル</v>
          </cell>
          <cell r="O27" t="str">
            <v>none</v>
          </cell>
          <cell r="P27" t="str">
            <v>種族なし</v>
          </cell>
          <cell r="Q27" t="str">
            <v>アタッカー</v>
          </cell>
          <cell r="R27">
            <v>3</v>
          </cell>
          <cell r="S27" t="str">
            <v>NULL</v>
          </cell>
          <cell r="T27" t="str">
            <v>normal</v>
          </cell>
          <cell r="U27" t="str">
            <v>NULL</v>
          </cell>
          <cell r="V27" t="str">
            <v>NULL</v>
          </cell>
          <cell r="W27" t="str">
            <v>NULL</v>
          </cell>
        </row>
        <row r="28">
          <cell r="A28">
            <v>27</v>
          </cell>
          <cell r="B28" t="str">
            <v>ja</v>
          </cell>
          <cell r="C28" t="str">
            <v>パトライン</v>
          </cell>
          <cell r="D28" t="str">
            <v>ノーマルクエスト</v>
          </cell>
          <cell r="E28" t="str">
            <v>アバター</v>
          </cell>
          <cell r="F28" t="str">
            <v>世界観</v>
          </cell>
          <cell r="G28" t="str">
            <v>不明</v>
          </cell>
          <cell r="H28" t="str">
            <v>green</v>
          </cell>
          <cell r="I28">
            <v>1</v>
          </cell>
          <cell r="J28" t="str">
            <v>Drop1N</v>
          </cell>
          <cell r="K28" t="str">
            <v>heal</v>
          </cell>
          <cell r="L28" t="str">
            <v>回復タイプ</v>
          </cell>
          <cell r="M28" t="str">
            <v>machine</v>
          </cell>
          <cell r="N28" t="str">
            <v>マシン</v>
          </cell>
          <cell r="O28" t="str">
            <v>none</v>
          </cell>
          <cell r="P28" t="str">
            <v>種族なし</v>
          </cell>
          <cell r="Q28" t="str">
            <v>アタッカー</v>
          </cell>
          <cell r="R28">
            <v>3</v>
          </cell>
          <cell r="S28" t="str">
            <v>NULL</v>
          </cell>
          <cell r="T28" t="str">
            <v>normal</v>
          </cell>
          <cell r="U28" t="str">
            <v>NULL</v>
          </cell>
          <cell r="V28" t="str">
            <v>NULL</v>
          </cell>
          <cell r="W28" t="str">
            <v>NULL</v>
          </cell>
        </row>
        <row r="29">
          <cell r="A29">
            <v>28</v>
          </cell>
          <cell r="B29" t="str">
            <v>ja</v>
          </cell>
          <cell r="C29" t="str">
            <v>現場急行 パトラインカスタム</v>
          </cell>
          <cell r="D29" t="str">
            <v>ノーマルクエスト</v>
          </cell>
          <cell r="E29" t="str">
            <v>アバター</v>
          </cell>
          <cell r="F29" t="str">
            <v>世界観</v>
          </cell>
          <cell r="G29" t="str">
            <v>不明</v>
          </cell>
          <cell r="H29" t="str">
            <v>green</v>
          </cell>
          <cell r="I29">
            <v>2</v>
          </cell>
          <cell r="J29" t="str">
            <v>Drop1N</v>
          </cell>
          <cell r="K29" t="str">
            <v>heal</v>
          </cell>
          <cell r="L29" t="str">
            <v>回復タイプ</v>
          </cell>
          <cell r="M29" t="str">
            <v>machine</v>
          </cell>
          <cell r="N29" t="str">
            <v>マシン</v>
          </cell>
          <cell r="O29" t="str">
            <v>none</v>
          </cell>
          <cell r="P29" t="str">
            <v>種族なし</v>
          </cell>
          <cell r="Q29" t="str">
            <v>アタッカー</v>
          </cell>
          <cell r="R29">
            <v>3</v>
          </cell>
          <cell r="S29" t="str">
            <v>NULL</v>
          </cell>
          <cell r="T29" t="str">
            <v>normal</v>
          </cell>
          <cell r="U29" t="str">
            <v>NULL</v>
          </cell>
          <cell r="V29" t="str">
            <v>NULL</v>
          </cell>
          <cell r="W29" t="str">
            <v>NULL</v>
          </cell>
        </row>
        <row r="30">
          <cell r="A30">
            <v>29</v>
          </cell>
          <cell r="B30" t="str">
            <v>ja</v>
          </cell>
          <cell r="C30" t="str">
            <v>スケアクロウ</v>
          </cell>
          <cell r="D30" t="str">
            <v>ノーマルクエスト</v>
          </cell>
          <cell r="E30" t="str">
            <v>アバター</v>
          </cell>
          <cell r="F30" t="str">
            <v>世界観</v>
          </cell>
          <cell r="G30" t="str">
            <v>不明</v>
          </cell>
          <cell r="H30" t="str">
            <v>blue</v>
          </cell>
          <cell r="I30">
            <v>1</v>
          </cell>
          <cell r="J30" t="str">
            <v>Drop1N</v>
          </cell>
          <cell r="K30" t="str">
            <v>heal</v>
          </cell>
          <cell r="L30" t="str">
            <v>回復タイプ</v>
          </cell>
          <cell r="M30" t="str">
            <v>machine</v>
          </cell>
          <cell r="N30" t="str">
            <v>マシン</v>
          </cell>
          <cell r="O30" t="str">
            <v>none</v>
          </cell>
          <cell r="P30" t="str">
            <v>種族なし</v>
          </cell>
          <cell r="Q30" t="str">
            <v>ヒーラー</v>
          </cell>
          <cell r="R30">
            <v>3</v>
          </cell>
          <cell r="S30" t="str">
            <v>NULL</v>
          </cell>
          <cell r="T30" t="str">
            <v>normal</v>
          </cell>
          <cell r="U30" t="str">
            <v>NULL</v>
          </cell>
          <cell r="V30" t="str">
            <v>NULL</v>
          </cell>
          <cell r="W30" t="str">
            <v>NULL</v>
          </cell>
        </row>
        <row r="31">
          <cell r="A31">
            <v>30</v>
          </cell>
          <cell r="B31" t="str">
            <v>ja</v>
          </cell>
          <cell r="C31" t="str">
            <v>護衛機人 スケアクロウ</v>
          </cell>
          <cell r="D31" t="str">
            <v>ノーマルクエスト</v>
          </cell>
          <cell r="E31" t="str">
            <v>アバター</v>
          </cell>
          <cell r="F31" t="str">
            <v>世界観</v>
          </cell>
          <cell r="G31" t="str">
            <v>不明</v>
          </cell>
          <cell r="H31" t="str">
            <v>blue</v>
          </cell>
          <cell r="I31">
            <v>2</v>
          </cell>
          <cell r="J31" t="str">
            <v>Drop1N</v>
          </cell>
          <cell r="K31" t="str">
            <v>heal</v>
          </cell>
          <cell r="L31" t="str">
            <v>回復タイプ</v>
          </cell>
          <cell r="M31" t="str">
            <v>machine</v>
          </cell>
          <cell r="N31" t="str">
            <v>マシン</v>
          </cell>
          <cell r="O31" t="str">
            <v>none</v>
          </cell>
          <cell r="P31" t="str">
            <v>種族なし</v>
          </cell>
          <cell r="Q31" t="str">
            <v>ヒーラー</v>
          </cell>
          <cell r="R31">
            <v>3</v>
          </cell>
          <cell r="S31" t="str">
            <v>NULL</v>
          </cell>
          <cell r="T31" t="str">
            <v>normal</v>
          </cell>
          <cell r="U31" t="str">
            <v>NULL</v>
          </cell>
          <cell r="V31" t="str">
            <v>NULL</v>
          </cell>
          <cell r="W31" t="str">
            <v>NULL</v>
          </cell>
        </row>
        <row r="32">
          <cell r="A32">
            <v>31</v>
          </cell>
          <cell r="B32" t="str">
            <v>ja</v>
          </cell>
          <cell r="C32" t="str">
            <v>マービー</v>
          </cell>
          <cell r="D32" t="str">
            <v>ノーマルクエスト</v>
          </cell>
          <cell r="E32" t="str">
            <v>アバター</v>
          </cell>
          <cell r="F32" t="str">
            <v>世界観</v>
          </cell>
          <cell r="G32" t="str">
            <v>不明</v>
          </cell>
          <cell r="H32" t="str">
            <v>yellow</v>
          </cell>
          <cell r="I32">
            <v>1</v>
          </cell>
          <cell r="J32" t="str">
            <v>Drop1N</v>
          </cell>
          <cell r="K32" t="str">
            <v>technical</v>
          </cell>
          <cell r="L32" t="str">
            <v>テクニカルタイプ</v>
          </cell>
          <cell r="M32" t="str">
            <v>machine</v>
          </cell>
          <cell r="N32" t="str">
            <v>マシン</v>
          </cell>
          <cell r="O32" t="str">
            <v>none</v>
          </cell>
          <cell r="P32" t="str">
            <v>種族なし</v>
          </cell>
          <cell r="Q32" t="str">
            <v>ハングアッパー</v>
          </cell>
          <cell r="R32">
            <v>3</v>
          </cell>
          <cell r="S32" t="str">
            <v>NULL</v>
          </cell>
          <cell r="T32" t="str">
            <v>normal</v>
          </cell>
          <cell r="U32" t="str">
            <v>NULL</v>
          </cell>
          <cell r="V32" t="str">
            <v>NULL</v>
          </cell>
          <cell r="W32" t="str">
            <v>NULL</v>
          </cell>
        </row>
        <row r="33">
          <cell r="A33">
            <v>32</v>
          </cell>
          <cell r="B33" t="str">
            <v>ja</v>
          </cell>
          <cell r="C33" t="str">
            <v>沈黙のジャミング マービー</v>
          </cell>
          <cell r="D33" t="str">
            <v>ノーマルクエスト</v>
          </cell>
          <cell r="E33" t="str">
            <v>アバター</v>
          </cell>
          <cell r="F33" t="str">
            <v>世界観</v>
          </cell>
          <cell r="G33" t="str">
            <v>不明</v>
          </cell>
          <cell r="H33" t="str">
            <v>yellow</v>
          </cell>
          <cell r="I33">
            <v>2</v>
          </cell>
          <cell r="J33" t="str">
            <v>Drop1N</v>
          </cell>
          <cell r="K33" t="str">
            <v>technical</v>
          </cell>
          <cell r="L33" t="str">
            <v>テクニカルタイプ</v>
          </cell>
          <cell r="M33" t="str">
            <v>machine</v>
          </cell>
          <cell r="N33" t="str">
            <v>マシン</v>
          </cell>
          <cell r="O33" t="str">
            <v>none</v>
          </cell>
          <cell r="P33" t="str">
            <v>種族なし</v>
          </cell>
          <cell r="Q33" t="str">
            <v>ハングアッパー</v>
          </cell>
          <cell r="R33">
            <v>3</v>
          </cell>
          <cell r="S33" t="str">
            <v>NULL</v>
          </cell>
          <cell r="T33" t="str">
            <v>normal</v>
          </cell>
          <cell r="U33" t="str">
            <v>NULL</v>
          </cell>
          <cell r="V33" t="str">
            <v>NULL</v>
          </cell>
          <cell r="W33" t="str">
            <v>NULL</v>
          </cell>
        </row>
        <row r="34">
          <cell r="A34">
            <v>33</v>
          </cell>
          <cell r="B34" t="str">
            <v>ja</v>
          </cell>
          <cell r="C34" t="str">
            <v>ゴクウ</v>
          </cell>
          <cell r="D34" t="str">
            <v>ノーマルクエスト</v>
          </cell>
          <cell r="E34" t="str">
            <v>アバター</v>
          </cell>
          <cell r="F34" t="str">
            <v>世界観</v>
          </cell>
          <cell r="G34" t="str">
            <v>男性</v>
          </cell>
          <cell r="H34" t="str">
            <v>red</v>
          </cell>
          <cell r="I34">
            <v>2</v>
          </cell>
          <cell r="J34" t="str">
            <v>Drop1S</v>
          </cell>
          <cell r="K34" t="str">
            <v>attack</v>
          </cell>
          <cell r="L34" t="str">
            <v>攻撃タイプ</v>
          </cell>
          <cell r="M34" t="str">
            <v>animal</v>
          </cell>
          <cell r="N34" t="str">
            <v>アニマル</v>
          </cell>
          <cell r="O34" t="str">
            <v>none</v>
          </cell>
          <cell r="P34" t="str">
            <v>種族なし</v>
          </cell>
          <cell r="Q34" t="str">
            <v>バッファー</v>
          </cell>
          <cell r="R34">
            <v>3</v>
          </cell>
          <cell r="S34" t="str">
            <v>NULL</v>
          </cell>
          <cell r="T34" t="str">
            <v>normal</v>
          </cell>
          <cell r="U34" t="str">
            <v>NULL</v>
          </cell>
          <cell r="V34" t="str">
            <v>NULL</v>
          </cell>
          <cell r="W34" t="str">
            <v>NULL</v>
          </cell>
        </row>
        <row r="35">
          <cell r="A35">
            <v>34</v>
          </cell>
          <cell r="B35" t="str">
            <v>ja</v>
          </cell>
          <cell r="C35" t="str">
            <v>斉天大聖 ゴクウ</v>
          </cell>
          <cell r="D35" t="str">
            <v>ノーマルクエスト</v>
          </cell>
          <cell r="E35" t="str">
            <v>アバター</v>
          </cell>
          <cell r="F35" t="str">
            <v>世界観</v>
          </cell>
          <cell r="G35" t="str">
            <v>男性</v>
          </cell>
          <cell r="H35" t="str">
            <v>red</v>
          </cell>
          <cell r="I35">
            <v>3</v>
          </cell>
          <cell r="J35" t="str">
            <v>Drop1S</v>
          </cell>
          <cell r="K35" t="str">
            <v>attack</v>
          </cell>
          <cell r="L35" t="str">
            <v>攻撃タイプ</v>
          </cell>
          <cell r="M35" t="str">
            <v>animal</v>
          </cell>
          <cell r="N35" t="str">
            <v>アニマル</v>
          </cell>
          <cell r="O35" t="str">
            <v>none</v>
          </cell>
          <cell r="P35" t="str">
            <v>種族なし</v>
          </cell>
          <cell r="Q35" t="str">
            <v>バッファー</v>
          </cell>
          <cell r="R35">
            <v>3</v>
          </cell>
          <cell r="S35" t="str">
            <v>NULL</v>
          </cell>
          <cell r="T35" t="str">
            <v>normal</v>
          </cell>
          <cell r="U35" t="str">
            <v>NULL</v>
          </cell>
          <cell r="V35" t="str">
            <v>NULL</v>
          </cell>
          <cell r="W35" t="str">
            <v>NULL</v>
          </cell>
        </row>
        <row r="36">
          <cell r="A36">
            <v>35</v>
          </cell>
          <cell r="B36" t="str">
            <v>ja</v>
          </cell>
          <cell r="C36" t="str">
            <v>F2</v>
          </cell>
          <cell r="D36" t="str">
            <v>ノーマルクエスト</v>
          </cell>
          <cell r="E36" t="str">
            <v>アバター</v>
          </cell>
          <cell r="F36" t="str">
            <v>世界観</v>
          </cell>
          <cell r="G36" t="str">
            <v>不明</v>
          </cell>
          <cell r="H36" t="str">
            <v>green</v>
          </cell>
          <cell r="I36">
            <v>2</v>
          </cell>
          <cell r="J36" t="str">
            <v>Drop1S</v>
          </cell>
          <cell r="K36" t="str">
            <v>technical</v>
          </cell>
          <cell r="L36" t="str">
            <v>テクニカルタイプ</v>
          </cell>
          <cell r="M36" t="str">
            <v>machine</v>
          </cell>
          <cell r="N36" t="str">
            <v>マシン</v>
          </cell>
          <cell r="O36" t="str">
            <v>none</v>
          </cell>
          <cell r="P36" t="str">
            <v>種族なし</v>
          </cell>
          <cell r="Q36" t="str">
            <v>バッファー</v>
          </cell>
          <cell r="R36">
            <v>3</v>
          </cell>
          <cell r="S36" t="str">
            <v>NULL</v>
          </cell>
          <cell r="T36" t="str">
            <v>normal</v>
          </cell>
          <cell r="U36" t="str">
            <v>NULL</v>
          </cell>
          <cell r="V36" t="str">
            <v>NULL</v>
          </cell>
          <cell r="W36" t="str">
            <v>NULL</v>
          </cell>
        </row>
        <row r="37">
          <cell r="A37">
            <v>36</v>
          </cell>
          <cell r="B37" t="str">
            <v>ja</v>
          </cell>
          <cell r="C37" t="str">
            <v>オフィス追尾型移動地雷F3</v>
          </cell>
          <cell r="D37" t="str">
            <v>ノーマルクエスト</v>
          </cell>
          <cell r="E37" t="str">
            <v>アバター</v>
          </cell>
          <cell r="F37" t="str">
            <v>世界観</v>
          </cell>
          <cell r="G37" t="str">
            <v>不明</v>
          </cell>
          <cell r="H37" t="str">
            <v>green</v>
          </cell>
          <cell r="I37">
            <v>3</v>
          </cell>
          <cell r="J37" t="str">
            <v>Drop1S</v>
          </cell>
          <cell r="K37" t="str">
            <v>technical</v>
          </cell>
          <cell r="L37" t="str">
            <v>テクニカルタイプ</v>
          </cell>
          <cell r="M37" t="str">
            <v>machine</v>
          </cell>
          <cell r="N37" t="str">
            <v>マシン</v>
          </cell>
          <cell r="O37" t="str">
            <v>none</v>
          </cell>
          <cell r="P37" t="str">
            <v>種族なし</v>
          </cell>
          <cell r="Q37" t="str">
            <v>バッファー</v>
          </cell>
          <cell r="R37">
            <v>3</v>
          </cell>
          <cell r="S37" t="str">
            <v>NULL</v>
          </cell>
          <cell r="T37" t="str">
            <v>normal</v>
          </cell>
          <cell r="U37" t="str">
            <v>NULL</v>
          </cell>
          <cell r="V37" t="str">
            <v>NULL</v>
          </cell>
          <cell r="W37" t="str">
            <v>NULL</v>
          </cell>
        </row>
        <row r="38">
          <cell r="A38">
            <v>37</v>
          </cell>
          <cell r="B38" t="str">
            <v>ja</v>
          </cell>
          <cell r="C38" t="str">
            <v>ガイル</v>
          </cell>
          <cell r="D38" t="str">
            <v>ノーマルクエスト</v>
          </cell>
          <cell r="E38" t="str">
            <v>アバター</v>
          </cell>
          <cell r="F38" t="str">
            <v>世界観</v>
          </cell>
          <cell r="G38" t="str">
            <v>男性</v>
          </cell>
          <cell r="H38" t="str">
            <v>blue</v>
          </cell>
          <cell r="I38">
            <v>2</v>
          </cell>
          <cell r="J38" t="str">
            <v>Drop1S</v>
          </cell>
          <cell r="K38" t="str">
            <v>balance</v>
          </cell>
          <cell r="L38" t="str">
            <v>バランスタイプ</v>
          </cell>
          <cell r="M38" t="str">
            <v>animal</v>
          </cell>
          <cell r="N38" t="str">
            <v>アニマル</v>
          </cell>
          <cell r="O38" t="str">
            <v>none</v>
          </cell>
          <cell r="P38" t="str">
            <v>種族なし</v>
          </cell>
          <cell r="Q38" t="str">
            <v>アタッカー</v>
          </cell>
          <cell r="R38">
            <v>3</v>
          </cell>
          <cell r="S38" t="str">
            <v>NULL</v>
          </cell>
          <cell r="T38" t="str">
            <v>normal</v>
          </cell>
          <cell r="U38" t="str">
            <v>NULL</v>
          </cell>
          <cell r="V38" t="str">
            <v>NULL</v>
          </cell>
          <cell r="W38" t="str">
            <v>NULL</v>
          </cell>
        </row>
        <row r="39">
          <cell r="A39">
            <v>38</v>
          </cell>
          <cell r="B39" t="str">
            <v>ja</v>
          </cell>
          <cell r="C39" t="str">
            <v>通話対応型 ガイル</v>
          </cell>
          <cell r="D39" t="str">
            <v>ノーマルクエスト</v>
          </cell>
          <cell r="E39" t="str">
            <v>アバター</v>
          </cell>
          <cell r="F39" t="str">
            <v>世界観</v>
          </cell>
          <cell r="G39" t="str">
            <v>男性</v>
          </cell>
          <cell r="H39" t="str">
            <v>blue</v>
          </cell>
          <cell r="I39">
            <v>3</v>
          </cell>
          <cell r="J39" t="str">
            <v>Drop1S</v>
          </cell>
          <cell r="K39" t="str">
            <v>balance</v>
          </cell>
          <cell r="L39" t="str">
            <v>バランスタイプ</v>
          </cell>
          <cell r="M39" t="str">
            <v>animal</v>
          </cell>
          <cell r="N39" t="str">
            <v>アニマル</v>
          </cell>
          <cell r="O39" t="str">
            <v>none</v>
          </cell>
          <cell r="P39" t="str">
            <v>種族なし</v>
          </cell>
          <cell r="Q39" t="str">
            <v>アタッカー</v>
          </cell>
          <cell r="R39">
            <v>3</v>
          </cell>
          <cell r="S39" t="str">
            <v>NULL</v>
          </cell>
          <cell r="T39" t="str">
            <v>normal</v>
          </cell>
          <cell r="U39" t="str">
            <v>NULL</v>
          </cell>
          <cell r="V39" t="str">
            <v>NULL</v>
          </cell>
          <cell r="W39" t="str">
            <v>NULL</v>
          </cell>
        </row>
        <row r="40">
          <cell r="A40">
            <v>39</v>
          </cell>
          <cell r="B40" t="str">
            <v>ja</v>
          </cell>
          <cell r="C40" t="str">
            <v>マーロン</v>
          </cell>
          <cell r="D40" t="str">
            <v>ノーマルクエスト</v>
          </cell>
          <cell r="E40" t="str">
            <v>アバター</v>
          </cell>
          <cell r="F40" t="str">
            <v>世界観</v>
          </cell>
          <cell r="G40" t="str">
            <v>男性</v>
          </cell>
          <cell r="H40" t="str">
            <v>yellow</v>
          </cell>
          <cell r="I40">
            <v>2</v>
          </cell>
          <cell r="J40" t="str">
            <v>Drop1S</v>
          </cell>
          <cell r="K40" t="str">
            <v>balance</v>
          </cell>
          <cell r="L40" t="str">
            <v>バランスタイプ</v>
          </cell>
          <cell r="M40" t="str">
            <v>human</v>
          </cell>
          <cell r="N40" t="str">
            <v>ヒューマン</v>
          </cell>
          <cell r="O40" t="str">
            <v>none</v>
          </cell>
          <cell r="P40" t="str">
            <v>種族なし</v>
          </cell>
          <cell r="Q40" t="str">
            <v>スリーパー</v>
          </cell>
          <cell r="R40">
            <v>3</v>
          </cell>
          <cell r="S40" t="str">
            <v>NULL</v>
          </cell>
          <cell r="T40" t="str">
            <v>normal</v>
          </cell>
          <cell r="U40" t="str">
            <v>NULL</v>
          </cell>
          <cell r="V40" t="str">
            <v>NULL</v>
          </cell>
          <cell r="W40" t="str">
            <v>NULL</v>
          </cell>
        </row>
        <row r="41">
          <cell r="A41">
            <v>40</v>
          </cell>
          <cell r="B41" t="str">
            <v>ja</v>
          </cell>
          <cell r="C41" t="str">
            <v>デジタルマジシャン マーロン</v>
          </cell>
          <cell r="D41" t="str">
            <v>ノーマルクエスト</v>
          </cell>
          <cell r="E41" t="str">
            <v>アバター</v>
          </cell>
          <cell r="F41" t="str">
            <v>世界観</v>
          </cell>
          <cell r="G41" t="str">
            <v>男性</v>
          </cell>
          <cell r="H41" t="str">
            <v>yellow</v>
          </cell>
          <cell r="I41">
            <v>3</v>
          </cell>
          <cell r="J41" t="str">
            <v>Drop1S</v>
          </cell>
          <cell r="K41" t="str">
            <v>balance</v>
          </cell>
          <cell r="L41" t="str">
            <v>バランスタイプ</v>
          </cell>
          <cell r="M41" t="str">
            <v>human</v>
          </cell>
          <cell r="N41" t="str">
            <v>ヒューマン</v>
          </cell>
          <cell r="O41" t="str">
            <v>none</v>
          </cell>
          <cell r="P41" t="str">
            <v>種族なし</v>
          </cell>
          <cell r="Q41" t="str">
            <v>スリーパー</v>
          </cell>
          <cell r="R41">
            <v>3</v>
          </cell>
          <cell r="S41" t="str">
            <v>NULL</v>
          </cell>
          <cell r="T41" t="str">
            <v>normal</v>
          </cell>
          <cell r="U41" t="str">
            <v>NULL</v>
          </cell>
          <cell r="V41" t="str">
            <v>NULL</v>
          </cell>
          <cell r="W41" t="str">
            <v>NULL</v>
          </cell>
        </row>
        <row r="42">
          <cell r="A42">
            <v>41</v>
          </cell>
          <cell r="B42" t="str">
            <v>ja</v>
          </cell>
          <cell r="C42" t="str">
            <v>ヒュウガ</v>
          </cell>
          <cell r="D42" t="str">
            <v>ノーマルクエスト</v>
          </cell>
          <cell r="E42" t="str">
            <v>アバター</v>
          </cell>
          <cell r="F42" t="str">
            <v>世界観</v>
          </cell>
          <cell r="G42" t="str">
            <v>不明</v>
          </cell>
          <cell r="H42" t="str">
            <v>red</v>
          </cell>
          <cell r="I42">
            <v>2</v>
          </cell>
          <cell r="J42" t="str">
            <v>Drop1N</v>
          </cell>
          <cell r="K42" t="str">
            <v>attack</v>
          </cell>
          <cell r="L42" t="str">
            <v>攻撃タイプ</v>
          </cell>
          <cell r="M42" t="str">
            <v>dragon</v>
          </cell>
          <cell r="N42" t="str">
            <v>ドラゴン</v>
          </cell>
          <cell r="O42" t="str">
            <v>none</v>
          </cell>
          <cell r="P42" t="str">
            <v>種族なし</v>
          </cell>
          <cell r="Q42" t="str">
            <v>アタッカー</v>
          </cell>
          <cell r="R42">
            <v>3</v>
          </cell>
          <cell r="S42" t="str">
            <v>NULL</v>
          </cell>
          <cell r="T42" t="str">
            <v>normal</v>
          </cell>
          <cell r="U42" t="str">
            <v>NULL</v>
          </cell>
          <cell r="V42" t="str">
            <v>NULL</v>
          </cell>
          <cell r="W42" t="str">
            <v>NULL</v>
          </cell>
        </row>
        <row r="43">
          <cell r="A43">
            <v>42</v>
          </cell>
          <cell r="B43" t="str">
            <v>ja</v>
          </cell>
          <cell r="C43" t="str">
            <v>燃えゆる吐息 ヒュウガ</v>
          </cell>
          <cell r="D43" t="str">
            <v>ノーマルクエスト</v>
          </cell>
          <cell r="E43" t="str">
            <v>アバター</v>
          </cell>
          <cell r="F43" t="str">
            <v>世界観</v>
          </cell>
          <cell r="G43" t="str">
            <v>不明</v>
          </cell>
          <cell r="H43" t="str">
            <v>red</v>
          </cell>
          <cell r="I43">
            <v>3</v>
          </cell>
          <cell r="J43" t="str">
            <v>Drop1N</v>
          </cell>
          <cell r="K43" t="str">
            <v>attack</v>
          </cell>
          <cell r="L43" t="str">
            <v>攻撃タイプ</v>
          </cell>
          <cell r="M43" t="str">
            <v>dragon</v>
          </cell>
          <cell r="N43" t="str">
            <v>ドラゴン</v>
          </cell>
          <cell r="O43" t="str">
            <v>none</v>
          </cell>
          <cell r="P43" t="str">
            <v>種族なし</v>
          </cell>
          <cell r="Q43" t="str">
            <v>アタッカー</v>
          </cell>
          <cell r="R43">
            <v>3</v>
          </cell>
          <cell r="S43" t="str">
            <v>NULL</v>
          </cell>
          <cell r="T43" t="str">
            <v>normal</v>
          </cell>
          <cell r="U43" t="str">
            <v>NULL</v>
          </cell>
          <cell r="V43" t="str">
            <v>NULL</v>
          </cell>
          <cell r="W43" t="str">
            <v>NULL</v>
          </cell>
        </row>
        <row r="44">
          <cell r="A44">
            <v>43</v>
          </cell>
          <cell r="B44" t="str">
            <v>ja</v>
          </cell>
          <cell r="C44" t="str">
            <v>ムゥ</v>
          </cell>
          <cell r="D44" t="str">
            <v>ノーマルクエスト</v>
          </cell>
          <cell r="E44" t="str">
            <v>アバター</v>
          </cell>
          <cell r="F44" t="str">
            <v>世界観</v>
          </cell>
          <cell r="G44" t="str">
            <v>女性</v>
          </cell>
          <cell r="H44" t="str">
            <v>green</v>
          </cell>
          <cell r="I44">
            <v>2</v>
          </cell>
          <cell r="J44" t="str">
            <v>Drop1N</v>
          </cell>
          <cell r="K44" t="str">
            <v>technical</v>
          </cell>
          <cell r="L44" t="str">
            <v>テクニカルタイプ</v>
          </cell>
          <cell r="M44" t="str">
            <v>dragon</v>
          </cell>
          <cell r="N44" t="str">
            <v>ドラゴン</v>
          </cell>
          <cell r="O44" t="str">
            <v>human</v>
          </cell>
          <cell r="P44" t="str">
            <v>ヒューマン</v>
          </cell>
          <cell r="Q44" t="str">
            <v>アタッカー</v>
          </cell>
          <cell r="R44">
            <v>3</v>
          </cell>
          <cell r="S44" t="str">
            <v>NULL</v>
          </cell>
          <cell r="T44" t="str">
            <v>normal</v>
          </cell>
          <cell r="U44" t="str">
            <v>NULL</v>
          </cell>
          <cell r="V44" t="str">
            <v>NULL</v>
          </cell>
          <cell r="W44" t="str">
            <v>NULL</v>
          </cell>
        </row>
        <row r="45">
          <cell r="A45">
            <v>44</v>
          </cell>
          <cell r="B45" t="str">
            <v>ja</v>
          </cell>
          <cell r="C45" t="str">
            <v>遠い星からやってきたムゥ</v>
          </cell>
          <cell r="D45" t="str">
            <v>ノーマルクエスト</v>
          </cell>
          <cell r="E45" t="str">
            <v>アバター</v>
          </cell>
          <cell r="F45" t="str">
            <v>世界観</v>
          </cell>
          <cell r="G45" t="str">
            <v>女性</v>
          </cell>
          <cell r="H45" t="str">
            <v>green</v>
          </cell>
          <cell r="I45">
            <v>3</v>
          </cell>
          <cell r="J45" t="str">
            <v>Drop1N</v>
          </cell>
          <cell r="K45" t="str">
            <v>technical</v>
          </cell>
          <cell r="L45" t="str">
            <v>テクニカルタイプ</v>
          </cell>
          <cell r="M45" t="str">
            <v>dragon</v>
          </cell>
          <cell r="N45" t="str">
            <v>ドラゴン</v>
          </cell>
          <cell r="O45" t="str">
            <v>human</v>
          </cell>
          <cell r="P45" t="str">
            <v>ヒューマン</v>
          </cell>
          <cell r="Q45" t="str">
            <v>アタッカー</v>
          </cell>
          <cell r="R45">
            <v>3</v>
          </cell>
          <cell r="S45" t="str">
            <v>NULL</v>
          </cell>
          <cell r="T45" t="str">
            <v>normal</v>
          </cell>
          <cell r="U45" t="str">
            <v>NULL</v>
          </cell>
          <cell r="V45" t="str">
            <v>NULL</v>
          </cell>
          <cell r="W45" t="str">
            <v>NULL</v>
          </cell>
        </row>
        <row r="46">
          <cell r="A46">
            <v>45</v>
          </cell>
          <cell r="B46" t="str">
            <v>ja</v>
          </cell>
          <cell r="C46" t="str">
            <v>ショウイン</v>
          </cell>
          <cell r="D46" t="str">
            <v>ノーマルクエスト</v>
          </cell>
          <cell r="E46" t="str">
            <v>アバター</v>
          </cell>
          <cell r="F46" t="str">
            <v>世界観</v>
          </cell>
          <cell r="G46" t="str">
            <v>不明</v>
          </cell>
          <cell r="H46" t="str">
            <v>blue</v>
          </cell>
          <cell r="I46">
            <v>2</v>
          </cell>
          <cell r="J46" t="str">
            <v>Drop1N</v>
          </cell>
          <cell r="K46" t="str">
            <v>hp</v>
          </cell>
          <cell r="L46" t="str">
            <v>体力タイプ</v>
          </cell>
          <cell r="M46" t="str">
            <v>animal</v>
          </cell>
          <cell r="N46" t="str">
            <v>アニマル</v>
          </cell>
          <cell r="O46" t="str">
            <v>none</v>
          </cell>
          <cell r="P46" t="str">
            <v>種族なし</v>
          </cell>
          <cell r="Q46" t="str">
            <v>アタッカー</v>
          </cell>
          <cell r="R46">
            <v>3</v>
          </cell>
          <cell r="S46" t="str">
            <v>NULL</v>
          </cell>
          <cell r="T46" t="str">
            <v>normal</v>
          </cell>
          <cell r="U46" t="str">
            <v>NULL</v>
          </cell>
          <cell r="V46" t="str">
            <v>NULL</v>
          </cell>
          <cell r="W46" t="str">
            <v>NULL</v>
          </cell>
        </row>
        <row r="47">
          <cell r="A47">
            <v>46</v>
          </cell>
          <cell r="B47" t="str">
            <v>ja</v>
          </cell>
          <cell r="C47" t="str">
            <v>微笑みの筆跡 ショウイン</v>
          </cell>
          <cell r="D47" t="str">
            <v>ノーマルクエスト</v>
          </cell>
          <cell r="E47" t="str">
            <v>アバター</v>
          </cell>
          <cell r="F47" t="str">
            <v>世界観</v>
          </cell>
          <cell r="G47" t="str">
            <v>不明</v>
          </cell>
          <cell r="H47" t="str">
            <v>blue</v>
          </cell>
          <cell r="I47">
            <v>3</v>
          </cell>
          <cell r="J47" t="str">
            <v>Drop1N</v>
          </cell>
          <cell r="K47" t="str">
            <v>hp</v>
          </cell>
          <cell r="L47" t="str">
            <v>体力タイプ</v>
          </cell>
          <cell r="M47" t="str">
            <v>animal</v>
          </cell>
          <cell r="N47" t="str">
            <v>アニマル</v>
          </cell>
          <cell r="O47" t="str">
            <v>none</v>
          </cell>
          <cell r="P47" t="str">
            <v>種族なし</v>
          </cell>
          <cell r="Q47" t="str">
            <v>アタッカー</v>
          </cell>
          <cell r="R47">
            <v>3</v>
          </cell>
          <cell r="S47" t="str">
            <v>NULL</v>
          </cell>
          <cell r="T47" t="str">
            <v>normal</v>
          </cell>
          <cell r="U47" t="str">
            <v>NULL</v>
          </cell>
          <cell r="V47" t="str">
            <v>NULL</v>
          </cell>
          <cell r="W47" t="str">
            <v>NULL</v>
          </cell>
        </row>
        <row r="48">
          <cell r="A48">
            <v>47</v>
          </cell>
          <cell r="B48" t="str">
            <v>ja</v>
          </cell>
          <cell r="C48" t="str">
            <v>ヒロ</v>
          </cell>
          <cell r="D48" t="str">
            <v>ノーマルクエスト</v>
          </cell>
          <cell r="E48" t="str">
            <v>アバター</v>
          </cell>
          <cell r="F48" t="str">
            <v>世界観</v>
          </cell>
          <cell r="G48" t="str">
            <v>不明</v>
          </cell>
          <cell r="H48" t="str">
            <v>yellow</v>
          </cell>
          <cell r="I48">
            <v>2</v>
          </cell>
          <cell r="J48" t="str">
            <v>Drop1N</v>
          </cell>
          <cell r="K48" t="str">
            <v>attack</v>
          </cell>
          <cell r="L48" t="str">
            <v>攻撃タイプ</v>
          </cell>
          <cell r="M48" t="str">
            <v>animal</v>
          </cell>
          <cell r="N48" t="str">
            <v>アニマル</v>
          </cell>
          <cell r="O48" t="str">
            <v>none</v>
          </cell>
          <cell r="P48" t="str">
            <v>種族なし</v>
          </cell>
          <cell r="Q48" t="str">
            <v>アタッカー</v>
          </cell>
          <cell r="R48">
            <v>3</v>
          </cell>
          <cell r="S48" t="str">
            <v>NULL</v>
          </cell>
          <cell r="T48" t="str">
            <v>normal</v>
          </cell>
          <cell r="U48" t="str">
            <v>NULL</v>
          </cell>
          <cell r="V48" t="str">
            <v>NULL</v>
          </cell>
          <cell r="W48" t="str">
            <v>NULL</v>
          </cell>
        </row>
        <row r="49">
          <cell r="A49">
            <v>48</v>
          </cell>
          <cell r="B49" t="str">
            <v>ja</v>
          </cell>
          <cell r="C49" t="str">
            <v>サンダーステップのヒロ</v>
          </cell>
          <cell r="D49" t="str">
            <v>ノーマルクエスト</v>
          </cell>
          <cell r="E49" t="str">
            <v>アバター</v>
          </cell>
          <cell r="F49" t="str">
            <v>世界観</v>
          </cell>
          <cell r="G49" t="str">
            <v>不明</v>
          </cell>
          <cell r="H49" t="str">
            <v>yellow</v>
          </cell>
          <cell r="I49">
            <v>3</v>
          </cell>
          <cell r="J49" t="str">
            <v>Drop1N</v>
          </cell>
          <cell r="K49" t="str">
            <v>attack</v>
          </cell>
          <cell r="L49" t="str">
            <v>攻撃タイプ</v>
          </cell>
          <cell r="M49" t="str">
            <v>animal</v>
          </cell>
          <cell r="N49" t="str">
            <v>アニマル</v>
          </cell>
          <cell r="O49" t="str">
            <v>none</v>
          </cell>
          <cell r="P49" t="str">
            <v>種族なし</v>
          </cell>
          <cell r="Q49" t="str">
            <v>アタッカー</v>
          </cell>
          <cell r="R49">
            <v>3</v>
          </cell>
          <cell r="S49" t="str">
            <v>NULL</v>
          </cell>
          <cell r="T49" t="str">
            <v>normal</v>
          </cell>
          <cell r="U49" t="str">
            <v>NULL</v>
          </cell>
          <cell r="V49" t="str">
            <v>NULL</v>
          </cell>
          <cell r="W49" t="str">
            <v>NULL</v>
          </cell>
        </row>
        <row r="50">
          <cell r="A50">
            <v>49</v>
          </cell>
          <cell r="B50" t="str">
            <v>ja</v>
          </cell>
          <cell r="C50" t="str">
            <v>ヨシタカ</v>
          </cell>
          <cell r="D50" t="str">
            <v>ノーマルクエスト</v>
          </cell>
          <cell r="E50" t="str">
            <v>アバター</v>
          </cell>
          <cell r="F50" t="str">
            <v>世界観</v>
          </cell>
          <cell r="G50" t="str">
            <v>男性</v>
          </cell>
          <cell r="H50" t="str">
            <v>red</v>
          </cell>
          <cell r="I50">
            <v>2</v>
          </cell>
          <cell r="J50" t="str">
            <v>Drop1N</v>
          </cell>
          <cell r="K50" t="str">
            <v>hp</v>
          </cell>
          <cell r="L50" t="str">
            <v>体力タイプ</v>
          </cell>
          <cell r="M50" t="str">
            <v>human</v>
          </cell>
          <cell r="N50" t="str">
            <v>ヒューマン</v>
          </cell>
          <cell r="O50" t="str">
            <v>none</v>
          </cell>
          <cell r="P50" t="str">
            <v>種族なし</v>
          </cell>
          <cell r="Q50" t="str">
            <v>バッファー</v>
          </cell>
          <cell r="R50">
            <v>3</v>
          </cell>
          <cell r="S50" t="str">
            <v>NULL</v>
          </cell>
          <cell r="T50" t="str">
            <v>normal</v>
          </cell>
          <cell r="U50" t="str">
            <v>NULL</v>
          </cell>
          <cell r="V50" t="str">
            <v>NULL</v>
          </cell>
          <cell r="W50" t="str">
            <v>NULL</v>
          </cell>
        </row>
        <row r="51">
          <cell r="A51">
            <v>50</v>
          </cell>
          <cell r="B51" t="str">
            <v>ja</v>
          </cell>
          <cell r="C51" t="str">
            <v>炎銃のレジスタンス ヨシタカ</v>
          </cell>
          <cell r="D51" t="str">
            <v>ノーマルクエスト</v>
          </cell>
          <cell r="E51" t="str">
            <v>アバター</v>
          </cell>
          <cell r="F51" t="str">
            <v>世界観</v>
          </cell>
          <cell r="G51" t="str">
            <v>男性</v>
          </cell>
          <cell r="H51" t="str">
            <v>red</v>
          </cell>
          <cell r="I51">
            <v>3</v>
          </cell>
          <cell r="J51" t="str">
            <v>Drop1N</v>
          </cell>
          <cell r="K51" t="str">
            <v>hp</v>
          </cell>
          <cell r="L51" t="str">
            <v>体力タイプ</v>
          </cell>
          <cell r="M51" t="str">
            <v>human</v>
          </cell>
          <cell r="N51" t="str">
            <v>ヒューマン</v>
          </cell>
          <cell r="O51" t="str">
            <v>none</v>
          </cell>
          <cell r="P51" t="str">
            <v>種族なし</v>
          </cell>
          <cell r="Q51" t="str">
            <v>バッファー</v>
          </cell>
          <cell r="R51">
            <v>3</v>
          </cell>
          <cell r="S51" t="str">
            <v>NULL</v>
          </cell>
          <cell r="T51" t="str">
            <v>normal</v>
          </cell>
          <cell r="U51" t="str">
            <v>NULL</v>
          </cell>
          <cell r="V51" t="str">
            <v>NULL</v>
          </cell>
          <cell r="W51" t="str">
            <v>NULL</v>
          </cell>
        </row>
        <row r="52">
          <cell r="A52">
            <v>51</v>
          </cell>
          <cell r="B52" t="str">
            <v>ja</v>
          </cell>
          <cell r="C52" t="str">
            <v>マイ</v>
          </cell>
          <cell r="D52" t="str">
            <v>ノーマルクエスト</v>
          </cell>
          <cell r="E52" t="str">
            <v>アバター</v>
          </cell>
          <cell r="F52" t="str">
            <v>世界観</v>
          </cell>
          <cell r="G52" t="str">
            <v>女性</v>
          </cell>
          <cell r="H52" t="str">
            <v>green</v>
          </cell>
          <cell r="I52">
            <v>2</v>
          </cell>
          <cell r="J52" t="str">
            <v>Drop1N</v>
          </cell>
          <cell r="K52" t="str">
            <v>attack</v>
          </cell>
          <cell r="L52" t="str">
            <v>攻撃タイプ</v>
          </cell>
          <cell r="M52" t="str">
            <v>human</v>
          </cell>
          <cell r="N52" t="str">
            <v>ヒューマン</v>
          </cell>
          <cell r="O52" t="str">
            <v>none</v>
          </cell>
          <cell r="P52" t="str">
            <v>種族なし</v>
          </cell>
          <cell r="Q52" t="str">
            <v>バッファー</v>
          </cell>
          <cell r="R52">
            <v>3</v>
          </cell>
          <cell r="S52" t="str">
            <v>NULL</v>
          </cell>
          <cell r="T52" t="str">
            <v>normal</v>
          </cell>
          <cell r="U52" t="str">
            <v>NULL</v>
          </cell>
          <cell r="V52" t="str">
            <v>NULL</v>
          </cell>
          <cell r="W52" t="str">
            <v>NULL</v>
          </cell>
        </row>
        <row r="53">
          <cell r="A53">
            <v>52</v>
          </cell>
          <cell r="B53" t="str">
            <v>ja</v>
          </cell>
          <cell r="C53" t="str">
            <v>翠槍のレジスタンス マイ</v>
          </cell>
          <cell r="D53" t="str">
            <v>ノーマルクエスト</v>
          </cell>
          <cell r="E53" t="str">
            <v>アバター</v>
          </cell>
          <cell r="F53" t="str">
            <v>世界観</v>
          </cell>
          <cell r="G53" t="str">
            <v>女性</v>
          </cell>
          <cell r="H53" t="str">
            <v>green</v>
          </cell>
          <cell r="I53">
            <v>3</v>
          </cell>
          <cell r="J53" t="str">
            <v>Drop1N</v>
          </cell>
          <cell r="K53" t="str">
            <v>attack</v>
          </cell>
          <cell r="L53" t="str">
            <v>攻撃タイプ</v>
          </cell>
          <cell r="M53" t="str">
            <v>human</v>
          </cell>
          <cell r="N53" t="str">
            <v>ヒューマン</v>
          </cell>
          <cell r="O53" t="str">
            <v>none</v>
          </cell>
          <cell r="P53" t="str">
            <v>種族なし</v>
          </cell>
          <cell r="Q53" t="str">
            <v>バッファー</v>
          </cell>
          <cell r="R53">
            <v>3</v>
          </cell>
          <cell r="S53" t="str">
            <v>NULL</v>
          </cell>
          <cell r="T53" t="str">
            <v>normal</v>
          </cell>
          <cell r="U53" t="str">
            <v>NULL</v>
          </cell>
          <cell r="V53" t="str">
            <v>NULL</v>
          </cell>
          <cell r="W53" t="str">
            <v>NULL</v>
          </cell>
        </row>
        <row r="54">
          <cell r="A54">
            <v>53</v>
          </cell>
          <cell r="B54" t="str">
            <v>ja</v>
          </cell>
          <cell r="C54" t="str">
            <v>ケンジ</v>
          </cell>
          <cell r="D54" t="str">
            <v>ノーマルクエスト</v>
          </cell>
          <cell r="E54" t="str">
            <v>アバター</v>
          </cell>
          <cell r="F54" t="str">
            <v>世界観</v>
          </cell>
          <cell r="G54" t="str">
            <v>男性</v>
          </cell>
          <cell r="H54" t="str">
            <v>blue</v>
          </cell>
          <cell r="I54">
            <v>2</v>
          </cell>
          <cell r="J54" t="str">
            <v>Drop1N</v>
          </cell>
          <cell r="K54" t="str">
            <v>balance</v>
          </cell>
          <cell r="L54" t="str">
            <v>バランスタイプ</v>
          </cell>
          <cell r="M54" t="str">
            <v>human</v>
          </cell>
          <cell r="N54" t="str">
            <v>ヒューマン</v>
          </cell>
          <cell r="O54" t="str">
            <v>none</v>
          </cell>
          <cell r="P54" t="str">
            <v>種族なし</v>
          </cell>
          <cell r="Q54" t="str">
            <v>バッファー</v>
          </cell>
          <cell r="R54">
            <v>3</v>
          </cell>
          <cell r="S54" t="str">
            <v>NULL</v>
          </cell>
          <cell r="T54" t="str">
            <v>normal</v>
          </cell>
          <cell r="U54" t="str">
            <v>NULL</v>
          </cell>
          <cell r="V54" t="str">
            <v>NULL</v>
          </cell>
          <cell r="W54" t="str">
            <v>NULL</v>
          </cell>
        </row>
        <row r="55">
          <cell r="A55">
            <v>54</v>
          </cell>
          <cell r="B55" t="str">
            <v>ja</v>
          </cell>
          <cell r="C55" t="str">
            <v>蒼斬のレジスタンス ケンジ</v>
          </cell>
          <cell r="D55" t="str">
            <v>ノーマルクエスト</v>
          </cell>
          <cell r="E55" t="str">
            <v>アバター</v>
          </cell>
          <cell r="F55" t="str">
            <v>世界観</v>
          </cell>
          <cell r="G55" t="str">
            <v>男性</v>
          </cell>
          <cell r="H55" t="str">
            <v>blue</v>
          </cell>
          <cell r="I55">
            <v>3</v>
          </cell>
          <cell r="J55" t="str">
            <v>Drop1N</v>
          </cell>
          <cell r="K55" t="str">
            <v>balance</v>
          </cell>
          <cell r="L55" t="str">
            <v>バランスタイプ</v>
          </cell>
          <cell r="M55" t="str">
            <v>human</v>
          </cell>
          <cell r="N55" t="str">
            <v>ヒューマン</v>
          </cell>
          <cell r="O55" t="str">
            <v>none</v>
          </cell>
          <cell r="P55" t="str">
            <v>種族なし</v>
          </cell>
          <cell r="Q55" t="str">
            <v>バッファー</v>
          </cell>
          <cell r="R55">
            <v>3</v>
          </cell>
          <cell r="S55" t="str">
            <v>NULL</v>
          </cell>
          <cell r="T55" t="str">
            <v>normal</v>
          </cell>
          <cell r="U55" t="str">
            <v>NULL</v>
          </cell>
          <cell r="V55" t="str">
            <v>NULL</v>
          </cell>
          <cell r="W55" t="str">
            <v>NULL</v>
          </cell>
        </row>
        <row r="56">
          <cell r="A56">
            <v>55</v>
          </cell>
          <cell r="B56" t="str">
            <v>ja</v>
          </cell>
          <cell r="C56" t="str">
            <v>マミコ</v>
          </cell>
          <cell r="D56" t="str">
            <v>ノーマルクエスト</v>
          </cell>
          <cell r="E56" t="str">
            <v>アバター</v>
          </cell>
          <cell r="F56" t="str">
            <v>世界観</v>
          </cell>
          <cell r="G56" t="str">
            <v>女性</v>
          </cell>
          <cell r="H56" t="str">
            <v>yellow</v>
          </cell>
          <cell r="I56">
            <v>2</v>
          </cell>
          <cell r="J56" t="str">
            <v>Drop1N</v>
          </cell>
          <cell r="K56" t="str">
            <v>balance</v>
          </cell>
          <cell r="L56" t="str">
            <v>バランスタイプ</v>
          </cell>
          <cell r="M56" t="str">
            <v>human</v>
          </cell>
          <cell r="N56" t="str">
            <v>ヒューマン</v>
          </cell>
          <cell r="O56" t="str">
            <v>none</v>
          </cell>
          <cell r="P56" t="str">
            <v>種族なし</v>
          </cell>
          <cell r="Q56" t="str">
            <v>バッファー</v>
          </cell>
          <cell r="R56">
            <v>3</v>
          </cell>
          <cell r="S56" t="str">
            <v>NULL</v>
          </cell>
          <cell r="T56" t="str">
            <v>normal</v>
          </cell>
          <cell r="U56" t="str">
            <v>NULL</v>
          </cell>
          <cell r="V56" t="str">
            <v>NULL</v>
          </cell>
          <cell r="W56" t="str">
            <v>NULL</v>
          </cell>
        </row>
        <row r="57">
          <cell r="A57">
            <v>56</v>
          </cell>
          <cell r="B57" t="str">
            <v>ja</v>
          </cell>
          <cell r="C57" t="str">
            <v>黄槌のレジスタンス マミコ</v>
          </cell>
          <cell r="D57" t="str">
            <v>ノーマルクエスト</v>
          </cell>
          <cell r="E57" t="str">
            <v>アバター</v>
          </cell>
          <cell r="F57" t="str">
            <v>世界観</v>
          </cell>
          <cell r="G57" t="str">
            <v>女性</v>
          </cell>
          <cell r="H57" t="str">
            <v>yellow</v>
          </cell>
          <cell r="I57">
            <v>3</v>
          </cell>
          <cell r="J57" t="str">
            <v>Drop1N</v>
          </cell>
          <cell r="K57" t="str">
            <v>balance</v>
          </cell>
          <cell r="L57" t="str">
            <v>バランスタイプ</v>
          </cell>
          <cell r="M57" t="str">
            <v>human</v>
          </cell>
          <cell r="N57" t="str">
            <v>ヒューマン</v>
          </cell>
          <cell r="O57" t="str">
            <v>none</v>
          </cell>
          <cell r="P57" t="str">
            <v>種族なし</v>
          </cell>
          <cell r="Q57" t="str">
            <v>バッファー</v>
          </cell>
          <cell r="R57">
            <v>3</v>
          </cell>
          <cell r="S57" t="str">
            <v>NULL</v>
          </cell>
          <cell r="T57" t="str">
            <v>normal</v>
          </cell>
          <cell r="U57" t="str">
            <v>NULL</v>
          </cell>
          <cell r="V57" t="str">
            <v>NULL</v>
          </cell>
          <cell r="W57" t="str">
            <v>NULL</v>
          </cell>
        </row>
        <row r="58">
          <cell r="A58">
            <v>57</v>
          </cell>
          <cell r="B58" t="str">
            <v>ja</v>
          </cell>
          <cell r="C58" t="str">
            <v>チェン・リー</v>
          </cell>
          <cell r="D58" t="str">
            <v>ノーマルクエスト</v>
          </cell>
          <cell r="E58" t="str">
            <v>アバター</v>
          </cell>
          <cell r="F58" t="str">
            <v>世界観</v>
          </cell>
          <cell r="G58" t="str">
            <v>男性</v>
          </cell>
          <cell r="H58" t="str">
            <v>red</v>
          </cell>
          <cell r="I58">
            <v>2</v>
          </cell>
          <cell r="J58" t="str">
            <v>Drop1N</v>
          </cell>
          <cell r="K58" t="str">
            <v>balance</v>
          </cell>
          <cell r="L58" t="str">
            <v>バランスタイプ</v>
          </cell>
          <cell r="M58" t="str">
            <v>animal</v>
          </cell>
          <cell r="N58" t="str">
            <v>アニマル</v>
          </cell>
          <cell r="O58" t="str">
            <v>none</v>
          </cell>
          <cell r="P58" t="str">
            <v>種族なし</v>
          </cell>
          <cell r="Q58" t="str">
            <v>アタッカーバッファー</v>
          </cell>
          <cell r="R58">
            <v>3</v>
          </cell>
          <cell r="S58" t="str">
            <v>NULL</v>
          </cell>
          <cell r="T58" t="str">
            <v>normal</v>
          </cell>
          <cell r="U58" t="str">
            <v>NULL</v>
          </cell>
          <cell r="V58" t="str">
            <v>NULL</v>
          </cell>
          <cell r="W58" t="str">
            <v>NULL</v>
          </cell>
        </row>
        <row r="59">
          <cell r="A59">
            <v>58</v>
          </cell>
          <cell r="B59" t="str">
            <v>ja</v>
          </cell>
          <cell r="C59" t="str">
            <v>ドランクマスター チェン・リー</v>
          </cell>
          <cell r="D59" t="str">
            <v>ノーマルクエスト</v>
          </cell>
          <cell r="E59" t="str">
            <v>アバター</v>
          </cell>
          <cell r="F59" t="str">
            <v>世界観</v>
          </cell>
          <cell r="G59" t="str">
            <v>男性</v>
          </cell>
          <cell r="H59" t="str">
            <v>red</v>
          </cell>
          <cell r="I59">
            <v>3</v>
          </cell>
          <cell r="J59" t="str">
            <v>Drop1N</v>
          </cell>
          <cell r="K59" t="str">
            <v>balance</v>
          </cell>
          <cell r="L59" t="str">
            <v>バランスタイプ</v>
          </cell>
          <cell r="M59" t="str">
            <v>animal</v>
          </cell>
          <cell r="N59" t="str">
            <v>アニマル</v>
          </cell>
          <cell r="O59" t="str">
            <v>none</v>
          </cell>
          <cell r="P59" t="str">
            <v>種族なし</v>
          </cell>
          <cell r="Q59" t="str">
            <v>アタッカーバッファー</v>
          </cell>
          <cell r="R59">
            <v>3</v>
          </cell>
          <cell r="S59" t="str">
            <v>NULL</v>
          </cell>
          <cell r="T59" t="str">
            <v>normal</v>
          </cell>
          <cell r="U59" t="str">
            <v>NULL</v>
          </cell>
          <cell r="V59" t="str">
            <v>NULL</v>
          </cell>
          <cell r="W59" t="str">
            <v>NULL</v>
          </cell>
        </row>
        <row r="60">
          <cell r="A60">
            <v>59</v>
          </cell>
          <cell r="B60" t="str">
            <v>ja</v>
          </cell>
          <cell r="C60" t="str">
            <v>マーチ</v>
          </cell>
          <cell r="D60" t="str">
            <v>ノーマルクエスト</v>
          </cell>
          <cell r="E60" t="str">
            <v>アバター</v>
          </cell>
          <cell r="F60" t="str">
            <v>世界観</v>
          </cell>
          <cell r="G60" t="str">
            <v>男性</v>
          </cell>
          <cell r="H60" t="str">
            <v>green</v>
          </cell>
          <cell r="I60">
            <v>2</v>
          </cell>
          <cell r="J60" t="str">
            <v>Drop1N</v>
          </cell>
          <cell r="K60" t="str">
            <v>heal</v>
          </cell>
          <cell r="L60" t="str">
            <v>回復タイプ</v>
          </cell>
          <cell r="M60" t="str">
            <v>animal</v>
          </cell>
          <cell r="N60" t="str">
            <v>アニマル</v>
          </cell>
          <cell r="O60" t="str">
            <v>none</v>
          </cell>
          <cell r="P60" t="str">
            <v>種族なし</v>
          </cell>
          <cell r="Q60" t="str">
            <v>ヒーラー</v>
          </cell>
          <cell r="R60">
            <v>3</v>
          </cell>
          <cell r="S60" t="str">
            <v>NULL</v>
          </cell>
          <cell r="T60" t="str">
            <v>normal</v>
          </cell>
          <cell r="U60" t="str">
            <v>NULL</v>
          </cell>
          <cell r="V60" t="str">
            <v>NULL</v>
          </cell>
          <cell r="W60" t="str">
            <v>NULL</v>
          </cell>
        </row>
        <row r="61">
          <cell r="A61">
            <v>60</v>
          </cell>
          <cell r="B61" t="str">
            <v>ja</v>
          </cell>
          <cell r="C61" t="str">
            <v>おでかけマーチ</v>
          </cell>
          <cell r="D61" t="str">
            <v>ノーマルクエスト</v>
          </cell>
          <cell r="E61" t="str">
            <v>アバター</v>
          </cell>
          <cell r="F61" t="str">
            <v>世界観</v>
          </cell>
          <cell r="G61" t="str">
            <v>男性</v>
          </cell>
          <cell r="H61" t="str">
            <v>green</v>
          </cell>
          <cell r="I61">
            <v>3</v>
          </cell>
          <cell r="J61" t="str">
            <v>Drop1N</v>
          </cell>
          <cell r="K61" t="str">
            <v>heal</v>
          </cell>
          <cell r="L61" t="str">
            <v>回復タイプ</v>
          </cell>
          <cell r="M61" t="str">
            <v>animal</v>
          </cell>
          <cell r="N61" t="str">
            <v>アニマル</v>
          </cell>
          <cell r="O61" t="str">
            <v>none</v>
          </cell>
          <cell r="P61" t="str">
            <v>種族なし</v>
          </cell>
          <cell r="Q61" t="str">
            <v>ヒーラー</v>
          </cell>
          <cell r="R61">
            <v>3</v>
          </cell>
          <cell r="S61" t="str">
            <v>NULL</v>
          </cell>
          <cell r="T61" t="str">
            <v>normal</v>
          </cell>
          <cell r="U61" t="str">
            <v>NULL</v>
          </cell>
          <cell r="V61" t="str">
            <v>NULL</v>
          </cell>
          <cell r="W61" t="str">
            <v>NULL</v>
          </cell>
        </row>
        <row r="62">
          <cell r="A62">
            <v>61</v>
          </cell>
          <cell r="B62" t="str">
            <v>ja</v>
          </cell>
          <cell r="C62" t="str">
            <v>クロウ</v>
          </cell>
          <cell r="D62" t="str">
            <v>ノーマルクエスト</v>
          </cell>
          <cell r="E62" t="str">
            <v>アバター</v>
          </cell>
          <cell r="F62" t="str">
            <v>世界観</v>
          </cell>
          <cell r="G62" t="str">
            <v>男性</v>
          </cell>
          <cell r="H62" t="str">
            <v>blue</v>
          </cell>
          <cell r="I62">
            <v>2</v>
          </cell>
          <cell r="J62" t="str">
            <v>Drop1N</v>
          </cell>
          <cell r="K62" t="str">
            <v>heal</v>
          </cell>
          <cell r="L62" t="str">
            <v>回復タイプ</v>
          </cell>
          <cell r="M62" t="str">
            <v>animal</v>
          </cell>
          <cell r="N62" t="str">
            <v>アニマル</v>
          </cell>
          <cell r="O62" t="str">
            <v>none</v>
          </cell>
          <cell r="P62" t="str">
            <v>種族なし</v>
          </cell>
          <cell r="Q62" t="str">
            <v>ヒーラー</v>
          </cell>
          <cell r="R62">
            <v>3</v>
          </cell>
          <cell r="S62" t="str">
            <v>NULL</v>
          </cell>
          <cell r="T62" t="str">
            <v>normal</v>
          </cell>
          <cell r="U62" t="str">
            <v>NULL</v>
          </cell>
          <cell r="V62" t="str">
            <v>NULL</v>
          </cell>
          <cell r="W62" t="str">
            <v>NULL</v>
          </cell>
        </row>
        <row r="63">
          <cell r="A63">
            <v>62</v>
          </cell>
          <cell r="B63" t="str">
            <v>ja</v>
          </cell>
          <cell r="C63" t="str">
            <v>脈動旋律のクロウ</v>
          </cell>
          <cell r="D63" t="str">
            <v>ノーマルクエスト</v>
          </cell>
          <cell r="E63" t="str">
            <v>アバター</v>
          </cell>
          <cell r="F63" t="str">
            <v>世界観</v>
          </cell>
          <cell r="G63" t="str">
            <v>男性</v>
          </cell>
          <cell r="H63" t="str">
            <v>blue</v>
          </cell>
          <cell r="I63">
            <v>3</v>
          </cell>
          <cell r="J63" t="str">
            <v>Drop1N</v>
          </cell>
          <cell r="K63" t="str">
            <v>heal</v>
          </cell>
          <cell r="L63" t="str">
            <v>回復タイプ</v>
          </cell>
          <cell r="M63" t="str">
            <v>animal</v>
          </cell>
          <cell r="N63" t="str">
            <v>アニマル</v>
          </cell>
          <cell r="O63" t="str">
            <v>none</v>
          </cell>
          <cell r="P63" t="str">
            <v>種族なし</v>
          </cell>
          <cell r="Q63" t="str">
            <v>ヒーラー</v>
          </cell>
          <cell r="R63">
            <v>3</v>
          </cell>
          <cell r="S63" t="str">
            <v>NULL</v>
          </cell>
          <cell r="T63" t="str">
            <v>normal</v>
          </cell>
          <cell r="U63" t="str">
            <v>NULL</v>
          </cell>
          <cell r="V63" t="str">
            <v>NULL</v>
          </cell>
          <cell r="W63" t="str">
            <v>NULL</v>
          </cell>
        </row>
        <row r="64">
          <cell r="A64">
            <v>63</v>
          </cell>
          <cell r="B64" t="str">
            <v>ja</v>
          </cell>
          <cell r="C64" t="str">
            <v>トニー</v>
          </cell>
          <cell r="D64" t="str">
            <v>ノーマルクエスト</v>
          </cell>
          <cell r="E64" t="str">
            <v>アバター</v>
          </cell>
          <cell r="F64" t="str">
            <v>世界観</v>
          </cell>
          <cell r="G64" t="str">
            <v>男性</v>
          </cell>
          <cell r="H64" t="str">
            <v>yellow</v>
          </cell>
          <cell r="I64">
            <v>2</v>
          </cell>
          <cell r="J64" t="str">
            <v>Drop1N</v>
          </cell>
          <cell r="K64" t="str">
            <v>technical</v>
          </cell>
          <cell r="L64" t="str">
            <v>テクニカルタイプ</v>
          </cell>
          <cell r="M64" t="str">
            <v>animal</v>
          </cell>
          <cell r="N64" t="str">
            <v>アニマル</v>
          </cell>
          <cell r="O64" t="str">
            <v>none</v>
          </cell>
          <cell r="P64" t="str">
            <v>種族なし</v>
          </cell>
          <cell r="Q64" t="str">
            <v>アタッカーバッファー</v>
          </cell>
          <cell r="R64">
            <v>3</v>
          </cell>
          <cell r="S64" t="str">
            <v>NULL</v>
          </cell>
          <cell r="T64" t="str">
            <v>normal</v>
          </cell>
          <cell r="U64" t="str">
            <v>NULL</v>
          </cell>
          <cell r="V64" t="str">
            <v>NULL</v>
          </cell>
          <cell r="W64" t="str">
            <v>NULL</v>
          </cell>
        </row>
        <row r="65">
          <cell r="A65">
            <v>64</v>
          </cell>
          <cell r="B65" t="str">
            <v>ja</v>
          </cell>
          <cell r="C65" t="str">
            <v>フレイムエッジ トニー</v>
          </cell>
          <cell r="D65" t="str">
            <v>ノーマルクエスト</v>
          </cell>
          <cell r="E65" t="str">
            <v>アバター</v>
          </cell>
          <cell r="F65" t="str">
            <v>世界観</v>
          </cell>
          <cell r="G65" t="str">
            <v>男性</v>
          </cell>
          <cell r="H65" t="str">
            <v>yellow</v>
          </cell>
          <cell r="I65">
            <v>3</v>
          </cell>
          <cell r="J65" t="str">
            <v>Drop1N</v>
          </cell>
          <cell r="K65" t="str">
            <v>technical</v>
          </cell>
          <cell r="L65" t="str">
            <v>テクニカルタイプ</v>
          </cell>
          <cell r="M65" t="str">
            <v>animal</v>
          </cell>
          <cell r="N65" t="str">
            <v>アニマル</v>
          </cell>
          <cell r="O65" t="str">
            <v>none</v>
          </cell>
          <cell r="P65" t="str">
            <v>種族なし</v>
          </cell>
          <cell r="Q65" t="str">
            <v>アタッカーバッファー</v>
          </cell>
          <cell r="R65">
            <v>3</v>
          </cell>
          <cell r="S65" t="str">
            <v>NULL</v>
          </cell>
          <cell r="T65" t="str">
            <v>normal</v>
          </cell>
          <cell r="U65" t="str">
            <v>NULL</v>
          </cell>
          <cell r="V65" t="str">
            <v>NULL</v>
          </cell>
          <cell r="W65" t="str">
            <v>NULL</v>
          </cell>
        </row>
        <row r="66">
          <cell r="A66">
            <v>65</v>
          </cell>
          <cell r="B66" t="str">
            <v>ja</v>
          </cell>
          <cell r="C66" t="str">
            <v>ファイアフォックス</v>
          </cell>
          <cell r="D66" t="str">
            <v>ノーマルクエスト</v>
          </cell>
          <cell r="E66" t="str">
            <v>アバター</v>
          </cell>
          <cell r="F66" t="str">
            <v>世界観</v>
          </cell>
          <cell r="G66" t="str">
            <v>男性</v>
          </cell>
          <cell r="H66" t="str">
            <v>red</v>
          </cell>
          <cell r="I66">
            <v>2</v>
          </cell>
          <cell r="J66" t="str">
            <v>Drop1S</v>
          </cell>
          <cell r="K66" t="str">
            <v>attack</v>
          </cell>
          <cell r="L66" t="str">
            <v>攻撃タイプ</v>
          </cell>
          <cell r="M66" t="str">
            <v>animal</v>
          </cell>
          <cell r="N66" t="str">
            <v>アニマル</v>
          </cell>
          <cell r="O66" t="str">
            <v>none</v>
          </cell>
          <cell r="P66" t="str">
            <v>種族なし</v>
          </cell>
          <cell r="Q66" t="str">
            <v>アタッカー</v>
          </cell>
          <cell r="R66">
            <v>3</v>
          </cell>
          <cell r="S66" t="str">
            <v>NULL</v>
          </cell>
          <cell r="T66" t="str">
            <v>normal</v>
          </cell>
          <cell r="U66" t="str">
            <v>NULL</v>
          </cell>
          <cell r="V66" t="str">
            <v>NULL</v>
          </cell>
          <cell r="W66" t="str">
            <v>NULL</v>
          </cell>
        </row>
        <row r="67">
          <cell r="A67">
            <v>66</v>
          </cell>
          <cell r="B67" t="str">
            <v>ja</v>
          </cell>
          <cell r="C67" t="str">
            <v>探索者 ファイアフォックス</v>
          </cell>
          <cell r="D67" t="str">
            <v>ノーマルクエスト</v>
          </cell>
          <cell r="E67" t="str">
            <v>アバター</v>
          </cell>
          <cell r="F67" t="str">
            <v>世界観</v>
          </cell>
          <cell r="G67" t="str">
            <v>男性</v>
          </cell>
          <cell r="H67" t="str">
            <v>red</v>
          </cell>
          <cell r="I67">
            <v>3</v>
          </cell>
          <cell r="J67" t="str">
            <v>Drop1S</v>
          </cell>
          <cell r="K67" t="str">
            <v>attack</v>
          </cell>
          <cell r="L67" t="str">
            <v>攻撃タイプ</v>
          </cell>
          <cell r="M67" t="str">
            <v>animal</v>
          </cell>
          <cell r="N67" t="str">
            <v>アニマル</v>
          </cell>
          <cell r="O67" t="str">
            <v>none</v>
          </cell>
          <cell r="P67" t="str">
            <v>種族なし</v>
          </cell>
          <cell r="Q67" t="str">
            <v>アタッカー</v>
          </cell>
          <cell r="R67">
            <v>3</v>
          </cell>
          <cell r="S67" t="str">
            <v>NULL</v>
          </cell>
          <cell r="T67" t="str">
            <v>normal</v>
          </cell>
          <cell r="U67" t="str">
            <v>NULL</v>
          </cell>
          <cell r="V67" t="str">
            <v>NULL</v>
          </cell>
          <cell r="W67" t="str">
            <v>NULL</v>
          </cell>
        </row>
        <row r="68">
          <cell r="A68">
            <v>67</v>
          </cell>
          <cell r="B68" t="str">
            <v>ja</v>
          </cell>
          <cell r="C68" t="str">
            <v>双炎の探索者 ファイアフォックス</v>
          </cell>
          <cell r="D68" t="str">
            <v>ノーマルクエスト</v>
          </cell>
          <cell r="E68" t="str">
            <v>アバター</v>
          </cell>
          <cell r="F68" t="str">
            <v>世界観</v>
          </cell>
          <cell r="G68" t="str">
            <v>男性</v>
          </cell>
          <cell r="H68" t="str">
            <v>red</v>
          </cell>
          <cell r="I68">
            <v>4</v>
          </cell>
          <cell r="J68" t="str">
            <v>Drop1S</v>
          </cell>
          <cell r="K68" t="str">
            <v>attack</v>
          </cell>
          <cell r="L68" t="str">
            <v>攻撃タイプ</v>
          </cell>
          <cell r="M68" t="str">
            <v>animal</v>
          </cell>
          <cell r="N68" t="str">
            <v>アニマル</v>
          </cell>
          <cell r="O68" t="str">
            <v>none</v>
          </cell>
          <cell r="P68" t="str">
            <v>種族なし</v>
          </cell>
          <cell r="Q68" t="str">
            <v>アタッカー</v>
          </cell>
          <cell r="R68">
            <v>3</v>
          </cell>
          <cell r="S68" t="str">
            <v>NULL</v>
          </cell>
          <cell r="T68" t="str">
            <v>normal</v>
          </cell>
          <cell r="U68" t="str">
            <v>NULL</v>
          </cell>
          <cell r="V68" t="str">
            <v>NULL</v>
          </cell>
          <cell r="W68" t="str">
            <v>NULL</v>
          </cell>
        </row>
        <row r="69">
          <cell r="A69">
            <v>68</v>
          </cell>
          <cell r="B69" t="str">
            <v>ja</v>
          </cell>
          <cell r="C69" t="str">
            <v>ストール</v>
          </cell>
          <cell r="D69" t="str">
            <v>ノーマルクエスト</v>
          </cell>
          <cell r="E69" t="str">
            <v>アバター</v>
          </cell>
          <cell r="F69" t="str">
            <v>世界観</v>
          </cell>
          <cell r="G69" t="str">
            <v>男性</v>
          </cell>
          <cell r="H69" t="str">
            <v>green</v>
          </cell>
          <cell r="I69">
            <v>2</v>
          </cell>
          <cell r="J69" t="str">
            <v>Drop1S</v>
          </cell>
          <cell r="K69" t="str">
            <v>hp</v>
          </cell>
          <cell r="L69" t="str">
            <v>体力タイプ</v>
          </cell>
          <cell r="M69" t="str">
            <v>animal</v>
          </cell>
          <cell r="N69" t="str">
            <v>アニマル</v>
          </cell>
          <cell r="O69" t="str">
            <v>none</v>
          </cell>
          <cell r="P69" t="str">
            <v>種族なし</v>
          </cell>
          <cell r="Q69" t="str">
            <v>リダクター</v>
          </cell>
          <cell r="R69">
            <v>3</v>
          </cell>
          <cell r="S69" t="str">
            <v>NULL</v>
          </cell>
          <cell r="T69" t="str">
            <v>normal</v>
          </cell>
          <cell r="U69" t="str">
            <v>NULL</v>
          </cell>
          <cell r="V69" t="str">
            <v>NULL</v>
          </cell>
          <cell r="W69" t="str">
            <v>NULL</v>
          </cell>
        </row>
        <row r="70">
          <cell r="A70">
            <v>69</v>
          </cell>
          <cell r="B70" t="str">
            <v>ja</v>
          </cell>
          <cell r="C70" t="str">
            <v>思想家 ストール</v>
          </cell>
          <cell r="D70" t="str">
            <v>ノーマルクエスト</v>
          </cell>
          <cell r="E70" t="str">
            <v>アバター</v>
          </cell>
          <cell r="F70" t="str">
            <v>世界観</v>
          </cell>
          <cell r="G70" t="str">
            <v>男性</v>
          </cell>
          <cell r="H70" t="str">
            <v>green</v>
          </cell>
          <cell r="I70">
            <v>3</v>
          </cell>
          <cell r="J70" t="str">
            <v>Drop1S</v>
          </cell>
          <cell r="K70" t="str">
            <v>hp</v>
          </cell>
          <cell r="L70" t="str">
            <v>体力タイプ</v>
          </cell>
          <cell r="M70" t="str">
            <v>animal</v>
          </cell>
          <cell r="N70" t="str">
            <v>アニマル</v>
          </cell>
          <cell r="O70" t="str">
            <v>none</v>
          </cell>
          <cell r="P70" t="str">
            <v>種族なし</v>
          </cell>
          <cell r="Q70" t="str">
            <v>リダクター</v>
          </cell>
          <cell r="R70">
            <v>3</v>
          </cell>
          <cell r="S70" t="str">
            <v>NULL</v>
          </cell>
          <cell r="T70" t="str">
            <v>normal</v>
          </cell>
          <cell r="U70" t="str">
            <v>NULL</v>
          </cell>
          <cell r="V70" t="str">
            <v>NULL</v>
          </cell>
          <cell r="W70" t="str">
            <v>NULL</v>
          </cell>
        </row>
        <row r="71">
          <cell r="A71">
            <v>70</v>
          </cell>
          <cell r="B71" t="str">
            <v>ja</v>
          </cell>
          <cell r="C71" t="str">
            <v>自由の思想家 ストール</v>
          </cell>
          <cell r="D71" t="str">
            <v>ノーマルクエスト</v>
          </cell>
          <cell r="E71" t="str">
            <v>アバター</v>
          </cell>
          <cell r="F71" t="str">
            <v>世界観</v>
          </cell>
          <cell r="G71" t="str">
            <v>男性</v>
          </cell>
          <cell r="H71" t="str">
            <v>green</v>
          </cell>
          <cell r="I71">
            <v>4</v>
          </cell>
          <cell r="J71" t="str">
            <v>Drop1S</v>
          </cell>
          <cell r="K71" t="str">
            <v>hp</v>
          </cell>
          <cell r="L71" t="str">
            <v>体力タイプ</v>
          </cell>
          <cell r="M71" t="str">
            <v>animal</v>
          </cell>
          <cell r="N71" t="str">
            <v>アニマル</v>
          </cell>
          <cell r="O71" t="str">
            <v>none</v>
          </cell>
          <cell r="P71" t="str">
            <v>種族なし</v>
          </cell>
          <cell r="Q71" t="str">
            <v>リダクター</v>
          </cell>
          <cell r="R71">
            <v>3</v>
          </cell>
          <cell r="S71" t="str">
            <v>NULL</v>
          </cell>
          <cell r="T71" t="str">
            <v>normal</v>
          </cell>
          <cell r="U71" t="str">
            <v>NULL</v>
          </cell>
          <cell r="V71" t="str">
            <v>NULL</v>
          </cell>
          <cell r="W71" t="str">
            <v>NULL</v>
          </cell>
        </row>
        <row r="72">
          <cell r="A72">
            <v>71</v>
          </cell>
          <cell r="B72" t="str">
            <v>ja</v>
          </cell>
          <cell r="C72" t="str">
            <v>ダックス</v>
          </cell>
          <cell r="D72" t="str">
            <v>ノーマルクエスト</v>
          </cell>
          <cell r="E72" t="str">
            <v>アバター</v>
          </cell>
          <cell r="F72" t="str">
            <v>世界観</v>
          </cell>
          <cell r="G72" t="str">
            <v>男性</v>
          </cell>
          <cell r="H72" t="str">
            <v>blue</v>
          </cell>
          <cell r="I72">
            <v>2</v>
          </cell>
          <cell r="J72" t="str">
            <v>Drop1S</v>
          </cell>
          <cell r="K72" t="str">
            <v>balance</v>
          </cell>
          <cell r="L72" t="str">
            <v>バランスタイプ</v>
          </cell>
          <cell r="M72" t="str">
            <v>animal</v>
          </cell>
          <cell r="N72" t="str">
            <v>アニマル</v>
          </cell>
          <cell r="O72" t="str">
            <v>none</v>
          </cell>
          <cell r="P72" t="str">
            <v>種族なし</v>
          </cell>
          <cell r="Q72" t="str">
            <v>バッファー</v>
          </cell>
          <cell r="R72">
            <v>3</v>
          </cell>
          <cell r="S72" t="str">
            <v>NULL</v>
          </cell>
          <cell r="T72" t="str">
            <v>normal</v>
          </cell>
          <cell r="U72" t="str">
            <v>NULL</v>
          </cell>
          <cell r="V72" t="str">
            <v>NULL</v>
          </cell>
          <cell r="W72" t="str">
            <v>NULL</v>
          </cell>
        </row>
        <row r="73">
          <cell r="A73">
            <v>72</v>
          </cell>
          <cell r="B73" t="str">
            <v>ja</v>
          </cell>
          <cell r="C73" t="str">
            <v>探求者 ダックス</v>
          </cell>
          <cell r="D73" t="str">
            <v>ノーマルクエスト</v>
          </cell>
          <cell r="E73" t="str">
            <v>アバター</v>
          </cell>
          <cell r="F73" t="str">
            <v>世界観</v>
          </cell>
          <cell r="G73" t="str">
            <v>男性</v>
          </cell>
          <cell r="H73" t="str">
            <v>blue</v>
          </cell>
          <cell r="I73">
            <v>3</v>
          </cell>
          <cell r="J73" t="str">
            <v>Drop1S</v>
          </cell>
          <cell r="K73" t="str">
            <v>balance</v>
          </cell>
          <cell r="L73" t="str">
            <v>バランスタイプ</v>
          </cell>
          <cell r="M73" t="str">
            <v>animal</v>
          </cell>
          <cell r="N73" t="str">
            <v>アニマル</v>
          </cell>
          <cell r="O73" t="str">
            <v>none</v>
          </cell>
          <cell r="P73" t="str">
            <v>種族なし</v>
          </cell>
          <cell r="Q73" t="str">
            <v>バッファー</v>
          </cell>
          <cell r="R73">
            <v>3</v>
          </cell>
          <cell r="S73" t="str">
            <v>NULL</v>
          </cell>
          <cell r="T73" t="str">
            <v>normal</v>
          </cell>
          <cell r="U73" t="str">
            <v>NULL</v>
          </cell>
          <cell r="V73" t="str">
            <v>NULL</v>
          </cell>
          <cell r="W73" t="str">
            <v>NULL</v>
          </cell>
        </row>
        <row r="74">
          <cell r="A74">
            <v>73</v>
          </cell>
          <cell r="B74" t="str">
            <v>ja</v>
          </cell>
          <cell r="C74" t="str">
            <v>自由の探求者 ダックス</v>
          </cell>
          <cell r="D74" t="str">
            <v>ノーマルクエスト</v>
          </cell>
          <cell r="E74" t="str">
            <v>アバター</v>
          </cell>
          <cell r="F74" t="str">
            <v>世界観</v>
          </cell>
          <cell r="G74" t="str">
            <v>男性</v>
          </cell>
          <cell r="H74" t="str">
            <v>blue</v>
          </cell>
          <cell r="I74">
            <v>4</v>
          </cell>
          <cell r="J74" t="str">
            <v>Drop1S</v>
          </cell>
          <cell r="K74" t="str">
            <v>balance</v>
          </cell>
          <cell r="L74" t="str">
            <v>バランスタイプ</v>
          </cell>
          <cell r="M74" t="str">
            <v>animal</v>
          </cell>
          <cell r="N74" t="str">
            <v>アニマル</v>
          </cell>
          <cell r="O74" t="str">
            <v>none</v>
          </cell>
          <cell r="P74" t="str">
            <v>種族なし</v>
          </cell>
          <cell r="Q74" t="str">
            <v>バッファー</v>
          </cell>
          <cell r="R74">
            <v>3</v>
          </cell>
          <cell r="S74" t="str">
            <v>NULL</v>
          </cell>
          <cell r="T74" t="str">
            <v>normal</v>
          </cell>
          <cell r="U74" t="str">
            <v>NULL</v>
          </cell>
          <cell r="V74" t="str">
            <v>NULL</v>
          </cell>
          <cell r="W74" t="str">
            <v>NULL</v>
          </cell>
        </row>
        <row r="75">
          <cell r="A75">
            <v>74</v>
          </cell>
          <cell r="B75" t="str">
            <v>ja</v>
          </cell>
          <cell r="C75" t="str">
            <v>サンダーバード</v>
          </cell>
          <cell r="D75" t="str">
            <v>ノーマルクエスト</v>
          </cell>
          <cell r="E75" t="str">
            <v>アバター</v>
          </cell>
          <cell r="F75" t="str">
            <v>世界観</v>
          </cell>
          <cell r="G75" t="str">
            <v>男性</v>
          </cell>
          <cell r="H75" t="str">
            <v>yellow</v>
          </cell>
          <cell r="I75">
            <v>2</v>
          </cell>
          <cell r="J75" t="str">
            <v>Drop1S</v>
          </cell>
          <cell r="K75" t="str">
            <v>attack</v>
          </cell>
          <cell r="L75" t="str">
            <v>攻撃タイプ</v>
          </cell>
          <cell r="M75" t="str">
            <v>animal</v>
          </cell>
          <cell r="N75" t="str">
            <v>アニマル</v>
          </cell>
          <cell r="O75" t="str">
            <v>none</v>
          </cell>
          <cell r="P75" t="str">
            <v>種族なし</v>
          </cell>
          <cell r="Q75" t="str">
            <v>アタッカー</v>
          </cell>
          <cell r="R75">
            <v>3</v>
          </cell>
          <cell r="S75" t="str">
            <v>NULL</v>
          </cell>
          <cell r="T75" t="str">
            <v>normal</v>
          </cell>
          <cell r="U75" t="str">
            <v>NULL</v>
          </cell>
          <cell r="V75" t="str">
            <v>NULL</v>
          </cell>
          <cell r="W75" t="str">
            <v>NULL</v>
          </cell>
        </row>
        <row r="76">
          <cell r="A76">
            <v>75</v>
          </cell>
          <cell r="B76" t="str">
            <v>ja</v>
          </cell>
          <cell r="C76" t="str">
            <v>伝令者 サンダーバード</v>
          </cell>
          <cell r="D76" t="str">
            <v>ノーマルクエスト</v>
          </cell>
          <cell r="E76" t="str">
            <v>アバター</v>
          </cell>
          <cell r="F76" t="str">
            <v>世界観</v>
          </cell>
          <cell r="G76" t="str">
            <v>男性</v>
          </cell>
          <cell r="H76" t="str">
            <v>yellow</v>
          </cell>
          <cell r="I76">
            <v>3</v>
          </cell>
          <cell r="J76" t="str">
            <v>Drop1S</v>
          </cell>
          <cell r="K76" t="str">
            <v>attack</v>
          </cell>
          <cell r="L76" t="str">
            <v>攻撃タイプ</v>
          </cell>
          <cell r="M76" t="str">
            <v>animal</v>
          </cell>
          <cell r="N76" t="str">
            <v>アニマル</v>
          </cell>
          <cell r="O76" t="str">
            <v>none</v>
          </cell>
          <cell r="P76" t="str">
            <v>種族なし</v>
          </cell>
          <cell r="Q76" t="str">
            <v>アタッカー</v>
          </cell>
          <cell r="R76">
            <v>3</v>
          </cell>
          <cell r="S76" t="str">
            <v>NULL</v>
          </cell>
          <cell r="T76" t="str">
            <v>normal</v>
          </cell>
          <cell r="U76" t="str">
            <v>NULL</v>
          </cell>
          <cell r="V76" t="str">
            <v>NULL</v>
          </cell>
          <cell r="W76" t="str">
            <v>NULL</v>
          </cell>
        </row>
        <row r="77">
          <cell r="A77">
            <v>76</v>
          </cell>
          <cell r="B77" t="str">
            <v>ja</v>
          </cell>
          <cell r="C77" t="str">
            <v>閃速の伝令者 サンダーバード</v>
          </cell>
          <cell r="D77" t="str">
            <v>ノーマルクエスト</v>
          </cell>
          <cell r="E77" t="str">
            <v>アバター</v>
          </cell>
          <cell r="F77" t="str">
            <v>世界観</v>
          </cell>
          <cell r="G77" t="str">
            <v>男性</v>
          </cell>
          <cell r="H77" t="str">
            <v>yellow</v>
          </cell>
          <cell r="I77">
            <v>4</v>
          </cell>
          <cell r="J77" t="str">
            <v>Drop1S</v>
          </cell>
          <cell r="K77" t="str">
            <v>attack</v>
          </cell>
          <cell r="L77" t="str">
            <v>攻撃タイプ</v>
          </cell>
          <cell r="M77" t="str">
            <v>animal</v>
          </cell>
          <cell r="N77" t="str">
            <v>アニマル</v>
          </cell>
          <cell r="O77" t="str">
            <v>none</v>
          </cell>
          <cell r="P77" t="str">
            <v>種族なし</v>
          </cell>
          <cell r="Q77" t="str">
            <v>アタッカー</v>
          </cell>
          <cell r="R77">
            <v>3</v>
          </cell>
          <cell r="S77" t="str">
            <v>NULL</v>
          </cell>
          <cell r="T77" t="str">
            <v>normal</v>
          </cell>
          <cell r="U77" t="str">
            <v>NULL</v>
          </cell>
          <cell r="V77" t="str">
            <v>NULL</v>
          </cell>
          <cell r="W77" t="str">
            <v>NULL</v>
          </cell>
        </row>
        <row r="78">
          <cell r="A78">
            <v>77</v>
          </cell>
          <cell r="B78" t="str">
            <v>ja</v>
          </cell>
          <cell r="C78" t="str">
            <v>潜伏型メリッサ</v>
          </cell>
          <cell r="D78" t="str">
            <v>イベント:ウィルス01</v>
          </cell>
          <cell r="E78" t="str">
            <v>ウィルス</v>
          </cell>
          <cell r="F78" t="str">
            <v>世界観</v>
          </cell>
          <cell r="G78" t="str">
            <v>女性</v>
          </cell>
          <cell r="H78" t="str">
            <v>red</v>
          </cell>
          <cell r="I78">
            <v>3</v>
          </cell>
          <cell r="J78" t="str">
            <v>DropWizW</v>
          </cell>
          <cell r="K78" t="str">
            <v>technical</v>
          </cell>
          <cell r="L78" t="str">
            <v>テクニカルタイプ</v>
          </cell>
          <cell r="M78" t="str">
            <v>unknown</v>
          </cell>
          <cell r="N78" t="str">
            <v>Unknown</v>
          </cell>
          <cell r="O78" t="str">
            <v>none</v>
          </cell>
          <cell r="P78" t="str">
            <v>種族なし</v>
          </cell>
          <cell r="Q78" t="str">
            <v>ハングアッパー</v>
          </cell>
          <cell r="R78">
            <v>3</v>
          </cell>
          <cell r="S78" t="str">
            <v>NULL</v>
          </cell>
          <cell r="T78" t="str">
            <v>normal</v>
          </cell>
          <cell r="U78" t="str">
            <v>NULL</v>
          </cell>
          <cell r="V78" t="str">
            <v>NULL</v>
          </cell>
          <cell r="W78" t="str">
            <v>NULL</v>
          </cell>
        </row>
        <row r="79">
          <cell r="A79">
            <v>78</v>
          </cell>
          <cell r="B79" t="str">
            <v>ja</v>
          </cell>
          <cell r="C79" t="str">
            <v>擬態潜伏型メリッサ2.0</v>
          </cell>
          <cell r="D79" t="str">
            <v>イベント:ウィルス01</v>
          </cell>
          <cell r="E79" t="str">
            <v>ウィルス</v>
          </cell>
          <cell r="F79" t="str">
            <v>世界観</v>
          </cell>
          <cell r="G79" t="str">
            <v>女性</v>
          </cell>
          <cell r="H79" t="str">
            <v>red</v>
          </cell>
          <cell r="I79">
            <v>4</v>
          </cell>
          <cell r="J79" t="str">
            <v>DropWizW</v>
          </cell>
          <cell r="K79" t="str">
            <v>technical</v>
          </cell>
          <cell r="L79" t="str">
            <v>テクニカルタイプ</v>
          </cell>
          <cell r="M79" t="str">
            <v>unknown</v>
          </cell>
          <cell r="N79" t="str">
            <v>Unknown</v>
          </cell>
          <cell r="O79" t="str">
            <v>none</v>
          </cell>
          <cell r="P79" t="str">
            <v>種族なし</v>
          </cell>
          <cell r="Q79" t="str">
            <v>ハングアッパー</v>
          </cell>
          <cell r="R79">
            <v>3</v>
          </cell>
          <cell r="S79" t="str">
            <v>NULL</v>
          </cell>
          <cell r="T79" t="str">
            <v>normal</v>
          </cell>
          <cell r="U79" t="str">
            <v>NULL</v>
          </cell>
          <cell r="V79" t="str">
            <v>NULL</v>
          </cell>
          <cell r="W79" t="str">
            <v>NULL</v>
          </cell>
        </row>
        <row r="80">
          <cell r="A80">
            <v>79</v>
          </cell>
          <cell r="B80" t="str">
            <v>ja</v>
          </cell>
          <cell r="C80" t="str">
            <v>ハッピー100</v>
          </cell>
          <cell r="D80" t="str">
            <v>イベント:ウィルス01</v>
          </cell>
          <cell r="E80" t="str">
            <v>ウィルス</v>
          </cell>
          <cell r="F80" t="str">
            <v>世界観</v>
          </cell>
          <cell r="G80" t="str">
            <v>女性</v>
          </cell>
          <cell r="H80" t="str">
            <v>green</v>
          </cell>
          <cell r="I80">
            <v>3</v>
          </cell>
          <cell r="J80" t="str">
            <v>DropWizW</v>
          </cell>
          <cell r="K80" t="str">
            <v>heal</v>
          </cell>
          <cell r="L80" t="str">
            <v>回復タイプ</v>
          </cell>
          <cell r="M80" t="str">
            <v>unknown</v>
          </cell>
          <cell r="N80" t="str">
            <v>Unknown</v>
          </cell>
          <cell r="O80" t="str">
            <v>none</v>
          </cell>
          <cell r="P80" t="str">
            <v>種族なし</v>
          </cell>
          <cell r="Q80" t="str">
            <v>タップブースター</v>
          </cell>
          <cell r="R80">
            <v>3</v>
          </cell>
          <cell r="S80" t="str">
            <v>NULL</v>
          </cell>
          <cell r="T80" t="str">
            <v>normal</v>
          </cell>
          <cell r="U80" t="str">
            <v>NULL</v>
          </cell>
          <cell r="V80" t="str">
            <v>NULL</v>
          </cell>
          <cell r="W80" t="str">
            <v>NULL</v>
          </cell>
        </row>
        <row r="81">
          <cell r="A81">
            <v>80</v>
          </cell>
          <cell r="B81" t="str">
            <v>ja</v>
          </cell>
          <cell r="C81" t="str">
            <v>ハッピー101</v>
          </cell>
          <cell r="D81" t="str">
            <v>イベント:ウィルス01</v>
          </cell>
          <cell r="E81" t="str">
            <v>ウィルス</v>
          </cell>
          <cell r="F81" t="str">
            <v>世界観</v>
          </cell>
          <cell r="G81" t="str">
            <v>女性</v>
          </cell>
          <cell r="H81" t="str">
            <v>green</v>
          </cell>
          <cell r="I81">
            <v>4</v>
          </cell>
          <cell r="J81" t="str">
            <v>DropWizW</v>
          </cell>
          <cell r="K81" t="str">
            <v>heal</v>
          </cell>
          <cell r="L81" t="str">
            <v>回復タイプ</v>
          </cell>
          <cell r="M81" t="str">
            <v>unknown</v>
          </cell>
          <cell r="N81" t="str">
            <v>Unknown</v>
          </cell>
          <cell r="O81" t="str">
            <v>none</v>
          </cell>
          <cell r="P81" t="str">
            <v>種族なし</v>
          </cell>
          <cell r="Q81" t="str">
            <v>タップブースター</v>
          </cell>
          <cell r="R81">
            <v>3</v>
          </cell>
          <cell r="S81" t="str">
            <v>NULL</v>
          </cell>
          <cell r="T81" t="str">
            <v>normal</v>
          </cell>
          <cell r="U81" t="str">
            <v>NULL</v>
          </cell>
          <cell r="V81" t="str">
            <v>NULL</v>
          </cell>
          <cell r="W81" t="str">
            <v>NULL</v>
          </cell>
        </row>
        <row r="82">
          <cell r="A82">
            <v>81</v>
          </cell>
          <cell r="B82" t="str">
            <v>ja</v>
          </cell>
          <cell r="C82" t="str">
            <v>増幅型モリス</v>
          </cell>
          <cell r="D82" t="str">
            <v>イベント:ウィルス01</v>
          </cell>
          <cell r="E82" t="str">
            <v>ウィルス</v>
          </cell>
          <cell r="F82" t="str">
            <v>世界観</v>
          </cell>
          <cell r="G82" t="str">
            <v>男性</v>
          </cell>
          <cell r="H82" t="str">
            <v>blue</v>
          </cell>
          <cell r="I82">
            <v>3</v>
          </cell>
          <cell r="J82" t="str">
            <v>DropWizW</v>
          </cell>
          <cell r="K82" t="str">
            <v>balance</v>
          </cell>
          <cell r="L82" t="str">
            <v>バランスタイプ</v>
          </cell>
          <cell r="M82" t="str">
            <v>unknown</v>
          </cell>
          <cell r="N82" t="str">
            <v>Unknown</v>
          </cell>
          <cell r="O82" t="str">
            <v>none</v>
          </cell>
          <cell r="P82" t="str">
            <v>種族なし</v>
          </cell>
          <cell r="Q82" t="str">
            <v>ボマー</v>
          </cell>
          <cell r="R82">
            <v>3</v>
          </cell>
          <cell r="S82" t="str">
            <v>NULL</v>
          </cell>
          <cell r="T82" t="str">
            <v>normal</v>
          </cell>
          <cell r="U82" t="str">
            <v>NULL</v>
          </cell>
          <cell r="V82" t="str">
            <v>NULL</v>
          </cell>
          <cell r="W82" t="str">
            <v>NULL</v>
          </cell>
        </row>
        <row r="83">
          <cell r="A83">
            <v>82</v>
          </cell>
          <cell r="B83" t="str">
            <v>ja</v>
          </cell>
          <cell r="C83" t="str">
            <v>偽装増幅型G・モリス</v>
          </cell>
          <cell r="D83" t="str">
            <v>イベント:ウィルス01</v>
          </cell>
          <cell r="E83" t="str">
            <v>ウィルス</v>
          </cell>
          <cell r="F83" t="str">
            <v>世界観</v>
          </cell>
          <cell r="G83" t="str">
            <v>男性</v>
          </cell>
          <cell r="H83" t="str">
            <v>blue</v>
          </cell>
          <cell r="I83">
            <v>4</v>
          </cell>
          <cell r="J83" t="str">
            <v>DropWizW</v>
          </cell>
          <cell r="K83" t="str">
            <v>balance</v>
          </cell>
          <cell r="L83" t="str">
            <v>バランスタイプ</v>
          </cell>
          <cell r="M83" t="str">
            <v>unknown</v>
          </cell>
          <cell r="N83" t="str">
            <v>Unknown</v>
          </cell>
          <cell r="O83" t="str">
            <v>none</v>
          </cell>
          <cell r="P83" t="str">
            <v>種族なし</v>
          </cell>
          <cell r="Q83" t="str">
            <v>ボマー</v>
          </cell>
          <cell r="R83">
            <v>3</v>
          </cell>
          <cell r="S83" t="str">
            <v>NULL</v>
          </cell>
          <cell r="T83" t="str">
            <v>normal</v>
          </cell>
          <cell r="U83" t="str">
            <v>NULL</v>
          </cell>
          <cell r="V83" t="str">
            <v>NULL</v>
          </cell>
          <cell r="W83" t="str">
            <v>NULL</v>
          </cell>
        </row>
        <row r="84">
          <cell r="A84">
            <v>83</v>
          </cell>
          <cell r="B84" t="str">
            <v>ja</v>
          </cell>
          <cell r="C84" t="str">
            <v>拡散性ニムダ</v>
          </cell>
          <cell r="D84" t="str">
            <v>イベント:ウィルス01</v>
          </cell>
          <cell r="E84" t="str">
            <v>ウィルス</v>
          </cell>
          <cell r="F84" t="str">
            <v>世界観</v>
          </cell>
          <cell r="G84" t="str">
            <v>不明</v>
          </cell>
          <cell r="H84" t="str">
            <v>yellow</v>
          </cell>
          <cell r="I84">
            <v>3</v>
          </cell>
          <cell r="J84" t="str">
            <v>DropWizW</v>
          </cell>
          <cell r="K84" t="str">
            <v>heal</v>
          </cell>
          <cell r="L84" t="str">
            <v>回復タイプ</v>
          </cell>
          <cell r="M84" t="str">
            <v>unknown</v>
          </cell>
          <cell r="N84" t="str">
            <v>Unknown</v>
          </cell>
          <cell r="O84" t="str">
            <v>none</v>
          </cell>
          <cell r="P84" t="str">
            <v>種族なし</v>
          </cell>
          <cell r="Q84" t="str">
            <v>ウイルサー</v>
          </cell>
          <cell r="R84">
            <v>3</v>
          </cell>
          <cell r="S84" t="str">
            <v>NULL</v>
          </cell>
          <cell r="T84" t="str">
            <v>normal</v>
          </cell>
          <cell r="U84" t="str">
            <v>NULL</v>
          </cell>
          <cell r="V84" t="str">
            <v>NULL</v>
          </cell>
          <cell r="W84" t="str">
            <v>NULL</v>
          </cell>
        </row>
        <row r="85">
          <cell r="A85">
            <v>84</v>
          </cell>
          <cell r="B85" t="str">
            <v>ja</v>
          </cell>
          <cell r="C85" t="str">
            <v>高速拡散性ニムダE</v>
          </cell>
          <cell r="D85" t="str">
            <v>イベント:ウィルス01</v>
          </cell>
          <cell r="E85" t="str">
            <v>ウィルス</v>
          </cell>
          <cell r="F85" t="str">
            <v>世界観</v>
          </cell>
          <cell r="G85" t="str">
            <v>不明</v>
          </cell>
          <cell r="H85" t="str">
            <v>yellow</v>
          </cell>
          <cell r="I85">
            <v>4</v>
          </cell>
          <cell r="J85" t="str">
            <v>DropWizW</v>
          </cell>
          <cell r="K85" t="str">
            <v>heal</v>
          </cell>
          <cell r="L85" t="str">
            <v>回復タイプ</v>
          </cell>
          <cell r="M85" t="str">
            <v>unknown</v>
          </cell>
          <cell r="N85" t="str">
            <v>Unknown</v>
          </cell>
          <cell r="O85" t="str">
            <v>none</v>
          </cell>
          <cell r="P85" t="str">
            <v>種族なし</v>
          </cell>
          <cell r="Q85" t="str">
            <v>ウイルサー</v>
          </cell>
          <cell r="R85">
            <v>3</v>
          </cell>
          <cell r="S85" t="str">
            <v>NULL</v>
          </cell>
          <cell r="T85" t="str">
            <v>normal</v>
          </cell>
          <cell r="U85" t="str">
            <v>NULL</v>
          </cell>
          <cell r="V85" t="str">
            <v>NULL</v>
          </cell>
          <cell r="W85" t="str">
            <v>NULL</v>
          </cell>
        </row>
        <row r="86">
          <cell r="A86">
            <v>85</v>
          </cell>
          <cell r="B86" t="str">
            <v>ja</v>
          </cell>
          <cell r="C86" t="str">
            <v>朱雀</v>
          </cell>
          <cell r="D86" t="str">
            <v>リンクガチャ:4神</v>
          </cell>
          <cell r="E86" t="str">
            <v>守護神</v>
          </cell>
          <cell r="F86" t="str">
            <v>格好いい</v>
          </cell>
          <cell r="G86" t="str">
            <v>不明</v>
          </cell>
          <cell r="H86" t="str">
            <v>red</v>
          </cell>
          <cell r="I86">
            <v>3</v>
          </cell>
          <cell r="J86" t="str">
            <v>Drop2N</v>
          </cell>
          <cell r="K86" t="str">
            <v>balance</v>
          </cell>
          <cell r="L86" t="str">
            <v>バランスタイプ</v>
          </cell>
          <cell r="M86" t="str">
            <v>animal</v>
          </cell>
          <cell r="N86" t="str">
            <v>アニマル</v>
          </cell>
          <cell r="O86" t="str">
            <v>god</v>
          </cell>
          <cell r="P86" t="str">
            <v>ゴッド</v>
          </cell>
          <cell r="Q86" t="str">
            <v>アタッカー</v>
          </cell>
          <cell r="R86">
            <v>3</v>
          </cell>
          <cell r="S86" t="str">
            <v>NULL</v>
          </cell>
          <cell r="T86" t="str">
            <v>normal</v>
          </cell>
          <cell r="U86" t="str">
            <v>NULL</v>
          </cell>
          <cell r="V86" t="str">
            <v>NULL</v>
          </cell>
          <cell r="W86" t="str">
            <v>NULL</v>
          </cell>
        </row>
        <row r="87">
          <cell r="A87">
            <v>86</v>
          </cell>
          <cell r="B87" t="str">
            <v>ja</v>
          </cell>
          <cell r="C87" t="str">
            <v>守護者 朱雀</v>
          </cell>
          <cell r="D87" t="str">
            <v>リンクガチャ:4神</v>
          </cell>
          <cell r="E87" t="str">
            <v>守護神</v>
          </cell>
          <cell r="F87" t="str">
            <v>格好いい</v>
          </cell>
          <cell r="G87" t="str">
            <v>不明</v>
          </cell>
          <cell r="H87" t="str">
            <v>red</v>
          </cell>
          <cell r="I87">
            <v>4</v>
          </cell>
          <cell r="J87" t="str">
            <v>Drop2N</v>
          </cell>
          <cell r="K87" t="str">
            <v>balance</v>
          </cell>
          <cell r="L87" t="str">
            <v>バランスタイプ</v>
          </cell>
          <cell r="M87" t="str">
            <v>animal</v>
          </cell>
          <cell r="N87" t="str">
            <v>アニマル</v>
          </cell>
          <cell r="O87" t="str">
            <v>god</v>
          </cell>
          <cell r="P87" t="str">
            <v>ゴッド</v>
          </cell>
          <cell r="Q87" t="str">
            <v>アタッカー</v>
          </cell>
          <cell r="R87">
            <v>3</v>
          </cell>
          <cell r="S87" t="str">
            <v>NULL</v>
          </cell>
          <cell r="T87" t="str">
            <v>normal</v>
          </cell>
          <cell r="U87" t="str">
            <v>NULL</v>
          </cell>
          <cell r="V87" t="str">
            <v>NULL</v>
          </cell>
          <cell r="W87" t="str">
            <v>NULL</v>
          </cell>
        </row>
        <row r="88">
          <cell r="A88">
            <v>87</v>
          </cell>
          <cell r="B88" t="str">
            <v>ja</v>
          </cell>
          <cell r="C88" t="str">
            <v>朱南の守護神 朱雀</v>
          </cell>
          <cell r="D88" t="str">
            <v>リンクガチャ:4神</v>
          </cell>
          <cell r="E88" t="str">
            <v>守護神</v>
          </cell>
          <cell r="F88" t="str">
            <v>格好いい</v>
          </cell>
          <cell r="G88" t="str">
            <v>不明</v>
          </cell>
          <cell r="H88" t="str">
            <v>red</v>
          </cell>
          <cell r="I88">
            <v>5</v>
          </cell>
          <cell r="J88" t="str">
            <v>Drop2N</v>
          </cell>
          <cell r="K88" t="str">
            <v>balance</v>
          </cell>
          <cell r="L88" t="str">
            <v>バランスタイプ</v>
          </cell>
          <cell r="M88" t="str">
            <v>animal</v>
          </cell>
          <cell r="N88" t="str">
            <v>アニマル</v>
          </cell>
          <cell r="O88" t="str">
            <v>god</v>
          </cell>
          <cell r="P88" t="str">
            <v>ゴッド</v>
          </cell>
          <cell r="Q88" t="str">
            <v>アタッカー</v>
          </cell>
          <cell r="R88">
            <v>3</v>
          </cell>
          <cell r="S88" t="str">
            <v>NULL</v>
          </cell>
          <cell r="T88" t="str">
            <v>normal</v>
          </cell>
          <cell r="U88" t="str">
            <v>NULL</v>
          </cell>
          <cell r="V88" t="str">
            <v>NULL</v>
          </cell>
          <cell r="W88" t="str">
            <v>NULL</v>
          </cell>
        </row>
        <row r="89">
          <cell r="A89">
            <v>88</v>
          </cell>
          <cell r="B89" t="str">
            <v>ja</v>
          </cell>
          <cell r="C89" t="str">
            <v>玄武</v>
          </cell>
          <cell r="D89" t="str">
            <v>リンクガチャ:4神</v>
          </cell>
          <cell r="E89" t="str">
            <v>守護神</v>
          </cell>
          <cell r="F89" t="str">
            <v>格好いい</v>
          </cell>
          <cell r="G89" t="str">
            <v>不明</v>
          </cell>
          <cell r="H89" t="str">
            <v>green</v>
          </cell>
          <cell r="I89">
            <v>3</v>
          </cell>
          <cell r="J89" t="str">
            <v>Drop2N</v>
          </cell>
          <cell r="K89" t="str">
            <v>technical</v>
          </cell>
          <cell r="L89" t="str">
            <v>テクニカルタイプ</v>
          </cell>
          <cell r="M89" t="str">
            <v>dragon</v>
          </cell>
          <cell r="N89" t="str">
            <v>ドラゴン</v>
          </cell>
          <cell r="O89" t="str">
            <v>god</v>
          </cell>
          <cell r="P89" t="str">
            <v>ゴッド</v>
          </cell>
          <cell r="Q89" t="str">
            <v>バッファー</v>
          </cell>
          <cell r="R89">
            <v>3</v>
          </cell>
          <cell r="S89" t="str">
            <v>NULL</v>
          </cell>
          <cell r="T89" t="str">
            <v>normal</v>
          </cell>
          <cell r="U89" t="str">
            <v>NULL</v>
          </cell>
          <cell r="V89" t="str">
            <v>NULL</v>
          </cell>
          <cell r="W89" t="str">
            <v>NULL</v>
          </cell>
        </row>
        <row r="90">
          <cell r="A90">
            <v>89</v>
          </cell>
          <cell r="B90" t="str">
            <v>ja</v>
          </cell>
          <cell r="C90" t="str">
            <v>守護者 玄武</v>
          </cell>
          <cell r="D90" t="str">
            <v>リンクガチャ:4神</v>
          </cell>
          <cell r="E90" t="str">
            <v>守護神</v>
          </cell>
          <cell r="F90" t="str">
            <v>格好いい</v>
          </cell>
          <cell r="G90" t="str">
            <v>不明</v>
          </cell>
          <cell r="H90" t="str">
            <v>green</v>
          </cell>
          <cell r="I90">
            <v>4</v>
          </cell>
          <cell r="J90" t="str">
            <v>Drop2N</v>
          </cell>
          <cell r="K90" t="str">
            <v>technical</v>
          </cell>
          <cell r="L90" t="str">
            <v>テクニカルタイプ</v>
          </cell>
          <cell r="M90" t="str">
            <v>dragon</v>
          </cell>
          <cell r="N90" t="str">
            <v>ドラゴン</v>
          </cell>
          <cell r="O90" t="str">
            <v>god</v>
          </cell>
          <cell r="P90" t="str">
            <v>ゴッド</v>
          </cell>
          <cell r="Q90" t="str">
            <v>バッファー</v>
          </cell>
          <cell r="R90">
            <v>3</v>
          </cell>
          <cell r="S90" t="str">
            <v>NULL</v>
          </cell>
          <cell r="T90" t="str">
            <v>normal</v>
          </cell>
          <cell r="U90" t="str">
            <v>NULL</v>
          </cell>
          <cell r="V90" t="str">
            <v>NULL</v>
          </cell>
          <cell r="W90" t="str">
            <v>NULL</v>
          </cell>
        </row>
        <row r="91">
          <cell r="A91">
            <v>90</v>
          </cell>
          <cell r="B91" t="str">
            <v>ja</v>
          </cell>
          <cell r="C91" t="str">
            <v>翠北の守護神 玄武</v>
          </cell>
          <cell r="D91" t="str">
            <v>リンクガチャ:4神</v>
          </cell>
          <cell r="E91" t="str">
            <v>守護神</v>
          </cell>
          <cell r="F91" t="str">
            <v>格好いい</v>
          </cell>
          <cell r="G91" t="str">
            <v>不明</v>
          </cell>
          <cell r="H91" t="str">
            <v>green</v>
          </cell>
          <cell r="I91">
            <v>5</v>
          </cell>
          <cell r="J91" t="str">
            <v>Drop2N</v>
          </cell>
          <cell r="K91" t="str">
            <v>technical</v>
          </cell>
          <cell r="L91" t="str">
            <v>テクニカルタイプ</v>
          </cell>
          <cell r="M91" t="str">
            <v>dragon</v>
          </cell>
          <cell r="N91" t="str">
            <v>ドラゴン</v>
          </cell>
          <cell r="O91" t="str">
            <v>god</v>
          </cell>
          <cell r="P91" t="str">
            <v>ゴッド</v>
          </cell>
          <cell r="Q91" t="str">
            <v>バッファー</v>
          </cell>
          <cell r="R91">
            <v>3</v>
          </cell>
          <cell r="S91" t="str">
            <v>NULL</v>
          </cell>
          <cell r="T91" t="str">
            <v>normal</v>
          </cell>
          <cell r="U91" t="str">
            <v>NULL</v>
          </cell>
          <cell r="V91" t="str">
            <v>NULL</v>
          </cell>
          <cell r="W91" t="str">
            <v>NULL</v>
          </cell>
        </row>
        <row r="92">
          <cell r="A92">
            <v>91</v>
          </cell>
          <cell r="B92" t="str">
            <v>ja</v>
          </cell>
          <cell r="C92" t="str">
            <v>青龍</v>
          </cell>
          <cell r="D92" t="str">
            <v>リンクガチャ:4神</v>
          </cell>
          <cell r="E92" t="str">
            <v>守護神</v>
          </cell>
          <cell r="F92" t="str">
            <v>格好いい</v>
          </cell>
          <cell r="G92" t="str">
            <v>不明</v>
          </cell>
          <cell r="H92" t="str">
            <v>blue</v>
          </cell>
          <cell r="I92">
            <v>3</v>
          </cell>
          <cell r="J92" t="str">
            <v>Drop2N</v>
          </cell>
          <cell r="K92" t="str">
            <v>balance</v>
          </cell>
          <cell r="L92" t="str">
            <v>バランスタイプ</v>
          </cell>
          <cell r="M92" t="str">
            <v>dragon</v>
          </cell>
          <cell r="N92" t="str">
            <v>ドラゴン</v>
          </cell>
          <cell r="O92" t="str">
            <v>god</v>
          </cell>
          <cell r="P92" t="str">
            <v>ゴッド</v>
          </cell>
          <cell r="Q92" t="str">
            <v>バッファー</v>
          </cell>
          <cell r="R92">
            <v>3</v>
          </cell>
          <cell r="S92" t="str">
            <v>NULL</v>
          </cell>
          <cell r="T92" t="str">
            <v>normal</v>
          </cell>
          <cell r="U92" t="str">
            <v>NULL</v>
          </cell>
          <cell r="V92" t="str">
            <v>NULL</v>
          </cell>
          <cell r="W92" t="str">
            <v>NULL</v>
          </cell>
        </row>
        <row r="93">
          <cell r="A93">
            <v>92</v>
          </cell>
          <cell r="B93" t="str">
            <v>ja</v>
          </cell>
          <cell r="C93" t="str">
            <v>守護者 青龍</v>
          </cell>
          <cell r="D93" t="str">
            <v>リンクガチャ:4神</v>
          </cell>
          <cell r="E93" t="str">
            <v>守護神</v>
          </cell>
          <cell r="F93" t="str">
            <v>格好いい</v>
          </cell>
          <cell r="G93" t="str">
            <v>不明</v>
          </cell>
          <cell r="H93" t="str">
            <v>blue</v>
          </cell>
          <cell r="I93">
            <v>4</v>
          </cell>
          <cell r="J93" t="str">
            <v>Drop2N</v>
          </cell>
          <cell r="K93" t="str">
            <v>balance</v>
          </cell>
          <cell r="L93" t="str">
            <v>バランスタイプ</v>
          </cell>
          <cell r="M93" t="str">
            <v>dragon</v>
          </cell>
          <cell r="N93" t="str">
            <v>ドラゴン</v>
          </cell>
          <cell r="O93" t="str">
            <v>god</v>
          </cell>
          <cell r="P93" t="str">
            <v>ゴッド</v>
          </cell>
          <cell r="Q93" t="str">
            <v>バッファー</v>
          </cell>
          <cell r="R93">
            <v>3</v>
          </cell>
          <cell r="S93" t="str">
            <v>NULL</v>
          </cell>
          <cell r="T93" t="str">
            <v>normal</v>
          </cell>
          <cell r="U93" t="str">
            <v>NULL</v>
          </cell>
          <cell r="V93" t="str">
            <v>NULL</v>
          </cell>
          <cell r="W93" t="str">
            <v>NULL</v>
          </cell>
        </row>
        <row r="94">
          <cell r="A94">
            <v>93</v>
          </cell>
          <cell r="B94" t="str">
            <v>ja</v>
          </cell>
          <cell r="C94" t="str">
            <v>碧東の守護神 青龍</v>
          </cell>
          <cell r="D94" t="str">
            <v>リンクガチャ:4神</v>
          </cell>
          <cell r="E94" t="str">
            <v>守護神</v>
          </cell>
          <cell r="F94" t="str">
            <v>格好いい</v>
          </cell>
          <cell r="G94" t="str">
            <v>不明</v>
          </cell>
          <cell r="H94" t="str">
            <v>blue</v>
          </cell>
          <cell r="I94">
            <v>5</v>
          </cell>
          <cell r="J94" t="str">
            <v>Drop2N</v>
          </cell>
          <cell r="K94" t="str">
            <v>balance</v>
          </cell>
          <cell r="L94" t="str">
            <v>バランスタイプ</v>
          </cell>
          <cell r="M94" t="str">
            <v>dragon</v>
          </cell>
          <cell r="N94" t="str">
            <v>ドラゴン</v>
          </cell>
          <cell r="O94" t="str">
            <v>god</v>
          </cell>
          <cell r="P94" t="str">
            <v>ゴッド</v>
          </cell>
          <cell r="Q94" t="str">
            <v>バッファー</v>
          </cell>
          <cell r="R94">
            <v>3</v>
          </cell>
          <cell r="S94" t="str">
            <v>NULL</v>
          </cell>
          <cell r="T94" t="str">
            <v>normal</v>
          </cell>
          <cell r="U94" t="str">
            <v>NULL</v>
          </cell>
          <cell r="V94" t="str">
            <v>NULL</v>
          </cell>
          <cell r="W94" t="str">
            <v>NULL</v>
          </cell>
        </row>
        <row r="95">
          <cell r="A95">
            <v>94</v>
          </cell>
          <cell r="B95" t="str">
            <v>ja</v>
          </cell>
          <cell r="C95" t="str">
            <v>白虎</v>
          </cell>
          <cell r="D95" t="str">
            <v>リンクガチャ:4神</v>
          </cell>
          <cell r="E95" t="str">
            <v>守護神</v>
          </cell>
          <cell r="F95" t="str">
            <v>格好いい</v>
          </cell>
          <cell r="G95" t="str">
            <v>不明</v>
          </cell>
          <cell r="H95" t="str">
            <v>yellow</v>
          </cell>
          <cell r="I95">
            <v>3</v>
          </cell>
          <cell r="J95" t="str">
            <v>Drop2N</v>
          </cell>
          <cell r="K95" t="str">
            <v>attack</v>
          </cell>
          <cell r="L95" t="str">
            <v>攻撃タイプ</v>
          </cell>
          <cell r="M95" t="str">
            <v>animal</v>
          </cell>
          <cell r="N95" t="str">
            <v>アニマル</v>
          </cell>
          <cell r="O95" t="str">
            <v>god</v>
          </cell>
          <cell r="P95" t="str">
            <v>ゴッド</v>
          </cell>
          <cell r="Q95" t="str">
            <v>アタッカー</v>
          </cell>
          <cell r="R95">
            <v>3</v>
          </cell>
          <cell r="S95" t="str">
            <v>NULL</v>
          </cell>
          <cell r="T95" t="str">
            <v>normal</v>
          </cell>
          <cell r="U95" t="str">
            <v>NULL</v>
          </cell>
          <cell r="V95" t="str">
            <v>NULL</v>
          </cell>
          <cell r="W95" t="str">
            <v>NULL</v>
          </cell>
        </row>
        <row r="96">
          <cell r="A96">
            <v>95</v>
          </cell>
          <cell r="B96" t="str">
            <v>ja</v>
          </cell>
          <cell r="C96" t="str">
            <v>守護者 白虎</v>
          </cell>
          <cell r="D96" t="str">
            <v>リンクガチャ:4神</v>
          </cell>
          <cell r="E96" t="str">
            <v>守護神</v>
          </cell>
          <cell r="F96" t="str">
            <v>格好いい</v>
          </cell>
          <cell r="G96" t="str">
            <v>不明</v>
          </cell>
          <cell r="H96" t="str">
            <v>yellow</v>
          </cell>
          <cell r="I96">
            <v>4</v>
          </cell>
          <cell r="J96" t="str">
            <v>Drop2N</v>
          </cell>
          <cell r="K96" t="str">
            <v>attack</v>
          </cell>
          <cell r="L96" t="str">
            <v>攻撃タイプ</v>
          </cell>
          <cell r="M96" t="str">
            <v>animal</v>
          </cell>
          <cell r="N96" t="str">
            <v>アニマル</v>
          </cell>
          <cell r="O96" t="str">
            <v>god</v>
          </cell>
          <cell r="P96" t="str">
            <v>ゴッド</v>
          </cell>
          <cell r="Q96" t="str">
            <v>アタッカー</v>
          </cell>
          <cell r="R96">
            <v>3</v>
          </cell>
          <cell r="S96" t="str">
            <v>NULL</v>
          </cell>
          <cell r="T96" t="str">
            <v>normal</v>
          </cell>
          <cell r="U96" t="str">
            <v>NULL</v>
          </cell>
          <cell r="V96" t="str">
            <v>NULL</v>
          </cell>
          <cell r="W96" t="str">
            <v>NULL</v>
          </cell>
        </row>
        <row r="97">
          <cell r="A97">
            <v>96</v>
          </cell>
          <cell r="B97" t="str">
            <v>ja</v>
          </cell>
          <cell r="C97" t="str">
            <v>金西の守護神 白虎</v>
          </cell>
          <cell r="D97" t="str">
            <v>リンクガチャ:4神</v>
          </cell>
          <cell r="E97" t="str">
            <v>守護神</v>
          </cell>
          <cell r="F97" t="str">
            <v>格好いい</v>
          </cell>
          <cell r="G97" t="str">
            <v>不明</v>
          </cell>
          <cell r="H97" t="str">
            <v>yellow</v>
          </cell>
          <cell r="I97">
            <v>5</v>
          </cell>
          <cell r="J97" t="str">
            <v>Drop2N</v>
          </cell>
          <cell r="K97" t="str">
            <v>attack</v>
          </cell>
          <cell r="L97" t="str">
            <v>攻撃タイプ</v>
          </cell>
          <cell r="M97" t="str">
            <v>animal</v>
          </cell>
          <cell r="N97" t="str">
            <v>アニマル</v>
          </cell>
          <cell r="O97" t="str">
            <v>god</v>
          </cell>
          <cell r="P97" t="str">
            <v>ゴッド</v>
          </cell>
          <cell r="Q97" t="str">
            <v>アタッカー</v>
          </cell>
          <cell r="R97">
            <v>3</v>
          </cell>
          <cell r="S97" t="str">
            <v>NULL</v>
          </cell>
          <cell r="T97" t="str">
            <v>normal</v>
          </cell>
          <cell r="U97" t="str">
            <v>NULL</v>
          </cell>
          <cell r="V97" t="str">
            <v>NULL</v>
          </cell>
          <cell r="W97" t="str">
            <v>NULL</v>
          </cell>
        </row>
        <row r="98">
          <cell r="A98">
            <v>97</v>
          </cell>
          <cell r="B98" t="str">
            <v>ja</v>
          </cell>
          <cell r="C98" t="str">
            <v>炎のミリオンダック</v>
          </cell>
          <cell r="D98" t="str">
            <v>強化素材R6</v>
          </cell>
          <cell r="E98" t="str">
            <v>アリス</v>
          </cell>
          <cell r="F98" t="str">
            <v>世界観</v>
          </cell>
          <cell r="G98" t="str">
            <v>不明</v>
          </cell>
          <cell r="H98" t="str">
            <v>red</v>
          </cell>
          <cell r="I98">
            <v>6</v>
          </cell>
          <cell r="J98" t="str">
            <v>Material</v>
          </cell>
          <cell r="K98" t="str">
            <v>exp</v>
          </cell>
          <cell r="L98" t="str">
            <v>強化素材タイプ</v>
          </cell>
          <cell r="M98" t="str">
            <v>unknown</v>
          </cell>
          <cell r="N98" t="str">
            <v>Unknown</v>
          </cell>
          <cell r="O98" t="str">
            <v>none</v>
          </cell>
          <cell r="P98" t="str">
            <v>種族なし</v>
          </cell>
          <cell r="Q98" t="str">
            <v>強化素材</v>
          </cell>
          <cell r="R98">
            <v>3</v>
          </cell>
          <cell r="S98" t="str">
            <v>NULL</v>
          </cell>
          <cell r="T98" t="str">
            <v>normal</v>
          </cell>
          <cell r="U98" t="str">
            <v>NULL</v>
          </cell>
          <cell r="V98" t="str">
            <v>NULL</v>
          </cell>
          <cell r="W98" t="str">
            <v>NULL</v>
          </cell>
        </row>
        <row r="99">
          <cell r="A99">
            <v>98</v>
          </cell>
          <cell r="B99" t="str">
            <v>ja</v>
          </cell>
          <cell r="C99" t="str">
            <v>森のミリオンダック</v>
          </cell>
          <cell r="D99" t="str">
            <v>強化素材R6</v>
          </cell>
          <cell r="E99" t="str">
            <v>アリス</v>
          </cell>
          <cell r="F99" t="str">
            <v>世界観</v>
          </cell>
          <cell r="G99" t="str">
            <v>不明</v>
          </cell>
          <cell r="H99" t="str">
            <v>green</v>
          </cell>
          <cell r="I99">
            <v>6</v>
          </cell>
          <cell r="J99" t="str">
            <v>Material</v>
          </cell>
          <cell r="K99" t="str">
            <v>exp</v>
          </cell>
          <cell r="L99" t="str">
            <v>強化素材タイプ</v>
          </cell>
          <cell r="M99" t="str">
            <v>unknown</v>
          </cell>
          <cell r="N99" t="str">
            <v>Unknown</v>
          </cell>
          <cell r="O99" t="str">
            <v>none</v>
          </cell>
          <cell r="P99" t="str">
            <v>種族なし</v>
          </cell>
          <cell r="Q99" t="str">
            <v>強化素材</v>
          </cell>
          <cell r="R99">
            <v>3</v>
          </cell>
          <cell r="S99" t="str">
            <v>NULL</v>
          </cell>
          <cell r="T99" t="str">
            <v>normal</v>
          </cell>
          <cell r="U99" t="str">
            <v>NULL</v>
          </cell>
          <cell r="V99" t="str">
            <v>NULL</v>
          </cell>
          <cell r="W99" t="str">
            <v>NULL</v>
          </cell>
        </row>
        <row r="100">
          <cell r="A100">
            <v>99</v>
          </cell>
          <cell r="B100" t="str">
            <v>ja</v>
          </cell>
          <cell r="C100" t="str">
            <v>水のミリオンダック</v>
          </cell>
          <cell r="D100" t="str">
            <v>強化素材R6</v>
          </cell>
          <cell r="E100" t="str">
            <v>アリス</v>
          </cell>
          <cell r="F100" t="str">
            <v>世界観</v>
          </cell>
          <cell r="G100" t="str">
            <v>不明</v>
          </cell>
          <cell r="H100" t="str">
            <v>blue</v>
          </cell>
          <cell r="I100">
            <v>6</v>
          </cell>
          <cell r="J100" t="str">
            <v>Material</v>
          </cell>
          <cell r="K100" t="str">
            <v>exp</v>
          </cell>
          <cell r="L100" t="str">
            <v>強化素材タイプ</v>
          </cell>
          <cell r="M100" t="str">
            <v>unknown</v>
          </cell>
          <cell r="N100" t="str">
            <v>Unknown</v>
          </cell>
          <cell r="O100" t="str">
            <v>none</v>
          </cell>
          <cell r="P100" t="str">
            <v>種族なし</v>
          </cell>
          <cell r="Q100" t="str">
            <v>強化素材</v>
          </cell>
          <cell r="R100">
            <v>3</v>
          </cell>
          <cell r="S100" t="str">
            <v>NULL</v>
          </cell>
          <cell r="T100" t="str">
            <v>normal</v>
          </cell>
          <cell r="U100" t="str">
            <v>NULL</v>
          </cell>
          <cell r="V100" t="str">
            <v>NULL</v>
          </cell>
          <cell r="W100" t="str">
            <v>NULL</v>
          </cell>
        </row>
        <row r="101">
          <cell r="A101">
            <v>100</v>
          </cell>
          <cell r="B101" t="str">
            <v>ja</v>
          </cell>
          <cell r="C101" t="str">
            <v>雷のミリオンダック</v>
          </cell>
          <cell r="D101" t="str">
            <v>強化素材R6</v>
          </cell>
          <cell r="E101" t="str">
            <v>アリス</v>
          </cell>
          <cell r="F101" t="str">
            <v>世界観</v>
          </cell>
          <cell r="G101" t="str">
            <v>不明</v>
          </cell>
          <cell r="H101" t="str">
            <v>yellow</v>
          </cell>
          <cell r="I101">
            <v>6</v>
          </cell>
          <cell r="J101" t="str">
            <v>Material</v>
          </cell>
          <cell r="K101" t="str">
            <v>exp</v>
          </cell>
          <cell r="L101" t="str">
            <v>強化素材タイプ</v>
          </cell>
          <cell r="M101" t="str">
            <v>unknown</v>
          </cell>
          <cell r="N101" t="str">
            <v>Unknown</v>
          </cell>
          <cell r="O101" t="str">
            <v>none</v>
          </cell>
          <cell r="P101" t="str">
            <v>種族なし</v>
          </cell>
          <cell r="Q101" t="str">
            <v>強化素材</v>
          </cell>
          <cell r="R101">
            <v>3</v>
          </cell>
          <cell r="S101" t="str">
            <v>NULL</v>
          </cell>
          <cell r="T101" t="str">
            <v>normal</v>
          </cell>
          <cell r="U101" t="str">
            <v>NULL</v>
          </cell>
          <cell r="V101" t="str">
            <v>NULL</v>
          </cell>
          <cell r="W101" t="str">
            <v>NULL</v>
          </cell>
        </row>
        <row r="102">
          <cell r="A102">
            <v>101</v>
          </cell>
          <cell r="B102" t="str">
            <v>ja</v>
          </cell>
          <cell r="C102" t="str">
            <v>レッドチェシャ</v>
          </cell>
          <cell r="D102" t="str">
            <v>進化素材・赤・R2</v>
          </cell>
          <cell r="E102" t="str">
            <v>アリス</v>
          </cell>
          <cell r="F102" t="str">
            <v>世界観</v>
          </cell>
          <cell r="G102" t="str">
            <v>不明</v>
          </cell>
          <cell r="H102" t="str">
            <v>red</v>
          </cell>
          <cell r="I102">
            <v>2</v>
          </cell>
          <cell r="J102" t="str">
            <v>Material</v>
          </cell>
          <cell r="K102" t="str">
            <v>evolution</v>
          </cell>
          <cell r="L102" t="str">
            <v>覚醒素材タイプ</v>
          </cell>
          <cell r="M102" t="str">
            <v>unknown</v>
          </cell>
          <cell r="N102" t="str">
            <v>Unknown</v>
          </cell>
          <cell r="O102" t="str">
            <v>none</v>
          </cell>
          <cell r="P102" t="str">
            <v>種族なし</v>
          </cell>
          <cell r="Q102" t="str">
            <v>進化素材</v>
          </cell>
          <cell r="R102">
            <v>3</v>
          </cell>
          <cell r="S102" t="str">
            <v>NULL</v>
          </cell>
          <cell r="T102" t="str">
            <v>normal</v>
          </cell>
          <cell r="U102" t="str">
            <v>NULL</v>
          </cell>
          <cell r="V102" t="str">
            <v>NULL</v>
          </cell>
          <cell r="W102" t="str">
            <v>NULL</v>
          </cell>
        </row>
        <row r="103">
          <cell r="A103">
            <v>102</v>
          </cell>
          <cell r="B103" t="str">
            <v>ja</v>
          </cell>
          <cell r="C103" t="str">
            <v>レッドラビット</v>
          </cell>
          <cell r="D103" t="str">
            <v>進化素材・赤・R3</v>
          </cell>
          <cell r="E103" t="str">
            <v>アリス</v>
          </cell>
          <cell r="F103" t="str">
            <v>世界観</v>
          </cell>
          <cell r="G103" t="str">
            <v>不明</v>
          </cell>
          <cell r="H103" t="str">
            <v>red</v>
          </cell>
          <cell r="I103">
            <v>3</v>
          </cell>
          <cell r="J103" t="str">
            <v>Material</v>
          </cell>
          <cell r="K103" t="str">
            <v>evolution</v>
          </cell>
          <cell r="L103" t="str">
            <v>覚醒素材タイプ</v>
          </cell>
          <cell r="M103" t="str">
            <v>unknown</v>
          </cell>
          <cell r="N103" t="str">
            <v>Unknown</v>
          </cell>
          <cell r="O103" t="str">
            <v>none</v>
          </cell>
          <cell r="P103" t="str">
            <v>種族なし</v>
          </cell>
          <cell r="Q103" t="str">
            <v>進化素材</v>
          </cell>
          <cell r="R103">
            <v>3</v>
          </cell>
          <cell r="S103" t="str">
            <v>NULL</v>
          </cell>
          <cell r="T103" t="str">
            <v>normal</v>
          </cell>
          <cell r="U103" t="str">
            <v>NULL</v>
          </cell>
          <cell r="V103" t="str">
            <v>NULL</v>
          </cell>
          <cell r="W103" t="str">
            <v>NULL</v>
          </cell>
        </row>
        <row r="104">
          <cell r="A104">
            <v>103</v>
          </cell>
          <cell r="B104" t="str">
            <v>ja</v>
          </cell>
          <cell r="C104" t="str">
            <v>レッドキャタップ</v>
          </cell>
          <cell r="D104" t="str">
            <v>進化素材・赤・R4</v>
          </cell>
          <cell r="E104" t="str">
            <v>アリス</v>
          </cell>
          <cell r="F104" t="str">
            <v>世界観</v>
          </cell>
          <cell r="G104" t="str">
            <v>不明</v>
          </cell>
          <cell r="H104" t="str">
            <v>red</v>
          </cell>
          <cell r="I104">
            <v>4</v>
          </cell>
          <cell r="J104" t="str">
            <v>Material</v>
          </cell>
          <cell r="K104" t="str">
            <v>evolution</v>
          </cell>
          <cell r="L104" t="str">
            <v>覚醒素材タイプ</v>
          </cell>
          <cell r="M104" t="str">
            <v>unknown</v>
          </cell>
          <cell r="N104" t="str">
            <v>Unknown</v>
          </cell>
          <cell r="O104" t="str">
            <v>none</v>
          </cell>
          <cell r="P104" t="str">
            <v>種族なし</v>
          </cell>
          <cell r="Q104" t="str">
            <v>進化素材</v>
          </cell>
          <cell r="R104">
            <v>3</v>
          </cell>
          <cell r="S104" t="str">
            <v>NULL</v>
          </cell>
          <cell r="T104" t="str">
            <v>normal</v>
          </cell>
          <cell r="U104" t="str">
            <v>NULL</v>
          </cell>
          <cell r="V104" t="str">
            <v>NULL</v>
          </cell>
          <cell r="W104" t="str">
            <v>NULL</v>
          </cell>
        </row>
        <row r="105">
          <cell r="A105">
            <v>104</v>
          </cell>
          <cell r="B105" t="str">
            <v>ja</v>
          </cell>
          <cell r="C105" t="str">
            <v>炎のマッドハッター</v>
          </cell>
          <cell r="D105" t="str">
            <v>進化素材・赤・R5</v>
          </cell>
          <cell r="E105" t="str">
            <v>アリス</v>
          </cell>
          <cell r="F105" t="str">
            <v>世界観</v>
          </cell>
          <cell r="G105" t="str">
            <v>不明</v>
          </cell>
          <cell r="H105" t="str">
            <v>red</v>
          </cell>
          <cell r="I105">
            <v>5</v>
          </cell>
          <cell r="J105" t="str">
            <v>Material</v>
          </cell>
          <cell r="K105" t="str">
            <v>evolution</v>
          </cell>
          <cell r="L105" t="str">
            <v>覚醒素材タイプ</v>
          </cell>
          <cell r="M105" t="str">
            <v>unknown</v>
          </cell>
          <cell r="N105" t="str">
            <v>Unknown</v>
          </cell>
          <cell r="O105" t="str">
            <v>none</v>
          </cell>
          <cell r="P105" t="str">
            <v>種族なし</v>
          </cell>
          <cell r="Q105" t="str">
            <v>進化素材</v>
          </cell>
          <cell r="R105">
            <v>3</v>
          </cell>
          <cell r="S105" t="str">
            <v>NULL</v>
          </cell>
          <cell r="T105" t="str">
            <v>normal</v>
          </cell>
          <cell r="U105" t="str">
            <v>NULL</v>
          </cell>
          <cell r="V105" t="str">
            <v>NULL</v>
          </cell>
          <cell r="W105" t="str">
            <v>NULL</v>
          </cell>
        </row>
        <row r="106">
          <cell r="A106">
            <v>105</v>
          </cell>
          <cell r="B106" t="str">
            <v>ja</v>
          </cell>
          <cell r="C106" t="str">
            <v>グリーンチェシャ</v>
          </cell>
          <cell r="D106" t="str">
            <v>進化素材・緑・R2</v>
          </cell>
          <cell r="E106" t="str">
            <v>アリス</v>
          </cell>
          <cell r="F106" t="str">
            <v>世界観</v>
          </cell>
          <cell r="G106" t="str">
            <v>不明</v>
          </cell>
          <cell r="H106" t="str">
            <v>green</v>
          </cell>
          <cell r="I106">
            <v>2</v>
          </cell>
          <cell r="J106" t="str">
            <v>Material</v>
          </cell>
          <cell r="K106" t="str">
            <v>evolution</v>
          </cell>
          <cell r="L106" t="str">
            <v>覚醒素材タイプ</v>
          </cell>
          <cell r="M106" t="str">
            <v>unknown</v>
          </cell>
          <cell r="N106" t="str">
            <v>Unknown</v>
          </cell>
          <cell r="O106" t="str">
            <v>none</v>
          </cell>
          <cell r="P106" t="str">
            <v>種族なし</v>
          </cell>
          <cell r="Q106" t="str">
            <v>進化素材</v>
          </cell>
          <cell r="R106">
            <v>3</v>
          </cell>
          <cell r="S106" t="str">
            <v>NULL</v>
          </cell>
          <cell r="T106" t="str">
            <v>normal</v>
          </cell>
          <cell r="U106" t="str">
            <v>NULL</v>
          </cell>
          <cell r="V106" t="str">
            <v>NULL</v>
          </cell>
          <cell r="W106" t="str">
            <v>NULL</v>
          </cell>
        </row>
        <row r="107">
          <cell r="A107">
            <v>106</v>
          </cell>
          <cell r="B107" t="str">
            <v>ja</v>
          </cell>
          <cell r="C107" t="str">
            <v>グリーンラビット</v>
          </cell>
          <cell r="D107" t="str">
            <v>進化素材・緑・R3</v>
          </cell>
          <cell r="E107" t="str">
            <v>アリス</v>
          </cell>
          <cell r="F107" t="str">
            <v>世界観</v>
          </cell>
          <cell r="G107" t="str">
            <v>不明</v>
          </cell>
          <cell r="H107" t="str">
            <v>green</v>
          </cell>
          <cell r="I107">
            <v>3</v>
          </cell>
          <cell r="J107" t="str">
            <v>Material</v>
          </cell>
          <cell r="K107" t="str">
            <v>evolution</v>
          </cell>
          <cell r="L107" t="str">
            <v>覚醒素材タイプ</v>
          </cell>
          <cell r="M107" t="str">
            <v>unknown</v>
          </cell>
          <cell r="N107" t="str">
            <v>Unknown</v>
          </cell>
          <cell r="O107" t="str">
            <v>none</v>
          </cell>
          <cell r="P107" t="str">
            <v>種族なし</v>
          </cell>
          <cell r="Q107" t="str">
            <v>進化素材</v>
          </cell>
          <cell r="R107">
            <v>3</v>
          </cell>
          <cell r="S107" t="str">
            <v>NULL</v>
          </cell>
          <cell r="T107" t="str">
            <v>normal</v>
          </cell>
          <cell r="U107" t="str">
            <v>NULL</v>
          </cell>
          <cell r="V107" t="str">
            <v>NULL</v>
          </cell>
          <cell r="W107" t="str">
            <v>NULL</v>
          </cell>
        </row>
        <row r="108">
          <cell r="A108">
            <v>107</v>
          </cell>
          <cell r="B108" t="str">
            <v>ja</v>
          </cell>
          <cell r="C108" t="str">
            <v>グリーンキャタップ</v>
          </cell>
          <cell r="D108" t="str">
            <v>進化素材・緑・R4</v>
          </cell>
          <cell r="E108" t="str">
            <v>アリス</v>
          </cell>
          <cell r="F108" t="str">
            <v>世界観</v>
          </cell>
          <cell r="G108" t="str">
            <v>不明</v>
          </cell>
          <cell r="H108" t="str">
            <v>green</v>
          </cell>
          <cell r="I108">
            <v>4</v>
          </cell>
          <cell r="J108" t="str">
            <v>Material</v>
          </cell>
          <cell r="K108" t="str">
            <v>evolution</v>
          </cell>
          <cell r="L108" t="str">
            <v>覚醒素材タイプ</v>
          </cell>
          <cell r="M108" t="str">
            <v>unknown</v>
          </cell>
          <cell r="N108" t="str">
            <v>Unknown</v>
          </cell>
          <cell r="O108" t="str">
            <v>none</v>
          </cell>
          <cell r="P108" t="str">
            <v>種族なし</v>
          </cell>
          <cell r="Q108" t="str">
            <v>進化素材</v>
          </cell>
          <cell r="R108">
            <v>3</v>
          </cell>
          <cell r="S108" t="str">
            <v>NULL</v>
          </cell>
          <cell r="T108" t="str">
            <v>normal</v>
          </cell>
          <cell r="U108" t="str">
            <v>NULL</v>
          </cell>
          <cell r="V108" t="str">
            <v>NULL</v>
          </cell>
          <cell r="W108" t="str">
            <v>NULL</v>
          </cell>
        </row>
        <row r="109">
          <cell r="A109">
            <v>108</v>
          </cell>
          <cell r="B109" t="str">
            <v>ja</v>
          </cell>
          <cell r="C109" t="str">
            <v>森のマッドハッター</v>
          </cell>
          <cell r="D109" t="str">
            <v>進化素材・緑・R5</v>
          </cell>
          <cell r="E109" t="str">
            <v>アリス</v>
          </cell>
          <cell r="F109" t="str">
            <v>世界観</v>
          </cell>
          <cell r="G109" t="str">
            <v>不明</v>
          </cell>
          <cell r="H109" t="str">
            <v>green</v>
          </cell>
          <cell r="I109">
            <v>5</v>
          </cell>
          <cell r="J109" t="str">
            <v>Material</v>
          </cell>
          <cell r="K109" t="str">
            <v>evolution</v>
          </cell>
          <cell r="L109" t="str">
            <v>覚醒素材タイプ</v>
          </cell>
          <cell r="M109" t="str">
            <v>unknown</v>
          </cell>
          <cell r="N109" t="str">
            <v>Unknown</v>
          </cell>
          <cell r="O109" t="str">
            <v>none</v>
          </cell>
          <cell r="P109" t="str">
            <v>種族なし</v>
          </cell>
          <cell r="Q109" t="str">
            <v>進化素材</v>
          </cell>
          <cell r="R109">
            <v>3</v>
          </cell>
          <cell r="S109" t="str">
            <v>NULL</v>
          </cell>
          <cell r="T109" t="str">
            <v>normal</v>
          </cell>
          <cell r="U109" t="str">
            <v>NULL</v>
          </cell>
          <cell r="V109" t="str">
            <v>NULL</v>
          </cell>
          <cell r="W109" t="str">
            <v>NULL</v>
          </cell>
        </row>
        <row r="110">
          <cell r="A110">
            <v>109</v>
          </cell>
          <cell r="B110" t="str">
            <v>ja</v>
          </cell>
          <cell r="C110" t="str">
            <v>ブルーチェシャ</v>
          </cell>
          <cell r="D110" t="str">
            <v>進化素材・青・R2</v>
          </cell>
          <cell r="E110" t="str">
            <v>アリス</v>
          </cell>
          <cell r="F110" t="str">
            <v>世界観</v>
          </cell>
          <cell r="G110" t="str">
            <v>不明</v>
          </cell>
          <cell r="H110" t="str">
            <v>blue</v>
          </cell>
          <cell r="I110">
            <v>2</v>
          </cell>
          <cell r="J110" t="str">
            <v>Material</v>
          </cell>
          <cell r="K110" t="str">
            <v>evolution</v>
          </cell>
          <cell r="L110" t="str">
            <v>覚醒素材タイプ</v>
          </cell>
          <cell r="M110" t="str">
            <v>unknown</v>
          </cell>
          <cell r="N110" t="str">
            <v>Unknown</v>
          </cell>
          <cell r="O110" t="str">
            <v>none</v>
          </cell>
          <cell r="P110" t="str">
            <v>種族なし</v>
          </cell>
          <cell r="Q110" t="str">
            <v>進化素材</v>
          </cell>
          <cell r="R110">
            <v>3</v>
          </cell>
          <cell r="S110" t="str">
            <v>NULL</v>
          </cell>
          <cell r="T110" t="str">
            <v>normal</v>
          </cell>
          <cell r="U110" t="str">
            <v>NULL</v>
          </cell>
          <cell r="V110" t="str">
            <v>NULL</v>
          </cell>
          <cell r="W110" t="str">
            <v>NULL</v>
          </cell>
        </row>
        <row r="111">
          <cell r="A111">
            <v>110</v>
          </cell>
          <cell r="B111" t="str">
            <v>ja</v>
          </cell>
          <cell r="C111" t="str">
            <v>ブルーラビット</v>
          </cell>
          <cell r="D111" t="str">
            <v>進化素材・青・R3</v>
          </cell>
          <cell r="E111" t="str">
            <v>アリス</v>
          </cell>
          <cell r="F111" t="str">
            <v>世界観</v>
          </cell>
          <cell r="G111" t="str">
            <v>不明</v>
          </cell>
          <cell r="H111" t="str">
            <v>blue</v>
          </cell>
          <cell r="I111">
            <v>3</v>
          </cell>
          <cell r="J111" t="str">
            <v>Material</v>
          </cell>
          <cell r="K111" t="str">
            <v>evolution</v>
          </cell>
          <cell r="L111" t="str">
            <v>覚醒素材タイプ</v>
          </cell>
          <cell r="M111" t="str">
            <v>unknown</v>
          </cell>
          <cell r="N111" t="str">
            <v>Unknown</v>
          </cell>
          <cell r="O111" t="str">
            <v>none</v>
          </cell>
          <cell r="P111" t="str">
            <v>種族なし</v>
          </cell>
          <cell r="Q111" t="str">
            <v>進化素材</v>
          </cell>
          <cell r="R111">
            <v>3</v>
          </cell>
          <cell r="S111" t="str">
            <v>NULL</v>
          </cell>
          <cell r="T111" t="str">
            <v>normal</v>
          </cell>
          <cell r="U111" t="str">
            <v>NULL</v>
          </cell>
          <cell r="V111" t="str">
            <v>NULL</v>
          </cell>
          <cell r="W111" t="str">
            <v>NULL</v>
          </cell>
        </row>
        <row r="112">
          <cell r="A112">
            <v>111</v>
          </cell>
          <cell r="B112" t="str">
            <v>ja</v>
          </cell>
          <cell r="C112" t="str">
            <v>ブルーキャタップ</v>
          </cell>
          <cell r="D112" t="str">
            <v>進化素材・青・R4</v>
          </cell>
          <cell r="E112" t="str">
            <v>アリス</v>
          </cell>
          <cell r="F112" t="str">
            <v>世界観</v>
          </cell>
          <cell r="G112" t="str">
            <v>不明</v>
          </cell>
          <cell r="H112" t="str">
            <v>blue</v>
          </cell>
          <cell r="I112">
            <v>4</v>
          </cell>
          <cell r="J112" t="str">
            <v>Material</v>
          </cell>
          <cell r="K112" t="str">
            <v>evolution</v>
          </cell>
          <cell r="L112" t="str">
            <v>覚醒素材タイプ</v>
          </cell>
          <cell r="M112" t="str">
            <v>unknown</v>
          </cell>
          <cell r="N112" t="str">
            <v>Unknown</v>
          </cell>
          <cell r="O112" t="str">
            <v>none</v>
          </cell>
          <cell r="P112" t="str">
            <v>種族なし</v>
          </cell>
          <cell r="Q112" t="str">
            <v>進化素材</v>
          </cell>
          <cell r="R112">
            <v>3</v>
          </cell>
          <cell r="S112" t="str">
            <v>NULL</v>
          </cell>
          <cell r="T112" t="str">
            <v>normal</v>
          </cell>
          <cell r="U112" t="str">
            <v>NULL</v>
          </cell>
          <cell r="V112" t="str">
            <v>NULL</v>
          </cell>
          <cell r="W112" t="str">
            <v>NULL</v>
          </cell>
        </row>
        <row r="113">
          <cell r="A113">
            <v>112</v>
          </cell>
          <cell r="B113" t="str">
            <v>ja</v>
          </cell>
          <cell r="C113" t="str">
            <v>水のマッドハッター</v>
          </cell>
          <cell r="D113" t="str">
            <v>進化素材・青・R5</v>
          </cell>
          <cell r="E113" t="str">
            <v>アリス</v>
          </cell>
          <cell r="F113" t="str">
            <v>世界観</v>
          </cell>
          <cell r="G113" t="str">
            <v>不明</v>
          </cell>
          <cell r="H113" t="str">
            <v>blue</v>
          </cell>
          <cell r="I113">
            <v>5</v>
          </cell>
          <cell r="J113" t="str">
            <v>Material</v>
          </cell>
          <cell r="K113" t="str">
            <v>evolution</v>
          </cell>
          <cell r="L113" t="str">
            <v>覚醒素材タイプ</v>
          </cell>
          <cell r="M113" t="str">
            <v>unknown</v>
          </cell>
          <cell r="N113" t="str">
            <v>Unknown</v>
          </cell>
          <cell r="O113" t="str">
            <v>none</v>
          </cell>
          <cell r="P113" t="str">
            <v>種族なし</v>
          </cell>
          <cell r="Q113" t="str">
            <v>進化素材</v>
          </cell>
          <cell r="R113">
            <v>3</v>
          </cell>
          <cell r="S113" t="str">
            <v>NULL</v>
          </cell>
          <cell r="T113" t="str">
            <v>normal</v>
          </cell>
          <cell r="U113" t="str">
            <v>NULL</v>
          </cell>
          <cell r="V113" t="str">
            <v>NULL</v>
          </cell>
          <cell r="W113" t="str">
            <v>NULL</v>
          </cell>
        </row>
        <row r="114">
          <cell r="A114">
            <v>113</v>
          </cell>
          <cell r="B114" t="str">
            <v>ja</v>
          </cell>
          <cell r="C114" t="str">
            <v>イエローチェシャ</v>
          </cell>
          <cell r="D114" t="str">
            <v>進化素材・黄・R2</v>
          </cell>
          <cell r="E114" t="str">
            <v>アリス</v>
          </cell>
          <cell r="F114" t="str">
            <v>世界観</v>
          </cell>
          <cell r="G114" t="str">
            <v>不明</v>
          </cell>
          <cell r="H114" t="str">
            <v>yellow</v>
          </cell>
          <cell r="I114">
            <v>2</v>
          </cell>
          <cell r="J114" t="str">
            <v>Material</v>
          </cell>
          <cell r="K114" t="str">
            <v>evolution</v>
          </cell>
          <cell r="L114" t="str">
            <v>覚醒素材タイプ</v>
          </cell>
          <cell r="M114" t="str">
            <v>unknown</v>
          </cell>
          <cell r="N114" t="str">
            <v>Unknown</v>
          </cell>
          <cell r="O114" t="str">
            <v>none</v>
          </cell>
          <cell r="P114" t="str">
            <v>種族なし</v>
          </cell>
          <cell r="Q114" t="str">
            <v>進化素材</v>
          </cell>
          <cell r="R114">
            <v>3</v>
          </cell>
          <cell r="S114" t="str">
            <v>NULL</v>
          </cell>
          <cell r="T114" t="str">
            <v>normal</v>
          </cell>
          <cell r="U114" t="str">
            <v>NULL</v>
          </cell>
          <cell r="V114" t="str">
            <v>NULL</v>
          </cell>
          <cell r="W114" t="str">
            <v>NULL</v>
          </cell>
        </row>
        <row r="115">
          <cell r="A115">
            <v>114</v>
          </cell>
          <cell r="B115" t="str">
            <v>ja</v>
          </cell>
          <cell r="C115" t="str">
            <v>イエローラビット</v>
          </cell>
          <cell r="D115" t="str">
            <v>進化素材・黄・R3</v>
          </cell>
          <cell r="E115" t="str">
            <v>アリス</v>
          </cell>
          <cell r="F115" t="str">
            <v>世界観</v>
          </cell>
          <cell r="G115" t="str">
            <v>不明</v>
          </cell>
          <cell r="H115" t="str">
            <v>yellow</v>
          </cell>
          <cell r="I115">
            <v>3</v>
          </cell>
          <cell r="J115" t="str">
            <v>Material</v>
          </cell>
          <cell r="K115" t="str">
            <v>evolution</v>
          </cell>
          <cell r="L115" t="str">
            <v>覚醒素材タイプ</v>
          </cell>
          <cell r="M115" t="str">
            <v>unknown</v>
          </cell>
          <cell r="N115" t="str">
            <v>Unknown</v>
          </cell>
          <cell r="O115" t="str">
            <v>none</v>
          </cell>
          <cell r="P115" t="str">
            <v>種族なし</v>
          </cell>
          <cell r="Q115" t="str">
            <v>進化素材</v>
          </cell>
          <cell r="R115">
            <v>3</v>
          </cell>
          <cell r="S115" t="str">
            <v>NULL</v>
          </cell>
          <cell r="T115" t="str">
            <v>normal</v>
          </cell>
          <cell r="U115" t="str">
            <v>NULL</v>
          </cell>
          <cell r="V115" t="str">
            <v>NULL</v>
          </cell>
          <cell r="W115" t="str">
            <v>NULL</v>
          </cell>
        </row>
        <row r="116">
          <cell r="A116">
            <v>115</v>
          </cell>
          <cell r="B116" t="str">
            <v>ja</v>
          </cell>
          <cell r="C116" t="str">
            <v>イエローキャタップ</v>
          </cell>
          <cell r="D116" t="str">
            <v>進化素材・黄・R4</v>
          </cell>
          <cell r="E116" t="str">
            <v>アリス</v>
          </cell>
          <cell r="F116" t="str">
            <v>世界観</v>
          </cell>
          <cell r="G116" t="str">
            <v>不明</v>
          </cell>
          <cell r="H116" t="str">
            <v>yellow</v>
          </cell>
          <cell r="I116">
            <v>4</v>
          </cell>
          <cell r="J116" t="str">
            <v>Material</v>
          </cell>
          <cell r="K116" t="str">
            <v>evolution</v>
          </cell>
          <cell r="L116" t="str">
            <v>覚醒素材タイプ</v>
          </cell>
          <cell r="M116" t="str">
            <v>unknown</v>
          </cell>
          <cell r="N116" t="str">
            <v>Unknown</v>
          </cell>
          <cell r="O116" t="str">
            <v>none</v>
          </cell>
          <cell r="P116" t="str">
            <v>種族なし</v>
          </cell>
          <cell r="Q116" t="str">
            <v>進化素材</v>
          </cell>
          <cell r="R116">
            <v>3</v>
          </cell>
          <cell r="S116" t="str">
            <v>NULL</v>
          </cell>
          <cell r="T116" t="str">
            <v>normal</v>
          </cell>
          <cell r="U116" t="str">
            <v>NULL</v>
          </cell>
          <cell r="V116" t="str">
            <v>NULL</v>
          </cell>
          <cell r="W116" t="str">
            <v>NULL</v>
          </cell>
        </row>
        <row r="117">
          <cell r="A117">
            <v>116</v>
          </cell>
          <cell r="B117" t="str">
            <v>ja</v>
          </cell>
          <cell r="C117" t="str">
            <v>雷のマッドハッター</v>
          </cell>
          <cell r="D117" t="str">
            <v>進化素材・黄・R5</v>
          </cell>
          <cell r="E117" t="str">
            <v>アリス</v>
          </cell>
          <cell r="F117" t="str">
            <v>世界観</v>
          </cell>
          <cell r="G117" t="str">
            <v>不明</v>
          </cell>
          <cell r="H117" t="str">
            <v>yellow</v>
          </cell>
          <cell r="I117">
            <v>5</v>
          </cell>
          <cell r="J117" t="str">
            <v>Material</v>
          </cell>
          <cell r="K117" t="str">
            <v>evolution</v>
          </cell>
          <cell r="L117" t="str">
            <v>覚醒素材タイプ</v>
          </cell>
          <cell r="M117" t="str">
            <v>unknown</v>
          </cell>
          <cell r="N117" t="str">
            <v>Unknown</v>
          </cell>
          <cell r="O117" t="str">
            <v>none</v>
          </cell>
          <cell r="P117" t="str">
            <v>種族なし</v>
          </cell>
          <cell r="Q117" t="str">
            <v>進化素材</v>
          </cell>
          <cell r="R117">
            <v>3</v>
          </cell>
          <cell r="S117" t="str">
            <v>NULL</v>
          </cell>
          <cell r="T117" t="str">
            <v>normal</v>
          </cell>
          <cell r="U117" t="str">
            <v>NULL</v>
          </cell>
          <cell r="V117" t="str">
            <v>NULL</v>
          </cell>
          <cell r="W117" t="str">
            <v>NULL</v>
          </cell>
        </row>
        <row r="118">
          <cell r="A118">
            <v>117</v>
          </cell>
          <cell r="B118" t="str">
            <v>ja</v>
          </cell>
          <cell r="C118" t="str">
            <v>ゴールドピヨピヨ</v>
          </cell>
          <cell r="D118" t="str">
            <v>売却素材R3</v>
          </cell>
          <cell r="E118" t="str">
            <v>アリス</v>
          </cell>
          <cell r="F118" t="str">
            <v>世界観</v>
          </cell>
          <cell r="G118" t="str">
            <v>不明</v>
          </cell>
          <cell r="H118" t="str">
            <v>yellow</v>
          </cell>
          <cell r="I118">
            <v>3</v>
          </cell>
          <cell r="J118" t="str">
            <v>Material</v>
          </cell>
          <cell r="K118" t="str">
            <v>coin</v>
          </cell>
          <cell r="L118" t="str">
            <v>コインタイプ</v>
          </cell>
          <cell r="M118" t="str">
            <v>unknown</v>
          </cell>
          <cell r="N118" t="str">
            <v>Unknown</v>
          </cell>
          <cell r="O118" t="str">
            <v>none</v>
          </cell>
          <cell r="P118" t="str">
            <v>種族なし</v>
          </cell>
          <cell r="Q118" t="str">
            <v>売却素材</v>
          </cell>
          <cell r="R118">
            <v>3</v>
          </cell>
          <cell r="S118" t="str">
            <v>NULL</v>
          </cell>
          <cell r="T118" t="str">
            <v>normal</v>
          </cell>
          <cell r="U118" t="str">
            <v>NULL</v>
          </cell>
          <cell r="V118" t="str">
            <v>NULL</v>
          </cell>
          <cell r="W118" t="str">
            <v>NULL</v>
          </cell>
        </row>
        <row r="119">
          <cell r="A119">
            <v>118</v>
          </cell>
          <cell r="B119" t="str">
            <v>ja</v>
          </cell>
          <cell r="C119" t="str">
            <v>ゴールドチック</v>
          </cell>
          <cell r="D119" t="str">
            <v>売却素材R4</v>
          </cell>
          <cell r="E119" t="str">
            <v>アリス</v>
          </cell>
          <cell r="F119" t="str">
            <v>世界観</v>
          </cell>
          <cell r="G119" t="str">
            <v>不明</v>
          </cell>
          <cell r="H119" t="str">
            <v>yellow</v>
          </cell>
          <cell r="I119">
            <v>4</v>
          </cell>
          <cell r="J119" t="str">
            <v>Material</v>
          </cell>
          <cell r="K119" t="str">
            <v>coin</v>
          </cell>
          <cell r="L119" t="str">
            <v>コインタイプ</v>
          </cell>
          <cell r="M119" t="str">
            <v>unknown</v>
          </cell>
          <cell r="N119" t="str">
            <v>Unknown</v>
          </cell>
          <cell r="O119" t="str">
            <v>none</v>
          </cell>
          <cell r="P119" t="str">
            <v>種族なし</v>
          </cell>
          <cell r="Q119" t="str">
            <v>売却素材</v>
          </cell>
          <cell r="R119">
            <v>3</v>
          </cell>
          <cell r="S119" t="str">
            <v>NULL</v>
          </cell>
          <cell r="T119" t="str">
            <v>normal</v>
          </cell>
          <cell r="U119" t="str">
            <v>NULL</v>
          </cell>
          <cell r="V119" t="str">
            <v>NULL</v>
          </cell>
          <cell r="W119" t="str">
            <v>NULL</v>
          </cell>
        </row>
        <row r="120">
          <cell r="A120">
            <v>119</v>
          </cell>
          <cell r="B120" t="str">
            <v>ja</v>
          </cell>
          <cell r="C120" t="str">
            <v>ゴールドダック</v>
          </cell>
          <cell r="D120" t="str">
            <v>売却素材R5</v>
          </cell>
          <cell r="E120" t="str">
            <v>アリス</v>
          </cell>
          <cell r="F120" t="str">
            <v>世界観</v>
          </cell>
          <cell r="G120" t="str">
            <v>不明</v>
          </cell>
          <cell r="H120" t="str">
            <v>yellow</v>
          </cell>
          <cell r="I120">
            <v>5</v>
          </cell>
          <cell r="J120" t="str">
            <v>Material</v>
          </cell>
          <cell r="K120" t="str">
            <v>coin</v>
          </cell>
          <cell r="L120" t="str">
            <v>コインタイプ</v>
          </cell>
          <cell r="M120" t="str">
            <v>unknown</v>
          </cell>
          <cell r="N120" t="str">
            <v>Unknown</v>
          </cell>
          <cell r="O120" t="str">
            <v>none</v>
          </cell>
          <cell r="P120" t="str">
            <v>種族なし</v>
          </cell>
          <cell r="Q120" t="str">
            <v>売却素材</v>
          </cell>
          <cell r="R120">
            <v>3</v>
          </cell>
          <cell r="S120" t="str">
            <v>NULL</v>
          </cell>
          <cell r="T120" t="str">
            <v>normal</v>
          </cell>
          <cell r="U120" t="str">
            <v>NULL</v>
          </cell>
          <cell r="V120" t="str">
            <v>NULL</v>
          </cell>
          <cell r="W120" t="str">
            <v>NULL</v>
          </cell>
        </row>
        <row r="121">
          <cell r="A121">
            <v>120</v>
          </cell>
          <cell r="B121" t="str">
            <v>ja</v>
          </cell>
          <cell r="C121" t="str">
            <v>ゴールドキング</v>
          </cell>
          <cell r="D121" t="str">
            <v>売却素材R6</v>
          </cell>
          <cell r="E121" t="str">
            <v>アリス</v>
          </cell>
          <cell r="F121" t="str">
            <v>世界観</v>
          </cell>
          <cell r="G121" t="str">
            <v>不明</v>
          </cell>
          <cell r="H121" t="str">
            <v>yellow</v>
          </cell>
          <cell r="I121">
            <v>6</v>
          </cell>
          <cell r="J121" t="str">
            <v>Material</v>
          </cell>
          <cell r="K121" t="str">
            <v>coin</v>
          </cell>
          <cell r="L121" t="str">
            <v>コインタイプ</v>
          </cell>
          <cell r="M121" t="str">
            <v>unknown</v>
          </cell>
          <cell r="N121" t="str">
            <v>Unknown</v>
          </cell>
          <cell r="O121" t="str">
            <v>none</v>
          </cell>
          <cell r="P121" t="str">
            <v>種族なし</v>
          </cell>
          <cell r="Q121" t="str">
            <v>売却素材</v>
          </cell>
          <cell r="R121">
            <v>3</v>
          </cell>
          <cell r="S121" t="str">
            <v>NULL</v>
          </cell>
          <cell r="T121" t="str">
            <v>normal</v>
          </cell>
          <cell r="U121" t="str">
            <v>NULL</v>
          </cell>
          <cell r="V121" t="str">
            <v>NULL</v>
          </cell>
          <cell r="W121" t="str">
            <v>NULL</v>
          </cell>
        </row>
        <row r="122">
          <cell r="A122">
            <v>121</v>
          </cell>
          <cell r="B122" t="str">
            <v>ja</v>
          </cell>
          <cell r="C122" t="str">
            <v>攻めの果実</v>
          </cell>
          <cell r="D122" t="str">
            <v>限界突破素材・攻撃・赤</v>
          </cell>
          <cell r="E122" t="str">
            <v>アリス</v>
          </cell>
          <cell r="F122" t="str">
            <v>世界観</v>
          </cell>
          <cell r="G122" t="str">
            <v>不明</v>
          </cell>
          <cell r="H122" t="str">
            <v>red</v>
          </cell>
          <cell r="I122">
            <v>3</v>
          </cell>
          <cell r="J122" t="str">
            <v>Material</v>
          </cell>
          <cell r="K122" t="str">
            <v>limitbreak</v>
          </cell>
          <cell r="L122" t="str">
            <v>限界突破素材</v>
          </cell>
          <cell r="M122" t="str">
            <v>unknown</v>
          </cell>
          <cell r="N122" t="str">
            <v>Unknown</v>
          </cell>
          <cell r="O122" t="str">
            <v>none</v>
          </cell>
          <cell r="P122" t="str">
            <v>種族なし</v>
          </cell>
          <cell r="Q122" t="str">
            <v>限界突破素材</v>
          </cell>
          <cell r="R122">
            <v>3</v>
          </cell>
          <cell r="S122" t="str">
            <v>NULL</v>
          </cell>
          <cell r="T122" t="str">
            <v>normal</v>
          </cell>
          <cell r="U122" t="str">
            <v>NULL</v>
          </cell>
          <cell r="V122" t="str">
            <v>NULL</v>
          </cell>
          <cell r="W122" t="str">
            <v>NULL</v>
          </cell>
        </row>
        <row r="123">
          <cell r="A123">
            <v>122</v>
          </cell>
          <cell r="B123" t="str">
            <v>ja</v>
          </cell>
          <cell r="C123" t="str">
            <v>生命の果実</v>
          </cell>
          <cell r="D123" t="str">
            <v>限界突破素材・体力・緑</v>
          </cell>
          <cell r="E123" t="str">
            <v>アリス</v>
          </cell>
          <cell r="F123" t="str">
            <v>世界観</v>
          </cell>
          <cell r="G123" t="str">
            <v>不明</v>
          </cell>
          <cell r="H123" t="str">
            <v>green</v>
          </cell>
          <cell r="I123">
            <v>3</v>
          </cell>
          <cell r="J123" t="str">
            <v>Material</v>
          </cell>
          <cell r="K123" t="str">
            <v>limitbreak</v>
          </cell>
          <cell r="L123" t="str">
            <v>限界突破素材</v>
          </cell>
          <cell r="M123" t="str">
            <v>unknown</v>
          </cell>
          <cell r="N123" t="str">
            <v>Unknown</v>
          </cell>
          <cell r="O123" t="str">
            <v>none</v>
          </cell>
          <cell r="P123" t="str">
            <v>種族なし</v>
          </cell>
          <cell r="Q123" t="str">
            <v>限界突破素材</v>
          </cell>
          <cell r="R123">
            <v>3</v>
          </cell>
          <cell r="S123" t="str">
            <v>NULL</v>
          </cell>
          <cell r="T123" t="str">
            <v>normal</v>
          </cell>
          <cell r="U123" t="str">
            <v>NULL</v>
          </cell>
          <cell r="V123" t="str">
            <v>NULL</v>
          </cell>
          <cell r="W123" t="str">
            <v>NULL</v>
          </cell>
        </row>
        <row r="124">
          <cell r="A124">
            <v>123</v>
          </cell>
          <cell r="B124" t="str">
            <v>ja</v>
          </cell>
          <cell r="C124" t="str">
            <v>癒しの果実</v>
          </cell>
          <cell r="D124" t="str">
            <v>限界突破素材・回復・青</v>
          </cell>
          <cell r="E124" t="str">
            <v>アリス</v>
          </cell>
          <cell r="F124" t="str">
            <v>世界観</v>
          </cell>
          <cell r="G124" t="str">
            <v>不明</v>
          </cell>
          <cell r="H124" t="str">
            <v>blue</v>
          </cell>
          <cell r="I124">
            <v>3</v>
          </cell>
          <cell r="J124" t="str">
            <v>Material</v>
          </cell>
          <cell r="K124" t="str">
            <v>limitbreak</v>
          </cell>
          <cell r="L124" t="str">
            <v>限界突破素材</v>
          </cell>
          <cell r="M124" t="str">
            <v>unknown</v>
          </cell>
          <cell r="N124" t="str">
            <v>Unknown</v>
          </cell>
          <cell r="O124" t="str">
            <v>none</v>
          </cell>
          <cell r="P124" t="str">
            <v>種族なし</v>
          </cell>
          <cell r="Q124" t="str">
            <v>限界突破素材</v>
          </cell>
          <cell r="R124">
            <v>3</v>
          </cell>
          <cell r="S124" t="str">
            <v>NULL</v>
          </cell>
          <cell r="T124" t="str">
            <v>normal</v>
          </cell>
          <cell r="U124" t="str">
            <v>NULL</v>
          </cell>
          <cell r="V124" t="str">
            <v>NULL</v>
          </cell>
          <cell r="W124" t="str">
            <v>NULL</v>
          </cell>
        </row>
        <row r="125">
          <cell r="A125">
            <v>124</v>
          </cell>
          <cell r="B125" t="str">
            <v>ja</v>
          </cell>
          <cell r="C125" t="str">
            <v>黄金の果実</v>
          </cell>
          <cell r="D125" t="str">
            <v>限界突破素材・防御・黄</v>
          </cell>
          <cell r="E125" t="str">
            <v>アリス</v>
          </cell>
          <cell r="F125" t="str">
            <v>世界観</v>
          </cell>
          <cell r="G125" t="str">
            <v>不明</v>
          </cell>
          <cell r="H125" t="str">
            <v>yellow</v>
          </cell>
          <cell r="I125">
            <v>3</v>
          </cell>
          <cell r="J125" t="str">
            <v>Material</v>
          </cell>
          <cell r="K125" t="str">
            <v>coin</v>
          </cell>
          <cell r="L125" t="str">
            <v>コインタイプ</v>
          </cell>
          <cell r="M125" t="str">
            <v>unknown</v>
          </cell>
          <cell r="N125" t="str">
            <v>Unknown</v>
          </cell>
          <cell r="O125" t="str">
            <v>none</v>
          </cell>
          <cell r="P125" t="str">
            <v>種族なし</v>
          </cell>
          <cell r="Q125" t="str">
            <v>ドロップビットエネミー</v>
          </cell>
          <cell r="R125">
            <v>3</v>
          </cell>
          <cell r="S125" t="str">
            <v>NULL</v>
          </cell>
          <cell r="T125" t="str">
            <v>normal</v>
          </cell>
          <cell r="U125" t="str">
            <v>NULL</v>
          </cell>
          <cell r="V125" t="str">
            <v>NULL</v>
          </cell>
          <cell r="W125" t="str">
            <v>NULL</v>
          </cell>
        </row>
        <row r="126">
          <cell r="A126">
            <v>125</v>
          </cell>
          <cell r="B126" t="str">
            <v>ja</v>
          </cell>
          <cell r="C126" t="str">
            <v>秘術の果実</v>
          </cell>
          <cell r="D126" t="str">
            <v>スキル進化素材</v>
          </cell>
          <cell r="E126" t="str">
            <v>アリス</v>
          </cell>
          <cell r="F126" t="str">
            <v>世界観</v>
          </cell>
          <cell r="G126" t="str">
            <v>不明</v>
          </cell>
          <cell r="H126" t="str">
            <v>blue</v>
          </cell>
          <cell r="I126">
            <v>3</v>
          </cell>
          <cell r="J126" t="str">
            <v>Material</v>
          </cell>
          <cell r="K126" t="str">
            <v>skilllevel</v>
          </cell>
          <cell r="L126" t="str">
            <v>スキルレベル素材</v>
          </cell>
          <cell r="M126" t="str">
            <v>unknown</v>
          </cell>
          <cell r="N126" t="str">
            <v>Unknown</v>
          </cell>
          <cell r="O126" t="str">
            <v>none</v>
          </cell>
          <cell r="P126" t="str">
            <v>種族なし</v>
          </cell>
          <cell r="Q126" t="str">
            <v>スキル進化素材</v>
          </cell>
          <cell r="R126">
            <v>3</v>
          </cell>
          <cell r="S126" t="str">
            <v>NULL</v>
          </cell>
          <cell r="T126" t="str">
            <v>normal</v>
          </cell>
          <cell r="U126" t="str">
            <v>NULL</v>
          </cell>
          <cell r="V126" t="str">
            <v>NULL</v>
          </cell>
          <cell r="W126" t="str">
            <v>NULL</v>
          </cell>
        </row>
        <row r="127">
          <cell r="A127">
            <v>126</v>
          </cell>
          <cell r="B127" t="str">
            <v>ja</v>
          </cell>
          <cell r="C127" t="str">
            <v>骨器使い ユノ</v>
          </cell>
          <cell r="D127" t="str">
            <v>初期ガチャ</v>
          </cell>
          <cell r="E127" t="str">
            <v>アバター</v>
          </cell>
          <cell r="F127" t="str">
            <v>美しい</v>
          </cell>
          <cell r="G127" t="str">
            <v>女性</v>
          </cell>
          <cell r="H127" t="str">
            <v>red</v>
          </cell>
          <cell r="I127">
            <v>3</v>
          </cell>
          <cell r="J127" t="str">
            <v>PremiumW</v>
          </cell>
          <cell r="K127" t="str">
            <v>attack</v>
          </cell>
          <cell r="L127" t="str">
            <v>攻撃タイプ</v>
          </cell>
          <cell r="M127" t="str">
            <v>human</v>
          </cell>
          <cell r="N127" t="str">
            <v>ヒューマン</v>
          </cell>
          <cell r="O127" t="str">
            <v>animal</v>
          </cell>
          <cell r="P127" t="str">
            <v>アニマル</v>
          </cell>
          <cell r="Q127" t="str">
            <v>バッファー</v>
          </cell>
          <cell r="R127">
            <v>3</v>
          </cell>
          <cell r="S127" t="str">
            <v>NULL</v>
          </cell>
          <cell r="T127" t="str">
            <v>normal</v>
          </cell>
          <cell r="U127" t="str">
            <v>NULL</v>
          </cell>
          <cell r="V127" t="str">
            <v>NULL</v>
          </cell>
          <cell r="W127" t="str">
            <v>NULL</v>
          </cell>
        </row>
        <row r="128">
          <cell r="A128">
            <v>127</v>
          </cell>
          <cell r="B128" t="str">
            <v>ja</v>
          </cell>
          <cell r="C128" t="str">
            <v>狂喜の賢者 ユノ</v>
          </cell>
          <cell r="D128" t="str">
            <v>初期ガチャ</v>
          </cell>
          <cell r="E128" t="str">
            <v>アバター</v>
          </cell>
          <cell r="F128" t="str">
            <v>美しい</v>
          </cell>
          <cell r="G128" t="str">
            <v>女性</v>
          </cell>
          <cell r="H128" t="str">
            <v>red</v>
          </cell>
          <cell r="I128">
            <v>4</v>
          </cell>
          <cell r="J128" t="str">
            <v>PremiumW</v>
          </cell>
          <cell r="K128" t="str">
            <v>attack</v>
          </cell>
          <cell r="L128" t="str">
            <v>攻撃タイプ</v>
          </cell>
          <cell r="M128" t="str">
            <v>human</v>
          </cell>
          <cell r="N128" t="str">
            <v>ヒューマン</v>
          </cell>
          <cell r="O128" t="str">
            <v>animal</v>
          </cell>
          <cell r="P128" t="str">
            <v>アニマル</v>
          </cell>
          <cell r="Q128" t="str">
            <v>バッファー</v>
          </cell>
          <cell r="R128">
            <v>3</v>
          </cell>
          <cell r="S128" t="str">
            <v>NULL</v>
          </cell>
          <cell r="T128" t="str">
            <v>normal</v>
          </cell>
          <cell r="U128" t="str">
            <v>NULL</v>
          </cell>
          <cell r="V128" t="str">
            <v>NULL</v>
          </cell>
          <cell r="W128" t="str">
            <v>NULL</v>
          </cell>
        </row>
        <row r="129">
          <cell r="A129">
            <v>128</v>
          </cell>
          <cell r="B129" t="str">
            <v>ja</v>
          </cell>
          <cell r="C129" t="str">
            <v>野生児 アマラ</v>
          </cell>
          <cell r="D129" t="str">
            <v>初期ガチャ</v>
          </cell>
          <cell r="E129" t="str">
            <v>アバター</v>
          </cell>
          <cell r="F129" t="str">
            <v>格好いい</v>
          </cell>
          <cell r="G129" t="str">
            <v>女性</v>
          </cell>
          <cell r="H129" t="str">
            <v>green</v>
          </cell>
          <cell r="I129">
            <v>3</v>
          </cell>
          <cell r="J129" t="str">
            <v>PremiumW</v>
          </cell>
          <cell r="K129" t="str">
            <v>attack</v>
          </cell>
          <cell r="L129" t="str">
            <v>攻撃タイプ</v>
          </cell>
          <cell r="M129" t="str">
            <v>human</v>
          </cell>
          <cell r="N129" t="str">
            <v>ヒューマン</v>
          </cell>
          <cell r="O129" t="str">
            <v>animal</v>
          </cell>
          <cell r="P129" t="str">
            <v>アニマル</v>
          </cell>
          <cell r="Q129" t="str">
            <v>バッファー</v>
          </cell>
          <cell r="R129">
            <v>3</v>
          </cell>
          <cell r="S129" t="str">
            <v>NULL</v>
          </cell>
          <cell r="T129" t="str">
            <v>normal</v>
          </cell>
          <cell r="U129" t="str">
            <v>NULL</v>
          </cell>
          <cell r="V129" t="str">
            <v>NULL</v>
          </cell>
          <cell r="W129" t="str">
            <v>NULL</v>
          </cell>
        </row>
        <row r="130">
          <cell r="A130">
            <v>129</v>
          </cell>
          <cell r="B130" t="str">
            <v>ja</v>
          </cell>
          <cell r="C130" t="str">
            <v>孤高の狼憑き アマラ</v>
          </cell>
          <cell r="D130" t="str">
            <v>初期ガチャ</v>
          </cell>
          <cell r="E130" t="str">
            <v>アバター</v>
          </cell>
          <cell r="F130" t="str">
            <v>格好いい</v>
          </cell>
          <cell r="G130" t="str">
            <v>女性</v>
          </cell>
          <cell r="H130" t="str">
            <v>green</v>
          </cell>
          <cell r="I130">
            <v>4</v>
          </cell>
          <cell r="J130" t="str">
            <v>PremiumW</v>
          </cell>
          <cell r="K130" t="str">
            <v>attack</v>
          </cell>
          <cell r="L130" t="str">
            <v>攻撃タイプ</v>
          </cell>
          <cell r="M130" t="str">
            <v>human</v>
          </cell>
          <cell r="N130" t="str">
            <v>ヒューマン</v>
          </cell>
          <cell r="O130" t="str">
            <v>animal</v>
          </cell>
          <cell r="P130" t="str">
            <v>アニマル</v>
          </cell>
          <cell r="Q130" t="str">
            <v>バッファー</v>
          </cell>
          <cell r="R130">
            <v>3</v>
          </cell>
          <cell r="S130" t="str">
            <v>NULL</v>
          </cell>
          <cell r="T130" t="str">
            <v>normal</v>
          </cell>
          <cell r="U130" t="str">
            <v>NULL</v>
          </cell>
          <cell r="V130" t="str">
            <v>NULL</v>
          </cell>
          <cell r="W130" t="str">
            <v>NULL</v>
          </cell>
        </row>
        <row r="131">
          <cell r="A131">
            <v>130</v>
          </cell>
          <cell r="B131" t="str">
            <v>ja</v>
          </cell>
          <cell r="C131" t="str">
            <v>狼男 ローレンス</v>
          </cell>
          <cell r="D131" t="str">
            <v>初期ガチャ</v>
          </cell>
          <cell r="E131" t="str">
            <v>アバター</v>
          </cell>
          <cell r="F131" t="str">
            <v>格好いい</v>
          </cell>
          <cell r="G131" t="str">
            <v>不明</v>
          </cell>
          <cell r="H131" t="str">
            <v>blue</v>
          </cell>
          <cell r="I131">
            <v>3</v>
          </cell>
          <cell r="J131" t="str">
            <v>PremiumW</v>
          </cell>
          <cell r="K131" t="str">
            <v>attack</v>
          </cell>
          <cell r="L131" t="str">
            <v>攻撃タイプ</v>
          </cell>
          <cell r="M131" t="str">
            <v>animal</v>
          </cell>
          <cell r="N131" t="str">
            <v>アニマル</v>
          </cell>
          <cell r="O131" t="str">
            <v>none</v>
          </cell>
          <cell r="P131" t="str">
            <v>種族なし</v>
          </cell>
          <cell r="Q131" t="str">
            <v>バッファー</v>
          </cell>
          <cell r="R131">
            <v>3</v>
          </cell>
          <cell r="S131" t="str">
            <v>NULL</v>
          </cell>
          <cell r="T131" t="str">
            <v>normal</v>
          </cell>
          <cell r="U131" t="str">
            <v>NULL</v>
          </cell>
          <cell r="V131" t="str">
            <v>NULL</v>
          </cell>
          <cell r="W131" t="str">
            <v>NULL</v>
          </cell>
        </row>
        <row r="132">
          <cell r="A132">
            <v>131</v>
          </cell>
          <cell r="B132" t="str">
            <v>ja</v>
          </cell>
          <cell r="C132" t="str">
            <v>月下の人狼 ローレンス</v>
          </cell>
          <cell r="D132" t="str">
            <v>初期ガチャ</v>
          </cell>
          <cell r="E132" t="str">
            <v>アバター</v>
          </cell>
          <cell r="F132" t="str">
            <v>格好いい</v>
          </cell>
          <cell r="G132" t="str">
            <v>不明</v>
          </cell>
          <cell r="H132" t="str">
            <v>blue</v>
          </cell>
          <cell r="I132">
            <v>4</v>
          </cell>
          <cell r="J132" t="str">
            <v>PremiumW</v>
          </cell>
          <cell r="K132" t="str">
            <v>attack</v>
          </cell>
          <cell r="L132" t="str">
            <v>攻撃タイプ</v>
          </cell>
          <cell r="M132" t="str">
            <v>animal</v>
          </cell>
          <cell r="N132" t="str">
            <v>アニマル</v>
          </cell>
          <cell r="O132" t="str">
            <v>none</v>
          </cell>
          <cell r="P132" t="str">
            <v>種族なし</v>
          </cell>
          <cell r="Q132" t="str">
            <v>バッファー</v>
          </cell>
          <cell r="R132">
            <v>3</v>
          </cell>
          <cell r="S132" t="str">
            <v>NULL</v>
          </cell>
          <cell r="T132" t="str">
            <v>normal</v>
          </cell>
          <cell r="U132" t="str">
            <v>NULL</v>
          </cell>
          <cell r="V132" t="str">
            <v>NULL</v>
          </cell>
          <cell r="W132" t="str">
            <v>NULL</v>
          </cell>
        </row>
        <row r="133">
          <cell r="A133">
            <v>132</v>
          </cell>
          <cell r="B133" t="str">
            <v>ja</v>
          </cell>
          <cell r="C133" t="str">
            <v>鳥人ハヤト</v>
          </cell>
          <cell r="D133" t="str">
            <v>初期ガチャ</v>
          </cell>
          <cell r="E133" t="str">
            <v>アバター</v>
          </cell>
          <cell r="F133" t="str">
            <v>格好いい</v>
          </cell>
          <cell r="G133" t="str">
            <v>男性</v>
          </cell>
          <cell r="H133" t="str">
            <v>yellow</v>
          </cell>
          <cell r="I133">
            <v>3</v>
          </cell>
          <cell r="J133" t="str">
            <v>PremiumW</v>
          </cell>
          <cell r="K133" t="str">
            <v>attack</v>
          </cell>
          <cell r="L133" t="str">
            <v>攻撃タイプ</v>
          </cell>
          <cell r="M133" t="str">
            <v>human</v>
          </cell>
          <cell r="N133" t="str">
            <v>ヒューマン</v>
          </cell>
          <cell r="O133" t="str">
            <v>animal</v>
          </cell>
          <cell r="P133" t="str">
            <v>アニマル</v>
          </cell>
          <cell r="Q133" t="str">
            <v>バッファー</v>
          </cell>
          <cell r="R133">
            <v>3</v>
          </cell>
          <cell r="S133" t="str">
            <v>NULL</v>
          </cell>
          <cell r="T133" t="str">
            <v>normal</v>
          </cell>
          <cell r="U133" t="str">
            <v>NULL</v>
          </cell>
          <cell r="V133" t="str">
            <v>NULL</v>
          </cell>
          <cell r="W133" t="str">
            <v>NULL</v>
          </cell>
        </row>
        <row r="134">
          <cell r="A134">
            <v>133</v>
          </cell>
          <cell r="B134" t="str">
            <v>ja</v>
          </cell>
          <cell r="C134" t="str">
            <v>迅雷の刀剣 ハヤト</v>
          </cell>
          <cell r="D134" t="str">
            <v>初期ガチャ</v>
          </cell>
          <cell r="E134" t="str">
            <v>アバター</v>
          </cell>
          <cell r="F134" t="str">
            <v>格好いい</v>
          </cell>
          <cell r="G134" t="str">
            <v>男性</v>
          </cell>
          <cell r="H134" t="str">
            <v>yellow</v>
          </cell>
          <cell r="I134">
            <v>4</v>
          </cell>
          <cell r="J134" t="str">
            <v>PremiumW</v>
          </cell>
          <cell r="K134" t="str">
            <v>attack</v>
          </cell>
          <cell r="L134" t="str">
            <v>攻撃タイプ</v>
          </cell>
          <cell r="M134" t="str">
            <v>human</v>
          </cell>
          <cell r="N134" t="str">
            <v>ヒューマン</v>
          </cell>
          <cell r="O134" t="str">
            <v>animal</v>
          </cell>
          <cell r="P134" t="str">
            <v>アニマル</v>
          </cell>
          <cell r="Q134" t="str">
            <v>バッファー</v>
          </cell>
          <cell r="R134">
            <v>3</v>
          </cell>
          <cell r="S134" t="str">
            <v>NULL</v>
          </cell>
          <cell r="T134" t="str">
            <v>normal</v>
          </cell>
          <cell r="U134" t="str">
            <v>NULL</v>
          </cell>
          <cell r="V134" t="str">
            <v>NULL</v>
          </cell>
          <cell r="W134" t="str">
            <v>NULL</v>
          </cell>
        </row>
        <row r="135">
          <cell r="A135">
            <v>134</v>
          </cell>
          <cell r="B135" t="str">
            <v>ja</v>
          </cell>
          <cell r="C135" t="str">
            <v>妖炎の夕霧</v>
          </cell>
          <cell r="D135" t="str">
            <v>初期ガチャ</v>
          </cell>
          <cell r="E135" t="str">
            <v>アバター</v>
          </cell>
          <cell r="F135" t="str">
            <v>美しい</v>
          </cell>
          <cell r="G135" t="str">
            <v>女性</v>
          </cell>
          <cell r="H135" t="str">
            <v>red</v>
          </cell>
          <cell r="I135">
            <v>3</v>
          </cell>
          <cell r="J135" t="str">
            <v>PremiumW</v>
          </cell>
          <cell r="K135" t="str">
            <v>balance</v>
          </cell>
          <cell r="L135" t="str">
            <v>バランスタイプ</v>
          </cell>
          <cell r="M135" t="str">
            <v>human</v>
          </cell>
          <cell r="N135" t="str">
            <v>ヒューマン</v>
          </cell>
          <cell r="O135" t="str">
            <v>none</v>
          </cell>
          <cell r="P135" t="str">
            <v>種族なし</v>
          </cell>
          <cell r="Q135" t="str">
            <v>パネルコンバーター</v>
          </cell>
          <cell r="R135">
            <v>3</v>
          </cell>
          <cell r="S135" t="str">
            <v>NULL</v>
          </cell>
          <cell r="T135" t="str">
            <v>normal</v>
          </cell>
          <cell r="U135" t="str">
            <v>NULL</v>
          </cell>
          <cell r="V135" t="str">
            <v>NULL</v>
          </cell>
          <cell r="W135" t="str">
            <v>NULL</v>
          </cell>
        </row>
        <row r="136">
          <cell r="A136">
            <v>135</v>
          </cell>
          <cell r="B136" t="str">
            <v>ja</v>
          </cell>
          <cell r="C136" t="str">
            <v>京の炎華夕霧</v>
          </cell>
          <cell r="D136" t="str">
            <v>初期ガチャ</v>
          </cell>
          <cell r="E136" t="str">
            <v>アバター</v>
          </cell>
          <cell r="F136" t="str">
            <v>美しい</v>
          </cell>
          <cell r="G136" t="str">
            <v>女性</v>
          </cell>
          <cell r="H136" t="str">
            <v>red</v>
          </cell>
          <cell r="I136">
            <v>4</v>
          </cell>
          <cell r="J136" t="str">
            <v>PremiumW</v>
          </cell>
          <cell r="K136" t="str">
            <v>balance</v>
          </cell>
          <cell r="L136" t="str">
            <v>バランスタイプ</v>
          </cell>
          <cell r="M136" t="str">
            <v>human</v>
          </cell>
          <cell r="N136" t="str">
            <v>ヒューマン</v>
          </cell>
          <cell r="O136" t="str">
            <v>none</v>
          </cell>
          <cell r="P136" t="str">
            <v>種族なし</v>
          </cell>
          <cell r="Q136" t="str">
            <v>パネルコンバーター</v>
          </cell>
          <cell r="R136">
            <v>3</v>
          </cell>
          <cell r="S136" t="str">
            <v>NULL</v>
          </cell>
          <cell r="T136" t="str">
            <v>normal</v>
          </cell>
          <cell r="U136" t="str">
            <v>NULL</v>
          </cell>
          <cell r="V136" t="str">
            <v>NULL</v>
          </cell>
          <cell r="W136" t="str">
            <v>NULL</v>
          </cell>
        </row>
        <row r="137">
          <cell r="A137">
            <v>136</v>
          </cell>
          <cell r="B137" t="str">
            <v>ja</v>
          </cell>
          <cell r="C137" t="str">
            <v>お針子チハヤ</v>
          </cell>
          <cell r="D137" t="str">
            <v>初期ガチャ</v>
          </cell>
          <cell r="E137" t="str">
            <v>アバター</v>
          </cell>
          <cell r="F137" t="str">
            <v>可愛い</v>
          </cell>
          <cell r="G137" t="str">
            <v>女性</v>
          </cell>
          <cell r="H137" t="str">
            <v>green</v>
          </cell>
          <cell r="I137">
            <v>3</v>
          </cell>
          <cell r="J137" t="str">
            <v>PremiumW</v>
          </cell>
          <cell r="K137" t="str">
            <v>balance</v>
          </cell>
          <cell r="L137" t="str">
            <v>バランスタイプ</v>
          </cell>
          <cell r="M137" t="str">
            <v>human</v>
          </cell>
          <cell r="N137" t="str">
            <v>ヒューマン</v>
          </cell>
          <cell r="O137" t="str">
            <v>none</v>
          </cell>
          <cell r="P137" t="str">
            <v>種族なし</v>
          </cell>
          <cell r="Q137" t="str">
            <v>パネルコンバーター</v>
          </cell>
          <cell r="R137">
            <v>3</v>
          </cell>
          <cell r="S137" t="str">
            <v>NULL</v>
          </cell>
          <cell r="T137" t="str">
            <v>normal</v>
          </cell>
          <cell r="U137" t="str">
            <v>NULL</v>
          </cell>
          <cell r="V137" t="str">
            <v>NULL</v>
          </cell>
          <cell r="W137" t="str">
            <v>NULL</v>
          </cell>
        </row>
        <row r="138">
          <cell r="A138">
            <v>137</v>
          </cell>
          <cell r="B138" t="str">
            <v>ja</v>
          </cell>
          <cell r="C138" t="str">
            <v>清福の仕立屋 チハヤ</v>
          </cell>
          <cell r="D138" t="str">
            <v>初期ガチャ</v>
          </cell>
          <cell r="E138" t="str">
            <v>アバター</v>
          </cell>
          <cell r="F138" t="str">
            <v>可愛い</v>
          </cell>
          <cell r="G138" t="str">
            <v>女性</v>
          </cell>
          <cell r="H138" t="str">
            <v>green</v>
          </cell>
          <cell r="I138">
            <v>4</v>
          </cell>
          <cell r="J138" t="str">
            <v>PremiumW</v>
          </cell>
          <cell r="K138" t="str">
            <v>balance</v>
          </cell>
          <cell r="L138" t="str">
            <v>バランスタイプ</v>
          </cell>
          <cell r="M138" t="str">
            <v>human</v>
          </cell>
          <cell r="N138" t="str">
            <v>ヒューマン</v>
          </cell>
          <cell r="O138" t="str">
            <v>none</v>
          </cell>
          <cell r="P138" t="str">
            <v>種族なし</v>
          </cell>
          <cell r="Q138" t="str">
            <v>パネルコンバーター</v>
          </cell>
          <cell r="R138">
            <v>3</v>
          </cell>
          <cell r="S138" t="str">
            <v>NULL</v>
          </cell>
          <cell r="T138" t="str">
            <v>normal</v>
          </cell>
          <cell r="U138" t="str">
            <v>NULL</v>
          </cell>
          <cell r="V138" t="str">
            <v>NULL</v>
          </cell>
          <cell r="W138" t="str">
            <v>NULL</v>
          </cell>
        </row>
        <row r="139">
          <cell r="A139">
            <v>138</v>
          </cell>
          <cell r="B139" t="str">
            <v>ja</v>
          </cell>
          <cell r="C139" t="str">
            <v>蒼薙のトモエ</v>
          </cell>
          <cell r="D139" t="str">
            <v>初期ガチャ</v>
          </cell>
          <cell r="E139" t="str">
            <v>アバター</v>
          </cell>
          <cell r="F139" t="str">
            <v>美しい</v>
          </cell>
          <cell r="G139" t="str">
            <v>女性</v>
          </cell>
          <cell r="H139" t="str">
            <v>blue</v>
          </cell>
          <cell r="I139">
            <v>3</v>
          </cell>
          <cell r="J139" t="str">
            <v>PremiumW</v>
          </cell>
          <cell r="K139" t="str">
            <v>balance</v>
          </cell>
          <cell r="L139" t="str">
            <v>バランスタイプ</v>
          </cell>
          <cell r="M139" t="str">
            <v>human</v>
          </cell>
          <cell r="N139" t="str">
            <v>ヒューマン</v>
          </cell>
          <cell r="O139" t="str">
            <v>none</v>
          </cell>
          <cell r="P139" t="str">
            <v>種族なし</v>
          </cell>
          <cell r="Q139" t="str">
            <v>パネルコンバーター</v>
          </cell>
          <cell r="R139">
            <v>3</v>
          </cell>
          <cell r="S139" t="str">
            <v>NULL</v>
          </cell>
          <cell r="T139" t="str">
            <v>normal</v>
          </cell>
          <cell r="U139" t="str">
            <v>NULL</v>
          </cell>
          <cell r="V139" t="str">
            <v>NULL</v>
          </cell>
          <cell r="W139" t="str">
            <v>NULL</v>
          </cell>
        </row>
        <row r="140">
          <cell r="A140">
            <v>139</v>
          </cell>
          <cell r="B140" t="str">
            <v>ja</v>
          </cell>
          <cell r="C140" t="str">
            <v>蒼昇刃姫 トモエ</v>
          </cell>
          <cell r="D140" t="str">
            <v>初期ガチャ</v>
          </cell>
          <cell r="E140" t="str">
            <v>アバター</v>
          </cell>
          <cell r="F140" t="str">
            <v>美しい</v>
          </cell>
          <cell r="G140" t="str">
            <v>女性</v>
          </cell>
          <cell r="H140" t="str">
            <v>blue</v>
          </cell>
          <cell r="I140">
            <v>4</v>
          </cell>
          <cell r="J140" t="str">
            <v>PremiumW</v>
          </cell>
          <cell r="K140" t="str">
            <v>balance</v>
          </cell>
          <cell r="L140" t="str">
            <v>バランスタイプ</v>
          </cell>
          <cell r="M140" t="str">
            <v>human</v>
          </cell>
          <cell r="N140" t="str">
            <v>ヒューマン</v>
          </cell>
          <cell r="O140" t="str">
            <v>none</v>
          </cell>
          <cell r="P140" t="str">
            <v>種族なし</v>
          </cell>
          <cell r="Q140" t="str">
            <v>パネルコンバーター</v>
          </cell>
          <cell r="R140">
            <v>3</v>
          </cell>
          <cell r="S140" t="str">
            <v>NULL</v>
          </cell>
          <cell r="T140" t="str">
            <v>normal</v>
          </cell>
          <cell r="U140" t="str">
            <v>NULL</v>
          </cell>
          <cell r="V140" t="str">
            <v>NULL</v>
          </cell>
          <cell r="W140" t="str">
            <v>NULL</v>
          </cell>
        </row>
        <row r="141">
          <cell r="A141">
            <v>140</v>
          </cell>
          <cell r="B141" t="str">
            <v>ja</v>
          </cell>
          <cell r="C141" t="str">
            <v>秋祭のタマモ</v>
          </cell>
          <cell r="D141" t="str">
            <v>初期ガチャ</v>
          </cell>
          <cell r="E141" t="str">
            <v>アバター</v>
          </cell>
          <cell r="F141" t="str">
            <v>可愛い</v>
          </cell>
          <cell r="G141" t="str">
            <v>女性</v>
          </cell>
          <cell r="H141" t="str">
            <v>yellow</v>
          </cell>
          <cell r="I141">
            <v>3</v>
          </cell>
          <cell r="J141" t="str">
            <v>PremiumW</v>
          </cell>
          <cell r="K141" t="str">
            <v>balance</v>
          </cell>
          <cell r="L141" t="str">
            <v>バランスタイプ</v>
          </cell>
          <cell r="M141" t="str">
            <v>animal</v>
          </cell>
          <cell r="N141" t="str">
            <v>アニマル</v>
          </cell>
          <cell r="O141" t="str">
            <v>none</v>
          </cell>
          <cell r="P141" t="str">
            <v>種族なし</v>
          </cell>
          <cell r="Q141" t="str">
            <v>パネルコンバーター</v>
          </cell>
          <cell r="R141">
            <v>3</v>
          </cell>
          <cell r="S141" t="str">
            <v>NULL</v>
          </cell>
          <cell r="T141" t="str">
            <v>normal</v>
          </cell>
          <cell r="U141" t="str">
            <v>NULL</v>
          </cell>
          <cell r="V141" t="str">
            <v>NULL</v>
          </cell>
          <cell r="W141" t="str">
            <v>NULL</v>
          </cell>
        </row>
        <row r="142">
          <cell r="A142">
            <v>141</v>
          </cell>
          <cell r="B142" t="str">
            <v>ja</v>
          </cell>
          <cell r="C142" t="str">
            <v>妖狐演舞 タマモ</v>
          </cell>
          <cell r="D142" t="str">
            <v>初期ガチャ</v>
          </cell>
          <cell r="E142" t="str">
            <v>アバター</v>
          </cell>
          <cell r="F142" t="str">
            <v>可愛い</v>
          </cell>
          <cell r="G142" t="str">
            <v>女性</v>
          </cell>
          <cell r="H142" t="str">
            <v>yellow</v>
          </cell>
          <cell r="I142">
            <v>4</v>
          </cell>
          <cell r="J142" t="str">
            <v>PremiumW</v>
          </cell>
          <cell r="K142" t="str">
            <v>balance</v>
          </cell>
          <cell r="L142" t="str">
            <v>バランスタイプ</v>
          </cell>
          <cell r="M142" t="str">
            <v>animal</v>
          </cell>
          <cell r="N142" t="str">
            <v>アニマル</v>
          </cell>
          <cell r="O142" t="str">
            <v>none</v>
          </cell>
          <cell r="P142" t="str">
            <v>種族なし</v>
          </cell>
          <cell r="Q142" t="str">
            <v>パネルコンバーター</v>
          </cell>
          <cell r="R142">
            <v>3</v>
          </cell>
          <cell r="S142" t="str">
            <v>NULL</v>
          </cell>
          <cell r="T142" t="str">
            <v>normal</v>
          </cell>
          <cell r="U142" t="str">
            <v>NULL</v>
          </cell>
          <cell r="V142" t="str">
            <v>NULL</v>
          </cell>
          <cell r="W142" t="str">
            <v>NULL</v>
          </cell>
        </row>
        <row r="143">
          <cell r="A143">
            <v>142</v>
          </cell>
          <cell r="B143" t="str">
            <v>ja</v>
          </cell>
          <cell r="C143" t="str">
            <v>赤ずきん</v>
          </cell>
          <cell r="D143" t="str">
            <v>初期ガチャ</v>
          </cell>
          <cell r="E143" t="str">
            <v>アバター</v>
          </cell>
          <cell r="F143" t="str">
            <v>可愛い</v>
          </cell>
          <cell r="G143" t="str">
            <v>女性</v>
          </cell>
          <cell r="H143" t="str">
            <v>red</v>
          </cell>
          <cell r="I143">
            <v>3</v>
          </cell>
          <cell r="J143" t="str">
            <v>PremiumW</v>
          </cell>
          <cell r="K143" t="str">
            <v>balance</v>
          </cell>
          <cell r="L143" t="str">
            <v>バランスタイプ</v>
          </cell>
          <cell r="M143" t="str">
            <v>human</v>
          </cell>
          <cell r="N143" t="str">
            <v>ヒューマン</v>
          </cell>
          <cell r="O143" t="str">
            <v>none</v>
          </cell>
          <cell r="P143" t="str">
            <v>種族なし</v>
          </cell>
          <cell r="Q143" t="str">
            <v>バッファー</v>
          </cell>
          <cell r="R143">
            <v>3</v>
          </cell>
          <cell r="S143" t="str">
            <v>NULL</v>
          </cell>
          <cell r="T143" t="str">
            <v>normal</v>
          </cell>
          <cell r="U143" t="str">
            <v>NULL</v>
          </cell>
          <cell r="V143" t="str">
            <v>NULL</v>
          </cell>
          <cell r="W143" t="str">
            <v>NULL</v>
          </cell>
        </row>
        <row r="144">
          <cell r="A144">
            <v>143</v>
          </cell>
          <cell r="B144" t="str">
            <v>ja</v>
          </cell>
          <cell r="C144" t="str">
            <v>深紅の死神 赤ずきん</v>
          </cell>
          <cell r="D144" t="str">
            <v>初期ガチャ</v>
          </cell>
          <cell r="E144" t="str">
            <v>アバター</v>
          </cell>
          <cell r="F144" t="str">
            <v>可愛い</v>
          </cell>
          <cell r="G144" t="str">
            <v>女性</v>
          </cell>
          <cell r="H144" t="str">
            <v>red</v>
          </cell>
          <cell r="I144">
            <v>4</v>
          </cell>
          <cell r="J144" t="str">
            <v>PremiumW</v>
          </cell>
          <cell r="K144" t="str">
            <v>balance</v>
          </cell>
          <cell r="L144" t="str">
            <v>バランスタイプ</v>
          </cell>
          <cell r="M144" t="str">
            <v>human</v>
          </cell>
          <cell r="N144" t="str">
            <v>ヒューマン</v>
          </cell>
          <cell r="O144" t="str">
            <v>none</v>
          </cell>
          <cell r="P144" t="str">
            <v>種族なし</v>
          </cell>
          <cell r="Q144" t="str">
            <v>バッファー</v>
          </cell>
          <cell r="R144">
            <v>3</v>
          </cell>
          <cell r="S144" t="str">
            <v>NULL</v>
          </cell>
          <cell r="T144" t="str">
            <v>normal</v>
          </cell>
          <cell r="U144" t="str">
            <v>NULL</v>
          </cell>
          <cell r="V144" t="str">
            <v>NULL</v>
          </cell>
          <cell r="W144" t="str">
            <v>NULL</v>
          </cell>
        </row>
        <row r="145">
          <cell r="A145">
            <v>144</v>
          </cell>
          <cell r="B145" t="str">
            <v>ja</v>
          </cell>
          <cell r="C145" t="str">
            <v>かぐや</v>
          </cell>
          <cell r="D145" t="str">
            <v>初期ガチャ</v>
          </cell>
          <cell r="E145" t="str">
            <v>アバター</v>
          </cell>
          <cell r="F145" t="str">
            <v>美しい</v>
          </cell>
          <cell r="G145" t="str">
            <v>女性</v>
          </cell>
          <cell r="H145" t="str">
            <v>green</v>
          </cell>
          <cell r="I145">
            <v>3</v>
          </cell>
          <cell r="J145" t="str">
            <v>PremiumW</v>
          </cell>
          <cell r="K145" t="str">
            <v>hp</v>
          </cell>
          <cell r="L145" t="str">
            <v>体力タイプ</v>
          </cell>
          <cell r="M145" t="str">
            <v>human</v>
          </cell>
          <cell r="N145" t="str">
            <v>ヒューマン</v>
          </cell>
          <cell r="O145" t="str">
            <v>none</v>
          </cell>
          <cell r="P145" t="str">
            <v>種族なし</v>
          </cell>
          <cell r="Q145" t="str">
            <v>バッファー</v>
          </cell>
          <cell r="R145">
            <v>3</v>
          </cell>
          <cell r="S145" t="str">
            <v>NULL</v>
          </cell>
          <cell r="T145" t="str">
            <v>normal</v>
          </cell>
          <cell r="U145" t="str">
            <v>NULL</v>
          </cell>
          <cell r="V145" t="str">
            <v>NULL</v>
          </cell>
          <cell r="W145" t="str">
            <v>NULL</v>
          </cell>
        </row>
        <row r="146">
          <cell r="A146">
            <v>145</v>
          </cell>
          <cell r="B146" t="str">
            <v>ja</v>
          </cell>
          <cell r="C146" t="str">
            <v>魔性妖艶 かぐや</v>
          </cell>
          <cell r="D146" t="str">
            <v>初期ガチャ</v>
          </cell>
          <cell r="E146" t="str">
            <v>アバター</v>
          </cell>
          <cell r="F146" t="str">
            <v>美しい</v>
          </cell>
          <cell r="G146" t="str">
            <v>女性</v>
          </cell>
          <cell r="H146" t="str">
            <v>green</v>
          </cell>
          <cell r="I146">
            <v>4</v>
          </cell>
          <cell r="J146" t="str">
            <v>PremiumW</v>
          </cell>
          <cell r="K146" t="str">
            <v>hp</v>
          </cell>
          <cell r="L146" t="str">
            <v>体力タイプ</v>
          </cell>
          <cell r="M146" t="str">
            <v>human</v>
          </cell>
          <cell r="N146" t="str">
            <v>ヒューマン</v>
          </cell>
          <cell r="O146" t="str">
            <v>none</v>
          </cell>
          <cell r="P146" t="str">
            <v>種族なし</v>
          </cell>
          <cell r="Q146" t="str">
            <v>バッファー</v>
          </cell>
          <cell r="R146">
            <v>3</v>
          </cell>
          <cell r="S146" t="str">
            <v>NULL</v>
          </cell>
          <cell r="T146" t="str">
            <v>normal</v>
          </cell>
          <cell r="U146" t="str">
            <v>NULL</v>
          </cell>
          <cell r="V146" t="str">
            <v>NULL</v>
          </cell>
          <cell r="W146" t="str">
            <v>NULL</v>
          </cell>
        </row>
        <row r="147">
          <cell r="A147">
            <v>146</v>
          </cell>
          <cell r="B147" t="str">
            <v>ja</v>
          </cell>
          <cell r="C147" t="str">
            <v>マーメイド</v>
          </cell>
          <cell r="D147" t="str">
            <v>初期ガチャ</v>
          </cell>
          <cell r="E147" t="str">
            <v>アバター</v>
          </cell>
          <cell r="F147" t="str">
            <v>可愛い</v>
          </cell>
          <cell r="G147" t="str">
            <v>女性</v>
          </cell>
          <cell r="H147" t="str">
            <v>blue</v>
          </cell>
          <cell r="I147">
            <v>3</v>
          </cell>
          <cell r="J147" t="str">
            <v>PremiumW</v>
          </cell>
          <cell r="K147" t="str">
            <v>hp</v>
          </cell>
          <cell r="L147" t="str">
            <v>体力タイプ</v>
          </cell>
          <cell r="M147" t="str">
            <v>human</v>
          </cell>
          <cell r="N147" t="str">
            <v>ヒューマン</v>
          </cell>
          <cell r="O147" t="str">
            <v>none</v>
          </cell>
          <cell r="P147" t="str">
            <v>種族なし</v>
          </cell>
          <cell r="Q147" t="str">
            <v>デバッファー</v>
          </cell>
          <cell r="R147">
            <v>3</v>
          </cell>
          <cell r="S147" t="str">
            <v>NULL</v>
          </cell>
          <cell r="T147" t="str">
            <v>normal</v>
          </cell>
          <cell r="U147" t="str">
            <v>NULL</v>
          </cell>
          <cell r="V147" t="str">
            <v>NULL</v>
          </cell>
          <cell r="W147" t="str">
            <v>NULL</v>
          </cell>
        </row>
        <row r="148">
          <cell r="A148">
            <v>147</v>
          </cell>
          <cell r="B148" t="str">
            <v>ja</v>
          </cell>
          <cell r="C148" t="str">
            <v>蒼き閃光 元マーメイド</v>
          </cell>
          <cell r="D148" t="str">
            <v>初期ガチャ</v>
          </cell>
          <cell r="E148" t="str">
            <v>アバター</v>
          </cell>
          <cell r="F148" t="str">
            <v>可愛い</v>
          </cell>
          <cell r="G148" t="str">
            <v>女性</v>
          </cell>
          <cell r="H148" t="str">
            <v>blue</v>
          </cell>
          <cell r="I148">
            <v>4</v>
          </cell>
          <cell r="J148" t="str">
            <v>PremiumW</v>
          </cell>
          <cell r="K148" t="str">
            <v>hp</v>
          </cell>
          <cell r="L148" t="str">
            <v>体力タイプ</v>
          </cell>
          <cell r="M148" t="str">
            <v>human</v>
          </cell>
          <cell r="N148" t="str">
            <v>ヒューマン</v>
          </cell>
          <cell r="O148" t="str">
            <v>none</v>
          </cell>
          <cell r="P148" t="str">
            <v>種族なし</v>
          </cell>
          <cell r="Q148" t="str">
            <v>デバッファー</v>
          </cell>
          <cell r="R148">
            <v>3</v>
          </cell>
          <cell r="S148" t="str">
            <v>NULL</v>
          </cell>
          <cell r="T148" t="str">
            <v>normal</v>
          </cell>
          <cell r="U148" t="str">
            <v>NULL</v>
          </cell>
          <cell r="V148" t="str">
            <v>NULL</v>
          </cell>
          <cell r="W148" t="str">
            <v>NULL</v>
          </cell>
        </row>
        <row r="149">
          <cell r="A149">
            <v>148</v>
          </cell>
          <cell r="B149" t="str">
            <v>ja</v>
          </cell>
          <cell r="C149" t="str">
            <v>シンデレラ</v>
          </cell>
          <cell r="D149" t="str">
            <v>初期ガチャ</v>
          </cell>
          <cell r="E149" t="str">
            <v>アバター</v>
          </cell>
          <cell r="F149" t="str">
            <v>美しい</v>
          </cell>
          <cell r="G149" t="str">
            <v>女性</v>
          </cell>
          <cell r="H149" t="str">
            <v>yellow</v>
          </cell>
          <cell r="I149">
            <v>3</v>
          </cell>
          <cell r="J149" t="str">
            <v>PremiumW</v>
          </cell>
          <cell r="K149" t="str">
            <v>balance</v>
          </cell>
          <cell r="L149" t="str">
            <v>バランスタイプ</v>
          </cell>
          <cell r="M149" t="str">
            <v>human</v>
          </cell>
          <cell r="N149" t="str">
            <v>ヒューマン</v>
          </cell>
          <cell r="O149" t="str">
            <v>none</v>
          </cell>
          <cell r="P149" t="str">
            <v>種族なし</v>
          </cell>
          <cell r="Q149" t="str">
            <v>パネルコンバーター</v>
          </cell>
          <cell r="R149">
            <v>3</v>
          </cell>
          <cell r="S149" t="str">
            <v>NULL</v>
          </cell>
          <cell r="T149" t="str">
            <v>normal</v>
          </cell>
          <cell r="U149" t="str">
            <v>NULL</v>
          </cell>
          <cell r="V149" t="str">
            <v>NULL</v>
          </cell>
          <cell r="W149" t="str">
            <v>NULL</v>
          </cell>
        </row>
        <row r="150">
          <cell r="A150">
            <v>149</v>
          </cell>
          <cell r="B150" t="str">
            <v>ja</v>
          </cell>
          <cell r="C150" t="str">
            <v>雷撃蹴技を極めし者 シンデレラ</v>
          </cell>
          <cell r="D150" t="str">
            <v>初期ガチャ</v>
          </cell>
          <cell r="E150" t="str">
            <v>アバター</v>
          </cell>
          <cell r="F150" t="str">
            <v>美しい</v>
          </cell>
          <cell r="G150" t="str">
            <v>女性</v>
          </cell>
          <cell r="H150" t="str">
            <v>yellow</v>
          </cell>
          <cell r="I150">
            <v>4</v>
          </cell>
          <cell r="J150" t="str">
            <v>PremiumW</v>
          </cell>
          <cell r="K150" t="str">
            <v>balance</v>
          </cell>
          <cell r="L150" t="str">
            <v>バランスタイプ</v>
          </cell>
          <cell r="M150" t="str">
            <v>human</v>
          </cell>
          <cell r="N150" t="str">
            <v>ヒューマン</v>
          </cell>
          <cell r="O150" t="str">
            <v>none</v>
          </cell>
          <cell r="P150" t="str">
            <v>種族なし</v>
          </cell>
          <cell r="Q150" t="str">
            <v>パネルコンバーター</v>
          </cell>
          <cell r="R150">
            <v>3</v>
          </cell>
          <cell r="S150" t="str">
            <v>NULL</v>
          </cell>
          <cell r="T150" t="str">
            <v>normal</v>
          </cell>
          <cell r="U150" t="str">
            <v>NULL</v>
          </cell>
          <cell r="V150" t="str">
            <v>NULL</v>
          </cell>
          <cell r="W150" t="str">
            <v>NULL</v>
          </cell>
        </row>
        <row r="151">
          <cell r="A151">
            <v>150</v>
          </cell>
          <cell r="B151" t="str">
            <v>ja</v>
          </cell>
          <cell r="C151" t="str">
            <v>ポイズンマスターサキ</v>
          </cell>
          <cell r="D151" t="str">
            <v>初期ガチャ</v>
          </cell>
          <cell r="E151" t="str">
            <v>アバター</v>
          </cell>
          <cell r="F151" t="str">
            <v>格好いい</v>
          </cell>
          <cell r="G151" t="str">
            <v>女性</v>
          </cell>
          <cell r="H151" t="str">
            <v>red</v>
          </cell>
          <cell r="I151">
            <v>3</v>
          </cell>
          <cell r="J151" t="str">
            <v>PremiumW</v>
          </cell>
          <cell r="K151" t="str">
            <v>technical</v>
          </cell>
          <cell r="L151" t="str">
            <v>テクニカルタイプ</v>
          </cell>
          <cell r="M151" t="str">
            <v>human</v>
          </cell>
          <cell r="N151" t="str">
            <v>ヒューマン</v>
          </cell>
          <cell r="O151" t="str">
            <v>none</v>
          </cell>
          <cell r="P151" t="str">
            <v>種族なし</v>
          </cell>
          <cell r="Q151" t="str">
            <v>デバッファー</v>
          </cell>
          <cell r="R151">
            <v>3</v>
          </cell>
          <cell r="S151" t="str">
            <v>NULL</v>
          </cell>
          <cell r="T151" t="str">
            <v>normal</v>
          </cell>
          <cell r="U151" t="str">
            <v>NULL</v>
          </cell>
          <cell r="V151" t="str">
            <v>NULL</v>
          </cell>
          <cell r="W151" t="str">
            <v>NULL</v>
          </cell>
        </row>
        <row r="152">
          <cell r="A152">
            <v>151</v>
          </cell>
          <cell r="B152" t="str">
            <v>ja</v>
          </cell>
          <cell r="C152" t="str">
            <v>毒煙の処刑人サキ</v>
          </cell>
          <cell r="D152" t="str">
            <v>初期ガチャ</v>
          </cell>
          <cell r="E152" t="str">
            <v>アバター</v>
          </cell>
          <cell r="F152" t="str">
            <v>格好いい</v>
          </cell>
          <cell r="G152" t="str">
            <v>女性</v>
          </cell>
          <cell r="H152" t="str">
            <v>red</v>
          </cell>
          <cell r="I152">
            <v>4</v>
          </cell>
          <cell r="J152" t="str">
            <v>PremiumW</v>
          </cell>
          <cell r="K152" t="str">
            <v>technical</v>
          </cell>
          <cell r="L152" t="str">
            <v>テクニカルタイプ</v>
          </cell>
          <cell r="M152" t="str">
            <v>human</v>
          </cell>
          <cell r="N152" t="str">
            <v>ヒューマン</v>
          </cell>
          <cell r="O152" t="str">
            <v>none</v>
          </cell>
          <cell r="P152" t="str">
            <v>種族なし</v>
          </cell>
          <cell r="Q152" t="str">
            <v>デバッファー</v>
          </cell>
          <cell r="R152">
            <v>3</v>
          </cell>
          <cell r="S152" t="str">
            <v>NULL</v>
          </cell>
          <cell r="T152" t="str">
            <v>normal</v>
          </cell>
          <cell r="U152" t="str">
            <v>NULL</v>
          </cell>
          <cell r="V152" t="str">
            <v>NULL</v>
          </cell>
          <cell r="W152" t="str">
            <v>NULL</v>
          </cell>
        </row>
        <row r="153">
          <cell r="A153">
            <v>152</v>
          </cell>
          <cell r="B153" t="str">
            <v>ja</v>
          </cell>
          <cell r="C153" t="str">
            <v>功夫少女ランラン</v>
          </cell>
          <cell r="D153" t="str">
            <v>初期ガチャ</v>
          </cell>
          <cell r="E153" t="str">
            <v>アバター</v>
          </cell>
          <cell r="F153" t="str">
            <v>可愛い</v>
          </cell>
          <cell r="G153" t="str">
            <v>女性</v>
          </cell>
          <cell r="H153" t="str">
            <v>green</v>
          </cell>
          <cell r="I153">
            <v>3</v>
          </cell>
          <cell r="J153" t="str">
            <v>PremiumW</v>
          </cell>
          <cell r="K153" t="str">
            <v>heal</v>
          </cell>
          <cell r="L153" t="str">
            <v>回復タイプ</v>
          </cell>
          <cell r="M153" t="str">
            <v>human</v>
          </cell>
          <cell r="N153" t="str">
            <v>ヒューマン</v>
          </cell>
          <cell r="O153" t="str">
            <v>none</v>
          </cell>
          <cell r="P153" t="str">
            <v>種族なし</v>
          </cell>
          <cell r="Q153" t="str">
            <v>ヒーラー</v>
          </cell>
          <cell r="R153">
            <v>3</v>
          </cell>
          <cell r="S153" t="str">
            <v>NULL</v>
          </cell>
          <cell r="T153" t="str">
            <v>normal</v>
          </cell>
          <cell r="U153" t="str">
            <v>NULL</v>
          </cell>
          <cell r="V153" t="str">
            <v>NULL</v>
          </cell>
          <cell r="W153" t="str">
            <v>NULL</v>
          </cell>
        </row>
        <row r="154">
          <cell r="A154">
            <v>153</v>
          </cell>
          <cell r="B154" t="str">
            <v>ja</v>
          </cell>
          <cell r="C154" t="str">
            <v>拳聖ランラン</v>
          </cell>
          <cell r="D154" t="str">
            <v>初期ガチャ</v>
          </cell>
          <cell r="E154" t="str">
            <v>アバター</v>
          </cell>
          <cell r="F154" t="str">
            <v>可愛い</v>
          </cell>
          <cell r="G154" t="str">
            <v>女性</v>
          </cell>
          <cell r="H154" t="str">
            <v>green</v>
          </cell>
          <cell r="I154">
            <v>4</v>
          </cell>
          <cell r="J154" t="str">
            <v>PremiumW</v>
          </cell>
          <cell r="K154" t="str">
            <v>heal</v>
          </cell>
          <cell r="L154" t="str">
            <v>回復タイプ</v>
          </cell>
          <cell r="M154" t="str">
            <v>human</v>
          </cell>
          <cell r="N154" t="str">
            <v>ヒューマン</v>
          </cell>
          <cell r="O154" t="str">
            <v>none</v>
          </cell>
          <cell r="P154" t="str">
            <v>種族なし</v>
          </cell>
          <cell r="Q154" t="str">
            <v>ヒーラー</v>
          </cell>
          <cell r="R154">
            <v>3</v>
          </cell>
          <cell r="S154" t="str">
            <v>NULL</v>
          </cell>
          <cell r="T154" t="str">
            <v>normal</v>
          </cell>
          <cell r="U154" t="str">
            <v>NULL</v>
          </cell>
          <cell r="V154" t="str">
            <v>NULL</v>
          </cell>
          <cell r="W154" t="str">
            <v>NULL</v>
          </cell>
        </row>
        <row r="155">
          <cell r="A155">
            <v>154</v>
          </cell>
          <cell r="B155" t="str">
            <v>ja</v>
          </cell>
          <cell r="C155" t="str">
            <v>始末屋 ハンナ</v>
          </cell>
          <cell r="D155" t="str">
            <v>初期ガチャ</v>
          </cell>
          <cell r="E155" t="str">
            <v>アバター</v>
          </cell>
          <cell r="F155" t="str">
            <v>美しい</v>
          </cell>
          <cell r="G155" t="str">
            <v>女性</v>
          </cell>
          <cell r="H155" t="str">
            <v>blue</v>
          </cell>
          <cell r="I155">
            <v>3</v>
          </cell>
          <cell r="J155" t="str">
            <v>PremiumW</v>
          </cell>
          <cell r="K155" t="str">
            <v>heal</v>
          </cell>
          <cell r="L155" t="str">
            <v>回復タイプ</v>
          </cell>
          <cell r="M155" t="str">
            <v>human</v>
          </cell>
          <cell r="N155" t="str">
            <v>ヒューマン</v>
          </cell>
          <cell r="O155" t="str">
            <v>none</v>
          </cell>
          <cell r="P155" t="str">
            <v>種族なし</v>
          </cell>
          <cell r="Q155" t="str">
            <v>ヒーラー</v>
          </cell>
          <cell r="R155">
            <v>3</v>
          </cell>
          <cell r="S155" t="str">
            <v>NULL</v>
          </cell>
          <cell r="T155" t="str">
            <v>normal</v>
          </cell>
          <cell r="U155" t="str">
            <v>NULL</v>
          </cell>
          <cell r="V155" t="str">
            <v>NULL</v>
          </cell>
          <cell r="W155" t="str">
            <v>NULL</v>
          </cell>
        </row>
        <row r="156">
          <cell r="A156">
            <v>155</v>
          </cell>
          <cell r="B156" t="str">
            <v>ja</v>
          </cell>
          <cell r="C156" t="str">
            <v>隻眼の掃除屋 ハンナ</v>
          </cell>
          <cell r="D156" t="str">
            <v>初期ガチャ</v>
          </cell>
          <cell r="E156" t="str">
            <v>アバター</v>
          </cell>
          <cell r="F156" t="str">
            <v>美しい</v>
          </cell>
          <cell r="G156" t="str">
            <v>女性</v>
          </cell>
          <cell r="H156" t="str">
            <v>blue</v>
          </cell>
          <cell r="I156">
            <v>4</v>
          </cell>
          <cell r="J156" t="str">
            <v>PremiumW</v>
          </cell>
          <cell r="K156" t="str">
            <v>heal</v>
          </cell>
          <cell r="L156" t="str">
            <v>回復タイプ</v>
          </cell>
          <cell r="M156" t="str">
            <v>human</v>
          </cell>
          <cell r="N156" t="str">
            <v>ヒューマン</v>
          </cell>
          <cell r="O156" t="str">
            <v>none</v>
          </cell>
          <cell r="P156" t="str">
            <v>種族なし</v>
          </cell>
          <cell r="Q156" t="str">
            <v>ヒーラー</v>
          </cell>
          <cell r="R156">
            <v>3</v>
          </cell>
          <cell r="S156" t="str">
            <v>NULL</v>
          </cell>
          <cell r="T156" t="str">
            <v>normal</v>
          </cell>
          <cell r="U156" t="str">
            <v>NULL</v>
          </cell>
          <cell r="V156" t="str">
            <v>NULL</v>
          </cell>
          <cell r="W156" t="str">
            <v>NULL</v>
          </cell>
        </row>
        <row r="157">
          <cell r="A157">
            <v>156</v>
          </cell>
          <cell r="B157" t="str">
            <v>ja</v>
          </cell>
          <cell r="C157" t="str">
            <v>踊り子 エレナ</v>
          </cell>
          <cell r="D157" t="str">
            <v>初期ガチャ</v>
          </cell>
          <cell r="E157" t="str">
            <v>アバター</v>
          </cell>
          <cell r="F157" t="str">
            <v>可愛い</v>
          </cell>
          <cell r="G157" t="str">
            <v>女性</v>
          </cell>
          <cell r="H157" t="str">
            <v>yellow</v>
          </cell>
          <cell r="I157">
            <v>3</v>
          </cell>
          <cell r="J157" t="str">
            <v>PremiumW</v>
          </cell>
          <cell r="K157" t="str">
            <v>heal</v>
          </cell>
          <cell r="L157" t="str">
            <v>回復タイプ</v>
          </cell>
          <cell r="M157" t="str">
            <v>human</v>
          </cell>
          <cell r="N157" t="str">
            <v>ヒューマン</v>
          </cell>
          <cell r="O157" t="str">
            <v>none</v>
          </cell>
          <cell r="P157" t="str">
            <v>種族なし</v>
          </cell>
          <cell r="Q157" t="str">
            <v>デバッファー</v>
          </cell>
          <cell r="R157">
            <v>3</v>
          </cell>
          <cell r="S157" t="str">
            <v>NULL</v>
          </cell>
          <cell r="T157" t="str">
            <v>normal</v>
          </cell>
          <cell r="U157" t="str">
            <v>NULL</v>
          </cell>
          <cell r="V157" t="str">
            <v>NULL</v>
          </cell>
          <cell r="W157" t="str">
            <v>NULL</v>
          </cell>
        </row>
        <row r="158">
          <cell r="A158">
            <v>157</v>
          </cell>
          <cell r="B158" t="str">
            <v>ja</v>
          </cell>
          <cell r="C158" t="str">
            <v>雷光舞姫 エレナ</v>
          </cell>
          <cell r="D158" t="str">
            <v>初期ガチャ</v>
          </cell>
          <cell r="E158" t="str">
            <v>アバター</v>
          </cell>
          <cell r="F158" t="str">
            <v>可愛い</v>
          </cell>
          <cell r="G158" t="str">
            <v>女性</v>
          </cell>
          <cell r="H158" t="str">
            <v>yellow</v>
          </cell>
          <cell r="I158">
            <v>4</v>
          </cell>
          <cell r="J158" t="str">
            <v>PremiumW</v>
          </cell>
          <cell r="K158" t="str">
            <v>heal</v>
          </cell>
          <cell r="L158" t="str">
            <v>回復タイプ</v>
          </cell>
          <cell r="M158" t="str">
            <v>human</v>
          </cell>
          <cell r="N158" t="str">
            <v>ヒューマン</v>
          </cell>
          <cell r="O158" t="str">
            <v>none</v>
          </cell>
          <cell r="P158" t="str">
            <v>種族なし</v>
          </cell>
          <cell r="Q158" t="str">
            <v>デバッファー</v>
          </cell>
          <cell r="R158">
            <v>3</v>
          </cell>
          <cell r="S158" t="str">
            <v>NULL</v>
          </cell>
          <cell r="T158" t="str">
            <v>normal</v>
          </cell>
          <cell r="U158" t="str">
            <v>NULL</v>
          </cell>
          <cell r="V158" t="str">
            <v>NULL</v>
          </cell>
          <cell r="W158" t="str">
            <v>NULL</v>
          </cell>
        </row>
        <row r="159">
          <cell r="A159">
            <v>158</v>
          </cell>
          <cell r="B159" t="str">
            <v>ja</v>
          </cell>
          <cell r="C159" t="str">
            <v>シスター シャルロッテ</v>
          </cell>
          <cell r="D159" t="str">
            <v>初期ガチャ</v>
          </cell>
          <cell r="E159" t="str">
            <v>アバター</v>
          </cell>
          <cell r="F159" t="str">
            <v>美しい</v>
          </cell>
          <cell r="G159" t="str">
            <v>女性</v>
          </cell>
          <cell r="H159" t="str">
            <v>red</v>
          </cell>
          <cell r="I159">
            <v>3</v>
          </cell>
          <cell r="J159" t="str">
            <v>PremiumW</v>
          </cell>
          <cell r="K159" t="str">
            <v>heal</v>
          </cell>
          <cell r="L159" t="str">
            <v>回復タイプ</v>
          </cell>
          <cell r="M159" t="str">
            <v>human</v>
          </cell>
          <cell r="N159" t="str">
            <v>ヒューマン</v>
          </cell>
          <cell r="O159" t="str">
            <v>none</v>
          </cell>
          <cell r="P159" t="str">
            <v>種族なし</v>
          </cell>
          <cell r="Q159" t="str">
            <v>アタッカー</v>
          </cell>
          <cell r="R159">
            <v>3</v>
          </cell>
          <cell r="S159" t="str">
            <v>NULL</v>
          </cell>
          <cell r="T159" t="str">
            <v>normal</v>
          </cell>
          <cell r="U159" t="str">
            <v>NULL</v>
          </cell>
          <cell r="V159" t="str">
            <v>NULL</v>
          </cell>
          <cell r="W159" t="str">
            <v>NULL</v>
          </cell>
        </row>
        <row r="160">
          <cell r="A160">
            <v>159</v>
          </cell>
          <cell r="B160" t="str">
            <v>ja</v>
          </cell>
          <cell r="C160" t="str">
            <v>邪を狩りし者 シャルロッテ</v>
          </cell>
          <cell r="D160" t="str">
            <v>初期ガチャ</v>
          </cell>
          <cell r="E160" t="str">
            <v>アバター</v>
          </cell>
          <cell r="F160" t="str">
            <v>美しい</v>
          </cell>
          <cell r="G160" t="str">
            <v>女性</v>
          </cell>
          <cell r="H160" t="str">
            <v>red</v>
          </cell>
          <cell r="I160">
            <v>4</v>
          </cell>
          <cell r="J160" t="str">
            <v>PremiumW</v>
          </cell>
          <cell r="K160" t="str">
            <v>heal</v>
          </cell>
          <cell r="L160" t="str">
            <v>回復タイプ</v>
          </cell>
          <cell r="M160" t="str">
            <v>human</v>
          </cell>
          <cell r="N160" t="str">
            <v>ヒューマン</v>
          </cell>
          <cell r="O160" t="str">
            <v>none</v>
          </cell>
          <cell r="P160" t="str">
            <v>種族なし</v>
          </cell>
          <cell r="Q160" t="str">
            <v>アタッカー</v>
          </cell>
          <cell r="R160">
            <v>3</v>
          </cell>
          <cell r="S160" t="str">
            <v>NULL</v>
          </cell>
          <cell r="T160" t="str">
            <v>normal</v>
          </cell>
          <cell r="U160" t="str">
            <v>NULL</v>
          </cell>
          <cell r="V160" t="str">
            <v>NULL</v>
          </cell>
          <cell r="W160" t="str">
            <v>NULL</v>
          </cell>
        </row>
        <row r="161">
          <cell r="A161">
            <v>160</v>
          </cell>
          <cell r="B161" t="str">
            <v>ja</v>
          </cell>
          <cell r="C161" t="str">
            <v>反逆者 クリエ</v>
          </cell>
          <cell r="D161" t="str">
            <v>初期ガチャ</v>
          </cell>
          <cell r="E161" t="str">
            <v>アバター</v>
          </cell>
          <cell r="F161" t="str">
            <v>格好いい</v>
          </cell>
          <cell r="G161" t="str">
            <v>女性</v>
          </cell>
          <cell r="H161" t="str">
            <v>green</v>
          </cell>
          <cell r="I161">
            <v>3</v>
          </cell>
          <cell r="J161" t="str">
            <v>PremiumW</v>
          </cell>
          <cell r="K161" t="str">
            <v>balance</v>
          </cell>
          <cell r="L161" t="str">
            <v>バランスタイプ</v>
          </cell>
          <cell r="M161" t="str">
            <v>human</v>
          </cell>
          <cell r="N161" t="str">
            <v>ヒューマン</v>
          </cell>
          <cell r="O161" t="str">
            <v>none</v>
          </cell>
          <cell r="P161" t="str">
            <v>種族なし</v>
          </cell>
          <cell r="Q161" t="str">
            <v>バッファー</v>
          </cell>
          <cell r="R161">
            <v>3</v>
          </cell>
          <cell r="S161" t="str">
            <v>NULL</v>
          </cell>
          <cell r="T161" t="str">
            <v>normal</v>
          </cell>
          <cell r="U161" t="str">
            <v>NULL</v>
          </cell>
          <cell r="V161" t="str">
            <v>NULL</v>
          </cell>
          <cell r="W161" t="str">
            <v>NULL</v>
          </cell>
        </row>
        <row r="162">
          <cell r="A162">
            <v>161</v>
          </cell>
          <cell r="B162" t="str">
            <v>ja</v>
          </cell>
          <cell r="C162" t="str">
            <v>咆哮の先導者 クリエ</v>
          </cell>
          <cell r="D162" t="str">
            <v>初期ガチャ</v>
          </cell>
          <cell r="E162" t="str">
            <v>アバター</v>
          </cell>
          <cell r="F162" t="str">
            <v>格好いい</v>
          </cell>
          <cell r="G162" t="str">
            <v>女性</v>
          </cell>
          <cell r="H162" t="str">
            <v>green</v>
          </cell>
          <cell r="I162">
            <v>4</v>
          </cell>
          <cell r="J162" t="str">
            <v>PremiumW</v>
          </cell>
          <cell r="K162" t="str">
            <v>balance</v>
          </cell>
          <cell r="L162" t="str">
            <v>バランスタイプ</v>
          </cell>
          <cell r="M162" t="str">
            <v>human</v>
          </cell>
          <cell r="N162" t="str">
            <v>ヒューマン</v>
          </cell>
          <cell r="O162" t="str">
            <v>none</v>
          </cell>
          <cell r="P162" t="str">
            <v>種族なし</v>
          </cell>
          <cell r="Q162" t="str">
            <v>バッファー</v>
          </cell>
          <cell r="R162">
            <v>3</v>
          </cell>
          <cell r="S162" t="str">
            <v>NULL</v>
          </cell>
          <cell r="T162" t="str">
            <v>normal</v>
          </cell>
          <cell r="U162" t="str">
            <v>NULL</v>
          </cell>
          <cell r="V162" t="str">
            <v>NULL</v>
          </cell>
          <cell r="W162" t="str">
            <v>NULL</v>
          </cell>
        </row>
        <row r="163">
          <cell r="A163">
            <v>162</v>
          </cell>
          <cell r="B163" t="str">
            <v>ja</v>
          </cell>
          <cell r="C163" t="str">
            <v>狂女 クララ</v>
          </cell>
          <cell r="D163" t="str">
            <v>初期ガチャ</v>
          </cell>
          <cell r="E163" t="str">
            <v>アバター</v>
          </cell>
          <cell r="F163" t="str">
            <v>美しい</v>
          </cell>
          <cell r="G163" t="str">
            <v>女性</v>
          </cell>
          <cell r="H163" t="str">
            <v>blue</v>
          </cell>
          <cell r="I163">
            <v>3</v>
          </cell>
          <cell r="J163" t="str">
            <v>PremiumW</v>
          </cell>
          <cell r="K163" t="str">
            <v>attack</v>
          </cell>
          <cell r="L163" t="str">
            <v>攻撃タイプ</v>
          </cell>
          <cell r="M163" t="str">
            <v>human</v>
          </cell>
          <cell r="N163" t="str">
            <v>ヒューマン</v>
          </cell>
          <cell r="O163" t="str">
            <v>none</v>
          </cell>
          <cell r="P163" t="str">
            <v>種族なし</v>
          </cell>
          <cell r="Q163" t="str">
            <v>デバッファー</v>
          </cell>
          <cell r="R163">
            <v>3</v>
          </cell>
          <cell r="S163" t="str">
            <v>NULL</v>
          </cell>
          <cell r="T163" t="str">
            <v>normal</v>
          </cell>
          <cell r="U163" t="str">
            <v>NULL</v>
          </cell>
          <cell r="V163" t="str">
            <v>NULL</v>
          </cell>
          <cell r="W163" t="str">
            <v>NULL</v>
          </cell>
        </row>
        <row r="164">
          <cell r="A164">
            <v>163</v>
          </cell>
          <cell r="B164" t="str">
            <v>ja</v>
          </cell>
          <cell r="C164" t="str">
            <v>冷酷な狂嬢 クララ</v>
          </cell>
          <cell r="D164" t="str">
            <v>初期ガチャ</v>
          </cell>
          <cell r="E164" t="str">
            <v>アバター</v>
          </cell>
          <cell r="F164" t="str">
            <v>美しい</v>
          </cell>
          <cell r="G164" t="str">
            <v>女性</v>
          </cell>
          <cell r="H164" t="str">
            <v>blue</v>
          </cell>
          <cell r="I164">
            <v>4</v>
          </cell>
          <cell r="J164" t="str">
            <v>PremiumW</v>
          </cell>
          <cell r="K164" t="str">
            <v>attack</v>
          </cell>
          <cell r="L164" t="str">
            <v>攻撃タイプ</v>
          </cell>
          <cell r="M164" t="str">
            <v>human</v>
          </cell>
          <cell r="N164" t="str">
            <v>ヒューマン</v>
          </cell>
          <cell r="O164" t="str">
            <v>none</v>
          </cell>
          <cell r="P164" t="str">
            <v>種族なし</v>
          </cell>
          <cell r="Q164" t="str">
            <v>デバッファー</v>
          </cell>
          <cell r="R164">
            <v>3</v>
          </cell>
          <cell r="S164" t="str">
            <v>NULL</v>
          </cell>
          <cell r="T164" t="str">
            <v>normal</v>
          </cell>
          <cell r="U164" t="str">
            <v>NULL</v>
          </cell>
          <cell r="V164" t="str">
            <v>NULL</v>
          </cell>
          <cell r="W164" t="str">
            <v>NULL</v>
          </cell>
        </row>
        <row r="165">
          <cell r="A165">
            <v>164</v>
          </cell>
          <cell r="B165" t="str">
            <v>ja</v>
          </cell>
          <cell r="C165" t="str">
            <v>イブとトモダチ</v>
          </cell>
          <cell r="D165" t="str">
            <v>初期ガチャ</v>
          </cell>
          <cell r="E165" t="str">
            <v>アバター</v>
          </cell>
          <cell r="F165" t="str">
            <v>可愛い</v>
          </cell>
          <cell r="G165" t="str">
            <v>女性</v>
          </cell>
          <cell r="H165" t="str">
            <v>yellow</v>
          </cell>
          <cell r="I165">
            <v>3</v>
          </cell>
          <cell r="J165" t="str">
            <v>PremiumW</v>
          </cell>
          <cell r="K165" t="str">
            <v>technical</v>
          </cell>
          <cell r="L165" t="str">
            <v>テクニカルタイプ</v>
          </cell>
          <cell r="M165" t="str">
            <v>human</v>
          </cell>
          <cell r="N165" t="str">
            <v>ヒューマン</v>
          </cell>
          <cell r="O165" t="str">
            <v>unknown</v>
          </cell>
          <cell r="P165" t="str">
            <v>Unknown</v>
          </cell>
          <cell r="Q165" t="str">
            <v>デバッファー</v>
          </cell>
          <cell r="R165">
            <v>3</v>
          </cell>
          <cell r="S165" t="str">
            <v>NULL</v>
          </cell>
          <cell r="T165" t="str">
            <v>normal</v>
          </cell>
          <cell r="U165" t="str">
            <v>NULL</v>
          </cell>
          <cell r="V165" t="str">
            <v>NULL</v>
          </cell>
          <cell r="W165" t="str">
            <v>NULL</v>
          </cell>
        </row>
        <row r="166">
          <cell r="A166">
            <v>165</v>
          </cell>
          <cell r="B166" t="str">
            <v>ja</v>
          </cell>
          <cell r="C166" t="str">
            <v>イブとたったひとりのトモダチ</v>
          </cell>
          <cell r="D166" t="str">
            <v>初期ガチャ</v>
          </cell>
          <cell r="E166" t="str">
            <v>アバター</v>
          </cell>
          <cell r="F166" t="str">
            <v>可愛い</v>
          </cell>
          <cell r="G166" t="str">
            <v>女性</v>
          </cell>
          <cell r="H166" t="str">
            <v>yellow</v>
          </cell>
          <cell r="I166">
            <v>4</v>
          </cell>
          <cell r="J166" t="str">
            <v>PremiumW</v>
          </cell>
          <cell r="K166" t="str">
            <v>technical</v>
          </cell>
          <cell r="L166" t="str">
            <v>テクニカルタイプ</v>
          </cell>
          <cell r="M166" t="str">
            <v>human</v>
          </cell>
          <cell r="N166" t="str">
            <v>ヒューマン</v>
          </cell>
          <cell r="O166" t="str">
            <v>unknown</v>
          </cell>
          <cell r="P166" t="str">
            <v>Unknown</v>
          </cell>
          <cell r="Q166" t="str">
            <v>デバッファー</v>
          </cell>
          <cell r="R166">
            <v>3</v>
          </cell>
          <cell r="S166" t="str">
            <v>NULL</v>
          </cell>
          <cell r="T166" t="str">
            <v>normal</v>
          </cell>
          <cell r="U166" t="str">
            <v>NULL</v>
          </cell>
          <cell r="V166" t="str">
            <v>NULL</v>
          </cell>
          <cell r="W166" t="str">
            <v>NULL</v>
          </cell>
        </row>
        <row r="167">
          <cell r="A167">
            <v>166</v>
          </cell>
          <cell r="B167" t="str">
            <v>ja</v>
          </cell>
          <cell r="C167" t="str">
            <v>ベリアル</v>
          </cell>
          <cell r="D167" t="str">
            <v>初期ガチャ</v>
          </cell>
          <cell r="E167" t="str">
            <v>執行者</v>
          </cell>
          <cell r="F167" t="str">
            <v>格好いい</v>
          </cell>
          <cell r="G167" t="str">
            <v>男性</v>
          </cell>
          <cell r="H167" t="str">
            <v>red</v>
          </cell>
          <cell r="I167">
            <v>3</v>
          </cell>
          <cell r="J167" t="str">
            <v>PremiumN</v>
          </cell>
          <cell r="K167" t="str">
            <v>attack</v>
          </cell>
          <cell r="L167" t="str">
            <v>攻撃タイプ</v>
          </cell>
          <cell r="M167" t="str">
            <v>god</v>
          </cell>
          <cell r="N167" t="str">
            <v>ゴッド</v>
          </cell>
          <cell r="O167" t="str">
            <v>none</v>
          </cell>
          <cell r="P167" t="str">
            <v>種族なし</v>
          </cell>
          <cell r="Q167" t="str">
            <v>アタッカー</v>
          </cell>
          <cell r="R167">
            <v>3</v>
          </cell>
          <cell r="S167" t="str">
            <v>NULL</v>
          </cell>
          <cell r="T167" t="str">
            <v>normal</v>
          </cell>
          <cell r="U167" t="str">
            <v>NULL</v>
          </cell>
          <cell r="V167" t="str">
            <v>NULL</v>
          </cell>
          <cell r="W167" t="str">
            <v>NULL</v>
          </cell>
        </row>
        <row r="168">
          <cell r="A168">
            <v>167</v>
          </cell>
          <cell r="B168" t="str">
            <v>ja</v>
          </cell>
          <cell r="C168" t="str">
            <v>逆徒 ベリアル</v>
          </cell>
          <cell r="D168" t="str">
            <v>初期ガチャ</v>
          </cell>
          <cell r="E168" t="str">
            <v>執行者</v>
          </cell>
          <cell r="F168" t="str">
            <v>格好いい</v>
          </cell>
          <cell r="G168" t="str">
            <v>男性</v>
          </cell>
          <cell r="H168" t="str">
            <v>red</v>
          </cell>
          <cell r="I168">
            <v>4</v>
          </cell>
          <cell r="J168" t="str">
            <v>PremiumN</v>
          </cell>
          <cell r="K168" t="str">
            <v>attack</v>
          </cell>
          <cell r="L168" t="str">
            <v>攻撃タイプ</v>
          </cell>
          <cell r="M168" t="str">
            <v>god</v>
          </cell>
          <cell r="N168" t="str">
            <v>ゴッド</v>
          </cell>
          <cell r="O168" t="str">
            <v>none</v>
          </cell>
          <cell r="P168" t="str">
            <v>種族なし</v>
          </cell>
          <cell r="Q168" t="str">
            <v>アタッカー</v>
          </cell>
          <cell r="R168">
            <v>3</v>
          </cell>
          <cell r="S168" t="str">
            <v>NULL</v>
          </cell>
          <cell r="T168" t="str">
            <v>normal</v>
          </cell>
          <cell r="U168" t="str">
            <v>NULL</v>
          </cell>
          <cell r="V168" t="str">
            <v>NULL</v>
          </cell>
          <cell r="W168" t="str">
            <v>NULL</v>
          </cell>
        </row>
        <row r="169">
          <cell r="A169">
            <v>168</v>
          </cell>
          <cell r="B169" t="str">
            <v>ja</v>
          </cell>
          <cell r="C169" t="str">
            <v>猛進の大逆者 ベリアル</v>
          </cell>
          <cell r="D169" t="str">
            <v>初期ガチャ</v>
          </cell>
          <cell r="E169" t="str">
            <v>執行者</v>
          </cell>
          <cell r="F169" t="str">
            <v>格好いい</v>
          </cell>
          <cell r="G169" t="str">
            <v>男性</v>
          </cell>
          <cell r="H169" t="str">
            <v>red</v>
          </cell>
          <cell r="I169">
            <v>5</v>
          </cell>
          <cell r="J169" t="str">
            <v>PremiumN</v>
          </cell>
          <cell r="K169" t="str">
            <v>attack</v>
          </cell>
          <cell r="L169" t="str">
            <v>攻撃タイプ</v>
          </cell>
          <cell r="M169" t="str">
            <v>god</v>
          </cell>
          <cell r="N169" t="str">
            <v>ゴッド</v>
          </cell>
          <cell r="O169" t="str">
            <v>none</v>
          </cell>
          <cell r="P169" t="str">
            <v>種族なし</v>
          </cell>
          <cell r="Q169" t="str">
            <v>アタッカー</v>
          </cell>
          <cell r="R169">
            <v>3</v>
          </cell>
          <cell r="S169" t="str">
            <v>NULL</v>
          </cell>
          <cell r="T169" t="str">
            <v>normal</v>
          </cell>
          <cell r="U169" t="str">
            <v>NULL</v>
          </cell>
          <cell r="V169" t="str">
            <v>NULL</v>
          </cell>
          <cell r="W169" t="str">
            <v>NULL</v>
          </cell>
        </row>
        <row r="170">
          <cell r="A170">
            <v>169</v>
          </cell>
          <cell r="B170" t="str">
            <v>ja</v>
          </cell>
          <cell r="C170" t="str">
            <v>オセ</v>
          </cell>
          <cell r="D170" t="str">
            <v>初期ガチャ</v>
          </cell>
          <cell r="E170" t="str">
            <v>執行者</v>
          </cell>
          <cell r="F170" t="str">
            <v>美しい</v>
          </cell>
          <cell r="G170" t="str">
            <v>女性</v>
          </cell>
          <cell r="H170" t="str">
            <v>green</v>
          </cell>
          <cell r="I170">
            <v>3</v>
          </cell>
          <cell r="J170" t="str">
            <v>PremiumN</v>
          </cell>
          <cell r="K170" t="str">
            <v>attack</v>
          </cell>
          <cell r="L170" t="str">
            <v>攻撃タイプ</v>
          </cell>
          <cell r="M170" t="str">
            <v>god</v>
          </cell>
          <cell r="N170" t="str">
            <v>ゴッド</v>
          </cell>
          <cell r="O170" t="str">
            <v>none</v>
          </cell>
          <cell r="P170" t="str">
            <v>種族なし</v>
          </cell>
          <cell r="Q170" t="str">
            <v>アタッカー</v>
          </cell>
          <cell r="R170">
            <v>3</v>
          </cell>
          <cell r="S170" t="str">
            <v>NULL</v>
          </cell>
          <cell r="T170" t="str">
            <v>normal</v>
          </cell>
          <cell r="U170" t="str">
            <v>NULL</v>
          </cell>
          <cell r="V170" t="str">
            <v>NULL</v>
          </cell>
          <cell r="W170" t="str">
            <v>NULL</v>
          </cell>
        </row>
        <row r="171">
          <cell r="A171">
            <v>170</v>
          </cell>
          <cell r="B171" t="str">
            <v>ja</v>
          </cell>
          <cell r="C171" t="str">
            <v>識徒 オセ</v>
          </cell>
          <cell r="D171" t="str">
            <v>初期ガチャ</v>
          </cell>
          <cell r="E171" t="str">
            <v>執行者</v>
          </cell>
          <cell r="F171" t="str">
            <v>美しい</v>
          </cell>
          <cell r="G171" t="str">
            <v>女性</v>
          </cell>
          <cell r="H171" t="str">
            <v>green</v>
          </cell>
          <cell r="I171">
            <v>4</v>
          </cell>
          <cell r="J171" t="str">
            <v>PremiumN</v>
          </cell>
          <cell r="K171" t="str">
            <v>attack</v>
          </cell>
          <cell r="L171" t="str">
            <v>攻撃タイプ</v>
          </cell>
          <cell r="M171" t="str">
            <v>god</v>
          </cell>
          <cell r="N171" t="str">
            <v>ゴッド</v>
          </cell>
          <cell r="O171" t="str">
            <v>none</v>
          </cell>
          <cell r="P171" t="str">
            <v>種族なし</v>
          </cell>
          <cell r="Q171" t="str">
            <v>アタッカー</v>
          </cell>
          <cell r="R171">
            <v>3</v>
          </cell>
          <cell r="S171" t="str">
            <v>NULL</v>
          </cell>
          <cell r="T171" t="str">
            <v>normal</v>
          </cell>
          <cell r="U171" t="str">
            <v>NULL</v>
          </cell>
          <cell r="V171" t="str">
            <v>NULL</v>
          </cell>
          <cell r="W171" t="str">
            <v>NULL</v>
          </cell>
        </row>
        <row r="172">
          <cell r="A172">
            <v>171</v>
          </cell>
          <cell r="B172" t="str">
            <v>ja</v>
          </cell>
          <cell r="C172" t="str">
            <v>精解の預知者 オセ</v>
          </cell>
          <cell r="D172" t="str">
            <v>初期ガチャ</v>
          </cell>
          <cell r="E172" t="str">
            <v>執行者</v>
          </cell>
          <cell r="F172" t="str">
            <v>美しい</v>
          </cell>
          <cell r="G172" t="str">
            <v>女性</v>
          </cell>
          <cell r="H172" t="str">
            <v>green</v>
          </cell>
          <cell r="I172">
            <v>5</v>
          </cell>
          <cell r="J172" t="str">
            <v>PremiumN</v>
          </cell>
          <cell r="K172" t="str">
            <v>attack</v>
          </cell>
          <cell r="L172" t="str">
            <v>攻撃タイプ</v>
          </cell>
          <cell r="M172" t="str">
            <v>god</v>
          </cell>
          <cell r="N172" t="str">
            <v>ゴッド</v>
          </cell>
          <cell r="O172" t="str">
            <v>none</v>
          </cell>
          <cell r="P172" t="str">
            <v>種族なし</v>
          </cell>
          <cell r="Q172" t="str">
            <v>アタッカー</v>
          </cell>
          <cell r="R172">
            <v>3</v>
          </cell>
          <cell r="S172" t="str">
            <v>NULL</v>
          </cell>
          <cell r="T172" t="str">
            <v>normal</v>
          </cell>
          <cell r="U172" t="str">
            <v>NULL</v>
          </cell>
          <cell r="V172" t="str">
            <v>NULL</v>
          </cell>
          <cell r="W172" t="str">
            <v>NULL</v>
          </cell>
        </row>
        <row r="173">
          <cell r="A173">
            <v>172</v>
          </cell>
          <cell r="B173" t="str">
            <v>ja</v>
          </cell>
          <cell r="C173" t="str">
            <v>フォルネウス</v>
          </cell>
          <cell r="D173" t="str">
            <v>初期ガチャ</v>
          </cell>
          <cell r="E173" t="str">
            <v>執行者</v>
          </cell>
          <cell r="F173" t="str">
            <v>可愛い</v>
          </cell>
          <cell r="G173" t="str">
            <v>女性</v>
          </cell>
          <cell r="H173" t="str">
            <v>blue</v>
          </cell>
          <cell r="I173">
            <v>3</v>
          </cell>
          <cell r="J173" t="str">
            <v>PremiumN</v>
          </cell>
          <cell r="K173" t="str">
            <v>attack</v>
          </cell>
          <cell r="L173" t="str">
            <v>攻撃タイプ</v>
          </cell>
          <cell r="M173" t="str">
            <v>god</v>
          </cell>
          <cell r="N173" t="str">
            <v>ゴッド</v>
          </cell>
          <cell r="O173" t="str">
            <v>none</v>
          </cell>
          <cell r="P173" t="str">
            <v>種族なし</v>
          </cell>
          <cell r="Q173" t="str">
            <v>アタッカー</v>
          </cell>
          <cell r="R173">
            <v>3</v>
          </cell>
          <cell r="S173" t="str">
            <v>NULL</v>
          </cell>
          <cell r="T173" t="str">
            <v>normal</v>
          </cell>
          <cell r="U173" t="str">
            <v>NULL</v>
          </cell>
          <cell r="V173" t="str">
            <v>NULL</v>
          </cell>
          <cell r="W173" t="str">
            <v>NULL</v>
          </cell>
        </row>
        <row r="174">
          <cell r="A174">
            <v>173</v>
          </cell>
          <cell r="B174" t="str">
            <v>ja</v>
          </cell>
          <cell r="C174" t="str">
            <v>公爵 フォルネウス</v>
          </cell>
          <cell r="D174" t="str">
            <v>初期ガチャ</v>
          </cell>
          <cell r="E174" t="str">
            <v>執行者</v>
          </cell>
          <cell r="F174" t="str">
            <v>可愛い</v>
          </cell>
          <cell r="G174" t="str">
            <v>女性</v>
          </cell>
          <cell r="H174" t="str">
            <v>blue</v>
          </cell>
          <cell r="I174">
            <v>4</v>
          </cell>
          <cell r="J174" t="str">
            <v>PremiumN</v>
          </cell>
          <cell r="K174" t="str">
            <v>attack</v>
          </cell>
          <cell r="L174" t="str">
            <v>攻撃タイプ</v>
          </cell>
          <cell r="M174" t="str">
            <v>god</v>
          </cell>
          <cell r="N174" t="str">
            <v>ゴッド</v>
          </cell>
          <cell r="O174" t="str">
            <v>none</v>
          </cell>
          <cell r="P174" t="str">
            <v>種族なし</v>
          </cell>
          <cell r="Q174" t="str">
            <v>アタッカー</v>
          </cell>
          <cell r="R174">
            <v>3</v>
          </cell>
          <cell r="S174" t="str">
            <v>NULL</v>
          </cell>
          <cell r="T174" t="str">
            <v>normal</v>
          </cell>
          <cell r="U174" t="str">
            <v>NULL</v>
          </cell>
          <cell r="V174" t="str">
            <v>NULL</v>
          </cell>
          <cell r="W174" t="str">
            <v>NULL</v>
          </cell>
        </row>
        <row r="175">
          <cell r="A175">
            <v>174</v>
          </cell>
          <cell r="B175" t="str">
            <v>ja</v>
          </cell>
          <cell r="C175" t="str">
            <v>偽愛の大公爵 フォルネウス</v>
          </cell>
          <cell r="D175" t="str">
            <v>初期ガチャ</v>
          </cell>
          <cell r="E175" t="str">
            <v>執行者</v>
          </cell>
          <cell r="F175" t="str">
            <v>可愛い</v>
          </cell>
          <cell r="G175" t="str">
            <v>女性</v>
          </cell>
          <cell r="H175" t="str">
            <v>blue</v>
          </cell>
          <cell r="I175">
            <v>5</v>
          </cell>
          <cell r="J175" t="str">
            <v>PremiumN</v>
          </cell>
          <cell r="K175" t="str">
            <v>attack</v>
          </cell>
          <cell r="L175" t="str">
            <v>攻撃タイプ</v>
          </cell>
          <cell r="M175" t="str">
            <v>god</v>
          </cell>
          <cell r="N175" t="str">
            <v>ゴッド</v>
          </cell>
          <cell r="O175" t="str">
            <v>none</v>
          </cell>
          <cell r="P175" t="str">
            <v>種族なし</v>
          </cell>
          <cell r="Q175" t="str">
            <v>アタッカー</v>
          </cell>
          <cell r="R175">
            <v>3</v>
          </cell>
          <cell r="S175" t="str">
            <v>NULL</v>
          </cell>
          <cell r="T175" t="str">
            <v>normal</v>
          </cell>
          <cell r="U175" t="str">
            <v>NULL</v>
          </cell>
          <cell r="V175" t="str">
            <v>NULL</v>
          </cell>
          <cell r="W175" t="str">
            <v>NULL</v>
          </cell>
        </row>
        <row r="176">
          <cell r="A176">
            <v>175</v>
          </cell>
          <cell r="B176" t="str">
            <v>ja</v>
          </cell>
          <cell r="C176" t="str">
            <v>バフォメット</v>
          </cell>
          <cell r="D176" t="str">
            <v>初期ガチャ</v>
          </cell>
          <cell r="E176" t="str">
            <v>執行者</v>
          </cell>
          <cell r="F176" t="str">
            <v>美しい</v>
          </cell>
          <cell r="G176" t="str">
            <v>女性</v>
          </cell>
          <cell r="H176" t="str">
            <v>yellow</v>
          </cell>
          <cell r="I176">
            <v>3</v>
          </cell>
          <cell r="J176" t="str">
            <v>PremiumN</v>
          </cell>
          <cell r="K176" t="str">
            <v>attack</v>
          </cell>
          <cell r="L176" t="str">
            <v>攻撃タイプ</v>
          </cell>
          <cell r="M176" t="str">
            <v>god</v>
          </cell>
          <cell r="N176" t="str">
            <v>ゴッド</v>
          </cell>
          <cell r="O176" t="str">
            <v>none</v>
          </cell>
          <cell r="P176" t="str">
            <v>種族なし</v>
          </cell>
          <cell r="Q176" t="str">
            <v>アタッカー</v>
          </cell>
          <cell r="R176">
            <v>3</v>
          </cell>
          <cell r="S176" t="str">
            <v>NULL</v>
          </cell>
          <cell r="T176" t="str">
            <v>normal</v>
          </cell>
          <cell r="U176" t="str">
            <v>NULL</v>
          </cell>
          <cell r="V176" t="str">
            <v>NULL</v>
          </cell>
          <cell r="W176" t="str">
            <v>NULL</v>
          </cell>
        </row>
        <row r="177">
          <cell r="A177">
            <v>176</v>
          </cell>
          <cell r="B177" t="str">
            <v>ja</v>
          </cell>
          <cell r="C177" t="str">
            <v>異教徒 バフォメット</v>
          </cell>
          <cell r="D177" t="str">
            <v>初期ガチャ</v>
          </cell>
          <cell r="E177" t="str">
            <v>執行者</v>
          </cell>
          <cell r="F177" t="str">
            <v>美しい</v>
          </cell>
          <cell r="G177" t="str">
            <v>女性</v>
          </cell>
          <cell r="H177" t="str">
            <v>yellow</v>
          </cell>
          <cell r="I177">
            <v>4</v>
          </cell>
          <cell r="J177" t="str">
            <v>PremiumN</v>
          </cell>
          <cell r="K177" t="str">
            <v>attack</v>
          </cell>
          <cell r="L177" t="str">
            <v>攻撃タイプ</v>
          </cell>
          <cell r="M177" t="str">
            <v>god</v>
          </cell>
          <cell r="N177" t="str">
            <v>ゴッド</v>
          </cell>
          <cell r="O177" t="str">
            <v>none</v>
          </cell>
          <cell r="P177" t="str">
            <v>種族なし</v>
          </cell>
          <cell r="Q177" t="str">
            <v>アタッカー</v>
          </cell>
          <cell r="R177">
            <v>3</v>
          </cell>
          <cell r="S177" t="str">
            <v>NULL</v>
          </cell>
          <cell r="T177" t="str">
            <v>normal</v>
          </cell>
          <cell r="U177" t="str">
            <v>NULL</v>
          </cell>
          <cell r="V177" t="str">
            <v>NULL</v>
          </cell>
          <cell r="W177" t="str">
            <v>NULL</v>
          </cell>
        </row>
        <row r="178">
          <cell r="A178">
            <v>177</v>
          </cell>
          <cell r="B178" t="str">
            <v>ja</v>
          </cell>
          <cell r="C178" t="str">
            <v>黒魔の異端師 バフォメット</v>
          </cell>
          <cell r="D178" t="str">
            <v>初期ガチャ</v>
          </cell>
          <cell r="E178" t="str">
            <v>執行者</v>
          </cell>
          <cell r="F178" t="str">
            <v>美しい</v>
          </cell>
          <cell r="G178" t="str">
            <v>女性</v>
          </cell>
          <cell r="H178" t="str">
            <v>yellow</v>
          </cell>
          <cell r="I178">
            <v>5</v>
          </cell>
          <cell r="J178" t="str">
            <v>PremiumN</v>
          </cell>
          <cell r="K178" t="str">
            <v>attack</v>
          </cell>
          <cell r="L178" t="str">
            <v>攻撃タイプ</v>
          </cell>
          <cell r="M178" t="str">
            <v>god</v>
          </cell>
          <cell r="N178" t="str">
            <v>ゴッド</v>
          </cell>
          <cell r="O178" t="str">
            <v>none</v>
          </cell>
          <cell r="P178" t="str">
            <v>種族なし</v>
          </cell>
          <cell r="Q178" t="str">
            <v>アタッカー</v>
          </cell>
          <cell r="R178">
            <v>3</v>
          </cell>
          <cell r="S178" t="str">
            <v>NULL</v>
          </cell>
          <cell r="T178" t="str">
            <v>normal</v>
          </cell>
          <cell r="U178" t="str">
            <v>NULL</v>
          </cell>
          <cell r="V178" t="str">
            <v>NULL</v>
          </cell>
          <cell r="W178" t="str">
            <v>NULL</v>
          </cell>
        </row>
        <row r="179">
          <cell r="A179">
            <v>178</v>
          </cell>
          <cell r="B179" t="str">
            <v>ja</v>
          </cell>
          <cell r="C179" t="str">
            <v>ケルベロス</v>
          </cell>
          <cell r="D179" t="str">
            <v>初期ガチャ</v>
          </cell>
          <cell r="E179" t="str">
            <v>破界者</v>
          </cell>
          <cell r="F179" t="str">
            <v>可愛い</v>
          </cell>
          <cell r="G179" t="str">
            <v>女性</v>
          </cell>
          <cell r="H179" t="str">
            <v>red</v>
          </cell>
          <cell r="I179">
            <v>3</v>
          </cell>
          <cell r="J179" t="str">
            <v>PremiumN</v>
          </cell>
          <cell r="K179" t="str">
            <v>balance</v>
          </cell>
          <cell r="L179" t="str">
            <v>バランスタイプ</v>
          </cell>
          <cell r="M179" t="str">
            <v>animal</v>
          </cell>
          <cell r="N179" t="str">
            <v>アニマル</v>
          </cell>
          <cell r="O179" t="str">
            <v>none</v>
          </cell>
          <cell r="P179" t="str">
            <v>種族なし</v>
          </cell>
          <cell r="Q179" t="str">
            <v>バッファー</v>
          </cell>
          <cell r="R179">
            <v>3</v>
          </cell>
          <cell r="S179" t="str">
            <v>NULL</v>
          </cell>
          <cell r="T179" t="str">
            <v>normal</v>
          </cell>
          <cell r="U179" t="str">
            <v>NULL</v>
          </cell>
          <cell r="V179" t="str">
            <v>NULL</v>
          </cell>
          <cell r="W179" t="str">
            <v>NULL</v>
          </cell>
        </row>
        <row r="180">
          <cell r="A180">
            <v>179</v>
          </cell>
          <cell r="B180" t="str">
            <v>ja</v>
          </cell>
          <cell r="C180" t="str">
            <v>番犬 ケルベロス</v>
          </cell>
          <cell r="D180" t="str">
            <v>初期ガチャ</v>
          </cell>
          <cell r="E180" t="str">
            <v>破界者</v>
          </cell>
          <cell r="F180" t="str">
            <v>可愛い</v>
          </cell>
          <cell r="G180" t="str">
            <v>女性</v>
          </cell>
          <cell r="H180" t="str">
            <v>red</v>
          </cell>
          <cell r="I180">
            <v>4</v>
          </cell>
          <cell r="J180" t="str">
            <v>PremiumN</v>
          </cell>
          <cell r="K180" t="str">
            <v>balance</v>
          </cell>
          <cell r="L180" t="str">
            <v>バランスタイプ</v>
          </cell>
          <cell r="M180" t="str">
            <v>animal</v>
          </cell>
          <cell r="N180" t="str">
            <v>アニマル</v>
          </cell>
          <cell r="O180" t="str">
            <v>none</v>
          </cell>
          <cell r="P180" t="str">
            <v>種族なし</v>
          </cell>
          <cell r="Q180" t="str">
            <v>バッファー</v>
          </cell>
          <cell r="R180">
            <v>3</v>
          </cell>
          <cell r="S180" t="str">
            <v>NULL</v>
          </cell>
          <cell r="T180" t="str">
            <v>normal</v>
          </cell>
          <cell r="U180" t="str">
            <v>NULL</v>
          </cell>
          <cell r="V180" t="str">
            <v>NULL</v>
          </cell>
          <cell r="W180" t="str">
            <v>NULL</v>
          </cell>
        </row>
        <row r="181">
          <cell r="A181">
            <v>180</v>
          </cell>
          <cell r="B181" t="str">
            <v>ja</v>
          </cell>
          <cell r="C181" t="str">
            <v>地獄の大門番 ケルベロス</v>
          </cell>
          <cell r="D181" t="str">
            <v>初期ガチャ</v>
          </cell>
          <cell r="E181" t="str">
            <v>破界者</v>
          </cell>
          <cell r="F181" t="str">
            <v>可愛い</v>
          </cell>
          <cell r="G181" t="str">
            <v>女性</v>
          </cell>
          <cell r="H181" t="str">
            <v>red</v>
          </cell>
          <cell r="I181">
            <v>5</v>
          </cell>
          <cell r="J181" t="str">
            <v>PremiumN</v>
          </cell>
          <cell r="K181" t="str">
            <v>balance</v>
          </cell>
          <cell r="L181" t="str">
            <v>バランスタイプ</v>
          </cell>
          <cell r="M181" t="str">
            <v>animal</v>
          </cell>
          <cell r="N181" t="str">
            <v>アニマル</v>
          </cell>
          <cell r="O181" t="str">
            <v>none</v>
          </cell>
          <cell r="P181" t="str">
            <v>種族なし</v>
          </cell>
          <cell r="Q181" t="str">
            <v>バッファー</v>
          </cell>
          <cell r="R181">
            <v>3</v>
          </cell>
          <cell r="S181" t="str">
            <v>NULL</v>
          </cell>
          <cell r="T181" t="str">
            <v>normal</v>
          </cell>
          <cell r="U181" t="str">
            <v>NULL</v>
          </cell>
          <cell r="V181" t="str">
            <v>NULL</v>
          </cell>
          <cell r="W181" t="str">
            <v>NULL</v>
          </cell>
        </row>
        <row r="182">
          <cell r="A182">
            <v>181</v>
          </cell>
          <cell r="B182" t="str">
            <v>ja</v>
          </cell>
          <cell r="C182" t="str">
            <v>ベヒモス</v>
          </cell>
          <cell r="D182" t="str">
            <v>初期ガチャ</v>
          </cell>
          <cell r="E182" t="str">
            <v>破界者</v>
          </cell>
          <cell r="F182" t="str">
            <v>可愛い</v>
          </cell>
          <cell r="G182" t="str">
            <v>女性</v>
          </cell>
          <cell r="H182" t="str">
            <v>green</v>
          </cell>
          <cell r="I182">
            <v>3</v>
          </cell>
          <cell r="J182" t="str">
            <v>PremiumN</v>
          </cell>
          <cell r="K182" t="str">
            <v>hp</v>
          </cell>
          <cell r="L182" t="str">
            <v>体力タイプ</v>
          </cell>
          <cell r="M182" t="str">
            <v>animal</v>
          </cell>
          <cell r="N182" t="str">
            <v>アニマル</v>
          </cell>
          <cell r="O182" t="str">
            <v>none</v>
          </cell>
          <cell r="P182" t="str">
            <v>種族なし</v>
          </cell>
          <cell r="Q182" t="str">
            <v>バッファー</v>
          </cell>
          <cell r="R182">
            <v>3</v>
          </cell>
          <cell r="S182" t="str">
            <v>NULL</v>
          </cell>
          <cell r="T182" t="str">
            <v>normal</v>
          </cell>
          <cell r="U182" t="str">
            <v>NULL</v>
          </cell>
          <cell r="V182" t="str">
            <v>NULL</v>
          </cell>
          <cell r="W182" t="str">
            <v>NULL</v>
          </cell>
        </row>
        <row r="183">
          <cell r="A183">
            <v>182</v>
          </cell>
          <cell r="B183" t="str">
            <v>ja</v>
          </cell>
          <cell r="C183" t="str">
            <v>放蕩者 ベヒモス</v>
          </cell>
          <cell r="D183" t="str">
            <v>初期ガチャ</v>
          </cell>
          <cell r="E183" t="str">
            <v>破界者</v>
          </cell>
          <cell r="F183" t="str">
            <v>可愛い</v>
          </cell>
          <cell r="G183" t="str">
            <v>女性</v>
          </cell>
          <cell r="H183" t="str">
            <v>green</v>
          </cell>
          <cell r="I183">
            <v>4</v>
          </cell>
          <cell r="J183" t="str">
            <v>PremiumN</v>
          </cell>
          <cell r="K183" t="str">
            <v>hp</v>
          </cell>
          <cell r="L183" t="str">
            <v>体力タイプ</v>
          </cell>
          <cell r="M183" t="str">
            <v>animal</v>
          </cell>
          <cell r="N183" t="str">
            <v>アニマル</v>
          </cell>
          <cell r="O183" t="str">
            <v>none</v>
          </cell>
          <cell r="P183" t="str">
            <v>種族なし</v>
          </cell>
          <cell r="Q183" t="str">
            <v>バッファー</v>
          </cell>
          <cell r="R183">
            <v>3</v>
          </cell>
          <cell r="S183" t="str">
            <v>NULL</v>
          </cell>
          <cell r="T183" t="str">
            <v>normal</v>
          </cell>
          <cell r="U183" t="str">
            <v>NULL</v>
          </cell>
          <cell r="V183" t="str">
            <v>NULL</v>
          </cell>
          <cell r="W183" t="str">
            <v>NULL</v>
          </cell>
        </row>
        <row r="184">
          <cell r="A184">
            <v>183</v>
          </cell>
          <cell r="B184" t="str">
            <v>ja</v>
          </cell>
          <cell r="C184" t="str">
            <v>鈍重な彷徨者 ベヒモス</v>
          </cell>
          <cell r="D184" t="str">
            <v>初期ガチャ</v>
          </cell>
          <cell r="E184" t="str">
            <v>破界者</v>
          </cell>
          <cell r="F184" t="str">
            <v>可愛い</v>
          </cell>
          <cell r="G184" t="str">
            <v>女性</v>
          </cell>
          <cell r="H184" t="str">
            <v>green</v>
          </cell>
          <cell r="I184">
            <v>5</v>
          </cell>
          <cell r="J184" t="str">
            <v>PremiumN</v>
          </cell>
          <cell r="K184" t="str">
            <v>hp</v>
          </cell>
          <cell r="L184" t="str">
            <v>体力タイプ</v>
          </cell>
          <cell r="M184" t="str">
            <v>animal</v>
          </cell>
          <cell r="N184" t="str">
            <v>アニマル</v>
          </cell>
          <cell r="O184" t="str">
            <v>none</v>
          </cell>
          <cell r="P184" t="str">
            <v>種族なし</v>
          </cell>
          <cell r="Q184" t="str">
            <v>バッファー</v>
          </cell>
          <cell r="R184">
            <v>3</v>
          </cell>
          <cell r="S184" t="str">
            <v>NULL</v>
          </cell>
          <cell r="T184" t="str">
            <v>normal</v>
          </cell>
          <cell r="U184" t="str">
            <v>NULL</v>
          </cell>
          <cell r="V184" t="str">
            <v>NULL</v>
          </cell>
          <cell r="W184" t="str">
            <v>NULL</v>
          </cell>
        </row>
        <row r="185">
          <cell r="A185">
            <v>184</v>
          </cell>
          <cell r="B185" t="str">
            <v>ja</v>
          </cell>
          <cell r="C185" t="str">
            <v>クラーケン</v>
          </cell>
          <cell r="D185" t="str">
            <v>初期ガチャ</v>
          </cell>
          <cell r="E185" t="str">
            <v>破界者</v>
          </cell>
          <cell r="F185" t="str">
            <v>美しい</v>
          </cell>
          <cell r="G185" t="str">
            <v>女性</v>
          </cell>
          <cell r="H185" t="str">
            <v>blue</v>
          </cell>
          <cell r="I185">
            <v>3</v>
          </cell>
          <cell r="J185" t="str">
            <v>PremiumN</v>
          </cell>
          <cell r="K185" t="str">
            <v>heal</v>
          </cell>
          <cell r="L185" t="str">
            <v>回復タイプ</v>
          </cell>
          <cell r="M185" t="str">
            <v>animal</v>
          </cell>
          <cell r="N185" t="str">
            <v>アニマル</v>
          </cell>
          <cell r="O185" t="str">
            <v>none</v>
          </cell>
          <cell r="P185" t="str">
            <v>種族なし</v>
          </cell>
          <cell r="Q185" t="str">
            <v>バッファー</v>
          </cell>
          <cell r="R185">
            <v>3</v>
          </cell>
          <cell r="S185" t="str">
            <v>NULL</v>
          </cell>
          <cell r="T185" t="str">
            <v>normal</v>
          </cell>
          <cell r="U185" t="str">
            <v>NULL</v>
          </cell>
          <cell r="V185" t="str">
            <v>NULL</v>
          </cell>
          <cell r="W185" t="str">
            <v>NULL</v>
          </cell>
        </row>
        <row r="186">
          <cell r="A186">
            <v>185</v>
          </cell>
          <cell r="B186" t="str">
            <v>ja</v>
          </cell>
          <cell r="C186" t="str">
            <v>海姫 クラーケン</v>
          </cell>
          <cell r="D186" t="str">
            <v>初期ガチャ</v>
          </cell>
          <cell r="E186" t="str">
            <v>破界者</v>
          </cell>
          <cell r="F186" t="str">
            <v>美しい</v>
          </cell>
          <cell r="G186" t="str">
            <v>女性</v>
          </cell>
          <cell r="H186" t="str">
            <v>blue</v>
          </cell>
          <cell r="I186">
            <v>4</v>
          </cell>
          <cell r="J186" t="str">
            <v>PremiumN</v>
          </cell>
          <cell r="K186" t="str">
            <v>heal</v>
          </cell>
          <cell r="L186" t="str">
            <v>回復タイプ</v>
          </cell>
          <cell r="M186" t="str">
            <v>animal</v>
          </cell>
          <cell r="N186" t="str">
            <v>アニマル</v>
          </cell>
          <cell r="O186" t="str">
            <v>none</v>
          </cell>
          <cell r="P186" t="str">
            <v>種族なし</v>
          </cell>
          <cell r="Q186" t="str">
            <v>バッファー</v>
          </cell>
          <cell r="R186">
            <v>3</v>
          </cell>
          <cell r="S186" t="str">
            <v>NULL</v>
          </cell>
          <cell r="T186" t="str">
            <v>normal</v>
          </cell>
          <cell r="U186" t="str">
            <v>NULL</v>
          </cell>
          <cell r="V186" t="str">
            <v>NULL</v>
          </cell>
          <cell r="W186" t="str">
            <v>NULL</v>
          </cell>
        </row>
        <row r="187">
          <cell r="A187">
            <v>186</v>
          </cell>
          <cell r="B187" t="str">
            <v>ja</v>
          </cell>
          <cell r="C187" t="str">
            <v>誇り高き多触姫・クラーケン</v>
          </cell>
          <cell r="D187" t="str">
            <v>初期ガチャ</v>
          </cell>
          <cell r="E187" t="str">
            <v>破界者</v>
          </cell>
          <cell r="F187" t="str">
            <v>美しい</v>
          </cell>
          <cell r="G187" t="str">
            <v>女性</v>
          </cell>
          <cell r="H187" t="str">
            <v>blue</v>
          </cell>
          <cell r="I187">
            <v>5</v>
          </cell>
          <cell r="J187" t="str">
            <v>PremiumN</v>
          </cell>
          <cell r="K187" t="str">
            <v>heal</v>
          </cell>
          <cell r="L187" t="str">
            <v>回復タイプ</v>
          </cell>
          <cell r="M187" t="str">
            <v>animal</v>
          </cell>
          <cell r="N187" t="str">
            <v>アニマル</v>
          </cell>
          <cell r="O187" t="str">
            <v>none</v>
          </cell>
          <cell r="P187" t="str">
            <v>種族なし</v>
          </cell>
          <cell r="Q187" t="str">
            <v>バッファー</v>
          </cell>
          <cell r="R187">
            <v>3</v>
          </cell>
          <cell r="S187" t="str">
            <v>NULL</v>
          </cell>
          <cell r="T187" t="str">
            <v>normal</v>
          </cell>
          <cell r="U187" t="str">
            <v>NULL</v>
          </cell>
          <cell r="V187" t="str">
            <v>NULL</v>
          </cell>
          <cell r="W187" t="str">
            <v>NULL</v>
          </cell>
        </row>
        <row r="188">
          <cell r="A188">
            <v>187</v>
          </cell>
          <cell r="B188" t="str">
            <v>ja</v>
          </cell>
          <cell r="C188" t="str">
            <v>ホルス</v>
          </cell>
          <cell r="D188" t="str">
            <v>初期ガチャ</v>
          </cell>
          <cell r="E188" t="str">
            <v>破界者</v>
          </cell>
          <cell r="F188" t="str">
            <v>美しい</v>
          </cell>
          <cell r="G188" t="str">
            <v>女性</v>
          </cell>
          <cell r="H188" t="str">
            <v>yellow</v>
          </cell>
          <cell r="I188">
            <v>3</v>
          </cell>
          <cell r="J188" t="str">
            <v>PremiumN</v>
          </cell>
          <cell r="K188" t="str">
            <v>attack</v>
          </cell>
          <cell r="L188" t="str">
            <v>攻撃タイプ</v>
          </cell>
          <cell r="M188" t="str">
            <v>animal</v>
          </cell>
          <cell r="N188" t="str">
            <v>アニマル</v>
          </cell>
          <cell r="O188" t="str">
            <v>none</v>
          </cell>
          <cell r="P188" t="str">
            <v>種族なし</v>
          </cell>
          <cell r="Q188" t="str">
            <v>バッファー</v>
          </cell>
          <cell r="R188">
            <v>3</v>
          </cell>
          <cell r="S188" t="str">
            <v>NULL</v>
          </cell>
          <cell r="T188" t="str">
            <v>normal</v>
          </cell>
          <cell r="U188" t="str">
            <v>NULL</v>
          </cell>
          <cell r="V188" t="str">
            <v>NULL</v>
          </cell>
          <cell r="W188" t="str">
            <v>NULL</v>
          </cell>
        </row>
        <row r="189">
          <cell r="A189">
            <v>188</v>
          </cell>
          <cell r="B189" t="str">
            <v>ja</v>
          </cell>
          <cell r="C189" t="str">
            <v>猛禽 ホルス</v>
          </cell>
          <cell r="D189" t="str">
            <v>初期ガチャ</v>
          </cell>
          <cell r="E189" t="str">
            <v>破界者</v>
          </cell>
          <cell r="F189" t="str">
            <v>美しい</v>
          </cell>
          <cell r="G189" t="str">
            <v>女性</v>
          </cell>
          <cell r="H189" t="str">
            <v>yellow</v>
          </cell>
          <cell r="I189">
            <v>4</v>
          </cell>
          <cell r="J189" t="str">
            <v>PremiumN</v>
          </cell>
          <cell r="K189" t="str">
            <v>attack</v>
          </cell>
          <cell r="L189" t="str">
            <v>攻撃タイプ</v>
          </cell>
          <cell r="M189" t="str">
            <v>animal</v>
          </cell>
          <cell r="N189" t="str">
            <v>アニマル</v>
          </cell>
          <cell r="O189" t="str">
            <v>none</v>
          </cell>
          <cell r="P189" t="str">
            <v>種族なし</v>
          </cell>
          <cell r="Q189" t="str">
            <v>バッファー</v>
          </cell>
          <cell r="R189">
            <v>3</v>
          </cell>
          <cell r="S189" t="str">
            <v>NULL</v>
          </cell>
          <cell r="T189" t="str">
            <v>normal</v>
          </cell>
          <cell r="U189" t="str">
            <v>NULL</v>
          </cell>
          <cell r="V189" t="str">
            <v>NULL</v>
          </cell>
          <cell r="W189" t="str">
            <v>NULL</v>
          </cell>
        </row>
        <row r="190">
          <cell r="A190">
            <v>189</v>
          </cell>
          <cell r="B190" t="str">
            <v>ja</v>
          </cell>
          <cell r="C190" t="str">
            <v>迅雷の王禽 ホルス</v>
          </cell>
          <cell r="D190" t="str">
            <v>初期ガチャ</v>
          </cell>
          <cell r="E190" t="str">
            <v>破界者</v>
          </cell>
          <cell r="F190" t="str">
            <v>美しい</v>
          </cell>
          <cell r="G190" t="str">
            <v>女性</v>
          </cell>
          <cell r="H190" t="str">
            <v>yellow</v>
          </cell>
          <cell r="I190">
            <v>5</v>
          </cell>
          <cell r="J190" t="str">
            <v>PremiumN</v>
          </cell>
          <cell r="K190" t="str">
            <v>attack</v>
          </cell>
          <cell r="L190" t="str">
            <v>攻撃タイプ</v>
          </cell>
          <cell r="M190" t="str">
            <v>animal</v>
          </cell>
          <cell r="N190" t="str">
            <v>アニマル</v>
          </cell>
          <cell r="O190" t="str">
            <v>none</v>
          </cell>
          <cell r="P190" t="str">
            <v>種族なし</v>
          </cell>
          <cell r="Q190" t="str">
            <v>バッファー</v>
          </cell>
          <cell r="R190">
            <v>3</v>
          </cell>
          <cell r="S190" t="str">
            <v>NULL</v>
          </cell>
          <cell r="T190" t="str">
            <v>normal</v>
          </cell>
          <cell r="U190" t="str">
            <v>NULL</v>
          </cell>
          <cell r="V190" t="str">
            <v>NULL</v>
          </cell>
          <cell r="W190" t="str">
            <v>NULL</v>
          </cell>
        </row>
        <row r="191">
          <cell r="A191">
            <v>190</v>
          </cell>
          <cell r="B191" t="str">
            <v>ja</v>
          </cell>
          <cell r="C191" t="str">
            <v>卑弥呼</v>
          </cell>
          <cell r="D191" t="str">
            <v>初期ガチャ</v>
          </cell>
          <cell r="E191" t="str">
            <v>守護者</v>
          </cell>
          <cell r="F191" t="str">
            <v>美しい</v>
          </cell>
          <cell r="G191" t="str">
            <v>女性</v>
          </cell>
          <cell r="H191" t="str">
            <v>red</v>
          </cell>
          <cell r="I191">
            <v>3</v>
          </cell>
          <cell r="J191" t="str">
            <v>PremiumN</v>
          </cell>
          <cell r="K191" t="str">
            <v>balance</v>
          </cell>
          <cell r="L191" t="str">
            <v>バランスタイプ</v>
          </cell>
          <cell r="M191" t="str">
            <v>human</v>
          </cell>
          <cell r="N191" t="str">
            <v>ヒューマン</v>
          </cell>
          <cell r="O191" t="str">
            <v>none</v>
          </cell>
          <cell r="P191" t="str">
            <v>種族なし</v>
          </cell>
          <cell r="Q191" t="str">
            <v>バッファー</v>
          </cell>
          <cell r="R191">
            <v>3</v>
          </cell>
          <cell r="S191" t="str">
            <v>NULL</v>
          </cell>
          <cell r="T191" t="str">
            <v>normal</v>
          </cell>
          <cell r="U191" t="str">
            <v>NULL</v>
          </cell>
          <cell r="V191" t="str">
            <v>NULL</v>
          </cell>
          <cell r="W191" t="str">
            <v>NULL</v>
          </cell>
        </row>
        <row r="192">
          <cell r="A192">
            <v>191</v>
          </cell>
          <cell r="B192" t="str">
            <v>ja</v>
          </cell>
          <cell r="C192" t="str">
            <v>始祖 卑弥呼</v>
          </cell>
          <cell r="D192" t="str">
            <v>初期ガチャ</v>
          </cell>
          <cell r="E192" t="str">
            <v>守護者</v>
          </cell>
          <cell r="F192" t="str">
            <v>美しい</v>
          </cell>
          <cell r="G192" t="str">
            <v>女性</v>
          </cell>
          <cell r="H192" t="str">
            <v>red</v>
          </cell>
          <cell r="I192">
            <v>4</v>
          </cell>
          <cell r="J192" t="str">
            <v>PremiumN</v>
          </cell>
          <cell r="K192" t="str">
            <v>balance</v>
          </cell>
          <cell r="L192" t="str">
            <v>バランスタイプ</v>
          </cell>
          <cell r="M192" t="str">
            <v>human</v>
          </cell>
          <cell r="N192" t="str">
            <v>ヒューマン</v>
          </cell>
          <cell r="O192" t="str">
            <v>none</v>
          </cell>
          <cell r="P192" t="str">
            <v>種族なし</v>
          </cell>
          <cell r="Q192" t="str">
            <v>バッファー</v>
          </cell>
          <cell r="R192">
            <v>3</v>
          </cell>
          <cell r="S192" t="str">
            <v>NULL</v>
          </cell>
          <cell r="T192" t="str">
            <v>normal</v>
          </cell>
          <cell r="U192" t="str">
            <v>NULL</v>
          </cell>
          <cell r="V192" t="str">
            <v>NULL</v>
          </cell>
          <cell r="W192" t="str">
            <v>NULL</v>
          </cell>
        </row>
        <row r="193">
          <cell r="A193">
            <v>192</v>
          </cell>
          <cell r="B193" t="str">
            <v>ja</v>
          </cell>
          <cell r="C193" t="str">
            <v>荘厳なる始祖帝 卑弥呼</v>
          </cell>
          <cell r="D193" t="str">
            <v>初期ガチャ</v>
          </cell>
          <cell r="E193" t="str">
            <v>守護者</v>
          </cell>
          <cell r="F193" t="str">
            <v>美しい</v>
          </cell>
          <cell r="G193" t="str">
            <v>女性</v>
          </cell>
          <cell r="H193" t="str">
            <v>red</v>
          </cell>
          <cell r="I193">
            <v>5</v>
          </cell>
          <cell r="J193" t="str">
            <v>PremiumN</v>
          </cell>
          <cell r="K193" t="str">
            <v>balance</v>
          </cell>
          <cell r="L193" t="str">
            <v>バランスタイプ</v>
          </cell>
          <cell r="M193" t="str">
            <v>human</v>
          </cell>
          <cell r="N193" t="str">
            <v>ヒューマン</v>
          </cell>
          <cell r="O193" t="str">
            <v>none</v>
          </cell>
          <cell r="P193" t="str">
            <v>種族なし</v>
          </cell>
          <cell r="Q193" t="str">
            <v>バッファー</v>
          </cell>
          <cell r="R193">
            <v>3</v>
          </cell>
          <cell r="S193" t="str">
            <v>NULL</v>
          </cell>
          <cell r="T193" t="str">
            <v>normal</v>
          </cell>
          <cell r="U193" t="str">
            <v>NULL</v>
          </cell>
          <cell r="V193" t="str">
            <v>NULL</v>
          </cell>
          <cell r="W193" t="str">
            <v>NULL</v>
          </cell>
        </row>
        <row r="194">
          <cell r="A194">
            <v>193</v>
          </cell>
          <cell r="B194" t="str">
            <v>ja</v>
          </cell>
          <cell r="C194" t="str">
            <v>ロビンフッド</v>
          </cell>
          <cell r="D194" t="str">
            <v>初期ガチャ</v>
          </cell>
          <cell r="E194" t="str">
            <v>守護者</v>
          </cell>
          <cell r="F194" t="str">
            <v>可愛い</v>
          </cell>
          <cell r="G194" t="str">
            <v>女性</v>
          </cell>
          <cell r="H194" t="str">
            <v>green</v>
          </cell>
          <cell r="I194">
            <v>3</v>
          </cell>
          <cell r="J194" t="str">
            <v>PremiumN</v>
          </cell>
          <cell r="K194" t="str">
            <v>balance</v>
          </cell>
          <cell r="L194" t="str">
            <v>バランスタイプ</v>
          </cell>
          <cell r="M194" t="str">
            <v>human</v>
          </cell>
          <cell r="N194" t="str">
            <v>ヒューマン</v>
          </cell>
          <cell r="O194" t="str">
            <v>none</v>
          </cell>
          <cell r="P194" t="str">
            <v>種族なし</v>
          </cell>
          <cell r="Q194" t="str">
            <v>バッファー</v>
          </cell>
          <cell r="R194">
            <v>3</v>
          </cell>
          <cell r="S194" t="str">
            <v>NULL</v>
          </cell>
          <cell r="T194" t="str">
            <v>normal</v>
          </cell>
          <cell r="U194" t="str">
            <v>NULL</v>
          </cell>
          <cell r="V194" t="str">
            <v>NULL</v>
          </cell>
          <cell r="W194" t="str">
            <v>NULL</v>
          </cell>
        </row>
        <row r="195">
          <cell r="A195">
            <v>194</v>
          </cell>
          <cell r="B195" t="str">
            <v>ja</v>
          </cell>
          <cell r="C195" t="str">
            <v>スナイパー ロビンフッド</v>
          </cell>
          <cell r="D195" t="str">
            <v>初期ガチャ</v>
          </cell>
          <cell r="E195" t="str">
            <v>守護者</v>
          </cell>
          <cell r="F195" t="str">
            <v>可愛い</v>
          </cell>
          <cell r="G195" t="str">
            <v>女性</v>
          </cell>
          <cell r="H195" t="str">
            <v>green</v>
          </cell>
          <cell r="I195">
            <v>4</v>
          </cell>
          <cell r="J195" t="str">
            <v>PremiumN</v>
          </cell>
          <cell r="K195" t="str">
            <v>balance</v>
          </cell>
          <cell r="L195" t="str">
            <v>バランスタイプ</v>
          </cell>
          <cell r="M195" t="str">
            <v>human</v>
          </cell>
          <cell r="N195" t="str">
            <v>ヒューマン</v>
          </cell>
          <cell r="O195" t="str">
            <v>none</v>
          </cell>
          <cell r="P195" t="str">
            <v>種族なし</v>
          </cell>
          <cell r="Q195" t="str">
            <v>バッファー</v>
          </cell>
          <cell r="R195">
            <v>3</v>
          </cell>
          <cell r="S195" t="str">
            <v>NULL</v>
          </cell>
          <cell r="T195" t="str">
            <v>normal</v>
          </cell>
          <cell r="U195" t="str">
            <v>NULL</v>
          </cell>
          <cell r="V195" t="str">
            <v>NULL</v>
          </cell>
          <cell r="W195" t="str">
            <v>NULL</v>
          </cell>
        </row>
        <row r="196">
          <cell r="A196">
            <v>195</v>
          </cell>
          <cell r="B196" t="str">
            <v>ja</v>
          </cell>
          <cell r="C196" t="str">
            <v>グランドハンター ロビンフッド</v>
          </cell>
          <cell r="D196" t="str">
            <v>初期ガチャ</v>
          </cell>
          <cell r="E196" t="str">
            <v>守護者</v>
          </cell>
          <cell r="F196" t="str">
            <v>可愛い</v>
          </cell>
          <cell r="G196" t="str">
            <v>女性</v>
          </cell>
          <cell r="H196" t="str">
            <v>green</v>
          </cell>
          <cell r="I196">
            <v>5</v>
          </cell>
          <cell r="J196" t="str">
            <v>PremiumN</v>
          </cell>
          <cell r="K196" t="str">
            <v>balance</v>
          </cell>
          <cell r="L196" t="str">
            <v>バランスタイプ</v>
          </cell>
          <cell r="M196" t="str">
            <v>human</v>
          </cell>
          <cell r="N196" t="str">
            <v>ヒューマン</v>
          </cell>
          <cell r="O196" t="str">
            <v>none</v>
          </cell>
          <cell r="P196" t="str">
            <v>種族なし</v>
          </cell>
          <cell r="Q196" t="str">
            <v>バッファー</v>
          </cell>
          <cell r="R196">
            <v>3</v>
          </cell>
          <cell r="S196" t="str">
            <v>NULL</v>
          </cell>
          <cell r="T196" t="str">
            <v>normal</v>
          </cell>
          <cell r="U196" t="str">
            <v>NULL</v>
          </cell>
          <cell r="V196" t="str">
            <v>NULL</v>
          </cell>
          <cell r="W196" t="str">
            <v>NULL</v>
          </cell>
        </row>
        <row r="197">
          <cell r="A197">
            <v>196</v>
          </cell>
          <cell r="B197" t="str">
            <v>ja</v>
          </cell>
          <cell r="C197" t="str">
            <v>アキレス</v>
          </cell>
          <cell r="D197" t="str">
            <v>初期ガチャ</v>
          </cell>
          <cell r="E197" t="str">
            <v>守護者</v>
          </cell>
          <cell r="F197" t="str">
            <v>美しい</v>
          </cell>
          <cell r="G197" t="str">
            <v>女性</v>
          </cell>
          <cell r="H197" t="str">
            <v>yellow</v>
          </cell>
          <cell r="I197">
            <v>3</v>
          </cell>
          <cell r="J197" t="str">
            <v>PremiumN</v>
          </cell>
          <cell r="K197" t="str">
            <v>balance</v>
          </cell>
          <cell r="L197" t="str">
            <v>バランスタイプ</v>
          </cell>
          <cell r="M197" t="str">
            <v>human</v>
          </cell>
          <cell r="N197" t="str">
            <v>ヒューマン</v>
          </cell>
          <cell r="O197" t="str">
            <v>none</v>
          </cell>
          <cell r="P197" t="str">
            <v>種族なし</v>
          </cell>
          <cell r="Q197" t="str">
            <v>バッファー</v>
          </cell>
          <cell r="R197">
            <v>3</v>
          </cell>
          <cell r="S197" t="str">
            <v>NULL</v>
          </cell>
          <cell r="T197" t="str">
            <v>normal</v>
          </cell>
          <cell r="U197" t="str">
            <v>NULL</v>
          </cell>
          <cell r="V197" t="str">
            <v>NULL</v>
          </cell>
          <cell r="W197" t="str">
            <v>NULL</v>
          </cell>
        </row>
        <row r="198">
          <cell r="A198">
            <v>197</v>
          </cell>
          <cell r="B198" t="str">
            <v>ja</v>
          </cell>
          <cell r="C198" t="str">
            <v>鉄腕 アキレス</v>
          </cell>
          <cell r="D198" t="str">
            <v>初期ガチャ</v>
          </cell>
          <cell r="E198" t="str">
            <v>守護者</v>
          </cell>
          <cell r="F198" t="str">
            <v>美しい</v>
          </cell>
          <cell r="G198" t="str">
            <v>女性</v>
          </cell>
          <cell r="H198" t="str">
            <v>yellow</v>
          </cell>
          <cell r="I198">
            <v>4</v>
          </cell>
          <cell r="J198" t="str">
            <v>PremiumN</v>
          </cell>
          <cell r="K198" t="str">
            <v>balance</v>
          </cell>
          <cell r="L198" t="str">
            <v>バランスタイプ</v>
          </cell>
          <cell r="M198" t="str">
            <v>human</v>
          </cell>
          <cell r="N198" t="str">
            <v>ヒューマン</v>
          </cell>
          <cell r="O198" t="str">
            <v>none</v>
          </cell>
          <cell r="P198" t="str">
            <v>種族なし</v>
          </cell>
          <cell r="Q198" t="str">
            <v>バッファー</v>
          </cell>
          <cell r="R198">
            <v>3</v>
          </cell>
          <cell r="S198" t="str">
            <v>NULL</v>
          </cell>
          <cell r="T198" t="str">
            <v>normal</v>
          </cell>
          <cell r="U198" t="str">
            <v>NULL</v>
          </cell>
          <cell r="V198" t="str">
            <v>NULL</v>
          </cell>
          <cell r="W198" t="str">
            <v>NULL</v>
          </cell>
        </row>
        <row r="199">
          <cell r="A199">
            <v>198</v>
          </cell>
          <cell r="B199" t="str">
            <v>ja</v>
          </cell>
          <cell r="C199" t="str">
            <v>砕骨の剛腕 アキレス</v>
          </cell>
          <cell r="D199" t="str">
            <v>初期ガチャ</v>
          </cell>
          <cell r="E199" t="str">
            <v>守護者</v>
          </cell>
          <cell r="F199" t="str">
            <v>美しい</v>
          </cell>
          <cell r="G199" t="str">
            <v>女性</v>
          </cell>
          <cell r="H199" t="str">
            <v>yellow</v>
          </cell>
          <cell r="I199">
            <v>5</v>
          </cell>
          <cell r="J199" t="str">
            <v>PremiumN</v>
          </cell>
          <cell r="K199" t="str">
            <v>balance</v>
          </cell>
          <cell r="L199" t="str">
            <v>バランスタイプ</v>
          </cell>
          <cell r="M199" t="str">
            <v>human</v>
          </cell>
          <cell r="N199" t="str">
            <v>ヒューマン</v>
          </cell>
          <cell r="O199" t="str">
            <v>none</v>
          </cell>
          <cell r="P199" t="str">
            <v>種族なし</v>
          </cell>
          <cell r="Q199" t="str">
            <v>バッファー</v>
          </cell>
          <cell r="R199">
            <v>3</v>
          </cell>
          <cell r="S199" t="str">
            <v>NULL</v>
          </cell>
          <cell r="T199" t="str">
            <v>normal</v>
          </cell>
          <cell r="U199" t="str">
            <v>NULL</v>
          </cell>
          <cell r="V199" t="str">
            <v>NULL</v>
          </cell>
          <cell r="W199" t="str">
            <v>NULL</v>
          </cell>
        </row>
        <row r="200">
          <cell r="A200">
            <v>199</v>
          </cell>
          <cell r="B200" t="str">
            <v>ja</v>
          </cell>
          <cell r="C200" t="str">
            <v>ジークフリート</v>
          </cell>
          <cell r="D200" t="str">
            <v>初期ガチャ</v>
          </cell>
          <cell r="E200" t="str">
            <v>守護者</v>
          </cell>
          <cell r="F200" t="str">
            <v>格好いい</v>
          </cell>
          <cell r="G200" t="str">
            <v>男性</v>
          </cell>
          <cell r="H200" t="str">
            <v>blue</v>
          </cell>
          <cell r="I200">
            <v>3</v>
          </cell>
          <cell r="J200" t="str">
            <v>PremiumN</v>
          </cell>
          <cell r="K200" t="str">
            <v>balance</v>
          </cell>
          <cell r="L200" t="str">
            <v>バランスタイプ</v>
          </cell>
          <cell r="M200" t="str">
            <v>human</v>
          </cell>
          <cell r="N200" t="str">
            <v>ヒューマン</v>
          </cell>
          <cell r="O200" t="str">
            <v>none</v>
          </cell>
          <cell r="P200" t="str">
            <v>種族なし</v>
          </cell>
          <cell r="Q200" t="str">
            <v>バッファー</v>
          </cell>
          <cell r="R200">
            <v>3</v>
          </cell>
          <cell r="S200" t="str">
            <v>NULL</v>
          </cell>
          <cell r="T200" t="str">
            <v>normal</v>
          </cell>
          <cell r="U200" t="str">
            <v>NULL</v>
          </cell>
          <cell r="V200" t="str">
            <v>NULL</v>
          </cell>
          <cell r="W200" t="str">
            <v>NULL</v>
          </cell>
        </row>
        <row r="201">
          <cell r="A201">
            <v>200</v>
          </cell>
          <cell r="B201" t="str">
            <v>ja</v>
          </cell>
          <cell r="C201" t="str">
            <v>大剣士 ジークフリート</v>
          </cell>
          <cell r="D201" t="str">
            <v>初期ガチャ</v>
          </cell>
          <cell r="E201" t="str">
            <v>守護者</v>
          </cell>
          <cell r="F201" t="str">
            <v>格好いい</v>
          </cell>
          <cell r="G201" t="str">
            <v>男性</v>
          </cell>
          <cell r="H201" t="str">
            <v>blue</v>
          </cell>
          <cell r="I201">
            <v>4</v>
          </cell>
          <cell r="J201" t="str">
            <v>PremiumN</v>
          </cell>
          <cell r="K201" t="str">
            <v>balance</v>
          </cell>
          <cell r="L201" t="str">
            <v>バランスタイプ</v>
          </cell>
          <cell r="M201" t="str">
            <v>human</v>
          </cell>
          <cell r="N201" t="str">
            <v>ヒューマン</v>
          </cell>
          <cell r="O201" t="str">
            <v>none</v>
          </cell>
          <cell r="P201" t="str">
            <v>種族なし</v>
          </cell>
          <cell r="Q201" t="str">
            <v>バッファー</v>
          </cell>
          <cell r="R201">
            <v>3</v>
          </cell>
          <cell r="S201" t="str">
            <v>NULL</v>
          </cell>
          <cell r="T201" t="str">
            <v>normal</v>
          </cell>
          <cell r="U201" t="str">
            <v>NULL</v>
          </cell>
          <cell r="V201" t="str">
            <v>NULL</v>
          </cell>
          <cell r="W201" t="str">
            <v>NULL</v>
          </cell>
        </row>
        <row r="202">
          <cell r="A202">
            <v>201</v>
          </cell>
          <cell r="B202" t="str">
            <v>ja</v>
          </cell>
          <cell r="C202" t="str">
            <v>斬空の大破剣 ジークフリート</v>
          </cell>
          <cell r="D202" t="str">
            <v>初期ガチャ</v>
          </cell>
          <cell r="E202" t="str">
            <v>守護者</v>
          </cell>
          <cell r="F202" t="str">
            <v>格好いい</v>
          </cell>
          <cell r="G202" t="str">
            <v>男性</v>
          </cell>
          <cell r="H202" t="str">
            <v>blue</v>
          </cell>
          <cell r="I202">
            <v>5</v>
          </cell>
          <cell r="J202" t="str">
            <v>PremiumN</v>
          </cell>
          <cell r="K202" t="str">
            <v>balance</v>
          </cell>
          <cell r="L202" t="str">
            <v>バランスタイプ</v>
          </cell>
          <cell r="M202" t="str">
            <v>human</v>
          </cell>
          <cell r="N202" t="str">
            <v>ヒューマン</v>
          </cell>
          <cell r="O202" t="str">
            <v>none</v>
          </cell>
          <cell r="P202" t="str">
            <v>種族なし</v>
          </cell>
          <cell r="Q202" t="str">
            <v>バッファー</v>
          </cell>
          <cell r="R202">
            <v>3</v>
          </cell>
          <cell r="S202" t="str">
            <v>NULL</v>
          </cell>
          <cell r="T202" t="str">
            <v>normal</v>
          </cell>
          <cell r="U202" t="str">
            <v>NULL</v>
          </cell>
          <cell r="V202" t="str">
            <v>NULL</v>
          </cell>
          <cell r="W202" t="str">
            <v>NULL</v>
          </cell>
        </row>
        <row r="203">
          <cell r="A203">
            <v>202</v>
          </cell>
          <cell r="B203" t="str">
            <v>ja</v>
          </cell>
          <cell r="C203" t="str">
            <v>プロメテウス</v>
          </cell>
          <cell r="D203" t="str">
            <v>初期ガチャ</v>
          </cell>
          <cell r="E203" t="str">
            <v>管理者</v>
          </cell>
          <cell r="F203" t="str">
            <v>格好いい</v>
          </cell>
          <cell r="G203" t="str">
            <v>男性</v>
          </cell>
          <cell r="H203" t="str">
            <v>red</v>
          </cell>
          <cell r="I203">
            <v>3</v>
          </cell>
          <cell r="J203" t="str">
            <v>PremiumN</v>
          </cell>
          <cell r="K203" t="str">
            <v>hp</v>
          </cell>
          <cell r="L203" t="str">
            <v>体力タイプ</v>
          </cell>
          <cell r="M203" t="str">
            <v>god</v>
          </cell>
          <cell r="N203" t="str">
            <v>ゴッド</v>
          </cell>
          <cell r="O203" t="str">
            <v>none</v>
          </cell>
          <cell r="P203" t="str">
            <v>種族なし</v>
          </cell>
          <cell r="Q203" t="str">
            <v>アタッカー</v>
          </cell>
          <cell r="R203">
            <v>3</v>
          </cell>
          <cell r="S203" t="str">
            <v>NULL</v>
          </cell>
          <cell r="T203" t="str">
            <v>normal</v>
          </cell>
          <cell r="U203" t="str">
            <v>NULL</v>
          </cell>
          <cell r="V203" t="str">
            <v>NULL</v>
          </cell>
          <cell r="W203" t="str">
            <v>NULL</v>
          </cell>
        </row>
        <row r="204">
          <cell r="A204">
            <v>203</v>
          </cell>
          <cell r="B204" t="str">
            <v>ja</v>
          </cell>
          <cell r="C204" t="str">
            <v>焔神 プロメテウス</v>
          </cell>
          <cell r="D204" t="str">
            <v>初期ガチャ</v>
          </cell>
          <cell r="E204" t="str">
            <v>管理者</v>
          </cell>
          <cell r="F204" t="str">
            <v>格好いい</v>
          </cell>
          <cell r="G204" t="str">
            <v>男性</v>
          </cell>
          <cell r="H204" t="str">
            <v>red</v>
          </cell>
          <cell r="I204">
            <v>4</v>
          </cell>
          <cell r="J204" t="str">
            <v>PremiumN</v>
          </cell>
          <cell r="K204" t="str">
            <v>hp</v>
          </cell>
          <cell r="L204" t="str">
            <v>体力タイプ</v>
          </cell>
          <cell r="M204" t="str">
            <v>god</v>
          </cell>
          <cell r="N204" t="str">
            <v>ゴッド</v>
          </cell>
          <cell r="O204" t="str">
            <v>none</v>
          </cell>
          <cell r="P204" t="str">
            <v>種族なし</v>
          </cell>
          <cell r="Q204" t="str">
            <v>アタッカー</v>
          </cell>
          <cell r="R204">
            <v>3</v>
          </cell>
          <cell r="S204" t="str">
            <v>NULL</v>
          </cell>
          <cell r="T204" t="str">
            <v>normal</v>
          </cell>
          <cell r="U204" t="str">
            <v>NULL</v>
          </cell>
          <cell r="V204" t="str">
            <v>NULL</v>
          </cell>
          <cell r="W204" t="str">
            <v>NULL</v>
          </cell>
        </row>
        <row r="205">
          <cell r="A205">
            <v>204</v>
          </cell>
          <cell r="B205" t="str">
            <v>ja</v>
          </cell>
          <cell r="C205" t="str">
            <v>慟哭の巨焔 プロメテウス</v>
          </cell>
          <cell r="D205" t="str">
            <v>初期ガチャ</v>
          </cell>
          <cell r="E205" t="str">
            <v>管理者</v>
          </cell>
          <cell r="F205" t="str">
            <v>格好いい</v>
          </cell>
          <cell r="G205" t="str">
            <v>男性</v>
          </cell>
          <cell r="H205" t="str">
            <v>red</v>
          </cell>
          <cell r="I205">
            <v>5</v>
          </cell>
          <cell r="J205" t="str">
            <v>PremiumN</v>
          </cell>
          <cell r="K205" t="str">
            <v>hp</v>
          </cell>
          <cell r="L205" t="str">
            <v>体力タイプ</v>
          </cell>
          <cell r="M205" t="str">
            <v>god</v>
          </cell>
          <cell r="N205" t="str">
            <v>ゴッド</v>
          </cell>
          <cell r="O205" t="str">
            <v>none</v>
          </cell>
          <cell r="P205" t="str">
            <v>種族なし</v>
          </cell>
          <cell r="Q205" t="str">
            <v>アタッカー</v>
          </cell>
          <cell r="R205">
            <v>3</v>
          </cell>
          <cell r="S205" t="str">
            <v>NULL</v>
          </cell>
          <cell r="T205" t="str">
            <v>normal</v>
          </cell>
          <cell r="U205" t="str">
            <v>NULL</v>
          </cell>
          <cell r="V205" t="str">
            <v>NULL</v>
          </cell>
          <cell r="W205" t="str">
            <v>NULL</v>
          </cell>
        </row>
        <row r="206">
          <cell r="A206">
            <v>205</v>
          </cell>
          <cell r="B206" t="str">
            <v>ja</v>
          </cell>
          <cell r="C206" t="str">
            <v>アフロディーテ</v>
          </cell>
          <cell r="D206" t="str">
            <v>初期ガチャ</v>
          </cell>
          <cell r="E206" t="str">
            <v>管理者</v>
          </cell>
          <cell r="F206" t="str">
            <v>可愛い</v>
          </cell>
          <cell r="G206" t="str">
            <v>女性</v>
          </cell>
          <cell r="H206" t="str">
            <v>green</v>
          </cell>
          <cell r="I206">
            <v>3</v>
          </cell>
          <cell r="J206" t="str">
            <v>PremiumN</v>
          </cell>
          <cell r="K206" t="str">
            <v>hp</v>
          </cell>
          <cell r="L206" t="str">
            <v>体力タイプ</v>
          </cell>
          <cell r="M206" t="str">
            <v>god</v>
          </cell>
          <cell r="N206" t="str">
            <v>ゴッド</v>
          </cell>
          <cell r="O206" t="str">
            <v>none</v>
          </cell>
          <cell r="P206" t="str">
            <v>種族なし</v>
          </cell>
          <cell r="Q206" t="str">
            <v>アタッカー</v>
          </cell>
          <cell r="R206">
            <v>3</v>
          </cell>
          <cell r="S206" t="str">
            <v>NULL</v>
          </cell>
          <cell r="T206" t="str">
            <v>normal</v>
          </cell>
          <cell r="U206" t="str">
            <v>NULL</v>
          </cell>
          <cell r="V206" t="str">
            <v>NULL</v>
          </cell>
          <cell r="W206" t="str">
            <v>NULL</v>
          </cell>
        </row>
        <row r="207">
          <cell r="A207">
            <v>206</v>
          </cell>
          <cell r="B207" t="str">
            <v>ja</v>
          </cell>
          <cell r="C207" t="str">
            <v>美神 アフロディーテ</v>
          </cell>
          <cell r="D207" t="str">
            <v>初期ガチャ</v>
          </cell>
          <cell r="E207" t="str">
            <v>管理者</v>
          </cell>
          <cell r="F207" t="str">
            <v>可愛い</v>
          </cell>
          <cell r="G207" t="str">
            <v>女性</v>
          </cell>
          <cell r="H207" t="str">
            <v>green</v>
          </cell>
          <cell r="I207">
            <v>4</v>
          </cell>
          <cell r="J207" t="str">
            <v>PremiumN</v>
          </cell>
          <cell r="K207" t="str">
            <v>hp</v>
          </cell>
          <cell r="L207" t="str">
            <v>体力タイプ</v>
          </cell>
          <cell r="M207" t="str">
            <v>god</v>
          </cell>
          <cell r="N207" t="str">
            <v>ゴッド</v>
          </cell>
          <cell r="O207" t="str">
            <v>none</v>
          </cell>
          <cell r="P207" t="str">
            <v>種族なし</v>
          </cell>
          <cell r="Q207" t="str">
            <v>アタッカー</v>
          </cell>
          <cell r="R207">
            <v>3</v>
          </cell>
          <cell r="S207" t="str">
            <v>NULL</v>
          </cell>
          <cell r="T207" t="str">
            <v>normal</v>
          </cell>
          <cell r="U207" t="str">
            <v>NULL</v>
          </cell>
          <cell r="V207" t="str">
            <v>NULL</v>
          </cell>
          <cell r="W207" t="str">
            <v>NULL</v>
          </cell>
        </row>
        <row r="208">
          <cell r="A208">
            <v>207</v>
          </cell>
          <cell r="B208" t="str">
            <v>ja</v>
          </cell>
          <cell r="C208" t="str">
            <v>豊穣の麗神・アフロディーテ</v>
          </cell>
          <cell r="D208" t="str">
            <v>初期ガチャ</v>
          </cell>
          <cell r="E208" t="str">
            <v>管理者</v>
          </cell>
          <cell r="F208" t="str">
            <v>可愛い</v>
          </cell>
          <cell r="G208" t="str">
            <v>女性</v>
          </cell>
          <cell r="H208" t="str">
            <v>green</v>
          </cell>
          <cell r="I208">
            <v>5</v>
          </cell>
          <cell r="J208" t="str">
            <v>PremiumN</v>
          </cell>
          <cell r="K208" t="str">
            <v>hp</v>
          </cell>
          <cell r="L208" t="str">
            <v>体力タイプ</v>
          </cell>
          <cell r="M208" t="str">
            <v>god</v>
          </cell>
          <cell r="N208" t="str">
            <v>ゴッド</v>
          </cell>
          <cell r="O208" t="str">
            <v>none</v>
          </cell>
          <cell r="P208" t="str">
            <v>種族なし</v>
          </cell>
          <cell r="Q208" t="str">
            <v>アタッカー</v>
          </cell>
          <cell r="R208">
            <v>3</v>
          </cell>
          <cell r="S208" t="str">
            <v>NULL</v>
          </cell>
          <cell r="T208" t="str">
            <v>normal</v>
          </cell>
          <cell r="U208" t="str">
            <v>NULL</v>
          </cell>
          <cell r="V208" t="str">
            <v>NULL</v>
          </cell>
          <cell r="W208" t="str">
            <v>NULL</v>
          </cell>
        </row>
        <row r="209">
          <cell r="A209">
            <v>208</v>
          </cell>
          <cell r="B209" t="str">
            <v>ja</v>
          </cell>
          <cell r="C209" t="str">
            <v>テティス</v>
          </cell>
          <cell r="D209" t="str">
            <v>初期ガチャ</v>
          </cell>
          <cell r="E209" t="str">
            <v>管理者</v>
          </cell>
          <cell r="F209" t="str">
            <v>美しい</v>
          </cell>
          <cell r="G209" t="str">
            <v>女性</v>
          </cell>
          <cell r="H209" t="str">
            <v>blue</v>
          </cell>
          <cell r="I209">
            <v>3</v>
          </cell>
          <cell r="J209" t="str">
            <v>PremiumN</v>
          </cell>
          <cell r="K209" t="str">
            <v>hp</v>
          </cell>
          <cell r="L209" t="str">
            <v>体力タイプ</v>
          </cell>
          <cell r="M209" t="str">
            <v>god</v>
          </cell>
          <cell r="N209" t="str">
            <v>ゴッド</v>
          </cell>
          <cell r="O209" t="str">
            <v>none</v>
          </cell>
          <cell r="P209" t="str">
            <v>種族なし</v>
          </cell>
          <cell r="Q209" t="str">
            <v>アタッカー</v>
          </cell>
          <cell r="R209">
            <v>3</v>
          </cell>
          <cell r="S209" t="str">
            <v>NULL</v>
          </cell>
          <cell r="T209" t="str">
            <v>normal</v>
          </cell>
          <cell r="U209" t="str">
            <v>NULL</v>
          </cell>
          <cell r="V209" t="str">
            <v>NULL</v>
          </cell>
          <cell r="W209" t="str">
            <v>NULL</v>
          </cell>
        </row>
        <row r="210">
          <cell r="A210">
            <v>209</v>
          </cell>
          <cell r="B210" t="str">
            <v>ja</v>
          </cell>
          <cell r="C210" t="str">
            <v>孤神 テティス</v>
          </cell>
          <cell r="D210" t="str">
            <v>初期ガチャ</v>
          </cell>
          <cell r="E210" t="str">
            <v>管理者</v>
          </cell>
          <cell r="F210" t="str">
            <v>美しい</v>
          </cell>
          <cell r="G210" t="str">
            <v>女性</v>
          </cell>
          <cell r="H210" t="str">
            <v>blue</v>
          </cell>
          <cell r="I210">
            <v>4</v>
          </cell>
          <cell r="J210" t="str">
            <v>PremiumN</v>
          </cell>
          <cell r="K210" t="str">
            <v>hp</v>
          </cell>
          <cell r="L210" t="str">
            <v>体力タイプ</v>
          </cell>
          <cell r="M210" t="str">
            <v>god</v>
          </cell>
          <cell r="N210" t="str">
            <v>ゴッド</v>
          </cell>
          <cell r="O210" t="str">
            <v>none</v>
          </cell>
          <cell r="P210" t="str">
            <v>種族なし</v>
          </cell>
          <cell r="Q210" t="str">
            <v>アタッカー</v>
          </cell>
          <cell r="R210">
            <v>3</v>
          </cell>
          <cell r="S210" t="str">
            <v>NULL</v>
          </cell>
          <cell r="T210" t="str">
            <v>normal</v>
          </cell>
          <cell r="U210" t="str">
            <v>NULL</v>
          </cell>
          <cell r="V210" t="str">
            <v>NULL</v>
          </cell>
          <cell r="W210" t="str">
            <v>NULL</v>
          </cell>
        </row>
        <row r="211">
          <cell r="A211">
            <v>210</v>
          </cell>
          <cell r="B211" t="str">
            <v>ja</v>
          </cell>
          <cell r="C211" t="str">
            <v>海底の孤高神 テティス</v>
          </cell>
          <cell r="D211" t="str">
            <v>初期ガチャ</v>
          </cell>
          <cell r="E211" t="str">
            <v>管理者</v>
          </cell>
          <cell r="F211" t="str">
            <v>美しい</v>
          </cell>
          <cell r="G211" t="str">
            <v>女性</v>
          </cell>
          <cell r="H211" t="str">
            <v>blue</v>
          </cell>
          <cell r="I211">
            <v>5</v>
          </cell>
          <cell r="J211" t="str">
            <v>PremiumN</v>
          </cell>
          <cell r="K211" t="str">
            <v>hp</v>
          </cell>
          <cell r="L211" t="str">
            <v>体力タイプ</v>
          </cell>
          <cell r="M211" t="str">
            <v>god</v>
          </cell>
          <cell r="N211" t="str">
            <v>ゴッド</v>
          </cell>
          <cell r="O211" t="str">
            <v>none</v>
          </cell>
          <cell r="P211" t="str">
            <v>種族なし</v>
          </cell>
          <cell r="Q211" t="str">
            <v>アタッカー</v>
          </cell>
          <cell r="R211">
            <v>3</v>
          </cell>
          <cell r="S211" t="str">
            <v>NULL</v>
          </cell>
          <cell r="T211" t="str">
            <v>normal</v>
          </cell>
          <cell r="U211" t="str">
            <v>NULL</v>
          </cell>
          <cell r="V211" t="str">
            <v>NULL</v>
          </cell>
          <cell r="W211" t="str">
            <v>NULL</v>
          </cell>
        </row>
        <row r="212">
          <cell r="A212">
            <v>211</v>
          </cell>
          <cell r="B212" t="str">
            <v>ja</v>
          </cell>
          <cell r="C212" t="str">
            <v>アストライアー</v>
          </cell>
          <cell r="D212" t="str">
            <v>初期ガチャ</v>
          </cell>
          <cell r="E212" t="str">
            <v>管理者</v>
          </cell>
          <cell r="F212" t="str">
            <v>美しい</v>
          </cell>
          <cell r="G212" t="str">
            <v>女性</v>
          </cell>
          <cell r="H212" t="str">
            <v>yellow</v>
          </cell>
          <cell r="I212">
            <v>3</v>
          </cell>
          <cell r="J212" t="str">
            <v>PremiumN</v>
          </cell>
          <cell r="K212" t="str">
            <v>balance</v>
          </cell>
          <cell r="L212" t="str">
            <v>バランスタイプ</v>
          </cell>
          <cell r="M212" t="str">
            <v>god</v>
          </cell>
          <cell r="N212" t="str">
            <v>ゴッド</v>
          </cell>
          <cell r="O212" t="str">
            <v>none</v>
          </cell>
          <cell r="P212" t="str">
            <v>種族なし</v>
          </cell>
          <cell r="Q212" t="str">
            <v>アタッカー</v>
          </cell>
          <cell r="R212">
            <v>3</v>
          </cell>
          <cell r="S212" t="str">
            <v>NULL</v>
          </cell>
          <cell r="T212" t="str">
            <v>normal</v>
          </cell>
          <cell r="U212" t="str">
            <v>NULL</v>
          </cell>
          <cell r="V212" t="str">
            <v>NULL</v>
          </cell>
          <cell r="W212" t="str">
            <v>NULL</v>
          </cell>
        </row>
        <row r="213">
          <cell r="A213">
            <v>212</v>
          </cell>
          <cell r="B213" t="str">
            <v>ja</v>
          </cell>
          <cell r="C213" t="str">
            <v>星神 アストライアー</v>
          </cell>
          <cell r="D213" t="str">
            <v>初期ガチャ</v>
          </cell>
          <cell r="E213" t="str">
            <v>管理者</v>
          </cell>
          <cell r="F213" t="str">
            <v>美しい</v>
          </cell>
          <cell r="G213" t="str">
            <v>女性</v>
          </cell>
          <cell r="H213" t="str">
            <v>yellow</v>
          </cell>
          <cell r="I213">
            <v>4</v>
          </cell>
          <cell r="J213" t="str">
            <v>PremiumN</v>
          </cell>
          <cell r="K213" t="str">
            <v>balance</v>
          </cell>
          <cell r="L213" t="str">
            <v>バランスタイプ</v>
          </cell>
          <cell r="M213" t="str">
            <v>god</v>
          </cell>
          <cell r="N213" t="str">
            <v>ゴッド</v>
          </cell>
          <cell r="O213" t="str">
            <v>none</v>
          </cell>
          <cell r="P213" t="str">
            <v>種族なし</v>
          </cell>
          <cell r="Q213" t="str">
            <v>アタッカー</v>
          </cell>
          <cell r="R213">
            <v>3</v>
          </cell>
          <cell r="S213" t="str">
            <v>NULL</v>
          </cell>
          <cell r="T213" t="str">
            <v>normal</v>
          </cell>
          <cell r="U213" t="str">
            <v>NULL</v>
          </cell>
          <cell r="V213" t="str">
            <v>NULL</v>
          </cell>
          <cell r="W213" t="str">
            <v>NULL</v>
          </cell>
        </row>
        <row r="214">
          <cell r="A214">
            <v>213</v>
          </cell>
          <cell r="B214" t="str">
            <v>ja</v>
          </cell>
          <cell r="C214" t="str">
            <v>満天の星降神 アストライアー</v>
          </cell>
          <cell r="D214" t="str">
            <v>初期ガチャ</v>
          </cell>
          <cell r="E214" t="str">
            <v>管理者</v>
          </cell>
          <cell r="F214" t="str">
            <v>美しい</v>
          </cell>
          <cell r="G214" t="str">
            <v>女性</v>
          </cell>
          <cell r="H214" t="str">
            <v>yellow</v>
          </cell>
          <cell r="I214">
            <v>5</v>
          </cell>
          <cell r="J214" t="str">
            <v>PremiumN</v>
          </cell>
          <cell r="K214" t="str">
            <v>balance</v>
          </cell>
          <cell r="L214" t="str">
            <v>バランスタイプ</v>
          </cell>
          <cell r="M214" t="str">
            <v>god</v>
          </cell>
          <cell r="N214" t="str">
            <v>ゴッド</v>
          </cell>
          <cell r="O214" t="str">
            <v>none</v>
          </cell>
          <cell r="P214" t="str">
            <v>種族なし</v>
          </cell>
          <cell r="Q214" t="str">
            <v>アタッカー</v>
          </cell>
          <cell r="R214">
            <v>3</v>
          </cell>
          <cell r="S214" t="str">
            <v>NULL</v>
          </cell>
          <cell r="T214" t="str">
            <v>normal</v>
          </cell>
          <cell r="U214" t="str">
            <v>NULL</v>
          </cell>
          <cell r="V214" t="str">
            <v>NULL</v>
          </cell>
          <cell r="W214" t="str">
            <v>NULL</v>
          </cell>
        </row>
        <row r="215">
          <cell r="A215">
            <v>214</v>
          </cell>
          <cell r="B215" t="str">
            <v>ja</v>
          </cell>
          <cell r="C215" t="str">
            <v>アズラエル</v>
          </cell>
          <cell r="D215" t="str">
            <v>初期ガチャ</v>
          </cell>
          <cell r="E215" t="str">
            <v>管理者</v>
          </cell>
          <cell r="F215" t="str">
            <v>可愛い</v>
          </cell>
          <cell r="G215" t="str">
            <v>女性</v>
          </cell>
          <cell r="H215" t="str">
            <v>red</v>
          </cell>
          <cell r="I215">
            <v>3</v>
          </cell>
          <cell r="J215" t="str">
            <v>PremiumN</v>
          </cell>
          <cell r="K215" t="str">
            <v>balance</v>
          </cell>
          <cell r="L215" t="str">
            <v>バランスタイプ</v>
          </cell>
          <cell r="M215" t="str">
            <v>god</v>
          </cell>
          <cell r="N215" t="str">
            <v>ゴッド</v>
          </cell>
          <cell r="O215" t="str">
            <v>none</v>
          </cell>
          <cell r="P215" t="str">
            <v>種族なし</v>
          </cell>
          <cell r="Q215" t="str">
            <v>バッファー</v>
          </cell>
          <cell r="R215">
            <v>3</v>
          </cell>
          <cell r="S215" t="str">
            <v>NULL</v>
          </cell>
          <cell r="T215" t="str">
            <v>normal</v>
          </cell>
          <cell r="U215" t="str">
            <v>NULL</v>
          </cell>
          <cell r="V215" t="str">
            <v>NULL</v>
          </cell>
          <cell r="W215" t="str">
            <v>NULL</v>
          </cell>
        </row>
        <row r="216">
          <cell r="A216">
            <v>215</v>
          </cell>
          <cell r="B216" t="str">
            <v>ja</v>
          </cell>
          <cell r="C216" t="str">
            <v>死導者 アズラエル</v>
          </cell>
          <cell r="D216" t="str">
            <v>初期ガチャ</v>
          </cell>
          <cell r="E216" t="str">
            <v>管理者</v>
          </cell>
          <cell r="F216" t="str">
            <v>可愛い</v>
          </cell>
          <cell r="G216" t="str">
            <v>女性</v>
          </cell>
          <cell r="H216" t="str">
            <v>red</v>
          </cell>
          <cell r="I216">
            <v>4</v>
          </cell>
          <cell r="J216" t="str">
            <v>PremiumN</v>
          </cell>
          <cell r="K216" t="str">
            <v>balance</v>
          </cell>
          <cell r="L216" t="str">
            <v>バランスタイプ</v>
          </cell>
          <cell r="M216" t="str">
            <v>god</v>
          </cell>
          <cell r="N216" t="str">
            <v>ゴッド</v>
          </cell>
          <cell r="O216" t="str">
            <v>none</v>
          </cell>
          <cell r="P216" t="str">
            <v>種族なし</v>
          </cell>
          <cell r="Q216" t="str">
            <v>バッファー</v>
          </cell>
          <cell r="R216">
            <v>3</v>
          </cell>
          <cell r="S216" t="str">
            <v>NULL</v>
          </cell>
          <cell r="T216" t="str">
            <v>normal</v>
          </cell>
          <cell r="U216" t="str">
            <v>NULL</v>
          </cell>
          <cell r="V216" t="str">
            <v>NULL</v>
          </cell>
          <cell r="W216" t="str">
            <v>NULL</v>
          </cell>
        </row>
        <row r="217">
          <cell r="A217">
            <v>216</v>
          </cell>
          <cell r="B217" t="str">
            <v>ja</v>
          </cell>
          <cell r="C217" t="str">
            <v>百読の死導司書 アズラエル</v>
          </cell>
          <cell r="D217" t="str">
            <v>初期ガチャ</v>
          </cell>
          <cell r="E217" t="str">
            <v>管理者</v>
          </cell>
          <cell r="F217" t="str">
            <v>可愛い</v>
          </cell>
          <cell r="G217" t="str">
            <v>女性</v>
          </cell>
          <cell r="H217" t="str">
            <v>red</v>
          </cell>
          <cell r="I217">
            <v>5</v>
          </cell>
          <cell r="J217" t="str">
            <v>PremiumN</v>
          </cell>
          <cell r="K217" t="str">
            <v>balance</v>
          </cell>
          <cell r="L217" t="str">
            <v>バランスタイプ</v>
          </cell>
          <cell r="M217" t="str">
            <v>god</v>
          </cell>
          <cell r="N217" t="str">
            <v>ゴッド</v>
          </cell>
          <cell r="O217" t="str">
            <v>none</v>
          </cell>
          <cell r="P217" t="str">
            <v>種族なし</v>
          </cell>
          <cell r="Q217" t="str">
            <v>バッファー</v>
          </cell>
          <cell r="R217">
            <v>3</v>
          </cell>
          <cell r="S217" t="str">
            <v>NULL</v>
          </cell>
          <cell r="T217" t="str">
            <v>normal</v>
          </cell>
          <cell r="U217" t="str">
            <v>NULL</v>
          </cell>
          <cell r="V217" t="str">
            <v>NULL</v>
          </cell>
          <cell r="W217" t="str">
            <v>NULL</v>
          </cell>
        </row>
        <row r="218">
          <cell r="A218">
            <v>217</v>
          </cell>
          <cell r="B218" t="str">
            <v>ja</v>
          </cell>
          <cell r="C218" t="str">
            <v>ケツァクアトル</v>
          </cell>
          <cell r="D218" t="str">
            <v>初期ガチャ</v>
          </cell>
          <cell r="E218" t="str">
            <v>破界者</v>
          </cell>
          <cell r="F218" t="str">
            <v>美しい</v>
          </cell>
          <cell r="G218" t="str">
            <v>女性</v>
          </cell>
          <cell r="H218" t="str">
            <v>green</v>
          </cell>
          <cell r="I218">
            <v>3</v>
          </cell>
          <cell r="J218" t="str">
            <v>PremiumN</v>
          </cell>
          <cell r="K218" t="str">
            <v>hp</v>
          </cell>
          <cell r="L218" t="str">
            <v>体力タイプ</v>
          </cell>
          <cell r="M218" t="str">
            <v>dragon</v>
          </cell>
          <cell r="N218" t="str">
            <v>ドラゴン</v>
          </cell>
          <cell r="O218" t="str">
            <v>none</v>
          </cell>
          <cell r="P218" t="str">
            <v>種族なし</v>
          </cell>
          <cell r="Q218" t="str">
            <v>バッファー</v>
          </cell>
          <cell r="R218">
            <v>3</v>
          </cell>
          <cell r="S218" t="str">
            <v>NULL</v>
          </cell>
          <cell r="T218" t="str">
            <v>normal</v>
          </cell>
          <cell r="U218" t="str">
            <v>NULL</v>
          </cell>
          <cell r="V218" t="str">
            <v>NULL</v>
          </cell>
          <cell r="W218" t="str">
            <v>NULL</v>
          </cell>
        </row>
        <row r="219">
          <cell r="A219">
            <v>218</v>
          </cell>
          <cell r="B219" t="str">
            <v>ja</v>
          </cell>
          <cell r="C219" t="str">
            <v>聖蛇 ケツァクアトル</v>
          </cell>
          <cell r="D219" t="str">
            <v>初期ガチャ</v>
          </cell>
          <cell r="E219" t="str">
            <v>破界者</v>
          </cell>
          <cell r="F219" t="str">
            <v>美しい</v>
          </cell>
          <cell r="G219" t="str">
            <v>女性</v>
          </cell>
          <cell r="H219" t="str">
            <v>green</v>
          </cell>
          <cell r="I219">
            <v>4</v>
          </cell>
          <cell r="J219" t="str">
            <v>PremiumN</v>
          </cell>
          <cell r="K219" t="str">
            <v>hp</v>
          </cell>
          <cell r="L219" t="str">
            <v>体力タイプ</v>
          </cell>
          <cell r="M219" t="str">
            <v>dragon</v>
          </cell>
          <cell r="N219" t="str">
            <v>ドラゴン</v>
          </cell>
          <cell r="O219" t="str">
            <v>none</v>
          </cell>
          <cell r="P219" t="str">
            <v>種族なし</v>
          </cell>
          <cell r="Q219" t="str">
            <v>バッファー</v>
          </cell>
          <cell r="R219">
            <v>3</v>
          </cell>
          <cell r="S219" t="str">
            <v>NULL</v>
          </cell>
          <cell r="T219" t="str">
            <v>normal</v>
          </cell>
          <cell r="U219" t="str">
            <v>NULL</v>
          </cell>
          <cell r="V219" t="str">
            <v>NULL</v>
          </cell>
          <cell r="W219" t="str">
            <v>NULL</v>
          </cell>
        </row>
        <row r="220">
          <cell r="A220">
            <v>219</v>
          </cell>
          <cell r="B220" t="str">
            <v>ja</v>
          </cell>
          <cell r="C220" t="str">
            <v>覇翼の聖蛇竜 ケツァクアトル</v>
          </cell>
          <cell r="D220" t="str">
            <v>初期ガチャ</v>
          </cell>
          <cell r="E220" t="str">
            <v>破界者</v>
          </cell>
          <cell r="F220" t="str">
            <v>美しい</v>
          </cell>
          <cell r="G220" t="str">
            <v>女性</v>
          </cell>
          <cell r="H220" t="str">
            <v>green</v>
          </cell>
          <cell r="I220">
            <v>5</v>
          </cell>
          <cell r="J220" t="str">
            <v>PremiumN</v>
          </cell>
          <cell r="K220" t="str">
            <v>hp</v>
          </cell>
          <cell r="L220" t="str">
            <v>体力タイプ</v>
          </cell>
          <cell r="M220" t="str">
            <v>dragon</v>
          </cell>
          <cell r="N220" t="str">
            <v>ドラゴン</v>
          </cell>
          <cell r="O220" t="str">
            <v>none</v>
          </cell>
          <cell r="P220" t="str">
            <v>種族なし</v>
          </cell>
          <cell r="Q220" t="str">
            <v>バッファー</v>
          </cell>
          <cell r="R220">
            <v>3</v>
          </cell>
          <cell r="S220" t="str">
            <v>NULL</v>
          </cell>
          <cell r="T220" t="str">
            <v>normal</v>
          </cell>
          <cell r="U220" t="str">
            <v>NULL</v>
          </cell>
          <cell r="V220" t="str">
            <v>NULL</v>
          </cell>
          <cell r="W220" t="str">
            <v>NULL</v>
          </cell>
        </row>
        <row r="221">
          <cell r="A221">
            <v>220</v>
          </cell>
          <cell r="B221" t="str">
            <v>ja</v>
          </cell>
          <cell r="C221" t="str">
            <v>ルキフグス</v>
          </cell>
          <cell r="D221" t="str">
            <v>初期ガチャ</v>
          </cell>
          <cell r="E221" t="str">
            <v>執行者</v>
          </cell>
          <cell r="F221" t="str">
            <v>美しい</v>
          </cell>
          <cell r="G221" t="str">
            <v>女性</v>
          </cell>
          <cell r="H221" t="str">
            <v>blue</v>
          </cell>
          <cell r="I221">
            <v>3</v>
          </cell>
          <cell r="J221" t="str">
            <v>PremiumN</v>
          </cell>
          <cell r="K221" t="str">
            <v>balance</v>
          </cell>
          <cell r="L221" t="str">
            <v>バランスタイプ</v>
          </cell>
          <cell r="M221" t="str">
            <v>god</v>
          </cell>
          <cell r="N221" t="str">
            <v>ゴッド</v>
          </cell>
          <cell r="O221" t="str">
            <v>none</v>
          </cell>
          <cell r="P221" t="str">
            <v>種族なし</v>
          </cell>
          <cell r="Q221" t="str">
            <v>アタッカー</v>
          </cell>
          <cell r="R221">
            <v>3</v>
          </cell>
          <cell r="S221" t="str">
            <v>NULL</v>
          </cell>
          <cell r="T221" t="str">
            <v>normal</v>
          </cell>
          <cell r="U221" t="str">
            <v>NULL</v>
          </cell>
          <cell r="V221" t="str">
            <v>NULL</v>
          </cell>
          <cell r="W221" t="str">
            <v>NULL</v>
          </cell>
        </row>
        <row r="222">
          <cell r="A222">
            <v>221</v>
          </cell>
          <cell r="B222" t="str">
            <v>ja</v>
          </cell>
          <cell r="C222" t="str">
            <v>宰相 ルキフグス</v>
          </cell>
          <cell r="D222" t="str">
            <v>初期ガチャ</v>
          </cell>
          <cell r="E222" t="str">
            <v>執行者</v>
          </cell>
          <cell r="F222" t="str">
            <v>美しい</v>
          </cell>
          <cell r="G222" t="str">
            <v>女性</v>
          </cell>
          <cell r="H222" t="str">
            <v>blue</v>
          </cell>
          <cell r="I222">
            <v>4</v>
          </cell>
          <cell r="J222" t="str">
            <v>PremiumN</v>
          </cell>
          <cell r="K222" t="str">
            <v>balance</v>
          </cell>
          <cell r="L222" t="str">
            <v>バランスタイプ</v>
          </cell>
          <cell r="M222" t="str">
            <v>god</v>
          </cell>
          <cell r="N222" t="str">
            <v>ゴッド</v>
          </cell>
          <cell r="O222" t="str">
            <v>none</v>
          </cell>
          <cell r="P222" t="str">
            <v>種族なし</v>
          </cell>
          <cell r="Q222" t="str">
            <v>アタッカー</v>
          </cell>
          <cell r="R222">
            <v>3</v>
          </cell>
          <cell r="S222" t="str">
            <v>NULL</v>
          </cell>
          <cell r="T222" t="str">
            <v>normal</v>
          </cell>
          <cell r="U222" t="str">
            <v>NULL</v>
          </cell>
          <cell r="V222" t="str">
            <v>NULL</v>
          </cell>
          <cell r="W222" t="str">
            <v>NULL</v>
          </cell>
        </row>
        <row r="223">
          <cell r="A223">
            <v>222</v>
          </cell>
          <cell r="B223" t="str">
            <v>ja</v>
          </cell>
          <cell r="C223" t="str">
            <v>避光の鉄鎖宰相 ルキフグス</v>
          </cell>
          <cell r="D223" t="str">
            <v>初期ガチャ</v>
          </cell>
          <cell r="E223" t="str">
            <v>執行者</v>
          </cell>
          <cell r="F223" t="str">
            <v>美しい</v>
          </cell>
          <cell r="G223" t="str">
            <v>女性</v>
          </cell>
          <cell r="H223" t="str">
            <v>blue</v>
          </cell>
          <cell r="I223">
            <v>5</v>
          </cell>
          <cell r="J223" t="str">
            <v>PremiumN</v>
          </cell>
          <cell r="K223" t="str">
            <v>balance</v>
          </cell>
          <cell r="L223" t="str">
            <v>バランスタイプ</v>
          </cell>
          <cell r="M223" t="str">
            <v>god</v>
          </cell>
          <cell r="N223" t="str">
            <v>ゴッド</v>
          </cell>
          <cell r="O223" t="str">
            <v>none</v>
          </cell>
          <cell r="P223" t="str">
            <v>種族なし</v>
          </cell>
          <cell r="Q223" t="str">
            <v>アタッカー</v>
          </cell>
          <cell r="R223">
            <v>3</v>
          </cell>
          <cell r="S223" t="str">
            <v>NULL</v>
          </cell>
          <cell r="T223" t="str">
            <v>normal</v>
          </cell>
          <cell r="U223" t="str">
            <v>NULL</v>
          </cell>
          <cell r="V223" t="str">
            <v>NULL</v>
          </cell>
          <cell r="W223" t="str">
            <v>NULL</v>
          </cell>
        </row>
        <row r="224">
          <cell r="A224">
            <v>223</v>
          </cell>
          <cell r="B224" t="str">
            <v>ja</v>
          </cell>
          <cell r="C224" t="str">
            <v>ヘラクレス</v>
          </cell>
          <cell r="D224" t="str">
            <v>初期ガチャ</v>
          </cell>
          <cell r="E224" t="str">
            <v>守護者</v>
          </cell>
          <cell r="F224" t="str">
            <v>格好いい</v>
          </cell>
          <cell r="G224" t="str">
            <v>男性</v>
          </cell>
          <cell r="H224" t="str">
            <v>yellow</v>
          </cell>
          <cell r="I224">
            <v>3</v>
          </cell>
          <cell r="J224" t="str">
            <v>PremiumN</v>
          </cell>
          <cell r="K224" t="str">
            <v>balance</v>
          </cell>
          <cell r="L224" t="str">
            <v>バランスタイプ</v>
          </cell>
          <cell r="M224" t="str">
            <v>human</v>
          </cell>
          <cell r="N224" t="str">
            <v>ヒューマン</v>
          </cell>
          <cell r="O224" t="str">
            <v>none</v>
          </cell>
          <cell r="P224" t="str">
            <v>種族なし</v>
          </cell>
          <cell r="Q224" t="str">
            <v>バッファー</v>
          </cell>
          <cell r="R224">
            <v>3</v>
          </cell>
          <cell r="S224" t="str">
            <v>NULL</v>
          </cell>
          <cell r="T224" t="str">
            <v>normal</v>
          </cell>
          <cell r="U224" t="str">
            <v>NULL</v>
          </cell>
          <cell r="V224" t="str">
            <v>NULL</v>
          </cell>
          <cell r="W224" t="str">
            <v>NULL</v>
          </cell>
        </row>
        <row r="225">
          <cell r="A225">
            <v>224</v>
          </cell>
          <cell r="B225" t="str">
            <v>ja</v>
          </cell>
          <cell r="C225" t="str">
            <v>巨腕 ヘラクレス</v>
          </cell>
          <cell r="D225" t="str">
            <v>初期ガチャ</v>
          </cell>
          <cell r="E225" t="str">
            <v>守護者</v>
          </cell>
          <cell r="F225" t="str">
            <v>格好いい</v>
          </cell>
          <cell r="G225" t="str">
            <v>男性</v>
          </cell>
          <cell r="H225" t="str">
            <v>yellow</v>
          </cell>
          <cell r="I225">
            <v>4</v>
          </cell>
          <cell r="J225" t="str">
            <v>PremiumN</v>
          </cell>
          <cell r="K225" t="str">
            <v>balance</v>
          </cell>
          <cell r="L225" t="str">
            <v>バランスタイプ</v>
          </cell>
          <cell r="M225" t="str">
            <v>human</v>
          </cell>
          <cell r="N225" t="str">
            <v>ヒューマン</v>
          </cell>
          <cell r="O225" t="str">
            <v>none</v>
          </cell>
          <cell r="P225" t="str">
            <v>種族なし</v>
          </cell>
          <cell r="Q225" t="str">
            <v>バッファー</v>
          </cell>
          <cell r="R225">
            <v>3</v>
          </cell>
          <cell r="S225" t="str">
            <v>NULL</v>
          </cell>
          <cell r="T225" t="str">
            <v>normal</v>
          </cell>
          <cell r="U225" t="str">
            <v>NULL</v>
          </cell>
          <cell r="V225" t="str">
            <v>NULL</v>
          </cell>
          <cell r="W225" t="str">
            <v>NULL</v>
          </cell>
        </row>
        <row r="226">
          <cell r="A226">
            <v>225</v>
          </cell>
          <cell r="B226" t="str">
            <v>ja</v>
          </cell>
          <cell r="C226" t="str">
            <v>咆哮の巨獅腕 ヘラクレス</v>
          </cell>
          <cell r="D226" t="str">
            <v>初期ガチャ</v>
          </cell>
          <cell r="E226" t="str">
            <v>守護者</v>
          </cell>
          <cell r="F226" t="str">
            <v>格好いい</v>
          </cell>
          <cell r="G226" t="str">
            <v>男性</v>
          </cell>
          <cell r="H226" t="str">
            <v>yellow</v>
          </cell>
          <cell r="I226">
            <v>5</v>
          </cell>
          <cell r="J226" t="str">
            <v>PremiumN</v>
          </cell>
          <cell r="K226" t="str">
            <v>balance</v>
          </cell>
          <cell r="L226" t="str">
            <v>バランスタイプ</v>
          </cell>
          <cell r="M226" t="str">
            <v>human</v>
          </cell>
          <cell r="N226" t="str">
            <v>ヒューマン</v>
          </cell>
          <cell r="O226" t="str">
            <v>none</v>
          </cell>
          <cell r="P226" t="str">
            <v>種族なし</v>
          </cell>
          <cell r="Q226" t="str">
            <v>バッファー</v>
          </cell>
          <cell r="R226">
            <v>3</v>
          </cell>
          <cell r="S226" t="str">
            <v>NULL</v>
          </cell>
          <cell r="T226" t="str">
            <v>normal</v>
          </cell>
          <cell r="U226" t="str">
            <v>NULL</v>
          </cell>
          <cell r="V226" t="str">
            <v>NULL</v>
          </cell>
          <cell r="W226" t="str">
            <v>NULL</v>
          </cell>
        </row>
        <row r="227">
          <cell r="A227">
            <v>226</v>
          </cell>
          <cell r="B227" t="str">
            <v>ja</v>
          </cell>
          <cell r="C227" t="str">
            <v>アレス</v>
          </cell>
          <cell r="D227" t="str">
            <v>初期ガチャ</v>
          </cell>
          <cell r="E227" t="str">
            <v>管理者</v>
          </cell>
          <cell r="F227" t="str">
            <v>格好いい</v>
          </cell>
          <cell r="G227" t="str">
            <v>男性</v>
          </cell>
          <cell r="H227" t="str">
            <v>red</v>
          </cell>
          <cell r="I227">
            <v>3</v>
          </cell>
          <cell r="J227" t="str">
            <v>PremiumS</v>
          </cell>
          <cell r="K227" t="str">
            <v>attack</v>
          </cell>
          <cell r="L227" t="str">
            <v>攻撃タイプ</v>
          </cell>
          <cell r="M227" t="str">
            <v>god</v>
          </cell>
          <cell r="N227" t="str">
            <v>ゴッド</v>
          </cell>
          <cell r="O227" t="str">
            <v>none</v>
          </cell>
          <cell r="P227" t="str">
            <v>種族なし</v>
          </cell>
          <cell r="Q227" t="str">
            <v>アタッカー</v>
          </cell>
          <cell r="R227">
            <v>3</v>
          </cell>
          <cell r="S227" t="str">
            <v>NULL</v>
          </cell>
          <cell r="T227" t="str">
            <v>normal</v>
          </cell>
          <cell r="U227" t="str">
            <v>NULL</v>
          </cell>
          <cell r="V227" t="str">
            <v>NULL</v>
          </cell>
          <cell r="W227" t="str">
            <v>NULL</v>
          </cell>
        </row>
        <row r="228">
          <cell r="A228">
            <v>227</v>
          </cell>
          <cell r="B228" t="str">
            <v>ja</v>
          </cell>
          <cell r="C228" t="str">
            <v>滅弾 アレス</v>
          </cell>
          <cell r="D228" t="str">
            <v>初期ガチャ</v>
          </cell>
          <cell r="E228" t="str">
            <v>管理者</v>
          </cell>
          <cell r="F228" t="str">
            <v>格好いい</v>
          </cell>
          <cell r="G228" t="str">
            <v>男性</v>
          </cell>
          <cell r="H228" t="str">
            <v>red</v>
          </cell>
          <cell r="I228">
            <v>4</v>
          </cell>
          <cell r="J228" t="str">
            <v>PremiumS</v>
          </cell>
          <cell r="K228" t="str">
            <v>attack</v>
          </cell>
          <cell r="L228" t="str">
            <v>攻撃タイプ</v>
          </cell>
          <cell r="M228" t="str">
            <v>god</v>
          </cell>
          <cell r="N228" t="str">
            <v>ゴッド</v>
          </cell>
          <cell r="O228" t="str">
            <v>none</v>
          </cell>
          <cell r="P228" t="str">
            <v>種族なし</v>
          </cell>
          <cell r="Q228" t="str">
            <v>アタッカー</v>
          </cell>
          <cell r="R228">
            <v>3</v>
          </cell>
          <cell r="S228" t="str">
            <v>NULL</v>
          </cell>
          <cell r="T228" t="str">
            <v>normal</v>
          </cell>
          <cell r="U228" t="str">
            <v>NULL</v>
          </cell>
          <cell r="V228" t="str">
            <v>NULL</v>
          </cell>
          <cell r="W228" t="str">
            <v>NULL</v>
          </cell>
        </row>
        <row r="229">
          <cell r="A229">
            <v>228</v>
          </cell>
          <cell r="B229" t="str">
            <v>ja</v>
          </cell>
          <cell r="C229" t="str">
            <v>殲滅の掃射砲 アレス</v>
          </cell>
          <cell r="D229" t="str">
            <v>初期ガチャ</v>
          </cell>
          <cell r="E229" t="str">
            <v>管理者</v>
          </cell>
          <cell r="F229" t="str">
            <v>格好いい</v>
          </cell>
          <cell r="G229" t="str">
            <v>男性</v>
          </cell>
          <cell r="H229" t="str">
            <v>red</v>
          </cell>
          <cell r="I229">
            <v>5</v>
          </cell>
          <cell r="J229" t="str">
            <v>PremiumS</v>
          </cell>
          <cell r="K229" t="str">
            <v>attack</v>
          </cell>
          <cell r="L229" t="str">
            <v>攻撃タイプ</v>
          </cell>
          <cell r="M229" t="str">
            <v>god</v>
          </cell>
          <cell r="N229" t="str">
            <v>ゴッド</v>
          </cell>
          <cell r="O229" t="str">
            <v>none</v>
          </cell>
          <cell r="P229" t="str">
            <v>種族なし</v>
          </cell>
          <cell r="Q229" t="str">
            <v>アタッカー</v>
          </cell>
          <cell r="R229">
            <v>3</v>
          </cell>
          <cell r="S229" t="str">
            <v>NULL</v>
          </cell>
          <cell r="T229" t="str">
            <v>normal</v>
          </cell>
          <cell r="U229" t="str">
            <v>NULL</v>
          </cell>
          <cell r="V229" t="str">
            <v>NULL</v>
          </cell>
          <cell r="W229" t="str">
            <v>NULL</v>
          </cell>
        </row>
        <row r="230">
          <cell r="A230">
            <v>229</v>
          </cell>
          <cell r="B230" t="str">
            <v>ja</v>
          </cell>
          <cell r="C230" t="str">
            <v>ヨルムンガンド</v>
          </cell>
          <cell r="D230" t="str">
            <v>初期ガチャ</v>
          </cell>
          <cell r="E230" t="str">
            <v>破界者</v>
          </cell>
          <cell r="F230" t="str">
            <v>可愛い</v>
          </cell>
          <cell r="G230" t="str">
            <v>女性</v>
          </cell>
          <cell r="H230" t="str">
            <v>green</v>
          </cell>
          <cell r="I230">
            <v>3</v>
          </cell>
          <cell r="J230" t="str">
            <v>PremiumS</v>
          </cell>
          <cell r="K230" t="str">
            <v>technical</v>
          </cell>
          <cell r="L230" t="str">
            <v>テクニカルタイプ</v>
          </cell>
          <cell r="M230" t="str">
            <v>dragon</v>
          </cell>
          <cell r="N230" t="str">
            <v>ドラゴン</v>
          </cell>
          <cell r="O230" t="str">
            <v>none</v>
          </cell>
          <cell r="P230" t="str">
            <v>種族なし</v>
          </cell>
          <cell r="Q230" t="str">
            <v>バッファー</v>
          </cell>
          <cell r="R230">
            <v>3</v>
          </cell>
          <cell r="S230" t="str">
            <v>NULL</v>
          </cell>
          <cell r="T230" t="str">
            <v>normal</v>
          </cell>
          <cell r="U230" t="str">
            <v>NULL</v>
          </cell>
          <cell r="V230" t="str">
            <v>NULL</v>
          </cell>
          <cell r="W230" t="str">
            <v>NULL</v>
          </cell>
        </row>
        <row r="231">
          <cell r="A231">
            <v>230</v>
          </cell>
          <cell r="B231" t="str">
            <v>ja</v>
          </cell>
          <cell r="C231" t="str">
            <v>毒銃 ヨルムンガンド</v>
          </cell>
          <cell r="D231" t="str">
            <v>初期ガチャ</v>
          </cell>
          <cell r="E231" t="str">
            <v>破界者</v>
          </cell>
          <cell r="F231" t="str">
            <v>可愛い</v>
          </cell>
          <cell r="G231" t="str">
            <v>女性</v>
          </cell>
          <cell r="H231" t="str">
            <v>green</v>
          </cell>
          <cell r="I231">
            <v>4</v>
          </cell>
          <cell r="J231" t="str">
            <v>PremiumS</v>
          </cell>
          <cell r="K231" t="str">
            <v>technical</v>
          </cell>
          <cell r="L231" t="str">
            <v>テクニカルタイプ</v>
          </cell>
          <cell r="M231" t="str">
            <v>dragon</v>
          </cell>
          <cell r="N231" t="str">
            <v>ドラゴン</v>
          </cell>
          <cell r="O231" t="str">
            <v>none</v>
          </cell>
          <cell r="P231" t="str">
            <v>種族なし</v>
          </cell>
          <cell r="Q231" t="str">
            <v>バッファー</v>
          </cell>
          <cell r="R231">
            <v>3</v>
          </cell>
          <cell r="S231" t="str">
            <v>NULL</v>
          </cell>
          <cell r="T231" t="str">
            <v>normal</v>
          </cell>
          <cell r="U231" t="str">
            <v>NULL</v>
          </cell>
          <cell r="V231" t="str">
            <v>NULL</v>
          </cell>
          <cell r="W231" t="str">
            <v>NULL</v>
          </cell>
        </row>
        <row r="232">
          <cell r="A232">
            <v>231</v>
          </cell>
          <cell r="B232" t="str">
            <v>ja</v>
          </cell>
          <cell r="C232" t="str">
            <v>必中の咬銃 ヨルムンガンド</v>
          </cell>
          <cell r="D232" t="str">
            <v>初期ガチャ</v>
          </cell>
          <cell r="E232" t="str">
            <v>破界者</v>
          </cell>
          <cell r="F232" t="str">
            <v>可愛い</v>
          </cell>
          <cell r="G232" t="str">
            <v>女性</v>
          </cell>
          <cell r="H232" t="str">
            <v>green</v>
          </cell>
          <cell r="I232">
            <v>5</v>
          </cell>
          <cell r="J232" t="str">
            <v>PremiumS</v>
          </cell>
          <cell r="K232" t="str">
            <v>technical</v>
          </cell>
          <cell r="L232" t="str">
            <v>テクニカルタイプ</v>
          </cell>
          <cell r="M232" t="str">
            <v>dragon</v>
          </cell>
          <cell r="N232" t="str">
            <v>ドラゴン</v>
          </cell>
          <cell r="O232" t="str">
            <v>none</v>
          </cell>
          <cell r="P232" t="str">
            <v>種族なし</v>
          </cell>
          <cell r="Q232" t="str">
            <v>バッファー</v>
          </cell>
          <cell r="R232">
            <v>3</v>
          </cell>
          <cell r="S232" t="str">
            <v>NULL</v>
          </cell>
          <cell r="T232" t="str">
            <v>normal</v>
          </cell>
          <cell r="U232" t="str">
            <v>NULL</v>
          </cell>
          <cell r="V232" t="str">
            <v>NULL</v>
          </cell>
          <cell r="W232" t="str">
            <v>NULL</v>
          </cell>
        </row>
        <row r="233">
          <cell r="A233">
            <v>232</v>
          </cell>
          <cell r="B233" t="str">
            <v>ja</v>
          </cell>
          <cell r="C233" t="str">
            <v>パーシヴァル</v>
          </cell>
          <cell r="D233" t="str">
            <v>初期ガチャ</v>
          </cell>
          <cell r="E233" t="str">
            <v>守護者</v>
          </cell>
          <cell r="F233" t="str">
            <v>美しい</v>
          </cell>
          <cell r="G233" t="str">
            <v>女性</v>
          </cell>
          <cell r="H233" t="str">
            <v>blue</v>
          </cell>
          <cell r="I233">
            <v>3</v>
          </cell>
          <cell r="J233" t="str">
            <v>PremiumS</v>
          </cell>
          <cell r="K233" t="str">
            <v>technical</v>
          </cell>
          <cell r="L233" t="str">
            <v>テクニカルタイプ</v>
          </cell>
          <cell r="M233" t="str">
            <v>human</v>
          </cell>
          <cell r="N233" t="str">
            <v>ヒューマン</v>
          </cell>
          <cell r="O233" t="str">
            <v>none</v>
          </cell>
          <cell r="P233" t="str">
            <v>種族なし</v>
          </cell>
          <cell r="Q233" t="str">
            <v>デバッファー</v>
          </cell>
          <cell r="R233">
            <v>3</v>
          </cell>
          <cell r="S233" t="str">
            <v>NULL</v>
          </cell>
          <cell r="T233" t="str">
            <v>normal</v>
          </cell>
          <cell r="U233" t="str">
            <v>NULL</v>
          </cell>
          <cell r="V233" t="str">
            <v>NULL</v>
          </cell>
          <cell r="W233" t="str">
            <v>NULL</v>
          </cell>
        </row>
        <row r="234">
          <cell r="A234">
            <v>233</v>
          </cell>
          <cell r="B234" t="str">
            <v>ja</v>
          </cell>
          <cell r="C234" t="str">
            <v>遂行 パーシヴァル</v>
          </cell>
          <cell r="D234" t="str">
            <v>初期ガチャ</v>
          </cell>
          <cell r="E234" t="str">
            <v>守護者</v>
          </cell>
          <cell r="F234" t="str">
            <v>美しい</v>
          </cell>
          <cell r="G234" t="str">
            <v>女性</v>
          </cell>
          <cell r="H234" t="str">
            <v>blue</v>
          </cell>
          <cell r="I234">
            <v>4</v>
          </cell>
          <cell r="J234" t="str">
            <v>PremiumS</v>
          </cell>
          <cell r="K234" t="str">
            <v>technical</v>
          </cell>
          <cell r="L234" t="str">
            <v>テクニカルタイプ</v>
          </cell>
          <cell r="M234" t="str">
            <v>human</v>
          </cell>
          <cell r="N234" t="str">
            <v>ヒューマン</v>
          </cell>
          <cell r="O234" t="str">
            <v>none</v>
          </cell>
          <cell r="P234" t="str">
            <v>種族なし</v>
          </cell>
          <cell r="Q234" t="str">
            <v>デバッファー</v>
          </cell>
          <cell r="R234">
            <v>3</v>
          </cell>
          <cell r="S234" t="str">
            <v>NULL</v>
          </cell>
          <cell r="T234" t="str">
            <v>normal</v>
          </cell>
          <cell r="U234" t="str">
            <v>NULL</v>
          </cell>
          <cell r="V234" t="str">
            <v>NULL</v>
          </cell>
          <cell r="W234" t="str">
            <v>NULL</v>
          </cell>
        </row>
        <row r="235">
          <cell r="A235">
            <v>234</v>
          </cell>
          <cell r="B235" t="str">
            <v>ja</v>
          </cell>
          <cell r="C235" t="str">
            <v>精密なる照準 パーシヴァル</v>
          </cell>
          <cell r="D235" t="str">
            <v>初期ガチャ</v>
          </cell>
          <cell r="E235" t="str">
            <v>守護者</v>
          </cell>
          <cell r="F235" t="str">
            <v>美しい</v>
          </cell>
          <cell r="G235" t="str">
            <v>女性</v>
          </cell>
          <cell r="H235" t="str">
            <v>blue</v>
          </cell>
          <cell r="I235">
            <v>5</v>
          </cell>
          <cell r="J235" t="str">
            <v>PremiumS</v>
          </cell>
          <cell r="K235" t="str">
            <v>technical</v>
          </cell>
          <cell r="L235" t="str">
            <v>テクニカルタイプ</v>
          </cell>
          <cell r="M235" t="str">
            <v>human</v>
          </cell>
          <cell r="N235" t="str">
            <v>ヒューマン</v>
          </cell>
          <cell r="O235" t="str">
            <v>none</v>
          </cell>
          <cell r="P235" t="str">
            <v>種族なし</v>
          </cell>
          <cell r="Q235" t="str">
            <v>デバッファー</v>
          </cell>
          <cell r="R235">
            <v>3</v>
          </cell>
          <cell r="S235" t="str">
            <v>NULL</v>
          </cell>
          <cell r="T235" t="str">
            <v>normal</v>
          </cell>
          <cell r="U235" t="str">
            <v>NULL</v>
          </cell>
          <cell r="V235" t="str">
            <v>NULL</v>
          </cell>
          <cell r="W235" t="str">
            <v>NULL</v>
          </cell>
        </row>
        <row r="236">
          <cell r="A236">
            <v>235</v>
          </cell>
          <cell r="B236" t="str">
            <v>ja</v>
          </cell>
          <cell r="C236" t="str">
            <v>イザナミ</v>
          </cell>
          <cell r="D236" t="str">
            <v>初期ガチャ</v>
          </cell>
          <cell r="E236" t="str">
            <v>執行者</v>
          </cell>
          <cell r="F236" t="str">
            <v>美しい</v>
          </cell>
          <cell r="G236" t="str">
            <v>女性</v>
          </cell>
          <cell r="H236" t="str">
            <v>yellow</v>
          </cell>
          <cell r="I236">
            <v>3</v>
          </cell>
          <cell r="J236" t="str">
            <v>PremiumS</v>
          </cell>
          <cell r="K236" t="str">
            <v>attack</v>
          </cell>
          <cell r="L236" t="str">
            <v>攻撃タイプ</v>
          </cell>
          <cell r="M236" t="str">
            <v>god</v>
          </cell>
          <cell r="N236" t="str">
            <v>ゴッド</v>
          </cell>
          <cell r="O236" t="str">
            <v>none</v>
          </cell>
          <cell r="P236" t="str">
            <v>種族なし</v>
          </cell>
          <cell r="Q236" t="str">
            <v>アタッカー</v>
          </cell>
          <cell r="R236">
            <v>3</v>
          </cell>
          <cell r="S236" t="str">
            <v>NULL</v>
          </cell>
          <cell r="T236" t="str">
            <v>normal</v>
          </cell>
          <cell r="U236" t="str">
            <v>NULL</v>
          </cell>
          <cell r="V236" t="str">
            <v>NULL</v>
          </cell>
          <cell r="W236" t="str">
            <v>NULL</v>
          </cell>
        </row>
        <row r="237">
          <cell r="A237">
            <v>236</v>
          </cell>
          <cell r="B237" t="str">
            <v>ja</v>
          </cell>
          <cell r="C237" t="str">
            <v>神産 イザナミ</v>
          </cell>
          <cell r="D237" t="str">
            <v>初期ガチャ</v>
          </cell>
          <cell r="E237" t="str">
            <v>執行者</v>
          </cell>
          <cell r="F237" t="str">
            <v>美しい</v>
          </cell>
          <cell r="G237" t="str">
            <v>女性</v>
          </cell>
          <cell r="H237" t="str">
            <v>yellow</v>
          </cell>
          <cell r="I237">
            <v>4</v>
          </cell>
          <cell r="J237" t="str">
            <v>PremiumS</v>
          </cell>
          <cell r="K237" t="str">
            <v>attack</v>
          </cell>
          <cell r="L237" t="str">
            <v>攻撃タイプ</v>
          </cell>
          <cell r="M237" t="str">
            <v>god</v>
          </cell>
          <cell r="N237" t="str">
            <v>ゴッド</v>
          </cell>
          <cell r="O237" t="str">
            <v>none</v>
          </cell>
          <cell r="P237" t="str">
            <v>種族なし</v>
          </cell>
          <cell r="Q237" t="str">
            <v>アタッカー</v>
          </cell>
          <cell r="R237">
            <v>3</v>
          </cell>
          <cell r="S237" t="str">
            <v>NULL</v>
          </cell>
          <cell r="T237" t="str">
            <v>normal</v>
          </cell>
          <cell r="U237" t="str">
            <v>NULL</v>
          </cell>
          <cell r="V237" t="str">
            <v>NULL</v>
          </cell>
          <cell r="W237" t="str">
            <v>NULL</v>
          </cell>
        </row>
        <row r="238">
          <cell r="A238">
            <v>237</v>
          </cell>
          <cell r="B238" t="str">
            <v>ja</v>
          </cell>
          <cell r="C238" t="str">
            <v>森羅万象の神母 イザナミ</v>
          </cell>
          <cell r="D238" t="str">
            <v>初期ガチャ</v>
          </cell>
          <cell r="E238" t="str">
            <v>執行者</v>
          </cell>
          <cell r="F238" t="str">
            <v>美しい</v>
          </cell>
          <cell r="G238" t="str">
            <v>女性</v>
          </cell>
          <cell r="H238" t="str">
            <v>yellow</v>
          </cell>
          <cell r="I238">
            <v>5</v>
          </cell>
          <cell r="J238" t="str">
            <v>PremiumS</v>
          </cell>
          <cell r="K238" t="str">
            <v>attack</v>
          </cell>
          <cell r="L238" t="str">
            <v>攻撃タイプ</v>
          </cell>
          <cell r="M238" t="str">
            <v>god</v>
          </cell>
          <cell r="N238" t="str">
            <v>ゴッド</v>
          </cell>
          <cell r="O238" t="str">
            <v>none</v>
          </cell>
          <cell r="P238" t="str">
            <v>種族なし</v>
          </cell>
          <cell r="Q238" t="str">
            <v>アタッカー</v>
          </cell>
          <cell r="R238">
            <v>3</v>
          </cell>
          <cell r="S238" t="str">
            <v>NULL</v>
          </cell>
          <cell r="T238" t="str">
            <v>normal</v>
          </cell>
          <cell r="U238" t="str">
            <v>NULL</v>
          </cell>
          <cell r="V238" t="str">
            <v>NULL</v>
          </cell>
          <cell r="W238" t="str">
            <v>NULL</v>
          </cell>
        </row>
        <row r="239">
          <cell r="A239">
            <v>238</v>
          </cell>
          <cell r="B239" t="str">
            <v>ja</v>
          </cell>
          <cell r="C239" t="str">
            <v>ウリエル</v>
          </cell>
          <cell r="D239" t="str">
            <v>ガチャ:天使01</v>
          </cell>
          <cell r="E239" t="str">
            <v>管理者</v>
          </cell>
          <cell r="F239" t="str">
            <v>美しい</v>
          </cell>
          <cell r="G239" t="str">
            <v>女性</v>
          </cell>
          <cell r="H239" t="str">
            <v>red</v>
          </cell>
          <cell r="I239">
            <v>3</v>
          </cell>
          <cell r="J239" t="str">
            <v>PremiumS</v>
          </cell>
          <cell r="K239" t="str">
            <v>hp</v>
          </cell>
          <cell r="L239" t="str">
            <v>体力タイプ</v>
          </cell>
          <cell r="M239" t="str">
            <v>machine</v>
          </cell>
          <cell r="N239" t="str">
            <v>マシン</v>
          </cell>
          <cell r="O239" t="str">
            <v>god</v>
          </cell>
          <cell r="P239" t="str">
            <v>ゴッド</v>
          </cell>
          <cell r="Q239" t="str">
            <v>パネルコンバーター</v>
          </cell>
          <cell r="R239">
            <v>3</v>
          </cell>
          <cell r="S239" t="str">
            <v>NULL</v>
          </cell>
          <cell r="T239" t="str">
            <v>normal</v>
          </cell>
          <cell r="U239" t="str">
            <v>NULL</v>
          </cell>
          <cell r="V239" t="str">
            <v>NULL</v>
          </cell>
          <cell r="W239" t="str">
            <v>NULL</v>
          </cell>
        </row>
        <row r="240">
          <cell r="A240">
            <v>239</v>
          </cell>
          <cell r="B240" t="str">
            <v>ja</v>
          </cell>
          <cell r="C240" t="str">
            <v>豪炎の天使 ウリエル</v>
          </cell>
          <cell r="D240" t="str">
            <v>ガチャ:天使01</v>
          </cell>
          <cell r="E240" t="str">
            <v>管理者</v>
          </cell>
          <cell r="F240" t="str">
            <v>美しい</v>
          </cell>
          <cell r="G240" t="str">
            <v>女性</v>
          </cell>
          <cell r="H240" t="str">
            <v>red</v>
          </cell>
          <cell r="I240">
            <v>4</v>
          </cell>
          <cell r="J240" t="str">
            <v>PremiumS</v>
          </cell>
          <cell r="K240" t="str">
            <v>hp</v>
          </cell>
          <cell r="L240" t="str">
            <v>体力タイプ</v>
          </cell>
          <cell r="M240" t="str">
            <v>machine</v>
          </cell>
          <cell r="N240" t="str">
            <v>マシン</v>
          </cell>
          <cell r="O240" t="str">
            <v>god</v>
          </cell>
          <cell r="P240" t="str">
            <v>ゴッド</v>
          </cell>
          <cell r="Q240" t="str">
            <v>パネルコンバーター</v>
          </cell>
          <cell r="R240">
            <v>3</v>
          </cell>
          <cell r="S240" t="str">
            <v>NULL</v>
          </cell>
          <cell r="T240" t="str">
            <v>normal</v>
          </cell>
          <cell r="U240" t="str">
            <v>NULL</v>
          </cell>
          <cell r="V240" t="str">
            <v>NULL</v>
          </cell>
          <cell r="W240" t="str">
            <v>NULL</v>
          </cell>
        </row>
        <row r="241">
          <cell r="A241">
            <v>240</v>
          </cell>
          <cell r="B241" t="str">
            <v>ja</v>
          </cell>
          <cell r="C241" t="str">
            <v>轟炎の天使 ウリエル・スレイヤー</v>
          </cell>
          <cell r="D241" t="str">
            <v>ガチャ:天使01</v>
          </cell>
          <cell r="E241" t="str">
            <v>管理者</v>
          </cell>
          <cell r="F241" t="str">
            <v>美しい</v>
          </cell>
          <cell r="G241" t="str">
            <v>女性</v>
          </cell>
          <cell r="H241" t="str">
            <v>red</v>
          </cell>
          <cell r="I241">
            <v>5</v>
          </cell>
          <cell r="J241" t="str">
            <v>PremiumS</v>
          </cell>
          <cell r="K241" t="str">
            <v>hp</v>
          </cell>
          <cell r="L241" t="str">
            <v>体力タイプ</v>
          </cell>
          <cell r="M241" t="str">
            <v>machine</v>
          </cell>
          <cell r="N241" t="str">
            <v>マシン</v>
          </cell>
          <cell r="O241" t="str">
            <v>god</v>
          </cell>
          <cell r="P241" t="str">
            <v>ゴッド</v>
          </cell>
          <cell r="Q241" t="str">
            <v>パネルコンバーター</v>
          </cell>
          <cell r="R241">
            <v>3</v>
          </cell>
          <cell r="S241" t="str">
            <v>NULL</v>
          </cell>
          <cell r="T241" t="str">
            <v>normal</v>
          </cell>
          <cell r="U241" t="str">
            <v>NULL</v>
          </cell>
          <cell r="V241" t="str">
            <v>NULL</v>
          </cell>
          <cell r="W241" t="str">
            <v>NULL</v>
          </cell>
        </row>
        <row r="242">
          <cell r="A242">
            <v>241</v>
          </cell>
          <cell r="B242" t="str">
            <v>ja</v>
          </cell>
          <cell r="C242" t="str">
            <v>ガブリエル</v>
          </cell>
          <cell r="D242" t="str">
            <v>ガチャ:天使01</v>
          </cell>
          <cell r="E242" t="str">
            <v>管理者</v>
          </cell>
          <cell r="F242" t="str">
            <v>美しい</v>
          </cell>
          <cell r="G242" t="str">
            <v>女性</v>
          </cell>
          <cell r="H242" t="str">
            <v>green</v>
          </cell>
          <cell r="I242">
            <v>3</v>
          </cell>
          <cell r="J242" t="str">
            <v>PremiumS</v>
          </cell>
          <cell r="K242" t="str">
            <v>balance</v>
          </cell>
          <cell r="L242" t="str">
            <v>バランスタイプ</v>
          </cell>
          <cell r="M242" t="str">
            <v>machine</v>
          </cell>
          <cell r="N242" t="str">
            <v>マシン</v>
          </cell>
          <cell r="O242" t="str">
            <v>god</v>
          </cell>
          <cell r="P242" t="str">
            <v>ゴッド</v>
          </cell>
          <cell r="Q242" t="str">
            <v>アタッカー</v>
          </cell>
          <cell r="R242">
            <v>3</v>
          </cell>
          <cell r="S242" t="str">
            <v>NULL</v>
          </cell>
          <cell r="T242" t="str">
            <v>normal</v>
          </cell>
          <cell r="U242" t="str">
            <v>NULL</v>
          </cell>
          <cell r="V242" t="str">
            <v>NULL</v>
          </cell>
          <cell r="W242" t="str">
            <v>NULL</v>
          </cell>
        </row>
        <row r="243">
          <cell r="A243">
            <v>242</v>
          </cell>
          <cell r="B243" t="str">
            <v>ja</v>
          </cell>
          <cell r="C243" t="str">
            <v>百花の天使 ガブリエル</v>
          </cell>
          <cell r="D243" t="str">
            <v>ガチャ:天使01</v>
          </cell>
          <cell r="E243" t="str">
            <v>管理者</v>
          </cell>
          <cell r="F243" t="str">
            <v>美しい</v>
          </cell>
          <cell r="G243" t="str">
            <v>女性</v>
          </cell>
          <cell r="H243" t="str">
            <v>green</v>
          </cell>
          <cell r="I243">
            <v>4</v>
          </cell>
          <cell r="J243" t="str">
            <v>PremiumS</v>
          </cell>
          <cell r="K243" t="str">
            <v>balance</v>
          </cell>
          <cell r="L243" t="str">
            <v>バランスタイプ</v>
          </cell>
          <cell r="M243" t="str">
            <v>machine</v>
          </cell>
          <cell r="N243" t="str">
            <v>マシン</v>
          </cell>
          <cell r="O243" t="str">
            <v>god</v>
          </cell>
          <cell r="P243" t="str">
            <v>ゴッド</v>
          </cell>
          <cell r="Q243" t="str">
            <v>アタッカー</v>
          </cell>
          <cell r="R243">
            <v>3</v>
          </cell>
          <cell r="S243" t="str">
            <v>NULL</v>
          </cell>
          <cell r="T243" t="str">
            <v>normal</v>
          </cell>
          <cell r="U243" t="str">
            <v>NULL</v>
          </cell>
          <cell r="V243" t="str">
            <v>NULL</v>
          </cell>
          <cell r="W243" t="str">
            <v>NULL</v>
          </cell>
        </row>
        <row r="244">
          <cell r="A244">
            <v>243</v>
          </cell>
          <cell r="B244" t="str">
            <v>ja</v>
          </cell>
          <cell r="C244" t="str">
            <v>万花の天使 ガブリエル・ブルーム</v>
          </cell>
          <cell r="D244" t="str">
            <v>ガチャ:天使01</v>
          </cell>
          <cell r="E244" t="str">
            <v>管理者</v>
          </cell>
          <cell r="F244" t="str">
            <v>美しい</v>
          </cell>
          <cell r="G244" t="str">
            <v>女性</v>
          </cell>
          <cell r="H244" t="str">
            <v>green</v>
          </cell>
          <cell r="I244">
            <v>5</v>
          </cell>
          <cell r="J244" t="str">
            <v>PremiumS</v>
          </cell>
          <cell r="K244" t="str">
            <v>balance</v>
          </cell>
          <cell r="L244" t="str">
            <v>バランスタイプ</v>
          </cell>
          <cell r="M244" t="str">
            <v>machine</v>
          </cell>
          <cell r="N244" t="str">
            <v>マシン</v>
          </cell>
          <cell r="O244" t="str">
            <v>god</v>
          </cell>
          <cell r="P244" t="str">
            <v>ゴッド</v>
          </cell>
          <cell r="Q244" t="str">
            <v>アタッカー</v>
          </cell>
          <cell r="R244">
            <v>3</v>
          </cell>
          <cell r="S244" t="str">
            <v>NULL</v>
          </cell>
          <cell r="T244" t="str">
            <v>normal</v>
          </cell>
          <cell r="U244" t="str">
            <v>NULL</v>
          </cell>
          <cell r="V244" t="str">
            <v>NULL</v>
          </cell>
          <cell r="W244" t="str">
            <v>NULL</v>
          </cell>
        </row>
        <row r="245">
          <cell r="A245">
            <v>244</v>
          </cell>
          <cell r="B245" t="str">
            <v>ja</v>
          </cell>
          <cell r="C245" t="str">
            <v>ラファエル</v>
          </cell>
          <cell r="D245" t="str">
            <v>ガチャ:天使01</v>
          </cell>
          <cell r="E245" t="str">
            <v>管理者</v>
          </cell>
          <cell r="F245" t="str">
            <v>美しい</v>
          </cell>
          <cell r="G245" t="str">
            <v>女性</v>
          </cell>
          <cell r="H245" t="str">
            <v>blue</v>
          </cell>
          <cell r="I245">
            <v>3</v>
          </cell>
          <cell r="J245" t="str">
            <v>PremiumS</v>
          </cell>
          <cell r="K245" t="str">
            <v>balance</v>
          </cell>
          <cell r="L245" t="str">
            <v>バランスタイプ</v>
          </cell>
          <cell r="M245" t="str">
            <v>machine</v>
          </cell>
          <cell r="N245" t="str">
            <v>マシン</v>
          </cell>
          <cell r="O245" t="str">
            <v>god</v>
          </cell>
          <cell r="P245" t="str">
            <v>ゴッド</v>
          </cell>
          <cell r="Q245" t="str">
            <v>バッファー</v>
          </cell>
          <cell r="R245">
            <v>3</v>
          </cell>
          <cell r="S245" t="str">
            <v>NULL</v>
          </cell>
          <cell r="T245" t="str">
            <v>normal</v>
          </cell>
          <cell r="U245" t="str">
            <v>NULL</v>
          </cell>
          <cell r="V245" t="str">
            <v>NULL</v>
          </cell>
          <cell r="W245" t="str">
            <v>NULL</v>
          </cell>
        </row>
        <row r="246">
          <cell r="A246">
            <v>245</v>
          </cell>
          <cell r="B246" t="str">
            <v>ja</v>
          </cell>
          <cell r="C246" t="str">
            <v>鎮癒の天使 ラファエル</v>
          </cell>
          <cell r="D246" t="str">
            <v>ガチャ:天使01</v>
          </cell>
          <cell r="E246" t="str">
            <v>管理者</v>
          </cell>
          <cell r="F246" t="str">
            <v>美しい</v>
          </cell>
          <cell r="G246" t="str">
            <v>女性</v>
          </cell>
          <cell r="H246" t="str">
            <v>blue</v>
          </cell>
          <cell r="I246">
            <v>4</v>
          </cell>
          <cell r="J246" t="str">
            <v>PremiumS</v>
          </cell>
          <cell r="K246" t="str">
            <v>balance</v>
          </cell>
          <cell r="L246" t="str">
            <v>バランスタイプ</v>
          </cell>
          <cell r="M246" t="str">
            <v>machine</v>
          </cell>
          <cell r="N246" t="str">
            <v>マシン</v>
          </cell>
          <cell r="O246" t="str">
            <v>god</v>
          </cell>
          <cell r="P246" t="str">
            <v>ゴッド</v>
          </cell>
          <cell r="Q246" t="str">
            <v>バッファー</v>
          </cell>
          <cell r="R246">
            <v>3</v>
          </cell>
          <cell r="S246" t="str">
            <v>NULL</v>
          </cell>
          <cell r="T246" t="str">
            <v>normal</v>
          </cell>
          <cell r="U246" t="str">
            <v>NULL</v>
          </cell>
          <cell r="V246" t="str">
            <v>NULL</v>
          </cell>
          <cell r="W246" t="str">
            <v>NULL</v>
          </cell>
        </row>
        <row r="247">
          <cell r="A247">
            <v>246</v>
          </cell>
          <cell r="B247" t="str">
            <v>ja</v>
          </cell>
          <cell r="C247" t="str">
            <v>真癒の天使 ラファエル・メディカ</v>
          </cell>
          <cell r="D247" t="str">
            <v>ガチャ:天使01</v>
          </cell>
          <cell r="E247" t="str">
            <v>管理者</v>
          </cell>
          <cell r="F247" t="str">
            <v>美しい</v>
          </cell>
          <cell r="G247" t="str">
            <v>女性</v>
          </cell>
          <cell r="H247" t="str">
            <v>blue</v>
          </cell>
          <cell r="I247">
            <v>5</v>
          </cell>
          <cell r="J247" t="str">
            <v>PremiumS</v>
          </cell>
          <cell r="K247" t="str">
            <v>balance</v>
          </cell>
          <cell r="L247" t="str">
            <v>バランスタイプ</v>
          </cell>
          <cell r="M247" t="str">
            <v>machine</v>
          </cell>
          <cell r="N247" t="str">
            <v>マシン</v>
          </cell>
          <cell r="O247" t="str">
            <v>god</v>
          </cell>
          <cell r="P247" t="str">
            <v>ゴッド</v>
          </cell>
          <cell r="Q247" t="str">
            <v>バッファー</v>
          </cell>
          <cell r="R247">
            <v>3</v>
          </cell>
          <cell r="S247" t="str">
            <v>NULL</v>
          </cell>
          <cell r="T247" t="str">
            <v>normal</v>
          </cell>
          <cell r="U247" t="str">
            <v>NULL</v>
          </cell>
          <cell r="V247" t="str">
            <v>NULL</v>
          </cell>
          <cell r="W247" t="str">
            <v>NULL</v>
          </cell>
        </row>
        <row r="248">
          <cell r="A248">
            <v>247</v>
          </cell>
          <cell r="B248" t="str">
            <v>ja</v>
          </cell>
          <cell r="C248" t="str">
            <v>ミカエル</v>
          </cell>
          <cell r="D248" t="str">
            <v>ガチャ:天使01</v>
          </cell>
          <cell r="E248" t="str">
            <v>管理者</v>
          </cell>
          <cell r="F248" t="str">
            <v>可愛い</v>
          </cell>
          <cell r="G248" t="str">
            <v>女性</v>
          </cell>
          <cell r="H248" t="str">
            <v>yellow</v>
          </cell>
          <cell r="I248">
            <v>3</v>
          </cell>
          <cell r="J248" t="str">
            <v>PremiumS</v>
          </cell>
          <cell r="K248" t="str">
            <v>attack</v>
          </cell>
          <cell r="L248" t="str">
            <v>攻撃タイプ</v>
          </cell>
          <cell r="M248" t="str">
            <v>machine</v>
          </cell>
          <cell r="N248" t="str">
            <v>マシン</v>
          </cell>
          <cell r="O248" t="str">
            <v>god</v>
          </cell>
          <cell r="P248" t="str">
            <v>ゴッド</v>
          </cell>
          <cell r="Q248" t="str">
            <v>アタッカー</v>
          </cell>
          <cell r="R248">
            <v>3</v>
          </cell>
          <cell r="S248" t="str">
            <v>NULL</v>
          </cell>
          <cell r="T248" t="str">
            <v>normal</v>
          </cell>
          <cell r="U248" t="str">
            <v>NULL</v>
          </cell>
          <cell r="V248" t="str">
            <v>NULL</v>
          </cell>
          <cell r="W248" t="str">
            <v>NULL</v>
          </cell>
        </row>
        <row r="249">
          <cell r="A249">
            <v>248</v>
          </cell>
          <cell r="B249" t="str">
            <v>ja</v>
          </cell>
          <cell r="C249" t="str">
            <v>彩電の天使 ミカエル</v>
          </cell>
          <cell r="D249" t="str">
            <v>ガチャ:天使01</v>
          </cell>
          <cell r="E249" t="str">
            <v>管理者</v>
          </cell>
          <cell r="F249" t="str">
            <v>可愛い</v>
          </cell>
          <cell r="G249" t="str">
            <v>女性</v>
          </cell>
          <cell r="H249" t="str">
            <v>yellow</v>
          </cell>
          <cell r="I249">
            <v>4</v>
          </cell>
          <cell r="J249" t="str">
            <v>PremiumS</v>
          </cell>
          <cell r="K249" t="str">
            <v>attack</v>
          </cell>
          <cell r="L249" t="str">
            <v>攻撃タイプ</v>
          </cell>
          <cell r="M249" t="str">
            <v>machine</v>
          </cell>
          <cell r="N249" t="str">
            <v>マシン</v>
          </cell>
          <cell r="O249" t="str">
            <v>god</v>
          </cell>
          <cell r="P249" t="str">
            <v>ゴッド</v>
          </cell>
          <cell r="Q249" t="str">
            <v>アタッカー</v>
          </cell>
          <cell r="R249">
            <v>3</v>
          </cell>
          <cell r="S249" t="str">
            <v>NULL</v>
          </cell>
          <cell r="T249" t="str">
            <v>normal</v>
          </cell>
          <cell r="U249" t="str">
            <v>NULL</v>
          </cell>
          <cell r="V249" t="str">
            <v>NULL</v>
          </cell>
          <cell r="W249" t="str">
            <v>NULL</v>
          </cell>
        </row>
        <row r="250">
          <cell r="A250">
            <v>249</v>
          </cell>
          <cell r="B250" t="str">
            <v>ja</v>
          </cell>
          <cell r="C250" t="str">
            <v>雷電の天使 ミカエル・ゲイナー</v>
          </cell>
          <cell r="D250" t="str">
            <v>ガチャ:天使01</v>
          </cell>
          <cell r="E250" t="str">
            <v>管理者</v>
          </cell>
          <cell r="F250" t="str">
            <v>可愛い</v>
          </cell>
          <cell r="G250" t="str">
            <v>女性</v>
          </cell>
          <cell r="H250" t="str">
            <v>yellow</v>
          </cell>
          <cell r="I250">
            <v>5</v>
          </cell>
          <cell r="J250" t="str">
            <v>PremiumS</v>
          </cell>
          <cell r="K250" t="str">
            <v>attack</v>
          </cell>
          <cell r="L250" t="str">
            <v>攻撃タイプ</v>
          </cell>
          <cell r="M250" t="str">
            <v>machine</v>
          </cell>
          <cell r="N250" t="str">
            <v>マシン</v>
          </cell>
          <cell r="O250" t="str">
            <v>god</v>
          </cell>
          <cell r="P250" t="str">
            <v>ゴッド</v>
          </cell>
          <cell r="Q250" t="str">
            <v>アタッカー</v>
          </cell>
          <cell r="R250">
            <v>3</v>
          </cell>
          <cell r="S250" t="str">
            <v>NULL</v>
          </cell>
          <cell r="T250" t="str">
            <v>normal</v>
          </cell>
          <cell r="U250" t="str">
            <v>NULL</v>
          </cell>
          <cell r="V250" t="str">
            <v>NULL</v>
          </cell>
          <cell r="W250" t="str">
            <v>NULL</v>
          </cell>
        </row>
        <row r="251">
          <cell r="A251">
            <v>250</v>
          </cell>
          <cell r="B251" t="str">
            <v>ja</v>
          </cell>
          <cell r="C251" t="str">
            <v>マンモン</v>
          </cell>
          <cell r="D251" t="str">
            <v>ガチャ:7つの大罪01</v>
          </cell>
          <cell r="E251" t="str">
            <v>執行者</v>
          </cell>
          <cell r="F251" t="str">
            <v>美しい</v>
          </cell>
          <cell r="G251" t="str">
            <v>女性</v>
          </cell>
          <cell r="H251" t="str">
            <v>red</v>
          </cell>
          <cell r="I251">
            <v>3</v>
          </cell>
          <cell r="J251" t="str">
            <v>PremiumS</v>
          </cell>
          <cell r="K251" t="str">
            <v>balance</v>
          </cell>
          <cell r="L251" t="str">
            <v>バランスタイプ</v>
          </cell>
          <cell r="M251" t="str">
            <v>god</v>
          </cell>
          <cell r="N251" t="str">
            <v>ゴッド</v>
          </cell>
          <cell r="O251" t="str">
            <v>none</v>
          </cell>
          <cell r="P251" t="str">
            <v>種族なし</v>
          </cell>
          <cell r="Q251" t="str">
            <v>アタッカー</v>
          </cell>
          <cell r="R251">
            <v>3</v>
          </cell>
          <cell r="S251" t="str">
            <v>NULL</v>
          </cell>
          <cell r="T251" t="str">
            <v>normal</v>
          </cell>
          <cell r="U251" t="str">
            <v>NULL</v>
          </cell>
          <cell r="V251" t="str">
            <v>NULL</v>
          </cell>
          <cell r="W251" t="str">
            <v>NULL</v>
          </cell>
        </row>
        <row r="252">
          <cell r="A252">
            <v>251</v>
          </cell>
          <cell r="B252" t="str">
            <v>ja</v>
          </cell>
          <cell r="C252" t="str">
            <v>強欲 マンモン</v>
          </cell>
          <cell r="D252" t="str">
            <v>ガチャ:7つの大罪01</v>
          </cell>
          <cell r="E252" t="str">
            <v>執行者</v>
          </cell>
          <cell r="F252" t="str">
            <v>美しい</v>
          </cell>
          <cell r="G252" t="str">
            <v>女性</v>
          </cell>
          <cell r="H252" t="str">
            <v>red</v>
          </cell>
          <cell r="I252">
            <v>4</v>
          </cell>
          <cell r="J252" t="str">
            <v>PremiumS</v>
          </cell>
          <cell r="K252" t="str">
            <v>balance</v>
          </cell>
          <cell r="L252" t="str">
            <v>バランスタイプ</v>
          </cell>
          <cell r="M252" t="str">
            <v>god</v>
          </cell>
          <cell r="N252" t="str">
            <v>ゴッド</v>
          </cell>
          <cell r="O252" t="str">
            <v>none</v>
          </cell>
          <cell r="P252" t="str">
            <v>種族なし</v>
          </cell>
          <cell r="Q252" t="str">
            <v>アタッカー</v>
          </cell>
          <cell r="R252">
            <v>3</v>
          </cell>
          <cell r="S252" t="str">
            <v>NULL</v>
          </cell>
          <cell r="T252" t="str">
            <v>normal</v>
          </cell>
          <cell r="U252" t="str">
            <v>NULL</v>
          </cell>
          <cell r="V252" t="str">
            <v>NULL</v>
          </cell>
          <cell r="W252" t="str">
            <v>NULL</v>
          </cell>
        </row>
        <row r="253">
          <cell r="A253">
            <v>252</v>
          </cell>
          <cell r="B253" t="str">
            <v>ja</v>
          </cell>
          <cell r="C253" t="str">
            <v>強欲の沸騰 マンモン</v>
          </cell>
          <cell r="D253" t="str">
            <v>ガチャ:7つの大罪01</v>
          </cell>
          <cell r="E253" t="str">
            <v>執行者</v>
          </cell>
          <cell r="F253" t="str">
            <v>美しい</v>
          </cell>
          <cell r="G253" t="str">
            <v>女性</v>
          </cell>
          <cell r="H253" t="str">
            <v>red</v>
          </cell>
          <cell r="I253">
            <v>5</v>
          </cell>
          <cell r="J253" t="str">
            <v>PremiumS</v>
          </cell>
          <cell r="K253" t="str">
            <v>balance</v>
          </cell>
          <cell r="L253" t="str">
            <v>バランスタイプ</v>
          </cell>
          <cell r="M253" t="str">
            <v>god</v>
          </cell>
          <cell r="N253" t="str">
            <v>ゴッド</v>
          </cell>
          <cell r="O253" t="str">
            <v>none</v>
          </cell>
          <cell r="P253" t="str">
            <v>種族なし</v>
          </cell>
          <cell r="Q253" t="str">
            <v>アタッカー</v>
          </cell>
          <cell r="R253">
            <v>3</v>
          </cell>
          <cell r="S253" t="str">
            <v>NULL</v>
          </cell>
          <cell r="T253" t="str">
            <v>normal</v>
          </cell>
          <cell r="U253" t="str">
            <v>NULL</v>
          </cell>
          <cell r="V253" t="str">
            <v>NULL</v>
          </cell>
          <cell r="W253" t="str">
            <v>NULL</v>
          </cell>
        </row>
        <row r="254">
          <cell r="A254">
            <v>253</v>
          </cell>
          <cell r="B254" t="str">
            <v>ja</v>
          </cell>
          <cell r="C254" t="str">
            <v>ベルフェゴール</v>
          </cell>
          <cell r="D254" t="str">
            <v>ガチャ:7つの大罪01</v>
          </cell>
          <cell r="E254" t="str">
            <v>執行者</v>
          </cell>
          <cell r="F254" t="str">
            <v>可愛い</v>
          </cell>
          <cell r="G254" t="str">
            <v>女性</v>
          </cell>
          <cell r="H254" t="str">
            <v>green</v>
          </cell>
          <cell r="I254">
            <v>3</v>
          </cell>
          <cell r="J254" t="str">
            <v>PremiumS</v>
          </cell>
          <cell r="K254" t="str">
            <v>technical</v>
          </cell>
          <cell r="L254" t="str">
            <v>テクニカルタイプ</v>
          </cell>
          <cell r="M254" t="str">
            <v>god</v>
          </cell>
          <cell r="N254" t="str">
            <v>ゴッド</v>
          </cell>
          <cell r="O254" t="str">
            <v>none</v>
          </cell>
          <cell r="P254" t="str">
            <v>種族なし</v>
          </cell>
          <cell r="Q254" t="str">
            <v>デバッファー</v>
          </cell>
          <cell r="R254">
            <v>3</v>
          </cell>
          <cell r="S254" t="str">
            <v>NULL</v>
          </cell>
          <cell r="T254" t="str">
            <v>normal</v>
          </cell>
          <cell r="U254" t="str">
            <v>NULL</v>
          </cell>
          <cell r="V254" t="str">
            <v>NULL</v>
          </cell>
          <cell r="W254" t="str">
            <v>NULL</v>
          </cell>
        </row>
        <row r="255">
          <cell r="A255">
            <v>254</v>
          </cell>
          <cell r="B255" t="str">
            <v>ja</v>
          </cell>
          <cell r="C255" t="str">
            <v>怠惰 ベルフェゴール</v>
          </cell>
          <cell r="D255" t="str">
            <v>ガチャ:7つの大罪01</v>
          </cell>
          <cell r="E255" t="str">
            <v>執行者</v>
          </cell>
          <cell r="F255" t="str">
            <v>可愛い</v>
          </cell>
          <cell r="G255" t="str">
            <v>女性</v>
          </cell>
          <cell r="H255" t="str">
            <v>green</v>
          </cell>
          <cell r="I255">
            <v>4</v>
          </cell>
          <cell r="J255" t="str">
            <v>PremiumS</v>
          </cell>
          <cell r="K255" t="str">
            <v>technical</v>
          </cell>
          <cell r="L255" t="str">
            <v>テクニカルタイプ</v>
          </cell>
          <cell r="M255" t="str">
            <v>god</v>
          </cell>
          <cell r="N255" t="str">
            <v>ゴッド</v>
          </cell>
          <cell r="O255" t="str">
            <v>none</v>
          </cell>
          <cell r="P255" t="str">
            <v>種族なし</v>
          </cell>
          <cell r="Q255" t="str">
            <v>デバッファー</v>
          </cell>
          <cell r="R255">
            <v>3</v>
          </cell>
          <cell r="S255" t="str">
            <v>NULL</v>
          </cell>
          <cell r="T255" t="str">
            <v>normal</v>
          </cell>
          <cell r="U255" t="str">
            <v>NULL</v>
          </cell>
          <cell r="V255" t="str">
            <v>NULL</v>
          </cell>
          <cell r="W255" t="str">
            <v>NULL</v>
          </cell>
        </row>
        <row r="256">
          <cell r="A256">
            <v>255</v>
          </cell>
          <cell r="B256" t="str">
            <v>ja</v>
          </cell>
          <cell r="C256" t="str">
            <v>怠惰の頂点 ベルフェゴール</v>
          </cell>
          <cell r="D256" t="str">
            <v>ガチャ:7つの大罪01</v>
          </cell>
          <cell r="E256" t="str">
            <v>執行者</v>
          </cell>
          <cell r="F256" t="str">
            <v>可愛い</v>
          </cell>
          <cell r="G256" t="str">
            <v>女性</v>
          </cell>
          <cell r="H256" t="str">
            <v>green</v>
          </cell>
          <cell r="I256">
            <v>5</v>
          </cell>
          <cell r="J256" t="str">
            <v>PremiumS</v>
          </cell>
          <cell r="K256" t="str">
            <v>technical</v>
          </cell>
          <cell r="L256" t="str">
            <v>テクニカルタイプ</v>
          </cell>
          <cell r="M256" t="str">
            <v>god</v>
          </cell>
          <cell r="N256" t="str">
            <v>ゴッド</v>
          </cell>
          <cell r="O256" t="str">
            <v>none</v>
          </cell>
          <cell r="P256" t="str">
            <v>種族なし</v>
          </cell>
          <cell r="Q256" t="str">
            <v>デバッファー</v>
          </cell>
          <cell r="R256">
            <v>3</v>
          </cell>
          <cell r="S256" t="str">
            <v>NULL</v>
          </cell>
          <cell r="T256" t="str">
            <v>normal</v>
          </cell>
          <cell r="U256" t="str">
            <v>NULL</v>
          </cell>
          <cell r="V256" t="str">
            <v>NULL</v>
          </cell>
          <cell r="W256" t="str">
            <v>NULL</v>
          </cell>
        </row>
        <row r="257">
          <cell r="A257">
            <v>256</v>
          </cell>
          <cell r="B257" t="str">
            <v>ja</v>
          </cell>
          <cell r="C257" t="str">
            <v>アスモデウス</v>
          </cell>
          <cell r="D257" t="str">
            <v>ガチャ:7つの大罪01</v>
          </cell>
          <cell r="E257" t="str">
            <v>執行者</v>
          </cell>
          <cell r="F257" t="str">
            <v>美しい</v>
          </cell>
          <cell r="G257" t="str">
            <v>女性</v>
          </cell>
          <cell r="H257" t="str">
            <v>blue</v>
          </cell>
          <cell r="I257">
            <v>3</v>
          </cell>
          <cell r="J257" t="str">
            <v>PremiumS</v>
          </cell>
          <cell r="K257" t="str">
            <v>attack</v>
          </cell>
          <cell r="L257" t="str">
            <v>攻撃タイプ</v>
          </cell>
          <cell r="M257" t="str">
            <v>god</v>
          </cell>
          <cell r="N257" t="str">
            <v>ゴッド</v>
          </cell>
          <cell r="O257" t="str">
            <v>none</v>
          </cell>
          <cell r="P257" t="str">
            <v>種族なし</v>
          </cell>
          <cell r="Q257" t="str">
            <v>アタッカー</v>
          </cell>
          <cell r="R257">
            <v>3</v>
          </cell>
          <cell r="S257" t="str">
            <v>NULL</v>
          </cell>
          <cell r="T257" t="str">
            <v>normal</v>
          </cell>
          <cell r="U257" t="str">
            <v>NULL</v>
          </cell>
          <cell r="V257" t="str">
            <v>NULL</v>
          </cell>
          <cell r="W257" t="str">
            <v>NULL</v>
          </cell>
        </row>
        <row r="258">
          <cell r="A258">
            <v>257</v>
          </cell>
          <cell r="B258" t="str">
            <v>ja</v>
          </cell>
          <cell r="C258" t="str">
            <v>色欲 アスモデウス</v>
          </cell>
          <cell r="D258" t="str">
            <v>ガチャ:7つの大罪01</v>
          </cell>
          <cell r="E258" t="str">
            <v>執行者</v>
          </cell>
          <cell r="F258" t="str">
            <v>美しい</v>
          </cell>
          <cell r="G258" t="str">
            <v>女性</v>
          </cell>
          <cell r="H258" t="str">
            <v>blue</v>
          </cell>
          <cell r="I258">
            <v>4</v>
          </cell>
          <cell r="J258" t="str">
            <v>PremiumS</v>
          </cell>
          <cell r="K258" t="str">
            <v>attack</v>
          </cell>
          <cell r="L258" t="str">
            <v>攻撃タイプ</v>
          </cell>
          <cell r="M258" t="str">
            <v>god</v>
          </cell>
          <cell r="N258" t="str">
            <v>ゴッド</v>
          </cell>
          <cell r="O258" t="str">
            <v>none</v>
          </cell>
          <cell r="P258" t="str">
            <v>種族なし</v>
          </cell>
          <cell r="Q258" t="str">
            <v>アタッカー</v>
          </cell>
          <cell r="R258">
            <v>3</v>
          </cell>
          <cell r="S258" t="str">
            <v>NULL</v>
          </cell>
          <cell r="T258" t="str">
            <v>normal</v>
          </cell>
          <cell r="U258" t="str">
            <v>NULL</v>
          </cell>
          <cell r="V258" t="str">
            <v>NULL</v>
          </cell>
          <cell r="W258" t="str">
            <v>NULL</v>
          </cell>
        </row>
        <row r="259">
          <cell r="A259">
            <v>258</v>
          </cell>
          <cell r="B259" t="str">
            <v>ja</v>
          </cell>
          <cell r="C259" t="str">
            <v>色欲の源流 アスモデウス</v>
          </cell>
          <cell r="D259" t="str">
            <v>ガチャ:7つの大罪01</v>
          </cell>
          <cell r="E259" t="str">
            <v>執行者</v>
          </cell>
          <cell r="F259" t="str">
            <v>美しい</v>
          </cell>
          <cell r="G259" t="str">
            <v>女性</v>
          </cell>
          <cell r="H259" t="str">
            <v>blue</v>
          </cell>
          <cell r="I259">
            <v>5</v>
          </cell>
          <cell r="J259" t="str">
            <v>PremiumS</v>
          </cell>
          <cell r="K259" t="str">
            <v>attack</v>
          </cell>
          <cell r="L259" t="str">
            <v>攻撃タイプ</v>
          </cell>
          <cell r="M259" t="str">
            <v>god</v>
          </cell>
          <cell r="N259" t="str">
            <v>ゴッド</v>
          </cell>
          <cell r="O259" t="str">
            <v>none</v>
          </cell>
          <cell r="P259" t="str">
            <v>種族なし</v>
          </cell>
          <cell r="Q259" t="str">
            <v>アタッカー</v>
          </cell>
          <cell r="R259">
            <v>3</v>
          </cell>
          <cell r="S259" t="str">
            <v>NULL</v>
          </cell>
          <cell r="T259" t="str">
            <v>normal</v>
          </cell>
          <cell r="U259" t="str">
            <v>NULL</v>
          </cell>
          <cell r="V259" t="str">
            <v>NULL</v>
          </cell>
          <cell r="W259" t="str">
            <v>NULL</v>
          </cell>
        </row>
        <row r="260">
          <cell r="A260">
            <v>259</v>
          </cell>
          <cell r="B260" t="str">
            <v>ja</v>
          </cell>
          <cell r="C260" t="str">
            <v>ウロボロス</v>
          </cell>
          <cell r="D260" t="str">
            <v>ガチャ:7つの大罪01</v>
          </cell>
          <cell r="E260" t="str">
            <v>執行者</v>
          </cell>
          <cell r="F260" t="str">
            <v>格好いい</v>
          </cell>
          <cell r="G260" t="str">
            <v>女性</v>
          </cell>
          <cell r="H260" t="str">
            <v>yellow</v>
          </cell>
          <cell r="I260">
            <v>3</v>
          </cell>
          <cell r="J260" t="str">
            <v>PremiumS</v>
          </cell>
          <cell r="K260" t="str">
            <v>balance</v>
          </cell>
          <cell r="L260" t="str">
            <v>バランスタイプ</v>
          </cell>
          <cell r="M260" t="str">
            <v>dragon</v>
          </cell>
          <cell r="N260" t="str">
            <v>ドラゴン</v>
          </cell>
          <cell r="O260" t="str">
            <v>none</v>
          </cell>
          <cell r="P260" t="str">
            <v>種族なし</v>
          </cell>
          <cell r="Q260" t="str">
            <v>アタッカー</v>
          </cell>
          <cell r="R260">
            <v>3</v>
          </cell>
          <cell r="S260" t="str">
            <v>NULL</v>
          </cell>
          <cell r="T260" t="str">
            <v>normal</v>
          </cell>
          <cell r="U260" t="str">
            <v>NULL</v>
          </cell>
          <cell r="V260" t="str">
            <v>NULL</v>
          </cell>
          <cell r="W260" t="str">
            <v>NULL</v>
          </cell>
        </row>
        <row r="261">
          <cell r="A261">
            <v>260</v>
          </cell>
          <cell r="B261" t="str">
            <v>ja</v>
          </cell>
          <cell r="C261" t="str">
            <v>輪廻 ウロボロス</v>
          </cell>
          <cell r="D261" t="str">
            <v>ガチャ:7つの大罪01</v>
          </cell>
          <cell r="E261" t="str">
            <v>執行者</v>
          </cell>
          <cell r="F261" t="str">
            <v>格好いい</v>
          </cell>
          <cell r="G261" t="str">
            <v>女性</v>
          </cell>
          <cell r="H261" t="str">
            <v>yellow</v>
          </cell>
          <cell r="I261">
            <v>4</v>
          </cell>
          <cell r="J261" t="str">
            <v>PremiumS</v>
          </cell>
          <cell r="K261" t="str">
            <v>balance</v>
          </cell>
          <cell r="L261" t="str">
            <v>バランスタイプ</v>
          </cell>
          <cell r="M261" t="str">
            <v>dragon</v>
          </cell>
          <cell r="N261" t="str">
            <v>ドラゴン</v>
          </cell>
          <cell r="O261" t="str">
            <v>none</v>
          </cell>
          <cell r="P261" t="str">
            <v>種族なし</v>
          </cell>
          <cell r="Q261" t="str">
            <v>アタッカー</v>
          </cell>
          <cell r="R261">
            <v>3</v>
          </cell>
          <cell r="S261" t="str">
            <v>NULL</v>
          </cell>
          <cell r="T261" t="str">
            <v>normal</v>
          </cell>
          <cell r="U261" t="str">
            <v>NULL</v>
          </cell>
          <cell r="V261" t="str">
            <v>NULL</v>
          </cell>
          <cell r="W261" t="str">
            <v>NULL</v>
          </cell>
        </row>
        <row r="262">
          <cell r="A262">
            <v>261</v>
          </cell>
          <cell r="B262" t="str">
            <v>ja</v>
          </cell>
          <cell r="C262" t="str">
            <v>輪廻の蛇龍 ウロボロス</v>
          </cell>
          <cell r="D262" t="str">
            <v>ガチャ:7つの大罪01</v>
          </cell>
          <cell r="E262" t="str">
            <v>執行者</v>
          </cell>
          <cell r="F262" t="str">
            <v>格好いい</v>
          </cell>
          <cell r="G262" t="str">
            <v>女性</v>
          </cell>
          <cell r="H262" t="str">
            <v>yellow</v>
          </cell>
          <cell r="I262">
            <v>5</v>
          </cell>
          <cell r="J262" t="str">
            <v>PremiumS</v>
          </cell>
          <cell r="K262" t="str">
            <v>balance</v>
          </cell>
          <cell r="L262" t="str">
            <v>バランスタイプ</v>
          </cell>
          <cell r="M262" t="str">
            <v>dragon</v>
          </cell>
          <cell r="N262" t="str">
            <v>ドラゴン</v>
          </cell>
          <cell r="O262" t="str">
            <v>none</v>
          </cell>
          <cell r="P262" t="str">
            <v>種族なし</v>
          </cell>
          <cell r="Q262" t="str">
            <v>アタッカー</v>
          </cell>
          <cell r="R262">
            <v>3</v>
          </cell>
          <cell r="S262" t="str">
            <v>NULL</v>
          </cell>
          <cell r="T262" t="str">
            <v>normal</v>
          </cell>
          <cell r="U262" t="str">
            <v>NULL</v>
          </cell>
          <cell r="V262" t="str">
            <v>NULL</v>
          </cell>
          <cell r="W262" t="str">
            <v>NULL</v>
          </cell>
        </row>
        <row r="263">
          <cell r="A263">
            <v>262</v>
          </cell>
          <cell r="B263" t="str">
            <v>ja</v>
          </cell>
          <cell r="C263" t="str">
            <v>アシュリー</v>
          </cell>
          <cell r="D263" t="str">
            <v>イベント:魔獣01</v>
          </cell>
          <cell r="E263" t="str">
            <v>QoH</v>
          </cell>
          <cell r="F263" t="str">
            <v>格好いい</v>
          </cell>
          <cell r="G263" t="str">
            <v>女性</v>
          </cell>
          <cell r="H263" t="str">
            <v>red</v>
          </cell>
          <cell r="I263">
            <v>3</v>
          </cell>
          <cell r="J263" t="str">
            <v>Drop2W</v>
          </cell>
          <cell r="K263" t="str">
            <v>attack</v>
          </cell>
          <cell r="L263" t="str">
            <v>攻撃タイプ</v>
          </cell>
          <cell r="M263" t="str">
            <v>animal</v>
          </cell>
          <cell r="N263" t="str">
            <v>アニマル</v>
          </cell>
          <cell r="O263" t="str">
            <v>none</v>
          </cell>
          <cell r="P263" t="str">
            <v>種族なし</v>
          </cell>
          <cell r="R263">
            <v>3</v>
          </cell>
          <cell r="S263" t="str">
            <v>NULL</v>
          </cell>
          <cell r="T263" t="str">
            <v>normal</v>
          </cell>
          <cell r="U263" t="str">
            <v>NULL</v>
          </cell>
          <cell r="V263" t="str">
            <v>NULL</v>
          </cell>
          <cell r="W263" t="str">
            <v>NULL</v>
          </cell>
        </row>
        <row r="264">
          <cell r="A264">
            <v>263</v>
          </cell>
          <cell r="B264" t="str">
            <v>ja</v>
          </cell>
          <cell r="C264" t="str">
            <v>鉤爪姫 アシュリー</v>
          </cell>
          <cell r="D264" t="str">
            <v>イベント:魔獣01</v>
          </cell>
          <cell r="E264" t="str">
            <v>QoH</v>
          </cell>
          <cell r="F264" t="str">
            <v>格好いい</v>
          </cell>
          <cell r="G264" t="str">
            <v>女性</v>
          </cell>
          <cell r="H264" t="str">
            <v>red</v>
          </cell>
          <cell r="I264">
            <v>4</v>
          </cell>
          <cell r="J264" t="str">
            <v>Drop2W</v>
          </cell>
          <cell r="K264" t="str">
            <v>attack</v>
          </cell>
          <cell r="L264" t="str">
            <v>攻撃タイプ</v>
          </cell>
          <cell r="M264" t="str">
            <v>animal</v>
          </cell>
          <cell r="N264" t="str">
            <v>アニマル</v>
          </cell>
          <cell r="O264" t="str">
            <v>none</v>
          </cell>
          <cell r="P264" t="str">
            <v>種族なし</v>
          </cell>
          <cell r="R264">
            <v>3</v>
          </cell>
          <cell r="S264" t="str">
            <v>NULL</v>
          </cell>
          <cell r="T264" t="str">
            <v>normal</v>
          </cell>
          <cell r="U264" t="str">
            <v>NULL</v>
          </cell>
          <cell r="V264" t="str">
            <v>NULL</v>
          </cell>
          <cell r="W264" t="str">
            <v>NULL</v>
          </cell>
        </row>
        <row r="265">
          <cell r="A265">
            <v>264</v>
          </cell>
          <cell r="B265" t="str">
            <v>ja</v>
          </cell>
          <cell r="C265" t="str">
            <v>ユニコーン</v>
          </cell>
          <cell r="D265" t="str">
            <v>イベント:魔獣01</v>
          </cell>
          <cell r="E265" t="str">
            <v>QoH</v>
          </cell>
          <cell r="F265" t="str">
            <v>格好いい</v>
          </cell>
          <cell r="G265" t="str">
            <v>不明</v>
          </cell>
          <cell r="H265" t="str">
            <v>green</v>
          </cell>
          <cell r="I265">
            <v>3</v>
          </cell>
          <cell r="J265" t="str">
            <v>Drop2W</v>
          </cell>
          <cell r="K265" t="str">
            <v>hp</v>
          </cell>
          <cell r="L265" t="str">
            <v>体力タイプ</v>
          </cell>
          <cell r="M265" t="str">
            <v>animal</v>
          </cell>
          <cell r="N265" t="str">
            <v>アニマル</v>
          </cell>
          <cell r="O265" t="str">
            <v>none</v>
          </cell>
          <cell r="P265" t="str">
            <v>種族なし</v>
          </cell>
          <cell r="Q265" t="str">
            <v>ヒーラー</v>
          </cell>
          <cell r="R265">
            <v>3</v>
          </cell>
          <cell r="S265" t="str">
            <v>NULL</v>
          </cell>
          <cell r="T265" t="str">
            <v>normal</v>
          </cell>
          <cell r="U265" t="str">
            <v>NULL</v>
          </cell>
          <cell r="V265" t="str">
            <v>NULL</v>
          </cell>
          <cell r="W265" t="str">
            <v>NULL</v>
          </cell>
        </row>
        <row r="266">
          <cell r="A266">
            <v>265</v>
          </cell>
          <cell r="B266" t="str">
            <v>ja</v>
          </cell>
          <cell r="C266" t="str">
            <v>翠角馬 ユニコーン</v>
          </cell>
          <cell r="D266" t="str">
            <v>イベント:魔獣01</v>
          </cell>
          <cell r="E266" t="str">
            <v>QoH</v>
          </cell>
          <cell r="F266" t="str">
            <v>格好いい</v>
          </cell>
          <cell r="G266" t="str">
            <v>不明</v>
          </cell>
          <cell r="H266" t="str">
            <v>green</v>
          </cell>
          <cell r="I266">
            <v>4</v>
          </cell>
          <cell r="J266" t="str">
            <v>Drop2W</v>
          </cell>
          <cell r="K266" t="str">
            <v>hp</v>
          </cell>
          <cell r="L266" t="str">
            <v>体力タイプ</v>
          </cell>
          <cell r="M266" t="str">
            <v>animal</v>
          </cell>
          <cell r="N266" t="str">
            <v>アニマル</v>
          </cell>
          <cell r="O266" t="str">
            <v>none</v>
          </cell>
          <cell r="P266" t="str">
            <v>種族なし</v>
          </cell>
          <cell r="Q266" t="str">
            <v>ヒーラー</v>
          </cell>
          <cell r="R266">
            <v>3</v>
          </cell>
          <cell r="S266" t="str">
            <v>NULL</v>
          </cell>
          <cell r="T266" t="str">
            <v>normal</v>
          </cell>
          <cell r="U266" t="str">
            <v>NULL</v>
          </cell>
          <cell r="V266" t="str">
            <v>NULL</v>
          </cell>
          <cell r="W266" t="str">
            <v>NULL</v>
          </cell>
        </row>
        <row r="267">
          <cell r="A267">
            <v>266</v>
          </cell>
          <cell r="B267" t="str">
            <v>ja</v>
          </cell>
          <cell r="C267" t="str">
            <v>リリアンブルー</v>
          </cell>
          <cell r="D267" t="str">
            <v>イベント:魔獣01</v>
          </cell>
          <cell r="E267" t="str">
            <v>QoH</v>
          </cell>
          <cell r="F267" t="str">
            <v>怪しい</v>
          </cell>
          <cell r="G267" t="str">
            <v>女性</v>
          </cell>
          <cell r="H267" t="str">
            <v>blue</v>
          </cell>
          <cell r="I267">
            <v>3</v>
          </cell>
          <cell r="J267" t="str">
            <v>Drop2W</v>
          </cell>
          <cell r="K267" t="str">
            <v>balance</v>
          </cell>
          <cell r="L267" t="str">
            <v>バランスタイプ</v>
          </cell>
          <cell r="M267" t="str">
            <v>animal</v>
          </cell>
          <cell r="N267" t="str">
            <v>アニマル</v>
          </cell>
          <cell r="O267" t="str">
            <v>none</v>
          </cell>
          <cell r="P267" t="str">
            <v>種族なし</v>
          </cell>
          <cell r="R267">
            <v>3</v>
          </cell>
          <cell r="S267" t="str">
            <v>NULL</v>
          </cell>
          <cell r="T267" t="str">
            <v>normal</v>
          </cell>
          <cell r="U267" t="str">
            <v>NULL</v>
          </cell>
          <cell r="V267" t="str">
            <v>NULL</v>
          </cell>
          <cell r="W267" t="str">
            <v>NULL</v>
          </cell>
        </row>
        <row r="268">
          <cell r="A268">
            <v>267</v>
          </cell>
          <cell r="B268" t="str">
            <v>ja</v>
          </cell>
          <cell r="C268" t="str">
            <v>奇術猫 リリアンブルー</v>
          </cell>
          <cell r="D268" t="str">
            <v>イベント:魔獣01</v>
          </cell>
          <cell r="E268" t="str">
            <v>QoH</v>
          </cell>
          <cell r="F268" t="str">
            <v>怪しい</v>
          </cell>
          <cell r="G268" t="str">
            <v>女性</v>
          </cell>
          <cell r="H268" t="str">
            <v>blue</v>
          </cell>
          <cell r="I268">
            <v>4</v>
          </cell>
          <cell r="J268" t="str">
            <v>Drop2W</v>
          </cell>
          <cell r="K268" t="str">
            <v>balance</v>
          </cell>
          <cell r="L268" t="str">
            <v>バランスタイプ</v>
          </cell>
          <cell r="M268" t="str">
            <v>animal</v>
          </cell>
          <cell r="N268" t="str">
            <v>アニマル</v>
          </cell>
          <cell r="O268" t="str">
            <v>none</v>
          </cell>
          <cell r="P268" t="str">
            <v>種族なし</v>
          </cell>
          <cell r="R268">
            <v>3</v>
          </cell>
          <cell r="S268" t="str">
            <v>NULL</v>
          </cell>
          <cell r="T268" t="str">
            <v>normal</v>
          </cell>
          <cell r="U268" t="str">
            <v>NULL</v>
          </cell>
          <cell r="V268" t="str">
            <v>NULL</v>
          </cell>
          <cell r="W268" t="str">
            <v>NULL</v>
          </cell>
        </row>
        <row r="269">
          <cell r="A269">
            <v>268</v>
          </cell>
          <cell r="B269" t="str">
            <v>ja</v>
          </cell>
          <cell r="C269" t="str">
            <v>鵺</v>
          </cell>
          <cell r="D269" t="str">
            <v>イベント:魔獣01</v>
          </cell>
          <cell r="E269" t="str">
            <v>QoH</v>
          </cell>
          <cell r="F269" t="str">
            <v>格好いい</v>
          </cell>
          <cell r="G269" t="str">
            <v>男性</v>
          </cell>
          <cell r="H269" t="str">
            <v>yellow</v>
          </cell>
          <cell r="I269">
            <v>3</v>
          </cell>
          <cell r="J269" t="str">
            <v>Drop2W</v>
          </cell>
          <cell r="K269" t="str">
            <v>technical</v>
          </cell>
          <cell r="L269" t="str">
            <v>テクニカルタイプ</v>
          </cell>
          <cell r="M269" t="str">
            <v>animal</v>
          </cell>
          <cell r="N269" t="str">
            <v>アニマル</v>
          </cell>
          <cell r="O269" t="str">
            <v>none</v>
          </cell>
          <cell r="P269" t="str">
            <v>種族なし</v>
          </cell>
          <cell r="Q269" t="str">
            <v>パネルコンバーター</v>
          </cell>
          <cell r="R269">
            <v>3</v>
          </cell>
          <cell r="S269" t="str">
            <v>NULL</v>
          </cell>
          <cell r="T269" t="str">
            <v>normal</v>
          </cell>
          <cell r="U269" t="str">
            <v>NULL</v>
          </cell>
          <cell r="V269" t="str">
            <v>NULL</v>
          </cell>
          <cell r="W269" t="str">
            <v>NULL</v>
          </cell>
        </row>
        <row r="270">
          <cell r="A270">
            <v>269</v>
          </cell>
          <cell r="B270" t="str">
            <v>ja</v>
          </cell>
          <cell r="C270" t="str">
            <v>合雷獣 鵺</v>
          </cell>
          <cell r="D270" t="str">
            <v>イベント:魔獣01</v>
          </cell>
          <cell r="E270" t="str">
            <v>QoH</v>
          </cell>
          <cell r="F270" t="str">
            <v>格好いい</v>
          </cell>
          <cell r="G270" t="str">
            <v>男性</v>
          </cell>
          <cell r="H270" t="str">
            <v>yellow</v>
          </cell>
          <cell r="I270">
            <v>4</v>
          </cell>
          <cell r="J270" t="str">
            <v>Drop2W</v>
          </cell>
          <cell r="K270" t="str">
            <v>technical</v>
          </cell>
          <cell r="L270" t="str">
            <v>テクニカルタイプ</v>
          </cell>
          <cell r="M270" t="str">
            <v>animal</v>
          </cell>
          <cell r="N270" t="str">
            <v>アニマル</v>
          </cell>
          <cell r="O270" t="str">
            <v>none</v>
          </cell>
          <cell r="P270" t="str">
            <v>種族なし</v>
          </cell>
          <cell r="Q270" t="str">
            <v>パネルコンバーター</v>
          </cell>
          <cell r="R270">
            <v>3</v>
          </cell>
          <cell r="S270" t="str">
            <v>NULL</v>
          </cell>
          <cell r="T270" t="str">
            <v>normal</v>
          </cell>
          <cell r="U270" t="str">
            <v>NULL</v>
          </cell>
          <cell r="V270" t="str">
            <v>NULL</v>
          </cell>
          <cell r="W270" t="str">
            <v>NULL</v>
          </cell>
        </row>
        <row r="271">
          <cell r="A271">
            <v>270</v>
          </cell>
          <cell r="B271" t="str">
            <v>ja</v>
          </cell>
          <cell r="C271" t="str">
            <v>風爪のミリー</v>
          </cell>
          <cell r="D271" t="str">
            <v>イベント:暴走するアバター01</v>
          </cell>
          <cell r="E271" t="str">
            <v>探索者</v>
          </cell>
          <cell r="F271" t="str">
            <v>美しい</v>
          </cell>
          <cell r="G271" t="str">
            <v>女性</v>
          </cell>
          <cell r="H271" t="str">
            <v>green</v>
          </cell>
          <cell r="I271">
            <v>4</v>
          </cell>
          <cell r="J271" t="str">
            <v>Drop2N</v>
          </cell>
          <cell r="K271" t="str">
            <v>attack</v>
          </cell>
          <cell r="L271" t="str">
            <v>攻撃タイプ</v>
          </cell>
          <cell r="M271" t="str">
            <v>human</v>
          </cell>
          <cell r="N271" t="str">
            <v>ヒューマン</v>
          </cell>
          <cell r="O271" t="str">
            <v>animal</v>
          </cell>
          <cell r="P271" t="str">
            <v>アニマル</v>
          </cell>
          <cell r="Q271" t="str">
            <v>バッファー</v>
          </cell>
          <cell r="R271">
            <v>3</v>
          </cell>
          <cell r="S271" t="str">
            <v>NULL</v>
          </cell>
          <cell r="T271" t="str">
            <v>normal</v>
          </cell>
          <cell r="U271" t="str">
            <v>NULL</v>
          </cell>
          <cell r="V271" t="str">
            <v>NULL</v>
          </cell>
          <cell r="W271" t="str">
            <v>NULL</v>
          </cell>
        </row>
        <row r="272">
          <cell r="A272">
            <v>271</v>
          </cell>
          <cell r="B272" t="str">
            <v>ja</v>
          </cell>
          <cell r="C272" t="str">
            <v>疾風五花 ミリー</v>
          </cell>
          <cell r="D272" t="str">
            <v>イベント:暴走するアバター01</v>
          </cell>
          <cell r="E272" t="str">
            <v>探索者</v>
          </cell>
          <cell r="F272" t="str">
            <v>美しい</v>
          </cell>
          <cell r="G272" t="str">
            <v>女性</v>
          </cell>
          <cell r="H272" t="str">
            <v>green</v>
          </cell>
          <cell r="I272">
            <v>5</v>
          </cell>
          <cell r="J272" t="str">
            <v>Drop2N</v>
          </cell>
          <cell r="K272" t="str">
            <v>attack</v>
          </cell>
          <cell r="L272" t="str">
            <v>攻撃タイプ</v>
          </cell>
          <cell r="M272" t="str">
            <v>human</v>
          </cell>
          <cell r="N272" t="str">
            <v>ヒューマン</v>
          </cell>
          <cell r="O272" t="str">
            <v>animal</v>
          </cell>
          <cell r="P272" t="str">
            <v>アニマル</v>
          </cell>
          <cell r="Q272" t="str">
            <v>バッファー</v>
          </cell>
          <cell r="R272">
            <v>3</v>
          </cell>
          <cell r="S272" t="str">
            <v>NULL</v>
          </cell>
          <cell r="T272" t="str">
            <v>normal</v>
          </cell>
          <cell r="U272" t="str">
            <v>NULL</v>
          </cell>
          <cell r="V272" t="str">
            <v>NULL</v>
          </cell>
          <cell r="W272" t="str">
            <v>NULL</v>
          </cell>
        </row>
        <row r="273">
          <cell r="A273">
            <v>272</v>
          </cell>
          <cell r="B273" t="str">
            <v>ja</v>
          </cell>
          <cell r="C273" t="str">
            <v>魔札のシルベール</v>
          </cell>
          <cell r="D273" t="str">
            <v>イベント:暴走するアバター01</v>
          </cell>
          <cell r="E273" t="str">
            <v>探索者</v>
          </cell>
          <cell r="F273" t="str">
            <v>格好いい</v>
          </cell>
          <cell r="G273" t="str">
            <v>男性</v>
          </cell>
          <cell r="H273" t="str">
            <v>blue</v>
          </cell>
          <cell r="I273">
            <v>4</v>
          </cell>
          <cell r="J273" t="str">
            <v>Drop2N</v>
          </cell>
          <cell r="K273" t="str">
            <v>technical</v>
          </cell>
          <cell r="L273" t="str">
            <v>テクニカルタイプ</v>
          </cell>
          <cell r="M273" t="str">
            <v>human</v>
          </cell>
          <cell r="N273" t="str">
            <v>ヒューマン</v>
          </cell>
          <cell r="O273" t="str">
            <v>none</v>
          </cell>
          <cell r="P273" t="str">
            <v>種族なし</v>
          </cell>
          <cell r="Q273" t="str">
            <v>バッファー</v>
          </cell>
          <cell r="R273">
            <v>3</v>
          </cell>
          <cell r="S273" t="str">
            <v>NULL</v>
          </cell>
          <cell r="T273" t="str">
            <v>normal</v>
          </cell>
          <cell r="U273" t="str">
            <v>NULL</v>
          </cell>
          <cell r="V273" t="str">
            <v>NULL</v>
          </cell>
          <cell r="W273" t="str">
            <v>NULL</v>
          </cell>
        </row>
        <row r="274">
          <cell r="A274">
            <v>273</v>
          </cell>
          <cell r="B274" t="str">
            <v>ja</v>
          </cell>
          <cell r="C274" t="str">
            <v>円環魔道 シルベール</v>
          </cell>
          <cell r="D274" t="str">
            <v>イベント:暴走するアバター01</v>
          </cell>
          <cell r="E274" t="str">
            <v>探索者</v>
          </cell>
          <cell r="F274" t="str">
            <v>格好いい</v>
          </cell>
          <cell r="G274" t="str">
            <v>男性</v>
          </cell>
          <cell r="H274" t="str">
            <v>blue</v>
          </cell>
          <cell r="I274">
            <v>5</v>
          </cell>
          <cell r="J274" t="str">
            <v>Drop2N</v>
          </cell>
          <cell r="K274" t="str">
            <v>technical</v>
          </cell>
          <cell r="L274" t="str">
            <v>テクニカルタイプ</v>
          </cell>
          <cell r="M274" t="str">
            <v>human</v>
          </cell>
          <cell r="N274" t="str">
            <v>ヒューマン</v>
          </cell>
          <cell r="O274" t="str">
            <v>none</v>
          </cell>
          <cell r="P274" t="str">
            <v>種族なし</v>
          </cell>
          <cell r="Q274" t="str">
            <v>バッファー</v>
          </cell>
          <cell r="R274">
            <v>3</v>
          </cell>
          <cell r="S274" t="str">
            <v>NULL</v>
          </cell>
          <cell r="T274" t="str">
            <v>normal</v>
          </cell>
          <cell r="U274" t="str">
            <v>NULL</v>
          </cell>
          <cell r="V274" t="str">
            <v>NULL</v>
          </cell>
          <cell r="W274" t="str">
            <v>NULL</v>
          </cell>
        </row>
        <row r="275">
          <cell r="A275">
            <v>274</v>
          </cell>
          <cell r="B275" t="str">
            <v>ja</v>
          </cell>
          <cell r="C275" t="str">
            <v>砕棒のガエル</v>
          </cell>
          <cell r="D275" t="str">
            <v>イベント:暴走するアバター01</v>
          </cell>
          <cell r="E275" t="str">
            <v>探索者</v>
          </cell>
          <cell r="F275" t="str">
            <v>格好いい</v>
          </cell>
          <cell r="G275" t="str">
            <v>男性</v>
          </cell>
          <cell r="H275" t="str">
            <v>yellow</v>
          </cell>
          <cell r="I275">
            <v>4</v>
          </cell>
          <cell r="J275" t="str">
            <v>Drop2N</v>
          </cell>
          <cell r="K275" t="str">
            <v>attack</v>
          </cell>
          <cell r="L275" t="str">
            <v>攻撃タイプ</v>
          </cell>
          <cell r="M275" t="str">
            <v>human</v>
          </cell>
          <cell r="N275" t="str">
            <v>ヒューマン</v>
          </cell>
          <cell r="O275" t="str">
            <v>animal</v>
          </cell>
          <cell r="P275" t="str">
            <v>アニマル</v>
          </cell>
          <cell r="Q275" t="str">
            <v>バッファー</v>
          </cell>
          <cell r="R275">
            <v>3</v>
          </cell>
          <cell r="S275" t="str">
            <v>NULL</v>
          </cell>
          <cell r="T275" t="str">
            <v>normal</v>
          </cell>
          <cell r="U275" t="str">
            <v>NULL</v>
          </cell>
          <cell r="V275" t="str">
            <v>NULL</v>
          </cell>
          <cell r="W275" t="str">
            <v>NULL</v>
          </cell>
        </row>
        <row r="276">
          <cell r="A276">
            <v>275</v>
          </cell>
          <cell r="B276" t="str">
            <v>ja</v>
          </cell>
          <cell r="C276" t="str">
            <v>轟雷砕棒 ガエル</v>
          </cell>
          <cell r="D276" t="str">
            <v>イベント:暴走するアバター01</v>
          </cell>
          <cell r="E276" t="str">
            <v>探索者</v>
          </cell>
          <cell r="F276" t="str">
            <v>格好いい</v>
          </cell>
          <cell r="G276" t="str">
            <v>男性</v>
          </cell>
          <cell r="H276" t="str">
            <v>yellow</v>
          </cell>
          <cell r="I276">
            <v>5</v>
          </cell>
          <cell r="J276" t="str">
            <v>Drop2N</v>
          </cell>
          <cell r="K276" t="str">
            <v>attack</v>
          </cell>
          <cell r="L276" t="str">
            <v>攻撃タイプ</v>
          </cell>
          <cell r="M276" t="str">
            <v>human</v>
          </cell>
          <cell r="N276" t="str">
            <v>ヒューマン</v>
          </cell>
          <cell r="O276" t="str">
            <v>animal</v>
          </cell>
          <cell r="P276" t="str">
            <v>アニマル</v>
          </cell>
          <cell r="Q276" t="str">
            <v>バッファー</v>
          </cell>
          <cell r="R276">
            <v>3</v>
          </cell>
          <cell r="S276" t="str">
            <v>NULL</v>
          </cell>
          <cell r="T276" t="str">
            <v>normal</v>
          </cell>
          <cell r="U276" t="str">
            <v>NULL</v>
          </cell>
          <cell r="V276" t="str">
            <v>NULL</v>
          </cell>
          <cell r="W276" t="str">
            <v>NULL</v>
          </cell>
        </row>
        <row r="277">
          <cell r="A277">
            <v>276</v>
          </cell>
          <cell r="B277" t="str">
            <v>ja</v>
          </cell>
          <cell r="C277" t="str">
            <v>機拳のイリア</v>
          </cell>
          <cell r="D277" t="str">
            <v>イベント:暴走するアバター01</v>
          </cell>
          <cell r="E277" t="str">
            <v>探索者</v>
          </cell>
          <cell r="F277" t="str">
            <v>可愛い</v>
          </cell>
          <cell r="G277" t="str">
            <v>女性</v>
          </cell>
          <cell r="H277" t="str">
            <v>red</v>
          </cell>
          <cell r="I277">
            <v>4</v>
          </cell>
          <cell r="J277" t="str">
            <v>Drop2N</v>
          </cell>
          <cell r="K277" t="str">
            <v>balance</v>
          </cell>
          <cell r="L277" t="str">
            <v>バランスタイプ</v>
          </cell>
          <cell r="M277" t="str">
            <v>human</v>
          </cell>
          <cell r="N277" t="str">
            <v>ヒューマン</v>
          </cell>
          <cell r="O277" t="str">
            <v>machine</v>
          </cell>
          <cell r="P277" t="str">
            <v>マシン</v>
          </cell>
          <cell r="Q277" t="str">
            <v>バッファー</v>
          </cell>
          <cell r="R277">
            <v>3</v>
          </cell>
          <cell r="S277" t="str">
            <v>NULL</v>
          </cell>
          <cell r="T277" t="str">
            <v>normal</v>
          </cell>
          <cell r="U277" t="str">
            <v>NULL</v>
          </cell>
          <cell r="V277" t="str">
            <v>NULL</v>
          </cell>
          <cell r="W277" t="str">
            <v>NULL</v>
          </cell>
        </row>
        <row r="278">
          <cell r="A278">
            <v>277</v>
          </cell>
          <cell r="B278" t="str">
            <v>ja</v>
          </cell>
          <cell r="C278" t="str">
            <v>機拳恐慌 イリア</v>
          </cell>
          <cell r="D278" t="str">
            <v>イベント:暴走するアバター01</v>
          </cell>
          <cell r="E278" t="str">
            <v>探索者</v>
          </cell>
          <cell r="F278" t="str">
            <v>可愛い</v>
          </cell>
          <cell r="G278" t="str">
            <v>女性</v>
          </cell>
          <cell r="H278" t="str">
            <v>red</v>
          </cell>
          <cell r="I278">
            <v>5</v>
          </cell>
          <cell r="J278" t="str">
            <v>Drop2N</v>
          </cell>
          <cell r="K278" t="str">
            <v>balance</v>
          </cell>
          <cell r="L278" t="str">
            <v>バランスタイプ</v>
          </cell>
          <cell r="M278" t="str">
            <v>human</v>
          </cell>
          <cell r="N278" t="str">
            <v>ヒューマン</v>
          </cell>
          <cell r="O278" t="str">
            <v>machine</v>
          </cell>
          <cell r="P278" t="str">
            <v>マシン</v>
          </cell>
          <cell r="Q278" t="str">
            <v>バッファー</v>
          </cell>
          <cell r="R278">
            <v>3</v>
          </cell>
          <cell r="S278" t="str">
            <v>NULL</v>
          </cell>
          <cell r="T278" t="str">
            <v>normal</v>
          </cell>
          <cell r="U278" t="str">
            <v>NULL</v>
          </cell>
          <cell r="V278" t="str">
            <v>NULL</v>
          </cell>
          <cell r="W278" t="str">
            <v>NULL</v>
          </cell>
        </row>
        <row r="279">
          <cell r="A279">
            <v>278</v>
          </cell>
          <cell r="B279" t="str">
            <v>ja</v>
          </cell>
          <cell r="C279" t="str">
            <v>アマテラス</v>
          </cell>
          <cell r="D279" t="str">
            <v>イベント:ウィザード</v>
          </cell>
          <cell r="E279" t="str">
            <v>管理者</v>
          </cell>
          <cell r="F279" t="str">
            <v>美しい</v>
          </cell>
          <cell r="G279" t="str">
            <v>女性</v>
          </cell>
          <cell r="H279" t="str">
            <v>red</v>
          </cell>
          <cell r="I279">
            <v>4</v>
          </cell>
          <cell r="J279" t="str">
            <v>DropWizS</v>
          </cell>
          <cell r="K279" t="str">
            <v>attack</v>
          </cell>
          <cell r="L279" t="str">
            <v>攻撃タイプ</v>
          </cell>
          <cell r="M279" t="str">
            <v>god</v>
          </cell>
          <cell r="N279" t="str">
            <v>ゴッド</v>
          </cell>
          <cell r="O279" t="str">
            <v>none</v>
          </cell>
          <cell r="P279" t="str">
            <v>種族なし</v>
          </cell>
          <cell r="Q279" t="str">
            <v>アタッカー</v>
          </cell>
          <cell r="R279">
            <v>3</v>
          </cell>
          <cell r="S279" t="str">
            <v>NULL</v>
          </cell>
          <cell r="T279" t="str">
            <v>normal</v>
          </cell>
          <cell r="U279" t="str">
            <v>NULL</v>
          </cell>
          <cell r="V279" t="str">
            <v>NULL</v>
          </cell>
          <cell r="W279" t="str">
            <v>NULL</v>
          </cell>
        </row>
        <row r="280">
          <cell r="A280">
            <v>279</v>
          </cell>
          <cell r="B280" t="str">
            <v>ja</v>
          </cell>
          <cell r="C280" t="str">
            <v>統空大神 アマテラス</v>
          </cell>
          <cell r="D280" t="str">
            <v>イベント:ウィザード</v>
          </cell>
          <cell r="E280" t="str">
            <v>管理者</v>
          </cell>
          <cell r="F280" t="str">
            <v>美しい</v>
          </cell>
          <cell r="G280" t="str">
            <v>女性</v>
          </cell>
          <cell r="H280" t="str">
            <v>red</v>
          </cell>
          <cell r="I280">
            <v>5</v>
          </cell>
          <cell r="J280" t="str">
            <v>DropWizS</v>
          </cell>
          <cell r="K280" t="str">
            <v>attack</v>
          </cell>
          <cell r="L280" t="str">
            <v>攻撃タイプ</v>
          </cell>
          <cell r="M280" t="str">
            <v>god</v>
          </cell>
          <cell r="N280" t="str">
            <v>ゴッド</v>
          </cell>
          <cell r="O280" t="str">
            <v>none</v>
          </cell>
          <cell r="P280" t="str">
            <v>種族なし</v>
          </cell>
          <cell r="Q280" t="str">
            <v>アタッカー</v>
          </cell>
          <cell r="R280">
            <v>3</v>
          </cell>
          <cell r="S280" t="str">
            <v>NULL</v>
          </cell>
          <cell r="T280" t="str">
            <v>normal</v>
          </cell>
          <cell r="U280" t="str">
            <v>NULL</v>
          </cell>
          <cell r="V280" t="str">
            <v>NULL</v>
          </cell>
          <cell r="W280" t="str">
            <v>NULL</v>
          </cell>
        </row>
        <row r="281">
          <cell r="A281">
            <v>280</v>
          </cell>
          <cell r="B281" t="str">
            <v>ja</v>
          </cell>
          <cell r="C281" t="str">
            <v>リンドブルム</v>
          </cell>
          <cell r="D281" t="str">
            <v>イベント:機械龍01</v>
          </cell>
          <cell r="E281" t="str">
            <v>QoH</v>
          </cell>
          <cell r="F281" t="str">
            <v>格好いい</v>
          </cell>
          <cell r="G281" t="str">
            <v>不明</v>
          </cell>
          <cell r="H281" t="str">
            <v>green</v>
          </cell>
          <cell r="I281">
            <v>3</v>
          </cell>
          <cell r="J281" t="str">
            <v>Drop2W</v>
          </cell>
          <cell r="K281" t="str">
            <v>attack</v>
          </cell>
          <cell r="L281" t="str">
            <v>攻撃タイプ</v>
          </cell>
          <cell r="M281" t="str">
            <v>dragon</v>
          </cell>
          <cell r="N281" t="str">
            <v>ドラゴン</v>
          </cell>
          <cell r="O281" t="str">
            <v>machine</v>
          </cell>
          <cell r="P281" t="str">
            <v>マシン</v>
          </cell>
          <cell r="R281">
            <v>3</v>
          </cell>
          <cell r="S281" t="str">
            <v>NULL</v>
          </cell>
          <cell r="T281" t="str">
            <v>normal</v>
          </cell>
          <cell r="U281" t="str">
            <v>NULL</v>
          </cell>
          <cell r="V281" t="str">
            <v>NULL</v>
          </cell>
          <cell r="W281" t="str">
            <v>NULL</v>
          </cell>
        </row>
        <row r="282">
          <cell r="A282">
            <v>281</v>
          </cell>
          <cell r="B282" t="str">
            <v>ja</v>
          </cell>
          <cell r="C282" t="str">
            <v>リンドブルム・コンデンス</v>
          </cell>
          <cell r="D282" t="str">
            <v>イベント:機械龍01</v>
          </cell>
          <cell r="E282" t="str">
            <v>QoH</v>
          </cell>
          <cell r="F282" t="str">
            <v>格好いい</v>
          </cell>
          <cell r="G282" t="str">
            <v>不明</v>
          </cell>
          <cell r="H282" t="str">
            <v>green</v>
          </cell>
          <cell r="I282">
            <v>4</v>
          </cell>
          <cell r="J282" t="str">
            <v>DropWizW</v>
          </cell>
          <cell r="K282" t="str">
            <v>attack</v>
          </cell>
          <cell r="L282" t="str">
            <v>攻撃タイプ</v>
          </cell>
          <cell r="M282" t="str">
            <v>dragon</v>
          </cell>
          <cell r="N282" t="str">
            <v>ドラゴン</v>
          </cell>
          <cell r="O282" t="str">
            <v>machine</v>
          </cell>
          <cell r="P282" t="str">
            <v>マシン</v>
          </cell>
          <cell r="R282">
            <v>3</v>
          </cell>
          <cell r="S282" t="str">
            <v>NULL</v>
          </cell>
          <cell r="T282" t="str">
            <v>normal</v>
          </cell>
          <cell r="U282" t="str">
            <v>NULL</v>
          </cell>
          <cell r="V282" t="str">
            <v>NULL</v>
          </cell>
          <cell r="W282" t="str">
            <v>NULL</v>
          </cell>
        </row>
        <row r="283">
          <cell r="A283">
            <v>282</v>
          </cell>
          <cell r="B283" t="str">
            <v>ja</v>
          </cell>
          <cell r="C283" t="str">
            <v>ラーフ</v>
          </cell>
          <cell r="D283" t="str">
            <v>イベント:機械龍01</v>
          </cell>
          <cell r="E283" t="str">
            <v>QoH</v>
          </cell>
          <cell r="F283" t="str">
            <v>格好いい</v>
          </cell>
          <cell r="G283" t="str">
            <v>不明</v>
          </cell>
          <cell r="H283" t="str">
            <v>blue</v>
          </cell>
          <cell r="I283">
            <v>3</v>
          </cell>
          <cell r="J283" t="str">
            <v>Drop2W</v>
          </cell>
          <cell r="K283" t="str">
            <v>balance</v>
          </cell>
          <cell r="L283" t="str">
            <v>バランスタイプ</v>
          </cell>
          <cell r="M283" t="str">
            <v>dragon</v>
          </cell>
          <cell r="N283" t="str">
            <v>ドラゴン</v>
          </cell>
          <cell r="O283" t="str">
            <v>machine</v>
          </cell>
          <cell r="P283" t="str">
            <v>マシン</v>
          </cell>
          <cell r="Q283" t="str">
            <v>スキルサポーター</v>
          </cell>
          <cell r="R283">
            <v>3</v>
          </cell>
          <cell r="S283" t="str">
            <v>NULL</v>
          </cell>
          <cell r="T283" t="str">
            <v>normal</v>
          </cell>
          <cell r="U283" t="str">
            <v>NULL</v>
          </cell>
          <cell r="V283" t="str">
            <v>NULL</v>
          </cell>
          <cell r="W283" t="str">
            <v>NULL</v>
          </cell>
        </row>
        <row r="284">
          <cell r="A284">
            <v>283</v>
          </cell>
          <cell r="B284" t="str">
            <v>ja</v>
          </cell>
          <cell r="C284" t="str">
            <v>ラーフ・メテオ</v>
          </cell>
          <cell r="D284" t="str">
            <v>イベント:機械龍01</v>
          </cell>
          <cell r="E284" t="str">
            <v>QoH</v>
          </cell>
          <cell r="F284" t="str">
            <v>格好いい</v>
          </cell>
          <cell r="G284" t="str">
            <v>不明</v>
          </cell>
          <cell r="H284" t="str">
            <v>blue</v>
          </cell>
          <cell r="I284">
            <v>4</v>
          </cell>
          <cell r="J284" t="str">
            <v>DropWizW</v>
          </cell>
          <cell r="K284" t="str">
            <v>balance</v>
          </cell>
          <cell r="L284" t="str">
            <v>バランスタイプ</v>
          </cell>
          <cell r="M284" t="str">
            <v>dragon</v>
          </cell>
          <cell r="N284" t="str">
            <v>ドラゴン</v>
          </cell>
          <cell r="O284" t="str">
            <v>machine</v>
          </cell>
          <cell r="P284" t="str">
            <v>マシン</v>
          </cell>
          <cell r="Q284" t="str">
            <v>スキルサポーター</v>
          </cell>
          <cell r="R284">
            <v>3</v>
          </cell>
          <cell r="S284" t="str">
            <v>NULL</v>
          </cell>
          <cell r="T284" t="str">
            <v>normal</v>
          </cell>
          <cell r="U284" t="str">
            <v>NULL</v>
          </cell>
          <cell r="V284" t="str">
            <v>NULL</v>
          </cell>
          <cell r="W284" t="str">
            <v>NULL</v>
          </cell>
        </row>
        <row r="285">
          <cell r="A285">
            <v>284</v>
          </cell>
          <cell r="B285" t="str">
            <v>ja</v>
          </cell>
          <cell r="C285" t="str">
            <v>フェルニゲシュ</v>
          </cell>
          <cell r="D285" t="str">
            <v>イベント:機械龍01</v>
          </cell>
          <cell r="E285" t="str">
            <v>QoH</v>
          </cell>
          <cell r="F285" t="str">
            <v>格好いい</v>
          </cell>
          <cell r="G285" t="str">
            <v>不明</v>
          </cell>
          <cell r="H285" t="str">
            <v>yellow</v>
          </cell>
          <cell r="I285">
            <v>3</v>
          </cell>
          <cell r="J285" t="str">
            <v>Drop2W</v>
          </cell>
          <cell r="K285" t="str">
            <v>technical</v>
          </cell>
          <cell r="L285" t="str">
            <v>テクニカルタイプ</v>
          </cell>
          <cell r="M285" t="str">
            <v>dragon</v>
          </cell>
          <cell r="N285" t="str">
            <v>ドラゴン</v>
          </cell>
          <cell r="O285" t="str">
            <v>machine</v>
          </cell>
          <cell r="P285" t="str">
            <v>マシン</v>
          </cell>
          <cell r="Q285" t="str">
            <v>バッファー</v>
          </cell>
          <cell r="R285">
            <v>3</v>
          </cell>
          <cell r="S285" t="str">
            <v>NULL</v>
          </cell>
          <cell r="T285" t="str">
            <v>normal</v>
          </cell>
          <cell r="U285" t="str">
            <v>NULL</v>
          </cell>
          <cell r="V285" t="str">
            <v>NULL</v>
          </cell>
          <cell r="W285" t="str">
            <v>NULL</v>
          </cell>
        </row>
        <row r="286">
          <cell r="A286">
            <v>285</v>
          </cell>
          <cell r="B286" t="str">
            <v>ja</v>
          </cell>
          <cell r="C286" t="str">
            <v>フェルニゲシュ・オーバードライヴ</v>
          </cell>
          <cell r="D286" t="str">
            <v>イベント:機械龍01</v>
          </cell>
          <cell r="E286" t="str">
            <v>QoH</v>
          </cell>
          <cell r="F286" t="str">
            <v>格好いい</v>
          </cell>
          <cell r="G286" t="str">
            <v>不明</v>
          </cell>
          <cell r="H286" t="str">
            <v>yellow</v>
          </cell>
          <cell r="I286">
            <v>4</v>
          </cell>
          <cell r="J286" t="str">
            <v>DropWizW</v>
          </cell>
          <cell r="K286" t="str">
            <v>technical</v>
          </cell>
          <cell r="L286" t="str">
            <v>テクニカルタイプ</v>
          </cell>
          <cell r="M286" t="str">
            <v>dragon</v>
          </cell>
          <cell r="N286" t="str">
            <v>ドラゴン</v>
          </cell>
          <cell r="O286" t="str">
            <v>machine</v>
          </cell>
          <cell r="P286" t="str">
            <v>マシン</v>
          </cell>
          <cell r="Q286" t="str">
            <v>バッファー</v>
          </cell>
          <cell r="R286">
            <v>3</v>
          </cell>
          <cell r="S286" t="str">
            <v>NULL</v>
          </cell>
          <cell r="T286" t="str">
            <v>normal</v>
          </cell>
          <cell r="U286" t="str">
            <v>NULL</v>
          </cell>
          <cell r="V286" t="str">
            <v>NULL</v>
          </cell>
          <cell r="W286" t="str">
            <v>NULL</v>
          </cell>
        </row>
        <row r="287">
          <cell r="A287">
            <v>286</v>
          </cell>
          <cell r="B287" t="str">
            <v>ja</v>
          </cell>
          <cell r="C287" t="str">
            <v>ヒュドラ</v>
          </cell>
          <cell r="D287" t="str">
            <v>イベント:機械龍01</v>
          </cell>
          <cell r="E287" t="str">
            <v>QoH</v>
          </cell>
          <cell r="F287" t="str">
            <v>格好いい</v>
          </cell>
          <cell r="G287" t="str">
            <v>不明</v>
          </cell>
          <cell r="H287" t="str">
            <v>red</v>
          </cell>
          <cell r="I287">
            <v>3</v>
          </cell>
          <cell r="J287" t="str">
            <v>Drop2W</v>
          </cell>
          <cell r="K287" t="str">
            <v>attack</v>
          </cell>
          <cell r="L287" t="str">
            <v>攻撃タイプ</v>
          </cell>
          <cell r="M287" t="str">
            <v>dragon</v>
          </cell>
          <cell r="N287" t="str">
            <v>ドラゴン</v>
          </cell>
          <cell r="O287" t="str">
            <v>machine</v>
          </cell>
          <cell r="P287" t="str">
            <v>マシン</v>
          </cell>
          <cell r="R287">
            <v>3</v>
          </cell>
          <cell r="S287" t="str">
            <v>NULL</v>
          </cell>
          <cell r="T287" t="str">
            <v>normal</v>
          </cell>
          <cell r="U287" t="str">
            <v>NULL</v>
          </cell>
          <cell r="V287" t="str">
            <v>NULL</v>
          </cell>
          <cell r="W287" t="str">
            <v>NULL</v>
          </cell>
        </row>
        <row r="288">
          <cell r="A288">
            <v>287</v>
          </cell>
          <cell r="B288" t="str">
            <v>ja</v>
          </cell>
          <cell r="C288" t="str">
            <v>ヒュドラ・フルオープン</v>
          </cell>
          <cell r="D288" t="str">
            <v>イベント:機械龍01</v>
          </cell>
          <cell r="E288" t="str">
            <v>QoH</v>
          </cell>
          <cell r="F288" t="str">
            <v>格好いい</v>
          </cell>
          <cell r="G288" t="str">
            <v>不明</v>
          </cell>
          <cell r="H288" t="str">
            <v>red</v>
          </cell>
          <cell r="I288">
            <v>4</v>
          </cell>
          <cell r="J288" t="str">
            <v>DropWizW</v>
          </cell>
          <cell r="K288" t="str">
            <v>attack</v>
          </cell>
          <cell r="L288" t="str">
            <v>攻撃タイプ</v>
          </cell>
          <cell r="M288" t="str">
            <v>dragon</v>
          </cell>
          <cell r="N288" t="str">
            <v>ドラゴン</v>
          </cell>
          <cell r="O288" t="str">
            <v>machine</v>
          </cell>
          <cell r="P288" t="str">
            <v>マシン</v>
          </cell>
          <cell r="R288">
            <v>3</v>
          </cell>
          <cell r="S288" t="str">
            <v>NULL</v>
          </cell>
          <cell r="T288" t="str">
            <v>normal</v>
          </cell>
          <cell r="U288" t="str">
            <v>NULL</v>
          </cell>
          <cell r="V288" t="str">
            <v>NULL</v>
          </cell>
          <cell r="W288" t="str">
            <v>NULL</v>
          </cell>
        </row>
        <row r="289">
          <cell r="A289">
            <v>288</v>
          </cell>
          <cell r="B289" t="str">
            <v>ja</v>
          </cell>
          <cell r="C289" t="str">
            <v>ミカド</v>
          </cell>
          <cell r="D289" t="str">
            <v>イベント:アリスの絵本01</v>
          </cell>
          <cell r="E289" t="str">
            <v>アバター</v>
          </cell>
          <cell r="F289" t="str">
            <v>格好いい</v>
          </cell>
          <cell r="G289" t="str">
            <v>男性</v>
          </cell>
          <cell r="H289" t="str">
            <v>yellow</v>
          </cell>
          <cell r="I289">
            <v>4</v>
          </cell>
          <cell r="J289" t="str">
            <v>Drop2N</v>
          </cell>
          <cell r="K289" t="str">
            <v>balance</v>
          </cell>
          <cell r="L289" t="str">
            <v>バランスタイプ</v>
          </cell>
          <cell r="M289" t="str">
            <v>human</v>
          </cell>
          <cell r="N289" t="str">
            <v>ヒューマン</v>
          </cell>
          <cell r="O289" t="str">
            <v>none</v>
          </cell>
          <cell r="P289" t="str">
            <v>種族なし</v>
          </cell>
          <cell r="Q289" t="str">
            <v>アタッカー</v>
          </cell>
          <cell r="R289">
            <v>3</v>
          </cell>
          <cell r="S289" t="str">
            <v>NULL</v>
          </cell>
          <cell r="T289" t="str">
            <v>normal</v>
          </cell>
          <cell r="U289" t="str">
            <v>NULL</v>
          </cell>
          <cell r="V289" t="str">
            <v>NULL</v>
          </cell>
          <cell r="W289" t="str">
            <v>NULL</v>
          </cell>
        </row>
        <row r="290">
          <cell r="A290">
            <v>289</v>
          </cell>
          <cell r="B290" t="str">
            <v>ja</v>
          </cell>
          <cell r="C290" t="str">
            <v>高圧なるミカド</v>
          </cell>
          <cell r="D290" t="str">
            <v>イベント:アリスの絵本01</v>
          </cell>
          <cell r="E290" t="str">
            <v>アバター</v>
          </cell>
          <cell r="F290" t="str">
            <v>格好いい</v>
          </cell>
          <cell r="G290" t="str">
            <v>男性</v>
          </cell>
          <cell r="H290" t="str">
            <v>yellow</v>
          </cell>
          <cell r="I290">
            <v>5</v>
          </cell>
          <cell r="J290" t="str">
            <v>Drop2N</v>
          </cell>
          <cell r="K290" t="str">
            <v>balance</v>
          </cell>
          <cell r="L290" t="str">
            <v>バランスタイプ</v>
          </cell>
          <cell r="M290" t="str">
            <v>human</v>
          </cell>
          <cell r="N290" t="str">
            <v>ヒューマン</v>
          </cell>
          <cell r="O290" t="str">
            <v>none</v>
          </cell>
          <cell r="P290" t="str">
            <v>種族なし</v>
          </cell>
          <cell r="Q290" t="str">
            <v>アタッカー</v>
          </cell>
          <cell r="R290">
            <v>3</v>
          </cell>
          <cell r="S290" t="str">
            <v>NULL</v>
          </cell>
          <cell r="T290" t="str">
            <v>normal</v>
          </cell>
          <cell r="U290" t="str">
            <v>NULL</v>
          </cell>
          <cell r="V290" t="str">
            <v>NULL</v>
          </cell>
          <cell r="W290" t="str">
            <v>NULL</v>
          </cell>
        </row>
        <row r="291">
          <cell r="A291">
            <v>290</v>
          </cell>
          <cell r="B291" t="str">
            <v>ja</v>
          </cell>
          <cell r="C291" t="str">
            <v>ウィッチ・オクトパス</v>
          </cell>
          <cell r="D291" t="str">
            <v>イベント:アリスの絵本01</v>
          </cell>
          <cell r="E291" t="str">
            <v>アバター</v>
          </cell>
          <cell r="F291" t="str">
            <v>可愛い</v>
          </cell>
          <cell r="G291" t="str">
            <v>女性</v>
          </cell>
          <cell r="H291" t="str">
            <v>red</v>
          </cell>
          <cell r="I291">
            <v>4</v>
          </cell>
          <cell r="J291" t="str">
            <v>Drop2N</v>
          </cell>
          <cell r="K291" t="str">
            <v>technical</v>
          </cell>
          <cell r="L291" t="str">
            <v>テクニカルタイプ</v>
          </cell>
          <cell r="M291" t="str">
            <v>human</v>
          </cell>
          <cell r="N291" t="str">
            <v>ヒューマン</v>
          </cell>
          <cell r="O291" t="str">
            <v>none</v>
          </cell>
          <cell r="P291" t="str">
            <v>種族なし</v>
          </cell>
          <cell r="Q291" t="str">
            <v>アタッカー</v>
          </cell>
          <cell r="R291">
            <v>3</v>
          </cell>
          <cell r="S291" t="str">
            <v>NULL</v>
          </cell>
          <cell r="T291" t="str">
            <v>normal</v>
          </cell>
          <cell r="U291" t="str">
            <v>NULL</v>
          </cell>
          <cell r="V291" t="str">
            <v>NULL</v>
          </cell>
          <cell r="W291" t="str">
            <v>NULL</v>
          </cell>
        </row>
        <row r="292">
          <cell r="A292">
            <v>291</v>
          </cell>
          <cell r="B292" t="str">
            <v>ja</v>
          </cell>
          <cell r="C292" t="str">
            <v>魔改造のウィッチ・オクトパス</v>
          </cell>
          <cell r="D292" t="str">
            <v>イベント:アリスの絵本01</v>
          </cell>
          <cell r="E292" t="str">
            <v>アバター</v>
          </cell>
          <cell r="F292" t="str">
            <v>可愛い</v>
          </cell>
          <cell r="G292" t="str">
            <v>女性</v>
          </cell>
          <cell r="H292" t="str">
            <v>red</v>
          </cell>
          <cell r="I292">
            <v>5</v>
          </cell>
          <cell r="J292" t="str">
            <v>Drop2N</v>
          </cell>
          <cell r="K292" t="str">
            <v>technical</v>
          </cell>
          <cell r="L292" t="str">
            <v>テクニカルタイプ</v>
          </cell>
          <cell r="M292" t="str">
            <v>human</v>
          </cell>
          <cell r="N292" t="str">
            <v>ヒューマン</v>
          </cell>
          <cell r="O292" t="str">
            <v>none</v>
          </cell>
          <cell r="P292" t="str">
            <v>種族なし</v>
          </cell>
          <cell r="Q292" t="str">
            <v>アタッカー</v>
          </cell>
          <cell r="R292">
            <v>3</v>
          </cell>
          <cell r="S292" t="str">
            <v>NULL</v>
          </cell>
          <cell r="T292" t="str">
            <v>normal</v>
          </cell>
          <cell r="U292" t="str">
            <v>NULL</v>
          </cell>
          <cell r="V292" t="str">
            <v>NULL</v>
          </cell>
          <cell r="W292" t="str">
            <v>NULL</v>
          </cell>
        </row>
        <row r="293">
          <cell r="A293">
            <v>292</v>
          </cell>
          <cell r="B293" t="str">
            <v>ja</v>
          </cell>
          <cell r="C293" t="str">
            <v>アナスタシア</v>
          </cell>
          <cell r="D293" t="str">
            <v>イベント:アリスの絵本01</v>
          </cell>
          <cell r="E293" t="str">
            <v>アバター</v>
          </cell>
          <cell r="F293" t="str">
            <v>美しい</v>
          </cell>
          <cell r="G293" t="str">
            <v>女性</v>
          </cell>
          <cell r="H293" t="str">
            <v>blue</v>
          </cell>
          <cell r="I293">
            <v>4</v>
          </cell>
          <cell r="J293" t="str">
            <v>Drop2N</v>
          </cell>
          <cell r="K293" t="str">
            <v>balance</v>
          </cell>
          <cell r="L293" t="str">
            <v>バランスタイプ</v>
          </cell>
          <cell r="M293" t="str">
            <v>human</v>
          </cell>
          <cell r="N293" t="str">
            <v>ヒューマン</v>
          </cell>
          <cell r="O293" t="str">
            <v>none</v>
          </cell>
          <cell r="P293" t="str">
            <v>種族なし</v>
          </cell>
          <cell r="Q293" t="str">
            <v>アタッカー</v>
          </cell>
          <cell r="R293">
            <v>3</v>
          </cell>
          <cell r="S293" t="str">
            <v>NULL</v>
          </cell>
          <cell r="T293" t="str">
            <v>normal</v>
          </cell>
          <cell r="U293" t="str">
            <v>NULL</v>
          </cell>
          <cell r="V293" t="str">
            <v>NULL</v>
          </cell>
          <cell r="W293" t="str">
            <v>NULL</v>
          </cell>
        </row>
        <row r="294">
          <cell r="A294">
            <v>293</v>
          </cell>
          <cell r="B294" t="str">
            <v>ja</v>
          </cell>
          <cell r="C294" t="str">
            <v>激流拳技を極めし者 アナスタシア</v>
          </cell>
          <cell r="D294" t="str">
            <v>イベント:アリスの絵本01</v>
          </cell>
          <cell r="E294" t="str">
            <v>アバター</v>
          </cell>
          <cell r="F294" t="str">
            <v>美しい</v>
          </cell>
          <cell r="G294" t="str">
            <v>女性</v>
          </cell>
          <cell r="H294" t="str">
            <v>blue</v>
          </cell>
          <cell r="I294">
            <v>5</v>
          </cell>
          <cell r="J294" t="str">
            <v>Drop2N</v>
          </cell>
          <cell r="K294" t="str">
            <v>balance</v>
          </cell>
          <cell r="L294" t="str">
            <v>バランスタイプ</v>
          </cell>
          <cell r="M294" t="str">
            <v>human</v>
          </cell>
          <cell r="N294" t="str">
            <v>ヒューマン</v>
          </cell>
          <cell r="O294" t="str">
            <v>none</v>
          </cell>
          <cell r="P294" t="str">
            <v>種族なし</v>
          </cell>
          <cell r="Q294" t="str">
            <v>アタッカー</v>
          </cell>
          <cell r="R294">
            <v>3</v>
          </cell>
          <cell r="S294" t="str">
            <v>NULL</v>
          </cell>
          <cell r="T294" t="str">
            <v>normal</v>
          </cell>
          <cell r="U294" t="str">
            <v>NULL</v>
          </cell>
          <cell r="V294" t="str">
            <v>NULL</v>
          </cell>
          <cell r="W294" t="str">
            <v>NULL</v>
          </cell>
        </row>
        <row r="295">
          <cell r="A295">
            <v>294</v>
          </cell>
          <cell r="B295" t="str">
            <v>ja</v>
          </cell>
          <cell r="C295" t="str">
            <v>ウルフ・ザ・レッドイーター</v>
          </cell>
          <cell r="D295" t="str">
            <v>イベント:アリスの絵本01</v>
          </cell>
          <cell r="E295" t="str">
            <v>アバター</v>
          </cell>
          <cell r="F295" t="str">
            <v>格好いい</v>
          </cell>
          <cell r="G295" t="str">
            <v>男性</v>
          </cell>
          <cell r="H295" t="str">
            <v>green</v>
          </cell>
          <cell r="I295">
            <v>4</v>
          </cell>
          <cell r="J295" t="str">
            <v>Drop2N</v>
          </cell>
          <cell r="K295" t="str">
            <v>attack</v>
          </cell>
          <cell r="L295" t="str">
            <v>攻撃タイプ</v>
          </cell>
          <cell r="M295" t="str">
            <v>animal</v>
          </cell>
          <cell r="N295" t="str">
            <v>アニマル</v>
          </cell>
          <cell r="O295" t="str">
            <v>none</v>
          </cell>
          <cell r="P295" t="str">
            <v>種族なし</v>
          </cell>
          <cell r="Q295" t="str">
            <v>アタッカー</v>
          </cell>
          <cell r="R295">
            <v>3</v>
          </cell>
          <cell r="S295" t="str">
            <v>NULL</v>
          </cell>
          <cell r="T295" t="str">
            <v>normal</v>
          </cell>
          <cell r="U295" t="str">
            <v>NULL</v>
          </cell>
          <cell r="V295" t="str">
            <v>NULL</v>
          </cell>
          <cell r="W295" t="str">
            <v>NULL</v>
          </cell>
        </row>
        <row r="296">
          <cell r="A296">
            <v>295</v>
          </cell>
          <cell r="B296" t="str">
            <v>ja</v>
          </cell>
          <cell r="C296" t="str">
            <v>ウルフ・ザ・レッドクラッシャー</v>
          </cell>
          <cell r="D296" t="str">
            <v>イベント:アリスの絵本01</v>
          </cell>
          <cell r="E296" t="str">
            <v>アバター</v>
          </cell>
          <cell r="F296" t="str">
            <v>格好いい</v>
          </cell>
          <cell r="G296" t="str">
            <v>男性</v>
          </cell>
          <cell r="H296" t="str">
            <v>green</v>
          </cell>
          <cell r="I296">
            <v>5</v>
          </cell>
          <cell r="J296" t="str">
            <v>Drop2N</v>
          </cell>
          <cell r="K296" t="str">
            <v>attack</v>
          </cell>
          <cell r="L296" t="str">
            <v>攻撃タイプ</v>
          </cell>
          <cell r="M296" t="str">
            <v>animal</v>
          </cell>
          <cell r="N296" t="str">
            <v>アニマル</v>
          </cell>
          <cell r="O296" t="str">
            <v>none</v>
          </cell>
          <cell r="P296" t="str">
            <v>種族なし</v>
          </cell>
          <cell r="Q296" t="str">
            <v>アタッカー</v>
          </cell>
          <cell r="R296">
            <v>3</v>
          </cell>
          <cell r="S296" t="str">
            <v>NULL</v>
          </cell>
          <cell r="T296" t="str">
            <v>normal</v>
          </cell>
          <cell r="U296" t="str">
            <v>NULL</v>
          </cell>
          <cell r="V296" t="str">
            <v>NULL</v>
          </cell>
          <cell r="W296" t="str">
            <v>NULL</v>
          </cell>
        </row>
        <row r="297">
          <cell r="A297">
            <v>296</v>
          </cell>
          <cell r="B297" t="str">
            <v>ja</v>
          </cell>
          <cell r="C297" t="str">
            <v>アザゼル</v>
          </cell>
          <cell r="D297" t="str">
            <v>イベント:ウィザード</v>
          </cell>
          <cell r="E297" t="str">
            <v>執行者</v>
          </cell>
          <cell r="F297" t="str">
            <v>格好いい</v>
          </cell>
          <cell r="G297" t="str">
            <v>男性</v>
          </cell>
          <cell r="H297" t="str">
            <v>green</v>
          </cell>
          <cell r="I297">
            <v>4</v>
          </cell>
          <cell r="J297" t="str">
            <v>DropWizS</v>
          </cell>
          <cell r="K297" t="str">
            <v>technical</v>
          </cell>
          <cell r="L297" t="str">
            <v>テクニカルタイプ</v>
          </cell>
          <cell r="M297" t="str">
            <v>god</v>
          </cell>
          <cell r="N297" t="str">
            <v>ゴッド</v>
          </cell>
          <cell r="O297" t="str">
            <v>none</v>
          </cell>
          <cell r="P297" t="str">
            <v>種族なし</v>
          </cell>
          <cell r="R297">
            <v>3</v>
          </cell>
          <cell r="S297" t="str">
            <v>NULL</v>
          </cell>
          <cell r="T297" t="str">
            <v>normal</v>
          </cell>
          <cell r="U297" t="str">
            <v>NULL</v>
          </cell>
          <cell r="V297" t="str">
            <v>NULL</v>
          </cell>
          <cell r="W297" t="str">
            <v>NULL</v>
          </cell>
        </row>
        <row r="298">
          <cell r="A298">
            <v>297</v>
          </cell>
          <cell r="B298" t="str">
            <v>ja</v>
          </cell>
          <cell r="C298" t="str">
            <v>狂靭なる双撃 アザゼル</v>
          </cell>
          <cell r="D298" t="str">
            <v>イベント:ウィザード</v>
          </cell>
          <cell r="E298" t="str">
            <v>執行者</v>
          </cell>
          <cell r="F298" t="str">
            <v>格好いい</v>
          </cell>
          <cell r="G298" t="str">
            <v>男性</v>
          </cell>
          <cell r="H298" t="str">
            <v>green</v>
          </cell>
          <cell r="I298">
            <v>5</v>
          </cell>
          <cell r="J298" t="str">
            <v>DropWizS</v>
          </cell>
          <cell r="K298" t="str">
            <v>technical</v>
          </cell>
          <cell r="L298" t="str">
            <v>テクニカルタイプ</v>
          </cell>
          <cell r="M298" t="str">
            <v>god</v>
          </cell>
          <cell r="N298" t="str">
            <v>ゴッド</v>
          </cell>
          <cell r="O298" t="str">
            <v>none</v>
          </cell>
          <cell r="P298" t="str">
            <v>種族なし</v>
          </cell>
          <cell r="R298">
            <v>3</v>
          </cell>
          <cell r="S298" t="str">
            <v>NULL</v>
          </cell>
          <cell r="T298" t="str">
            <v>normal</v>
          </cell>
          <cell r="U298" t="str">
            <v>NULL</v>
          </cell>
          <cell r="V298" t="str">
            <v>NULL</v>
          </cell>
          <cell r="W298" t="str">
            <v>NULL</v>
          </cell>
        </row>
        <row r="299">
          <cell r="A299">
            <v>298</v>
          </cell>
          <cell r="B299" t="str">
            <v>ja</v>
          </cell>
          <cell r="C299" t="str">
            <v>炎殺のミサコ</v>
          </cell>
          <cell r="D299" t="str">
            <v>イベント:囚人01</v>
          </cell>
          <cell r="E299" t="str">
            <v>QoH</v>
          </cell>
          <cell r="F299" t="str">
            <v>美しい</v>
          </cell>
          <cell r="G299" t="str">
            <v>女性</v>
          </cell>
          <cell r="H299" t="str">
            <v>red</v>
          </cell>
          <cell r="I299">
            <v>3</v>
          </cell>
          <cell r="J299" t="str">
            <v>Drop2W</v>
          </cell>
          <cell r="K299" t="str">
            <v>hp</v>
          </cell>
          <cell r="L299" t="str">
            <v>体力タイプ</v>
          </cell>
          <cell r="M299" t="str">
            <v>human</v>
          </cell>
          <cell r="N299" t="str">
            <v>ヒューマン</v>
          </cell>
          <cell r="O299" t="str">
            <v>none</v>
          </cell>
          <cell r="P299" t="str">
            <v>種族なし</v>
          </cell>
          <cell r="Q299" t="str">
            <v>アタッカー</v>
          </cell>
          <cell r="R299">
            <v>3</v>
          </cell>
          <cell r="S299" t="str">
            <v>NULL</v>
          </cell>
          <cell r="T299" t="str">
            <v>normal</v>
          </cell>
          <cell r="U299" t="str">
            <v>NULL</v>
          </cell>
          <cell r="V299" t="str">
            <v>NULL</v>
          </cell>
          <cell r="W299" t="str">
            <v>NULL</v>
          </cell>
        </row>
        <row r="300">
          <cell r="A300">
            <v>299</v>
          </cell>
          <cell r="B300" t="str">
            <v>ja</v>
          </cell>
          <cell r="C300" t="str">
            <v>狂気の炎風 ミサコ</v>
          </cell>
          <cell r="D300" t="str">
            <v>イベント:囚人01</v>
          </cell>
          <cell r="E300" t="str">
            <v>QoH</v>
          </cell>
          <cell r="F300" t="str">
            <v>美しい</v>
          </cell>
          <cell r="G300" t="str">
            <v>女性</v>
          </cell>
          <cell r="H300" t="str">
            <v>red</v>
          </cell>
          <cell r="I300">
            <v>4</v>
          </cell>
          <cell r="J300" t="str">
            <v>Drop2W</v>
          </cell>
          <cell r="K300" t="str">
            <v>hp</v>
          </cell>
          <cell r="L300" t="str">
            <v>体力タイプ</v>
          </cell>
          <cell r="M300" t="str">
            <v>human</v>
          </cell>
          <cell r="N300" t="str">
            <v>ヒューマン</v>
          </cell>
          <cell r="O300" t="str">
            <v>none</v>
          </cell>
          <cell r="P300" t="str">
            <v>種族なし</v>
          </cell>
          <cell r="Q300" t="str">
            <v>アタッカー</v>
          </cell>
          <cell r="R300">
            <v>3</v>
          </cell>
          <cell r="S300" t="str">
            <v>NULL</v>
          </cell>
          <cell r="T300" t="str">
            <v>normal</v>
          </cell>
          <cell r="U300" t="str">
            <v>NULL</v>
          </cell>
          <cell r="V300" t="str">
            <v>NULL</v>
          </cell>
          <cell r="W300" t="str">
            <v>NULL</v>
          </cell>
        </row>
        <row r="301">
          <cell r="A301">
            <v>300</v>
          </cell>
          <cell r="B301" t="str">
            <v>ja</v>
          </cell>
          <cell r="C301" t="str">
            <v>毒殺のチカ</v>
          </cell>
          <cell r="D301" t="str">
            <v>イベント:囚人01</v>
          </cell>
          <cell r="E301" t="str">
            <v>QoH</v>
          </cell>
          <cell r="F301" t="str">
            <v>可愛い</v>
          </cell>
          <cell r="G301" t="str">
            <v>女性</v>
          </cell>
          <cell r="H301" t="str">
            <v>green</v>
          </cell>
          <cell r="I301">
            <v>3</v>
          </cell>
          <cell r="J301" t="str">
            <v>Drop2W</v>
          </cell>
          <cell r="K301" t="str">
            <v>balance</v>
          </cell>
          <cell r="L301" t="str">
            <v>バランスタイプ</v>
          </cell>
          <cell r="M301" t="str">
            <v>human</v>
          </cell>
          <cell r="N301" t="str">
            <v>ヒューマン</v>
          </cell>
          <cell r="O301" t="str">
            <v>none</v>
          </cell>
          <cell r="P301" t="str">
            <v>種族なし</v>
          </cell>
          <cell r="Q301" t="str">
            <v>デバッファー</v>
          </cell>
          <cell r="R301">
            <v>3</v>
          </cell>
          <cell r="S301" t="str">
            <v>NULL</v>
          </cell>
          <cell r="T301" t="str">
            <v>normal</v>
          </cell>
          <cell r="U301" t="str">
            <v>NULL</v>
          </cell>
          <cell r="V301" t="str">
            <v>NULL</v>
          </cell>
          <cell r="W301" t="str">
            <v>NULL</v>
          </cell>
        </row>
        <row r="302">
          <cell r="A302">
            <v>301</v>
          </cell>
          <cell r="B302" t="str">
            <v>ja</v>
          </cell>
          <cell r="C302" t="str">
            <v>宿痾の葬送 チカ</v>
          </cell>
          <cell r="D302" t="str">
            <v>イベント:囚人01</v>
          </cell>
          <cell r="E302" t="str">
            <v>QoH</v>
          </cell>
          <cell r="F302" t="str">
            <v>可愛い</v>
          </cell>
          <cell r="G302" t="str">
            <v>女性</v>
          </cell>
          <cell r="H302" t="str">
            <v>green</v>
          </cell>
          <cell r="I302">
            <v>4</v>
          </cell>
          <cell r="J302" t="str">
            <v>Drop2W</v>
          </cell>
          <cell r="K302" t="str">
            <v>balance</v>
          </cell>
          <cell r="L302" t="str">
            <v>バランスタイプ</v>
          </cell>
          <cell r="M302" t="str">
            <v>human</v>
          </cell>
          <cell r="N302" t="str">
            <v>ヒューマン</v>
          </cell>
          <cell r="O302" t="str">
            <v>none</v>
          </cell>
          <cell r="P302" t="str">
            <v>種族なし</v>
          </cell>
          <cell r="Q302" t="str">
            <v>デバッファー</v>
          </cell>
          <cell r="R302">
            <v>3</v>
          </cell>
          <cell r="S302" t="str">
            <v>NULL</v>
          </cell>
          <cell r="T302" t="str">
            <v>normal</v>
          </cell>
          <cell r="U302" t="str">
            <v>NULL</v>
          </cell>
          <cell r="V302" t="str">
            <v>NULL</v>
          </cell>
          <cell r="W302" t="str">
            <v>NULL</v>
          </cell>
        </row>
        <row r="303">
          <cell r="A303">
            <v>302</v>
          </cell>
          <cell r="B303" t="str">
            <v>ja</v>
          </cell>
          <cell r="C303" t="str">
            <v>絞殺のリサ</v>
          </cell>
          <cell r="D303" t="str">
            <v>イベント:囚人01</v>
          </cell>
          <cell r="E303" t="str">
            <v>QoH</v>
          </cell>
          <cell r="F303" t="str">
            <v>美しい</v>
          </cell>
          <cell r="G303" t="str">
            <v>女性</v>
          </cell>
          <cell r="H303" t="str">
            <v>blue</v>
          </cell>
          <cell r="I303">
            <v>3</v>
          </cell>
          <cell r="J303" t="str">
            <v>Drop2W</v>
          </cell>
          <cell r="K303" t="str">
            <v>heal</v>
          </cell>
          <cell r="L303" t="str">
            <v>回復タイプ</v>
          </cell>
          <cell r="M303" t="str">
            <v>human</v>
          </cell>
          <cell r="N303" t="str">
            <v>ヒューマン</v>
          </cell>
          <cell r="O303" t="str">
            <v>none</v>
          </cell>
          <cell r="P303" t="str">
            <v>種族なし</v>
          </cell>
          <cell r="Q303" t="str">
            <v>アタッカー</v>
          </cell>
          <cell r="R303">
            <v>3</v>
          </cell>
          <cell r="S303" t="str">
            <v>NULL</v>
          </cell>
          <cell r="T303" t="str">
            <v>normal</v>
          </cell>
          <cell r="U303" t="str">
            <v>NULL</v>
          </cell>
          <cell r="V303" t="str">
            <v>NULL</v>
          </cell>
          <cell r="W303" t="str">
            <v>NULL</v>
          </cell>
        </row>
        <row r="304">
          <cell r="A304">
            <v>303</v>
          </cell>
          <cell r="B304" t="str">
            <v>ja</v>
          </cell>
          <cell r="C304" t="str">
            <v>哄笑の禁縛 リサ</v>
          </cell>
          <cell r="D304" t="str">
            <v>イベント:囚人01</v>
          </cell>
          <cell r="E304" t="str">
            <v>QoH</v>
          </cell>
          <cell r="F304" t="str">
            <v>美しい</v>
          </cell>
          <cell r="G304" t="str">
            <v>女性</v>
          </cell>
          <cell r="H304" t="str">
            <v>blue</v>
          </cell>
          <cell r="I304">
            <v>4</v>
          </cell>
          <cell r="J304" t="str">
            <v>Drop2W</v>
          </cell>
          <cell r="K304" t="str">
            <v>heal</v>
          </cell>
          <cell r="L304" t="str">
            <v>回復タイプ</v>
          </cell>
          <cell r="M304" t="str">
            <v>human</v>
          </cell>
          <cell r="N304" t="str">
            <v>ヒューマン</v>
          </cell>
          <cell r="O304" t="str">
            <v>none</v>
          </cell>
          <cell r="P304" t="str">
            <v>種族なし</v>
          </cell>
          <cell r="Q304" t="str">
            <v>アタッカー</v>
          </cell>
          <cell r="R304">
            <v>3</v>
          </cell>
          <cell r="S304" t="str">
            <v>NULL</v>
          </cell>
          <cell r="T304" t="str">
            <v>normal</v>
          </cell>
          <cell r="U304" t="str">
            <v>NULL</v>
          </cell>
          <cell r="V304" t="str">
            <v>NULL</v>
          </cell>
          <cell r="W304" t="str">
            <v>NULL</v>
          </cell>
        </row>
        <row r="305">
          <cell r="A305">
            <v>304</v>
          </cell>
          <cell r="B305" t="str">
            <v>ja</v>
          </cell>
          <cell r="C305" t="str">
            <v>電殺のチエミ</v>
          </cell>
          <cell r="D305" t="str">
            <v>イベント:囚人01</v>
          </cell>
          <cell r="E305" t="str">
            <v>QoH</v>
          </cell>
          <cell r="F305" t="str">
            <v>美しい</v>
          </cell>
          <cell r="G305" t="str">
            <v>女性</v>
          </cell>
          <cell r="H305" t="str">
            <v>yellow</v>
          </cell>
          <cell r="I305">
            <v>3</v>
          </cell>
          <cell r="J305" t="str">
            <v>Drop2W</v>
          </cell>
          <cell r="K305" t="str">
            <v>attack</v>
          </cell>
          <cell r="L305" t="str">
            <v>攻撃タイプ</v>
          </cell>
          <cell r="M305" t="str">
            <v>human</v>
          </cell>
          <cell r="N305" t="str">
            <v>ヒューマン</v>
          </cell>
          <cell r="O305" t="str">
            <v>none</v>
          </cell>
          <cell r="P305" t="str">
            <v>種族なし</v>
          </cell>
          <cell r="Q305" t="str">
            <v>アタッカー</v>
          </cell>
          <cell r="R305">
            <v>3</v>
          </cell>
          <cell r="S305" t="str">
            <v>NULL</v>
          </cell>
          <cell r="T305" t="str">
            <v>normal</v>
          </cell>
          <cell r="U305" t="str">
            <v>NULL</v>
          </cell>
          <cell r="V305" t="str">
            <v>NULL</v>
          </cell>
          <cell r="W305" t="str">
            <v>NULL</v>
          </cell>
        </row>
        <row r="306">
          <cell r="A306">
            <v>305</v>
          </cell>
          <cell r="B306" t="str">
            <v>ja</v>
          </cell>
          <cell r="C306" t="str">
            <v>螺旋の雷電 チエミ</v>
          </cell>
          <cell r="D306" t="str">
            <v>イベント:囚人01</v>
          </cell>
          <cell r="E306" t="str">
            <v>QoH</v>
          </cell>
          <cell r="F306" t="str">
            <v>美しい</v>
          </cell>
          <cell r="G306" t="str">
            <v>女性</v>
          </cell>
          <cell r="H306" t="str">
            <v>yellow</v>
          </cell>
          <cell r="I306">
            <v>4</v>
          </cell>
          <cell r="J306" t="str">
            <v>Drop2W</v>
          </cell>
          <cell r="K306" t="str">
            <v>attack</v>
          </cell>
          <cell r="L306" t="str">
            <v>攻撃タイプ</v>
          </cell>
          <cell r="M306" t="str">
            <v>human</v>
          </cell>
          <cell r="N306" t="str">
            <v>ヒューマン</v>
          </cell>
          <cell r="O306" t="str">
            <v>none</v>
          </cell>
          <cell r="P306" t="str">
            <v>種族なし</v>
          </cell>
          <cell r="Q306" t="str">
            <v>アタッカー</v>
          </cell>
          <cell r="R306">
            <v>3</v>
          </cell>
          <cell r="S306" t="str">
            <v>NULL</v>
          </cell>
          <cell r="T306" t="str">
            <v>normal</v>
          </cell>
          <cell r="U306" t="str">
            <v>NULL</v>
          </cell>
          <cell r="V306" t="str">
            <v>NULL</v>
          </cell>
          <cell r="W306" t="str">
            <v>NULL</v>
          </cell>
        </row>
        <row r="307">
          <cell r="A307">
            <v>306</v>
          </cell>
          <cell r="B307" t="str">
            <v>ja</v>
          </cell>
          <cell r="C307" t="str">
            <v>メガロドン</v>
          </cell>
          <cell r="D307" t="str">
            <v>イベント:深海生物01</v>
          </cell>
          <cell r="E307" t="str">
            <v>アバター</v>
          </cell>
          <cell r="F307" t="str">
            <v>格好いい</v>
          </cell>
          <cell r="G307" t="str">
            <v>女性</v>
          </cell>
          <cell r="H307" t="str">
            <v>red</v>
          </cell>
          <cell r="I307">
            <v>4</v>
          </cell>
          <cell r="J307" t="str">
            <v>Drop2N</v>
          </cell>
          <cell r="K307" t="str">
            <v>attack</v>
          </cell>
          <cell r="L307" t="str">
            <v>攻撃タイプ</v>
          </cell>
          <cell r="M307" t="str">
            <v>animal</v>
          </cell>
          <cell r="N307" t="str">
            <v>アニマル</v>
          </cell>
          <cell r="O307" t="str">
            <v>none</v>
          </cell>
          <cell r="P307" t="str">
            <v>種族なし</v>
          </cell>
          <cell r="Q307" t="str">
            <v>アタッカー</v>
          </cell>
          <cell r="R307">
            <v>3</v>
          </cell>
          <cell r="S307" t="str">
            <v>NULL</v>
          </cell>
          <cell r="T307" t="str">
            <v>normal</v>
          </cell>
          <cell r="U307" t="str">
            <v>NULL</v>
          </cell>
          <cell r="V307" t="str">
            <v>NULL</v>
          </cell>
          <cell r="W307" t="str">
            <v>NULL</v>
          </cell>
        </row>
        <row r="308">
          <cell r="A308">
            <v>307</v>
          </cell>
          <cell r="B308" t="str">
            <v>ja</v>
          </cell>
          <cell r="C308" t="str">
            <v>古の鋼拳 メガロドン</v>
          </cell>
          <cell r="D308" t="str">
            <v>イベント:深海生物01</v>
          </cell>
          <cell r="E308" t="str">
            <v>アバター</v>
          </cell>
          <cell r="F308" t="str">
            <v>格好いい</v>
          </cell>
          <cell r="G308" t="str">
            <v>女性</v>
          </cell>
          <cell r="H308" t="str">
            <v>red</v>
          </cell>
          <cell r="I308">
            <v>5</v>
          </cell>
          <cell r="J308" t="str">
            <v>Drop2N</v>
          </cell>
          <cell r="K308" t="str">
            <v>attack</v>
          </cell>
          <cell r="L308" t="str">
            <v>攻撃タイプ</v>
          </cell>
          <cell r="M308" t="str">
            <v>animal</v>
          </cell>
          <cell r="N308" t="str">
            <v>アニマル</v>
          </cell>
          <cell r="O308" t="str">
            <v>none</v>
          </cell>
          <cell r="P308" t="str">
            <v>種族なし</v>
          </cell>
          <cell r="Q308" t="str">
            <v>アタッカー</v>
          </cell>
          <cell r="R308">
            <v>3</v>
          </cell>
          <cell r="S308" t="str">
            <v>NULL</v>
          </cell>
          <cell r="T308" t="str">
            <v>normal</v>
          </cell>
          <cell r="U308" t="str">
            <v>NULL</v>
          </cell>
          <cell r="V308" t="str">
            <v>NULL</v>
          </cell>
          <cell r="W308" t="str">
            <v>NULL</v>
          </cell>
        </row>
        <row r="309">
          <cell r="A309">
            <v>308</v>
          </cell>
          <cell r="B309" t="str">
            <v>ja</v>
          </cell>
          <cell r="C309" t="str">
            <v>アーケロン</v>
          </cell>
          <cell r="D309" t="str">
            <v>イベント:深海生物01</v>
          </cell>
          <cell r="E309" t="str">
            <v>アバター</v>
          </cell>
          <cell r="F309" t="str">
            <v>可愛い</v>
          </cell>
          <cell r="G309" t="str">
            <v>女性</v>
          </cell>
          <cell r="H309" t="str">
            <v>green</v>
          </cell>
          <cell r="I309">
            <v>4</v>
          </cell>
          <cell r="J309" t="str">
            <v>Drop2N</v>
          </cell>
          <cell r="K309" t="str">
            <v>hp</v>
          </cell>
          <cell r="L309" t="str">
            <v>体力タイプ</v>
          </cell>
          <cell r="M309" t="str">
            <v>animal</v>
          </cell>
          <cell r="N309" t="str">
            <v>アニマル</v>
          </cell>
          <cell r="O309" t="str">
            <v>none</v>
          </cell>
          <cell r="P309" t="str">
            <v>種族なし</v>
          </cell>
          <cell r="Q309" t="str">
            <v>バッファー</v>
          </cell>
          <cell r="R309">
            <v>3</v>
          </cell>
          <cell r="S309" t="str">
            <v>NULL</v>
          </cell>
          <cell r="T309" t="str">
            <v>normal</v>
          </cell>
          <cell r="U309" t="str">
            <v>NULL</v>
          </cell>
          <cell r="V309" t="str">
            <v>NULL</v>
          </cell>
          <cell r="W309" t="str">
            <v>NULL</v>
          </cell>
        </row>
        <row r="310">
          <cell r="A310">
            <v>309</v>
          </cell>
          <cell r="B310" t="str">
            <v>ja</v>
          </cell>
          <cell r="C310" t="str">
            <v>古の博学 アーケロン</v>
          </cell>
          <cell r="D310" t="str">
            <v>イベント:深海生物01</v>
          </cell>
          <cell r="E310" t="str">
            <v>アバター</v>
          </cell>
          <cell r="F310" t="str">
            <v>可愛い</v>
          </cell>
          <cell r="G310" t="str">
            <v>女性</v>
          </cell>
          <cell r="H310" t="str">
            <v>green</v>
          </cell>
          <cell r="I310">
            <v>5</v>
          </cell>
          <cell r="J310" t="str">
            <v>Drop2N</v>
          </cell>
          <cell r="K310" t="str">
            <v>hp</v>
          </cell>
          <cell r="L310" t="str">
            <v>体力タイプ</v>
          </cell>
          <cell r="M310" t="str">
            <v>animal</v>
          </cell>
          <cell r="N310" t="str">
            <v>アニマル</v>
          </cell>
          <cell r="O310" t="str">
            <v>none</v>
          </cell>
          <cell r="P310" t="str">
            <v>種族なし</v>
          </cell>
          <cell r="Q310" t="str">
            <v>バッファー</v>
          </cell>
          <cell r="R310">
            <v>3</v>
          </cell>
          <cell r="S310" t="str">
            <v>NULL</v>
          </cell>
          <cell r="T310" t="str">
            <v>normal</v>
          </cell>
          <cell r="U310" t="str">
            <v>NULL</v>
          </cell>
          <cell r="V310" t="str">
            <v>NULL</v>
          </cell>
          <cell r="W310" t="str">
            <v>NULL</v>
          </cell>
        </row>
        <row r="311">
          <cell r="A311">
            <v>310</v>
          </cell>
          <cell r="B311" t="str">
            <v>ja</v>
          </cell>
          <cell r="C311" t="str">
            <v>リードシクティス</v>
          </cell>
          <cell r="D311" t="str">
            <v>イベント:深海生物01</v>
          </cell>
          <cell r="E311" t="str">
            <v>アバター</v>
          </cell>
          <cell r="F311" t="str">
            <v>美しい</v>
          </cell>
          <cell r="G311" t="str">
            <v>女性</v>
          </cell>
          <cell r="H311" t="str">
            <v>blue</v>
          </cell>
          <cell r="I311">
            <v>4</v>
          </cell>
          <cell r="J311" t="str">
            <v>Drop2N</v>
          </cell>
          <cell r="K311" t="str">
            <v>heal</v>
          </cell>
          <cell r="L311" t="str">
            <v>回復タイプ</v>
          </cell>
          <cell r="M311" t="str">
            <v>animal</v>
          </cell>
          <cell r="N311" t="str">
            <v>アニマル</v>
          </cell>
          <cell r="O311" t="str">
            <v>none</v>
          </cell>
          <cell r="P311" t="str">
            <v>種族なし</v>
          </cell>
          <cell r="Q311" t="str">
            <v>ヒーラー</v>
          </cell>
          <cell r="R311">
            <v>3</v>
          </cell>
          <cell r="S311" t="str">
            <v>NULL</v>
          </cell>
          <cell r="T311" t="str">
            <v>normal</v>
          </cell>
          <cell r="U311" t="str">
            <v>NULL</v>
          </cell>
          <cell r="V311" t="str">
            <v>NULL</v>
          </cell>
          <cell r="W311" t="str">
            <v>NULL</v>
          </cell>
        </row>
        <row r="312">
          <cell r="A312">
            <v>311</v>
          </cell>
          <cell r="B312" t="str">
            <v>ja</v>
          </cell>
          <cell r="C312" t="str">
            <v>古の暴食 リードシクティス</v>
          </cell>
          <cell r="D312" t="str">
            <v>イベント:深海生物01</v>
          </cell>
          <cell r="E312" t="str">
            <v>アバター</v>
          </cell>
          <cell r="F312" t="str">
            <v>美しい</v>
          </cell>
          <cell r="G312" t="str">
            <v>女性</v>
          </cell>
          <cell r="H312" t="str">
            <v>blue</v>
          </cell>
          <cell r="I312">
            <v>5</v>
          </cell>
          <cell r="J312" t="str">
            <v>Drop2N</v>
          </cell>
          <cell r="K312" t="str">
            <v>heal</v>
          </cell>
          <cell r="L312" t="str">
            <v>回復タイプ</v>
          </cell>
          <cell r="M312" t="str">
            <v>animal</v>
          </cell>
          <cell r="N312" t="str">
            <v>アニマル</v>
          </cell>
          <cell r="O312" t="str">
            <v>none</v>
          </cell>
          <cell r="P312" t="str">
            <v>種族なし</v>
          </cell>
          <cell r="Q312" t="str">
            <v>ヒーラー</v>
          </cell>
          <cell r="R312">
            <v>3</v>
          </cell>
          <cell r="S312" t="str">
            <v>NULL</v>
          </cell>
          <cell r="T312" t="str">
            <v>normal</v>
          </cell>
          <cell r="U312" t="str">
            <v>NULL</v>
          </cell>
          <cell r="V312" t="str">
            <v>NULL</v>
          </cell>
          <cell r="W312" t="str">
            <v>NULL</v>
          </cell>
        </row>
        <row r="313">
          <cell r="A313">
            <v>312</v>
          </cell>
          <cell r="B313" t="str">
            <v>ja</v>
          </cell>
          <cell r="C313" t="str">
            <v>アノマロカリス</v>
          </cell>
          <cell r="D313" t="str">
            <v>イベント:深海生物01</v>
          </cell>
          <cell r="E313" t="str">
            <v>アバター</v>
          </cell>
          <cell r="F313" t="str">
            <v>可愛い</v>
          </cell>
          <cell r="G313" t="str">
            <v>女性</v>
          </cell>
          <cell r="H313" t="str">
            <v>yellow</v>
          </cell>
          <cell r="I313">
            <v>4</v>
          </cell>
          <cell r="J313" t="str">
            <v>Drop2N</v>
          </cell>
          <cell r="K313" t="str">
            <v>balance</v>
          </cell>
          <cell r="L313" t="str">
            <v>バランスタイプ</v>
          </cell>
          <cell r="M313" t="str">
            <v>animal</v>
          </cell>
          <cell r="N313" t="str">
            <v>アニマル</v>
          </cell>
          <cell r="O313" t="str">
            <v>none</v>
          </cell>
          <cell r="P313" t="str">
            <v>種族なし</v>
          </cell>
          <cell r="Q313" t="str">
            <v>バッファー</v>
          </cell>
          <cell r="R313">
            <v>3</v>
          </cell>
          <cell r="S313" t="str">
            <v>NULL</v>
          </cell>
          <cell r="T313" t="str">
            <v>normal</v>
          </cell>
          <cell r="U313" t="str">
            <v>NULL</v>
          </cell>
          <cell r="V313" t="str">
            <v>NULL</v>
          </cell>
          <cell r="W313" t="str">
            <v>NULL</v>
          </cell>
        </row>
        <row r="314">
          <cell r="A314">
            <v>313</v>
          </cell>
          <cell r="B314" t="str">
            <v>ja</v>
          </cell>
          <cell r="C314" t="str">
            <v>古の先鋭 アノマロカリス</v>
          </cell>
          <cell r="D314" t="str">
            <v>イベント:深海生物01</v>
          </cell>
          <cell r="E314" t="str">
            <v>アバター</v>
          </cell>
          <cell r="F314" t="str">
            <v>可愛い</v>
          </cell>
          <cell r="G314" t="str">
            <v>女性</v>
          </cell>
          <cell r="H314" t="str">
            <v>yellow</v>
          </cell>
          <cell r="I314">
            <v>5</v>
          </cell>
          <cell r="J314" t="str">
            <v>Drop2N</v>
          </cell>
          <cell r="K314" t="str">
            <v>balance</v>
          </cell>
          <cell r="L314" t="str">
            <v>バランスタイプ</v>
          </cell>
          <cell r="M314" t="str">
            <v>animal</v>
          </cell>
          <cell r="N314" t="str">
            <v>アニマル</v>
          </cell>
          <cell r="O314" t="str">
            <v>none</v>
          </cell>
          <cell r="P314" t="str">
            <v>種族なし</v>
          </cell>
          <cell r="Q314" t="str">
            <v>バッファー</v>
          </cell>
          <cell r="R314">
            <v>3</v>
          </cell>
          <cell r="S314" t="str">
            <v>NULL</v>
          </cell>
          <cell r="T314" t="str">
            <v>normal</v>
          </cell>
          <cell r="U314" t="str">
            <v>NULL</v>
          </cell>
          <cell r="V314" t="str">
            <v>NULL</v>
          </cell>
          <cell r="W314" t="str">
            <v>NULL</v>
          </cell>
        </row>
        <row r="315">
          <cell r="A315">
            <v>314</v>
          </cell>
          <cell r="B315" t="str">
            <v>ja</v>
          </cell>
          <cell r="C315" t="str">
            <v>ジャンヌ</v>
          </cell>
          <cell r="D315" t="str">
            <v>イベント:ウィザード</v>
          </cell>
          <cell r="E315" t="str">
            <v>守護者</v>
          </cell>
          <cell r="F315" t="str">
            <v>美しい</v>
          </cell>
          <cell r="G315" t="str">
            <v>女性</v>
          </cell>
          <cell r="H315" t="str">
            <v>blue</v>
          </cell>
          <cell r="I315">
            <v>4</v>
          </cell>
          <cell r="J315" t="str">
            <v>DropWizS</v>
          </cell>
          <cell r="K315" t="str">
            <v>heal</v>
          </cell>
          <cell r="L315" t="str">
            <v>回復タイプ</v>
          </cell>
          <cell r="M315" t="str">
            <v>human</v>
          </cell>
          <cell r="N315" t="str">
            <v>ヒューマン</v>
          </cell>
          <cell r="O315" t="str">
            <v>none</v>
          </cell>
          <cell r="P315" t="str">
            <v>種族なし</v>
          </cell>
          <cell r="R315">
            <v>3</v>
          </cell>
          <cell r="S315" t="str">
            <v>NULL</v>
          </cell>
          <cell r="T315" t="str">
            <v>normal</v>
          </cell>
          <cell r="U315" t="str">
            <v>NULL</v>
          </cell>
          <cell r="V315" t="str">
            <v>NULL</v>
          </cell>
          <cell r="W315" t="str">
            <v>NULL</v>
          </cell>
        </row>
        <row r="316">
          <cell r="A316">
            <v>315</v>
          </cell>
          <cell r="B316" t="str">
            <v>ja</v>
          </cell>
          <cell r="C316" t="str">
            <v>鉄馬駆る聖女 ジャンヌ</v>
          </cell>
          <cell r="D316" t="str">
            <v>イベント:ウィザード</v>
          </cell>
          <cell r="E316" t="str">
            <v>守護者</v>
          </cell>
          <cell r="F316" t="str">
            <v>美しい</v>
          </cell>
          <cell r="G316" t="str">
            <v>女性</v>
          </cell>
          <cell r="H316" t="str">
            <v>blue</v>
          </cell>
          <cell r="I316">
            <v>5</v>
          </cell>
          <cell r="J316" t="str">
            <v>DropWizS</v>
          </cell>
          <cell r="K316" t="str">
            <v>heal</v>
          </cell>
          <cell r="L316" t="str">
            <v>回復タイプ</v>
          </cell>
          <cell r="M316" t="str">
            <v>human</v>
          </cell>
          <cell r="N316" t="str">
            <v>ヒューマン</v>
          </cell>
          <cell r="O316" t="str">
            <v>none</v>
          </cell>
          <cell r="P316" t="str">
            <v>種族なし</v>
          </cell>
          <cell r="R316">
            <v>3</v>
          </cell>
          <cell r="S316" t="str">
            <v>NULL</v>
          </cell>
          <cell r="T316" t="str">
            <v>normal</v>
          </cell>
          <cell r="U316" t="str">
            <v>NULL</v>
          </cell>
          <cell r="V316" t="str">
            <v>NULL</v>
          </cell>
          <cell r="W316" t="str">
            <v>NULL</v>
          </cell>
        </row>
        <row r="317">
          <cell r="A317">
            <v>316</v>
          </cell>
          <cell r="B317" t="str">
            <v>ja</v>
          </cell>
          <cell r="C317" t="str">
            <v>テスラ</v>
          </cell>
          <cell r="D317" t="str">
            <v>チャレンジタワー</v>
          </cell>
          <cell r="E317" t="str">
            <v>守護者</v>
          </cell>
          <cell r="F317" t="str">
            <v>可愛い</v>
          </cell>
          <cell r="G317" t="str">
            <v>女性</v>
          </cell>
          <cell r="H317" t="str">
            <v>yellow</v>
          </cell>
          <cell r="I317">
            <v>4</v>
          </cell>
          <cell r="J317" t="str">
            <v>DropWizN</v>
          </cell>
          <cell r="K317" t="str">
            <v>balance</v>
          </cell>
          <cell r="L317" t="str">
            <v>バランスタイプ</v>
          </cell>
          <cell r="M317" t="str">
            <v>human</v>
          </cell>
          <cell r="N317" t="str">
            <v>ヒューマン</v>
          </cell>
          <cell r="O317" t="str">
            <v>none</v>
          </cell>
          <cell r="P317" t="str">
            <v>種族なし</v>
          </cell>
          <cell r="R317">
            <v>3</v>
          </cell>
          <cell r="S317" t="str">
            <v>NULL</v>
          </cell>
          <cell r="T317" t="str">
            <v>normal</v>
          </cell>
          <cell r="U317" t="str">
            <v>NULL</v>
          </cell>
          <cell r="V317" t="str">
            <v>NULL</v>
          </cell>
          <cell r="W317" t="str">
            <v>NULL</v>
          </cell>
        </row>
        <row r="318">
          <cell r="A318">
            <v>317</v>
          </cell>
          <cell r="B318" t="str">
            <v>ja</v>
          </cell>
          <cell r="C318" t="str">
            <v>異能の電気師 テスラ</v>
          </cell>
          <cell r="D318" t="str">
            <v>チャレンジタワー</v>
          </cell>
          <cell r="E318" t="str">
            <v>守護者</v>
          </cell>
          <cell r="F318" t="str">
            <v>可愛い</v>
          </cell>
          <cell r="G318" t="str">
            <v>女性</v>
          </cell>
          <cell r="H318" t="str">
            <v>yellow</v>
          </cell>
          <cell r="I318">
            <v>5</v>
          </cell>
          <cell r="J318" t="str">
            <v>DropWizN</v>
          </cell>
          <cell r="K318" t="str">
            <v>balance</v>
          </cell>
          <cell r="L318" t="str">
            <v>バランスタイプ</v>
          </cell>
          <cell r="M318" t="str">
            <v>human</v>
          </cell>
          <cell r="N318" t="str">
            <v>ヒューマン</v>
          </cell>
          <cell r="O318" t="str">
            <v>none</v>
          </cell>
          <cell r="P318" t="str">
            <v>種族なし</v>
          </cell>
          <cell r="R318">
            <v>3</v>
          </cell>
          <cell r="S318" t="str">
            <v>NULL</v>
          </cell>
          <cell r="T318" t="str">
            <v>normal</v>
          </cell>
          <cell r="U318" t="str">
            <v>NULL</v>
          </cell>
          <cell r="V318" t="str">
            <v>NULL</v>
          </cell>
          <cell r="W318" t="str">
            <v>NULL</v>
          </cell>
        </row>
        <row r="319">
          <cell r="A319">
            <v>318</v>
          </cell>
          <cell r="B319" t="str">
            <v>ja</v>
          </cell>
          <cell r="C319" t="str">
            <v>シャルル</v>
          </cell>
          <cell r="D319" t="str">
            <v>チャレンジタワー</v>
          </cell>
          <cell r="E319" t="str">
            <v>守護者</v>
          </cell>
          <cell r="F319" t="str">
            <v>美しい</v>
          </cell>
          <cell r="G319" t="str">
            <v>女性</v>
          </cell>
          <cell r="H319" t="str">
            <v>blue</v>
          </cell>
          <cell r="I319">
            <v>4</v>
          </cell>
          <cell r="J319" t="str">
            <v>DropWizN</v>
          </cell>
          <cell r="K319" t="str">
            <v>heal</v>
          </cell>
          <cell r="L319" t="str">
            <v>回復タイプ</v>
          </cell>
          <cell r="M319" t="str">
            <v>human</v>
          </cell>
          <cell r="N319" t="str">
            <v>ヒューマン</v>
          </cell>
          <cell r="O319" t="str">
            <v>none</v>
          </cell>
          <cell r="P319" t="str">
            <v>種族なし</v>
          </cell>
          <cell r="Q319" t="str">
            <v>ヒーラー</v>
          </cell>
          <cell r="R319">
            <v>3</v>
          </cell>
          <cell r="S319" t="str">
            <v>NULL</v>
          </cell>
          <cell r="T319" t="str">
            <v>normal</v>
          </cell>
          <cell r="U319" t="str">
            <v>NULL</v>
          </cell>
          <cell r="V319" t="str">
            <v>NULL</v>
          </cell>
          <cell r="W319" t="str">
            <v>NULL</v>
          </cell>
        </row>
        <row r="320">
          <cell r="A320">
            <v>319</v>
          </cell>
          <cell r="B320" t="str">
            <v>ja</v>
          </cell>
          <cell r="C320" t="str">
            <v>夢想の学士 シャルル</v>
          </cell>
          <cell r="D320" t="str">
            <v>チャレンジタワー</v>
          </cell>
          <cell r="E320" t="str">
            <v>守護者</v>
          </cell>
          <cell r="F320" t="str">
            <v>美しい</v>
          </cell>
          <cell r="G320" t="str">
            <v>女性</v>
          </cell>
          <cell r="H320" t="str">
            <v>blue</v>
          </cell>
          <cell r="I320">
            <v>5</v>
          </cell>
          <cell r="J320" t="str">
            <v>DropWizN</v>
          </cell>
          <cell r="K320" t="str">
            <v>heal</v>
          </cell>
          <cell r="L320" t="str">
            <v>回復タイプ</v>
          </cell>
          <cell r="M320" t="str">
            <v>human</v>
          </cell>
          <cell r="N320" t="str">
            <v>ヒューマン</v>
          </cell>
          <cell r="O320" t="str">
            <v>none</v>
          </cell>
          <cell r="P320" t="str">
            <v>種族なし</v>
          </cell>
          <cell r="Q320" t="str">
            <v>ヒーラー</v>
          </cell>
          <cell r="R320">
            <v>3</v>
          </cell>
          <cell r="S320" t="str">
            <v>NULL</v>
          </cell>
          <cell r="T320" t="str">
            <v>normal</v>
          </cell>
          <cell r="U320" t="str">
            <v>NULL</v>
          </cell>
          <cell r="V320" t="str">
            <v>NULL</v>
          </cell>
          <cell r="W320" t="str">
            <v>NULL</v>
          </cell>
        </row>
        <row r="321">
          <cell r="A321">
            <v>320</v>
          </cell>
          <cell r="B321" t="str">
            <v>ja</v>
          </cell>
          <cell r="C321" t="str">
            <v>烈志士 近藤勇</v>
          </cell>
          <cell r="D321" t="str">
            <v>ガチャ:幕末01</v>
          </cell>
          <cell r="E321" t="str">
            <v>破界者</v>
          </cell>
          <cell r="F321" t="str">
            <v>格好いい</v>
          </cell>
          <cell r="G321" t="str">
            <v>男性</v>
          </cell>
          <cell r="H321" t="str">
            <v>red</v>
          </cell>
          <cell r="I321">
            <v>4</v>
          </cell>
          <cell r="J321" t="str">
            <v>PremiumSS</v>
          </cell>
          <cell r="K321" t="str">
            <v>hp</v>
          </cell>
          <cell r="L321" t="str">
            <v>体力タイプ</v>
          </cell>
          <cell r="M321" t="str">
            <v>human</v>
          </cell>
          <cell r="N321" t="str">
            <v>ヒューマン</v>
          </cell>
          <cell r="O321" t="str">
            <v>none</v>
          </cell>
          <cell r="P321" t="str">
            <v>種族なし</v>
          </cell>
          <cell r="R321">
            <v>3</v>
          </cell>
          <cell r="S321" t="str">
            <v>NULL</v>
          </cell>
          <cell r="T321" t="str">
            <v>normal</v>
          </cell>
          <cell r="U321" t="str">
            <v>NULL</v>
          </cell>
          <cell r="V321" t="str">
            <v>NULL</v>
          </cell>
          <cell r="W321" t="str">
            <v>NULL</v>
          </cell>
        </row>
        <row r="322">
          <cell r="A322">
            <v>321</v>
          </cell>
          <cell r="B322" t="str">
            <v>ja</v>
          </cell>
          <cell r="C322" t="str">
            <v>巌鉄の烈志士 近藤勇</v>
          </cell>
          <cell r="D322" t="str">
            <v>ガチャ:幕末01</v>
          </cell>
          <cell r="E322" t="str">
            <v>破界者</v>
          </cell>
          <cell r="F322" t="str">
            <v>格好いい</v>
          </cell>
          <cell r="G322" t="str">
            <v>男性</v>
          </cell>
          <cell r="H322" t="str">
            <v>red</v>
          </cell>
          <cell r="I322">
            <v>5</v>
          </cell>
          <cell r="J322" t="str">
            <v>PremiumSS</v>
          </cell>
          <cell r="K322" t="str">
            <v>hp</v>
          </cell>
          <cell r="L322" t="str">
            <v>体力タイプ</v>
          </cell>
          <cell r="M322" t="str">
            <v>human</v>
          </cell>
          <cell r="N322" t="str">
            <v>ヒューマン</v>
          </cell>
          <cell r="O322" t="str">
            <v>none</v>
          </cell>
          <cell r="P322" t="str">
            <v>種族なし</v>
          </cell>
          <cell r="R322">
            <v>3</v>
          </cell>
          <cell r="S322" t="str">
            <v>NULL</v>
          </cell>
          <cell r="T322" t="str">
            <v>normal</v>
          </cell>
          <cell r="U322" t="str">
            <v>NULL</v>
          </cell>
          <cell r="V322" t="str">
            <v>NULL</v>
          </cell>
          <cell r="W322" t="str">
            <v>NULL</v>
          </cell>
        </row>
        <row r="323">
          <cell r="A323">
            <v>322</v>
          </cell>
          <cell r="B323" t="str">
            <v>ja</v>
          </cell>
          <cell r="C323" t="str">
            <v>愛志士 土方歳三</v>
          </cell>
          <cell r="D323" t="str">
            <v>ガチャ:幕末01</v>
          </cell>
          <cell r="E323" t="str">
            <v>破界者</v>
          </cell>
          <cell r="F323" t="str">
            <v>美しい</v>
          </cell>
          <cell r="G323" t="str">
            <v>女性</v>
          </cell>
          <cell r="H323" t="str">
            <v>green</v>
          </cell>
          <cell r="I323">
            <v>4</v>
          </cell>
          <cell r="J323" t="str">
            <v>PremiumSS</v>
          </cell>
          <cell r="K323" t="str">
            <v>attack</v>
          </cell>
          <cell r="L323" t="str">
            <v>攻撃タイプ</v>
          </cell>
          <cell r="M323" t="str">
            <v>human</v>
          </cell>
          <cell r="N323" t="str">
            <v>ヒューマン</v>
          </cell>
          <cell r="O323" t="str">
            <v>none</v>
          </cell>
          <cell r="P323" t="str">
            <v>種族なし</v>
          </cell>
          <cell r="R323">
            <v>3</v>
          </cell>
          <cell r="S323" t="str">
            <v>NULL</v>
          </cell>
          <cell r="T323" t="str">
            <v>normal</v>
          </cell>
          <cell r="U323" t="str">
            <v>NULL</v>
          </cell>
          <cell r="V323" t="str">
            <v>NULL</v>
          </cell>
          <cell r="W323" t="str">
            <v>NULL</v>
          </cell>
        </row>
        <row r="324">
          <cell r="A324">
            <v>323</v>
          </cell>
          <cell r="B324" t="str">
            <v>ja</v>
          </cell>
          <cell r="C324" t="str">
            <v>流麗の愛志士 土方歳三</v>
          </cell>
          <cell r="D324" t="str">
            <v>ガチャ:幕末01</v>
          </cell>
          <cell r="E324" t="str">
            <v>破界者</v>
          </cell>
          <cell r="F324" t="str">
            <v>美しい</v>
          </cell>
          <cell r="G324" t="str">
            <v>女性</v>
          </cell>
          <cell r="H324" t="str">
            <v>green</v>
          </cell>
          <cell r="I324">
            <v>5</v>
          </cell>
          <cell r="J324" t="str">
            <v>PremiumSS</v>
          </cell>
          <cell r="K324" t="str">
            <v>attack</v>
          </cell>
          <cell r="L324" t="str">
            <v>攻撃タイプ</v>
          </cell>
          <cell r="M324" t="str">
            <v>human</v>
          </cell>
          <cell r="N324" t="str">
            <v>ヒューマン</v>
          </cell>
          <cell r="O324" t="str">
            <v>none</v>
          </cell>
          <cell r="P324" t="str">
            <v>種族なし</v>
          </cell>
          <cell r="R324">
            <v>3</v>
          </cell>
          <cell r="S324" t="str">
            <v>NULL</v>
          </cell>
          <cell r="T324" t="str">
            <v>normal</v>
          </cell>
          <cell r="U324" t="str">
            <v>NULL</v>
          </cell>
          <cell r="V324" t="str">
            <v>NULL</v>
          </cell>
          <cell r="W324" t="str">
            <v>NULL</v>
          </cell>
        </row>
        <row r="325">
          <cell r="A325">
            <v>324</v>
          </cell>
          <cell r="B325" t="str">
            <v>ja</v>
          </cell>
          <cell r="C325" t="str">
            <v>凛志士 沖田総司</v>
          </cell>
          <cell r="D325" t="str">
            <v>ガチャ:幕末01</v>
          </cell>
          <cell r="E325" t="str">
            <v>破界者</v>
          </cell>
          <cell r="F325" t="str">
            <v>可愛い</v>
          </cell>
          <cell r="G325" t="str">
            <v>女性</v>
          </cell>
          <cell r="H325" t="str">
            <v>blue</v>
          </cell>
          <cell r="I325">
            <v>4</v>
          </cell>
          <cell r="J325" t="str">
            <v>PremiumSS</v>
          </cell>
          <cell r="K325" t="str">
            <v>balance</v>
          </cell>
          <cell r="L325" t="str">
            <v>バランスタイプ</v>
          </cell>
          <cell r="M325" t="str">
            <v>human</v>
          </cell>
          <cell r="N325" t="str">
            <v>ヒューマン</v>
          </cell>
          <cell r="O325" t="str">
            <v>none</v>
          </cell>
          <cell r="P325" t="str">
            <v>種族なし</v>
          </cell>
          <cell r="Q325" t="str">
            <v>アタッカー</v>
          </cell>
          <cell r="R325">
            <v>3</v>
          </cell>
          <cell r="S325" t="str">
            <v>NULL</v>
          </cell>
          <cell r="T325" t="str">
            <v>normal</v>
          </cell>
          <cell r="U325" t="str">
            <v>NULL</v>
          </cell>
          <cell r="V325" t="str">
            <v>NULL</v>
          </cell>
          <cell r="W325" t="str">
            <v>NULL</v>
          </cell>
        </row>
        <row r="326">
          <cell r="A326">
            <v>325</v>
          </cell>
          <cell r="B326" t="str">
            <v>ja</v>
          </cell>
          <cell r="C326" t="str">
            <v>天賦の凛志士 沖田総司</v>
          </cell>
          <cell r="D326" t="str">
            <v>ガチャ:幕末01</v>
          </cell>
          <cell r="E326" t="str">
            <v>破界者</v>
          </cell>
          <cell r="F326" t="str">
            <v>可愛い</v>
          </cell>
          <cell r="G326" t="str">
            <v>女性</v>
          </cell>
          <cell r="H326" t="str">
            <v>blue</v>
          </cell>
          <cell r="I326">
            <v>5</v>
          </cell>
          <cell r="J326" t="str">
            <v>PremiumSS</v>
          </cell>
          <cell r="K326" t="str">
            <v>balance</v>
          </cell>
          <cell r="L326" t="str">
            <v>バランスタイプ</v>
          </cell>
          <cell r="M326" t="str">
            <v>human</v>
          </cell>
          <cell r="N326" t="str">
            <v>ヒューマン</v>
          </cell>
          <cell r="O326" t="str">
            <v>none</v>
          </cell>
          <cell r="P326" t="str">
            <v>種族なし</v>
          </cell>
          <cell r="Q326" t="str">
            <v>アタッカー</v>
          </cell>
          <cell r="R326">
            <v>3</v>
          </cell>
          <cell r="S326" t="str">
            <v>NULL</v>
          </cell>
          <cell r="T326" t="str">
            <v>normal</v>
          </cell>
          <cell r="U326" t="str">
            <v>NULL</v>
          </cell>
          <cell r="V326" t="str">
            <v>NULL</v>
          </cell>
          <cell r="W326" t="str">
            <v>NULL</v>
          </cell>
        </row>
        <row r="327">
          <cell r="A327">
            <v>326</v>
          </cell>
          <cell r="B327" t="str">
            <v>ja</v>
          </cell>
          <cell r="C327" t="str">
            <v>妖志士 斎藤一</v>
          </cell>
          <cell r="D327" t="str">
            <v>ガチャ:幕末01</v>
          </cell>
          <cell r="E327" t="str">
            <v>破界者</v>
          </cell>
          <cell r="F327" t="str">
            <v>美しい</v>
          </cell>
          <cell r="G327" t="str">
            <v>女性</v>
          </cell>
          <cell r="H327" t="str">
            <v>yellow</v>
          </cell>
          <cell r="I327">
            <v>4</v>
          </cell>
          <cell r="J327" t="str">
            <v>PremiumSS</v>
          </cell>
          <cell r="K327" t="str">
            <v>technical</v>
          </cell>
          <cell r="L327" t="str">
            <v>テクニカルタイプ</v>
          </cell>
          <cell r="M327" t="str">
            <v>human</v>
          </cell>
          <cell r="N327" t="str">
            <v>ヒューマン</v>
          </cell>
          <cell r="O327" t="str">
            <v>none</v>
          </cell>
          <cell r="P327" t="str">
            <v>種族なし</v>
          </cell>
          <cell r="R327">
            <v>3</v>
          </cell>
          <cell r="S327" t="str">
            <v>NULL</v>
          </cell>
          <cell r="T327" t="str">
            <v>normal</v>
          </cell>
          <cell r="U327" t="str">
            <v>NULL</v>
          </cell>
          <cell r="V327" t="str">
            <v>NULL</v>
          </cell>
          <cell r="W327" t="str">
            <v>NULL</v>
          </cell>
        </row>
        <row r="328">
          <cell r="A328">
            <v>327</v>
          </cell>
          <cell r="B328" t="str">
            <v>ja</v>
          </cell>
          <cell r="C328" t="str">
            <v>千殺の妖志士 斎藤一</v>
          </cell>
          <cell r="D328" t="str">
            <v>ガチャ:幕末01</v>
          </cell>
          <cell r="E328" t="str">
            <v>破界者</v>
          </cell>
          <cell r="F328" t="str">
            <v>美しい</v>
          </cell>
          <cell r="G328" t="str">
            <v>女性</v>
          </cell>
          <cell r="H328" t="str">
            <v>yellow</v>
          </cell>
          <cell r="I328">
            <v>5</v>
          </cell>
          <cell r="J328" t="str">
            <v>PremiumSS</v>
          </cell>
          <cell r="K328" t="str">
            <v>technical</v>
          </cell>
          <cell r="L328" t="str">
            <v>テクニカルタイプ</v>
          </cell>
          <cell r="M328" t="str">
            <v>human</v>
          </cell>
          <cell r="N328" t="str">
            <v>ヒューマン</v>
          </cell>
          <cell r="O328" t="str">
            <v>none</v>
          </cell>
          <cell r="P328" t="str">
            <v>種族なし</v>
          </cell>
          <cell r="R328">
            <v>3</v>
          </cell>
          <cell r="S328" t="str">
            <v>NULL</v>
          </cell>
          <cell r="T328" t="str">
            <v>normal</v>
          </cell>
          <cell r="U328" t="str">
            <v>NULL</v>
          </cell>
          <cell r="V328" t="str">
            <v>NULL</v>
          </cell>
          <cell r="W328" t="str">
            <v>NULL</v>
          </cell>
        </row>
        <row r="329">
          <cell r="A329">
            <v>328</v>
          </cell>
          <cell r="B329" t="str">
            <v>ja</v>
          </cell>
          <cell r="C329" t="str">
            <v>麒麟クエストアイコンシルエット</v>
          </cell>
          <cell r="D329" t="str">
            <v>未定</v>
          </cell>
          <cell r="H329" t="str">
            <v>yellow</v>
          </cell>
          <cell r="I329">
            <v>4</v>
          </cell>
          <cell r="J329" t="str">
            <v>PremiumS</v>
          </cell>
          <cell r="K329" t="str">
            <v>none</v>
          </cell>
          <cell r="L329" t="str">
            <v>タイプなし</v>
          </cell>
          <cell r="M329" t="str">
            <v>human</v>
          </cell>
          <cell r="N329" t="str">
            <v>ヒューマン</v>
          </cell>
          <cell r="O329" t="str">
            <v>none</v>
          </cell>
          <cell r="P329" t="str">
            <v>種族なし</v>
          </cell>
          <cell r="R329">
            <v>3</v>
          </cell>
          <cell r="S329" t="str">
            <v>NULL</v>
          </cell>
          <cell r="T329" t="str">
            <v>normal</v>
          </cell>
          <cell r="U329" t="str">
            <v>NULL</v>
          </cell>
          <cell r="V329" t="str">
            <v>NULL</v>
          </cell>
          <cell r="W329" t="str">
            <v>NULL</v>
          </cell>
        </row>
        <row r="330">
          <cell r="A330">
            <v>329</v>
          </cell>
          <cell r="B330" t="str">
            <v>ja</v>
          </cell>
          <cell r="C330" t="str">
            <v>麒麟クエストアイコンシルエット</v>
          </cell>
          <cell r="D330" t="str">
            <v>未定</v>
          </cell>
          <cell r="H330" t="str">
            <v>yellow</v>
          </cell>
          <cell r="I330">
            <v>5</v>
          </cell>
          <cell r="J330" t="str">
            <v>PremiumS</v>
          </cell>
          <cell r="K330" t="str">
            <v>none</v>
          </cell>
          <cell r="L330" t="str">
            <v>タイプなし</v>
          </cell>
          <cell r="M330" t="str">
            <v>human</v>
          </cell>
          <cell r="N330" t="str">
            <v>ヒューマン</v>
          </cell>
          <cell r="O330" t="str">
            <v>none</v>
          </cell>
          <cell r="P330" t="str">
            <v>種族なし</v>
          </cell>
          <cell r="R330">
            <v>1</v>
          </cell>
          <cell r="S330" t="str">
            <v>NULL</v>
          </cell>
          <cell r="T330" t="str">
            <v>normal</v>
          </cell>
          <cell r="U330" t="str">
            <v>NULL</v>
          </cell>
          <cell r="V330" t="str">
            <v>NULL</v>
          </cell>
          <cell r="W330" t="str">
            <v>NULL</v>
          </cell>
        </row>
        <row r="331">
          <cell r="A331">
            <v>330</v>
          </cell>
          <cell r="B331" t="str">
            <v>ja</v>
          </cell>
          <cell r="C331" t="str">
            <v>Usagi-chan</v>
          </cell>
          <cell r="D331" t="str">
            <v>未定</v>
          </cell>
          <cell r="H331" t="str">
            <v>blue</v>
          </cell>
          <cell r="I331">
            <v>4</v>
          </cell>
          <cell r="J331" t="str">
            <v>DropWizSSS</v>
          </cell>
          <cell r="K331" t="str">
            <v>balance</v>
          </cell>
          <cell r="L331" t="str">
            <v>バランスタイプ</v>
          </cell>
          <cell r="M331" t="str">
            <v>machine</v>
          </cell>
          <cell r="N331" t="str">
            <v>マシン</v>
          </cell>
          <cell r="O331" t="str">
            <v>god</v>
          </cell>
          <cell r="P331" t="str">
            <v>ゴッド</v>
          </cell>
          <cell r="R331">
            <v>3</v>
          </cell>
          <cell r="S331" t="str">
            <v>NULL</v>
          </cell>
          <cell r="T331" t="str">
            <v>normal</v>
          </cell>
          <cell r="U331" t="str">
            <v>NULL</v>
          </cell>
          <cell r="V331" t="str">
            <v>NULL</v>
          </cell>
          <cell r="W331" t="str">
            <v>NULL</v>
          </cell>
        </row>
        <row r="332">
          <cell r="A332">
            <v>331</v>
          </cell>
          <cell r="B332" t="str">
            <v>ja</v>
          </cell>
          <cell r="C332" t="str">
            <v>オーディンクエストアイコンシルエット</v>
          </cell>
          <cell r="D332" t="str">
            <v>未定</v>
          </cell>
          <cell r="H332" t="str">
            <v>blue</v>
          </cell>
          <cell r="I332">
            <v>5</v>
          </cell>
          <cell r="J332" t="str">
            <v>DropWizSSS</v>
          </cell>
          <cell r="K332" t="str">
            <v>none</v>
          </cell>
          <cell r="L332" t="str">
            <v>タイプなし</v>
          </cell>
          <cell r="M332" t="str">
            <v>unknown</v>
          </cell>
          <cell r="N332" t="str">
            <v>Unknown</v>
          </cell>
          <cell r="O332" t="str">
            <v>none</v>
          </cell>
          <cell r="P332" t="str">
            <v>種族なし</v>
          </cell>
          <cell r="R332">
            <v>3</v>
          </cell>
          <cell r="S332" t="str">
            <v>NULL</v>
          </cell>
          <cell r="T332" t="str">
            <v>normal</v>
          </cell>
          <cell r="U332" t="str">
            <v>NULL</v>
          </cell>
          <cell r="V332" t="str">
            <v>NULL</v>
          </cell>
          <cell r="W332" t="str">
            <v>NULL</v>
          </cell>
        </row>
        <row r="333">
          <cell r="A333">
            <v>332</v>
          </cell>
          <cell r="B333" t="str">
            <v>ja</v>
          </cell>
          <cell r="C333" t="str">
            <v>炎のメタルピヨピヨ</v>
          </cell>
          <cell r="D333" t="str">
            <v>強化素材R3　赤</v>
          </cell>
          <cell r="E333" t="str">
            <v>アリス</v>
          </cell>
          <cell r="F333" t="str">
            <v>世界観</v>
          </cell>
          <cell r="G333" t="str">
            <v>不明</v>
          </cell>
          <cell r="H333" t="str">
            <v>red</v>
          </cell>
          <cell r="I333">
            <v>3</v>
          </cell>
          <cell r="J333" t="str">
            <v>Material</v>
          </cell>
          <cell r="K333" t="str">
            <v>exp</v>
          </cell>
          <cell r="L333" t="str">
            <v>強化素材タイプ</v>
          </cell>
          <cell r="M333" t="str">
            <v>unknown</v>
          </cell>
          <cell r="N333" t="str">
            <v>Unknown</v>
          </cell>
          <cell r="O333" t="str">
            <v>none</v>
          </cell>
          <cell r="P333" t="str">
            <v>種族なし</v>
          </cell>
          <cell r="Q333" t="str">
            <v>強化素材</v>
          </cell>
          <cell r="R333">
            <v>3</v>
          </cell>
          <cell r="S333" t="str">
            <v>NULL</v>
          </cell>
          <cell r="T333" t="str">
            <v>normal</v>
          </cell>
          <cell r="U333" t="str">
            <v>NULL</v>
          </cell>
          <cell r="V333" t="str">
            <v>NULL</v>
          </cell>
          <cell r="W333" t="str">
            <v>NULL</v>
          </cell>
        </row>
        <row r="334">
          <cell r="A334">
            <v>333</v>
          </cell>
          <cell r="B334" t="str">
            <v>ja</v>
          </cell>
          <cell r="C334" t="str">
            <v>炎のメタルチック</v>
          </cell>
          <cell r="D334" t="str">
            <v>強化素材R4　赤</v>
          </cell>
          <cell r="E334" t="str">
            <v>アリス</v>
          </cell>
          <cell r="F334" t="str">
            <v>世界観</v>
          </cell>
          <cell r="G334" t="str">
            <v>不明</v>
          </cell>
          <cell r="H334" t="str">
            <v>red</v>
          </cell>
          <cell r="I334">
            <v>4</v>
          </cell>
          <cell r="J334" t="str">
            <v>Material</v>
          </cell>
          <cell r="K334" t="str">
            <v>exp</v>
          </cell>
          <cell r="L334" t="str">
            <v>強化素材タイプ</v>
          </cell>
          <cell r="M334" t="str">
            <v>unknown</v>
          </cell>
          <cell r="N334" t="str">
            <v>Unknown</v>
          </cell>
          <cell r="O334" t="str">
            <v>none</v>
          </cell>
          <cell r="P334" t="str">
            <v>種族なし</v>
          </cell>
          <cell r="Q334" t="str">
            <v>強化素材</v>
          </cell>
          <cell r="R334">
            <v>3</v>
          </cell>
          <cell r="S334" t="str">
            <v>NULL</v>
          </cell>
          <cell r="T334" t="str">
            <v>normal</v>
          </cell>
          <cell r="U334" t="str">
            <v>NULL</v>
          </cell>
          <cell r="V334" t="str">
            <v>NULL</v>
          </cell>
          <cell r="W334" t="str">
            <v>NULL</v>
          </cell>
        </row>
        <row r="335">
          <cell r="A335">
            <v>334</v>
          </cell>
          <cell r="B335" t="str">
            <v>ja</v>
          </cell>
          <cell r="C335" t="str">
            <v>炎のメタルダック</v>
          </cell>
          <cell r="D335" t="str">
            <v>強化素材R5　赤</v>
          </cell>
          <cell r="E335" t="str">
            <v>アリス</v>
          </cell>
          <cell r="F335" t="str">
            <v>世界観</v>
          </cell>
          <cell r="G335" t="str">
            <v>不明</v>
          </cell>
          <cell r="H335" t="str">
            <v>red</v>
          </cell>
          <cell r="I335">
            <v>5</v>
          </cell>
          <cell r="J335" t="str">
            <v>Material</v>
          </cell>
          <cell r="K335" t="str">
            <v>exp</v>
          </cell>
          <cell r="L335" t="str">
            <v>強化素材タイプ</v>
          </cell>
          <cell r="M335" t="str">
            <v>unknown</v>
          </cell>
          <cell r="N335" t="str">
            <v>Unknown</v>
          </cell>
          <cell r="O335" t="str">
            <v>none</v>
          </cell>
          <cell r="P335" t="str">
            <v>種族なし</v>
          </cell>
          <cell r="Q335" t="str">
            <v>強化素材</v>
          </cell>
          <cell r="R335">
            <v>3</v>
          </cell>
          <cell r="S335" t="str">
            <v>NULL</v>
          </cell>
          <cell r="T335" t="str">
            <v>normal</v>
          </cell>
          <cell r="U335" t="str">
            <v>NULL</v>
          </cell>
          <cell r="V335" t="str">
            <v>NULL</v>
          </cell>
          <cell r="W335" t="str">
            <v>NULL</v>
          </cell>
        </row>
        <row r="336">
          <cell r="A336">
            <v>335</v>
          </cell>
          <cell r="B336" t="str">
            <v>ja</v>
          </cell>
          <cell r="C336" t="str">
            <v>炎のメタルジェントル</v>
          </cell>
          <cell r="D336" t="str">
            <v>強化素材R6　赤</v>
          </cell>
          <cell r="E336" t="str">
            <v>アリス</v>
          </cell>
          <cell r="F336" t="str">
            <v>世界観</v>
          </cell>
          <cell r="G336" t="str">
            <v>不明</v>
          </cell>
          <cell r="H336" t="str">
            <v>red</v>
          </cell>
          <cell r="I336">
            <v>6</v>
          </cell>
          <cell r="J336" t="str">
            <v>Material</v>
          </cell>
          <cell r="K336" t="str">
            <v>exp</v>
          </cell>
          <cell r="L336" t="str">
            <v>強化素材タイプ</v>
          </cell>
          <cell r="M336" t="str">
            <v>unknown</v>
          </cell>
          <cell r="N336" t="str">
            <v>Unknown</v>
          </cell>
          <cell r="O336" t="str">
            <v>none</v>
          </cell>
          <cell r="P336" t="str">
            <v>種族なし</v>
          </cell>
          <cell r="Q336" t="str">
            <v>強化素材</v>
          </cell>
          <cell r="R336">
            <v>3</v>
          </cell>
          <cell r="S336" t="str">
            <v>NULL</v>
          </cell>
          <cell r="T336" t="str">
            <v>normal</v>
          </cell>
          <cell r="U336" t="str">
            <v>NULL</v>
          </cell>
          <cell r="V336" t="str">
            <v>NULL</v>
          </cell>
          <cell r="W336" t="str">
            <v>NULL</v>
          </cell>
        </row>
        <row r="337">
          <cell r="A337">
            <v>336</v>
          </cell>
          <cell r="B337" t="str">
            <v>ja</v>
          </cell>
          <cell r="C337" t="str">
            <v>森のメタルピヨピヨ</v>
          </cell>
          <cell r="D337" t="str">
            <v>強化素材R3　緑</v>
          </cell>
          <cell r="E337" t="str">
            <v>アリス</v>
          </cell>
          <cell r="F337" t="str">
            <v>世界観</v>
          </cell>
          <cell r="G337" t="str">
            <v>不明</v>
          </cell>
          <cell r="H337" t="str">
            <v>green</v>
          </cell>
          <cell r="I337">
            <v>3</v>
          </cell>
          <cell r="J337" t="str">
            <v>Material</v>
          </cell>
          <cell r="K337" t="str">
            <v>exp</v>
          </cell>
          <cell r="L337" t="str">
            <v>強化素材タイプ</v>
          </cell>
          <cell r="M337" t="str">
            <v>unknown</v>
          </cell>
          <cell r="N337" t="str">
            <v>Unknown</v>
          </cell>
          <cell r="O337" t="str">
            <v>none</v>
          </cell>
          <cell r="P337" t="str">
            <v>種族なし</v>
          </cell>
          <cell r="Q337" t="str">
            <v>強化素材</v>
          </cell>
          <cell r="R337">
            <v>3</v>
          </cell>
          <cell r="S337" t="str">
            <v>NULL</v>
          </cell>
          <cell r="T337" t="str">
            <v>normal</v>
          </cell>
          <cell r="U337" t="str">
            <v>NULL</v>
          </cell>
          <cell r="V337" t="str">
            <v>NULL</v>
          </cell>
          <cell r="W337" t="str">
            <v>NULL</v>
          </cell>
        </row>
        <row r="338">
          <cell r="A338">
            <v>337</v>
          </cell>
          <cell r="B338" t="str">
            <v>ja</v>
          </cell>
          <cell r="C338" t="str">
            <v>森のメタルチック</v>
          </cell>
          <cell r="D338" t="str">
            <v>強化素材R4　緑</v>
          </cell>
          <cell r="E338" t="str">
            <v>アリス</v>
          </cell>
          <cell r="F338" t="str">
            <v>世界観</v>
          </cell>
          <cell r="G338" t="str">
            <v>不明</v>
          </cell>
          <cell r="H338" t="str">
            <v>green</v>
          </cell>
          <cell r="I338">
            <v>4</v>
          </cell>
          <cell r="J338" t="str">
            <v>Material</v>
          </cell>
          <cell r="K338" t="str">
            <v>exp</v>
          </cell>
          <cell r="L338" t="str">
            <v>強化素材タイプ</v>
          </cell>
          <cell r="M338" t="str">
            <v>unknown</v>
          </cell>
          <cell r="N338" t="str">
            <v>Unknown</v>
          </cell>
          <cell r="O338" t="str">
            <v>none</v>
          </cell>
          <cell r="P338" t="str">
            <v>種族なし</v>
          </cell>
          <cell r="Q338" t="str">
            <v>強化素材</v>
          </cell>
          <cell r="R338">
            <v>3</v>
          </cell>
          <cell r="S338" t="str">
            <v>NULL</v>
          </cell>
          <cell r="T338" t="str">
            <v>normal</v>
          </cell>
          <cell r="U338" t="str">
            <v>NULL</v>
          </cell>
          <cell r="V338" t="str">
            <v>NULL</v>
          </cell>
          <cell r="W338" t="str">
            <v>NULL</v>
          </cell>
        </row>
        <row r="339">
          <cell r="A339">
            <v>338</v>
          </cell>
          <cell r="B339" t="str">
            <v>ja</v>
          </cell>
          <cell r="C339" t="str">
            <v>森のメタルダック</v>
          </cell>
          <cell r="D339" t="str">
            <v>強化素材R5　緑</v>
          </cell>
          <cell r="E339" t="str">
            <v>アリス</v>
          </cell>
          <cell r="F339" t="str">
            <v>世界観</v>
          </cell>
          <cell r="G339" t="str">
            <v>不明</v>
          </cell>
          <cell r="H339" t="str">
            <v>green</v>
          </cell>
          <cell r="I339">
            <v>5</v>
          </cell>
          <cell r="J339" t="str">
            <v>Material</v>
          </cell>
          <cell r="K339" t="str">
            <v>exp</v>
          </cell>
          <cell r="L339" t="str">
            <v>強化素材タイプ</v>
          </cell>
          <cell r="M339" t="str">
            <v>unknown</v>
          </cell>
          <cell r="N339" t="str">
            <v>Unknown</v>
          </cell>
          <cell r="O339" t="str">
            <v>none</v>
          </cell>
          <cell r="P339" t="str">
            <v>種族なし</v>
          </cell>
          <cell r="Q339" t="str">
            <v>強化素材</v>
          </cell>
          <cell r="R339">
            <v>3</v>
          </cell>
          <cell r="S339" t="str">
            <v>NULL</v>
          </cell>
          <cell r="T339" t="str">
            <v>normal</v>
          </cell>
          <cell r="U339" t="str">
            <v>NULL</v>
          </cell>
          <cell r="V339" t="str">
            <v>NULL</v>
          </cell>
          <cell r="W339" t="str">
            <v>NULL</v>
          </cell>
        </row>
        <row r="340">
          <cell r="A340">
            <v>339</v>
          </cell>
          <cell r="B340" t="str">
            <v>ja</v>
          </cell>
          <cell r="C340" t="str">
            <v>森のメタルジェントル</v>
          </cell>
          <cell r="D340" t="str">
            <v>強化素材R6　緑</v>
          </cell>
          <cell r="E340" t="str">
            <v>アリス</v>
          </cell>
          <cell r="F340" t="str">
            <v>世界観</v>
          </cell>
          <cell r="G340" t="str">
            <v>不明</v>
          </cell>
          <cell r="H340" t="str">
            <v>green</v>
          </cell>
          <cell r="I340">
            <v>6</v>
          </cell>
          <cell r="J340" t="str">
            <v>Material</v>
          </cell>
          <cell r="K340" t="str">
            <v>exp</v>
          </cell>
          <cell r="L340" t="str">
            <v>強化素材タイプ</v>
          </cell>
          <cell r="M340" t="str">
            <v>unknown</v>
          </cell>
          <cell r="N340" t="str">
            <v>Unknown</v>
          </cell>
          <cell r="O340" t="str">
            <v>none</v>
          </cell>
          <cell r="P340" t="str">
            <v>種族なし</v>
          </cell>
          <cell r="Q340" t="str">
            <v>強化素材</v>
          </cell>
          <cell r="R340">
            <v>3</v>
          </cell>
          <cell r="S340" t="str">
            <v>NULL</v>
          </cell>
          <cell r="T340" t="str">
            <v>normal</v>
          </cell>
          <cell r="U340" t="str">
            <v>NULL</v>
          </cell>
          <cell r="V340" t="str">
            <v>NULL</v>
          </cell>
          <cell r="W340" t="str">
            <v>NULL</v>
          </cell>
        </row>
        <row r="341">
          <cell r="A341">
            <v>340</v>
          </cell>
          <cell r="B341" t="str">
            <v>ja</v>
          </cell>
          <cell r="C341" t="str">
            <v>水のメタルピヨピヨ</v>
          </cell>
          <cell r="D341" t="str">
            <v>強化素材R3　青</v>
          </cell>
          <cell r="E341" t="str">
            <v>アリス</v>
          </cell>
          <cell r="F341" t="str">
            <v>世界観</v>
          </cell>
          <cell r="G341" t="str">
            <v>不明</v>
          </cell>
          <cell r="H341" t="str">
            <v>blue</v>
          </cell>
          <cell r="I341">
            <v>3</v>
          </cell>
          <cell r="J341" t="str">
            <v>Material</v>
          </cell>
          <cell r="K341" t="str">
            <v>exp</v>
          </cell>
          <cell r="L341" t="str">
            <v>強化素材タイプ</v>
          </cell>
          <cell r="M341" t="str">
            <v>unknown</v>
          </cell>
          <cell r="N341" t="str">
            <v>Unknown</v>
          </cell>
          <cell r="O341" t="str">
            <v>none</v>
          </cell>
          <cell r="P341" t="str">
            <v>種族なし</v>
          </cell>
          <cell r="Q341" t="str">
            <v>強化素材</v>
          </cell>
          <cell r="R341">
            <v>3</v>
          </cell>
          <cell r="S341" t="str">
            <v>NULL</v>
          </cell>
          <cell r="T341" t="str">
            <v>normal</v>
          </cell>
          <cell r="U341" t="str">
            <v>NULL</v>
          </cell>
          <cell r="V341" t="str">
            <v>NULL</v>
          </cell>
          <cell r="W341" t="str">
            <v>NULL</v>
          </cell>
        </row>
        <row r="342">
          <cell r="A342">
            <v>341</v>
          </cell>
          <cell r="B342" t="str">
            <v>ja</v>
          </cell>
          <cell r="C342" t="str">
            <v>水のメタルチック</v>
          </cell>
          <cell r="D342" t="str">
            <v>強化素材R4　青</v>
          </cell>
          <cell r="E342" t="str">
            <v>アリス</v>
          </cell>
          <cell r="F342" t="str">
            <v>世界観</v>
          </cell>
          <cell r="G342" t="str">
            <v>不明</v>
          </cell>
          <cell r="H342" t="str">
            <v>blue</v>
          </cell>
          <cell r="I342">
            <v>4</v>
          </cell>
          <cell r="J342" t="str">
            <v>Material</v>
          </cell>
          <cell r="K342" t="str">
            <v>exp</v>
          </cell>
          <cell r="L342" t="str">
            <v>強化素材タイプ</v>
          </cell>
          <cell r="M342" t="str">
            <v>unknown</v>
          </cell>
          <cell r="N342" t="str">
            <v>Unknown</v>
          </cell>
          <cell r="O342" t="str">
            <v>none</v>
          </cell>
          <cell r="P342" t="str">
            <v>種族なし</v>
          </cell>
          <cell r="Q342" t="str">
            <v>強化素材</v>
          </cell>
          <cell r="R342">
            <v>3</v>
          </cell>
          <cell r="S342" t="str">
            <v>NULL</v>
          </cell>
          <cell r="T342" t="str">
            <v>normal</v>
          </cell>
          <cell r="U342" t="str">
            <v>NULL</v>
          </cell>
          <cell r="V342" t="str">
            <v>NULL</v>
          </cell>
          <cell r="W342" t="str">
            <v>NULL</v>
          </cell>
        </row>
        <row r="343">
          <cell r="A343">
            <v>342</v>
          </cell>
          <cell r="B343" t="str">
            <v>ja</v>
          </cell>
          <cell r="C343" t="str">
            <v>水のメタルダック</v>
          </cell>
          <cell r="D343" t="str">
            <v>強化素材R5　青</v>
          </cell>
          <cell r="E343" t="str">
            <v>アリス</v>
          </cell>
          <cell r="F343" t="str">
            <v>世界観</v>
          </cell>
          <cell r="G343" t="str">
            <v>不明</v>
          </cell>
          <cell r="H343" t="str">
            <v>blue</v>
          </cell>
          <cell r="I343">
            <v>5</v>
          </cell>
          <cell r="J343" t="str">
            <v>Material</v>
          </cell>
          <cell r="K343" t="str">
            <v>exp</v>
          </cell>
          <cell r="L343" t="str">
            <v>強化素材タイプ</v>
          </cell>
          <cell r="M343" t="str">
            <v>unknown</v>
          </cell>
          <cell r="N343" t="str">
            <v>Unknown</v>
          </cell>
          <cell r="O343" t="str">
            <v>none</v>
          </cell>
          <cell r="P343" t="str">
            <v>種族なし</v>
          </cell>
          <cell r="Q343" t="str">
            <v>強化素材</v>
          </cell>
          <cell r="R343">
            <v>3</v>
          </cell>
          <cell r="S343" t="str">
            <v>NULL</v>
          </cell>
          <cell r="T343" t="str">
            <v>normal</v>
          </cell>
          <cell r="U343" t="str">
            <v>NULL</v>
          </cell>
          <cell r="V343" t="str">
            <v>NULL</v>
          </cell>
          <cell r="W343" t="str">
            <v>NULL</v>
          </cell>
        </row>
        <row r="344">
          <cell r="A344">
            <v>343</v>
          </cell>
          <cell r="B344" t="str">
            <v>ja</v>
          </cell>
          <cell r="C344" t="str">
            <v>水のメタルジェントル</v>
          </cell>
          <cell r="D344" t="str">
            <v>強化素材R6　青</v>
          </cell>
          <cell r="E344" t="str">
            <v>アリス</v>
          </cell>
          <cell r="F344" t="str">
            <v>世界観</v>
          </cell>
          <cell r="G344" t="str">
            <v>不明</v>
          </cell>
          <cell r="H344" t="str">
            <v>blue</v>
          </cell>
          <cell r="I344">
            <v>6</v>
          </cell>
          <cell r="J344" t="str">
            <v>Material</v>
          </cell>
          <cell r="K344" t="str">
            <v>exp</v>
          </cell>
          <cell r="L344" t="str">
            <v>強化素材タイプ</v>
          </cell>
          <cell r="M344" t="str">
            <v>unknown</v>
          </cell>
          <cell r="N344" t="str">
            <v>Unknown</v>
          </cell>
          <cell r="O344" t="str">
            <v>none</v>
          </cell>
          <cell r="P344" t="str">
            <v>種族なし</v>
          </cell>
          <cell r="Q344" t="str">
            <v>強化素材</v>
          </cell>
          <cell r="R344">
            <v>3</v>
          </cell>
          <cell r="S344" t="str">
            <v>NULL</v>
          </cell>
          <cell r="T344" t="str">
            <v>normal</v>
          </cell>
          <cell r="U344" t="str">
            <v>NULL</v>
          </cell>
          <cell r="V344" t="str">
            <v>NULL</v>
          </cell>
          <cell r="W344" t="str">
            <v>NULL</v>
          </cell>
        </row>
        <row r="345">
          <cell r="A345">
            <v>344</v>
          </cell>
          <cell r="B345" t="str">
            <v>ja</v>
          </cell>
          <cell r="C345" t="str">
            <v>雷のメタルピヨピヨ</v>
          </cell>
          <cell r="D345" t="str">
            <v>強化素材R3　黄</v>
          </cell>
          <cell r="E345" t="str">
            <v>アリス</v>
          </cell>
          <cell r="F345" t="str">
            <v>世界観</v>
          </cell>
          <cell r="G345" t="str">
            <v>不明</v>
          </cell>
          <cell r="H345" t="str">
            <v>yellow</v>
          </cell>
          <cell r="I345">
            <v>3</v>
          </cell>
          <cell r="J345" t="str">
            <v>Material</v>
          </cell>
          <cell r="K345" t="str">
            <v>exp</v>
          </cell>
          <cell r="L345" t="str">
            <v>強化素材タイプ</v>
          </cell>
          <cell r="M345" t="str">
            <v>unknown</v>
          </cell>
          <cell r="N345" t="str">
            <v>Unknown</v>
          </cell>
          <cell r="O345" t="str">
            <v>none</v>
          </cell>
          <cell r="P345" t="str">
            <v>種族なし</v>
          </cell>
          <cell r="Q345" t="str">
            <v>強化素材</v>
          </cell>
          <cell r="R345">
            <v>3</v>
          </cell>
          <cell r="S345" t="str">
            <v>NULL</v>
          </cell>
          <cell r="T345" t="str">
            <v>normal</v>
          </cell>
          <cell r="U345" t="str">
            <v>NULL</v>
          </cell>
          <cell r="V345" t="str">
            <v>NULL</v>
          </cell>
          <cell r="W345" t="str">
            <v>NULL</v>
          </cell>
        </row>
        <row r="346">
          <cell r="A346">
            <v>345</v>
          </cell>
          <cell r="B346" t="str">
            <v>ja</v>
          </cell>
          <cell r="C346" t="str">
            <v>雷のメタルチック</v>
          </cell>
          <cell r="D346" t="str">
            <v>強化素材R4　黄</v>
          </cell>
          <cell r="E346" t="str">
            <v>アリス</v>
          </cell>
          <cell r="F346" t="str">
            <v>世界観</v>
          </cell>
          <cell r="G346" t="str">
            <v>不明</v>
          </cell>
          <cell r="H346" t="str">
            <v>yellow</v>
          </cell>
          <cell r="I346">
            <v>4</v>
          </cell>
          <cell r="J346" t="str">
            <v>Material</v>
          </cell>
          <cell r="K346" t="str">
            <v>exp</v>
          </cell>
          <cell r="L346" t="str">
            <v>強化素材タイプ</v>
          </cell>
          <cell r="M346" t="str">
            <v>unknown</v>
          </cell>
          <cell r="N346" t="str">
            <v>Unknown</v>
          </cell>
          <cell r="O346" t="str">
            <v>none</v>
          </cell>
          <cell r="P346" t="str">
            <v>種族なし</v>
          </cell>
          <cell r="Q346" t="str">
            <v>強化素材</v>
          </cell>
          <cell r="R346">
            <v>3</v>
          </cell>
          <cell r="S346" t="str">
            <v>NULL</v>
          </cell>
          <cell r="T346" t="str">
            <v>normal</v>
          </cell>
          <cell r="U346" t="str">
            <v>NULL</v>
          </cell>
          <cell r="V346" t="str">
            <v>NULL</v>
          </cell>
          <cell r="W346" t="str">
            <v>NULL</v>
          </cell>
        </row>
        <row r="347">
          <cell r="A347">
            <v>346</v>
          </cell>
          <cell r="B347" t="str">
            <v>ja</v>
          </cell>
          <cell r="C347" t="str">
            <v>雷のメタルダック</v>
          </cell>
          <cell r="D347" t="str">
            <v>強化素材R5　黄</v>
          </cell>
          <cell r="E347" t="str">
            <v>アリス</v>
          </cell>
          <cell r="F347" t="str">
            <v>世界観</v>
          </cell>
          <cell r="G347" t="str">
            <v>不明</v>
          </cell>
          <cell r="H347" t="str">
            <v>yellow</v>
          </cell>
          <cell r="I347">
            <v>5</v>
          </cell>
          <cell r="J347" t="str">
            <v>Material</v>
          </cell>
          <cell r="K347" t="str">
            <v>exp</v>
          </cell>
          <cell r="L347" t="str">
            <v>強化素材タイプ</v>
          </cell>
          <cell r="M347" t="str">
            <v>unknown</v>
          </cell>
          <cell r="N347" t="str">
            <v>Unknown</v>
          </cell>
          <cell r="O347" t="str">
            <v>none</v>
          </cell>
          <cell r="P347" t="str">
            <v>種族なし</v>
          </cell>
          <cell r="Q347" t="str">
            <v>強化素材</v>
          </cell>
          <cell r="R347">
            <v>3</v>
          </cell>
          <cell r="S347" t="str">
            <v>NULL</v>
          </cell>
          <cell r="T347" t="str">
            <v>normal</v>
          </cell>
          <cell r="U347" t="str">
            <v>NULL</v>
          </cell>
          <cell r="V347" t="str">
            <v>NULL</v>
          </cell>
          <cell r="W347" t="str">
            <v>NULL</v>
          </cell>
        </row>
        <row r="348">
          <cell r="A348">
            <v>347</v>
          </cell>
          <cell r="B348" t="str">
            <v>ja</v>
          </cell>
          <cell r="C348" t="str">
            <v>雷のメタルジェントル</v>
          </cell>
          <cell r="D348" t="str">
            <v>強化素材R6　黄</v>
          </cell>
          <cell r="E348" t="str">
            <v>アリス</v>
          </cell>
          <cell r="F348" t="str">
            <v>世界観</v>
          </cell>
          <cell r="G348" t="str">
            <v>不明</v>
          </cell>
          <cell r="H348" t="str">
            <v>yellow</v>
          </cell>
          <cell r="I348">
            <v>6</v>
          </cell>
          <cell r="J348" t="str">
            <v>Material</v>
          </cell>
          <cell r="K348" t="str">
            <v>exp</v>
          </cell>
          <cell r="L348" t="str">
            <v>強化素材タイプ</v>
          </cell>
          <cell r="M348" t="str">
            <v>unknown</v>
          </cell>
          <cell r="N348" t="str">
            <v>Unknown</v>
          </cell>
          <cell r="O348" t="str">
            <v>none</v>
          </cell>
          <cell r="P348" t="str">
            <v>種族なし</v>
          </cell>
          <cell r="Q348" t="str">
            <v>強化素材</v>
          </cell>
          <cell r="R348">
            <v>3</v>
          </cell>
          <cell r="S348" t="str">
            <v>NULL</v>
          </cell>
          <cell r="T348" t="str">
            <v>normal</v>
          </cell>
          <cell r="U348" t="str">
            <v>NULL</v>
          </cell>
          <cell r="V348" t="str">
            <v>NULL</v>
          </cell>
          <cell r="W348" t="str">
            <v>NULL</v>
          </cell>
        </row>
        <row r="349">
          <cell r="A349">
            <v>348</v>
          </cell>
          <cell r="B349" t="str">
            <v>ja</v>
          </cell>
          <cell r="C349" t="str">
            <v>炎のケロケロ</v>
          </cell>
          <cell r="D349" t="str">
            <v>強化素材R2　赤</v>
          </cell>
          <cell r="E349" t="str">
            <v>アリス</v>
          </cell>
          <cell r="F349" t="str">
            <v>世界観</v>
          </cell>
          <cell r="G349" t="str">
            <v>不明</v>
          </cell>
          <cell r="H349" t="str">
            <v>red</v>
          </cell>
          <cell r="I349">
            <v>5</v>
          </cell>
          <cell r="J349" t="str">
            <v>Material</v>
          </cell>
          <cell r="K349" t="str">
            <v>exp</v>
          </cell>
          <cell r="L349" t="str">
            <v>強化素材タイプ</v>
          </cell>
          <cell r="M349" t="str">
            <v>unknown</v>
          </cell>
          <cell r="N349" t="str">
            <v>Unknown</v>
          </cell>
          <cell r="O349" t="str">
            <v>none</v>
          </cell>
          <cell r="P349" t="str">
            <v>種族なし</v>
          </cell>
          <cell r="Q349" t="str">
            <v>強化素材</v>
          </cell>
          <cell r="R349">
            <v>3</v>
          </cell>
          <cell r="S349" t="str">
            <v>NULL</v>
          </cell>
          <cell r="T349" t="str">
            <v>normal</v>
          </cell>
          <cell r="U349" t="str">
            <v>NULL</v>
          </cell>
          <cell r="V349" t="str">
            <v>NULL</v>
          </cell>
          <cell r="W349" t="str">
            <v>NULL</v>
          </cell>
        </row>
        <row r="350">
          <cell r="A350">
            <v>349</v>
          </cell>
          <cell r="B350" t="str">
            <v>ja</v>
          </cell>
          <cell r="C350" t="str">
            <v>炎のメタルフロッグ</v>
          </cell>
          <cell r="D350" t="str">
            <v>強化素材R4　赤</v>
          </cell>
          <cell r="E350" t="str">
            <v>アリス</v>
          </cell>
          <cell r="F350" t="str">
            <v>世界観</v>
          </cell>
          <cell r="G350" t="str">
            <v>不明</v>
          </cell>
          <cell r="H350" t="str">
            <v>red</v>
          </cell>
          <cell r="I350">
            <v>6</v>
          </cell>
          <cell r="J350" t="str">
            <v>Material</v>
          </cell>
          <cell r="K350" t="str">
            <v>exp</v>
          </cell>
          <cell r="L350" t="str">
            <v>強化素材タイプ</v>
          </cell>
          <cell r="M350" t="str">
            <v>unknown</v>
          </cell>
          <cell r="N350" t="str">
            <v>Unknown</v>
          </cell>
          <cell r="O350" t="str">
            <v>none</v>
          </cell>
          <cell r="P350" t="str">
            <v>種族なし</v>
          </cell>
          <cell r="Q350" t="str">
            <v>強化素材</v>
          </cell>
          <cell r="R350">
            <v>3</v>
          </cell>
          <cell r="S350" t="str">
            <v>NULL</v>
          </cell>
          <cell r="T350" t="str">
            <v>normal</v>
          </cell>
          <cell r="U350" t="str">
            <v>NULL</v>
          </cell>
          <cell r="V350" t="str">
            <v>NULL</v>
          </cell>
          <cell r="W350" t="str">
            <v>NULL</v>
          </cell>
        </row>
        <row r="351">
          <cell r="A351">
            <v>350</v>
          </cell>
          <cell r="B351" t="str">
            <v>ja</v>
          </cell>
          <cell r="C351" t="str">
            <v>森のケロケロ</v>
          </cell>
          <cell r="D351" t="str">
            <v>強化素材R2　緑</v>
          </cell>
          <cell r="E351" t="str">
            <v>アリス</v>
          </cell>
          <cell r="F351" t="str">
            <v>世界観</v>
          </cell>
          <cell r="G351" t="str">
            <v>不明</v>
          </cell>
          <cell r="H351" t="str">
            <v>green</v>
          </cell>
          <cell r="I351">
            <v>5</v>
          </cell>
          <cell r="J351" t="str">
            <v>Material</v>
          </cell>
          <cell r="K351" t="str">
            <v>exp</v>
          </cell>
          <cell r="L351" t="str">
            <v>強化素材タイプ</v>
          </cell>
          <cell r="M351" t="str">
            <v>unknown</v>
          </cell>
          <cell r="N351" t="str">
            <v>Unknown</v>
          </cell>
          <cell r="O351" t="str">
            <v>none</v>
          </cell>
          <cell r="P351" t="str">
            <v>種族なし</v>
          </cell>
          <cell r="Q351" t="str">
            <v>強化素材</v>
          </cell>
          <cell r="R351">
            <v>3</v>
          </cell>
          <cell r="S351" t="str">
            <v>NULL</v>
          </cell>
          <cell r="T351" t="str">
            <v>normal</v>
          </cell>
          <cell r="U351" t="str">
            <v>NULL</v>
          </cell>
          <cell r="V351" t="str">
            <v>NULL</v>
          </cell>
          <cell r="W351" t="str">
            <v>NULL</v>
          </cell>
        </row>
        <row r="352">
          <cell r="A352">
            <v>351</v>
          </cell>
          <cell r="B352" t="str">
            <v>ja</v>
          </cell>
          <cell r="C352" t="str">
            <v>森のメタルフロッグ</v>
          </cell>
          <cell r="D352" t="str">
            <v>強化素材R4　緑</v>
          </cell>
          <cell r="E352" t="str">
            <v>アリス</v>
          </cell>
          <cell r="F352" t="str">
            <v>世界観</v>
          </cell>
          <cell r="G352" t="str">
            <v>不明</v>
          </cell>
          <cell r="H352" t="str">
            <v>green</v>
          </cell>
          <cell r="I352">
            <v>6</v>
          </cell>
          <cell r="J352" t="str">
            <v>Material</v>
          </cell>
          <cell r="K352" t="str">
            <v>exp</v>
          </cell>
          <cell r="L352" t="str">
            <v>強化素材タイプ</v>
          </cell>
          <cell r="M352" t="str">
            <v>unknown</v>
          </cell>
          <cell r="N352" t="str">
            <v>Unknown</v>
          </cell>
          <cell r="O352" t="str">
            <v>none</v>
          </cell>
          <cell r="P352" t="str">
            <v>種族なし</v>
          </cell>
          <cell r="Q352" t="str">
            <v>強化素材</v>
          </cell>
          <cell r="R352">
            <v>3</v>
          </cell>
          <cell r="S352" t="str">
            <v>NULL</v>
          </cell>
          <cell r="T352" t="str">
            <v>normal</v>
          </cell>
          <cell r="U352" t="str">
            <v>NULL</v>
          </cell>
          <cell r="V352" t="str">
            <v>NULL</v>
          </cell>
          <cell r="W352" t="str">
            <v>NULL</v>
          </cell>
        </row>
        <row r="353">
          <cell r="A353">
            <v>352</v>
          </cell>
          <cell r="B353" t="str">
            <v>ja</v>
          </cell>
          <cell r="C353" t="str">
            <v>水のケロケロ</v>
          </cell>
          <cell r="D353" t="str">
            <v>強化素材R2　青</v>
          </cell>
          <cell r="E353" t="str">
            <v>アリス</v>
          </cell>
          <cell r="F353" t="str">
            <v>世界観</v>
          </cell>
          <cell r="G353" t="str">
            <v>不明</v>
          </cell>
          <cell r="H353" t="str">
            <v>blue</v>
          </cell>
          <cell r="I353">
            <v>5</v>
          </cell>
          <cell r="J353" t="str">
            <v>Material</v>
          </cell>
          <cell r="K353" t="str">
            <v>exp</v>
          </cell>
          <cell r="L353" t="str">
            <v>強化素材タイプ</v>
          </cell>
          <cell r="M353" t="str">
            <v>unknown</v>
          </cell>
          <cell r="N353" t="str">
            <v>Unknown</v>
          </cell>
          <cell r="O353" t="str">
            <v>none</v>
          </cell>
          <cell r="P353" t="str">
            <v>種族なし</v>
          </cell>
          <cell r="Q353" t="str">
            <v>強化素材</v>
          </cell>
          <cell r="R353">
            <v>3</v>
          </cell>
          <cell r="S353" t="str">
            <v>NULL</v>
          </cell>
          <cell r="T353" t="str">
            <v>normal</v>
          </cell>
          <cell r="U353" t="str">
            <v>NULL</v>
          </cell>
          <cell r="V353" t="str">
            <v>NULL</v>
          </cell>
          <cell r="W353" t="str">
            <v>NULL</v>
          </cell>
        </row>
        <row r="354">
          <cell r="A354">
            <v>353</v>
          </cell>
          <cell r="B354" t="str">
            <v>ja</v>
          </cell>
          <cell r="C354" t="str">
            <v>水のメタルフロッグ</v>
          </cell>
          <cell r="D354" t="str">
            <v>強化素材R4　青</v>
          </cell>
          <cell r="E354" t="str">
            <v>アリス</v>
          </cell>
          <cell r="F354" t="str">
            <v>世界観</v>
          </cell>
          <cell r="G354" t="str">
            <v>不明</v>
          </cell>
          <cell r="H354" t="str">
            <v>blue</v>
          </cell>
          <cell r="I354">
            <v>6</v>
          </cell>
          <cell r="J354" t="str">
            <v>Material</v>
          </cell>
          <cell r="K354" t="str">
            <v>exp</v>
          </cell>
          <cell r="L354" t="str">
            <v>強化素材タイプ</v>
          </cell>
          <cell r="M354" t="str">
            <v>unknown</v>
          </cell>
          <cell r="N354" t="str">
            <v>Unknown</v>
          </cell>
          <cell r="O354" t="str">
            <v>none</v>
          </cell>
          <cell r="P354" t="str">
            <v>種族なし</v>
          </cell>
          <cell r="Q354" t="str">
            <v>強化素材</v>
          </cell>
          <cell r="R354">
            <v>3</v>
          </cell>
          <cell r="S354" t="str">
            <v>NULL</v>
          </cell>
          <cell r="T354" t="str">
            <v>normal</v>
          </cell>
          <cell r="U354" t="str">
            <v>NULL</v>
          </cell>
          <cell r="V354" t="str">
            <v>NULL</v>
          </cell>
          <cell r="W354" t="str">
            <v>NULL</v>
          </cell>
        </row>
        <row r="355">
          <cell r="A355">
            <v>354</v>
          </cell>
          <cell r="B355" t="str">
            <v>ja</v>
          </cell>
          <cell r="C355" t="str">
            <v>雷のケロケロ</v>
          </cell>
          <cell r="D355" t="str">
            <v>強化素材R2　黄</v>
          </cell>
          <cell r="E355" t="str">
            <v>アリス</v>
          </cell>
          <cell r="F355" t="str">
            <v>世界観</v>
          </cell>
          <cell r="G355" t="str">
            <v>不明</v>
          </cell>
          <cell r="H355" t="str">
            <v>yellow</v>
          </cell>
          <cell r="I355">
            <v>5</v>
          </cell>
          <cell r="J355" t="str">
            <v>Material</v>
          </cell>
          <cell r="K355" t="str">
            <v>exp</v>
          </cell>
          <cell r="L355" t="str">
            <v>強化素材タイプ</v>
          </cell>
          <cell r="M355" t="str">
            <v>unknown</v>
          </cell>
          <cell r="N355" t="str">
            <v>Unknown</v>
          </cell>
          <cell r="O355" t="str">
            <v>none</v>
          </cell>
          <cell r="P355" t="str">
            <v>種族なし</v>
          </cell>
          <cell r="Q355" t="str">
            <v>強化素材</v>
          </cell>
          <cell r="R355">
            <v>3</v>
          </cell>
          <cell r="S355" t="str">
            <v>NULL</v>
          </cell>
          <cell r="T355" t="str">
            <v>normal</v>
          </cell>
          <cell r="U355" t="str">
            <v>NULL</v>
          </cell>
          <cell r="V355" t="str">
            <v>NULL</v>
          </cell>
          <cell r="W355" t="str">
            <v>NULL</v>
          </cell>
        </row>
        <row r="356">
          <cell r="A356">
            <v>355</v>
          </cell>
          <cell r="B356" t="str">
            <v>ja</v>
          </cell>
          <cell r="C356" t="str">
            <v>雷のメタルフロッグ</v>
          </cell>
          <cell r="D356" t="str">
            <v>強化素材R4　黄</v>
          </cell>
          <cell r="E356" t="str">
            <v>アリス</v>
          </cell>
          <cell r="F356" t="str">
            <v>世界観</v>
          </cell>
          <cell r="G356" t="str">
            <v>不明</v>
          </cell>
          <cell r="H356" t="str">
            <v>yellow</v>
          </cell>
          <cell r="I356">
            <v>6</v>
          </cell>
          <cell r="J356" t="str">
            <v>Material</v>
          </cell>
          <cell r="K356" t="str">
            <v>exp</v>
          </cell>
          <cell r="L356" t="str">
            <v>強化素材タイプ</v>
          </cell>
          <cell r="M356" t="str">
            <v>unknown</v>
          </cell>
          <cell r="N356" t="str">
            <v>Unknown</v>
          </cell>
          <cell r="O356" t="str">
            <v>none</v>
          </cell>
          <cell r="P356" t="str">
            <v>種族なし</v>
          </cell>
          <cell r="Q356" t="str">
            <v>強化素材</v>
          </cell>
          <cell r="R356">
            <v>3</v>
          </cell>
          <cell r="S356" t="str">
            <v>NULL</v>
          </cell>
          <cell r="T356" t="str">
            <v>normal</v>
          </cell>
          <cell r="U356" t="str">
            <v>NULL</v>
          </cell>
          <cell r="V356" t="str">
            <v>NULL</v>
          </cell>
          <cell r="W356" t="str">
            <v>NULL</v>
          </cell>
        </row>
        <row r="357">
          <cell r="A357">
            <v>356</v>
          </cell>
          <cell r="B357" t="str">
            <v>ja</v>
          </cell>
          <cell r="C357" t="str">
            <v>炎上のドードー</v>
          </cell>
          <cell r="D357" t="str">
            <v>強化素材R5 赤</v>
          </cell>
          <cell r="F357" t="str">
            <v>世界観</v>
          </cell>
          <cell r="G357" t="str">
            <v>不明</v>
          </cell>
          <cell r="H357" t="str">
            <v>red</v>
          </cell>
          <cell r="I357">
            <v>5</v>
          </cell>
          <cell r="J357" t="str">
            <v>Material</v>
          </cell>
          <cell r="K357" t="str">
            <v>evolution</v>
          </cell>
          <cell r="L357" t="str">
            <v>覚醒素材タイプ</v>
          </cell>
          <cell r="M357" t="str">
            <v>unknown</v>
          </cell>
          <cell r="N357" t="str">
            <v>Unknown</v>
          </cell>
          <cell r="O357" t="str">
            <v>none</v>
          </cell>
          <cell r="P357" t="str">
            <v>種族なし</v>
          </cell>
          <cell r="Q357" t="str">
            <v>進化素材</v>
          </cell>
          <cell r="R357">
            <v>3</v>
          </cell>
          <cell r="S357" t="str">
            <v>NULL</v>
          </cell>
          <cell r="T357" t="str">
            <v>normal</v>
          </cell>
          <cell r="U357" t="str">
            <v>NULL</v>
          </cell>
          <cell r="V357" t="str">
            <v>NULL</v>
          </cell>
          <cell r="W357" t="str">
            <v>NULL</v>
          </cell>
        </row>
        <row r="358">
          <cell r="A358">
            <v>357</v>
          </cell>
          <cell r="B358" t="str">
            <v>ja</v>
          </cell>
          <cell r="C358" t="str">
            <v>千風のグリフォン</v>
          </cell>
          <cell r="D358" t="str">
            <v>強化素材R5 緑</v>
          </cell>
          <cell r="F358" t="str">
            <v>世界観</v>
          </cell>
          <cell r="G358" t="str">
            <v>不明</v>
          </cell>
          <cell r="H358" t="str">
            <v>green</v>
          </cell>
          <cell r="I358">
            <v>5</v>
          </cell>
          <cell r="J358" t="str">
            <v>Material</v>
          </cell>
          <cell r="K358" t="str">
            <v>evolution</v>
          </cell>
          <cell r="L358" t="str">
            <v>覚醒素材タイプ</v>
          </cell>
          <cell r="M358" t="str">
            <v>unknown</v>
          </cell>
          <cell r="N358" t="str">
            <v>Unknown</v>
          </cell>
          <cell r="O358" t="str">
            <v>none</v>
          </cell>
          <cell r="P358" t="str">
            <v>種族なし</v>
          </cell>
          <cell r="Q358" t="str">
            <v>進化素材</v>
          </cell>
          <cell r="R358">
            <v>3</v>
          </cell>
          <cell r="S358" t="str">
            <v>NULL</v>
          </cell>
          <cell r="T358" t="str">
            <v>normal</v>
          </cell>
          <cell r="U358" t="str">
            <v>NULL</v>
          </cell>
          <cell r="V358" t="str">
            <v>NULL</v>
          </cell>
          <cell r="W358" t="str">
            <v>NULL</v>
          </cell>
        </row>
        <row r="359">
          <cell r="A359">
            <v>358</v>
          </cell>
          <cell r="B359" t="str">
            <v>ja</v>
          </cell>
          <cell r="C359" t="str">
            <v>深淵の代用ウミガメ</v>
          </cell>
          <cell r="D359" t="str">
            <v>強化素材R5 青</v>
          </cell>
          <cell r="F359" t="str">
            <v>世界観</v>
          </cell>
          <cell r="G359" t="str">
            <v>不明</v>
          </cell>
          <cell r="H359" t="str">
            <v>blue</v>
          </cell>
          <cell r="I359">
            <v>5</v>
          </cell>
          <cell r="J359" t="str">
            <v>Material</v>
          </cell>
          <cell r="K359" t="str">
            <v>evolution</v>
          </cell>
          <cell r="L359" t="str">
            <v>覚醒素材タイプ</v>
          </cell>
          <cell r="M359" t="str">
            <v>unknown</v>
          </cell>
          <cell r="N359" t="str">
            <v>Unknown</v>
          </cell>
          <cell r="O359" t="str">
            <v>none</v>
          </cell>
          <cell r="P359" t="str">
            <v>種族なし</v>
          </cell>
          <cell r="Q359" t="str">
            <v>進化素材</v>
          </cell>
          <cell r="R359">
            <v>3</v>
          </cell>
          <cell r="S359" t="str">
            <v>NULL</v>
          </cell>
          <cell r="T359" t="str">
            <v>normal</v>
          </cell>
          <cell r="U359" t="str">
            <v>NULL</v>
          </cell>
          <cell r="V359" t="str">
            <v>NULL</v>
          </cell>
          <cell r="W359" t="str">
            <v>NULL</v>
          </cell>
        </row>
        <row r="360">
          <cell r="A360">
            <v>359</v>
          </cell>
          <cell r="B360" t="str">
            <v>ja</v>
          </cell>
          <cell r="C360" t="str">
            <v>醒電の眠りネズミ</v>
          </cell>
          <cell r="D360" t="str">
            <v>強化素材R5 黄</v>
          </cell>
          <cell r="F360" t="str">
            <v>世界観</v>
          </cell>
          <cell r="G360" t="str">
            <v>不明</v>
          </cell>
          <cell r="H360" t="str">
            <v>yellow</v>
          </cell>
          <cell r="I360">
            <v>5</v>
          </cell>
          <cell r="J360" t="str">
            <v>Material</v>
          </cell>
          <cell r="K360" t="str">
            <v>evolution</v>
          </cell>
          <cell r="L360" t="str">
            <v>覚醒素材タイプ</v>
          </cell>
          <cell r="M360" t="str">
            <v>unknown</v>
          </cell>
          <cell r="N360" t="str">
            <v>Unknown</v>
          </cell>
          <cell r="O360" t="str">
            <v>none</v>
          </cell>
          <cell r="P360" t="str">
            <v>種族なし</v>
          </cell>
          <cell r="Q360" t="str">
            <v>進化素材</v>
          </cell>
          <cell r="R360">
            <v>3</v>
          </cell>
          <cell r="S360" t="str">
            <v>NULL</v>
          </cell>
          <cell r="T360" t="str">
            <v>normal</v>
          </cell>
          <cell r="U360" t="str">
            <v>NULL</v>
          </cell>
          <cell r="V360" t="str">
            <v>NULL</v>
          </cell>
          <cell r="W360" t="str">
            <v>NULL</v>
          </cell>
        </row>
        <row r="361">
          <cell r="A361">
            <v>360</v>
          </cell>
          <cell r="B361" t="str">
            <v>ja</v>
          </cell>
          <cell r="C361" t="str">
            <v>ガンテツ</v>
          </cell>
          <cell r="D361" t="str">
            <v>ノーマルクエスト</v>
          </cell>
          <cell r="E361" t="str">
            <v>アバター</v>
          </cell>
          <cell r="F361" t="str">
            <v>世界観</v>
          </cell>
          <cell r="G361" t="str">
            <v>不明</v>
          </cell>
          <cell r="H361" t="str">
            <v>red</v>
          </cell>
          <cell r="I361">
            <v>2</v>
          </cell>
          <cell r="J361" t="str">
            <v>Drop1S</v>
          </cell>
          <cell r="K361" t="str">
            <v>hp</v>
          </cell>
          <cell r="L361" t="str">
            <v>体力タイプ</v>
          </cell>
          <cell r="M361" t="str">
            <v>animal</v>
          </cell>
          <cell r="N361" t="str">
            <v>アニマル</v>
          </cell>
          <cell r="O361" t="str">
            <v>none</v>
          </cell>
          <cell r="P361" t="str">
            <v>種族なし</v>
          </cell>
          <cell r="R361">
            <v>3</v>
          </cell>
          <cell r="S361" t="str">
            <v>NULL</v>
          </cell>
          <cell r="T361" t="str">
            <v>normal</v>
          </cell>
          <cell r="U361" t="str">
            <v>NULL</v>
          </cell>
          <cell r="V361" t="str">
            <v>NULL</v>
          </cell>
          <cell r="W361" t="str">
            <v>NULL</v>
          </cell>
        </row>
        <row r="362">
          <cell r="A362">
            <v>361</v>
          </cell>
          <cell r="B362" t="str">
            <v>ja</v>
          </cell>
          <cell r="C362" t="str">
            <v>灼熱の鉄板 ガンテツ</v>
          </cell>
          <cell r="D362" t="str">
            <v>ノーマルクエスト</v>
          </cell>
          <cell r="E362" t="str">
            <v>アバター</v>
          </cell>
          <cell r="F362" t="str">
            <v>世界観</v>
          </cell>
          <cell r="G362" t="str">
            <v>不明</v>
          </cell>
          <cell r="H362" t="str">
            <v>red</v>
          </cell>
          <cell r="I362">
            <v>3</v>
          </cell>
          <cell r="J362" t="str">
            <v>Drop1S</v>
          </cell>
          <cell r="K362" t="str">
            <v>hp</v>
          </cell>
          <cell r="L362" t="str">
            <v>体力タイプ</v>
          </cell>
          <cell r="M362" t="str">
            <v>animal</v>
          </cell>
          <cell r="N362" t="str">
            <v>アニマル</v>
          </cell>
          <cell r="O362" t="str">
            <v>none</v>
          </cell>
          <cell r="P362" t="str">
            <v>種族なし</v>
          </cell>
          <cell r="R362">
            <v>3</v>
          </cell>
          <cell r="S362" t="str">
            <v>NULL</v>
          </cell>
          <cell r="T362" t="str">
            <v>normal</v>
          </cell>
          <cell r="U362" t="str">
            <v>NULL</v>
          </cell>
          <cell r="V362" t="str">
            <v>NULL</v>
          </cell>
          <cell r="W362" t="str">
            <v>NULL</v>
          </cell>
        </row>
        <row r="363">
          <cell r="A363">
            <v>362</v>
          </cell>
          <cell r="B363" t="str">
            <v>ja</v>
          </cell>
          <cell r="C363" t="str">
            <v>ゆらら</v>
          </cell>
          <cell r="D363" t="str">
            <v>ノーマルクエスト</v>
          </cell>
          <cell r="E363" t="str">
            <v>アバター</v>
          </cell>
          <cell r="F363" t="str">
            <v>世界観</v>
          </cell>
          <cell r="G363" t="str">
            <v>不明</v>
          </cell>
          <cell r="H363" t="str">
            <v>green</v>
          </cell>
          <cell r="I363">
            <v>2</v>
          </cell>
          <cell r="J363" t="str">
            <v>Drop1S</v>
          </cell>
          <cell r="K363" t="str">
            <v>technical</v>
          </cell>
          <cell r="L363" t="str">
            <v>テクニカルタイプ</v>
          </cell>
          <cell r="M363" t="str">
            <v>animal</v>
          </cell>
          <cell r="N363" t="str">
            <v>アニマル</v>
          </cell>
          <cell r="O363" t="str">
            <v>human</v>
          </cell>
          <cell r="P363" t="str">
            <v>ヒューマン</v>
          </cell>
          <cell r="R363">
            <v>3</v>
          </cell>
          <cell r="S363" t="str">
            <v>NULL</v>
          </cell>
          <cell r="T363" t="str">
            <v>normal</v>
          </cell>
          <cell r="U363" t="str">
            <v>NULL</v>
          </cell>
          <cell r="V363" t="str">
            <v>NULL</v>
          </cell>
          <cell r="W363" t="str">
            <v>NULL</v>
          </cell>
        </row>
        <row r="364">
          <cell r="A364">
            <v>363</v>
          </cell>
          <cell r="B364" t="str">
            <v>ja</v>
          </cell>
          <cell r="C364" t="str">
            <v>花咲く幼精 ゆらら</v>
          </cell>
          <cell r="D364" t="str">
            <v>ノーマルクエスト</v>
          </cell>
          <cell r="E364" t="str">
            <v>アバター</v>
          </cell>
          <cell r="F364" t="str">
            <v>世界観</v>
          </cell>
          <cell r="G364" t="str">
            <v>不明</v>
          </cell>
          <cell r="H364" t="str">
            <v>green</v>
          </cell>
          <cell r="I364">
            <v>3</v>
          </cell>
          <cell r="J364" t="str">
            <v>Drop1S</v>
          </cell>
          <cell r="K364" t="str">
            <v>technical</v>
          </cell>
          <cell r="L364" t="str">
            <v>テクニカルタイプ</v>
          </cell>
          <cell r="M364" t="str">
            <v>animal</v>
          </cell>
          <cell r="N364" t="str">
            <v>アニマル</v>
          </cell>
          <cell r="O364" t="str">
            <v>human</v>
          </cell>
          <cell r="P364" t="str">
            <v>ヒューマン</v>
          </cell>
          <cell r="R364">
            <v>3</v>
          </cell>
          <cell r="S364" t="str">
            <v>NULL</v>
          </cell>
          <cell r="T364" t="str">
            <v>normal</v>
          </cell>
          <cell r="U364" t="str">
            <v>NULL</v>
          </cell>
          <cell r="V364" t="str">
            <v>NULL</v>
          </cell>
          <cell r="W364" t="str">
            <v>NULL</v>
          </cell>
        </row>
        <row r="365">
          <cell r="A365">
            <v>364</v>
          </cell>
          <cell r="B365" t="str">
            <v>ja</v>
          </cell>
          <cell r="C365" t="str">
            <v>ノエル</v>
          </cell>
          <cell r="D365" t="str">
            <v>ノーマルクエスト</v>
          </cell>
          <cell r="E365" t="str">
            <v>アバター</v>
          </cell>
          <cell r="F365" t="str">
            <v>世界観</v>
          </cell>
          <cell r="G365" t="str">
            <v>不明</v>
          </cell>
          <cell r="H365" t="str">
            <v>blue</v>
          </cell>
          <cell r="I365">
            <v>2</v>
          </cell>
          <cell r="J365" t="str">
            <v>Drop1S</v>
          </cell>
          <cell r="K365" t="str">
            <v>attack</v>
          </cell>
          <cell r="L365" t="str">
            <v>攻撃タイプ</v>
          </cell>
          <cell r="M365" t="str">
            <v>animal</v>
          </cell>
          <cell r="N365" t="str">
            <v>アニマル</v>
          </cell>
          <cell r="O365" t="str">
            <v>none</v>
          </cell>
          <cell r="P365" t="str">
            <v>種族なし</v>
          </cell>
          <cell r="R365">
            <v>3</v>
          </cell>
          <cell r="S365" t="str">
            <v>NULL</v>
          </cell>
          <cell r="T365" t="str">
            <v>normal</v>
          </cell>
          <cell r="U365" t="str">
            <v>NULL</v>
          </cell>
          <cell r="V365" t="str">
            <v>NULL</v>
          </cell>
          <cell r="W365" t="str">
            <v>NULL</v>
          </cell>
        </row>
        <row r="366">
          <cell r="A366">
            <v>365</v>
          </cell>
          <cell r="B366" t="str">
            <v>ja</v>
          </cell>
          <cell r="C366" t="str">
            <v>惨劇の人形 ノエル</v>
          </cell>
          <cell r="D366" t="str">
            <v>ノーマルクエスト</v>
          </cell>
          <cell r="E366" t="str">
            <v>アバター</v>
          </cell>
          <cell r="F366" t="str">
            <v>世界観</v>
          </cell>
          <cell r="G366" t="str">
            <v>不明</v>
          </cell>
          <cell r="H366" t="str">
            <v>blue</v>
          </cell>
          <cell r="I366">
            <v>3</v>
          </cell>
          <cell r="J366" t="str">
            <v>Drop1S</v>
          </cell>
          <cell r="K366" t="str">
            <v>attack</v>
          </cell>
          <cell r="L366" t="str">
            <v>攻撃タイプ</v>
          </cell>
          <cell r="M366" t="str">
            <v>animal</v>
          </cell>
          <cell r="N366" t="str">
            <v>アニマル</v>
          </cell>
          <cell r="O366" t="str">
            <v>none</v>
          </cell>
          <cell r="P366" t="str">
            <v>種族なし</v>
          </cell>
          <cell r="R366">
            <v>3</v>
          </cell>
          <cell r="S366" t="str">
            <v>NULL</v>
          </cell>
          <cell r="T366" t="str">
            <v>normal</v>
          </cell>
          <cell r="U366" t="str">
            <v>NULL</v>
          </cell>
          <cell r="V366" t="str">
            <v>NULL</v>
          </cell>
          <cell r="W366" t="str">
            <v>NULL</v>
          </cell>
        </row>
        <row r="367">
          <cell r="A367">
            <v>366</v>
          </cell>
          <cell r="B367" t="str">
            <v>ja</v>
          </cell>
          <cell r="C367" t="str">
            <v>トト</v>
          </cell>
          <cell r="D367" t="str">
            <v>ノーマルクエスト</v>
          </cell>
          <cell r="E367" t="str">
            <v>アバター</v>
          </cell>
          <cell r="F367" t="str">
            <v>世界観</v>
          </cell>
          <cell r="G367" t="str">
            <v>不明</v>
          </cell>
          <cell r="H367" t="str">
            <v>yellow</v>
          </cell>
          <cell r="I367">
            <v>2</v>
          </cell>
          <cell r="J367" t="str">
            <v>Drop1S</v>
          </cell>
          <cell r="K367" t="str">
            <v>balance</v>
          </cell>
          <cell r="L367" t="str">
            <v>バランスタイプ</v>
          </cell>
          <cell r="M367" t="str">
            <v>animal</v>
          </cell>
          <cell r="N367" t="str">
            <v>アニマル</v>
          </cell>
          <cell r="O367" t="str">
            <v>none</v>
          </cell>
          <cell r="P367" t="str">
            <v>種族なし</v>
          </cell>
          <cell r="R367">
            <v>3</v>
          </cell>
          <cell r="S367" t="str">
            <v>NULL</v>
          </cell>
          <cell r="T367" t="str">
            <v>normal</v>
          </cell>
          <cell r="U367" t="str">
            <v>NULL</v>
          </cell>
          <cell r="V367" t="str">
            <v>NULL</v>
          </cell>
          <cell r="W367" t="str">
            <v>NULL</v>
          </cell>
        </row>
        <row r="368">
          <cell r="A368">
            <v>367</v>
          </cell>
          <cell r="B368" t="str">
            <v>ja</v>
          </cell>
          <cell r="C368" t="str">
            <v>爆進の小兵 トト</v>
          </cell>
          <cell r="D368" t="str">
            <v>ノーマルクエスト</v>
          </cell>
          <cell r="E368" t="str">
            <v>アバター</v>
          </cell>
          <cell r="F368" t="str">
            <v>世界観</v>
          </cell>
          <cell r="G368" t="str">
            <v>不明</v>
          </cell>
          <cell r="H368" t="str">
            <v>yellow</v>
          </cell>
          <cell r="I368">
            <v>3</v>
          </cell>
          <cell r="J368" t="str">
            <v>Drop1S</v>
          </cell>
          <cell r="K368" t="str">
            <v>balance</v>
          </cell>
          <cell r="L368" t="str">
            <v>バランスタイプ</v>
          </cell>
          <cell r="M368" t="str">
            <v>animal</v>
          </cell>
          <cell r="N368" t="str">
            <v>アニマル</v>
          </cell>
          <cell r="O368" t="str">
            <v>none</v>
          </cell>
          <cell r="P368" t="str">
            <v>種族なし</v>
          </cell>
          <cell r="R368">
            <v>3</v>
          </cell>
          <cell r="S368" t="str">
            <v>NULL</v>
          </cell>
          <cell r="T368" t="str">
            <v>normal</v>
          </cell>
          <cell r="U368" t="str">
            <v>NULL</v>
          </cell>
          <cell r="V368" t="str">
            <v>NULL</v>
          </cell>
          <cell r="W368" t="str">
            <v>NULL</v>
          </cell>
        </row>
        <row r="369">
          <cell r="A369">
            <v>368</v>
          </cell>
          <cell r="B369" t="str">
            <v>ja</v>
          </cell>
          <cell r="C369" t="str">
            <v>ボイル</v>
          </cell>
          <cell r="D369" t="str">
            <v>チャレンジタワー</v>
          </cell>
          <cell r="E369" t="str">
            <v>守護者</v>
          </cell>
          <cell r="F369" t="str">
            <v>美しい</v>
          </cell>
          <cell r="G369" t="str">
            <v>女性</v>
          </cell>
          <cell r="H369" t="str">
            <v>red</v>
          </cell>
          <cell r="I369">
            <v>4</v>
          </cell>
          <cell r="J369" t="str">
            <v>DropWizN</v>
          </cell>
          <cell r="K369" t="str">
            <v>technical</v>
          </cell>
          <cell r="L369" t="str">
            <v>テクニカルタイプ</v>
          </cell>
          <cell r="M369" t="str">
            <v>human</v>
          </cell>
          <cell r="N369" t="str">
            <v>ヒューマン</v>
          </cell>
          <cell r="O369" t="str">
            <v>machine</v>
          </cell>
          <cell r="P369" t="str">
            <v>マシン</v>
          </cell>
          <cell r="R369">
            <v>3</v>
          </cell>
          <cell r="S369" t="str">
            <v>NULL</v>
          </cell>
          <cell r="T369" t="str">
            <v>normal</v>
          </cell>
          <cell r="U369" t="str">
            <v>NULL</v>
          </cell>
          <cell r="V369" t="str">
            <v>NULL</v>
          </cell>
          <cell r="W369" t="str">
            <v>NULL</v>
          </cell>
        </row>
        <row r="370">
          <cell r="A370">
            <v>369</v>
          </cell>
          <cell r="B370" t="str">
            <v>ja</v>
          </cell>
          <cell r="C370" t="str">
            <v>赫熱の重腕 ボイル</v>
          </cell>
          <cell r="D370" t="str">
            <v>チャレンジタワー</v>
          </cell>
          <cell r="E370" t="str">
            <v>守護者</v>
          </cell>
          <cell r="F370" t="str">
            <v>美しい</v>
          </cell>
          <cell r="G370" t="str">
            <v>女性</v>
          </cell>
          <cell r="H370" t="str">
            <v>red</v>
          </cell>
          <cell r="I370">
            <v>5</v>
          </cell>
          <cell r="J370" t="str">
            <v>DropWizN</v>
          </cell>
          <cell r="K370" t="str">
            <v>technical</v>
          </cell>
          <cell r="L370" t="str">
            <v>テクニカルタイプ</v>
          </cell>
          <cell r="M370" t="str">
            <v>human</v>
          </cell>
          <cell r="N370" t="str">
            <v>ヒューマン</v>
          </cell>
          <cell r="O370" t="str">
            <v>machine</v>
          </cell>
          <cell r="P370" t="str">
            <v>マシン</v>
          </cell>
          <cell r="R370">
            <v>3</v>
          </cell>
          <cell r="S370" t="str">
            <v>NULL</v>
          </cell>
          <cell r="T370" t="str">
            <v>normal</v>
          </cell>
          <cell r="U370" t="str">
            <v>NULL</v>
          </cell>
          <cell r="V370" t="str">
            <v>NULL</v>
          </cell>
          <cell r="W370" t="str">
            <v>NULL</v>
          </cell>
        </row>
        <row r="371">
          <cell r="A371">
            <v>370</v>
          </cell>
          <cell r="B371" t="str">
            <v>ja</v>
          </cell>
          <cell r="C371" t="str">
            <v>タイチ</v>
          </cell>
          <cell r="D371" t="str">
            <v>ノーマルクエスト</v>
          </cell>
          <cell r="E371" t="str">
            <v>守護者</v>
          </cell>
          <cell r="F371" t="str">
            <v>美しい</v>
          </cell>
          <cell r="G371" t="str">
            <v>不明</v>
          </cell>
          <cell r="H371" t="str">
            <v>red</v>
          </cell>
          <cell r="I371">
            <v>2</v>
          </cell>
          <cell r="J371" t="str">
            <v>Drop1S</v>
          </cell>
          <cell r="K371" t="str">
            <v>attack</v>
          </cell>
          <cell r="L371" t="str">
            <v>攻撃タイプ</v>
          </cell>
          <cell r="M371" t="str">
            <v>unknown</v>
          </cell>
          <cell r="N371" t="str">
            <v>Unknown</v>
          </cell>
          <cell r="O371" t="str">
            <v>none</v>
          </cell>
          <cell r="P371" t="str">
            <v>種族なし</v>
          </cell>
          <cell r="R371">
            <v>3</v>
          </cell>
          <cell r="S371" t="str">
            <v>NULL</v>
          </cell>
          <cell r="T371" t="str">
            <v>normal</v>
          </cell>
          <cell r="U371" t="str">
            <v>NULL</v>
          </cell>
          <cell r="V371" t="str">
            <v>NULL</v>
          </cell>
          <cell r="W371" t="str">
            <v>NULL</v>
          </cell>
        </row>
        <row r="372">
          <cell r="A372">
            <v>371</v>
          </cell>
          <cell r="B372" t="str">
            <v>ja</v>
          </cell>
          <cell r="C372" t="str">
            <v>行灯達磨 タイチ</v>
          </cell>
          <cell r="D372" t="str">
            <v>ノーマルクエスト</v>
          </cell>
          <cell r="E372" t="str">
            <v>守護者</v>
          </cell>
          <cell r="F372" t="str">
            <v>美しい</v>
          </cell>
          <cell r="G372" t="str">
            <v>不明</v>
          </cell>
          <cell r="H372" t="str">
            <v>red</v>
          </cell>
          <cell r="I372">
            <v>3</v>
          </cell>
          <cell r="J372" t="str">
            <v>Drop1S</v>
          </cell>
          <cell r="K372" t="str">
            <v>attack</v>
          </cell>
          <cell r="L372" t="str">
            <v>攻撃タイプ</v>
          </cell>
          <cell r="M372" t="str">
            <v>unknown</v>
          </cell>
          <cell r="N372" t="str">
            <v>Unknown</v>
          </cell>
          <cell r="O372" t="str">
            <v>none</v>
          </cell>
          <cell r="P372" t="str">
            <v>種族なし</v>
          </cell>
          <cell r="R372">
            <v>3</v>
          </cell>
          <cell r="S372" t="str">
            <v>NULL</v>
          </cell>
          <cell r="T372" t="str">
            <v>normal</v>
          </cell>
          <cell r="U372" t="str">
            <v>NULL</v>
          </cell>
          <cell r="V372" t="str">
            <v>NULL</v>
          </cell>
          <cell r="W372" t="str">
            <v>NULL</v>
          </cell>
        </row>
        <row r="373">
          <cell r="A373">
            <v>372</v>
          </cell>
          <cell r="B373" t="str">
            <v>ja</v>
          </cell>
          <cell r="C373" t="str">
            <v>バショー</v>
          </cell>
          <cell r="D373" t="str">
            <v>ノーマルクエスト</v>
          </cell>
          <cell r="E373" t="str">
            <v>守護者</v>
          </cell>
          <cell r="F373" t="str">
            <v>美しい</v>
          </cell>
          <cell r="G373" t="str">
            <v>不明</v>
          </cell>
          <cell r="H373" t="str">
            <v>green</v>
          </cell>
          <cell r="I373">
            <v>2</v>
          </cell>
          <cell r="J373" t="str">
            <v>Drop1S</v>
          </cell>
          <cell r="K373" t="str">
            <v>balance</v>
          </cell>
          <cell r="L373" t="str">
            <v>バランスタイプ</v>
          </cell>
          <cell r="M373" t="str">
            <v>unknown</v>
          </cell>
          <cell r="N373" t="str">
            <v>Unknown</v>
          </cell>
          <cell r="O373" t="str">
            <v>none</v>
          </cell>
          <cell r="P373" t="str">
            <v>種族なし</v>
          </cell>
          <cell r="R373">
            <v>3</v>
          </cell>
          <cell r="S373" t="str">
            <v>NULL</v>
          </cell>
          <cell r="T373" t="str">
            <v>normal</v>
          </cell>
          <cell r="U373" t="str">
            <v>NULL</v>
          </cell>
          <cell r="V373" t="str">
            <v>NULL</v>
          </cell>
          <cell r="W373" t="str">
            <v>NULL</v>
          </cell>
        </row>
        <row r="374">
          <cell r="A374">
            <v>373</v>
          </cell>
          <cell r="B374" t="str">
            <v>ja</v>
          </cell>
          <cell r="C374" t="str">
            <v>夢幻俳聖 バショー</v>
          </cell>
          <cell r="D374" t="str">
            <v>ノーマルクエスト</v>
          </cell>
          <cell r="E374" t="str">
            <v>守護者</v>
          </cell>
          <cell r="F374" t="str">
            <v>美しい</v>
          </cell>
          <cell r="G374" t="str">
            <v>不明</v>
          </cell>
          <cell r="H374" t="str">
            <v>green</v>
          </cell>
          <cell r="I374">
            <v>3</v>
          </cell>
          <cell r="J374" t="str">
            <v>Drop1S</v>
          </cell>
          <cell r="K374" t="str">
            <v>balance</v>
          </cell>
          <cell r="L374" t="str">
            <v>バランスタイプ</v>
          </cell>
          <cell r="M374" t="str">
            <v>unknown</v>
          </cell>
          <cell r="N374" t="str">
            <v>Unknown</v>
          </cell>
          <cell r="O374" t="str">
            <v>none</v>
          </cell>
          <cell r="P374" t="str">
            <v>種族なし</v>
          </cell>
          <cell r="R374">
            <v>3</v>
          </cell>
          <cell r="S374" t="str">
            <v>NULL</v>
          </cell>
          <cell r="T374" t="str">
            <v>normal</v>
          </cell>
          <cell r="U374" t="str">
            <v>NULL</v>
          </cell>
          <cell r="V374" t="str">
            <v>NULL</v>
          </cell>
          <cell r="W374" t="str">
            <v>NULL</v>
          </cell>
        </row>
        <row r="375">
          <cell r="A375">
            <v>374</v>
          </cell>
          <cell r="B375" t="str">
            <v>ja</v>
          </cell>
          <cell r="C375" t="str">
            <v>影丸</v>
          </cell>
          <cell r="D375" t="str">
            <v>ノーマルクエスト</v>
          </cell>
          <cell r="E375" t="str">
            <v>守護者</v>
          </cell>
          <cell r="F375" t="str">
            <v>美しい</v>
          </cell>
          <cell r="G375" t="str">
            <v>不明</v>
          </cell>
          <cell r="H375" t="str">
            <v>blue</v>
          </cell>
          <cell r="I375">
            <v>2</v>
          </cell>
          <cell r="J375" t="str">
            <v>Drop1S</v>
          </cell>
          <cell r="K375" t="str">
            <v>technical</v>
          </cell>
          <cell r="L375" t="str">
            <v>テクニカルタイプ</v>
          </cell>
          <cell r="M375" t="str">
            <v>animal</v>
          </cell>
          <cell r="N375" t="str">
            <v>アニマル</v>
          </cell>
          <cell r="O375" t="str">
            <v>none</v>
          </cell>
          <cell r="P375" t="str">
            <v>種族なし</v>
          </cell>
          <cell r="R375">
            <v>3</v>
          </cell>
          <cell r="S375" t="str">
            <v>NULL</v>
          </cell>
          <cell r="T375" t="str">
            <v>normal</v>
          </cell>
          <cell r="U375" t="str">
            <v>NULL</v>
          </cell>
          <cell r="V375" t="str">
            <v>NULL</v>
          </cell>
          <cell r="W375" t="str">
            <v>NULL</v>
          </cell>
        </row>
        <row r="376">
          <cell r="A376">
            <v>375</v>
          </cell>
          <cell r="B376" t="str">
            <v>ja</v>
          </cell>
          <cell r="C376" t="str">
            <v>蒼術兎忍 影丸</v>
          </cell>
          <cell r="D376" t="str">
            <v>ノーマルクエスト</v>
          </cell>
          <cell r="E376" t="str">
            <v>守護者</v>
          </cell>
          <cell r="F376" t="str">
            <v>美しい</v>
          </cell>
          <cell r="G376" t="str">
            <v>不明</v>
          </cell>
          <cell r="H376" t="str">
            <v>blue</v>
          </cell>
          <cell r="I376">
            <v>3</v>
          </cell>
          <cell r="J376" t="str">
            <v>Drop1S</v>
          </cell>
          <cell r="K376" t="str">
            <v>technical</v>
          </cell>
          <cell r="L376" t="str">
            <v>テクニカルタイプ</v>
          </cell>
          <cell r="M376" t="str">
            <v>animal</v>
          </cell>
          <cell r="N376" t="str">
            <v>アニマル</v>
          </cell>
          <cell r="O376" t="str">
            <v>none</v>
          </cell>
          <cell r="P376" t="str">
            <v>種族なし</v>
          </cell>
          <cell r="R376">
            <v>3</v>
          </cell>
          <cell r="S376" t="str">
            <v>NULL</v>
          </cell>
          <cell r="T376" t="str">
            <v>normal</v>
          </cell>
          <cell r="U376" t="str">
            <v>NULL</v>
          </cell>
          <cell r="V376" t="str">
            <v>NULL</v>
          </cell>
          <cell r="W376" t="str">
            <v>NULL</v>
          </cell>
        </row>
        <row r="377">
          <cell r="A377">
            <v>376</v>
          </cell>
          <cell r="B377" t="str">
            <v>ja</v>
          </cell>
          <cell r="C377" t="str">
            <v>勘兵衛</v>
          </cell>
          <cell r="D377" t="str">
            <v>イベント:お正月2016</v>
          </cell>
          <cell r="E377" t="str">
            <v>守護者</v>
          </cell>
          <cell r="F377" t="str">
            <v>美しい</v>
          </cell>
          <cell r="G377" t="str">
            <v>不明</v>
          </cell>
          <cell r="H377" t="str">
            <v>yellow</v>
          </cell>
          <cell r="I377">
            <v>3</v>
          </cell>
          <cell r="J377" t="str">
            <v>Drop1S</v>
          </cell>
          <cell r="K377" t="str">
            <v>technical</v>
          </cell>
          <cell r="L377" t="str">
            <v>テクニカルタイプ</v>
          </cell>
          <cell r="M377" t="str">
            <v>animal</v>
          </cell>
          <cell r="N377" t="str">
            <v>アニマル</v>
          </cell>
          <cell r="O377" t="str">
            <v>none</v>
          </cell>
          <cell r="P377" t="str">
            <v>種族なし</v>
          </cell>
          <cell r="R377">
            <v>3</v>
          </cell>
          <cell r="S377" t="str">
            <v>NULL</v>
          </cell>
          <cell r="T377" t="str">
            <v>normal</v>
          </cell>
          <cell r="U377" t="str">
            <v>NULL</v>
          </cell>
          <cell r="V377" t="str">
            <v>NULL</v>
          </cell>
          <cell r="W377" t="str">
            <v>NULL</v>
          </cell>
        </row>
        <row r="378">
          <cell r="A378">
            <v>377</v>
          </cell>
          <cell r="B378" t="str">
            <v>ja</v>
          </cell>
          <cell r="C378" t="str">
            <v>光明鹿剣 勘兵衛</v>
          </cell>
          <cell r="D378" t="str">
            <v>イベント:お正月2016</v>
          </cell>
          <cell r="E378" t="str">
            <v>守護者</v>
          </cell>
          <cell r="F378" t="str">
            <v>美しい</v>
          </cell>
          <cell r="G378" t="str">
            <v>不明</v>
          </cell>
          <cell r="H378" t="str">
            <v>yellow</v>
          </cell>
          <cell r="I378">
            <v>4</v>
          </cell>
          <cell r="J378" t="str">
            <v>Drop1S</v>
          </cell>
          <cell r="K378" t="str">
            <v>technical</v>
          </cell>
          <cell r="L378" t="str">
            <v>テクニカルタイプ</v>
          </cell>
          <cell r="M378" t="str">
            <v>animal</v>
          </cell>
          <cell r="N378" t="str">
            <v>アニマル</v>
          </cell>
          <cell r="O378" t="str">
            <v>none</v>
          </cell>
          <cell r="P378" t="str">
            <v>種族なし</v>
          </cell>
          <cell r="R378">
            <v>3</v>
          </cell>
          <cell r="S378" t="str">
            <v>NULL</v>
          </cell>
          <cell r="T378" t="str">
            <v>normal</v>
          </cell>
          <cell r="U378" t="str">
            <v>NULL</v>
          </cell>
          <cell r="V378" t="str">
            <v>NULL</v>
          </cell>
          <cell r="W378" t="str">
            <v>NULL</v>
          </cell>
        </row>
        <row r="379">
          <cell r="A379">
            <v>378</v>
          </cell>
          <cell r="B379" t="str">
            <v>ja</v>
          </cell>
          <cell r="C379" t="str">
            <v>オイラー</v>
          </cell>
          <cell r="D379" t="str">
            <v>ガチャ:フィーバーフェス01</v>
          </cell>
          <cell r="E379" t="str">
            <v>守護者</v>
          </cell>
          <cell r="F379" t="str">
            <v>美しい</v>
          </cell>
          <cell r="G379" t="str">
            <v>女性</v>
          </cell>
          <cell r="H379" t="str">
            <v>green</v>
          </cell>
          <cell r="I379">
            <v>4</v>
          </cell>
          <cell r="J379" t="str">
            <v>PremiumSSS</v>
          </cell>
          <cell r="K379" t="str">
            <v>balance</v>
          </cell>
          <cell r="L379" t="str">
            <v>バランスタイプ</v>
          </cell>
          <cell r="M379" t="str">
            <v>human</v>
          </cell>
          <cell r="N379" t="str">
            <v>ヒューマン</v>
          </cell>
          <cell r="O379" t="str">
            <v>none</v>
          </cell>
          <cell r="P379" t="str">
            <v>種族なし</v>
          </cell>
          <cell r="R379">
            <v>3</v>
          </cell>
          <cell r="S379" t="str">
            <v>NULL</v>
          </cell>
          <cell r="T379" t="str">
            <v>normal</v>
          </cell>
          <cell r="U379" t="str">
            <v>NULL</v>
          </cell>
          <cell r="V379" t="str">
            <v>NULL</v>
          </cell>
          <cell r="W379" t="str">
            <v>NULL</v>
          </cell>
        </row>
        <row r="380">
          <cell r="A380">
            <v>379</v>
          </cell>
          <cell r="B380" t="str">
            <v>ja</v>
          </cell>
          <cell r="C380" t="str">
            <v>幾何の機刃 オイラー</v>
          </cell>
          <cell r="D380" t="str">
            <v>ガチャ:フィーバーフェス01</v>
          </cell>
          <cell r="E380" t="str">
            <v>守護者</v>
          </cell>
          <cell r="F380" t="str">
            <v>美しい</v>
          </cell>
          <cell r="G380" t="str">
            <v>女性</v>
          </cell>
          <cell r="H380" t="str">
            <v>green</v>
          </cell>
          <cell r="I380">
            <v>5</v>
          </cell>
          <cell r="J380" t="str">
            <v>PremiumSSS</v>
          </cell>
          <cell r="K380" t="str">
            <v>balance</v>
          </cell>
          <cell r="L380" t="str">
            <v>バランスタイプ</v>
          </cell>
          <cell r="M380" t="str">
            <v>human</v>
          </cell>
          <cell r="N380" t="str">
            <v>ヒューマン</v>
          </cell>
          <cell r="O380" t="str">
            <v>none</v>
          </cell>
          <cell r="P380" t="str">
            <v>種族なし</v>
          </cell>
          <cell r="R380">
            <v>3</v>
          </cell>
          <cell r="S380" t="str">
            <v>NULL</v>
          </cell>
          <cell r="T380" t="str">
            <v>normal</v>
          </cell>
          <cell r="U380" t="str">
            <v>NULL</v>
          </cell>
          <cell r="V380" t="str">
            <v>NULL</v>
          </cell>
          <cell r="W380" t="str">
            <v>NULL</v>
          </cell>
        </row>
        <row r="381">
          <cell r="A381">
            <v>380</v>
          </cell>
          <cell r="B381" t="str">
            <v>ja</v>
          </cell>
          <cell r="C381" t="str">
            <v>バハムート</v>
          </cell>
          <cell r="D381" t="str">
            <v>ガチャ:魔獣シリーズ01</v>
          </cell>
          <cell r="G381" t="str">
            <v>女性</v>
          </cell>
          <cell r="H381" t="str">
            <v>red</v>
          </cell>
          <cell r="I381">
            <v>3</v>
          </cell>
          <cell r="J381" t="str">
            <v>PremiumS</v>
          </cell>
          <cell r="K381" t="str">
            <v>technical</v>
          </cell>
          <cell r="L381" t="str">
            <v>テクニカルタイプ</v>
          </cell>
          <cell r="M381" t="str">
            <v>dragon</v>
          </cell>
          <cell r="N381" t="str">
            <v>ドラゴン</v>
          </cell>
          <cell r="O381" t="str">
            <v>none</v>
          </cell>
          <cell r="P381" t="str">
            <v>種族なし</v>
          </cell>
          <cell r="R381">
            <v>3</v>
          </cell>
          <cell r="S381" t="str">
            <v>NULL</v>
          </cell>
          <cell r="T381" t="str">
            <v>normal</v>
          </cell>
          <cell r="U381" t="str">
            <v>NULL</v>
          </cell>
          <cell r="V381" t="str">
            <v>NULL</v>
          </cell>
          <cell r="W381" t="str">
            <v>NULL</v>
          </cell>
        </row>
        <row r="382">
          <cell r="A382">
            <v>381</v>
          </cell>
          <cell r="B382" t="str">
            <v>ja</v>
          </cell>
          <cell r="C382" t="str">
            <v>肉食の恋火 バハムート</v>
          </cell>
          <cell r="D382" t="str">
            <v>ガチャ:魔獣シリーズ01</v>
          </cell>
          <cell r="E382" t="str">
            <v>守護者</v>
          </cell>
          <cell r="F382" t="str">
            <v>美しい</v>
          </cell>
          <cell r="G382" t="str">
            <v>女性</v>
          </cell>
          <cell r="H382" t="str">
            <v>red</v>
          </cell>
          <cell r="I382">
            <v>4</v>
          </cell>
          <cell r="J382" t="str">
            <v>PremiumS</v>
          </cell>
          <cell r="K382" t="str">
            <v>technical</v>
          </cell>
          <cell r="L382" t="str">
            <v>テクニカルタイプ</v>
          </cell>
          <cell r="M382" t="str">
            <v>dragon</v>
          </cell>
          <cell r="N382" t="str">
            <v>ドラゴン</v>
          </cell>
          <cell r="O382" t="str">
            <v>none</v>
          </cell>
          <cell r="P382" t="str">
            <v>種族なし</v>
          </cell>
          <cell r="R382">
            <v>3</v>
          </cell>
          <cell r="S382" t="str">
            <v>NULL</v>
          </cell>
          <cell r="T382" t="str">
            <v>normal</v>
          </cell>
          <cell r="U382" t="str">
            <v>NULL</v>
          </cell>
          <cell r="V382" t="str">
            <v>NULL</v>
          </cell>
          <cell r="W382" t="str">
            <v>NULL</v>
          </cell>
        </row>
        <row r="383">
          <cell r="A383">
            <v>382</v>
          </cell>
          <cell r="B383" t="str">
            <v>ja</v>
          </cell>
          <cell r="C383" t="str">
            <v>激情の愛炎 バハムート</v>
          </cell>
          <cell r="D383" t="str">
            <v>ガチャ:魔獣シリーズ01</v>
          </cell>
          <cell r="E383" t="str">
            <v>守護者</v>
          </cell>
          <cell r="F383" t="str">
            <v>美しい</v>
          </cell>
          <cell r="G383" t="str">
            <v>女性</v>
          </cell>
          <cell r="H383" t="str">
            <v>red</v>
          </cell>
          <cell r="I383">
            <v>5</v>
          </cell>
          <cell r="J383" t="str">
            <v>PremiumS</v>
          </cell>
          <cell r="K383" t="str">
            <v>technical</v>
          </cell>
          <cell r="L383" t="str">
            <v>テクニカルタイプ</v>
          </cell>
          <cell r="M383" t="str">
            <v>dragon</v>
          </cell>
          <cell r="N383" t="str">
            <v>ドラゴン</v>
          </cell>
          <cell r="O383" t="str">
            <v>none</v>
          </cell>
          <cell r="P383" t="str">
            <v>種族なし</v>
          </cell>
          <cell r="R383">
            <v>3</v>
          </cell>
          <cell r="S383" t="str">
            <v>NULL</v>
          </cell>
          <cell r="T383" t="str">
            <v>normal</v>
          </cell>
          <cell r="U383" t="str">
            <v>NULL</v>
          </cell>
          <cell r="V383" t="str">
            <v>NULL</v>
          </cell>
          <cell r="W383" t="str">
            <v>NULL</v>
          </cell>
        </row>
        <row r="384">
          <cell r="A384">
            <v>383</v>
          </cell>
          <cell r="B384" t="str">
            <v>ja</v>
          </cell>
          <cell r="C384" t="str">
            <v>酒宴の蟒蛇 ヤマタノオロチ</v>
          </cell>
          <cell r="D384" t="str">
            <v>ガチャ:魔獣シリーズ01</v>
          </cell>
          <cell r="E384" t="str">
            <v>守護者</v>
          </cell>
          <cell r="F384" t="str">
            <v>美しい</v>
          </cell>
          <cell r="G384" t="str">
            <v>女性</v>
          </cell>
          <cell r="H384" t="str">
            <v>green</v>
          </cell>
          <cell r="I384">
            <v>4</v>
          </cell>
          <cell r="J384" t="str">
            <v>PremiumSS</v>
          </cell>
          <cell r="K384" t="str">
            <v>hp</v>
          </cell>
          <cell r="L384" t="str">
            <v>体力タイプ</v>
          </cell>
          <cell r="M384" t="str">
            <v>dragon</v>
          </cell>
          <cell r="N384" t="str">
            <v>ドラゴン</v>
          </cell>
          <cell r="O384" t="str">
            <v>none</v>
          </cell>
          <cell r="P384" t="str">
            <v>種族なし</v>
          </cell>
          <cell r="R384">
            <v>3</v>
          </cell>
          <cell r="S384" t="str">
            <v>NULL</v>
          </cell>
          <cell r="T384" t="str">
            <v>normal</v>
          </cell>
          <cell r="U384" t="str">
            <v>NULL</v>
          </cell>
          <cell r="V384" t="str">
            <v>NULL</v>
          </cell>
          <cell r="W384" t="str">
            <v>NULL</v>
          </cell>
        </row>
        <row r="385">
          <cell r="A385">
            <v>384</v>
          </cell>
          <cell r="B385" t="str">
            <v>ja</v>
          </cell>
          <cell r="C385" t="str">
            <v>破国の呑龍 ヤマタノオロチ</v>
          </cell>
          <cell r="D385" t="str">
            <v>ガチャ:魔獣シリーズ01</v>
          </cell>
          <cell r="E385" t="str">
            <v>守護者</v>
          </cell>
          <cell r="F385" t="str">
            <v>美しい</v>
          </cell>
          <cell r="G385" t="str">
            <v>女性</v>
          </cell>
          <cell r="H385" t="str">
            <v>green</v>
          </cell>
          <cell r="I385">
            <v>5</v>
          </cell>
          <cell r="J385" t="str">
            <v>PremiumSS</v>
          </cell>
          <cell r="K385" t="str">
            <v>hp</v>
          </cell>
          <cell r="L385" t="str">
            <v>体力タイプ</v>
          </cell>
          <cell r="M385" t="str">
            <v>dragon</v>
          </cell>
          <cell r="N385" t="str">
            <v>ドラゴン</v>
          </cell>
          <cell r="O385" t="str">
            <v>none</v>
          </cell>
          <cell r="P385" t="str">
            <v>種族なし</v>
          </cell>
          <cell r="R385">
            <v>3</v>
          </cell>
          <cell r="S385" t="str">
            <v>NULL</v>
          </cell>
          <cell r="T385" t="str">
            <v>normal</v>
          </cell>
          <cell r="U385" t="str">
            <v>NULL</v>
          </cell>
          <cell r="V385" t="str">
            <v>NULL</v>
          </cell>
          <cell r="W385" t="str">
            <v>NULL</v>
          </cell>
        </row>
        <row r="386">
          <cell r="A386">
            <v>385</v>
          </cell>
          <cell r="B386" t="str">
            <v>ja</v>
          </cell>
          <cell r="C386" t="str">
            <v>波烈の出奔 リヴァイアサン</v>
          </cell>
          <cell r="D386" t="str">
            <v>ガチャ:魔獣シリーズ01</v>
          </cell>
          <cell r="E386" t="str">
            <v>守護者</v>
          </cell>
          <cell r="F386" t="str">
            <v>美しい</v>
          </cell>
          <cell r="G386" t="str">
            <v>女性</v>
          </cell>
          <cell r="H386" t="str">
            <v>blue</v>
          </cell>
          <cell r="I386">
            <v>4</v>
          </cell>
          <cell r="J386" t="str">
            <v>PremiumSS</v>
          </cell>
          <cell r="K386" t="str">
            <v>balance</v>
          </cell>
          <cell r="L386" t="str">
            <v>バランスタイプ</v>
          </cell>
          <cell r="M386" t="str">
            <v>dragon</v>
          </cell>
          <cell r="N386" t="str">
            <v>ドラゴン</v>
          </cell>
          <cell r="O386" t="str">
            <v>none</v>
          </cell>
          <cell r="P386" t="str">
            <v>種族なし</v>
          </cell>
          <cell r="R386">
            <v>3</v>
          </cell>
          <cell r="S386" t="str">
            <v>NULL</v>
          </cell>
          <cell r="T386" t="str">
            <v>normal</v>
          </cell>
          <cell r="U386" t="str">
            <v>NULL</v>
          </cell>
          <cell r="V386" t="str">
            <v>NULL</v>
          </cell>
          <cell r="W386" t="str">
            <v>NULL</v>
          </cell>
        </row>
        <row r="387">
          <cell r="A387">
            <v>386</v>
          </cell>
          <cell r="B387" t="str">
            <v>ja</v>
          </cell>
          <cell r="C387" t="str">
            <v>氾乱の海龍 リヴァイアサン</v>
          </cell>
          <cell r="D387" t="str">
            <v>ガチャ:魔獣シリーズ01</v>
          </cell>
          <cell r="E387" t="str">
            <v>守護者</v>
          </cell>
          <cell r="F387" t="str">
            <v>美しい</v>
          </cell>
          <cell r="G387" t="str">
            <v>女性</v>
          </cell>
          <cell r="H387" t="str">
            <v>blue</v>
          </cell>
          <cell r="I387">
            <v>5</v>
          </cell>
          <cell r="J387" t="str">
            <v>PremiumSS</v>
          </cell>
          <cell r="K387" t="str">
            <v>balance</v>
          </cell>
          <cell r="L387" t="str">
            <v>バランスタイプ</v>
          </cell>
          <cell r="M387" t="str">
            <v>dragon</v>
          </cell>
          <cell r="N387" t="str">
            <v>ドラゴン</v>
          </cell>
          <cell r="O387" t="str">
            <v>none</v>
          </cell>
          <cell r="P387" t="str">
            <v>種族なし</v>
          </cell>
          <cell r="R387">
            <v>3</v>
          </cell>
          <cell r="S387" t="str">
            <v>NULL</v>
          </cell>
          <cell r="T387" t="str">
            <v>normal</v>
          </cell>
          <cell r="U387" t="str">
            <v>NULL</v>
          </cell>
          <cell r="V387" t="str">
            <v>NULL</v>
          </cell>
          <cell r="W387" t="str">
            <v>NULL</v>
          </cell>
        </row>
        <row r="388">
          <cell r="A388">
            <v>387</v>
          </cell>
          <cell r="B388" t="str">
            <v>ja</v>
          </cell>
          <cell r="C388" t="str">
            <v>スフィンクス</v>
          </cell>
          <cell r="D388" t="str">
            <v>ガチャ:魔獣シリーズ01</v>
          </cell>
          <cell r="G388" t="str">
            <v>女性</v>
          </cell>
          <cell r="H388" t="str">
            <v>yellow</v>
          </cell>
          <cell r="I388">
            <v>3</v>
          </cell>
          <cell r="J388" t="str">
            <v>PremiumS</v>
          </cell>
          <cell r="K388" t="str">
            <v>heal</v>
          </cell>
          <cell r="L388" t="str">
            <v>回復タイプ</v>
          </cell>
          <cell r="M388" t="str">
            <v>animal</v>
          </cell>
          <cell r="N388" t="str">
            <v>アニマル</v>
          </cell>
          <cell r="O388" t="str">
            <v>none</v>
          </cell>
          <cell r="P388" t="str">
            <v>種族なし</v>
          </cell>
          <cell r="R388">
            <v>3</v>
          </cell>
          <cell r="S388" t="str">
            <v>NULL</v>
          </cell>
          <cell r="T388" t="str">
            <v>normal</v>
          </cell>
          <cell r="U388" t="str">
            <v>NULL</v>
          </cell>
          <cell r="V388" t="str">
            <v>NULL</v>
          </cell>
          <cell r="W388" t="str">
            <v>NULL</v>
          </cell>
        </row>
        <row r="389">
          <cell r="A389">
            <v>388</v>
          </cell>
          <cell r="B389" t="str">
            <v>ja</v>
          </cell>
          <cell r="C389" t="str">
            <v>神円の恋姫 スフィンクス</v>
          </cell>
          <cell r="D389" t="str">
            <v>ガチャ:魔獣シリーズ01</v>
          </cell>
          <cell r="E389" t="str">
            <v>執行者</v>
          </cell>
          <cell r="F389" t="str">
            <v>格好いい</v>
          </cell>
          <cell r="G389" t="str">
            <v>女性</v>
          </cell>
          <cell r="H389" t="str">
            <v>yellow</v>
          </cell>
          <cell r="I389">
            <v>4</v>
          </cell>
          <cell r="J389" t="str">
            <v>PremiumS</v>
          </cell>
          <cell r="K389" t="str">
            <v>heal</v>
          </cell>
          <cell r="L389" t="str">
            <v>回復タイプ</v>
          </cell>
          <cell r="M389" t="str">
            <v>animal</v>
          </cell>
          <cell r="N389" t="str">
            <v>アニマル</v>
          </cell>
          <cell r="O389" t="str">
            <v>none</v>
          </cell>
          <cell r="P389" t="str">
            <v>種族なし</v>
          </cell>
          <cell r="Q389" t="str">
            <v>アタッカー</v>
          </cell>
          <cell r="R389">
            <v>3</v>
          </cell>
          <cell r="S389" t="str">
            <v>NULL</v>
          </cell>
          <cell r="T389" t="str">
            <v>normal</v>
          </cell>
          <cell r="U389" t="str">
            <v>NULL</v>
          </cell>
          <cell r="V389" t="str">
            <v>NULL</v>
          </cell>
          <cell r="W389" t="str">
            <v>NULL</v>
          </cell>
        </row>
        <row r="390">
          <cell r="A390">
            <v>389</v>
          </cell>
          <cell r="B390" t="str">
            <v>ja</v>
          </cell>
          <cell r="C390" t="str">
            <v>操神の愛姫 スフィンクス</v>
          </cell>
          <cell r="D390" t="str">
            <v>ガチャ:魔獣シリーズ01</v>
          </cell>
          <cell r="E390" t="str">
            <v>執行者</v>
          </cell>
          <cell r="F390" t="str">
            <v>格好いい</v>
          </cell>
          <cell r="G390" t="str">
            <v>女性</v>
          </cell>
          <cell r="H390" t="str">
            <v>yellow</v>
          </cell>
          <cell r="I390">
            <v>5</v>
          </cell>
          <cell r="J390" t="str">
            <v>PremiumS</v>
          </cell>
          <cell r="K390" t="str">
            <v>heal</v>
          </cell>
          <cell r="L390" t="str">
            <v>回復タイプ</v>
          </cell>
          <cell r="M390" t="str">
            <v>animal</v>
          </cell>
          <cell r="N390" t="str">
            <v>アニマル</v>
          </cell>
          <cell r="O390" t="str">
            <v>none</v>
          </cell>
          <cell r="P390" t="str">
            <v>種族なし</v>
          </cell>
          <cell r="Q390" t="str">
            <v>アタッカー</v>
          </cell>
          <cell r="R390">
            <v>3</v>
          </cell>
          <cell r="S390" t="str">
            <v>NULL</v>
          </cell>
          <cell r="T390" t="str">
            <v>normal</v>
          </cell>
          <cell r="U390" t="str">
            <v>NULL</v>
          </cell>
          <cell r="V390" t="str">
            <v>NULL</v>
          </cell>
          <cell r="W390" t="str">
            <v>NULL</v>
          </cell>
        </row>
        <row r="391">
          <cell r="A391">
            <v>390</v>
          </cell>
          <cell r="B391" t="str">
            <v>ja</v>
          </cell>
          <cell r="C391" t="str">
            <v>華環の旅客 親指姫</v>
          </cell>
          <cell r="D391" t="str">
            <v>ガチャ:アリスの絵本01</v>
          </cell>
          <cell r="E391" t="str">
            <v>執行者</v>
          </cell>
          <cell r="F391" t="str">
            <v>格好いい</v>
          </cell>
          <cell r="G391" t="str">
            <v>女性</v>
          </cell>
          <cell r="H391" t="str">
            <v>red</v>
          </cell>
          <cell r="I391">
            <v>4</v>
          </cell>
          <cell r="J391" t="str">
            <v>PremiumSS</v>
          </cell>
          <cell r="K391" t="str">
            <v>heal</v>
          </cell>
          <cell r="L391" t="str">
            <v>回復タイプ</v>
          </cell>
          <cell r="M391" t="str">
            <v>human</v>
          </cell>
          <cell r="N391" t="str">
            <v>ヒューマン</v>
          </cell>
          <cell r="O391" t="str">
            <v>machine</v>
          </cell>
          <cell r="P391" t="str">
            <v>マシン</v>
          </cell>
          <cell r="Q391" t="str">
            <v>アタッカー</v>
          </cell>
          <cell r="R391">
            <v>3</v>
          </cell>
          <cell r="S391" t="str">
            <v>NULL</v>
          </cell>
          <cell r="T391" t="str">
            <v>normal</v>
          </cell>
          <cell r="U391" t="str">
            <v>NULL</v>
          </cell>
          <cell r="V391" t="str">
            <v>NULL</v>
          </cell>
          <cell r="W391" t="str">
            <v>NULL</v>
          </cell>
        </row>
        <row r="392">
          <cell r="A392">
            <v>391</v>
          </cell>
          <cell r="B392" t="str">
            <v>ja</v>
          </cell>
          <cell r="C392" t="str">
            <v>燕翼の旅人 親指姫</v>
          </cell>
          <cell r="D392" t="str">
            <v>ガチャ:アリスの絵本01</v>
          </cell>
          <cell r="E392" t="str">
            <v>執行者</v>
          </cell>
          <cell r="F392" t="str">
            <v>格好いい</v>
          </cell>
          <cell r="G392" t="str">
            <v>女性</v>
          </cell>
          <cell r="H392" t="str">
            <v>red</v>
          </cell>
          <cell r="I392">
            <v>5</v>
          </cell>
          <cell r="J392" t="str">
            <v>PremiumSS</v>
          </cell>
          <cell r="K392" t="str">
            <v>heal</v>
          </cell>
          <cell r="L392" t="str">
            <v>回復タイプ</v>
          </cell>
          <cell r="M392" t="str">
            <v>human</v>
          </cell>
          <cell r="N392" t="str">
            <v>ヒューマン</v>
          </cell>
          <cell r="O392" t="str">
            <v>machine</v>
          </cell>
          <cell r="P392" t="str">
            <v>マシン</v>
          </cell>
          <cell r="Q392" t="str">
            <v>アタッカー</v>
          </cell>
          <cell r="R392">
            <v>3</v>
          </cell>
          <cell r="S392" t="str">
            <v>NULL</v>
          </cell>
          <cell r="T392" t="str">
            <v>normal</v>
          </cell>
          <cell r="U392" t="str">
            <v>NULL</v>
          </cell>
          <cell r="V392" t="str">
            <v>NULL</v>
          </cell>
          <cell r="W392" t="str">
            <v>NULL</v>
          </cell>
        </row>
        <row r="393">
          <cell r="A393">
            <v>392</v>
          </cell>
          <cell r="B393" t="str">
            <v>ja</v>
          </cell>
          <cell r="C393" t="str">
            <v>ピーターパン</v>
          </cell>
          <cell r="D393" t="str">
            <v>ガチャ:アリスの絵本01</v>
          </cell>
          <cell r="E393" t="str">
            <v>執行者</v>
          </cell>
          <cell r="F393" t="str">
            <v>格好いい</v>
          </cell>
          <cell r="G393" t="str">
            <v>男性</v>
          </cell>
          <cell r="H393" t="str">
            <v>green</v>
          </cell>
          <cell r="I393">
            <v>3</v>
          </cell>
          <cell r="J393" t="str">
            <v>PremiumS</v>
          </cell>
          <cell r="K393" t="str">
            <v>attack</v>
          </cell>
          <cell r="L393" t="str">
            <v>攻撃タイプ</v>
          </cell>
          <cell r="M393" t="str">
            <v>human</v>
          </cell>
          <cell r="N393" t="str">
            <v>ヒューマン</v>
          </cell>
          <cell r="O393" t="str">
            <v>machine</v>
          </cell>
          <cell r="P393" t="str">
            <v>マシン</v>
          </cell>
          <cell r="Q393" t="str">
            <v>アタッカー</v>
          </cell>
          <cell r="R393">
            <v>3</v>
          </cell>
          <cell r="S393" t="str">
            <v>NULL</v>
          </cell>
          <cell r="T393" t="str">
            <v>normal</v>
          </cell>
          <cell r="U393" t="str">
            <v>NULL</v>
          </cell>
          <cell r="V393" t="str">
            <v>NULL</v>
          </cell>
          <cell r="W393" t="str">
            <v>NULL</v>
          </cell>
        </row>
        <row r="394">
          <cell r="A394">
            <v>393</v>
          </cell>
          <cell r="B394" t="str">
            <v>ja</v>
          </cell>
          <cell r="C394" t="str">
            <v>影縫い ピーターパン</v>
          </cell>
          <cell r="D394" t="str">
            <v>ガチャ:アリスの絵本01</v>
          </cell>
          <cell r="E394" t="str">
            <v>執行者</v>
          </cell>
          <cell r="F394" t="str">
            <v>格好いい</v>
          </cell>
          <cell r="G394" t="str">
            <v>男性</v>
          </cell>
          <cell r="H394" t="str">
            <v>green</v>
          </cell>
          <cell r="I394">
            <v>4</v>
          </cell>
          <cell r="J394" t="str">
            <v>PremiumS</v>
          </cell>
          <cell r="K394" t="str">
            <v>attack</v>
          </cell>
          <cell r="L394" t="str">
            <v>攻撃タイプ</v>
          </cell>
          <cell r="M394" t="str">
            <v>human</v>
          </cell>
          <cell r="N394" t="str">
            <v>ヒューマン</v>
          </cell>
          <cell r="O394" t="str">
            <v>machine</v>
          </cell>
          <cell r="P394" t="str">
            <v>マシン</v>
          </cell>
          <cell r="Q394" t="str">
            <v>アタッカー</v>
          </cell>
          <cell r="R394">
            <v>3</v>
          </cell>
          <cell r="S394" t="str">
            <v>NULL</v>
          </cell>
          <cell r="T394" t="str">
            <v>normal</v>
          </cell>
          <cell r="U394" t="str">
            <v>NULL</v>
          </cell>
          <cell r="V394" t="str">
            <v>NULL</v>
          </cell>
          <cell r="W394" t="str">
            <v>NULL</v>
          </cell>
        </row>
        <row r="395">
          <cell r="A395">
            <v>394</v>
          </cell>
          <cell r="B395" t="str">
            <v>ja</v>
          </cell>
          <cell r="C395" t="str">
            <v>影求の悪童 ピーターパン</v>
          </cell>
          <cell r="D395" t="str">
            <v>ガチャ:アリスの絵本01</v>
          </cell>
          <cell r="E395" t="str">
            <v>執行者</v>
          </cell>
          <cell r="F395" t="str">
            <v>格好いい</v>
          </cell>
          <cell r="G395" t="str">
            <v>男性</v>
          </cell>
          <cell r="H395" t="str">
            <v>green</v>
          </cell>
          <cell r="I395">
            <v>5</v>
          </cell>
          <cell r="J395" t="str">
            <v>PremiumS</v>
          </cell>
          <cell r="K395" t="str">
            <v>attack</v>
          </cell>
          <cell r="L395" t="str">
            <v>攻撃タイプ</v>
          </cell>
          <cell r="M395" t="str">
            <v>human</v>
          </cell>
          <cell r="N395" t="str">
            <v>ヒューマン</v>
          </cell>
          <cell r="O395" t="str">
            <v>machine</v>
          </cell>
          <cell r="P395" t="str">
            <v>マシン</v>
          </cell>
          <cell r="Q395" t="str">
            <v>アタッカー</v>
          </cell>
          <cell r="R395">
            <v>3</v>
          </cell>
          <cell r="S395" t="str">
            <v>NULL</v>
          </cell>
          <cell r="T395" t="str">
            <v>normal</v>
          </cell>
          <cell r="U395" t="str">
            <v>NULL</v>
          </cell>
          <cell r="V395" t="str">
            <v>NULL</v>
          </cell>
          <cell r="W395" t="str">
            <v>NULL</v>
          </cell>
        </row>
        <row r="396">
          <cell r="A396">
            <v>395</v>
          </cell>
          <cell r="B396" t="str">
            <v>ja</v>
          </cell>
          <cell r="C396" t="str">
            <v>乙姫</v>
          </cell>
          <cell r="D396" t="str">
            <v>ガチャ:アリスの絵本01</v>
          </cell>
          <cell r="E396" t="str">
            <v>執行者</v>
          </cell>
          <cell r="F396" t="str">
            <v>格好いい</v>
          </cell>
          <cell r="G396" t="str">
            <v>女性</v>
          </cell>
          <cell r="H396" t="str">
            <v>blue</v>
          </cell>
          <cell r="I396">
            <v>3</v>
          </cell>
          <cell r="J396" t="str">
            <v>PremiumS</v>
          </cell>
          <cell r="K396" t="str">
            <v>hp</v>
          </cell>
          <cell r="L396" t="str">
            <v>体力タイプ</v>
          </cell>
          <cell r="M396" t="str">
            <v>human</v>
          </cell>
          <cell r="N396" t="str">
            <v>ヒューマン</v>
          </cell>
          <cell r="O396" t="str">
            <v>machine</v>
          </cell>
          <cell r="P396" t="str">
            <v>マシン</v>
          </cell>
          <cell r="Q396" t="str">
            <v>アタッカー</v>
          </cell>
          <cell r="R396">
            <v>3</v>
          </cell>
          <cell r="S396" t="str">
            <v>NULL</v>
          </cell>
          <cell r="T396" t="str">
            <v>normal</v>
          </cell>
          <cell r="U396" t="str">
            <v>NULL</v>
          </cell>
          <cell r="V396" t="str">
            <v>NULL</v>
          </cell>
          <cell r="W396" t="str">
            <v>NULL</v>
          </cell>
        </row>
        <row r="397">
          <cell r="A397">
            <v>396</v>
          </cell>
          <cell r="B397" t="str">
            <v>ja</v>
          </cell>
          <cell r="C397" t="str">
            <v>竜宮の水雷 乙姫</v>
          </cell>
          <cell r="D397" t="str">
            <v>ガチャ:アリスの絵本01</v>
          </cell>
          <cell r="E397" t="str">
            <v>執行者</v>
          </cell>
          <cell r="F397" t="str">
            <v>格好いい</v>
          </cell>
          <cell r="G397" t="str">
            <v>女性</v>
          </cell>
          <cell r="H397" t="str">
            <v>blue</v>
          </cell>
          <cell r="I397">
            <v>4</v>
          </cell>
          <cell r="J397" t="str">
            <v>PremiumS</v>
          </cell>
          <cell r="K397" t="str">
            <v>hp</v>
          </cell>
          <cell r="L397" t="str">
            <v>体力タイプ</v>
          </cell>
          <cell r="M397" t="str">
            <v>human</v>
          </cell>
          <cell r="N397" t="str">
            <v>ヒューマン</v>
          </cell>
          <cell r="O397" t="str">
            <v>machine</v>
          </cell>
          <cell r="P397" t="str">
            <v>マシン</v>
          </cell>
          <cell r="Q397" t="str">
            <v>アタッカー</v>
          </cell>
          <cell r="R397">
            <v>3</v>
          </cell>
          <cell r="S397" t="str">
            <v>NULL</v>
          </cell>
          <cell r="T397" t="str">
            <v>normal</v>
          </cell>
          <cell r="U397" t="str">
            <v>NULL</v>
          </cell>
          <cell r="V397" t="str">
            <v>NULL</v>
          </cell>
          <cell r="W397" t="str">
            <v>NULL</v>
          </cell>
        </row>
        <row r="398">
          <cell r="A398">
            <v>397</v>
          </cell>
          <cell r="B398" t="str">
            <v>ja</v>
          </cell>
          <cell r="C398" t="str">
            <v>禁断の追箱 乙姫</v>
          </cell>
          <cell r="D398" t="str">
            <v>ガチャ:アリスの絵本01</v>
          </cell>
          <cell r="E398" t="str">
            <v>執行者</v>
          </cell>
          <cell r="F398" t="str">
            <v>格好いい</v>
          </cell>
          <cell r="G398" t="str">
            <v>女性</v>
          </cell>
          <cell r="H398" t="str">
            <v>blue</v>
          </cell>
          <cell r="I398">
            <v>5</v>
          </cell>
          <cell r="J398" t="str">
            <v>PremiumS</v>
          </cell>
          <cell r="K398" t="str">
            <v>hp</v>
          </cell>
          <cell r="L398" t="str">
            <v>体力タイプ</v>
          </cell>
          <cell r="M398" t="str">
            <v>human</v>
          </cell>
          <cell r="N398" t="str">
            <v>ヒューマン</v>
          </cell>
          <cell r="O398" t="str">
            <v>machine</v>
          </cell>
          <cell r="P398" t="str">
            <v>マシン</v>
          </cell>
          <cell r="Q398" t="str">
            <v>アタッカー</v>
          </cell>
          <cell r="R398">
            <v>3</v>
          </cell>
          <cell r="S398" t="str">
            <v>NULL</v>
          </cell>
          <cell r="T398" t="str">
            <v>normal</v>
          </cell>
          <cell r="U398" t="str">
            <v>NULL</v>
          </cell>
          <cell r="V398" t="str">
            <v>NULL</v>
          </cell>
          <cell r="W398" t="str">
            <v>NULL</v>
          </cell>
        </row>
        <row r="399">
          <cell r="A399">
            <v>398</v>
          </cell>
          <cell r="B399" t="str">
            <v>ja</v>
          </cell>
          <cell r="C399" t="str">
            <v>ヘンゼル＆グレーテル</v>
          </cell>
          <cell r="D399" t="str">
            <v>ガチャ:アリスの絵本01</v>
          </cell>
          <cell r="E399" t="str">
            <v>執行者</v>
          </cell>
          <cell r="F399" t="str">
            <v>格好いい</v>
          </cell>
          <cell r="G399" t="str">
            <v>女性</v>
          </cell>
          <cell r="H399" t="str">
            <v>yellow</v>
          </cell>
          <cell r="I399">
            <v>4</v>
          </cell>
          <cell r="J399" t="str">
            <v>PremiumSS</v>
          </cell>
          <cell r="K399" t="str">
            <v>balance</v>
          </cell>
          <cell r="L399" t="str">
            <v>バランスタイプ</v>
          </cell>
          <cell r="M399" t="str">
            <v>human</v>
          </cell>
          <cell r="N399" t="str">
            <v>ヒューマン</v>
          </cell>
          <cell r="O399" t="str">
            <v>machine</v>
          </cell>
          <cell r="P399" t="str">
            <v>マシン</v>
          </cell>
          <cell r="Q399" t="str">
            <v>アタッカー</v>
          </cell>
          <cell r="R399">
            <v>3</v>
          </cell>
          <cell r="S399" t="str">
            <v>NULL</v>
          </cell>
          <cell r="T399" t="str">
            <v>normal</v>
          </cell>
          <cell r="U399" t="str">
            <v>NULL</v>
          </cell>
          <cell r="V399" t="str">
            <v>NULL</v>
          </cell>
          <cell r="W399" t="str">
            <v>NULL</v>
          </cell>
        </row>
        <row r="400">
          <cell r="A400">
            <v>399</v>
          </cell>
          <cell r="B400" t="str">
            <v>ja</v>
          </cell>
          <cell r="C400" t="str">
            <v>信愛の兄妹 ヘンゼル＆グレーテル</v>
          </cell>
          <cell r="D400" t="str">
            <v>ガチャ:アリスの絵本01</v>
          </cell>
          <cell r="E400" t="str">
            <v>執行者</v>
          </cell>
          <cell r="F400" t="str">
            <v>格好いい</v>
          </cell>
          <cell r="G400" t="str">
            <v>女性</v>
          </cell>
          <cell r="H400" t="str">
            <v>yellow</v>
          </cell>
          <cell r="I400">
            <v>5</v>
          </cell>
          <cell r="J400" t="str">
            <v>PremiumSS</v>
          </cell>
          <cell r="K400" t="str">
            <v>balance</v>
          </cell>
          <cell r="L400" t="str">
            <v>バランスタイプ</v>
          </cell>
          <cell r="M400" t="str">
            <v>human</v>
          </cell>
          <cell r="N400" t="str">
            <v>ヒューマン</v>
          </cell>
          <cell r="O400" t="str">
            <v>machine</v>
          </cell>
          <cell r="P400" t="str">
            <v>マシン</v>
          </cell>
          <cell r="Q400" t="str">
            <v>アタッカー</v>
          </cell>
          <cell r="R400">
            <v>3</v>
          </cell>
          <cell r="S400" t="str">
            <v>NULL</v>
          </cell>
          <cell r="T400" t="str">
            <v>normal</v>
          </cell>
          <cell r="U400" t="str">
            <v>NULL</v>
          </cell>
          <cell r="V400" t="str">
            <v>NULL</v>
          </cell>
          <cell r="W400" t="str">
            <v>NULL</v>
          </cell>
        </row>
        <row r="401">
          <cell r="A401">
            <v>400</v>
          </cell>
          <cell r="B401" t="str">
            <v>ja</v>
          </cell>
          <cell r="C401" t="str">
            <v>フェンリル</v>
          </cell>
          <cell r="D401" t="str">
            <v>ガチャ:魔獣シリーズ02</v>
          </cell>
          <cell r="E401" t="str">
            <v>執行者</v>
          </cell>
          <cell r="F401" t="str">
            <v>格好いい</v>
          </cell>
          <cell r="G401" t="str">
            <v>女性</v>
          </cell>
          <cell r="H401" t="str">
            <v>red</v>
          </cell>
          <cell r="I401">
            <v>3</v>
          </cell>
          <cell r="J401" t="str">
            <v>PremiumS</v>
          </cell>
          <cell r="K401" t="str">
            <v>attack</v>
          </cell>
          <cell r="L401" t="str">
            <v>攻撃タイプ</v>
          </cell>
          <cell r="M401" t="str">
            <v>animal</v>
          </cell>
          <cell r="N401" t="str">
            <v>アニマル</v>
          </cell>
          <cell r="O401" t="str">
            <v>none</v>
          </cell>
          <cell r="P401" t="str">
            <v>種族なし</v>
          </cell>
          <cell r="Q401" t="str">
            <v>アタッカー</v>
          </cell>
          <cell r="R401">
            <v>3</v>
          </cell>
          <cell r="S401" t="str">
            <v>NULL</v>
          </cell>
          <cell r="T401" t="str">
            <v>normal</v>
          </cell>
          <cell r="U401" t="str">
            <v>NULL</v>
          </cell>
          <cell r="V401" t="str">
            <v>NULL</v>
          </cell>
          <cell r="W401" t="str">
            <v>NULL</v>
          </cell>
        </row>
        <row r="402">
          <cell r="A402">
            <v>401</v>
          </cell>
          <cell r="B402" t="str">
            <v>ja</v>
          </cell>
          <cell r="C402" t="str">
            <v>紅銀の孤狼 フェンリル</v>
          </cell>
          <cell r="D402" t="str">
            <v>ガチャ:魔獣シリーズ02</v>
          </cell>
          <cell r="E402" t="str">
            <v>執行者</v>
          </cell>
          <cell r="F402" t="str">
            <v>格好いい</v>
          </cell>
          <cell r="G402" t="str">
            <v>女性</v>
          </cell>
          <cell r="H402" t="str">
            <v>red</v>
          </cell>
          <cell r="I402">
            <v>4</v>
          </cell>
          <cell r="J402" t="str">
            <v>PremiumS</v>
          </cell>
          <cell r="K402" t="str">
            <v>attack</v>
          </cell>
          <cell r="L402" t="str">
            <v>攻撃タイプ</v>
          </cell>
          <cell r="M402" t="str">
            <v>animal</v>
          </cell>
          <cell r="N402" t="str">
            <v>アニマル</v>
          </cell>
          <cell r="O402" t="str">
            <v>none</v>
          </cell>
          <cell r="P402" t="str">
            <v>種族なし</v>
          </cell>
          <cell r="Q402" t="str">
            <v>アタッカー</v>
          </cell>
          <cell r="R402">
            <v>3</v>
          </cell>
          <cell r="S402" t="str">
            <v>NULL</v>
          </cell>
          <cell r="T402" t="str">
            <v>normal</v>
          </cell>
          <cell r="U402" t="str">
            <v>NULL</v>
          </cell>
          <cell r="V402" t="str">
            <v>NULL</v>
          </cell>
          <cell r="W402" t="str">
            <v>NULL</v>
          </cell>
        </row>
        <row r="403">
          <cell r="A403">
            <v>402</v>
          </cell>
          <cell r="B403" t="str">
            <v>ja</v>
          </cell>
          <cell r="C403" t="str">
            <v>天災の神狼 フェンリル</v>
          </cell>
          <cell r="D403" t="str">
            <v>ガチャ:魔獣シリーズ02</v>
          </cell>
          <cell r="E403" t="str">
            <v>執行者</v>
          </cell>
          <cell r="F403" t="str">
            <v>格好いい</v>
          </cell>
          <cell r="G403" t="str">
            <v>女性</v>
          </cell>
          <cell r="H403" t="str">
            <v>red</v>
          </cell>
          <cell r="I403">
            <v>5</v>
          </cell>
          <cell r="J403" t="str">
            <v>PremiumS</v>
          </cell>
          <cell r="K403" t="str">
            <v>attack</v>
          </cell>
          <cell r="L403" t="str">
            <v>攻撃タイプ</v>
          </cell>
          <cell r="M403" t="str">
            <v>animal</v>
          </cell>
          <cell r="N403" t="str">
            <v>アニマル</v>
          </cell>
          <cell r="O403" t="str">
            <v>none</v>
          </cell>
          <cell r="P403" t="str">
            <v>種族なし</v>
          </cell>
          <cell r="Q403" t="str">
            <v>アタッカー</v>
          </cell>
          <cell r="R403">
            <v>3</v>
          </cell>
          <cell r="S403" t="str">
            <v>NULL</v>
          </cell>
          <cell r="T403" t="str">
            <v>normal</v>
          </cell>
          <cell r="U403" t="str">
            <v>NULL</v>
          </cell>
          <cell r="V403" t="str">
            <v>NULL</v>
          </cell>
          <cell r="W403" t="str">
            <v>NULL</v>
          </cell>
        </row>
        <row r="404">
          <cell r="A404">
            <v>403</v>
          </cell>
          <cell r="B404" t="str">
            <v>ja</v>
          </cell>
          <cell r="C404" t="str">
            <v>静撃の翠眼 八咫烏</v>
          </cell>
          <cell r="D404" t="str">
            <v>ガチャ:魔獣シリーズ02</v>
          </cell>
          <cell r="E404" t="str">
            <v>執行者</v>
          </cell>
          <cell r="F404" t="str">
            <v>格好いい</v>
          </cell>
          <cell r="G404" t="str">
            <v>女性</v>
          </cell>
          <cell r="H404" t="str">
            <v>green</v>
          </cell>
          <cell r="I404">
            <v>4</v>
          </cell>
          <cell r="J404" t="str">
            <v>PremiumSS</v>
          </cell>
          <cell r="K404" t="str">
            <v>balance</v>
          </cell>
          <cell r="L404" t="str">
            <v>バランスタイプ</v>
          </cell>
          <cell r="M404" t="str">
            <v>animal</v>
          </cell>
          <cell r="N404" t="str">
            <v>アニマル</v>
          </cell>
          <cell r="O404" t="str">
            <v>none</v>
          </cell>
          <cell r="P404" t="str">
            <v>種族なし</v>
          </cell>
          <cell r="Q404" t="str">
            <v>アタッカー</v>
          </cell>
          <cell r="R404">
            <v>3</v>
          </cell>
          <cell r="S404" t="str">
            <v>NULL</v>
          </cell>
          <cell r="T404" t="str">
            <v>normal</v>
          </cell>
          <cell r="U404" t="str">
            <v>NULL</v>
          </cell>
          <cell r="V404" t="str">
            <v>NULL</v>
          </cell>
          <cell r="W404" t="str">
            <v>NULL</v>
          </cell>
        </row>
        <row r="405">
          <cell r="A405">
            <v>404</v>
          </cell>
          <cell r="B405" t="str">
            <v>ja</v>
          </cell>
          <cell r="C405" t="str">
            <v>空襲の神眼 八咫烏</v>
          </cell>
          <cell r="D405" t="str">
            <v>ガチャ:魔獣シリーズ02</v>
          </cell>
          <cell r="E405" t="str">
            <v>執行者</v>
          </cell>
          <cell r="F405" t="str">
            <v>格好いい</v>
          </cell>
          <cell r="G405" t="str">
            <v>女性</v>
          </cell>
          <cell r="H405" t="str">
            <v>green</v>
          </cell>
          <cell r="I405">
            <v>5</v>
          </cell>
          <cell r="J405" t="str">
            <v>PremiumSS</v>
          </cell>
          <cell r="K405" t="str">
            <v>balance</v>
          </cell>
          <cell r="L405" t="str">
            <v>バランスタイプ</v>
          </cell>
          <cell r="M405" t="str">
            <v>animal</v>
          </cell>
          <cell r="N405" t="str">
            <v>アニマル</v>
          </cell>
          <cell r="O405" t="str">
            <v>none</v>
          </cell>
          <cell r="P405" t="str">
            <v>種族なし</v>
          </cell>
          <cell r="Q405" t="str">
            <v>アタッカー</v>
          </cell>
          <cell r="R405">
            <v>3</v>
          </cell>
          <cell r="S405" t="str">
            <v>NULL</v>
          </cell>
          <cell r="T405" t="str">
            <v>normal</v>
          </cell>
          <cell r="U405" t="str">
            <v>NULL</v>
          </cell>
          <cell r="V405" t="str">
            <v>NULL</v>
          </cell>
          <cell r="W405" t="str">
            <v>NULL</v>
          </cell>
        </row>
        <row r="406">
          <cell r="A406">
            <v>405</v>
          </cell>
          <cell r="B406" t="str">
            <v>ja</v>
          </cell>
          <cell r="C406" t="str">
            <v>エキドナ</v>
          </cell>
          <cell r="D406" t="str">
            <v>ガチャ:魔獣シリーズ02</v>
          </cell>
          <cell r="E406" t="str">
            <v>執行者</v>
          </cell>
          <cell r="F406" t="str">
            <v>格好いい</v>
          </cell>
          <cell r="G406" t="str">
            <v>女性</v>
          </cell>
          <cell r="H406" t="str">
            <v>blue</v>
          </cell>
          <cell r="I406">
            <v>3</v>
          </cell>
          <cell r="J406" t="str">
            <v>PremiumS</v>
          </cell>
          <cell r="K406" t="str">
            <v>technical</v>
          </cell>
          <cell r="L406" t="str">
            <v>テクニカルタイプ</v>
          </cell>
          <cell r="M406" t="str">
            <v>animal</v>
          </cell>
          <cell r="N406" t="str">
            <v>アニマル</v>
          </cell>
          <cell r="O406" t="str">
            <v>none</v>
          </cell>
          <cell r="P406" t="str">
            <v>種族なし</v>
          </cell>
          <cell r="Q406" t="str">
            <v>アタッカー</v>
          </cell>
          <cell r="R406">
            <v>3</v>
          </cell>
          <cell r="S406" t="str">
            <v>NULL</v>
          </cell>
          <cell r="T406" t="str">
            <v>normal</v>
          </cell>
          <cell r="U406" t="str">
            <v>NULL</v>
          </cell>
          <cell r="V406" t="str">
            <v>NULL</v>
          </cell>
          <cell r="W406" t="str">
            <v>NULL</v>
          </cell>
        </row>
        <row r="407">
          <cell r="A407">
            <v>406</v>
          </cell>
          <cell r="B407" t="str">
            <v>ja</v>
          </cell>
          <cell r="C407" t="str">
            <v>美笑の蒼蛇 エキドナ</v>
          </cell>
          <cell r="D407" t="str">
            <v>ガチャ:魔獣シリーズ02</v>
          </cell>
          <cell r="E407" t="str">
            <v>執行者</v>
          </cell>
          <cell r="F407" t="str">
            <v>格好いい</v>
          </cell>
          <cell r="G407" t="str">
            <v>女性</v>
          </cell>
          <cell r="H407" t="str">
            <v>blue</v>
          </cell>
          <cell r="I407">
            <v>4</v>
          </cell>
          <cell r="J407" t="str">
            <v>PremiumS</v>
          </cell>
          <cell r="K407" t="str">
            <v>technical</v>
          </cell>
          <cell r="L407" t="str">
            <v>テクニカルタイプ</v>
          </cell>
          <cell r="M407" t="str">
            <v>animal</v>
          </cell>
          <cell r="N407" t="str">
            <v>アニマル</v>
          </cell>
          <cell r="O407" t="str">
            <v>none</v>
          </cell>
          <cell r="P407" t="str">
            <v>種族なし</v>
          </cell>
          <cell r="Q407" t="str">
            <v>アタッカー</v>
          </cell>
          <cell r="R407">
            <v>3</v>
          </cell>
          <cell r="S407" t="str">
            <v>NULL</v>
          </cell>
          <cell r="T407" t="str">
            <v>normal</v>
          </cell>
          <cell r="U407" t="str">
            <v>NULL</v>
          </cell>
          <cell r="V407" t="str">
            <v>NULL</v>
          </cell>
          <cell r="W407" t="str">
            <v>NULL</v>
          </cell>
        </row>
        <row r="408">
          <cell r="A408">
            <v>407</v>
          </cell>
          <cell r="B408" t="str">
            <v>ja</v>
          </cell>
          <cell r="C408" t="str">
            <v>蠱惑の飛刀 エキドナ</v>
          </cell>
          <cell r="D408" t="str">
            <v>ガチャ:魔獣シリーズ02</v>
          </cell>
          <cell r="E408" t="str">
            <v>執行者</v>
          </cell>
          <cell r="F408" t="str">
            <v>格好いい</v>
          </cell>
          <cell r="G408" t="str">
            <v>女性</v>
          </cell>
          <cell r="H408" t="str">
            <v>blue</v>
          </cell>
          <cell r="I408">
            <v>5</v>
          </cell>
          <cell r="J408" t="str">
            <v>PremiumS</v>
          </cell>
          <cell r="K408" t="str">
            <v>technical</v>
          </cell>
          <cell r="L408" t="str">
            <v>テクニカルタイプ</v>
          </cell>
          <cell r="M408" t="str">
            <v>animal</v>
          </cell>
          <cell r="N408" t="str">
            <v>アニマル</v>
          </cell>
          <cell r="O408" t="str">
            <v>none</v>
          </cell>
          <cell r="P408" t="str">
            <v>種族なし</v>
          </cell>
          <cell r="Q408" t="str">
            <v>アタッカー</v>
          </cell>
          <cell r="R408">
            <v>3</v>
          </cell>
          <cell r="S408" t="str">
            <v>NULL</v>
          </cell>
          <cell r="T408" t="str">
            <v>normal</v>
          </cell>
          <cell r="U408" t="str">
            <v>NULL</v>
          </cell>
          <cell r="V408" t="str">
            <v>NULL</v>
          </cell>
          <cell r="W408" t="str">
            <v>NULL</v>
          </cell>
        </row>
        <row r="409">
          <cell r="A409">
            <v>408</v>
          </cell>
          <cell r="B409" t="str">
            <v>ja</v>
          </cell>
          <cell r="C409" t="str">
            <v>皇魔 アスタロト</v>
          </cell>
          <cell r="D409" t="str">
            <v>ガチャ:魔獣シリーズ02</v>
          </cell>
          <cell r="E409" t="str">
            <v>執行者</v>
          </cell>
          <cell r="F409" t="str">
            <v>格好いい</v>
          </cell>
          <cell r="G409" t="str">
            <v>男性</v>
          </cell>
          <cell r="H409" t="str">
            <v>yellow</v>
          </cell>
          <cell r="I409">
            <v>4</v>
          </cell>
          <cell r="J409" t="str">
            <v>PremiumSS</v>
          </cell>
          <cell r="K409" t="str">
            <v>attack</v>
          </cell>
          <cell r="L409" t="str">
            <v>攻撃タイプ</v>
          </cell>
          <cell r="M409" t="str">
            <v>god</v>
          </cell>
          <cell r="N409" t="str">
            <v>ゴッド</v>
          </cell>
          <cell r="O409" t="str">
            <v>none</v>
          </cell>
          <cell r="P409" t="str">
            <v>種族なし</v>
          </cell>
          <cell r="Q409" t="str">
            <v>アタッカー</v>
          </cell>
          <cell r="R409">
            <v>3</v>
          </cell>
          <cell r="S409" t="str">
            <v>NULL</v>
          </cell>
          <cell r="T409" t="str">
            <v>normal</v>
          </cell>
          <cell r="U409" t="str">
            <v>NULL</v>
          </cell>
          <cell r="V409" t="str">
            <v>NULL</v>
          </cell>
          <cell r="W409" t="str">
            <v>NULL</v>
          </cell>
        </row>
        <row r="410">
          <cell r="A410">
            <v>409</v>
          </cell>
          <cell r="B410" t="str">
            <v>ja</v>
          </cell>
          <cell r="C410" t="str">
            <v>天眼の皇貴魔 アスタロト</v>
          </cell>
          <cell r="D410" t="str">
            <v>ガチャ:魔獣シリーズ02</v>
          </cell>
          <cell r="E410" t="str">
            <v>執行者</v>
          </cell>
          <cell r="F410" t="str">
            <v>格好いい</v>
          </cell>
          <cell r="G410" t="str">
            <v>男性</v>
          </cell>
          <cell r="H410" t="str">
            <v>yellow</v>
          </cell>
          <cell r="I410">
            <v>5</v>
          </cell>
          <cell r="J410" t="str">
            <v>PremiumSS</v>
          </cell>
          <cell r="K410" t="str">
            <v>attack</v>
          </cell>
          <cell r="L410" t="str">
            <v>攻撃タイプ</v>
          </cell>
          <cell r="M410" t="str">
            <v>god</v>
          </cell>
          <cell r="N410" t="str">
            <v>ゴッド</v>
          </cell>
          <cell r="O410" t="str">
            <v>none</v>
          </cell>
          <cell r="P410" t="str">
            <v>種族なし</v>
          </cell>
          <cell r="Q410" t="str">
            <v>アタッカー</v>
          </cell>
          <cell r="R410">
            <v>3</v>
          </cell>
          <cell r="S410" t="str">
            <v>NULL</v>
          </cell>
          <cell r="T410" t="str">
            <v>normal</v>
          </cell>
          <cell r="U410" t="str">
            <v>NULL</v>
          </cell>
          <cell r="V410" t="str">
            <v>NULL</v>
          </cell>
          <cell r="W410" t="str">
            <v>NULL</v>
          </cell>
        </row>
        <row r="411">
          <cell r="A411">
            <v>410</v>
          </cell>
          <cell r="B411" t="str">
            <v>ja</v>
          </cell>
          <cell r="C411" t="str">
            <v>ファラデー</v>
          </cell>
          <cell r="D411" t="str">
            <v>ガチャ:フィーバーフェス03</v>
          </cell>
          <cell r="E411" t="str">
            <v>執行者</v>
          </cell>
          <cell r="F411" t="str">
            <v>格好いい</v>
          </cell>
          <cell r="G411" t="str">
            <v>女性</v>
          </cell>
          <cell r="H411" t="str">
            <v>yellow</v>
          </cell>
          <cell r="I411">
            <v>4</v>
          </cell>
          <cell r="J411" t="str">
            <v>PremiumSSS</v>
          </cell>
          <cell r="K411" t="str">
            <v>balance</v>
          </cell>
          <cell r="L411" t="str">
            <v>バランスタイプ</v>
          </cell>
          <cell r="M411" t="str">
            <v>human</v>
          </cell>
          <cell r="N411" t="str">
            <v>ヒューマン</v>
          </cell>
          <cell r="O411" t="str">
            <v>none</v>
          </cell>
          <cell r="P411" t="str">
            <v>種族なし</v>
          </cell>
          <cell r="Q411" t="str">
            <v>アタッカー</v>
          </cell>
          <cell r="R411">
            <v>3</v>
          </cell>
          <cell r="S411" t="str">
            <v>NULL</v>
          </cell>
          <cell r="T411" t="str">
            <v>normal</v>
          </cell>
          <cell r="U411" t="str">
            <v>NULL</v>
          </cell>
          <cell r="V411" t="str">
            <v>NULL</v>
          </cell>
          <cell r="W411" t="str">
            <v>NULL</v>
          </cell>
        </row>
        <row r="412">
          <cell r="A412">
            <v>411</v>
          </cell>
          <cell r="B412" t="str">
            <v>ja</v>
          </cell>
          <cell r="C412" t="str">
            <v>電隷の始祖 ファラデー</v>
          </cell>
          <cell r="D412" t="str">
            <v>ガチャ:フィーバーフェス03</v>
          </cell>
          <cell r="E412" t="str">
            <v>執行者</v>
          </cell>
          <cell r="F412" t="str">
            <v>格好いい</v>
          </cell>
          <cell r="G412" t="str">
            <v>女性</v>
          </cell>
          <cell r="H412" t="str">
            <v>yellow</v>
          </cell>
          <cell r="I412">
            <v>5</v>
          </cell>
          <cell r="J412" t="str">
            <v>PremiumSSS</v>
          </cell>
          <cell r="K412" t="str">
            <v>balance</v>
          </cell>
          <cell r="L412" t="str">
            <v>バランスタイプ</v>
          </cell>
          <cell r="M412" t="str">
            <v>human</v>
          </cell>
          <cell r="N412" t="str">
            <v>ヒューマン</v>
          </cell>
          <cell r="O412" t="str">
            <v>none</v>
          </cell>
          <cell r="P412" t="str">
            <v>種族なし</v>
          </cell>
          <cell r="Q412" t="str">
            <v>アタッカー</v>
          </cell>
          <cell r="R412">
            <v>3</v>
          </cell>
          <cell r="S412" t="str">
            <v>NULL</v>
          </cell>
          <cell r="T412" t="str">
            <v>normal</v>
          </cell>
          <cell r="U412" t="str">
            <v>NULL</v>
          </cell>
          <cell r="V412" t="str">
            <v>NULL</v>
          </cell>
          <cell r="W412" t="str">
            <v>NULL</v>
          </cell>
        </row>
        <row r="413">
          <cell r="A413">
            <v>412</v>
          </cell>
          <cell r="B413" t="str">
            <v>ja</v>
          </cell>
          <cell r="C413" t="str">
            <v>コウネン</v>
          </cell>
          <cell r="D413" t="str">
            <v>ノーマルクエスト</v>
          </cell>
          <cell r="E413" t="str">
            <v>執行者</v>
          </cell>
          <cell r="F413" t="str">
            <v>格好いい</v>
          </cell>
          <cell r="G413" t="str">
            <v>不明</v>
          </cell>
          <cell r="H413" t="str">
            <v>yellow</v>
          </cell>
          <cell r="I413">
            <v>2</v>
          </cell>
          <cell r="J413" t="str">
            <v>Drop1S</v>
          </cell>
          <cell r="K413" t="str">
            <v>heal</v>
          </cell>
          <cell r="L413" t="str">
            <v>回復タイプ</v>
          </cell>
          <cell r="M413" t="str">
            <v>unknown</v>
          </cell>
          <cell r="N413" t="str">
            <v>Unknown</v>
          </cell>
          <cell r="O413" t="str">
            <v>none</v>
          </cell>
          <cell r="P413" t="str">
            <v>種族なし</v>
          </cell>
          <cell r="Q413" t="str">
            <v>アタッカー</v>
          </cell>
          <cell r="R413">
            <v>3</v>
          </cell>
          <cell r="S413" t="str">
            <v>NULL</v>
          </cell>
          <cell r="T413" t="str">
            <v>normal</v>
          </cell>
          <cell r="U413" t="str">
            <v>NULL</v>
          </cell>
          <cell r="V413" t="str">
            <v>NULL</v>
          </cell>
          <cell r="W413" t="str">
            <v>NULL</v>
          </cell>
        </row>
        <row r="414">
          <cell r="A414">
            <v>413</v>
          </cell>
          <cell r="B414" t="str">
            <v>ja</v>
          </cell>
          <cell r="C414" t="str">
            <v>狂騒地蔵 コウネン</v>
          </cell>
          <cell r="D414" t="str">
            <v>ノーマルクエスト</v>
          </cell>
          <cell r="E414" t="str">
            <v>執行者</v>
          </cell>
          <cell r="F414" t="str">
            <v>格好いい</v>
          </cell>
          <cell r="G414" t="str">
            <v>不明</v>
          </cell>
          <cell r="H414" t="str">
            <v>yellow</v>
          </cell>
          <cell r="I414">
            <v>3</v>
          </cell>
          <cell r="J414" t="str">
            <v>Drop1S</v>
          </cell>
          <cell r="K414" t="str">
            <v>heal</v>
          </cell>
          <cell r="L414" t="str">
            <v>回復タイプ</v>
          </cell>
          <cell r="M414" t="str">
            <v>unknown</v>
          </cell>
          <cell r="N414" t="str">
            <v>Unknown</v>
          </cell>
          <cell r="O414" t="str">
            <v>none</v>
          </cell>
          <cell r="P414" t="str">
            <v>種族なし</v>
          </cell>
          <cell r="Q414" t="str">
            <v>アタッカー</v>
          </cell>
          <cell r="R414">
            <v>3</v>
          </cell>
          <cell r="S414" t="str">
            <v>NULL</v>
          </cell>
          <cell r="T414" t="str">
            <v>normal</v>
          </cell>
          <cell r="U414" t="str">
            <v>NULL</v>
          </cell>
          <cell r="V414" t="str">
            <v>NULL</v>
          </cell>
          <cell r="W414" t="str">
            <v>NULL</v>
          </cell>
        </row>
        <row r="415">
          <cell r="A415">
            <v>414</v>
          </cell>
          <cell r="B415" t="str">
            <v>ja</v>
          </cell>
          <cell r="C415" t="str">
            <v>炎のミリオンダック 2</v>
          </cell>
          <cell r="D415" t="str">
            <v>強化素材R6</v>
          </cell>
          <cell r="E415" t="str">
            <v>アリス</v>
          </cell>
          <cell r="F415" t="str">
            <v>世界観</v>
          </cell>
          <cell r="G415" t="str">
            <v>不明</v>
          </cell>
          <cell r="H415" t="str">
            <v>red</v>
          </cell>
          <cell r="I415">
            <v>6</v>
          </cell>
          <cell r="J415" t="str">
            <v>Material</v>
          </cell>
          <cell r="K415" t="str">
            <v>exp</v>
          </cell>
          <cell r="L415" t="str">
            <v>強化素材タイプ</v>
          </cell>
          <cell r="M415" t="str">
            <v>unknown</v>
          </cell>
          <cell r="N415" t="str">
            <v>Unknown</v>
          </cell>
          <cell r="O415" t="str">
            <v>none</v>
          </cell>
          <cell r="P415" t="str">
            <v>種族なし</v>
          </cell>
          <cell r="Q415" t="str">
            <v>強化素材</v>
          </cell>
          <cell r="R415">
            <v>3</v>
          </cell>
          <cell r="S415" t="str">
            <v>NULL</v>
          </cell>
          <cell r="T415" t="str">
            <v>normal</v>
          </cell>
          <cell r="U415" t="str">
            <v>NULL</v>
          </cell>
          <cell r="V415" t="str">
            <v>NULL</v>
          </cell>
          <cell r="W415" t="str">
            <v>NULL</v>
          </cell>
        </row>
        <row r="416">
          <cell r="A416">
            <v>415</v>
          </cell>
          <cell r="B416" t="str">
            <v>ja</v>
          </cell>
          <cell r="C416" t="str">
            <v>森のミリオンダック 2</v>
          </cell>
          <cell r="D416" t="str">
            <v>強化素材R6</v>
          </cell>
          <cell r="E416" t="str">
            <v>アリス</v>
          </cell>
          <cell r="F416" t="str">
            <v>世界観</v>
          </cell>
          <cell r="G416" t="str">
            <v>不明</v>
          </cell>
          <cell r="H416" t="str">
            <v>green</v>
          </cell>
          <cell r="I416">
            <v>6</v>
          </cell>
          <cell r="J416" t="str">
            <v>Material</v>
          </cell>
          <cell r="K416" t="str">
            <v>exp</v>
          </cell>
          <cell r="L416" t="str">
            <v>強化素材タイプ</v>
          </cell>
          <cell r="M416" t="str">
            <v>unknown</v>
          </cell>
          <cell r="N416" t="str">
            <v>Unknown</v>
          </cell>
          <cell r="O416" t="str">
            <v>none</v>
          </cell>
          <cell r="P416" t="str">
            <v>種族なし</v>
          </cell>
          <cell r="Q416" t="str">
            <v>強化素材</v>
          </cell>
          <cell r="R416">
            <v>3</v>
          </cell>
          <cell r="S416" t="str">
            <v>NULL</v>
          </cell>
          <cell r="T416" t="str">
            <v>normal</v>
          </cell>
          <cell r="U416" t="str">
            <v>NULL</v>
          </cell>
          <cell r="V416" t="str">
            <v>NULL</v>
          </cell>
          <cell r="W416" t="str">
            <v>NULL</v>
          </cell>
        </row>
        <row r="417">
          <cell r="A417">
            <v>416</v>
          </cell>
          <cell r="B417" t="str">
            <v>ja</v>
          </cell>
          <cell r="C417" t="str">
            <v>水のミリオンダック 2</v>
          </cell>
          <cell r="D417" t="str">
            <v>強化素材R6</v>
          </cell>
          <cell r="E417" t="str">
            <v>アリス</v>
          </cell>
          <cell r="F417" t="str">
            <v>世界観</v>
          </cell>
          <cell r="G417" t="str">
            <v>不明</v>
          </cell>
          <cell r="H417" t="str">
            <v>blue</v>
          </cell>
          <cell r="I417">
            <v>6</v>
          </cell>
          <cell r="J417" t="str">
            <v>Material</v>
          </cell>
          <cell r="K417" t="str">
            <v>exp</v>
          </cell>
          <cell r="L417" t="str">
            <v>強化素材タイプ</v>
          </cell>
          <cell r="M417" t="str">
            <v>unknown</v>
          </cell>
          <cell r="N417" t="str">
            <v>Unknown</v>
          </cell>
          <cell r="O417" t="str">
            <v>none</v>
          </cell>
          <cell r="P417" t="str">
            <v>種族なし</v>
          </cell>
          <cell r="Q417" t="str">
            <v>強化素材</v>
          </cell>
          <cell r="R417">
            <v>3</v>
          </cell>
          <cell r="S417" t="str">
            <v>NULL</v>
          </cell>
          <cell r="T417" t="str">
            <v>normal</v>
          </cell>
          <cell r="U417" t="str">
            <v>NULL</v>
          </cell>
          <cell r="V417" t="str">
            <v>NULL</v>
          </cell>
          <cell r="W417" t="str">
            <v>NULL</v>
          </cell>
        </row>
        <row r="418">
          <cell r="A418">
            <v>417</v>
          </cell>
          <cell r="B418" t="str">
            <v>ja</v>
          </cell>
          <cell r="C418" t="str">
            <v>雷のミリオンダック 2</v>
          </cell>
          <cell r="D418" t="str">
            <v>強化素材R6</v>
          </cell>
          <cell r="E418" t="str">
            <v>アリス</v>
          </cell>
          <cell r="F418" t="str">
            <v>世界観</v>
          </cell>
          <cell r="G418" t="str">
            <v>不明</v>
          </cell>
          <cell r="H418" t="str">
            <v>yellow</v>
          </cell>
          <cell r="I418">
            <v>6</v>
          </cell>
          <cell r="J418" t="str">
            <v>Material</v>
          </cell>
          <cell r="K418" t="str">
            <v>exp</v>
          </cell>
          <cell r="L418" t="str">
            <v>強化素材タイプ</v>
          </cell>
          <cell r="M418" t="str">
            <v>unknown</v>
          </cell>
          <cell r="N418" t="str">
            <v>Unknown</v>
          </cell>
          <cell r="O418" t="str">
            <v>none</v>
          </cell>
          <cell r="P418" t="str">
            <v>種族なし</v>
          </cell>
          <cell r="Q418" t="str">
            <v>強化素材</v>
          </cell>
          <cell r="R418">
            <v>3</v>
          </cell>
          <cell r="S418" t="str">
            <v>NULL</v>
          </cell>
          <cell r="T418" t="str">
            <v>normal</v>
          </cell>
          <cell r="U418" t="str">
            <v>NULL</v>
          </cell>
          <cell r="V418" t="str">
            <v>NULL</v>
          </cell>
          <cell r="W418" t="str">
            <v>NULL</v>
          </cell>
        </row>
        <row r="419">
          <cell r="A419">
            <v>418</v>
          </cell>
          <cell r="B419" t="str">
            <v>ja</v>
          </cell>
          <cell r="C419" t="str">
            <v>ウラシマ</v>
          </cell>
          <cell r="D419" t="str">
            <v>イベント:アリスの絵本02</v>
          </cell>
          <cell r="E419" t="str">
            <v>執行者</v>
          </cell>
          <cell r="F419" t="str">
            <v>格好いい</v>
          </cell>
          <cell r="G419" t="str">
            <v>男性</v>
          </cell>
          <cell r="H419" t="str">
            <v>red</v>
          </cell>
          <cell r="I419">
            <v>4</v>
          </cell>
          <cell r="J419" t="str">
            <v>Drop2N</v>
          </cell>
          <cell r="K419" t="str">
            <v>hp</v>
          </cell>
          <cell r="L419" t="str">
            <v>体力タイプ</v>
          </cell>
          <cell r="M419" t="str">
            <v>human</v>
          </cell>
          <cell r="N419" t="str">
            <v>ヒューマン</v>
          </cell>
          <cell r="O419" t="str">
            <v>none</v>
          </cell>
          <cell r="P419" t="str">
            <v>種族なし</v>
          </cell>
          <cell r="Q419" t="str">
            <v>アタッカー</v>
          </cell>
          <cell r="R419">
            <v>3</v>
          </cell>
          <cell r="S419" t="str">
            <v>NULL</v>
          </cell>
          <cell r="T419" t="str">
            <v>normal</v>
          </cell>
          <cell r="U419" t="str">
            <v>NULL</v>
          </cell>
          <cell r="V419" t="str">
            <v>NULL</v>
          </cell>
          <cell r="W419" t="str">
            <v>NULL</v>
          </cell>
        </row>
        <row r="420">
          <cell r="A420">
            <v>419</v>
          </cell>
          <cell r="B420" t="str">
            <v>ja</v>
          </cell>
          <cell r="C420" t="str">
            <v>宣戦の解城 ウラシマ</v>
          </cell>
          <cell r="D420" t="str">
            <v>イベント:アリスの絵本02</v>
          </cell>
          <cell r="E420" t="str">
            <v>執行者</v>
          </cell>
          <cell r="F420" t="str">
            <v>格好いい</v>
          </cell>
          <cell r="G420" t="str">
            <v>男性</v>
          </cell>
          <cell r="H420" t="str">
            <v>red</v>
          </cell>
          <cell r="I420">
            <v>5</v>
          </cell>
          <cell r="J420" t="str">
            <v>Drop2N</v>
          </cell>
          <cell r="K420" t="str">
            <v>hp</v>
          </cell>
          <cell r="L420" t="str">
            <v>体力タイプ</v>
          </cell>
          <cell r="M420" t="str">
            <v>human</v>
          </cell>
          <cell r="N420" t="str">
            <v>ヒューマン</v>
          </cell>
          <cell r="O420" t="str">
            <v>none</v>
          </cell>
          <cell r="P420" t="str">
            <v>種族なし</v>
          </cell>
          <cell r="Q420" t="str">
            <v>アタッカー</v>
          </cell>
          <cell r="R420">
            <v>3</v>
          </cell>
          <cell r="S420" t="str">
            <v>NULL</v>
          </cell>
          <cell r="T420" t="str">
            <v>normal</v>
          </cell>
          <cell r="U420" t="str">
            <v>NULL</v>
          </cell>
          <cell r="V420" t="str">
            <v>NULL</v>
          </cell>
          <cell r="W420" t="str">
            <v>NULL</v>
          </cell>
        </row>
        <row r="421">
          <cell r="A421">
            <v>420</v>
          </cell>
          <cell r="B421" t="str">
            <v>ja</v>
          </cell>
          <cell r="C421" t="str">
            <v>カエデ</v>
          </cell>
          <cell r="D421" t="str">
            <v>イベント:アリスの絵本02</v>
          </cell>
          <cell r="E421" t="str">
            <v>執行者</v>
          </cell>
          <cell r="F421" t="str">
            <v>格好いい</v>
          </cell>
          <cell r="G421" t="str">
            <v>男性</v>
          </cell>
          <cell r="H421" t="str">
            <v>green</v>
          </cell>
          <cell r="I421">
            <v>4</v>
          </cell>
          <cell r="J421" t="str">
            <v>Drop2N</v>
          </cell>
          <cell r="K421" t="str">
            <v>heal</v>
          </cell>
          <cell r="L421" t="str">
            <v>回復タイプ</v>
          </cell>
          <cell r="M421" t="str">
            <v>human</v>
          </cell>
          <cell r="N421" t="str">
            <v>ヒューマン</v>
          </cell>
          <cell r="O421" t="str">
            <v>none</v>
          </cell>
          <cell r="P421" t="str">
            <v>種族なし</v>
          </cell>
          <cell r="Q421" t="str">
            <v>アタッカー</v>
          </cell>
          <cell r="R421">
            <v>3</v>
          </cell>
          <cell r="S421" t="str">
            <v>NULL</v>
          </cell>
          <cell r="T421" t="str">
            <v>normal</v>
          </cell>
          <cell r="U421" t="str">
            <v>NULL</v>
          </cell>
          <cell r="V421" t="str">
            <v>NULL</v>
          </cell>
          <cell r="W421" t="str">
            <v>NULL</v>
          </cell>
        </row>
        <row r="422">
          <cell r="A422">
            <v>421</v>
          </cell>
          <cell r="B422" t="str">
            <v>ja</v>
          </cell>
          <cell r="C422" t="str">
            <v>反親の彩壁 カエデ</v>
          </cell>
          <cell r="D422" t="str">
            <v>イベント:アリスの絵本02</v>
          </cell>
          <cell r="E422" t="str">
            <v>執行者</v>
          </cell>
          <cell r="F422" t="str">
            <v>格好いい</v>
          </cell>
          <cell r="G422" t="str">
            <v>男性</v>
          </cell>
          <cell r="H422" t="str">
            <v>green</v>
          </cell>
          <cell r="I422">
            <v>5</v>
          </cell>
          <cell r="J422" t="str">
            <v>Drop2N</v>
          </cell>
          <cell r="K422" t="str">
            <v>heal</v>
          </cell>
          <cell r="L422" t="str">
            <v>回復タイプ</v>
          </cell>
          <cell r="M422" t="str">
            <v>human</v>
          </cell>
          <cell r="N422" t="str">
            <v>ヒューマン</v>
          </cell>
          <cell r="O422" t="str">
            <v>none</v>
          </cell>
          <cell r="P422" t="str">
            <v>種族なし</v>
          </cell>
          <cell r="Q422" t="str">
            <v>アタッカー</v>
          </cell>
          <cell r="R422">
            <v>3</v>
          </cell>
          <cell r="S422" t="str">
            <v>NULL</v>
          </cell>
          <cell r="T422" t="str">
            <v>normal</v>
          </cell>
          <cell r="U422" t="str">
            <v>NULL</v>
          </cell>
          <cell r="V422" t="str">
            <v>NULL</v>
          </cell>
          <cell r="W422" t="str">
            <v>NULL</v>
          </cell>
        </row>
        <row r="423">
          <cell r="A423">
            <v>422</v>
          </cell>
          <cell r="B423" t="str">
            <v>ja</v>
          </cell>
          <cell r="C423" t="str">
            <v>シュガフル</v>
          </cell>
          <cell r="D423" t="str">
            <v>イベント:アリスの絵本02</v>
          </cell>
          <cell r="E423" t="str">
            <v>執行者</v>
          </cell>
          <cell r="F423" t="str">
            <v>格好いい</v>
          </cell>
          <cell r="G423" t="str">
            <v>女性</v>
          </cell>
          <cell r="H423" t="str">
            <v>blue</v>
          </cell>
          <cell r="I423">
            <v>4</v>
          </cell>
          <cell r="J423" t="str">
            <v>Drop2N</v>
          </cell>
          <cell r="K423" t="str">
            <v>balance</v>
          </cell>
          <cell r="L423" t="str">
            <v>バランスタイプ</v>
          </cell>
          <cell r="M423" t="str">
            <v>human</v>
          </cell>
          <cell r="N423" t="str">
            <v>ヒューマン</v>
          </cell>
          <cell r="O423" t="str">
            <v>none</v>
          </cell>
          <cell r="P423" t="str">
            <v>種族なし</v>
          </cell>
          <cell r="Q423" t="str">
            <v>アタッカー</v>
          </cell>
          <cell r="R423">
            <v>3</v>
          </cell>
          <cell r="S423" t="str">
            <v>NULL</v>
          </cell>
          <cell r="T423" t="str">
            <v>normal</v>
          </cell>
          <cell r="U423" t="str">
            <v>NULL</v>
          </cell>
          <cell r="V423" t="str">
            <v>NULL</v>
          </cell>
          <cell r="W423" t="str">
            <v>NULL</v>
          </cell>
        </row>
        <row r="424">
          <cell r="A424">
            <v>423</v>
          </cell>
          <cell r="B424" t="str">
            <v>ja</v>
          </cell>
          <cell r="C424" t="str">
            <v>甘罠の魔女 シュガフル</v>
          </cell>
          <cell r="D424" t="str">
            <v>イベント:アリスの絵本02</v>
          </cell>
          <cell r="E424" t="str">
            <v>執行者</v>
          </cell>
          <cell r="F424" t="str">
            <v>格好いい</v>
          </cell>
          <cell r="G424" t="str">
            <v>女性</v>
          </cell>
          <cell r="H424" t="str">
            <v>blue</v>
          </cell>
          <cell r="I424">
            <v>5</v>
          </cell>
          <cell r="J424" t="str">
            <v>Drop2N</v>
          </cell>
          <cell r="K424" t="str">
            <v>balance</v>
          </cell>
          <cell r="L424" t="str">
            <v>バランスタイプ</v>
          </cell>
          <cell r="M424" t="str">
            <v>human</v>
          </cell>
          <cell r="N424" t="str">
            <v>ヒューマン</v>
          </cell>
          <cell r="O424" t="str">
            <v>none</v>
          </cell>
          <cell r="P424" t="str">
            <v>種族なし</v>
          </cell>
          <cell r="Q424" t="str">
            <v>アタッカー</v>
          </cell>
          <cell r="R424">
            <v>3</v>
          </cell>
          <cell r="S424" t="str">
            <v>NULL</v>
          </cell>
          <cell r="T424" t="str">
            <v>normal</v>
          </cell>
          <cell r="U424" t="str">
            <v>NULL</v>
          </cell>
          <cell r="V424" t="str">
            <v>NULL</v>
          </cell>
          <cell r="W424" t="str">
            <v>NULL</v>
          </cell>
        </row>
        <row r="425">
          <cell r="A425">
            <v>424</v>
          </cell>
          <cell r="B425" t="str">
            <v>ja</v>
          </cell>
          <cell r="C425" t="str">
            <v>フック</v>
          </cell>
          <cell r="D425" t="str">
            <v>イベント:アリスの絵本02</v>
          </cell>
          <cell r="E425" t="str">
            <v>執行者</v>
          </cell>
          <cell r="F425" t="str">
            <v>格好いい</v>
          </cell>
          <cell r="G425" t="str">
            <v>女性</v>
          </cell>
          <cell r="H425" t="str">
            <v>yellow</v>
          </cell>
          <cell r="I425">
            <v>4</v>
          </cell>
          <cell r="J425" t="str">
            <v>Drop2N</v>
          </cell>
          <cell r="K425" t="str">
            <v>attack</v>
          </cell>
          <cell r="L425" t="str">
            <v>攻撃タイプ</v>
          </cell>
          <cell r="M425" t="str">
            <v>human</v>
          </cell>
          <cell r="N425" t="str">
            <v>ヒューマン</v>
          </cell>
          <cell r="O425" t="str">
            <v>none</v>
          </cell>
          <cell r="P425" t="str">
            <v>種族なし</v>
          </cell>
          <cell r="Q425" t="str">
            <v>アタッカー</v>
          </cell>
          <cell r="R425">
            <v>3</v>
          </cell>
          <cell r="S425" t="str">
            <v>NULL</v>
          </cell>
          <cell r="T425" t="str">
            <v>normal</v>
          </cell>
          <cell r="U425" t="str">
            <v>NULL</v>
          </cell>
          <cell r="V425" t="str">
            <v>NULL</v>
          </cell>
          <cell r="W425" t="str">
            <v>NULL</v>
          </cell>
        </row>
        <row r="426">
          <cell r="A426">
            <v>425</v>
          </cell>
          <cell r="B426" t="str">
            <v>ja</v>
          </cell>
          <cell r="C426" t="str">
            <v>怒髪の海賊 フック</v>
          </cell>
          <cell r="D426" t="str">
            <v>イベント:アリスの絵本02</v>
          </cell>
          <cell r="E426" t="str">
            <v>執行者</v>
          </cell>
          <cell r="F426" t="str">
            <v>格好いい</v>
          </cell>
          <cell r="G426" t="str">
            <v>女性</v>
          </cell>
          <cell r="H426" t="str">
            <v>yellow</v>
          </cell>
          <cell r="I426">
            <v>5</v>
          </cell>
          <cell r="J426" t="str">
            <v>Drop2N</v>
          </cell>
          <cell r="K426" t="str">
            <v>attack</v>
          </cell>
          <cell r="L426" t="str">
            <v>攻撃タイプ</v>
          </cell>
          <cell r="M426" t="str">
            <v>human</v>
          </cell>
          <cell r="N426" t="str">
            <v>ヒューマン</v>
          </cell>
          <cell r="O426" t="str">
            <v>none</v>
          </cell>
          <cell r="P426" t="str">
            <v>種族なし</v>
          </cell>
          <cell r="Q426" t="str">
            <v>アタッカー</v>
          </cell>
          <cell r="R426">
            <v>3</v>
          </cell>
          <cell r="S426" t="str">
            <v>NULL</v>
          </cell>
          <cell r="T426" t="str">
            <v>normal</v>
          </cell>
          <cell r="U426" t="str">
            <v>NULL</v>
          </cell>
          <cell r="V426" t="str">
            <v>NULL</v>
          </cell>
          <cell r="W426" t="str">
            <v>NULL</v>
          </cell>
        </row>
        <row r="427">
          <cell r="A427">
            <v>426</v>
          </cell>
          <cell r="B427" t="str">
            <v>ja</v>
          </cell>
          <cell r="C427" t="str">
            <v>宮本武蔵</v>
          </cell>
          <cell r="D427" t="str">
            <v>イベント:ウィザード</v>
          </cell>
          <cell r="E427" t="str">
            <v>執行者</v>
          </cell>
          <cell r="F427" t="str">
            <v>格好いい</v>
          </cell>
          <cell r="G427" t="str">
            <v>男性</v>
          </cell>
          <cell r="H427" t="str">
            <v>yellow</v>
          </cell>
          <cell r="I427">
            <v>4</v>
          </cell>
          <cell r="J427" t="str">
            <v>DropWizS</v>
          </cell>
          <cell r="K427" t="str">
            <v>attack</v>
          </cell>
          <cell r="L427" t="str">
            <v>攻撃タイプ</v>
          </cell>
          <cell r="M427" t="str">
            <v>human</v>
          </cell>
          <cell r="N427" t="str">
            <v>ヒューマン</v>
          </cell>
          <cell r="O427" t="str">
            <v>none</v>
          </cell>
          <cell r="P427" t="str">
            <v>種族なし</v>
          </cell>
          <cell r="Q427" t="str">
            <v>アタッカー</v>
          </cell>
          <cell r="R427">
            <v>3</v>
          </cell>
          <cell r="S427" t="str">
            <v>NULL</v>
          </cell>
          <cell r="T427" t="str">
            <v>normal</v>
          </cell>
          <cell r="U427" t="str">
            <v>NULL</v>
          </cell>
          <cell r="V427" t="str">
            <v>NULL</v>
          </cell>
          <cell r="W427" t="str">
            <v>NULL</v>
          </cell>
        </row>
        <row r="428">
          <cell r="A428">
            <v>427</v>
          </cell>
          <cell r="B428" t="str">
            <v>ja</v>
          </cell>
          <cell r="C428" t="str">
            <v>極・剣豪 宮本武蔵</v>
          </cell>
          <cell r="D428" t="str">
            <v>イベント:ウィザード</v>
          </cell>
          <cell r="E428" t="str">
            <v>執行者</v>
          </cell>
          <cell r="F428" t="str">
            <v>格好いい</v>
          </cell>
          <cell r="G428" t="str">
            <v>男性</v>
          </cell>
          <cell r="H428" t="str">
            <v>yellow</v>
          </cell>
          <cell r="I428">
            <v>5</v>
          </cell>
          <cell r="J428" t="str">
            <v>DropWizS</v>
          </cell>
          <cell r="K428" t="str">
            <v>attack</v>
          </cell>
          <cell r="L428" t="str">
            <v>攻撃タイプ</v>
          </cell>
          <cell r="M428" t="str">
            <v>human</v>
          </cell>
          <cell r="N428" t="str">
            <v>ヒューマン</v>
          </cell>
          <cell r="O428" t="str">
            <v>none</v>
          </cell>
          <cell r="P428" t="str">
            <v>種族なし</v>
          </cell>
          <cell r="Q428" t="str">
            <v>アタッカー</v>
          </cell>
          <cell r="R428">
            <v>3</v>
          </cell>
          <cell r="S428" t="str">
            <v>NULL</v>
          </cell>
          <cell r="T428" t="str">
            <v>normal</v>
          </cell>
          <cell r="U428" t="str">
            <v>NULL</v>
          </cell>
          <cell r="V428" t="str">
            <v>NULL</v>
          </cell>
          <cell r="W428" t="str">
            <v>NULL</v>
          </cell>
        </row>
        <row r="429">
          <cell r="A429">
            <v>428</v>
          </cell>
          <cell r="B429" t="str">
            <v>ja</v>
          </cell>
          <cell r="C429" t="str">
            <v>レッドダムディ</v>
          </cell>
          <cell r="D429" t="str">
            <v>未定</v>
          </cell>
          <cell r="E429" t="str">
            <v>執行者</v>
          </cell>
          <cell r="F429" t="str">
            <v>格好いい</v>
          </cell>
          <cell r="G429" t="str">
            <v>不明</v>
          </cell>
          <cell r="H429" t="str">
            <v>red</v>
          </cell>
          <cell r="I429">
            <v>5</v>
          </cell>
          <cell r="J429" t="str">
            <v>Material</v>
          </cell>
          <cell r="K429" t="str">
            <v>evolution</v>
          </cell>
          <cell r="L429" t="str">
            <v>覚醒素材タイプ</v>
          </cell>
          <cell r="M429" t="str">
            <v>unknown</v>
          </cell>
          <cell r="N429" t="str">
            <v>Unknown</v>
          </cell>
          <cell r="O429" t="str">
            <v>none</v>
          </cell>
          <cell r="P429" t="str">
            <v>種族なし</v>
          </cell>
          <cell r="Q429" t="str">
            <v>アタッカー</v>
          </cell>
          <cell r="R429">
            <v>1</v>
          </cell>
          <cell r="S429" t="str">
            <v>NULL</v>
          </cell>
          <cell r="T429" t="str">
            <v>normal</v>
          </cell>
          <cell r="U429" t="str">
            <v>NULL</v>
          </cell>
          <cell r="V429" t="str">
            <v>NULL</v>
          </cell>
          <cell r="W429" t="str">
            <v>NULL</v>
          </cell>
        </row>
        <row r="430">
          <cell r="A430">
            <v>429</v>
          </cell>
          <cell r="B430" t="str">
            <v>ja</v>
          </cell>
          <cell r="C430" t="str">
            <v>ブルーダムディ</v>
          </cell>
          <cell r="D430" t="str">
            <v>未定</v>
          </cell>
          <cell r="E430" t="str">
            <v>執行者</v>
          </cell>
          <cell r="F430" t="str">
            <v>格好いい</v>
          </cell>
          <cell r="G430" t="str">
            <v>不明</v>
          </cell>
          <cell r="H430" t="str">
            <v>blue</v>
          </cell>
          <cell r="I430">
            <v>5</v>
          </cell>
          <cell r="J430" t="str">
            <v>Material</v>
          </cell>
          <cell r="K430" t="str">
            <v>evolution</v>
          </cell>
          <cell r="L430" t="str">
            <v>覚醒素材タイプ</v>
          </cell>
          <cell r="M430" t="str">
            <v>unknown</v>
          </cell>
          <cell r="N430" t="str">
            <v>Unknown</v>
          </cell>
          <cell r="O430" t="str">
            <v>none</v>
          </cell>
          <cell r="P430" t="str">
            <v>種族なし</v>
          </cell>
          <cell r="Q430" t="str">
            <v>アタッカー</v>
          </cell>
          <cell r="R430">
            <v>1</v>
          </cell>
          <cell r="S430" t="str">
            <v>NULL</v>
          </cell>
          <cell r="T430" t="str">
            <v>normal</v>
          </cell>
          <cell r="U430" t="str">
            <v>NULL</v>
          </cell>
          <cell r="V430" t="str">
            <v>NULL</v>
          </cell>
          <cell r="W430" t="str">
            <v>NULL</v>
          </cell>
        </row>
        <row r="431">
          <cell r="A431">
            <v>430</v>
          </cell>
          <cell r="B431" t="str">
            <v>ja</v>
          </cell>
          <cell r="C431" t="str">
            <v>グリーンダムディ</v>
          </cell>
          <cell r="D431" t="str">
            <v>未定</v>
          </cell>
          <cell r="E431" t="str">
            <v>執行者</v>
          </cell>
          <cell r="F431" t="str">
            <v>格好いい</v>
          </cell>
          <cell r="G431" t="str">
            <v>不明</v>
          </cell>
          <cell r="H431" t="str">
            <v>green</v>
          </cell>
          <cell r="I431">
            <v>5</v>
          </cell>
          <cell r="J431" t="str">
            <v>Material</v>
          </cell>
          <cell r="K431" t="str">
            <v>evolution</v>
          </cell>
          <cell r="L431" t="str">
            <v>覚醒素材タイプ</v>
          </cell>
          <cell r="M431" t="str">
            <v>unknown</v>
          </cell>
          <cell r="N431" t="str">
            <v>Unknown</v>
          </cell>
          <cell r="O431" t="str">
            <v>none</v>
          </cell>
          <cell r="P431" t="str">
            <v>種族なし</v>
          </cell>
          <cell r="Q431" t="str">
            <v>アタッカー</v>
          </cell>
          <cell r="R431">
            <v>3</v>
          </cell>
          <cell r="S431" t="str">
            <v>NULL</v>
          </cell>
          <cell r="T431" t="str">
            <v>normal</v>
          </cell>
          <cell r="U431" t="str">
            <v>NULL</v>
          </cell>
          <cell r="V431" t="str">
            <v>NULL</v>
          </cell>
          <cell r="W431" t="str">
            <v>NULL</v>
          </cell>
        </row>
        <row r="432">
          <cell r="A432">
            <v>431</v>
          </cell>
          <cell r="B432" t="str">
            <v>ja</v>
          </cell>
          <cell r="C432" t="str">
            <v>イエローダムディ</v>
          </cell>
          <cell r="D432" t="str">
            <v>未定</v>
          </cell>
          <cell r="E432" t="str">
            <v>執行者</v>
          </cell>
          <cell r="F432" t="str">
            <v>格好いい</v>
          </cell>
          <cell r="G432" t="str">
            <v>不明</v>
          </cell>
          <cell r="H432" t="str">
            <v>yellow</v>
          </cell>
          <cell r="I432">
            <v>5</v>
          </cell>
          <cell r="J432" t="str">
            <v>Material</v>
          </cell>
          <cell r="K432" t="str">
            <v>evolution</v>
          </cell>
          <cell r="L432" t="str">
            <v>覚醒素材タイプ</v>
          </cell>
          <cell r="M432" t="str">
            <v>unknown</v>
          </cell>
          <cell r="N432" t="str">
            <v>Unknown</v>
          </cell>
          <cell r="O432" t="str">
            <v>none</v>
          </cell>
          <cell r="P432" t="str">
            <v>種族なし</v>
          </cell>
          <cell r="Q432" t="str">
            <v>アタッカー</v>
          </cell>
          <cell r="R432">
            <v>3</v>
          </cell>
          <cell r="S432" t="str">
            <v>NULL</v>
          </cell>
          <cell r="T432" t="str">
            <v>normal</v>
          </cell>
          <cell r="U432" t="str">
            <v>NULL</v>
          </cell>
          <cell r="V432" t="str">
            <v>NULL</v>
          </cell>
          <cell r="W432" t="str">
            <v>NULL</v>
          </cell>
        </row>
        <row r="433">
          <cell r="A433">
            <v>432</v>
          </cell>
          <cell r="B433" t="str">
            <v>ja</v>
          </cell>
          <cell r="C433" t="str">
            <v>麒麟</v>
          </cell>
          <cell r="D433" t="str">
            <v>イベント:超ウィザード</v>
          </cell>
          <cell r="E433" t="str">
            <v>執行者</v>
          </cell>
          <cell r="F433" t="str">
            <v>格好いい</v>
          </cell>
          <cell r="G433" t="str">
            <v>女性</v>
          </cell>
          <cell r="H433" t="str">
            <v>yellow</v>
          </cell>
          <cell r="I433">
            <v>4</v>
          </cell>
          <cell r="J433" t="str">
            <v>DropWizSS</v>
          </cell>
          <cell r="K433" t="str">
            <v>balance</v>
          </cell>
          <cell r="L433" t="str">
            <v>バランスタイプ</v>
          </cell>
          <cell r="M433" t="str">
            <v>god</v>
          </cell>
          <cell r="N433" t="str">
            <v>ゴッド</v>
          </cell>
          <cell r="O433" t="str">
            <v>none</v>
          </cell>
          <cell r="P433" t="str">
            <v>種族なし</v>
          </cell>
          <cell r="Q433" t="str">
            <v>アタッカー</v>
          </cell>
          <cell r="R433">
            <v>3</v>
          </cell>
          <cell r="S433" t="str">
            <v>NULL</v>
          </cell>
          <cell r="T433" t="str">
            <v>normal</v>
          </cell>
          <cell r="U433" t="str">
            <v>NULL</v>
          </cell>
          <cell r="V433" t="str">
            <v>NULL</v>
          </cell>
          <cell r="W433" t="str">
            <v>NULL</v>
          </cell>
        </row>
        <row r="434">
          <cell r="A434">
            <v>433</v>
          </cell>
          <cell r="B434" t="str">
            <v>ja</v>
          </cell>
          <cell r="C434" t="str">
            <v>世稀の現獣 麒麟</v>
          </cell>
          <cell r="D434" t="str">
            <v>イベント:超ウィザード</v>
          </cell>
          <cell r="E434" t="str">
            <v>執行者</v>
          </cell>
          <cell r="F434" t="str">
            <v>格好いい</v>
          </cell>
          <cell r="G434" t="str">
            <v>女性</v>
          </cell>
          <cell r="H434" t="str">
            <v>yellow</v>
          </cell>
          <cell r="I434">
            <v>5</v>
          </cell>
          <cell r="J434" t="str">
            <v>DropWizSS</v>
          </cell>
          <cell r="K434" t="str">
            <v>balance</v>
          </cell>
          <cell r="L434" t="str">
            <v>バランスタイプ</v>
          </cell>
          <cell r="M434" t="str">
            <v>god</v>
          </cell>
          <cell r="N434" t="str">
            <v>ゴッド</v>
          </cell>
          <cell r="O434" t="str">
            <v>none</v>
          </cell>
          <cell r="P434" t="str">
            <v>種族なし</v>
          </cell>
          <cell r="Q434" t="str">
            <v>アタッカー</v>
          </cell>
          <cell r="R434">
            <v>3</v>
          </cell>
          <cell r="S434" t="str">
            <v>NULL</v>
          </cell>
          <cell r="T434" t="str">
            <v>normal</v>
          </cell>
          <cell r="U434" t="str">
            <v>NULL</v>
          </cell>
          <cell r="V434" t="str">
            <v>NULL</v>
          </cell>
          <cell r="W434" t="str">
            <v>NULL</v>
          </cell>
        </row>
        <row r="435">
          <cell r="A435">
            <v>434</v>
          </cell>
          <cell r="B435" t="str">
            <v>ja</v>
          </cell>
          <cell r="C435" t="str">
            <v>D.R.T.H.</v>
          </cell>
          <cell r="D435" t="str">
            <v>ガチャ:オズ01</v>
          </cell>
          <cell r="E435" t="str">
            <v>執行者</v>
          </cell>
          <cell r="F435" t="str">
            <v>格好いい</v>
          </cell>
          <cell r="G435" t="str">
            <v>女性</v>
          </cell>
          <cell r="H435" t="str">
            <v>red</v>
          </cell>
          <cell r="I435">
            <v>4</v>
          </cell>
          <cell r="J435" t="str">
            <v>PremiumSS</v>
          </cell>
          <cell r="K435" t="str">
            <v>balance</v>
          </cell>
          <cell r="L435" t="str">
            <v>バランスタイプ</v>
          </cell>
          <cell r="M435" t="str">
            <v>human</v>
          </cell>
          <cell r="N435" t="str">
            <v>ヒューマン</v>
          </cell>
          <cell r="O435" t="str">
            <v>none</v>
          </cell>
          <cell r="P435" t="str">
            <v>種族なし</v>
          </cell>
          <cell r="Q435" t="str">
            <v>アタッカー</v>
          </cell>
          <cell r="R435">
            <v>3</v>
          </cell>
          <cell r="S435" t="str">
            <v>NULL</v>
          </cell>
          <cell r="T435" t="str">
            <v>normal</v>
          </cell>
          <cell r="U435" t="str">
            <v>NULL</v>
          </cell>
          <cell r="V435" t="str">
            <v>NULL</v>
          </cell>
          <cell r="W435" t="str">
            <v>NULL</v>
          </cell>
        </row>
        <row r="436">
          <cell r="A436">
            <v>435</v>
          </cell>
          <cell r="B436" t="str">
            <v>ja</v>
          </cell>
          <cell r="C436" t="str">
            <v>曝弾の密偵 D.R.T.H.</v>
          </cell>
          <cell r="D436" t="str">
            <v>ガチャ:オズ01</v>
          </cell>
          <cell r="E436" t="str">
            <v>執行者</v>
          </cell>
          <cell r="F436" t="str">
            <v>格好いい</v>
          </cell>
          <cell r="G436" t="str">
            <v>女性</v>
          </cell>
          <cell r="H436" t="str">
            <v>red</v>
          </cell>
          <cell r="I436">
            <v>5</v>
          </cell>
          <cell r="J436" t="str">
            <v>PremiumSS</v>
          </cell>
          <cell r="K436" t="str">
            <v>balance</v>
          </cell>
          <cell r="L436" t="str">
            <v>バランスタイプ</v>
          </cell>
          <cell r="M436" t="str">
            <v>human</v>
          </cell>
          <cell r="N436" t="str">
            <v>ヒューマン</v>
          </cell>
          <cell r="O436" t="str">
            <v>none</v>
          </cell>
          <cell r="P436" t="str">
            <v>種族なし</v>
          </cell>
          <cell r="Q436" t="str">
            <v>アタッカー</v>
          </cell>
          <cell r="R436">
            <v>3</v>
          </cell>
          <cell r="S436" t="str">
            <v>NULL</v>
          </cell>
          <cell r="T436" t="str">
            <v>normal</v>
          </cell>
          <cell r="U436" t="str">
            <v>NULL</v>
          </cell>
          <cell r="V436" t="str">
            <v>NULL</v>
          </cell>
          <cell r="W436" t="str">
            <v>NULL</v>
          </cell>
        </row>
        <row r="437">
          <cell r="A437">
            <v>436</v>
          </cell>
          <cell r="B437" t="str">
            <v>ja</v>
          </cell>
          <cell r="C437" t="str">
            <v>カカシ</v>
          </cell>
          <cell r="D437" t="str">
            <v>ガチャ:オズ01</v>
          </cell>
          <cell r="E437" t="str">
            <v>執行者</v>
          </cell>
          <cell r="F437" t="str">
            <v>格好いい</v>
          </cell>
          <cell r="G437" t="str">
            <v>男性</v>
          </cell>
          <cell r="H437" t="str">
            <v>green</v>
          </cell>
          <cell r="I437">
            <v>3</v>
          </cell>
          <cell r="J437" t="str">
            <v>PremiumS</v>
          </cell>
          <cell r="K437" t="str">
            <v>technical</v>
          </cell>
          <cell r="L437" t="str">
            <v>テクニカルタイプ</v>
          </cell>
          <cell r="M437" t="str">
            <v>human</v>
          </cell>
          <cell r="N437" t="str">
            <v>ヒューマン</v>
          </cell>
          <cell r="O437" t="str">
            <v>machine</v>
          </cell>
          <cell r="P437" t="str">
            <v>マシン</v>
          </cell>
          <cell r="Q437" t="str">
            <v>アタッカー</v>
          </cell>
          <cell r="R437">
            <v>3</v>
          </cell>
          <cell r="S437" t="str">
            <v>NULL</v>
          </cell>
          <cell r="T437" t="str">
            <v>normal</v>
          </cell>
          <cell r="U437" t="str">
            <v>NULL</v>
          </cell>
          <cell r="V437" t="str">
            <v>NULL</v>
          </cell>
          <cell r="W437" t="str">
            <v>NULL</v>
          </cell>
        </row>
        <row r="438">
          <cell r="A438">
            <v>437</v>
          </cell>
          <cell r="B438" t="str">
            <v>ja</v>
          </cell>
          <cell r="C438" t="str">
            <v>忘却者 カカシ</v>
          </cell>
          <cell r="D438" t="str">
            <v>ガチャ:オズ01</v>
          </cell>
          <cell r="E438" t="str">
            <v>執行者</v>
          </cell>
          <cell r="F438" t="str">
            <v>格好いい</v>
          </cell>
          <cell r="G438" t="str">
            <v>男性</v>
          </cell>
          <cell r="H438" t="str">
            <v>green</v>
          </cell>
          <cell r="I438">
            <v>4</v>
          </cell>
          <cell r="J438" t="str">
            <v>PremiumS</v>
          </cell>
          <cell r="K438" t="str">
            <v>technical</v>
          </cell>
          <cell r="L438" t="str">
            <v>テクニカルタイプ</v>
          </cell>
          <cell r="M438" t="str">
            <v>human</v>
          </cell>
          <cell r="N438" t="str">
            <v>ヒューマン</v>
          </cell>
          <cell r="O438" t="str">
            <v>machine</v>
          </cell>
          <cell r="P438" t="str">
            <v>マシン</v>
          </cell>
          <cell r="Q438" t="str">
            <v>アタッカー</v>
          </cell>
          <cell r="R438">
            <v>3</v>
          </cell>
          <cell r="S438" t="str">
            <v>NULL</v>
          </cell>
          <cell r="T438" t="str">
            <v>normal</v>
          </cell>
          <cell r="U438" t="str">
            <v>NULL</v>
          </cell>
          <cell r="V438" t="str">
            <v>NULL</v>
          </cell>
          <cell r="W438" t="str">
            <v>NULL</v>
          </cell>
        </row>
        <row r="439">
          <cell r="A439">
            <v>438</v>
          </cell>
          <cell r="B439" t="str">
            <v>ja</v>
          </cell>
          <cell r="C439" t="str">
            <v>記憶の奪還 カカシ</v>
          </cell>
          <cell r="D439" t="str">
            <v>ガチャ:オズ01</v>
          </cell>
          <cell r="E439" t="str">
            <v>執行者</v>
          </cell>
          <cell r="F439" t="str">
            <v>格好いい</v>
          </cell>
          <cell r="G439" t="str">
            <v>男性</v>
          </cell>
          <cell r="H439" t="str">
            <v>green</v>
          </cell>
          <cell r="I439">
            <v>5</v>
          </cell>
          <cell r="J439" t="str">
            <v>PremiumS</v>
          </cell>
          <cell r="K439" t="str">
            <v>technical</v>
          </cell>
          <cell r="L439" t="str">
            <v>テクニカルタイプ</v>
          </cell>
          <cell r="M439" t="str">
            <v>human</v>
          </cell>
          <cell r="N439" t="str">
            <v>ヒューマン</v>
          </cell>
          <cell r="O439" t="str">
            <v>machine</v>
          </cell>
          <cell r="P439" t="str">
            <v>マシン</v>
          </cell>
          <cell r="Q439" t="str">
            <v>アタッカー</v>
          </cell>
          <cell r="R439">
            <v>3</v>
          </cell>
          <cell r="S439" t="str">
            <v>NULL</v>
          </cell>
          <cell r="T439" t="str">
            <v>normal</v>
          </cell>
          <cell r="U439" t="str">
            <v>NULL</v>
          </cell>
          <cell r="V439" t="str">
            <v>NULL</v>
          </cell>
          <cell r="W439" t="str">
            <v>NULL</v>
          </cell>
        </row>
        <row r="440">
          <cell r="A440">
            <v>439</v>
          </cell>
          <cell r="B440" t="str">
            <v>ja</v>
          </cell>
          <cell r="C440" t="str">
            <v>ブリキロガー</v>
          </cell>
          <cell r="D440" t="str">
            <v>ガチャ:オズ01</v>
          </cell>
          <cell r="E440" t="str">
            <v>執行者</v>
          </cell>
          <cell r="F440" t="str">
            <v>格好いい</v>
          </cell>
          <cell r="G440" t="str">
            <v>不明</v>
          </cell>
          <cell r="H440" t="str">
            <v>blue</v>
          </cell>
          <cell r="I440">
            <v>3</v>
          </cell>
          <cell r="J440" t="str">
            <v>PremiumS</v>
          </cell>
          <cell r="K440" t="str">
            <v>attack</v>
          </cell>
          <cell r="L440" t="str">
            <v>攻撃タイプ</v>
          </cell>
          <cell r="M440" t="str">
            <v>machine</v>
          </cell>
          <cell r="N440" t="str">
            <v>マシン</v>
          </cell>
          <cell r="O440" t="str">
            <v>none</v>
          </cell>
          <cell r="P440" t="str">
            <v>種族なし</v>
          </cell>
          <cell r="Q440" t="str">
            <v>アタッカー</v>
          </cell>
          <cell r="R440">
            <v>3</v>
          </cell>
          <cell r="S440" t="str">
            <v>NULL</v>
          </cell>
          <cell r="T440" t="str">
            <v>normal</v>
          </cell>
          <cell r="U440" t="str">
            <v>NULL</v>
          </cell>
          <cell r="V440" t="str">
            <v>NULL</v>
          </cell>
          <cell r="W440" t="str">
            <v>NULL</v>
          </cell>
        </row>
        <row r="441">
          <cell r="A441">
            <v>440</v>
          </cell>
          <cell r="B441" t="str">
            <v>ja</v>
          </cell>
          <cell r="C441" t="str">
            <v>改良型 ブリキロガー</v>
          </cell>
          <cell r="D441" t="str">
            <v>ガチャ:オズ01</v>
          </cell>
          <cell r="E441" t="str">
            <v>執行者</v>
          </cell>
          <cell r="F441" t="str">
            <v>格好いい</v>
          </cell>
          <cell r="G441" t="str">
            <v>不明</v>
          </cell>
          <cell r="H441" t="str">
            <v>blue</v>
          </cell>
          <cell r="I441">
            <v>4</v>
          </cell>
          <cell r="J441" t="str">
            <v>PremiumS</v>
          </cell>
          <cell r="K441" t="str">
            <v>attack</v>
          </cell>
          <cell r="L441" t="str">
            <v>攻撃タイプ</v>
          </cell>
          <cell r="M441" t="str">
            <v>machine</v>
          </cell>
          <cell r="N441" t="str">
            <v>マシン</v>
          </cell>
          <cell r="O441" t="str">
            <v>none</v>
          </cell>
          <cell r="P441" t="str">
            <v>種族なし</v>
          </cell>
          <cell r="Q441" t="str">
            <v>アタッカー</v>
          </cell>
          <cell r="R441">
            <v>3</v>
          </cell>
          <cell r="S441" t="str">
            <v>NULL</v>
          </cell>
          <cell r="T441" t="str">
            <v>normal</v>
          </cell>
          <cell r="U441" t="str">
            <v>NULL</v>
          </cell>
          <cell r="V441" t="str">
            <v>NULL</v>
          </cell>
          <cell r="W441" t="str">
            <v>NULL</v>
          </cell>
        </row>
        <row r="442">
          <cell r="A442">
            <v>441</v>
          </cell>
          <cell r="B442" t="str">
            <v>ja</v>
          </cell>
          <cell r="C442" t="str">
            <v>求心の錻装 ブリキロガー</v>
          </cell>
          <cell r="D442" t="str">
            <v>ガチャ:オズ01</v>
          </cell>
          <cell r="E442" t="str">
            <v>執行者</v>
          </cell>
          <cell r="F442" t="str">
            <v>格好いい</v>
          </cell>
          <cell r="G442" t="str">
            <v>不明</v>
          </cell>
          <cell r="H442" t="str">
            <v>blue</v>
          </cell>
          <cell r="I442">
            <v>5</v>
          </cell>
          <cell r="J442" t="str">
            <v>PremiumS</v>
          </cell>
          <cell r="K442" t="str">
            <v>attack</v>
          </cell>
          <cell r="L442" t="str">
            <v>攻撃タイプ</v>
          </cell>
          <cell r="M442" t="str">
            <v>machine</v>
          </cell>
          <cell r="N442" t="str">
            <v>マシン</v>
          </cell>
          <cell r="O442" t="str">
            <v>none</v>
          </cell>
          <cell r="P442" t="str">
            <v>種族なし</v>
          </cell>
          <cell r="Q442" t="str">
            <v>アタッカー</v>
          </cell>
          <cell r="R442">
            <v>3</v>
          </cell>
          <cell r="S442" t="str">
            <v>NULL</v>
          </cell>
          <cell r="T442" t="str">
            <v>normal</v>
          </cell>
          <cell r="U442" t="str">
            <v>NULL</v>
          </cell>
          <cell r="V442" t="str">
            <v>NULL</v>
          </cell>
          <cell r="W442" t="str">
            <v>NULL</v>
          </cell>
        </row>
        <row r="443">
          <cell r="A443">
            <v>442</v>
          </cell>
          <cell r="B443" t="str">
            <v>ja</v>
          </cell>
          <cell r="C443" t="str">
            <v>ブレイブリー・ライオン</v>
          </cell>
          <cell r="D443" t="str">
            <v>ガチャ:オズ01</v>
          </cell>
          <cell r="E443" t="str">
            <v>執行者</v>
          </cell>
          <cell r="F443" t="str">
            <v>格好いい</v>
          </cell>
          <cell r="G443" t="str">
            <v>不明</v>
          </cell>
          <cell r="H443" t="str">
            <v>yellow</v>
          </cell>
          <cell r="I443">
            <v>4</v>
          </cell>
          <cell r="J443" t="str">
            <v>PremiumSS</v>
          </cell>
          <cell r="K443" t="str">
            <v>hp</v>
          </cell>
          <cell r="L443" t="str">
            <v>体力タイプ</v>
          </cell>
          <cell r="M443" t="str">
            <v>animal</v>
          </cell>
          <cell r="N443" t="str">
            <v>アニマル</v>
          </cell>
          <cell r="O443" t="str">
            <v>none</v>
          </cell>
          <cell r="P443" t="str">
            <v>種族なし</v>
          </cell>
          <cell r="Q443" t="str">
            <v>アタッカー</v>
          </cell>
          <cell r="R443">
            <v>3</v>
          </cell>
          <cell r="S443" t="str">
            <v>NULL</v>
          </cell>
          <cell r="T443" t="str">
            <v>normal</v>
          </cell>
          <cell r="U443" t="str">
            <v>NULL</v>
          </cell>
          <cell r="V443" t="str">
            <v>NULL</v>
          </cell>
          <cell r="W443" t="str">
            <v>NULL</v>
          </cell>
        </row>
        <row r="444">
          <cell r="A444">
            <v>443</v>
          </cell>
          <cell r="B444" t="str">
            <v>ja</v>
          </cell>
          <cell r="C444" t="str">
            <v>勇機結集 ブレイブリー・ライオン</v>
          </cell>
          <cell r="D444" t="str">
            <v>ガチャ:オズ01</v>
          </cell>
          <cell r="E444" t="str">
            <v>執行者</v>
          </cell>
          <cell r="F444" t="str">
            <v>格好いい</v>
          </cell>
          <cell r="G444" t="str">
            <v>不明</v>
          </cell>
          <cell r="H444" t="str">
            <v>yellow</v>
          </cell>
          <cell r="I444">
            <v>5</v>
          </cell>
          <cell r="J444" t="str">
            <v>PremiumSS</v>
          </cell>
          <cell r="K444" t="str">
            <v>hp</v>
          </cell>
          <cell r="L444" t="str">
            <v>体力タイプ</v>
          </cell>
          <cell r="M444" t="str">
            <v>animal</v>
          </cell>
          <cell r="N444" t="str">
            <v>アニマル</v>
          </cell>
          <cell r="O444" t="str">
            <v>none</v>
          </cell>
          <cell r="P444" t="str">
            <v>種族なし</v>
          </cell>
          <cell r="Q444" t="str">
            <v>アタッカー</v>
          </cell>
          <cell r="R444">
            <v>3</v>
          </cell>
          <cell r="S444" t="str">
            <v>NULL</v>
          </cell>
          <cell r="T444" t="str">
            <v>normal</v>
          </cell>
          <cell r="U444" t="str">
            <v>NULL</v>
          </cell>
          <cell r="V444" t="str">
            <v>NULL</v>
          </cell>
          <cell r="W444" t="str">
            <v>NULL</v>
          </cell>
        </row>
        <row r="445">
          <cell r="A445">
            <v>444</v>
          </cell>
          <cell r="B445" t="str">
            <v>ja</v>
          </cell>
          <cell r="C445" t="str">
            <v>炎のミリオンダック 4</v>
          </cell>
          <cell r="D445" t="str">
            <v>未定</v>
          </cell>
          <cell r="E445" t="str">
            <v>執行者</v>
          </cell>
          <cell r="F445" t="str">
            <v>格好いい</v>
          </cell>
          <cell r="G445" t="str">
            <v>不明</v>
          </cell>
          <cell r="H445" t="str">
            <v>red</v>
          </cell>
          <cell r="I445">
            <v>6</v>
          </cell>
          <cell r="J445" t="str">
            <v>Material</v>
          </cell>
          <cell r="K445" t="str">
            <v>exp</v>
          </cell>
          <cell r="L445" t="str">
            <v>強化素材タイプ</v>
          </cell>
          <cell r="M445" t="str">
            <v>unknown</v>
          </cell>
          <cell r="N445" t="str">
            <v>Unknown</v>
          </cell>
          <cell r="O445" t="str">
            <v>none</v>
          </cell>
          <cell r="P445" t="str">
            <v>種族なし</v>
          </cell>
          <cell r="Q445" t="str">
            <v>強化素材</v>
          </cell>
          <cell r="R445">
            <v>3</v>
          </cell>
          <cell r="S445" t="str">
            <v>NULL</v>
          </cell>
          <cell r="T445" t="str">
            <v>normal</v>
          </cell>
          <cell r="U445" t="str">
            <v>NULL</v>
          </cell>
          <cell r="V445" t="str">
            <v>NULL</v>
          </cell>
          <cell r="W445" t="str">
            <v>NULL</v>
          </cell>
        </row>
        <row r="446">
          <cell r="A446">
            <v>445</v>
          </cell>
          <cell r="B446" t="str">
            <v>ja</v>
          </cell>
          <cell r="C446" t="str">
            <v>森のミリオンダック 4</v>
          </cell>
          <cell r="D446" t="str">
            <v>未定</v>
          </cell>
          <cell r="E446" t="str">
            <v>執行者</v>
          </cell>
          <cell r="F446" t="str">
            <v>格好いい</v>
          </cell>
          <cell r="G446" t="str">
            <v>不明</v>
          </cell>
          <cell r="H446" t="str">
            <v>green</v>
          </cell>
          <cell r="I446">
            <v>6</v>
          </cell>
          <cell r="J446" t="str">
            <v>Material</v>
          </cell>
          <cell r="K446" t="str">
            <v>exp</v>
          </cell>
          <cell r="L446" t="str">
            <v>強化素材タイプ</v>
          </cell>
          <cell r="M446" t="str">
            <v>unknown</v>
          </cell>
          <cell r="N446" t="str">
            <v>Unknown</v>
          </cell>
          <cell r="O446" t="str">
            <v>none</v>
          </cell>
          <cell r="P446" t="str">
            <v>種族なし</v>
          </cell>
          <cell r="Q446" t="str">
            <v>強化素材</v>
          </cell>
          <cell r="R446">
            <v>3</v>
          </cell>
          <cell r="S446" t="str">
            <v>NULL</v>
          </cell>
          <cell r="T446" t="str">
            <v>normal</v>
          </cell>
          <cell r="U446" t="str">
            <v>NULL</v>
          </cell>
          <cell r="V446" t="str">
            <v>NULL</v>
          </cell>
          <cell r="W446" t="str">
            <v>NULL</v>
          </cell>
        </row>
        <row r="447">
          <cell r="A447">
            <v>446</v>
          </cell>
          <cell r="B447" t="str">
            <v>ja</v>
          </cell>
          <cell r="C447" t="str">
            <v>水のミリオンダック 4</v>
          </cell>
          <cell r="D447" t="str">
            <v>未定</v>
          </cell>
          <cell r="E447" t="str">
            <v>執行者</v>
          </cell>
          <cell r="F447" t="str">
            <v>格好いい</v>
          </cell>
          <cell r="G447" t="str">
            <v>不明</v>
          </cell>
          <cell r="H447" t="str">
            <v>blue</v>
          </cell>
          <cell r="I447">
            <v>6</v>
          </cell>
          <cell r="J447" t="str">
            <v>Material</v>
          </cell>
          <cell r="K447" t="str">
            <v>exp</v>
          </cell>
          <cell r="L447" t="str">
            <v>強化素材タイプ</v>
          </cell>
          <cell r="M447" t="str">
            <v>unknown</v>
          </cell>
          <cell r="N447" t="str">
            <v>Unknown</v>
          </cell>
          <cell r="O447" t="str">
            <v>none</v>
          </cell>
          <cell r="P447" t="str">
            <v>種族なし</v>
          </cell>
          <cell r="Q447" t="str">
            <v>強化素材</v>
          </cell>
          <cell r="R447">
            <v>3</v>
          </cell>
          <cell r="S447" t="str">
            <v>NULL</v>
          </cell>
          <cell r="T447" t="str">
            <v>normal</v>
          </cell>
          <cell r="U447" t="str">
            <v>NULL</v>
          </cell>
          <cell r="V447" t="str">
            <v>NULL</v>
          </cell>
          <cell r="W447" t="str">
            <v>NULL</v>
          </cell>
        </row>
        <row r="448">
          <cell r="A448">
            <v>447</v>
          </cell>
          <cell r="B448" t="str">
            <v>ja</v>
          </cell>
          <cell r="C448" t="str">
            <v>雷のミリオンダック 4</v>
          </cell>
          <cell r="D448" t="str">
            <v>未定</v>
          </cell>
          <cell r="E448" t="str">
            <v>執行者</v>
          </cell>
          <cell r="F448" t="str">
            <v>格好いい</v>
          </cell>
          <cell r="G448" t="str">
            <v>不明</v>
          </cell>
          <cell r="H448" t="str">
            <v>yellow</v>
          </cell>
          <cell r="I448">
            <v>6</v>
          </cell>
          <cell r="J448" t="str">
            <v>Material</v>
          </cell>
          <cell r="K448" t="str">
            <v>exp</v>
          </cell>
          <cell r="L448" t="str">
            <v>強化素材タイプ</v>
          </cell>
          <cell r="M448" t="str">
            <v>unknown</v>
          </cell>
          <cell r="N448" t="str">
            <v>Unknown</v>
          </cell>
          <cell r="O448" t="str">
            <v>none</v>
          </cell>
          <cell r="P448" t="str">
            <v>種族なし</v>
          </cell>
          <cell r="Q448" t="str">
            <v>強化素材</v>
          </cell>
          <cell r="R448">
            <v>3</v>
          </cell>
          <cell r="S448" t="str">
            <v>NULL</v>
          </cell>
          <cell r="T448" t="str">
            <v>normal</v>
          </cell>
          <cell r="U448" t="str">
            <v>NULL</v>
          </cell>
          <cell r="V448" t="str">
            <v>NULL</v>
          </cell>
          <cell r="W448" t="str">
            <v>NULL</v>
          </cell>
        </row>
        <row r="449">
          <cell r="A449">
            <v>448</v>
          </cell>
          <cell r="B449" t="str">
            <v>ja</v>
          </cell>
          <cell r="C449" t="str">
            <v>浮上する夢想学士 シャルル</v>
          </cell>
          <cell r="D449" t="str">
            <v>未定</v>
          </cell>
          <cell r="E449" t="str">
            <v>執行者</v>
          </cell>
          <cell r="F449" t="str">
            <v>格好いい</v>
          </cell>
          <cell r="G449" t="str">
            <v>不明</v>
          </cell>
          <cell r="H449" t="str">
            <v>blue</v>
          </cell>
          <cell r="I449">
            <v>6</v>
          </cell>
          <cell r="J449" t="str">
            <v>DropWizS</v>
          </cell>
          <cell r="K449" t="str">
            <v>heal</v>
          </cell>
          <cell r="L449" t="str">
            <v>回復タイプ</v>
          </cell>
          <cell r="M449" t="str">
            <v>human</v>
          </cell>
          <cell r="N449" t="str">
            <v>ヒューマン</v>
          </cell>
          <cell r="O449" t="str">
            <v>none</v>
          </cell>
          <cell r="P449" t="str">
            <v>種族なし</v>
          </cell>
          <cell r="Q449" t="str">
            <v>アタッカー</v>
          </cell>
          <cell r="R449">
            <v>3</v>
          </cell>
          <cell r="S449" t="str">
            <v>NULL</v>
          </cell>
          <cell r="T449" t="str">
            <v>normal</v>
          </cell>
          <cell r="U449" t="str">
            <v>NULL</v>
          </cell>
          <cell r="V449" t="str">
            <v>NULL</v>
          </cell>
          <cell r="W449" t="str">
            <v>NULL</v>
          </cell>
        </row>
        <row r="450">
          <cell r="A450">
            <v>449</v>
          </cell>
          <cell r="B450" t="str">
            <v>ja</v>
          </cell>
          <cell r="C450" t="str">
            <v>未定</v>
          </cell>
          <cell r="D450" t="str">
            <v>未定</v>
          </cell>
          <cell r="E450" t="str">
            <v>執行者</v>
          </cell>
          <cell r="F450" t="str">
            <v>格好いい</v>
          </cell>
          <cell r="G450" t="str">
            <v>不明</v>
          </cell>
          <cell r="H450" t="str">
            <v>blue</v>
          </cell>
          <cell r="I450">
            <v>5</v>
          </cell>
          <cell r="J450" t="str">
            <v>PremiumN</v>
          </cell>
          <cell r="K450" t="str">
            <v>balance</v>
          </cell>
          <cell r="L450" t="str">
            <v>バランスタイプ</v>
          </cell>
          <cell r="M450" t="str">
            <v>human</v>
          </cell>
          <cell r="N450" t="str">
            <v>ヒューマン</v>
          </cell>
          <cell r="O450" t="str">
            <v>none</v>
          </cell>
          <cell r="P450" t="str">
            <v>種族なし</v>
          </cell>
          <cell r="Q450" t="str">
            <v>アタッカー</v>
          </cell>
          <cell r="R450">
            <v>1</v>
          </cell>
          <cell r="S450" t="str">
            <v>NULL</v>
          </cell>
          <cell r="T450" t="str">
            <v>normal</v>
          </cell>
          <cell r="U450" t="str">
            <v>NULL</v>
          </cell>
          <cell r="V450" t="str">
            <v>NULL</v>
          </cell>
          <cell r="W450" t="str">
            <v>NULL</v>
          </cell>
        </row>
        <row r="451">
          <cell r="A451">
            <v>450</v>
          </cell>
          <cell r="B451" t="str">
            <v>ja</v>
          </cell>
          <cell r="C451" t="str">
            <v>イゾルデ</v>
          </cell>
          <cell r="D451" t="str">
            <v>未定</v>
          </cell>
          <cell r="E451" t="str">
            <v>執行者</v>
          </cell>
          <cell r="F451" t="str">
            <v>格好いい</v>
          </cell>
          <cell r="G451" t="str">
            <v>不明</v>
          </cell>
          <cell r="H451" t="str">
            <v>yellow</v>
          </cell>
          <cell r="I451">
            <v>4</v>
          </cell>
          <cell r="J451" t="str">
            <v>PremiumN</v>
          </cell>
          <cell r="K451" t="str">
            <v>balance</v>
          </cell>
          <cell r="L451" t="str">
            <v>バランスタイプ</v>
          </cell>
          <cell r="M451" t="str">
            <v>human</v>
          </cell>
          <cell r="N451" t="str">
            <v>ヒューマン</v>
          </cell>
          <cell r="O451" t="str">
            <v>none</v>
          </cell>
          <cell r="P451" t="str">
            <v>種族なし</v>
          </cell>
          <cell r="Q451" t="str">
            <v>アタッカー</v>
          </cell>
          <cell r="R451">
            <v>1</v>
          </cell>
          <cell r="S451" t="str">
            <v>NULL</v>
          </cell>
          <cell r="T451" t="str">
            <v>normal</v>
          </cell>
          <cell r="U451" t="str">
            <v>NULL</v>
          </cell>
          <cell r="V451" t="str">
            <v>NULL</v>
          </cell>
          <cell r="W451" t="str">
            <v>NULL</v>
          </cell>
        </row>
        <row r="452">
          <cell r="A452">
            <v>451</v>
          </cell>
          <cell r="B452" t="str">
            <v>ja</v>
          </cell>
          <cell r="C452" t="str">
            <v>シルエットオーディン2</v>
          </cell>
          <cell r="D452" t="str">
            <v>未定</v>
          </cell>
          <cell r="E452" t="str">
            <v>執行者</v>
          </cell>
          <cell r="F452" t="str">
            <v>格好いい</v>
          </cell>
          <cell r="G452" t="str">
            <v>不明</v>
          </cell>
          <cell r="H452" t="str">
            <v>blue</v>
          </cell>
          <cell r="I452">
            <v>5</v>
          </cell>
          <cell r="J452" t="str">
            <v>DropWizN</v>
          </cell>
          <cell r="K452" t="str">
            <v>balance</v>
          </cell>
          <cell r="L452" t="str">
            <v>バランスタイプ</v>
          </cell>
          <cell r="M452" t="str">
            <v>human</v>
          </cell>
          <cell r="N452" t="str">
            <v>ヒューマン</v>
          </cell>
          <cell r="O452" t="str">
            <v>none</v>
          </cell>
          <cell r="P452" t="str">
            <v>種族なし</v>
          </cell>
          <cell r="Q452" t="str">
            <v>アタッカー</v>
          </cell>
          <cell r="R452">
            <v>3</v>
          </cell>
          <cell r="S452" t="str">
            <v>NULL</v>
          </cell>
          <cell r="T452" t="str">
            <v>normal</v>
          </cell>
          <cell r="U452" t="str">
            <v>NULL</v>
          </cell>
          <cell r="V452" t="str">
            <v>NULL</v>
          </cell>
          <cell r="W452" t="str">
            <v>NULL</v>
          </cell>
        </row>
        <row r="453">
          <cell r="A453">
            <v>452</v>
          </cell>
          <cell r="B453" t="str">
            <v>ja</v>
          </cell>
          <cell r="C453" t="str">
            <v>猛狐 エゾ</v>
          </cell>
          <cell r="D453" t="str">
            <v>イベント:オリジナル01</v>
          </cell>
          <cell r="E453" t="str">
            <v>執行者</v>
          </cell>
          <cell r="F453" t="str">
            <v>格好いい</v>
          </cell>
          <cell r="G453" t="str">
            <v>男性</v>
          </cell>
          <cell r="H453" t="str">
            <v>red</v>
          </cell>
          <cell r="I453">
            <v>4</v>
          </cell>
          <cell r="J453" t="str">
            <v>Drop2N</v>
          </cell>
          <cell r="K453" t="str">
            <v>balance</v>
          </cell>
          <cell r="L453" t="str">
            <v>バランスタイプ</v>
          </cell>
          <cell r="M453" t="str">
            <v>animal</v>
          </cell>
          <cell r="N453" t="str">
            <v>アニマル</v>
          </cell>
          <cell r="O453" t="str">
            <v>none</v>
          </cell>
          <cell r="P453" t="str">
            <v>種族なし</v>
          </cell>
          <cell r="Q453" t="str">
            <v>アタッカー</v>
          </cell>
          <cell r="R453">
            <v>3</v>
          </cell>
          <cell r="S453" t="str">
            <v>NULL</v>
          </cell>
          <cell r="T453" t="str">
            <v>normal</v>
          </cell>
          <cell r="U453" t="str">
            <v>NULL</v>
          </cell>
          <cell r="V453" t="str">
            <v>NULL</v>
          </cell>
          <cell r="W453" t="str">
            <v>NULL</v>
          </cell>
        </row>
        <row r="454">
          <cell r="A454">
            <v>453</v>
          </cell>
          <cell r="B454" t="str">
            <v>ja</v>
          </cell>
          <cell r="C454" t="str">
            <v>急尾の猛狐 エゾ</v>
          </cell>
          <cell r="D454" t="str">
            <v>イベント:オリジナル01</v>
          </cell>
          <cell r="E454" t="str">
            <v>執行者</v>
          </cell>
          <cell r="F454" t="str">
            <v>格好いい</v>
          </cell>
          <cell r="G454" t="str">
            <v>男性</v>
          </cell>
          <cell r="H454" t="str">
            <v>red</v>
          </cell>
          <cell r="I454">
            <v>5</v>
          </cell>
          <cell r="J454" t="str">
            <v>Drop2N</v>
          </cell>
          <cell r="K454" t="str">
            <v>balance</v>
          </cell>
          <cell r="L454" t="str">
            <v>バランスタイプ</v>
          </cell>
          <cell r="M454" t="str">
            <v>animal</v>
          </cell>
          <cell r="N454" t="str">
            <v>アニマル</v>
          </cell>
          <cell r="O454" t="str">
            <v>none</v>
          </cell>
          <cell r="P454" t="str">
            <v>種族なし</v>
          </cell>
          <cell r="Q454" t="str">
            <v>アタッカー</v>
          </cell>
          <cell r="R454">
            <v>3</v>
          </cell>
          <cell r="S454" t="str">
            <v>NULL</v>
          </cell>
          <cell r="T454" t="str">
            <v>normal</v>
          </cell>
          <cell r="U454" t="str">
            <v>NULL</v>
          </cell>
          <cell r="V454" t="str">
            <v>NULL</v>
          </cell>
          <cell r="W454" t="str">
            <v>NULL</v>
          </cell>
        </row>
        <row r="455">
          <cell r="A455">
            <v>454</v>
          </cell>
          <cell r="B455" t="str">
            <v>ja</v>
          </cell>
          <cell r="C455" t="str">
            <v>二闘 レッサとギガン</v>
          </cell>
          <cell r="D455" t="str">
            <v>イベント:オリジナル01</v>
          </cell>
          <cell r="E455" t="str">
            <v>執行者</v>
          </cell>
          <cell r="F455" t="str">
            <v>格好いい</v>
          </cell>
          <cell r="G455" t="str">
            <v>男性</v>
          </cell>
          <cell r="H455" t="str">
            <v>green</v>
          </cell>
          <cell r="I455">
            <v>4</v>
          </cell>
          <cell r="J455" t="str">
            <v>Drop2N</v>
          </cell>
          <cell r="K455" t="str">
            <v>hp</v>
          </cell>
          <cell r="L455" t="str">
            <v>体力タイプ</v>
          </cell>
          <cell r="M455" t="str">
            <v>human</v>
          </cell>
          <cell r="N455" t="str">
            <v>ヒューマン</v>
          </cell>
          <cell r="O455" t="str">
            <v>machine</v>
          </cell>
          <cell r="P455" t="str">
            <v>マシン</v>
          </cell>
          <cell r="Q455" t="str">
            <v>アタッカー</v>
          </cell>
          <cell r="R455">
            <v>3</v>
          </cell>
          <cell r="S455" t="str">
            <v>NULL</v>
          </cell>
          <cell r="T455" t="str">
            <v>normal</v>
          </cell>
          <cell r="U455" t="str">
            <v>NULL</v>
          </cell>
          <cell r="V455" t="str">
            <v>NULL</v>
          </cell>
          <cell r="W455" t="str">
            <v>NULL</v>
          </cell>
        </row>
        <row r="456">
          <cell r="A456">
            <v>455</v>
          </cell>
          <cell r="B456" t="str">
            <v>ja</v>
          </cell>
          <cell r="C456" t="str">
            <v>廃街の二闘 レッサとギガン</v>
          </cell>
          <cell r="D456" t="str">
            <v>イベント:オリジナル01</v>
          </cell>
          <cell r="E456" t="str">
            <v>執行者</v>
          </cell>
          <cell r="F456" t="str">
            <v>格好いい</v>
          </cell>
          <cell r="G456" t="str">
            <v>男性</v>
          </cell>
          <cell r="H456" t="str">
            <v>green</v>
          </cell>
          <cell r="I456">
            <v>5</v>
          </cell>
          <cell r="J456" t="str">
            <v>Drop2N</v>
          </cell>
          <cell r="K456" t="str">
            <v>hp</v>
          </cell>
          <cell r="L456" t="str">
            <v>体力タイプ</v>
          </cell>
          <cell r="M456" t="str">
            <v>human</v>
          </cell>
          <cell r="N456" t="str">
            <v>ヒューマン</v>
          </cell>
          <cell r="O456" t="str">
            <v>machine</v>
          </cell>
          <cell r="P456" t="str">
            <v>マシン</v>
          </cell>
          <cell r="Q456" t="str">
            <v>アタッカー</v>
          </cell>
          <cell r="R456">
            <v>3</v>
          </cell>
          <cell r="S456" t="str">
            <v>NULL</v>
          </cell>
          <cell r="T456" t="str">
            <v>normal</v>
          </cell>
          <cell r="U456" t="str">
            <v>NULL</v>
          </cell>
          <cell r="V456" t="str">
            <v>NULL</v>
          </cell>
          <cell r="W456" t="str">
            <v>NULL</v>
          </cell>
        </row>
        <row r="457">
          <cell r="A457">
            <v>456</v>
          </cell>
          <cell r="B457" t="str">
            <v>ja</v>
          </cell>
          <cell r="C457" t="str">
            <v>射絶 ユヅル</v>
          </cell>
          <cell r="D457" t="str">
            <v>イベント:オリジナル01</v>
          </cell>
          <cell r="E457" t="str">
            <v>執行者</v>
          </cell>
          <cell r="F457" t="str">
            <v>格好いい</v>
          </cell>
          <cell r="G457" t="str">
            <v>女性</v>
          </cell>
          <cell r="H457" t="str">
            <v>blue</v>
          </cell>
          <cell r="I457">
            <v>4</v>
          </cell>
          <cell r="J457" t="str">
            <v>Drop2N</v>
          </cell>
          <cell r="K457" t="str">
            <v>technical</v>
          </cell>
          <cell r="L457" t="str">
            <v>テクニカルタイプ</v>
          </cell>
          <cell r="M457" t="str">
            <v>human</v>
          </cell>
          <cell r="N457" t="str">
            <v>ヒューマン</v>
          </cell>
          <cell r="O457" t="str">
            <v>none</v>
          </cell>
          <cell r="P457" t="str">
            <v>種族なし</v>
          </cell>
          <cell r="Q457" t="str">
            <v>アタッカー</v>
          </cell>
          <cell r="R457">
            <v>3</v>
          </cell>
          <cell r="S457" t="str">
            <v>NULL</v>
          </cell>
          <cell r="T457" t="str">
            <v>normal</v>
          </cell>
          <cell r="U457" t="str">
            <v>NULL</v>
          </cell>
          <cell r="V457" t="str">
            <v>NULL</v>
          </cell>
          <cell r="W457" t="str">
            <v>NULL</v>
          </cell>
        </row>
        <row r="458">
          <cell r="A458">
            <v>457</v>
          </cell>
          <cell r="B458" t="str">
            <v>ja</v>
          </cell>
          <cell r="C458" t="str">
            <v>京速射絶 ユヅル</v>
          </cell>
          <cell r="D458" t="str">
            <v>イベント:オリジナル01</v>
          </cell>
          <cell r="E458" t="str">
            <v>執行者</v>
          </cell>
          <cell r="F458" t="str">
            <v>格好いい</v>
          </cell>
          <cell r="G458" t="str">
            <v>女性</v>
          </cell>
          <cell r="H458" t="str">
            <v>blue</v>
          </cell>
          <cell r="I458">
            <v>5</v>
          </cell>
          <cell r="J458" t="str">
            <v>Drop2N</v>
          </cell>
          <cell r="K458" t="str">
            <v>technical</v>
          </cell>
          <cell r="L458" t="str">
            <v>テクニカルタイプ</v>
          </cell>
          <cell r="M458" t="str">
            <v>human</v>
          </cell>
          <cell r="N458" t="str">
            <v>ヒューマン</v>
          </cell>
          <cell r="O458" t="str">
            <v>none</v>
          </cell>
          <cell r="P458" t="str">
            <v>種族なし</v>
          </cell>
          <cell r="Q458" t="str">
            <v>アタッカー</v>
          </cell>
          <cell r="R458">
            <v>3</v>
          </cell>
          <cell r="S458" t="str">
            <v>NULL</v>
          </cell>
          <cell r="T458" t="str">
            <v>normal</v>
          </cell>
          <cell r="U458" t="str">
            <v>NULL</v>
          </cell>
          <cell r="V458" t="str">
            <v>NULL</v>
          </cell>
          <cell r="W458" t="str">
            <v>NULL</v>
          </cell>
        </row>
        <row r="459">
          <cell r="A459">
            <v>458</v>
          </cell>
          <cell r="B459" t="str">
            <v>ja</v>
          </cell>
          <cell r="C459" t="str">
            <v>嵐龍 スガル</v>
          </cell>
          <cell r="D459" t="str">
            <v>イベント:オリジナル01</v>
          </cell>
          <cell r="E459" t="str">
            <v>執行者</v>
          </cell>
          <cell r="F459" t="str">
            <v>格好いい</v>
          </cell>
          <cell r="G459" t="str">
            <v>男性</v>
          </cell>
          <cell r="H459" t="str">
            <v>yellow</v>
          </cell>
          <cell r="I459">
            <v>4</v>
          </cell>
          <cell r="J459" t="str">
            <v>Drop2N</v>
          </cell>
          <cell r="K459" t="str">
            <v>hp</v>
          </cell>
          <cell r="L459" t="str">
            <v>体力タイプ</v>
          </cell>
          <cell r="M459" t="str">
            <v>dragon</v>
          </cell>
          <cell r="N459" t="str">
            <v>ドラゴン</v>
          </cell>
          <cell r="O459" t="str">
            <v>none</v>
          </cell>
          <cell r="P459" t="str">
            <v>種族なし</v>
          </cell>
          <cell r="Q459" t="str">
            <v>アタッカー</v>
          </cell>
          <cell r="R459">
            <v>3</v>
          </cell>
          <cell r="S459" t="str">
            <v>NULL</v>
          </cell>
          <cell r="T459" t="str">
            <v>normal</v>
          </cell>
          <cell r="U459" t="str">
            <v>NULL</v>
          </cell>
          <cell r="V459" t="str">
            <v>NULL</v>
          </cell>
          <cell r="W459" t="str">
            <v>NULL</v>
          </cell>
        </row>
        <row r="460">
          <cell r="A460">
            <v>459</v>
          </cell>
          <cell r="B460" t="str">
            <v>ja</v>
          </cell>
          <cell r="C460" t="str">
            <v>威喝の嵐龍 スガル</v>
          </cell>
          <cell r="D460" t="str">
            <v>イベント:オリジナル01</v>
          </cell>
          <cell r="E460" t="str">
            <v>執行者</v>
          </cell>
          <cell r="F460" t="str">
            <v>格好いい</v>
          </cell>
          <cell r="G460" t="str">
            <v>男性</v>
          </cell>
          <cell r="H460" t="str">
            <v>yellow</v>
          </cell>
          <cell r="I460">
            <v>5</v>
          </cell>
          <cell r="J460" t="str">
            <v>Drop2N</v>
          </cell>
          <cell r="K460" t="str">
            <v>hp</v>
          </cell>
          <cell r="L460" t="str">
            <v>体力タイプ</v>
          </cell>
          <cell r="M460" t="str">
            <v>dragon</v>
          </cell>
          <cell r="N460" t="str">
            <v>ドラゴン</v>
          </cell>
          <cell r="O460" t="str">
            <v>none</v>
          </cell>
          <cell r="P460" t="str">
            <v>種族なし</v>
          </cell>
          <cell r="Q460" t="str">
            <v>アタッカー</v>
          </cell>
          <cell r="R460">
            <v>3</v>
          </cell>
          <cell r="S460" t="str">
            <v>NULL</v>
          </cell>
          <cell r="T460" t="str">
            <v>normal</v>
          </cell>
          <cell r="U460" t="str">
            <v>NULL</v>
          </cell>
          <cell r="V460" t="str">
            <v>NULL</v>
          </cell>
          <cell r="W460" t="str">
            <v>NULL</v>
          </cell>
        </row>
        <row r="461">
          <cell r="A461">
            <v>460</v>
          </cell>
          <cell r="B461" t="str">
            <v>ja</v>
          </cell>
          <cell r="C461" t="str">
            <v>オズ</v>
          </cell>
          <cell r="D461" t="str">
            <v>イベント:ウィザード</v>
          </cell>
          <cell r="E461" t="str">
            <v>執行者</v>
          </cell>
          <cell r="F461" t="str">
            <v>格好いい</v>
          </cell>
          <cell r="G461" t="str">
            <v>男性</v>
          </cell>
          <cell r="H461" t="str">
            <v>green</v>
          </cell>
          <cell r="I461">
            <v>4</v>
          </cell>
          <cell r="J461" t="str">
            <v>DropWizS</v>
          </cell>
          <cell r="K461" t="str">
            <v>technical</v>
          </cell>
          <cell r="L461" t="str">
            <v>テクニカルタイプ</v>
          </cell>
          <cell r="M461" t="str">
            <v>human</v>
          </cell>
          <cell r="N461" t="str">
            <v>ヒューマン</v>
          </cell>
          <cell r="O461" t="str">
            <v>none</v>
          </cell>
          <cell r="P461" t="str">
            <v>種族なし</v>
          </cell>
          <cell r="Q461" t="str">
            <v>アタッカー</v>
          </cell>
          <cell r="R461">
            <v>3</v>
          </cell>
          <cell r="S461" t="str">
            <v>NULL</v>
          </cell>
          <cell r="T461" t="str">
            <v>normal</v>
          </cell>
          <cell r="U461" t="str">
            <v>NULL</v>
          </cell>
          <cell r="V461" t="str">
            <v>NULL</v>
          </cell>
          <cell r="W461" t="str">
            <v>NULL</v>
          </cell>
        </row>
        <row r="462">
          <cell r="A462">
            <v>461</v>
          </cell>
          <cell r="B462" t="str">
            <v>ja</v>
          </cell>
          <cell r="C462" t="str">
            <v>大いなる虚像 オズ</v>
          </cell>
          <cell r="D462" t="str">
            <v>イベント:ウィザード</v>
          </cell>
          <cell r="E462" t="str">
            <v>執行者</v>
          </cell>
          <cell r="F462" t="str">
            <v>格好いい</v>
          </cell>
          <cell r="G462" t="str">
            <v>男性</v>
          </cell>
          <cell r="H462" t="str">
            <v>green</v>
          </cell>
          <cell r="I462">
            <v>5</v>
          </cell>
          <cell r="J462" t="str">
            <v>DropWizS</v>
          </cell>
          <cell r="K462" t="str">
            <v>technical</v>
          </cell>
          <cell r="L462" t="str">
            <v>テクニカルタイプ</v>
          </cell>
          <cell r="M462" t="str">
            <v>human</v>
          </cell>
          <cell r="N462" t="str">
            <v>ヒューマン</v>
          </cell>
          <cell r="O462" t="str">
            <v>none</v>
          </cell>
          <cell r="P462" t="str">
            <v>種族なし</v>
          </cell>
          <cell r="Q462" t="str">
            <v>アタッカー</v>
          </cell>
          <cell r="R462">
            <v>3</v>
          </cell>
          <cell r="S462" t="str">
            <v>NULL</v>
          </cell>
          <cell r="T462" t="str">
            <v>normal</v>
          </cell>
          <cell r="U462" t="str">
            <v>NULL</v>
          </cell>
          <cell r="V462" t="str">
            <v>NULL</v>
          </cell>
          <cell r="W462" t="str">
            <v>NULL</v>
          </cell>
        </row>
        <row r="463">
          <cell r="A463">
            <v>462</v>
          </cell>
          <cell r="B463" t="str">
            <v>ja</v>
          </cell>
          <cell r="C463" t="str">
            <v>ガウェイン</v>
          </cell>
          <cell r="D463" t="str">
            <v>ガチャ:円卓01</v>
          </cell>
          <cell r="E463" t="str">
            <v>執行者</v>
          </cell>
          <cell r="F463" t="str">
            <v>格好いい</v>
          </cell>
          <cell r="G463" t="str">
            <v>男性</v>
          </cell>
          <cell r="H463" t="str">
            <v>red</v>
          </cell>
          <cell r="I463">
            <v>3</v>
          </cell>
          <cell r="J463" t="str">
            <v>PremiumS</v>
          </cell>
          <cell r="K463" t="str">
            <v>hp</v>
          </cell>
          <cell r="L463" t="str">
            <v>体力タイプ</v>
          </cell>
          <cell r="M463" t="str">
            <v>human</v>
          </cell>
          <cell r="N463" t="str">
            <v>ヒューマン</v>
          </cell>
          <cell r="O463" t="str">
            <v>none</v>
          </cell>
          <cell r="P463" t="str">
            <v>種族なし</v>
          </cell>
          <cell r="Q463" t="str">
            <v>アタッカー</v>
          </cell>
          <cell r="R463">
            <v>3</v>
          </cell>
          <cell r="S463" t="str">
            <v>NULL</v>
          </cell>
          <cell r="T463" t="str">
            <v>normal</v>
          </cell>
          <cell r="U463" t="str">
            <v>NULL</v>
          </cell>
          <cell r="V463" t="str">
            <v>NULL</v>
          </cell>
          <cell r="W463" t="str">
            <v>NULL</v>
          </cell>
        </row>
        <row r="464">
          <cell r="A464">
            <v>463</v>
          </cell>
          <cell r="B464" t="str">
            <v>ja</v>
          </cell>
          <cell r="C464" t="str">
            <v>燻銀 ガウェイン</v>
          </cell>
          <cell r="D464" t="str">
            <v>ガチャ:円卓01</v>
          </cell>
          <cell r="E464" t="str">
            <v>執行者</v>
          </cell>
          <cell r="F464" t="str">
            <v>格好いい</v>
          </cell>
          <cell r="G464" t="str">
            <v>男性</v>
          </cell>
          <cell r="H464" t="str">
            <v>red</v>
          </cell>
          <cell r="I464">
            <v>4</v>
          </cell>
          <cell r="J464" t="str">
            <v>PremiumS</v>
          </cell>
          <cell r="K464" t="str">
            <v>hp</v>
          </cell>
          <cell r="L464" t="str">
            <v>体力タイプ</v>
          </cell>
          <cell r="M464" t="str">
            <v>human</v>
          </cell>
          <cell r="N464" t="str">
            <v>ヒューマン</v>
          </cell>
          <cell r="O464" t="str">
            <v>none</v>
          </cell>
          <cell r="P464" t="str">
            <v>種族なし</v>
          </cell>
          <cell r="Q464" t="str">
            <v>アタッカー</v>
          </cell>
          <cell r="R464">
            <v>3</v>
          </cell>
          <cell r="S464" t="str">
            <v>NULL</v>
          </cell>
          <cell r="T464" t="str">
            <v>normal</v>
          </cell>
          <cell r="U464" t="str">
            <v>NULL</v>
          </cell>
          <cell r="V464" t="str">
            <v>NULL</v>
          </cell>
          <cell r="W464" t="str">
            <v>NULL</v>
          </cell>
        </row>
        <row r="465">
          <cell r="A465">
            <v>464</v>
          </cell>
          <cell r="B465" t="str">
            <v>ja</v>
          </cell>
          <cell r="C465" t="str">
            <v>円熟の弾導 ガウェイン</v>
          </cell>
          <cell r="D465" t="str">
            <v>ガチャ:円卓01</v>
          </cell>
          <cell r="E465" t="str">
            <v>執行者</v>
          </cell>
          <cell r="F465" t="str">
            <v>格好いい</v>
          </cell>
          <cell r="G465" t="str">
            <v>男性</v>
          </cell>
          <cell r="H465" t="str">
            <v>red</v>
          </cell>
          <cell r="I465">
            <v>5</v>
          </cell>
          <cell r="J465" t="str">
            <v>PremiumS</v>
          </cell>
          <cell r="K465" t="str">
            <v>hp</v>
          </cell>
          <cell r="L465" t="str">
            <v>体力タイプ</v>
          </cell>
          <cell r="M465" t="str">
            <v>human</v>
          </cell>
          <cell r="N465" t="str">
            <v>ヒューマン</v>
          </cell>
          <cell r="O465" t="str">
            <v>none</v>
          </cell>
          <cell r="P465" t="str">
            <v>種族なし</v>
          </cell>
          <cell r="Q465" t="str">
            <v>アタッカー</v>
          </cell>
          <cell r="R465">
            <v>3</v>
          </cell>
          <cell r="S465" t="str">
            <v>NULL</v>
          </cell>
          <cell r="T465" t="str">
            <v>normal</v>
          </cell>
          <cell r="U465" t="str">
            <v>NULL</v>
          </cell>
          <cell r="V465" t="str">
            <v>NULL</v>
          </cell>
          <cell r="W465" t="str">
            <v>NULL</v>
          </cell>
        </row>
        <row r="466">
          <cell r="A466">
            <v>465</v>
          </cell>
          <cell r="B466" t="str">
            <v>ja</v>
          </cell>
          <cell r="C466" t="str">
            <v>真撃 ランスロット</v>
          </cell>
          <cell r="D466" t="str">
            <v>ガチャ:円卓01</v>
          </cell>
          <cell r="E466" t="str">
            <v>執行者</v>
          </cell>
          <cell r="F466" t="str">
            <v>格好いい</v>
          </cell>
          <cell r="G466" t="str">
            <v>男性</v>
          </cell>
          <cell r="H466" t="str">
            <v>green</v>
          </cell>
          <cell r="I466">
            <v>4</v>
          </cell>
          <cell r="J466" t="str">
            <v>PremiumSS</v>
          </cell>
          <cell r="K466" t="str">
            <v>balance</v>
          </cell>
          <cell r="L466" t="str">
            <v>バランスタイプ</v>
          </cell>
          <cell r="M466" t="str">
            <v>human</v>
          </cell>
          <cell r="N466" t="str">
            <v>ヒューマン</v>
          </cell>
          <cell r="O466" t="str">
            <v>none</v>
          </cell>
          <cell r="P466" t="str">
            <v>種族なし</v>
          </cell>
          <cell r="Q466" t="str">
            <v>アタッカー</v>
          </cell>
          <cell r="R466">
            <v>3</v>
          </cell>
          <cell r="S466" t="str">
            <v>NULL</v>
          </cell>
          <cell r="T466" t="str">
            <v>normal</v>
          </cell>
          <cell r="U466" t="str">
            <v>NULL</v>
          </cell>
          <cell r="V466" t="str">
            <v>NULL</v>
          </cell>
          <cell r="W466" t="str">
            <v>NULL</v>
          </cell>
        </row>
        <row r="467">
          <cell r="A467">
            <v>466</v>
          </cell>
          <cell r="B467" t="str">
            <v>ja</v>
          </cell>
          <cell r="C467" t="str">
            <v>真断の勇覇 ランスロット</v>
          </cell>
          <cell r="D467" t="str">
            <v>ガチャ:円卓01</v>
          </cell>
          <cell r="E467" t="str">
            <v>執行者</v>
          </cell>
          <cell r="F467" t="str">
            <v>格好いい</v>
          </cell>
          <cell r="G467" t="str">
            <v>男性</v>
          </cell>
          <cell r="H467" t="str">
            <v>green</v>
          </cell>
          <cell r="I467">
            <v>5</v>
          </cell>
          <cell r="J467" t="str">
            <v>PremiumSS</v>
          </cell>
          <cell r="K467" t="str">
            <v>balance</v>
          </cell>
          <cell r="L467" t="str">
            <v>バランスタイプ</v>
          </cell>
          <cell r="M467" t="str">
            <v>human</v>
          </cell>
          <cell r="N467" t="str">
            <v>ヒューマン</v>
          </cell>
          <cell r="O467" t="str">
            <v>none</v>
          </cell>
          <cell r="P467" t="str">
            <v>種族なし</v>
          </cell>
          <cell r="Q467" t="str">
            <v>アタッカー</v>
          </cell>
          <cell r="R467">
            <v>3</v>
          </cell>
          <cell r="S467" t="str">
            <v>NULL</v>
          </cell>
          <cell r="T467" t="str">
            <v>normal</v>
          </cell>
          <cell r="U467" t="str">
            <v>NULL</v>
          </cell>
          <cell r="V467" t="str">
            <v>NULL</v>
          </cell>
          <cell r="W467" t="str">
            <v>NULL</v>
          </cell>
        </row>
        <row r="468">
          <cell r="A468">
            <v>467</v>
          </cell>
          <cell r="B468" t="str">
            <v>ja</v>
          </cell>
          <cell r="C468" t="str">
            <v>報復 モルドレッド</v>
          </cell>
          <cell r="D468" t="str">
            <v>ガチャ:円卓01</v>
          </cell>
          <cell r="E468" t="str">
            <v>執行者</v>
          </cell>
          <cell r="F468" t="str">
            <v>格好いい</v>
          </cell>
          <cell r="G468" t="str">
            <v>女性</v>
          </cell>
          <cell r="H468" t="str">
            <v>blue</v>
          </cell>
          <cell r="I468">
            <v>4</v>
          </cell>
          <cell r="J468" t="str">
            <v>PremiumSS</v>
          </cell>
          <cell r="K468" t="str">
            <v>technical</v>
          </cell>
          <cell r="L468" t="str">
            <v>テクニカルタイプ</v>
          </cell>
          <cell r="M468" t="str">
            <v>human</v>
          </cell>
          <cell r="N468" t="str">
            <v>ヒューマン</v>
          </cell>
          <cell r="O468" t="str">
            <v>none</v>
          </cell>
          <cell r="P468" t="str">
            <v>種族なし</v>
          </cell>
          <cell r="Q468" t="str">
            <v>アタッカー</v>
          </cell>
          <cell r="R468">
            <v>3</v>
          </cell>
          <cell r="S468" t="str">
            <v>NULL</v>
          </cell>
          <cell r="T468" t="str">
            <v>normal</v>
          </cell>
          <cell r="U468" t="str">
            <v>NULL</v>
          </cell>
          <cell r="V468" t="str">
            <v>NULL</v>
          </cell>
          <cell r="W468" t="str">
            <v>NULL</v>
          </cell>
        </row>
        <row r="469">
          <cell r="A469">
            <v>468</v>
          </cell>
          <cell r="B469" t="str">
            <v>ja</v>
          </cell>
          <cell r="C469" t="str">
            <v>憎愛の尖鋒 モルドレッド</v>
          </cell>
          <cell r="D469" t="str">
            <v>ガチャ:円卓01</v>
          </cell>
          <cell r="E469" t="str">
            <v>執行者</v>
          </cell>
          <cell r="F469" t="str">
            <v>格好いい</v>
          </cell>
          <cell r="G469" t="str">
            <v>女性</v>
          </cell>
          <cell r="H469" t="str">
            <v>blue</v>
          </cell>
          <cell r="I469">
            <v>5</v>
          </cell>
          <cell r="J469" t="str">
            <v>PremiumSS</v>
          </cell>
          <cell r="K469" t="str">
            <v>technical</v>
          </cell>
          <cell r="L469" t="str">
            <v>テクニカルタイプ</v>
          </cell>
          <cell r="M469" t="str">
            <v>human</v>
          </cell>
          <cell r="N469" t="str">
            <v>ヒューマン</v>
          </cell>
          <cell r="O469" t="str">
            <v>none</v>
          </cell>
          <cell r="P469" t="str">
            <v>種族なし</v>
          </cell>
          <cell r="Q469" t="str">
            <v>アタッカー</v>
          </cell>
          <cell r="R469">
            <v>3</v>
          </cell>
          <cell r="S469" t="str">
            <v>NULL</v>
          </cell>
          <cell r="T469" t="str">
            <v>normal</v>
          </cell>
          <cell r="U469" t="str">
            <v>NULL</v>
          </cell>
          <cell r="V469" t="str">
            <v>NULL</v>
          </cell>
          <cell r="W469" t="str">
            <v>NULL</v>
          </cell>
        </row>
        <row r="470">
          <cell r="A470">
            <v>469</v>
          </cell>
          <cell r="B470" t="str">
            <v>ja</v>
          </cell>
          <cell r="C470" t="str">
            <v>トリスタン</v>
          </cell>
          <cell r="D470" t="str">
            <v>ガチャ:円卓01</v>
          </cell>
          <cell r="E470" t="str">
            <v>執行者</v>
          </cell>
          <cell r="F470" t="str">
            <v>格好いい</v>
          </cell>
          <cell r="G470" t="str">
            <v>男性</v>
          </cell>
          <cell r="H470" t="str">
            <v>yellow</v>
          </cell>
          <cell r="I470">
            <v>3</v>
          </cell>
          <cell r="J470" t="str">
            <v>PremiumS</v>
          </cell>
          <cell r="K470" t="str">
            <v>attack</v>
          </cell>
          <cell r="L470" t="str">
            <v>攻撃タイプ</v>
          </cell>
          <cell r="M470" t="str">
            <v>human</v>
          </cell>
          <cell r="N470" t="str">
            <v>ヒューマン</v>
          </cell>
          <cell r="O470" t="str">
            <v>none</v>
          </cell>
          <cell r="P470" t="str">
            <v>種族なし</v>
          </cell>
          <cell r="Q470" t="str">
            <v>アタッカー</v>
          </cell>
          <cell r="R470">
            <v>3</v>
          </cell>
          <cell r="S470" t="str">
            <v>NULL</v>
          </cell>
          <cell r="T470" t="str">
            <v>normal</v>
          </cell>
          <cell r="U470" t="str">
            <v>NULL</v>
          </cell>
          <cell r="V470" t="str">
            <v>NULL</v>
          </cell>
          <cell r="W470" t="str">
            <v>NULL</v>
          </cell>
        </row>
        <row r="471">
          <cell r="A471">
            <v>470</v>
          </cell>
          <cell r="B471" t="str">
            <v>ja</v>
          </cell>
          <cell r="C471" t="str">
            <v>純心 トリスタン</v>
          </cell>
          <cell r="D471" t="str">
            <v>ガチャ:円卓01</v>
          </cell>
          <cell r="E471" t="str">
            <v>執行者</v>
          </cell>
          <cell r="F471" t="str">
            <v>格好いい</v>
          </cell>
          <cell r="G471" t="str">
            <v>男性</v>
          </cell>
          <cell r="H471" t="str">
            <v>yellow</v>
          </cell>
          <cell r="I471">
            <v>4</v>
          </cell>
          <cell r="J471" t="str">
            <v>PremiumS</v>
          </cell>
          <cell r="K471" t="str">
            <v>attack</v>
          </cell>
          <cell r="L471" t="str">
            <v>攻撃タイプ</v>
          </cell>
          <cell r="M471" t="str">
            <v>human</v>
          </cell>
          <cell r="N471" t="str">
            <v>ヒューマン</v>
          </cell>
          <cell r="O471" t="str">
            <v>none</v>
          </cell>
          <cell r="P471" t="str">
            <v>種族なし</v>
          </cell>
          <cell r="Q471" t="str">
            <v>アタッカー</v>
          </cell>
          <cell r="R471">
            <v>3</v>
          </cell>
          <cell r="S471" t="str">
            <v>NULL</v>
          </cell>
          <cell r="T471" t="str">
            <v>normal</v>
          </cell>
          <cell r="U471" t="str">
            <v>NULL</v>
          </cell>
          <cell r="V471" t="str">
            <v>NULL</v>
          </cell>
          <cell r="W471" t="str">
            <v>NULL</v>
          </cell>
        </row>
        <row r="472">
          <cell r="A472">
            <v>471</v>
          </cell>
          <cell r="B472" t="str">
            <v>ja</v>
          </cell>
          <cell r="C472" t="str">
            <v>不可避の爆激 トリスタン</v>
          </cell>
          <cell r="D472" t="str">
            <v>ガチャ:円卓01</v>
          </cell>
          <cell r="E472" t="str">
            <v>執行者</v>
          </cell>
          <cell r="F472" t="str">
            <v>格好いい</v>
          </cell>
          <cell r="G472" t="str">
            <v>男性</v>
          </cell>
          <cell r="H472" t="str">
            <v>yellow</v>
          </cell>
          <cell r="I472">
            <v>5</v>
          </cell>
          <cell r="J472" t="str">
            <v>PremiumS</v>
          </cell>
          <cell r="K472" t="str">
            <v>attack</v>
          </cell>
          <cell r="L472" t="str">
            <v>攻撃タイプ</v>
          </cell>
          <cell r="M472" t="str">
            <v>human</v>
          </cell>
          <cell r="N472" t="str">
            <v>ヒューマン</v>
          </cell>
          <cell r="O472" t="str">
            <v>none</v>
          </cell>
          <cell r="P472" t="str">
            <v>種族なし</v>
          </cell>
          <cell r="Q472" t="str">
            <v>アタッカー</v>
          </cell>
          <cell r="R472">
            <v>3</v>
          </cell>
          <cell r="S472" t="str">
            <v>NULL</v>
          </cell>
          <cell r="T472" t="str">
            <v>normal</v>
          </cell>
          <cell r="U472" t="str">
            <v>NULL</v>
          </cell>
          <cell r="V472" t="str">
            <v>NULL</v>
          </cell>
          <cell r="W472" t="str">
            <v>NULL</v>
          </cell>
        </row>
        <row r="473">
          <cell r="A473">
            <v>472</v>
          </cell>
          <cell r="B473" t="str">
            <v>ja</v>
          </cell>
          <cell r="C473" t="str">
            <v>アーサー</v>
          </cell>
          <cell r="D473" t="str">
            <v>イベント:ウィザード</v>
          </cell>
          <cell r="E473" t="str">
            <v>執行者</v>
          </cell>
          <cell r="F473" t="str">
            <v>格好いい</v>
          </cell>
          <cell r="G473" t="str">
            <v>男性</v>
          </cell>
          <cell r="H473" t="str">
            <v>red</v>
          </cell>
          <cell r="I473">
            <v>4</v>
          </cell>
          <cell r="J473" t="str">
            <v>DropWizS</v>
          </cell>
          <cell r="K473" t="str">
            <v>balance</v>
          </cell>
          <cell r="L473" t="str">
            <v>バランスタイプ</v>
          </cell>
          <cell r="M473" t="str">
            <v>human</v>
          </cell>
          <cell r="N473" t="str">
            <v>ヒューマン</v>
          </cell>
          <cell r="O473" t="str">
            <v>none</v>
          </cell>
          <cell r="P473" t="str">
            <v>種族なし</v>
          </cell>
          <cell r="Q473" t="str">
            <v>アタッカー</v>
          </cell>
          <cell r="R473">
            <v>3</v>
          </cell>
          <cell r="S473" t="str">
            <v>NULL</v>
          </cell>
          <cell r="T473" t="str">
            <v>normal</v>
          </cell>
          <cell r="U473" t="str">
            <v>NULL</v>
          </cell>
          <cell r="V473" t="str">
            <v>NULL</v>
          </cell>
          <cell r="W473" t="str">
            <v>NULL</v>
          </cell>
        </row>
        <row r="474">
          <cell r="A474">
            <v>473</v>
          </cell>
          <cell r="B474" t="str">
            <v>ja</v>
          </cell>
          <cell r="C474" t="str">
            <v>凶堅なる正義 アーサー</v>
          </cell>
          <cell r="D474" t="str">
            <v>イベント:ウィザード</v>
          </cell>
          <cell r="E474" t="str">
            <v>執行者</v>
          </cell>
          <cell r="F474" t="str">
            <v>格好いい</v>
          </cell>
          <cell r="G474" t="str">
            <v>男性</v>
          </cell>
          <cell r="H474" t="str">
            <v>red</v>
          </cell>
          <cell r="I474">
            <v>5</v>
          </cell>
          <cell r="J474" t="str">
            <v>DropWizS</v>
          </cell>
          <cell r="K474" t="str">
            <v>balance</v>
          </cell>
          <cell r="L474" t="str">
            <v>バランスタイプ</v>
          </cell>
          <cell r="M474" t="str">
            <v>human</v>
          </cell>
          <cell r="N474" t="str">
            <v>ヒューマン</v>
          </cell>
          <cell r="O474" t="str">
            <v>none</v>
          </cell>
          <cell r="P474" t="str">
            <v>種族なし</v>
          </cell>
          <cell r="Q474" t="str">
            <v>アタッカー</v>
          </cell>
          <cell r="R474">
            <v>3</v>
          </cell>
          <cell r="S474" t="str">
            <v>NULL</v>
          </cell>
          <cell r="T474" t="str">
            <v>normal</v>
          </cell>
          <cell r="U474" t="str">
            <v>NULL</v>
          </cell>
          <cell r="V474" t="str">
            <v>NULL</v>
          </cell>
          <cell r="W474" t="str">
            <v>NULL</v>
          </cell>
        </row>
        <row r="475">
          <cell r="A475">
            <v>474</v>
          </cell>
          <cell r="B475" t="str">
            <v>ja</v>
          </cell>
          <cell r="C475" t="str">
            <v>キング・ドライグ</v>
          </cell>
          <cell r="D475" t="str">
            <v>ガチャ:デッドマンズ</v>
          </cell>
          <cell r="E475" t="str">
            <v>執行者</v>
          </cell>
          <cell r="F475" t="str">
            <v>格好いい</v>
          </cell>
          <cell r="G475" t="str">
            <v>不明</v>
          </cell>
          <cell r="H475" t="str">
            <v>red</v>
          </cell>
          <cell r="I475">
            <v>4</v>
          </cell>
          <cell r="J475" t="str">
            <v>PremiumSS</v>
          </cell>
          <cell r="K475" t="str">
            <v>attack</v>
          </cell>
          <cell r="L475" t="str">
            <v>攻撃タイプ</v>
          </cell>
          <cell r="M475" t="str">
            <v>dragon</v>
          </cell>
          <cell r="N475" t="str">
            <v>ドラゴン</v>
          </cell>
          <cell r="O475" t="str">
            <v>none</v>
          </cell>
          <cell r="P475" t="str">
            <v>種族なし</v>
          </cell>
          <cell r="Q475" t="str">
            <v>アタッカー</v>
          </cell>
          <cell r="R475">
            <v>3</v>
          </cell>
          <cell r="S475" t="str">
            <v>NULL</v>
          </cell>
          <cell r="T475" t="str">
            <v>normal</v>
          </cell>
          <cell r="U475" t="str">
            <v>NULL</v>
          </cell>
          <cell r="V475" t="str">
            <v>NULL</v>
          </cell>
          <cell r="W475" t="str">
            <v>NULL</v>
          </cell>
        </row>
        <row r="476">
          <cell r="A476">
            <v>475</v>
          </cell>
          <cell r="B476" t="str">
            <v>ja</v>
          </cell>
          <cell r="C476" t="str">
            <v>緋王 キング・ドライグ</v>
          </cell>
          <cell r="D476" t="str">
            <v>ガチャ:デッドマンズ</v>
          </cell>
          <cell r="E476" t="str">
            <v>執行者</v>
          </cell>
          <cell r="F476" t="str">
            <v>格好いい</v>
          </cell>
          <cell r="G476" t="str">
            <v>不明</v>
          </cell>
          <cell r="H476" t="str">
            <v>red</v>
          </cell>
          <cell r="I476">
            <v>5</v>
          </cell>
          <cell r="J476" t="str">
            <v>PremiumSS</v>
          </cell>
          <cell r="K476" t="str">
            <v>attack</v>
          </cell>
          <cell r="L476" t="str">
            <v>攻撃タイプ</v>
          </cell>
          <cell r="M476" t="str">
            <v>dragon</v>
          </cell>
          <cell r="N476" t="str">
            <v>ドラゴン</v>
          </cell>
          <cell r="O476" t="str">
            <v>none</v>
          </cell>
          <cell r="P476" t="str">
            <v>種族なし</v>
          </cell>
          <cell r="Q476" t="str">
            <v>アタッカー</v>
          </cell>
          <cell r="R476">
            <v>3</v>
          </cell>
          <cell r="S476" t="str">
            <v>NULL</v>
          </cell>
          <cell r="T476" t="str">
            <v>normal</v>
          </cell>
          <cell r="U476" t="str">
            <v>NULL</v>
          </cell>
          <cell r="V476" t="str">
            <v>NULL</v>
          </cell>
          <cell r="W476" t="str">
            <v>NULL</v>
          </cell>
        </row>
        <row r="477">
          <cell r="A477">
            <v>476</v>
          </cell>
          <cell r="B477" t="str">
            <v>ja</v>
          </cell>
          <cell r="C477" t="str">
            <v>ファータ</v>
          </cell>
          <cell r="D477" t="str">
            <v>ガチャ:デッドマンズ</v>
          </cell>
          <cell r="E477" t="str">
            <v>執行者</v>
          </cell>
          <cell r="F477" t="str">
            <v>格好いい</v>
          </cell>
          <cell r="G477" t="str">
            <v>女性</v>
          </cell>
          <cell r="H477" t="str">
            <v>green</v>
          </cell>
          <cell r="I477">
            <v>3</v>
          </cell>
          <cell r="J477" t="str">
            <v>PremiumS</v>
          </cell>
          <cell r="K477" t="str">
            <v>heal</v>
          </cell>
          <cell r="L477" t="str">
            <v>回復タイプ</v>
          </cell>
          <cell r="M477" t="str">
            <v>unknown</v>
          </cell>
          <cell r="N477" t="str">
            <v>Unknown</v>
          </cell>
          <cell r="O477" t="str">
            <v>none</v>
          </cell>
          <cell r="P477" t="str">
            <v>種族なし</v>
          </cell>
          <cell r="Q477" t="str">
            <v>アタッカー</v>
          </cell>
          <cell r="R477">
            <v>3</v>
          </cell>
          <cell r="S477" t="str">
            <v>NULL</v>
          </cell>
          <cell r="T477" t="str">
            <v>normal</v>
          </cell>
          <cell r="U477" t="str">
            <v>NULL</v>
          </cell>
          <cell r="V477" t="str">
            <v>NULL</v>
          </cell>
          <cell r="W477" t="str">
            <v>NULL</v>
          </cell>
        </row>
        <row r="478">
          <cell r="A478">
            <v>477</v>
          </cell>
          <cell r="B478" t="str">
            <v>ja</v>
          </cell>
          <cell r="C478" t="str">
            <v>愛羽妖精 ファータ</v>
          </cell>
          <cell r="D478" t="str">
            <v>ガチャ:デッドマンズ</v>
          </cell>
          <cell r="E478" t="str">
            <v>執行者</v>
          </cell>
          <cell r="F478" t="str">
            <v>格好いい</v>
          </cell>
          <cell r="G478" t="str">
            <v>女性</v>
          </cell>
          <cell r="H478" t="str">
            <v>green</v>
          </cell>
          <cell r="I478">
            <v>4</v>
          </cell>
          <cell r="J478" t="str">
            <v>PremiumS</v>
          </cell>
          <cell r="K478" t="str">
            <v>heal</v>
          </cell>
          <cell r="L478" t="str">
            <v>回復タイプ</v>
          </cell>
          <cell r="M478" t="str">
            <v>unknown</v>
          </cell>
          <cell r="N478" t="str">
            <v>Unknown</v>
          </cell>
          <cell r="O478" t="str">
            <v>none</v>
          </cell>
          <cell r="P478" t="str">
            <v>種族なし</v>
          </cell>
          <cell r="Q478" t="str">
            <v>アタッカー</v>
          </cell>
          <cell r="R478">
            <v>3</v>
          </cell>
          <cell r="S478" t="str">
            <v>NULL</v>
          </cell>
          <cell r="T478" t="str">
            <v>normal</v>
          </cell>
          <cell r="U478" t="str">
            <v>NULL</v>
          </cell>
          <cell r="V478" t="str">
            <v>NULL</v>
          </cell>
          <cell r="W478" t="str">
            <v>NULL</v>
          </cell>
        </row>
        <row r="479">
          <cell r="A479">
            <v>478</v>
          </cell>
          <cell r="B479" t="str">
            <v>ja</v>
          </cell>
          <cell r="C479" t="str">
            <v>時計仕掛けの愛羽妖精 ファータ</v>
          </cell>
          <cell r="D479" t="str">
            <v>ガチャ:デッドマンズ</v>
          </cell>
          <cell r="E479" t="str">
            <v>執行者</v>
          </cell>
          <cell r="F479" t="str">
            <v>格好いい</v>
          </cell>
          <cell r="G479" t="str">
            <v>女性</v>
          </cell>
          <cell r="H479" t="str">
            <v>green</v>
          </cell>
          <cell r="I479">
            <v>5</v>
          </cell>
          <cell r="J479" t="str">
            <v>PremiumS</v>
          </cell>
          <cell r="K479" t="str">
            <v>heal</v>
          </cell>
          <cell r="L479" t="str">
            <v>回復タイプ</v>
          </cell>
          <cell r="M479" t="str">
            <v>unknown</v>
          </cell>
          <cell r="N479" t="str">
            <v>Unknown</v>
          </cell>
          <cell r="O479" t="str">
            <v>none</v>
          </cell>
          <cell r="P479" t="str">
            <v>種族なし</v>
          </cell>
          <cell r="Q479" t="str">
            <v>アタッカー</v>
          </cell>
          <cell r="R479">
            <v>3</v>
          </cell>
          <cell r="S479" t="str">
            <v>NULL</v>
          </cell>
          <cell r="T479" t="str">
            <v>normal</v>
          </cell>
          <cell r="U479" t="str">
            <v>NULL</v>
          </cell>
          <cell r="V479" t="str">
            <v>NULL</v>
          </cell>
          <cell r="W479" t="str">
            <v>NULL</v>
          </cell>
        </row>
        <row r="480">
          <cell r="A480">
            <v>479</v>
          </cell>
          <cell r="B480" t="str">
            <v>ja</v>
          </cell>
          <cell r="C480" t="str">
            <v>フール</v>
          </cell>
          <cell r="D480" t="str">
            <v>ガチャ:デッドマンズ</v>
          </cell>
          <cell r="E480" t="str">
            <v>執行者</v>
          </cell>
          <cell r="F480" t="str">
            <v>格好いい</v>
          </cell>
          <cell r="G480" t="str">
            <v>男性</v>
          </cell>
          <cell r="H480" t="str">
            <v>blue</v>
          </cell>
          <cell r="I480">
            <v>4</v>
          </cell>
          <cell r="J480" t="str">
            <v>PremiumSS</v>
          </cell>
          <cell r="K480" t="str">
            <v>technical</v>
          </cell>
          <cell r="L480" t="str">
            <v>テクニカルタイプ</v>
          </cell>
          <cell r="M480" t="str">
            <v>god</v>
          </cell>
          <cell r="N480" t="str">
            <v>ゴッド</v>
          </cell>
          <cell r="O480" t="str">
            <v>none</v>
          </cell>
          <cell r="P480" t="str">
            <v>種族なし</v>
          </cell>
          <cell r="Q480" t="str">
            <v>アタッカー</v>
          </cell>
          <cell r="R480">
            <v>3</v>
          </cell>
          <cell r="S480" t="str">
            <v>NULL</v>
          </cell>
          <cell r="T480" t="str">
            <v>normal</v>
          </cell>
          <cell r="U480" t="str">
            <v>NULL</v>
          </cell>
          <cell r="V480" t="str">
            <v>NULL</v>
          </cell>
          <cell r="W480" t="str">
            <v>NULL</v>
          </cell>
        </row>
        <row r="481">
          <cell r="A481">
            <v>480</v>
          </cell>
          <cell r="B481" t="str">
            <v>ja</v>
          </cell>
          <cell r="C481" t="str">
            <v>夢幻の愚者フール</v>
          </cell>
          <cell r="D481" t="str">
            <v>ガチャ:デッドマンズ</v>
          </cell>
          <cell r="E481" t="str">
            <v>執行者</v>
          </cell>
          <cell r="F481" t="str">
            <v>格好いい</v>
          </cell>
          <cell r="G481" t="str">
            <v>男性</v>
          </cell>
          <cell r="H481" t="str">
            <v>blue</v>
          </cell>
          <cell r="I481">
            <v>5</v>
          </cell>
          <cell r="J481" t="str">
            <v>PremiumSS</v>
          </cell>
          <cell r="K481" t="str">
            <v>technical</v>
          </cell>
          <cell r="L481" t="str">
            <v>テクニカルタイプ</v>
          </cell>
          <cell r="M481" t="str">
            <v>god</v>
          </cell>
          <cell r="N481" t="str">
            <v>ゴッド</v>
          </cell>
          <cell r="O481" t="str">
            <v>none</v>
          </cell>
          <cell r="P481" t="str">
            <v>種族なし</v>
          </cell>
          <cell r="Q481" t="str">
            <v>アタッカー</v>
          </cell>
          <cell r="R481">
            <v>3</v>
          </cell>
          <cell r="S481" t="str">
            <v>NULL</v>
          </cell>
          <cell r="T481" t="str">
            <v>normal</v>
          </cell>
          <cell r="U481" t="str">
            <v>NULL</v>
          </cell>
          <cell r="V481" t="str">
            <v>NULL</v>
          </cell>
          <cell r="W481" t="str">
            <v>NULL</v>
          </cell>
        </row>
        <row r="482">
          <cell r="A482">
            <v>481</v>
          </cell>
          <cell r="B482" t="str">
            <v>ja</v>
          </cell>
          <cell r="C482" t="str">
            <v>沢庵宗彭</v>
          </cell>
          <cell r="D482" t="str">
            <v>ガチャ:デッドマンズ</v>
          </cell>
          <cell r="E482" t="str">
            <v>執行者</v>
          </cell>
          <cell r="F482" t="str">
            <v>格好いい</v>
          </cell>
          <cell r="G482" t="str">
            <v>男性</v>
          </cell>
          <cell r="H482" t="str">
            <v>yellow</v>
          </cell>
          <cell r="I482">
            <v>3</v>
          </cell>
          <cell r="J482" t="str">
            <v>PremiumS</v>
          </cell>
          <cell r="K482" t="str">
            <v>hp</v>
          </cell>
          <cell r="L482" t="str">
            <v>体力タイプ</v>
          </cell>
          <cell r="M482" t="str">
            <v>human</v>
          </cell>
          <cell r="N482" t="str">
            <v>ヒューマン</v>
          </cell>
          <cell r="O482" t="str">
            <v>none</v>
          </cell>
          <cell r="P482" t="str">
            <v>種族なし</v>
          </cell>
          <cell r="Q482" t="str">
            <v>アタッカー</v>
          </cell>
          <cell r="R482">
            <v>3</v>
          </cell>
          <cell r="S482" t="str">
            <v>NULL</v>
          </cell>
          <cell r="T482" t="str">
            <v>normal</v>
          </cell>
          <cell r="U482" t="str">
            <v>NULL</v>
          </cell>
          <cell r="V482" t="str">
            <v>NULL</v>
          </cell>
          <cell r="W482" t="str">
            <v>NULL</v>
          </cell>
        </row>
        <row r="483">
          <cell r="A483">
            <v>482</v>
          </cell>
          <cell r="B483" t="str">
            <v>ja</v>
          </cell>
          <cell r="C483" t="str">
            <v>魁僧 沢庵宗彭</v>
          </cell>
          <cell r="D483" t="str">
            <v>ガチャ:デッドマンズ</v>
          </cell>
          <cell r="E483" t="str">
            <v>執行者</v>
          </cell>
          <cell r="F483" t="str">
            <v>格好いい</v>
          </cell>
          <cell r="G483" t="str">
            <v>男性</v>
          </cell>
          <cell r="H483" t="str">
            <v>yellow</v>
          </cell>
          <cell r="I483">
            <v>4</v>
          </cell>
          <cell r="J483" t="str">
            <v>PremiumS</v>
          </cell>
          <cell r="K483" t="str">
            <v>hp</v>
          </cell>
          <cell r="L483" t="str">
            <v>体力タイプ</v>
          </cell>
          <cell r="M483" t="str">
            <v>human</v>
          </cell>
          <cell r="N483" t="str">
            <v>ヒューマン</v>
          </cell>
          <cell r="O483" t="str">
            <v>none</v>
          </cell>
          <cell r="P483" t="str">
            <v>種族なし</v>
          </cell>
          <cell r="Q483" t="str">
            <v>アタッカー</v>
          </cell>
          <cell r="R483">
            <v>3</v>
          </cell>
          <cell r="S483" t="str">
            <v>NULL</v>
          </cell>
          <cell r="T483" t="str">
            <v>normal</v>
          </cell>
          <cell r="U483" t="str">
            <v>NULL</v>
          </cell>
          <cell r="V483" t="str">
            <v>NULL</v>
          </cell>
          <cell r="W483" t="str">
            <v>NULL</v>
          </cell>
        </row>
        <row r="484">
          <cell r="A484">
            <v>483</v>
          </cell>
          <cell r="B484" t="str">
            <v>ja</v>
          </cell>
          <cell r="C484" t="str">
            <v xml:space="preserve">命経死遂 沢庵宗彭 </v>
          </cell>
          <cell r="D484" t="str">
            <v>ガチャ:デッドマンズ</v>
          </cell>
          <cell r="E484" t="str">
            <v>執行者</v>
          </cell>
          <cell r="F484" t="str">
            <v>格好いい</v>
          </cell>
          <cell r="G484" t="str">
            <v>男性</v>
          </cell>
          <cell r="H484" t="str">
            <v>yellow</v>
          </cell>
          <cell r="I484">
            <v>5</v>
          </cell>
          <cell r="J484" t="str">
            <v>PremiumS</v>
          </cell>
          <cell r="K484" t="str">
            <v>hp</v>
          </cell>
          <cell r="L484" t="str">
            <v>体力タイプ</v>
          </cell>
          <cell r="M484" t="str">
            <v>human</v>
          </cell>
          <cell r="N484" t="str">
            <v>ヒューマン</v>
          </cell>
          <cell r="O484" t="str">
            <v>none</v>
          </cell>
          <cell r="P484" t="str">
            <v>種族なし</v>
          </cell>
          <cell r="Q484" t="str">
            <v>アタッカー</v>
          </cell>
          <cell r="R484">
            <v>3</v>
          </cell>
          <cell r="S484" t="str">
            <v>NULL</v>
          </cell>
          <cell r="T484" t="str">
            <v>normal</v>
          </cell>
          <cell r="U484" t="str">
            <v>NULL</v>
          </cell>
          <cell r="V484" t="str">
            <v>NULL</v>
          </cell>
          <cell r="W484" t="str">
            <v>NULL</v>
          </cell>
        </row>
        <row r="485">
          <cell r="A485">
            <v>484</v>
          </cell>
          <cell r="B485" t="str">
            <v>ja</v>
          </cell>
          <cell r="C485" t="str">
            <v>ラグランジュ</v>
          </cell>
          <cell r="D485" t="str">
            <v>ガチャ:フィーバーフェス02</v>
          </cell>
          <cell r="E485" t="str">
            <v>執行者</v>
          </cell>
          <cell r="F485" t="str">
            <v>格好いい</v>
          </cell>
          <cell r="G485" t="str">
            <v>女性</v>
          </cell>
          <cell r="H485" t="str">
            <v>red</v>
          </cell>
          <cell r="I485">
            <v>4</v>
          </cell>
          <cell r="J485" t="str">
            <v>PremiumSSS</v>
          </cell>
          <cell r="K485" t="str">
            <v>technical</v>
          </cell>
          <cell r="L485" t="str">
            <v>テクニカルタイプ</v>
          </cell>
          <cell r="M485" t="str">
            <v>human</v>
          </cell>
          <cell r="N485" t="str">
            <v>ヒューマン</v>
          </cell>
          <cell r="O485" t="str">
            <v>none</v>
          </cell>
          <cell r="P485" t="str">
            <v>種族なし</v>
          </cell>
          <cell r="Q485" t="str">
            <v>アタッカー</v>
          </cell>
          <cell r="R485">
            <v>3</v>
          </cell>
          <cell r="S485" t="str">
            <v>NULL</v>
          </cell>
          <cell r="T485" t="str">
            <v>normal</v>
          </cell>
          <cell r="U485" t="str">
            <v>NULL</v>
          </cell>
          <cell r="V485" t="str">
            <v>NULL</v>
          </cell>
          <cell r="W485" t="str">
            <v>NULL</v>
          </cell>
        </row>
        <row r="486">
          <cell r="A486">
            <v>485</v>
          </cell>
          <cell r="B486" t="str">
            <v>ja</v>
          </cell>
          <cell r="C486" t="str">
            <v>超越自我 ラグランジュ</v>
          </cell>
          <cell r="D486" t="str">
            <v>ガチャ:フィーバーフェス02</v>
          </cell>
          <cell r="E486" t="str">
            <v>執行者</v>
          </cell>
          <cell r="F486" t="str">
            <v>格好いい</v>
          </cell>
          <cell r="G486" t="str">
            <v>女性</v>
          </cell>
          <cell r="H486" t="str">
            <v>red</v>
          </cell>
          <cell r="I486">
            <v>5</v>
          </cell>
          <cell r="J486" t="str">
            <v>PremiumSSS</v>
          </cell>
          <cell r="K486" t="str">
            <v>technical</v>
          </cell>
          <cell r="L486" t="str">
            <v>テクニカルタイプ</v>
          </cell>
          <cell r="M486" t="str">
            <v>human</v>
          </cell>
          <cell r="N486" t="str">
            <v>ヒューマン</v>
          </cell>
          <cell r="O486" t="str">
            <v>none</v>
          </cell>
          <cell r="P486" t="str">
            <v>種族なし</v>
          </cell>
          <cell r="Q486" t="str">
            <v>アタッカー</v>
          </cell>
          <cell r="R486">
            <v>3</v>
          </cell>
          <cell r="S486" t="str">
            <v>NULL</v>
          </cell>
          <cell r="T486" t="str">
            <v>normal</v>
          </cell>
          <cell r="U486" t="str">
            <v>NULL</v>
          </cell>
          <cell r="V486" t="str">
            <v>NULL</v>
          </cell>
          <cell r="W486" t="str">
            <v>NULL</v>
          </cell>
        </row>
        <row r="487">
          <cell r="A487">
            <v>486</v>
          </cell>
          <cell r="B487" t="str">
            <v>ja</v>
          </cell>
          <cell r="C487" t="str">
            <v>重なる世解 シュレディンガー</v>
          </cell>
          <cell r="D487" t="str">
            <v>ガチャ:赤フェス01</v>
          </cell>
          <cell r="E487" t="str">
            <v>執行者</v>
          </cell>
          <cell r="F487" t="str">
            <v>格好いい</v>
          </cell>
          <cell r="G487" t="str">
            <v>男性</v>
          </cell>
          <cell r="H487" t="str">
            <v>red</v>
          </cell>
          <cell r="I487">
            <v>5</v>
          </cell>
          <cell r="J487" t="str">
            <v>PremiumSSS</v>
          </cell>
          <cell r="K487" t="str">
            <v>balance</v>
          </cell>
          <cell r="L487" t="str">
            <v>バランスタイプ</v>
          </cell>
          <cell r="M487" t="str">
            <v>animal</v>
          </cell>
          <cell r="N487" t="str">
            <v>アニマル</v>
          </cell>
          <cell r="O487" t="str">
            <v>none</v>
          </cell>
          <cell r="P487" t="str">
            <v>種族なし</v>
          </cell>
          <cell r="Q487" t="str">
            <v>アタッカー</v>
          </cell>
          <cell r="R487">
            <v>3</v>
          </cell>
          <cell r="S487" t="str">
            <v>NULL</v>
          </cell>
          <cell r="T487" t="str">
            <v>normal</v>
          </cell>
          <cell r="U487" t="str">
            <v>NULL</v>
          </cell>
          <cell r="V487" t="str">
            <v>NULL</v>
          </cell>
          <cell r="W487" t="str">
            <v>NULL</v>
          </cell>
        </row>
        <row r="488">
          <cell r="A488">
            <v>487</v>
          </cell>
          <cell r="B488" t="str">
            <v>ja</v>
          </cell>
          <cell r="C488" t="str">
            <v>暴創の造物 チューリング</v>
          </cell>
          <cell r="D488" t="str">
            <v>ガチャ:緑フェス01</v>
          </cell>
          <cell r="E488" t="str">
            <v>執行者</v>
          </cell>
          <cell r="F488" t="str">
            <v>格好いい</v>
          </cell>
          <cell r="G488" t="str">
            <v>女性</v>
          </cell>
          <cell r="H488" t="str">
            <v>green</v>
          </cell>
          <cell r="I488">
            <v>5</v>
          </cell>
          <cell r="J488" t="str">
            <v>PremiumSSS</v>
          </cell>
          <cell r="K488" t="str">
            <v>hp</v>
          </cell>
          <cell r="L488" t="str">
            <v>体力タイプ</v>
          </cell>
          <cell r="M488" t="str">
            <v>human</v>
          </cell>
          <cell r="N488" t="str">
            <v>ヒューマン</v>
          </cell>
          <cell r="O488" t="str">
            <v>machine</v>
          </cell>
          <cell r="P488" t="str">
            <v>マシン</v>
          </cell>
          <cell r="Q488" t="str">
            <v>アタッカー</v>
          </cell>
          <cell r="R488">
            <v>3</v>
          </cell>
          <cell r="S488" t="str">
            <v>NULL</v>
          </cell>
          <cell r="T488" t="str">
            <v>normal</v>
          </cell>
          <cell r="U488" t="str">
            <v>NULL</v>
          </cell>
          <cell r="V488" t="str">
            <v>NULL</v>
          </cell>
          <cell r="W488" t="str">
            <v>NULL</v>
          </cell>
        </row>
        <row r="489">
          <cell r="A489">
            <v>488</v>
          </cell>
          <cell r="B489" t="str">
            <v>ja</v>
          </cell>
          <cell r="C489" t="str">
            <v>直観の異論 ヘンペル</v>
          </cell>
          <cell r="D489" t="str">
            <v>ガチャ:青フェス01</v>
          </cell>
          <cell r="E489" t="str">
            <v>執行者</v>
          </cell>
          <cell r="F489" t="str">
            <v>格好いい</v>
          </cell>
          <cell r="G489" t="str">
            <v>男性</v>
          </cell>
          <cell r="H489" t="str">
            <v>blue</v>
          </cell>
          <cell r="I489">
            <v>5</v>
          </cell>
          <cell r="J489" t="str">
            <v>PremiumSSS</v>
          </cell>
          <cell r="K489" t="str">
            <v>technical</v>
          </cell>
          <cell r="L489" t="str">
            <v>テクニカルタイプ</v>
          </cell>
          <cell r="M489" t="str">
            <v>human</v>
          </cell>
          <cell r="N489" t="str">
            <v>ヒューマン</v>
          </cell>
          <cell r="O489" t="str">
            <v>none</v>
          </cell>
          <cell r="P489" t="str">
            <v>種族なし</v>
          </cell>
          <cell r="Q489" t="str">
            <v>アタッカー</v>
          </cell>
          <cell r="R489">
            <v>3</v>
          </cell>
          <cell r="S489" t="str">
            <v>NULL</v>
          </cell>
          <cell r="T489" t="str">
            <v>normal</v>
          </cell>
          <cell r="U489" t="str">
            <v>NULL</v>
          </cell>
          <cell r="V489" t="str">
            <v>NULL</v>
          </cell>
          <cell r="W489" t="str">
            <v>NULL</v>
          </cell>
        </row>
        <row r="490">
          <cell r="A490">
            <v>489</v>
          </cell>
          <cell r="B490" t="str">
            <v>ja</v>
          </cell>
          <cell r="C490" t="str">
            <v>宇宙の拡超 ハップル</v>
          </cell>
          <cell r="D490" t="str">
            <v>ガチャ:黄フェス01</v>
          </cell>
          <cell r="E490" t="str">
            <v>執行者</v>
          </cell>
          <cell r="F490" t="str">
            <v>格好いい</v>
          </cell>
          <cell r="G490" t="str">
            <v>女性</v>
          </cell>
          <cell r="H490" t="str">
            <v>yellow</v>
          </cell>
          <cell r="I490">
            <v>5</v>
          </cell>
          <cell r="J490" t="str">
            <v>PremiumSSS</v>
          </cell>
          <cell r="K490" t="str">
            <v>technical</v>
          </cell>
          <cell r="L490" t="str">
            <v>テクニカルタイプ</v>
          </cell>
          <cell r="M490" t="str">
            <v>human</v>
          </cell>
          <cell r="N490" t="str">
            <v>ヒューマン</v>
          </cell>
          <cell r="O490" t="str">
            <v>none</v>
          </cell>
          <cell r="P490" t="str">
            <v>種族なし</v>
          </cell>
          <cell r="Q490" t="str">
            <v>アタッカー</v>
          </cell>
          <cell r="R490">
            <v>3</v>
          </cell>
          <cell r="S490" t="str">
            <v>NULL</v>
          </cell>
          <cell r="T490" t="str">
            <v>normal</v>
          </cell>
          <cell r="U490" t="str">
            <v>NULL</v>
          </cell>
          <cell r="V490" t="str">
            <v>NULL</v>
          </cell>
          <cell r="W490" t="str">
            <v>NULL</v>
          </cell>
        </row>
        <row r="491">
          <cell r="A491">
            <v>490</v>
          </cell>
          <cell r="B491" t="str">
            <v>ja</v>
          </cell>
          <cell r="C491" t="str">
            <v>グリム</v>
          </cell>
          <cell r="D491" t="str">
            <v>イベント:ウィザード</v>
          </cell>
          <cell r="E491" t="str">
            <v>執行者</v>
          </cell>
          <cell r="F491" t="str">
            <v>格好いい</v>
          </cell>
          <cell r="G491" t="str">
            <v>男性</v>
          </cell>
          <cell r="H491" t="str">
            <v>green</v>
          </cell>
          <cell r="I491">
            <v>4</v>
          </cell>
          <cell r="J491" t="str">
            <v>DropWizS</v>
          </cell>
          <cell r="K491" t="str">
            <v>balance</v>
          </cell>
          <cell r="L491" t="str">
            <v>バランスタイプ</v>
          </cell>
          <cell r="M491" t="str">
            <v>human</v>
          </cell>
          <cell r="N491" t="str">
            <v>ヒューマン</v>
          </cell>
          <cell r="O491" t="str">
            <v>unknown</v>
          </cell>
          <cell r="P491" t="str">
            <v>Unknown</v>
          </cell>
          <cell r="Q491" t="str">
            <v>アタッカー</v>
          </cell>
          <cell r="R491">
            <v>3</v>
          </cell>
          <cell r="S491" t="str">
            <v>NULL</v>
          </cell>
          <cell r="T491" t="str">
            <v>normal</v>
          </cell>
          <cell r="U491" t="str">
            <v>NULL</v>
          </cell>
          <cell r="V491" t="str">
            <v>NULL</v>
          </cell>
          <cell r="W491" t="str">
            <v>NULL</v>
          </cell>
        </row>
        <row r="492">
          <cell r="A492">
            <v>491</v>
          </cell>
          <cell r="B492" t="str">
            <v>ja</v>
          </cell>
          <cell r="C492" t="str">
            <v>収魂の群影 グリム</v>
          </cell>
          <cell r="D492" t="str">
            <v>イベント:ウィザード</v>
          </cell>
          <cell r="E492" t="str">
            <v>執行者</v>
          </cell>
          <cell r="F492" t="str">
            <v>格好いい</v>
          </cell>
          <cell r="G492" t="str">
            <v>男性</v>
          </cell>
          <cell r="H492" t="str">
            <v>green</v>
          </cell>
          <cell r="I492">
            <v>5</v>
          </cell>
          <cell r="J492" t="str">
            <v>DropWizS</v>
          </cell>
          <cell r="K492" t="str">
            <v>balance</v>
          </cell>
          <cell r="L492" t="str">
            <v>バランスタイプ</v>
          </cell>
          <cell r="M492" t="str">
            <v>human</v>
          </cell>
          <cell r="N492" t="str">
            <v>ヒューマン</v>
          </cell>
          <cell r="O492" t="str">
            <v>unknown</v>
          </cell>
          <cell r="P492" t="str">
            <v>Unknown</v>
          </cell>
          <cell r="Q492" t="str">
            <v>アタッカー</v>
          </cell>
          <cell r="R492">
            <v>3</v>
          </cell>
          <cell r="S492" t="str">
            <v>NULL</v>
          </cell>
          <cell r="T492" t="str">
            <v>normal</v>
          </cell>
          <cell r="U492" t="str">
            <v>NULL</v>
          </cell>
          <cell r="V492" t="str">
            <v>NULL</v>
          </cell>
          <cell r="W492" t="str">
            <v>NULL</v>
          </cell>
        </row>
        <row r="493">
          <cell r="A493">
            <v>492</v>
          </cell>
          <cell r="B493" t="str">
            <v>ja</v>
          </cell>
          <cell r="C493" t="str">
            <v>ブートレグ・ペロー</v>
          </cell>
          <cell r="D493" t="str">
            <v>ガチャ:アリスの絵本02</v>
          </cell>
          <cell r="E493" t="str">
            <v>執行者</v>
          </cell>
          <cell r="F493" t="str">
            <v>格好いい</v>
          </cell>
          <cell r="G493" t="str">
            <v>不明</v>
          </cell>
          <cell r="H493" t="str">
            <v>red</v>
          </cell>
          <cell r="I493">
            <v>4</v>
          </cell>
          <cell r="J493" t="str">
            <v>PremiumSS</v>
          </cell>
          <cell r="K493" t="str">
            <v>hp</v>
          </cell>
          <cell r="L493" t="str">
            <v>体力タイプ</v>
          </cell>
          <cell r="M493" t="str">
            <v>animal</v>
          </cell>
          <cell r="N493" t="str">
            <v>アニマル</v>
          </cell>
          <cell r="O493" t="str">
            <v>machine</v>
          </cell>
          <cell r="P493" t="str">
            <v>マシン</v>
          </cell>
          <cell r="Q493" t="str">
            <v>アタッカー</v>
          </cell>
          <cell r="R493">
            <v>3</v>
          </cell>
          <cell r="S493" t="str">
            <v>NULL</v>
          </cell>
          <cell r="T493" t="str">
            <v>normal</v>
          </cell>
          <cell r="U493" t="str">
            <v>NULL</v>
          </cell>
          <cell r="V493" t="str">
            <v>NULL</v>
          </cell>
          <cell r="W493" t="str">
            <v>NULL</v>
          </cell>
        </row>
        <row r="494">
          <cell r="A494">
            <v>493</v>
          </cell>
          <cell r="B494" t="str">
            <v>ja</v>
          </cell>
          <cell r="C494" t="str">
            <v>跋扈の機脚 ブートレグ・ペロー</v>
          </cell>
          <cell r="D494" t="str">
            <v>ガチャ:アリスの絵本02</v>
          </cell>
          <cell r="E494" t="str">
            <v>執行者</v>
          </cell>
          <cell r="F494" t="str">
            <v>格好いい</v>
          </cell>
          <cell r="G494" t="str">
            <v>不明</v>
          </cell>
          <cell r="H494" t="str">
            <v>red</v>
          </cell>
          <cell r="I494">
            <v>5</v>
          </cell>
          <cell r="J494" t="str">
            <v>PremiumSS</v>
          </cell>
          <cell r="K494" t="str">
            <v>hp</v>
          </cell>
          <cell r="L494" t="str">
            <v>体力タイプ</v>
          </cell>
          <cell r="M494" t="str">
            <v>animal</v>
          </cell>
          <cell r="N494" t="str">
            <v>アニマル</v>
          </cell>
          <cell r="O494" t="str">
            <v>machine</v>
          </cell>
          <cell r="P494" t="str">
            <v>マシン</v>
          </cell>
          <cell r="Q494" t="str">
            <v>アタッカー</v>
          </cell>
          <cell r="R494">
            <v>3</v>
          </cell>
          <cell r="S494" t="str">
            <v>NULL</v>
          </cell>
          <cell r="T494" t="str">
            <v>normal</v>
          </cell>
          <cell r="U494" t="str">
            <v>NULL</v>
          </cell>
          <cell r="V494" t="str">
            <v>NULL</v>
          </cell>
          <cell r="W494" t="str">
            <v>NULL</v>
          </cell>
        </row>
        <row r="495">
          <cell r="A495">
            <v>494</v>
          </cell>
          <cell r="B495" t="str">
            <v>ja</v>
          </cell>
          <cell r="C495" t="str">
            <v>ハーメルン</v>
          </cell>
          <cell r="D495" t="str">
            <v>ガチャ:アリスの絵本02</v>
          </cell>
          <cell r="E495" t="str">
            <v>執行者</v>
          </cell>
          <cell r="F495" t="str">
            <v>格好いい</v>
          </cell>
          <cell r="G495" t="str">
            <v>男性</v>
          </cell>
          <cell r="H495" t="str">
            <v>green</v>
          </cell>
          <cell r="I495">
            <v>4</v>
          </cell>
          <cell r="J495" t="str">
            <v>PremiumSS</v>
          </cell>
          <cell r="K495" t="str">
            <v>technical</v>
          </cell>
          <cell r="L495" t="str">
            <v>テクニカルタイプ</v>
          </cell>
          <cell r="M495" t="str">
            <v>human</v>
          </cell>
          <cell r="N495" t="str">
            <v>ヒューマン</v>
          </cell>
          <cell r="O495" t="str">
            <v>none</v>
          </cell>
          <cell r="P495" t="str">
            <v>種族なし</v>
          </cell>
          <cell r="Q495" t="str">
            <v>アタッカー</v>
          </cell>
          <cell r="R495">
            <v>3</v>
          </cell>
          <cell r="S495" t="str">
            <v>NULL</v>
          </cell>
          <cell r="T495" t="str">
            <v>normal</v>
          </cell>
          <cell r="U495" t="str">
            <v>NULL</v>
          </cell>
          <cell r="V495" t="str">
            <v>NULL</v>
          </cell>
          <cell r="W495" t="str">
            <v>NULL</v>
          </cell>
        </row>
        <row r="496">
          <cell r="A496">
            <v>495</v>
          </cell>
          <cell r="B496" t="str">
            <v>ja</v>
          </cell>
          <cell r="C496" t="str">
            <v>鼠災呼ぶ笛音 ハーメルン</v>
          </cell>
          <cell r="D496" t="str">
            <v>ガチャ:アリスの絵本02</v>
          </cell>
          <cell r="E496" t="str">
            <v>執行者</v>
          </cell>
          <cell r="F496" t="str">
            <v>格好いい</v>
          </cell>
          <cell r="G496" t="str">
            <v>男性</v>
          </cell>
          <cell r="H496" t="str">
            <v>green</v>
          </cell>
          <cell r="I496">
            <v>5</v>
          </cell>
          <cell r="J496" t="str">
            <v>PremiumSS</v>
          </cell>
          <cell r="K496" t="str">
            <v>technical</v>
          </cell>
          <cell r="L496" t="str">
            <v>テクニカルタイプ</v>
          </cell>
          <cell r="M496" t="str">
            <v>human</v>
          </cell>
          <cell r="N496" t="str">
            <v>ヒューマン</v>
          </cell>
          <cell r="O496" t="str">
            <v>none</v>
          </cell>
          <cell r="P496" t="str">
            <v>種族なし</v>
          </cell>
          <cell r="Q496" t="str">
            <v>アタッカー</v>
          </cell>
          <cell r="R496">
            <v>3</v>
          </cell>
          <cell r="S496" t="str">
            <v>NULL</v>
          </cell>
          <cell r="T496" t="str">
            <v>normal</v>
          </cell>
          <cell r="U496" t="str">
            <v>NULL</v>
          </cell>
          <cell r="V496" t="str">
            <v>NULL</v>
          </cell>
          <cell r="W496" t="str">
            <v>NULL</v>
          </cell>
        </row>
        <row r="497">
          <cell r="A497">
            <v>496</v>
          </cell>
          <cell r="B497" t="str">
            <v>ja</v>
          </cell>
          <cell r="C497" t="str">
            <v>エスタブ</v>
          </cell>
          <cell r="D497" t="str">
            <v>ガチャ:アリスの絵本02</v>
          </cell>
          <cell r="E497" t="str">
            <v>執行者</v>
          </cell>
          <cell r="F497" t="str">
            <v>格好いい</v>
          </cell>
          <cell r="G497" t="str">
            <v>男性</v>
          </cell>
          <cell r="H497" t="str">
            <v>blue</v>
          </cell>
          <cell r="I497">
            <v>3</v>
          </cell>
          <cell r="J497" t="str">
            <v>PremiumS</v>
          </cell>
          <cell r="K497" t="str">
            <v>attack</v>
          </cell>
          <cell r="L497" t="str">
            <v>攻撃タイプ</v>
          </cell>
          <cell r="M497" t="str">
            <v>human</v>
          </cell>
          <cell r="N497" t="str">
            <v>ヒューマン</v>
          </cell>
          <cell r="O497" t="str">
            <v>animal</v>
          </cell>
          <cell r="P497" t="str">
            <v>アニマル</v>
          </cell>
          <cell r="Q497" t="str">
            <v>アタッカー</v>
          </cell>
          <cell r="R497">
            <v>3</v>
          </cell>
          <cell r="S497" t="str">
            <v>NULL</v>
          </cell>
          <cell r="T497" t="str">
            <v>normal</v>
          </cell>
          <cell r="U497" t="str">
            <v>NULL</v>
          </cell>
          <cell r="V497" t="str">
            <v>NULL</v>
          </cell>
          <cell r="W497" t="str">
            <v>NULL</v>
          </cell>
        </row>
        <row r="498">
          <cell r="A498">
            <v>497</v>
          </cell>
          <cell r="B498" t="str">
            <v>ja</v>
          </cell>
          <cell r="C498" t="str">
            <v>偏愛の野獣 エスタブ</v>
          </cell>
          <cell r="D498" t="str">
            <v>ガチャ:アリスの絵本02</v>
          </cell>
          <cell r="E498" t="str">
            <v>執行者</v>
          </cell>
          <cell r="F498" t="str">
            <v>格好いい</v>
          </cell>
          <cell r="G498" t="str">
            <v>男性</v>
          </cell>
          <cell r="H498" t="str">
            <v>blue</v>
          </cell>
          <cell r="I498">
            <v>4</v>
          </cell>
          <cell r="J498" t="str">
            <v>PremiumS</v>
          </cell>
          <cell r="K498" t="str">
            <v>attack</v>
          </cell>
          <cell r="L498" t="str">
            <v>攻撃タイプ</v>
          </cell>
          <cell r="M498" t="str">
            <v>human</v>
          </cell>
          <cell r="N498" t="str">
            <v>ヒューマン</v>
          </cell>
          <cell r="O498" t="str">
            <v>animal</v>
          </cell>
          <cell r="P498" t="str">
            <v>アニマル</v>
          </cell>
          <cell r="Q498" t="str">
            <v>アタッカー</v>
          </cell>
          <cell r="R498">
            <v>3</v>
          </cell>
          <cell r="S498" t="str">
            <v>NULL</v>
          </cell>
          <cell r="T498" t="str">
            <v>normal</v>
          </cell>
          <cell r="U498" t="str">
            <v>NULL</v>
          </cell>
          <cell r="V498" t="str">
            <v>NULL</v>
          </cell>
          <cell r="W498" t="str">
            <v>NULL</v>
          </cell>
        </row>
        <row r="499">
          <cell r="A499">
            <v>498</v>
          </cell>
          <cell r="B499" t="str">
            <v>ja</v>
          </cell>
          <cell r="C499" t="str">
            <v>自愛の高魔 エスタブ</v>
          </cell>
          <cell r="D499" t="str">
            <v>ガチャ:アリスの絵本02</v>
          </cell>
          <cell r="E499" t="str">
            <v>執行者</v>
          </cell>
          <cell r="F499" t="str">
            <v>格好いい</v>
          </cell>
          <cell r="G499" t="str">
            <v>男性</v>
          </cell>
          <cell r="H499" t="str">
            <v>blue</v>
          </cell>
          <cell r="I499">
            <v>5</v>
          </cell>
          <cell r="J499" t="str">
            <v>PremiumS</v>
          </cell>
          <cell r="K499" t="str">
            <v>attack</v>
          </cell>
          <cell r="L499" t="str">
            <v>攻撃タイプ</v>
          </cell>
          <cell r="M499" t="str">
            <v>human</v>
          </cell>
          <cell r="N499" t="str">
            <v>ヒューマン</v>
          </cell>
          <cell r="O499" t="str">
            <v>animal</v>
          </cell>
          <cell r="P499" t="str">
            <v>アニマル</v>
          </cell>
          <cell r="Q499" t="str">
            <v>アタッカー</v>
          </cell>
          <cell r="R499">
            <v>3</v>
          </cell>
          <cell r="S499" t="str">
            <v>NULL</v>
          </cell>
          <cell r="T499" t="str">
            <v>normal</v>
          </cell>
          <cell r="U499" t="str">
            <v>NULL</v>
          </cell>
          <cell r="V499" t="str">
            <v>NULL</v>
          </cell>
          <cell r="W499" t="str">
            <v>NULL</v>
          </cell>
        </row>
        <row r="500">
          <cell r="A500">
            <v>499</v>
          </cell>
          <cell r="B500" t="str">
            <v>ja</v>
          </cell>
          <cell r="C500" t="str">
            <v>ラプンツェル</v>
          </cell>
          <cell r="D500" t="str">
            <v>ガチャ:アリスの絵本02</v>
          </cell>
          <cell r="E500" t="str">
            <v>執行者</v>
          </cell>
          <cell r="F500" t="str">
            <v>格好いい</v>
          </cell>
          <cell r="G500" t="str">
            <v>女性</v>
          </cell>
          <cell r="H500" t="str">
            <v>yellow</v>
          </cell>
          <cell r="I500">
            <v>4</v>
          </cell>
          <cell r="J500" t="str">
            <v>PremiumSS</v>
          </cell>
          <cell r="K500" t="str">
            <v>balance</v>
          </cell>
          <cell r="L500" t="str">
            <v>バランスタイプ</v>
          </cell>
          <cell r="M500" t="str">
            <v>human</v>
          </cell>
          <cell r="N500" t="str">
            <v>ヒューマン</v>
          </cell>
          <cell r="O500" t="str">
            <v>none</v>
          </cell>
          <cell r="P500" t="str">
            <v>種族なし</v>
          </cell>
          <cell r="Q500" t="str">
            <v>アタッカー</v>
          </cell>
          <cell r="R500">
            <v>3</v>
          </cell>
          <cell r="S500" t="str">
            <v>NULL</v>
          </cell>
          <cell r="T500" t="str">
            <v>normal</v>
          </cell>
          <cell r="U500" t="str">
            <v>NULL</v>
          </cell>
          <cell r="V500" t="str">
            <v>NULL</v>
          </cell>
          <cell r="W500" t="str">
            <v>NULL</v>
          </cell>
        </row>
        <row r="501">
          <cell r="A501">
            <v>500</v>
          </cell>
          <cell r="B501" t="str">
            <v>ja</v>
          </cell>
          <cell r="C501" t="str">
            <v>脈動の禁髪 ラプンツェル</v>
          </cell>
          <cell r="D501" t="str">
            <v>ガチャ:アリスの絵本02</v>
          </cell>
          <cell r="E501" t="str">
            <v>執行者</v>
          </cell>
          <cell r="F501" t="str">
            <v>格好いい</v>
          </cell>
          <cell r="G501" t="str">
            <v>女性</v>
          </cell>
          <cell r="H501" t="str">
            <v>yellow</v>
          </cell>
          <cell r="I501">
            <v>5</v>
          </cell>
          <cell r="J501" t="str">
            <v>PremiumSS</v>
          </cell>
          <cell r="K501" t="str">
            <v>balance</v>
          </cell>
          <cell r="L501" t="str">
            <v>バランスタイプ</v>
          </cell>
          <cell r="M501" t="str">
            <v>human</v>
          </cell>
          <cell r="N501" t="str">
            <v>ヒューマン</v>
          </cell>
          <cell r="O501" t="str">
            <v>none</v>
          </cell>
          <cell r="P501" t="str">
            <v>種族なし</v>
          </cell>
          <cell r="Q501" t="str">
            <v>アタッカー</v>
          </cell>
          <cell r="R501">
            <v>3</v>
          </cell>
          <cell r="S501" t="str">
            <v>NULL</v>
          </cell>
          <cell r="T501" t="str">
            <v>normal</v>
          </cell>
          <cell r="U501" t="str">
            <v>NULL</v>
          </cell>
          <cell r="V501" t="str">
            <v>NULL</v>
          </cell>
          <cell r="W501" t="str">
            <v>NULL</v>
          </cell>
        </row>
        <row r="502">
          <cell r="A502">
            <v>501</v>
          </cell>
          <cell r="B502" t="str">
            <v>ja</v>
          </cell>
          <cell r="C502" t="str">
            <v>ラプンツェルじゃなくなった</v>
          </cell>
          <cell r="D502" t="str">
            <v>未定</v>
          </cell>
          <cell r="E502" t="str">
            <v>執行者</v>
          </cell>
          <cell r="F502" t="str">
            <v>格好いい</v>
          </cell>
          <cell r="G502" t="str">
            <v>未定</v>
          </cell>
          <cell r="H502" t="str">
            <v>yellow</v>
          </cell>
          <cell r="I502">
            <v>5</v>
          </cell>
          <cell r="J502" t="str">
            <v>PremiumSS</v>
          </cell>
          <cell r="K502" t="str">
            <v>balance</v>
          </cell>
          <cell r="L502" t="str">
            <v>バランスタイプ</v>
          </cell>
          <cell r="M502" t="str">
            <v>human</v>
          </cell>
          <cell r="N502" t="str">
            <v>ヒューマン</v>
          </cell>
          <cell r="O502" t="str">
            <v>none</v>
          </cell>
          <cell r="P502" t="str">
            <v>種族なし</v>
          </cell>
          <cell r="Q502" t="str">
            <v>アタッカー</v>
          </cell>
          <cell r="R502">
            <v>0</v>
          </cell>
          <cell r="S502" t="str">
            <v>NULL</v>
          </cell>
          <cell r="T502" t="str">
            <v>normal</v>
          </cell>
          <cell r="U502" t="str">
            <v>NULL</v>
          </cell>
          <cell r="V502" t="str">
            <v>NULL</v>
          </cell>
          <cell r="W502" t="str">
            <v>NULL</v>
          </cell>
        </row>
        <row r="503">
          <cell r="A503">
            <v>502</v>
          </cell>
          <cell r="B503" t="str">
            <v>ja</v>
          </cell>
          <cell r="C503" t="str">
            <v>テラベル</v>
          </cell>
          <cell r="D503" t="str">
            <v>イベント:アリスの絵本03</v>
          </cell>
          <cell r="E503" t="str">
            <v>執行者</v>
          </cell>
          <cell r="F503" t="str">
            <v>格好いい</v>
          </cell>
          <cell r="G503" t="str">
            <v>女性</v>
          </cell>
          <cell r="H503" t="str">
            <v>red</v>
          </cell>
          <cell r="I503">
            <v>4</v>
          </cell>
          <cell r="J503" t="str">
            <v>Drop2N</v>
          </cell>
          <cell r="K503" t="str">
            <v>attack</v>
          </cell>
          <cell r="L503" t="str">
            <v>攻撃タイプ</v>
          </cell>
          <cell r="M503" t="str">
            <v>human</v>
          </cell>
          <cell r="N503" t="str">
            <v>ヒューマン</v>
          </cell>
          <cell r="O503" t="str">
            <v>machine</v>
          </cell>
          <cell r="P503" t="str">
            <v>マシン</v>
          </cell>
          <cell r="Q503" t="str">
            <v>アタッカー</v>
          </cell>
          <cell r="R503">
            <v>3</v>
          </cell>
          <cell r="S503" t="str">
            <v>NULL</v>
          </cell>
          <cell r="T503" t="str">
            <v>normal</v>
          </cell>
          <cell r="U503" t="str">
            <v>NULL</v>
          </cell>
          <cell r="V503" t="str">
            <v>NULL</v>
          </cell>
          <cell r="W503" t="str">
            <v>NULL</v>
          </cell>
        </row>
        <row r="504">
          <cell r="A504">
            <v>503</v>
          </cell>
          <cell r="B504" t="str">
            <v>ja</v>
          </cell>
          <cell r="C504" t="str">
            <v>破獣の爆姫 テラベル</v>
          </cell>
          <cell r="D504" t="str">
            <v>イベント:アリスの絵本03</v>
          </cell>
          <cell r="E504" t="str">
            <v>執行者</v>
          </cell>
          <cell r="F504" t="str">
            <v>格好いい</v>
          </cell>
          <cell r="G504" t="str">
            <v>女性</v>
          </cell>
          <cell r="H504" t="str">
            <v>red</v>
          </cell>
          <cell r="I504">
            <v>5</v>
          </cell>
          <cell r="J504" t="str">
            <v>Drop2N</v>
          </cell>
          <cell r="K504" t="str">
            <v>attack</v>
          </cell>
          <cell r="L504" t="str">
            <v>攻撃タイプ</v>
          </cell>
          <cell r="M504" t="str">
            <v>human</v>
          </cell>
          <cell r="N504" t="str">
            <v>ヒューマン</v>
          </cell>
          <cell r="O504" t="str">
            <v>machine</v>
          </cell>
          <cell r="P504" t="str">
            <v>マシン</v>
          </cell>
          <cell r="Q504" t="str">
            <v>アタッカー</v>
          </cell>
          <cell r="R504">
            <v>3</v>
          </cell>
          <cell r="S504" t="str">
            <v>NULL</v>
          </cell>
          <cell r="T504" t="str">
            <v>normal</v>
          </cell>
          <cell r="U504" t="str">
            <v>NULL</v>
          </cell>
          <cell r="V504" t="str">
            <v>NULL</v>
          </cell>
          <cell r="W504" t="str">
            <v>NULL</v>
          </cell>
        </row>
        <row r="505">
          <cell r="A505">
            <v>504</v>
          </cell>
          <cell r="B505" t="str">
            <v>ja</v>
          </cell>
          <cell r="C505" t="str">
            <v>ハイディン・オーガ</v>
          </cell>
          <cell r="D505" t="str">
            <v>イベント:アリスの絵本03</v>
          </cell>
          <cell r="E505" t="str">
            <v>執行者</v>
          </cell>
          <cell r="F505" t="str">
            <v>格好いい</v>
          </cell>
          <cell r="G505" t="str">
            <v>不明</v>
          </cell>
          <cell r="H505" t="str">
            <v>green</v>
          </cell>
          <cell r="I505">
            <v>4</v>
          </cell>
          <cell r="J505" t="str">
            <v>Drop2N</v>
          </cell>
          <cell r="K505" t="str">
            <v>attack</v>
          </cell>
          <cell r="L505" t="str">
            <v>攻撃タイプ</v>
          </cell>
          <cell r="M505" t="str">
            <v>animal</v>
          </cell>
          <cell r="N505" t="str">
            <v>アニマル</v>
          </cell>
          <cell r="O505" t="str">
            <v>unknown</v>
          </cell>
          <cell r="P505" t="str">
            <v>Unknown</v>
          </cell>
          <cell r="Q505" t="str">
            <v>アタッカー</v>
          </cell>
          <cell r="R505">
            <v>3</v>
          </cell>
          <cell r="S505" t="str">
            <v>NULL</v>
          </cell>
          <cell r="T505" t="str">
            <v>normal</v>
          </cell>
          <cell r="U505" t="str">
            <v>NULL</v>
          </cell>
          <cell r="V505" t="str">
            <v>NULL</v>
          </cell>
          <cell r="W505" t="str">
            <v>NULL</v>
          </cell>
        </row>
        <row r="506">
          <cell r="A506">
            <v>505</v>
          </cell>
          <cell r="B506" t="str">
            <v>ja</v>
          </cell>
          <cell r="C506" t="str">
            <v>暴虐の漏洩 ハイディン・オーガ</v>
          </cell>
          <cell r="D506" t="str">
            <v>イベント:アリスの絵本03</v>
          </cell>
          <cell r="E506" t="str">
            <v>執行者</v>
          </cell>
          <cell r="F506" t="str">
            <v>格好いい</v>
          </cell>
          <cell r="G506" t="str">
            <v>不明</v>
          </cell>
          <cell r="H506" t="str">
            <v>green</v>
          </cell>
          <cell r="I506">
            <v>5</v>
          </cell>
          <cell r="J506" t="str">
            <v>Drop2N</v>
          </cell>
          <cell r="K506" t="str">
            <v>attack</v>
          </cell>
          <cell r="L506" t="str">
            <v>攻撃タイプ</v>
          </cell>
          <cell r="M506" t="str">
            <v>animal</v>
          </cell>
          <cell r="N506" t="str">
            <v>アニマル</v>
          </cell>
          <cell r="O506" t="str">
            <v>unknown</v>
          </cell>
          <cell r="P506" t="str">
            <v>Unknown</v>
          </cell>
          <cell r="Q506" t="str">
            <v>アタッカー</v>
          </cell>
          <cell r="R506">
            <v>3</v>
          </cell>
          <cell r="S506" t="str">
            <v>NULL</v>
          </cell>
          <cell r="T506" t="str">
            <v>normal</v>
          </cell>
          <cell r="U506" t="str">
            <v>NULL</v>
          </cell>
          <cell r="V506" t="str">
            <v>NULL</v>
          </cell>
          <cell r="W506" t="str">
            <v>NULL</v>
          </cell>
        </row>
        <row r="507">
          <cell r="A507">
            <v>506</v>
          </cell>
          <cell r="B507" t="str">
            <v>ja</v>
          </cell>
          <cell r="C507" t="str">
            <v>ゴーテル</v>
          </cell>
          <cell r="D507" t="str">
            <v>イベント:アリスの絵本03</v>
          </cell>
          <cell r="E507" t="str">
            <v>執行者</v>
          </cell>
          <cell r="F507" t="str">
            <v>格好いい</v>
          </cell>
          <cell r="G507" t="str">
            <v>女性</v>
          </cell>
          <cell r="H507" t="str">
            <v>blue</v>
          </cell>
          <cell r="I507">
            <v>4</v>
          </cell>
          <cell r="J507" t="str">
            <v>Drop2N</v>
          </cell>
          <cell r="K507" t="str">
            <v>technical</v>
          </cell>
          <cell r="L507" t="str">
            <v>テクニカルタイプ</v>
          </cell>
          <cell r="M507" t="str">
            <v>human</v>
          </cell>
          <cell r="N507" t="str">
            <v>ヒューマン</v>
          </cell>
          <cell r="O507" t="str">
            <v>machine</v>
          </cell>
          <cell r="P507" t="str">
            <v>マシン</v>
          </cell>
          <cell r="Q507" t="str">
            <v>アタッカー</v>
          </cell>
          <cell r="R507">
            <v>3</v>
          </cell>
          <cell r="S507" t="str">
            <v>NULL</v>
          </cell>
          <cell r="T507" t="str">
            <v>normal</v>
          </cell>
          <cell r="U507" t="str">
            <v>NULL</v>
          </cell>
          <cell r="V507" t="str">
            <v>NULL</v>
          </cell>
          <cell r="W507" t="str">
            <v>NULL</v>
          </cell>
        </row>
        <row r="508">
          <cell r="A508">
            <v>507</v>
          </cell>
          <cell r="B508" t="str">
            <v>ja</v>
          </cell>
          <cell r="C508" t="str">
            <v>過保護な幽閉者 ゴーテル</v>
          </cell>
          <cell r="D508" t="str">
            <v>イベント:アリスの絵本03</v>
          </cell>
          <cell r="E508" t="str">
            <v>執行者</v>
          </cell>
          <cell r="F508" t="str">
            <v>格好いい</v>
          </cell>
          <cell r="G508" t="str">
            <v>女性</v>
          </cell>
          <cell r="H508" t="str">
            <v>blue</v>
          </cell>
          <cell r="I508">
            <v>5</v>
          </cell>
          <cell r="J508" t="str">
            <v>Drop2N</v>
          </cell>
          <cell r="K508" t="str">
            <v>technical</v>
          </cell>
          <cell r="L508" t="str">
            <v>テクニカルタイプ</v>
          </cell>
          <cell r="M508" t="str">
            <v>human</v>
          </cell>
          <cell r="N508" t="str">
            <v>ヒューマン</v>
          </cell>
          <cell r="O508" t="str">
            <v>machine</v>
          </cell>
          <cell r="P508" t="str">
            <v>マシン</v>
          </cell>
          <cell r="Q508" t="str">
            <v>アタッカー</v>
          </cell>
          <cell r="R508">
            <v>3</v>
          </cell>
          <cell r="S508" t="str">
            <v>NULL</v>
          </cell>
          <cell r="T508" t="str">
            <v>normal</v>
          </cell>
          <cell r="U508" t="str">
            <v>NULL</v>
          </cell>
          <cell r="V508" t="str">
            <v>NULL</v>
          </cell>
          <cell r="W508" t="str">
            <v>NULL</v>
          </cell>
        </row>
        <row r="509">
          <cell r="A509">
            <v>508</v>
          </cell>
          <cell r="B509" t="str">
            <v>ja</v>
          </cell>
          <cell r="C509" t="str">
            <v>Gスター・チルドレン</v>
          </cell>
          <cell r="D509" t="str">
            <v>イベント:アリスの絵本03</v>
          </cell>
          <cell r="E509" t="str">
            <v>執行者</v>
          </cell>
          <cell r="F509" t="str">
            <v>格好いい</v>
          </cell>
          <cell r="G509" t="str">
            <v>不明</v>
          </cell>
          <cell r="H509" t="str">
            <v>yellow</v>
          </cell>
          <cell r="I509">
            <v>4</v>
          </cell>
          <cell r="J509" t="str">
            <v>Drop2N</v>
          </cell>
          <cell r="K509" t="str">
            <v>hp</v>
          </cell>
          <cell r="L509" t="str">
            <v>体力タイプ</v>
          </cell>
          <cell r="M509" t="str">
            <v>unknown</v>
          </cell>
          <cell r="N509" t="str">
            <v>Unknown</v>
          </cell>
          <cell r="O509" t="str">
            <v>none</v>
          </cell>
          <cell r="P509" t="str">
            <v>種族なし</v>
          </cell>
          <cell r="Q509" t="str">
            <v>アタッカー</v>
          </cell>
          <cell r="R509">
            <v>3</v>
          </cell>
          <cell r="S509" t="str">
            <v>NULL</v>
          </cell>
          <cell r="T509" t="str">
            <v>normal</v>
          </cell>
          <cell r="U509" t="str">
            <v>NULL</v>
          </cell>
          <cell r="V509" t="str">
            <v>NULL</v>
          </cell>
          <cell r="W509" t="str">
            <v>NULL</v>
          </cell>
        </row>
        <row r="510">
          <cell r="A510">
            <v>509</v>
          </cell>
          <cell r="B510" t="str">
            <v>ja</v>
          </cell>
          <cell r="C510" t="str">
            <v>純粋悪意 Gスター・チルドレン</v>
          </cell>
          <cell r="D510" t="str">
            <v>イベント:アリスの絵本03</v>
          </cell>
          <cell r="E510" t="str">
            <v>執行者</v>
          </cell>
          <cell r="F510" t="str">
            <v>格好いい</v>
          </cell>
          <cell r="G510" t="str">
            <v>不明</v>
          </cell>
          <cell r="H510" t="str">
            <v>yellow</v>
          </cell>
          <cell r="I510">
            <v>5</v>
          </cell>
          <cell r="J510" t="str">
            <v>Drop2N</v>
          </cell>
          <cell r="K510" t="str">
            <v>hp</v>
          </cell>
          <cell r="L510" t="str">
            <v>体力タイプ</v>
          </cell>
          <cell r="M510" t="str">
            <v>unknown</v>
          </cell>
          <cell r="N510" t="str">
            <v>Unknown</v>
          </cell>
          <cell r="O510" t="str">
            <v>none</v>
          </cell>
          <cell r="P510" t="str">
            <v>種族なし</v>
          </cell>
          <cell r="Q510" t="str">
            <v>アタッカー</v>
          </cell>
          <cell r="R510">
            <v>3</v>
          </cell>
          <cell r="S510" t="str">
            <v>NULL</v>
          </cell>
          <cell r="T510" t="str">
            <v>normal</v>
          </cell>
          <cell r="U510" t="str">
            <v>NULL</v>
          </cell>
          <cell r="V510" t="str">
            <v>NULL</v>
          </cell>
          <cell r="W510" t="str">
            <v>NULL</v>
          </cell>
        </row>
        <row r="511">
          <cell r="A511">
            <v>510</v>
          </cell>
          <cell r="B511" t="str">
            <v>ja</v>
          </cell>
          <cell r="C511" t="str">
            <v>燃えさかる豪息 ヒュウガ</v>
          </cell>
          <cell r="D511" t="str">
            <v>ノーマルクエスト</v>
          </cell>
          <cell r="E511" t="str">
            <v>執行者</v>
          </cell>
          <cell r="F511" t="str">
            <v>格好いい</v>
          </cell>
          <cell r="G511" t="str">
            <v>不明</v>
          </cell>
          <cell r="H511" t="str">
            <v>red</v>
          </cell>
          <cell r="I511">
            <v>4</v>
          </cell>
          <cell r="J511" t="str">
            <v>Drop2N</v>
          </cell>
          <cell r="K511" t="str">
            <v>attack</v>
          </cell>
          <cell r="L511" t="str">
            <v>攻撃タイプ</v>
          </cell>
          <cell r="M511" t="str">
            <v>dragon</v>
          </cell>
          <cell r="N511" t="str">
            <v>ドラゴン</v>
          </cell>
          <cell r="O511" t="str">
            <v>none</v>
          </cell>
          <cell r="P511" t="str">
            <v>種族なし</v>
          </cell>
          <cell r="Q511" t="str">
            <v>アタッカー</v>
          </cell>
          <cell r="R511">
            <v>3</v>
          </cell>
          <cell r="S511" t="str">
            <v>NULL</v>
          </cell>
          <cell r="T511" t="str">
            <v>normal</v>
          </cell>
          <cell r="U511" t="str">
            <v>NULL</v>
          </cell>
          <cell r="V511" t="str">
            <v>NULL</v>
          </cell>
          <cell r="W511" t="str">
            <v>NULL</v>
          </cell>
        </row>
        <row r="512">
          <cell r="A512">
            <v>511</v>
          </cell>
          <cell r="B512" t="str">
            <v>ja</v>
          </cell>
          <cell r="C512" t="str">
            <v>灼き尽くす紅息 ヒュウガ・レアル</v>
          </cell>
          <cell r="D512" t="str">
            <v>ノーマルクエスト</v>
          </cell>
          <cell r="E512" t="str">
            <v>執行者</v>
          </cell>
          <cell r="F512" t="str">
            <v>格好いい</v>
          </cell>
          <cell r="G512" t="str">
            <v>男性</v>
          </cell>
          <cell r="H512" t="str">
            <v>red</v>
          </cell>
          <cell r="I512">
            <v>5</v>
          </cell>
          <cell r="J512" t="str">
            <v>Drop2N</v>
          </cell>
          <cell r="K512" t="str">
            <v>attack</v>
          </cell>
          <cell r="L512" t="str">
            <v>攻撃タイプ</v>
          </cell>
          <cell r="M512" t="str">
            <v>dragon</v>
          </cell>
          <cell r="N512" t="str">
            <v>ドラゴン</v>
          </cell>
          <cell r="O512" t="str">
            <v>none</v>
          </cell>
          <cell r="P512" t="str">
            <v>種族なし</v>
          </cell>
          <cell r="Q512" t="str">
            <v>アタッカー</v>
          </cell>
          <cell r="R512">
            <v>3</v>
          </cell>
          <cell r="S512" t="str">
            <v>NULL</v>
          </cell>
          <cell r="T512" t="str">
            <v>normal</v>
          </cell>
          <cell r="U512" t="str">
            <v>NULL</v>
          </cell>
          <cell r="V512" t="str">
            <v>NULL</v>
          </cell>
          <cell r="W512" t="str">
            <v>NULL</v>
          </cell>
        </row>
        <row r="513">
          <cell r="A513">
            <v>512</v>
          </cell>
          <cell r="B513" t="str">
            <v>ja</v>
          </cell>
          <cell r="C513" t="str">
            <v>聖火の逆徒 クリスマス・ベリアル</v>
          </cell>
          <cell r="D513" t="str">
            <v>ガチャ:クリスマス2015</v>
          </cell>
          <cell r="E513" t="str">
            <v>執行者</v>
          </cell>
          <cell r="F513" t="str">
            <v>格好いい</v>
          </cell>
          <cell r="G513" t="str">
            <v>男性</v>
          </cell>
          <cell r="H513" t="str">
            <v>red</v>
          </cell>
          <cell r="I513">
            <v>4</v>
          </cell>
          <cell r="J513" t="str">
            <v>PremiumS</v>
          </cell>
          <cell r="K513" t="str">
            <v>attack</v>
          </cell>
          <cell r="L513" t="str">
            <v>攻撃タイプ</v>
          </cell>
          <cell r="M513" t="str">
            <v>god</v>
          </cell>
          <cell r="N513" t="str">
            <v>ゴッド</v>
          </cell>
          <cell r="O513" t="str">
            <v>none</v>
          </cell>
          <cell r="P513" t="str">
            <v>種族なし</v>
          </cell>
          <cell r="Q513" t="str">
            <v>アタッカー</v>
          </cell>
          <cell r="R513">
            <v>3</v>
          </cell>
          <cell r="S513" t="str">
            <v>NULL</v>
          </cell>
          <cell r="T513" t="str">
            <v>normal</v>
          </cell>
          <cell r="U513" t="str">
            <v>NULL</v>
          </cell>
          <cell r="V513" t="str">
            <v>NULL</v>
          </cell>
          <cell r="W513" t="str">
            <v>NULL</v>
          </cell>
        </row>
        <row r="514">
          <cell r="A514">
            <v>513</v>
          </cell>
          <cell r="B514" t="str">
            <v>ja</v>
          </cell>
          <cell r="C514" t="str">
            <v>爆進の荷炎 クリスマス・ベリアル</v>
          </cell>
          <cell r="D514" t="str">
            <v>ガチャ:クリスマス2015</v>
          </cell>
          <cell r="E514" t="str">
            <v>執行者</v>
          </cell>
          <cell r="F514" t="str">
            <v>格好いい</v>
          </cell>
          <cell r="G514" t="str">
            <v>男性</v>
          </cell>
          <cell r="H514" t="str">
            <v>red</v>
          </cell>
          <cell r="I514">
            <v>5</v>
          </cell>
          <cell r="J514" t="str">
            <v>PremiumS</v>
          </cell>
          <cell r="K514" t="str">
            <v>attack</v>
          </cell>
          <cell r="L514" t="str">
            <v>攻撃タイプ</v>
          </cell>
          <cell r="M514" t="str">
            <v>god</v>
          </cell>
          <cell r="N514" t="str">
            <v>ゴッド</v>
          </cell>
          <cell r="O514" t="str">
            <v>none</v>
          </cell>
          <cell r="P514" t="str">
            <v>種族なし</v>
          </cell>
          <cell r="Q514" t="str">
            <v>アタッカー</v>
          </cell>
          <cell r="R514">
            <v>3</v>
          </cell>
          <cell r="S514" t="str">
            <v>NULL</v>
          </cell>
          <cell r="T514" t="str">
            <v>normal</v>
          </cell>
          <cell r="U514" t="str">
            <v>NULL</v>
          </cell>
          <cell r="V514" t="str">
            <v>NULL</v>
          </cell>
          <cell r="W514" t="str">
            <v>NULL</v>
          </cell>
        </row>
        <row r="515">
          <cell r="A515">
            <v>514</v>
          </cell>
          <cell r="B515" t="str">
            <v>ja</v>
          </cell>
          <cell r="C515" t="str">
            <v>祝宴の識徒 サンタクロース・オセ</v>
          </cell>
          <cell r="D515" t="str">
            <v>ガチャ:クリスマス2015</v>
          </cell>
          <cell r="E515" t="str">
            <v>執行者</v>
          </cell>
          <cell r="F515" t="str">
            <v>格好いい</v>
          </cell>
          <cell r="G515" t="str">
            <v>女性</v>
          </cell>
          <cell r="H515" t="str">
            <v>green</v>
          </cell>
          <cell r="I515">
            <v>4</v>
          </cell>
          <cell r="J515" t="str">
            <v>PremiumS</v>
          </cell>
          <cell r="K515" t="str">
            <v>attack</v>
          </cell>
          <cell r="L515" t="str">
            <v>攻撃タイプ</v>
          </cell>
          <cell r="M515" t="str">
            <v>god</v>
          </cell>
          <cell r="N515" t="str">
            <v>ゴッド</v>
          </cell>
          <cell r="O515" t="str">
            <v>none</v>
          </cell>
          <cell r="P515" t="str">
            <v>種族なし</v>
          </cell>
          <cell r="Q515" t="str">
            <v>アタッカー</v>
          </cell>
          <cell r="R515">
            <v>3</v>
          </cell>
          <cell r="S515" t="str">
            <v>NULL</v>
          </cell>
          <cell r="T515" t="str">
            <v>normal</v>
          </cell>
          <cell r="U515" t="str">
            <v>NULL</v>
          </cell>
          <cell r="V515" t="str">
            <v>NULL</v>
          </cell>
          <cell r="W515" t="str">
            <v>NULL</v>
          </cell>
        </row>
        <row r="516">
          <cell r="A516">
            <v>515</v>
          </cell>
          <cell r="B516" t="str">
            <v>ja</v>
          </cell>
          <cell r="C516" t="str">
            <v>聖夜の贈主 サンタクロース・オセ</v>
          </cell>
          <cell r="D516" t="str">
            <v>ガチャ:クリスマス2015</v>
          </cell>
          <cell r="E516" t="str">
            <v>執行者</v>
          </cell>
          <cell r="F516" t="str">
            <v>格好いい</v>
          </cell>
          <cell r="G516" t="str">
            <v>女性</v>
          </cell>
          <cell r="H516" t="str">
            <v>green</v>
          </cell>
          <cell r="I516">
            <v>5</v>
          </cell>
          <cell r="J516" t="str">
            <v>PremiumS</v>
          </cell>
          <cell r="K516" t="str">
            <v>attack</v>
          </cell>
          <cell r="L516" t="str">
            <v>攻撃タイプ</v>
          </cell>
          <cell r="M516" t="str">
            <v>god</v>
          </cell>
          <cell r="N516" t="str">
            <v>ゴッド</v>
          </cell>
          <cell r="O516" t="str">
            <v>none</v>
          </cell>
          <cell r="P516" t="str">
            <v>種族なし</v>
          </cell>
          <cell r="Q516" t="str">
            <v>アタッカー</v>
          </cell>
          <cell r="R516">
            <v>3</v>
          </cell>
          <cell r="S516" t="str">
            <v>NULL</v>
          </cell>
          <cell r="T516" t="str">
            <v>normal</v>
          </cell>
          <cell r="U516" t="str">
            <v>NULL</v>
          </cell>
          <cell r="V516" t="str">
            <v>NULL</v>
          </cell>
          <cell r="W516" t="str">
            <v>NULL</v>
          </cell>
        </row>
        <row r="517">
          <cell r="A517">
            <v>516</v>
          </cell>
          <cell r="B517" t="str">
            <v>ja</v>
          </cell>
          <cell r="C517" t="str">
            <v>聖母 マリア</v>
          </cell>
          <cell r="D517" t="str">
            <v>ガチャ:クリスマス2015</v>
          </cell>
          <cell r="E517" t="str">
            <v>執行者</v>
          </cell>
          <cell r="F517" t="str">
            <v>格好いい</v>
          </cell>
          <cell r="G517" t="str">
            <v>女性</v>
          </cell>
          <cell r="H517" t="str">
            <v>blue</v>
          </cell>
          <cell r="I517">
            <v>4</v>
          </cell>
          <cell r="J517" t="str">
            <v>PremiumSS</v>
          </cell>
          <cell r="K517" t="str">
            <v>heal</v>
          </cell>
          <cell r="L517" t="str">
            <v>回復タイプ</v>
          </cell>
          <cell r="M517" t="str">
            <v>human</v>
          </cell>
          <cell r="N517" t="str">
            <v>ヒューマン</v>
          </cell>
          <cell r="O517" t="str">
            <v>none</v>
          </cell>
          <cell r="P517" t="str">
            <v>種族なし</v>
          </cell>
          <cell r="Q517" t="str">
            <v>アタッカー</v>
          </cell>
          <cell r="R517">
            <v>3</v>
          </cell>
          <cell r="S517" t="str">
            <v>NULL</v>
          </cell>
          <cell r="T517" t="str">
            <v>normal</v>
          </cell>
          <cell r="U517" t="str">
            <v>NULL</v>
          </cell>
          <cell r="V517" t="str">
            <v>NULL</v>
          </cell>
          <cell r="W517" t="str">
            <v>NULL</v>
          </cell>
        </row>
        <row r="518">
          <cell r="A518">
            <v>517</v>
          </cell>
          <cell r="B518" t="str">
            <v>ja</v>
          </cell>
          <cell r="C518" t="str">
            <v>真冬の誕生祭 マリア</v>
          </cell>
          <cell r="D518" t="str">
            <v>ガチャ:クリスマス2015</v>
          </cell>
          <cell r="E518" t="str">
            <v>執行者</v>
          </cell>
          <cell r="F518" t="str">
            <v>格好いい</v>
          </cell>
          <cell r="G518" t="str">
            <v>女性</v>
          </cell>
          <cell r="H518" t="str">
            <v>blue</v>
          </cell>
          <cell r="I518">
            <v>5</v>
          </cell>
          <cell r="J518" t="str">
            <v>PremiumSS</v>
          </cell>
          <cell r="K518" t="str">
            <v>heal</v>
          </cell>
          <cell r="L518" t="str">
            <v>回復タイプ</v>
          </cell>
          <cell r="M518" t="str">
            <v>human</v>
          </cell>
          <cell r="N518" t="str">
            <v>ヒューマン</v>
          </cell>
          <cell r="O518" t="str">
            <v>none</v>
          </cell>
          <cell r="P518" t="str">
            <v>種族なし</v>
          </cell>
          <cell r="Q518" t="str">
            <v>アタッカー</v>
          </cell>
          <cell r="R518">
            <v>3</v>
          </cell>
          <cell r="S518" t="str">
            <v>NULL</v>
          </cell>
          <cell r="T518" t="str">
            <v>normal</v>
          </cell>
          <cell r="U518" t="str">
            <v>NULL</v>
          </cell>
          <cell r="V518" t="str">
            <v>NULL</v>
          </cell>
          <cell r="W518" t="str">
            <v>NULL</v>
          </cell>
        </row>
        <row r="519">
          <cell r="A519">
            <v>518</v>
          </cell>
          <cell r="B519" t="str">
            <v>ja</v>
          </cell>
          <cell r="C519" t="str">
            <v>秘来の聖天使 ミカエル</v>
          </cell>
          <cell r="D519" t="str">
            <v>ガチャ:クリスマス2015</v>
          </cell>
          <cell r="E519" t="str">
            <v>執行者</v>
          </cell>
          <cell r="F519" t="str">
            <v>格好いい</v>
          </cell>
          <cell r="G519" t="str">
            <v>女性</v>
          </cell>
          <cell r="H519" t="str">
            <v>yellow</v>
          </cell>
          <cell r="I519">
            <v>4</v>
          </cell>
          <cell r="J519" t="str">
            <v>PremiumS</v>
          </cell>
          <cell r="K519" t="str">
            <v>attack</v>
          </cell>
          <cell r="L519" t="str">
            <v>攻撃タイプ</v>
          </cell>
          <cell r="M519" t="str">
            <v>god</v>
          </cell>
          <cell r="N519" t="str">
            <v>ゴッド</v>
          </cell>
          <cell r="O519" t="str">
            <v>machine</v>
          </cell>
          <cell r="P519" t="str">
            <v>マシン</v>
          </cell>
          <cell r="Q519" t="str">
            <v>アタッカー</v>
          </cell>
          <cell r="R519">
            <v>3</v>
          </cell>
          <cell r="S519" t="str">
            <v>NULL</v>
          </cell>
          <cell r="T519" t="str">
            <v>normal</v>
          </cell>
          <cell r="U519" t="str">
            <v>NULL</v>
          </cell>
          <cell r="V519" t="str">
            <v>NULL</v>
          </cell>
          <cell r="W519" t="str">
            <v>NULL</v>
          </cell>
        </row>
        <row r="520">
          <cell r="A520">
            <v>519</v>
          </cell>
          <cell r="B520" t="str">
            <v>ja</v>
          </cell>
          <cell r="C520" t="str">
            <v>夜天の聖天使 ミカエル・ハレルヤ</v>
          </cell>
          <cell r="D520" t="str">
            <v>ガチャ:クリスマス2015</v>
          </cell>
          <cell r="E520" t="str">
            <v>執行者</v>
          </cell>
          <cell r="F520" t="str">
            <v>格好いい</v>
          </cell>
          <cell r="G520" t="str">
            <v>女性</v>
          </cell>
          <cell r="H520" t="str">
            <v>yellow</v>
          </cell>
          <cell r="I520">
            <v>5</v>
          </cell>
          <cell r="J520" t="str">
            <v>PremiumS</v>
          </cell>
          <cell r="K520" t="str">
            <v>attack</v>
          </cell>
          <cell r="L520" t="str">
            <v>攻撃タイプ</v>
          </cell>
          <cell r="M520" t="str">
            <v>god</v>
          </cell>
          <cell r="N520" t="str">
            <v>ゴッド</v>
          </cell>
          <cell r="O520" t="str">
            <v>machine</v>
          </cell>
          <cell r="P520" t="str">
            <v>マシン</v>
          </cell>
          <cell r="Q520" t="str">
            <v>アタッカー</v>
          </cell>
          <cell r="R520">
            <v>3</v>
          </cell>
          <cell r="S520" t="str">
            <v>NULL</v>
          </cell>
          <cell r="T520" t="str">
            <v>normal</v>
          </cell>
          <cell r="U520" t="str">
            <v>NULL</v>
          </cell>
          <cell r="V520" t="str">
            <v>NULL</v>
          </cell>
          <cell r="W520" t="str">
            <v>NULL</v>
          </cell>
        </row>
        <row r="521">
          <cell r="A521">
            <v>520</v>
          </cell>
          <cell r="B521" t="str">
            <v>ja</v>
          </cell>
          <cell r="C521" t="str">
            <v>炎のサンタダック</v>
          </cell>
          <cell r="D521" t="str">
            <v>イベント:クリスマス2015</v>
          </cell>
          <cell r="E521" t="str">
            <v>執行者</v>
          </cell>
          <cell r="F521" t="str">
            <v>格好いい</v>
          </cell>
          <cell r="G521" t="str">
            <v>不明</v>
          </cell>
          <cell r="H521" t="str">
            <v>red</v>
          </cell>
          <cell r="I521">
            <v>5</v>
          </cell>
          <cell r="J521" t="str">
            <v>Material</v>
          </cell>
          <cell r="K521" t="str">
            <v>exp</v>
          </cell>
          <cell r="L521" t="str">
            <v>強化素材タイプ</v>
          </cell>
          <cell r="M521" t="str">
            <v>unknown</v>
          </cell>
          <cell r="N521" t="str">
            <v>Unknown</v>
          </cell>
          <cell r="O521" t="str">
            <v>none</v>
          </cell>
          <cell r="P521" t="str">
            <v>種族なし</v>
          </cell>
          <cell r="Q521" t="str">
            <v>アタッカー</v>
          </cell>
          <cell r="R521">
            <v>3</v>
          </cell>
          <cell r="S521" t="str">
            <v>NULL</v>
          </cell>
          <cell r="T521" t="str">
            <v>normal</v>
          </cell>
          <cell r="U521" t="str">
            <v>NULL</v>
          </cell>
          <cell r="V521" t="str">
            <v>NULL</v>
          </cell>
          <cell r="W521" t="str">
            <v>NULL</v>
          </cell>
        </row>
        <row r="522">
          <cell r="A522">
            <v>521</v>
          </cell>
          <cell r="B522" t="str">
            <v>ja</v>
          </cell>
          <cell r="C522" t="str">
            <v>森のサンタダック</v>
          </cell>
          <cell r="D522" t="str">
            <v>イベント:クリスマス2015</v>
          </cell>
          <cell r="E522" t="str">
            <v>執行者</v>
          </cell>
          <cell r="F522" t="str">
            <v>格好いい</v>
          </cell>
          <cell r="G522" t="str">
            <v>不明</v>
          </cell>
          <cell r="H522" t="str">
            <v>green</v>
          </cell>
          <cell r="I522">
            <v>5</v>
          </cell>
          <cell r="J522" t="str">
            <v>Material</v>
          </cell>
          <cell r="K522" t="str">
            <v>exp</v>
          </cell>
          <cell r="L522" t="str">
            <v>強化素材タイプ</v>
          </cell>
          <cell r="M522" t="str">
            <v>unknown</v>
          </cell>
          <cell r="N522" t="str">
            <v>Unknown</v>
          </cell>
          <cell r="O522" t="str">
            <v>none</v>
          </cell>
          <cell r="P522" t="str">
            <v>種族なし</v>
          </cell>
          <cell r="Q522" t="str">
            <v>アタッカー</v>
          </cell>
          <cell r="R522">
            <v>3</v>
          </cell>
          <cell r="S522" t="str">
            <v>NULL</v>
          </cell>
          <cell r="T522" t="str">
            <v>normal</v>
          </cell>
          <cell r="U522" t="str">
            <v>NULL</v>
          </cell>
          <cell r="V522" t="str">
            <v>NULL</v>
          </cell>
          <cell r="W522" t="str">
            <v>NULL</v>
          </cell>
        </row>
        <row r="523">
          <cell r="A523">
            <v>522</v>
          </cell>
          <cell r="B523" t="str">
            <v>ja</v>
          </cell>
          <cell r="C523" t="str">
            <v>水のサンタダック</v>
          </cell>
          <cell r="D523" t="str">
            <v>イベント:クリスマス2015</v>
          </cell>
          <cell r="E523" t="str">
            <v>執行者</v>
          </cell>
          <cell r="F523" t="str">
            <v>格好いい</v>
          </cell>
          <cell r="G523" t="str">
            <v>不明</v>
          </cell>
          <cell r="H523" t="str">
            <v>blue</v>
          </cell>
          <cell r="I523">
            <v>5</v>
          </cell>
          <cell r="J523" t="str">
            <v>Material</v>
          </cell>
          <cell r="K523" t="str">
            <v>exp</v>
          </cell>
          <cell r="L523" t="str">
            <v>強化素材タイプ</v>
          </cell>
          <cell r="M523" t="str">
            <v>unknown</v>
          </cell>
          <cell r="N523" t="str">
            <v>Unknown</v>
          </cell>
          <cell r="O523" t="str">
            <v>none</v>
          </cell>
          <cell r="P523" t="str">
            <v>種族なし</v>
          </cell>
          <cell r="Q523" t="str">
            <v>アタッカー</v>
          </cell>
          <cell r="R523">
            <v>3</v>
          </cell>
          <cell r="S523" t="str">
            <v>NULL</v>
          </cell>
          <cell r="T523" t="str">
            <v>normal</v>
          </cell>
          <cell r="U523" t="str">
            <v>NULL</v>
          </cell>
          <cell r="V523" t="str">
            <v>NULL</v>
          </cell>
          <cell r="W523" t="str">
            <v>NULL</v>
          </cell>
        </row>
        <row r="524">
          <cell r="A524">
            <v>523</v>
          </cell>
          <cell r="B524" t="str">
            <v>ja</v>
          </cell>
          <cell r="C524" t="str">
            <v>雷のサンタダック</v>
          </cell>
          <cell r="D524" t="str">
            <v>イベント:クリスマス2015</v>
          </cell>
          <cell r="E524" t="str">
            <v>執行者</v>
          </cell>
          <cell r="F524" t="str">
            <v>格好いい</v>
          </cell>
          <cell r="G524" t="str">
            <v>不明</v>
          </cell>
          <cell r="H524" t="str">
            <v>yellow</v>
          </cell>
          <cell r="I524">
            <v>5</v>
          </cell>
          <cell r="J524" t="str">
            <v>Material</v>
          </cell>
          <cell r="K524" t="str">
            <v>exp</v>
          </cell>
          <cell r="L524" t="str">
            <v>強化素材タイプ</v>
          </cell>
          <cell r="M524" t="str">
            <v>unknown</v>
          </cell>
          <cell r="N524" t="str">
            <v>Unknown</v>
          </cell>
          <cell r="O524" t="str">
            <v>none</v>
          </cell>
          <cell r="P524" t="str">
            <v>種族なし</v>
          </cell>
          <cell r="Q524" t="str">
            <v>アタッカー</v>
          </cell>
          <cell r="R524">
            <v>3</v>
          </cell>
          <cell r="S524" t="str">
            <v>NULL</v>
          </cell>
          <cell r="T524" t="str">
            <v>normal</v>
          </cell>
          <cell r="U524" t="str">
            <v>NULL</v>
          </cell>
          <cell r="V524" t="str">
            <v>NULL</v>
          </cell>
          <cell r="W524" t="str">
            <v>NULL</v>
          </cell>
        </row>
        <row r="525">
          <cell r="A525">
            <v>524</v>
          </cell>
          <cell r="B525" t="str">
            <v>ja</v>
          </cell>
          <cell r="C525" t="str">
            <v>あけおめダック</v>
          </cell>
          <cell r="D525" t="str">
            <v>イベント:お正月2016</v>
          </cell>
          <cell r="E525" t="str">
            <v>執行者</v>
          </cell>
          <cell r="F525" t="str">
            <v>格好いい</v>
          </cell>
          <cell r="G525" t="str">
            <v>不明</v>
          </cell>
          <cell r="H525" t="str">
            <v>yellow</v>
          </cell>
          <cell r="I525">
            <v>6</v>
          </cell>
          <cell r="J525" t="str">
            <v>Material</v>
          </cell>
          <cell r="K525" t="str">
            <v>coin</v>
          </cell>
          <cell r="L525" t="str">
            <v>コインタイプ</v>
          </cell>
          <cell r="M525" t="str">
            <v>unknown</v>
          </cell>
          <cell r="N525" t="str">
            <v>Unknown</v>
          </cell>
          <cell r="O525" t="str">
            <v>none</v>
          </cell>
          <cell r="P525" t="str">
            <v>種族なし</v>
          </cell>
          <cell r="Q525" t="str">
            <v>アタッカー</v>
          </cell>
          <cell r="R525">
            <v>3</v>
          </cell>
          <cell r="S525" t="str">
            <v>NULL</v>
          </cell>
          <cell r="T525" t="str">
            <v>normal</v>
          </cell>
          <cell r="U525" t="str">
            <v>NULL</v>
          </cell>
          <cell r="V525" t="str">
            <v>NULL</v>
          </cell>
          <cell r="W525" t="str">
            <v>NULL</v>
          </cell>
        </row>
        <row r="526">
          <cell r="A526">
            <v>525</v>
          </cell>
          <cell r="B526" t="str">
            <v>ja</v>
          </cell>
          <cell r="C526" t="str">
            <v>ウィンタースポーツ 雪ミク</v>
          </cell>
          <cell r="D526" t="str">
            <v>イベント:ミクコラボ01</v>
          </cell>
          <cell r="E526" t="str">
            <v>執行者</v>
          </cell>
          <cell r="F526" t="str">
            <v>格好いい</v>
          </cell>
          <cell r="G526" t="str">
            <v>女性</v>
          </cell>
          <cell r="H526" t="str">
            <v>blue</v>
          </cell>
          <cell r="I526">
            <v>4</v>
          </cell>
          <cell r="J526" t="str">
            <v>Drop2N</v>
          </cell>
          <cell r="K526" t="str">
            <v>heal</v>
          </cell>
          <cell r="L526" t="str">
            <v>回復タイプ</v>
          </cell>
          <cell r="M526" t="str">
            <v>unknown</v>
          </cell>
          <cell r="N526" t="str">
            <v>Unknown</v>
          </cell>
          <cell r="O526" t="str">
            <v>none</v>
          </cell>
          <cell r="P526" t="str">
            <v>種族なし</v>
          </cell>
          <cell r="Q526" t="str">
            <v>アタッカー</v>
          </cell>
          <cell r="R526">
            <v>3</v>
          </cell>
          <cell r="S526" t="str">
            <v>NULL</v>
          </cell>
          <cell r="T526" t="str">
            <v>normal</v>
          </cell>
          <cell r="U526" t="str">
            <v>NULL</v>
          </cell>
          <cell r="V526" t="str">
            <v>NULL</v>
          </cell>
          <cell r="W526" t="str">
            <v>NULL</v>
          </cell>
        </row>
        <row r="527">
          <cell r="A527">
            <v>526</v>
          </cell>
          <cell r="B527" t="str">
            <v>ja</v>
          </cell>
          <cell r="C527" t="str">
            <v>大滑走 雪ミク&amp;ラビットユキネ</v>
          </cell>
          <cell r="D527" t="str">
            <v>イベント:ミクコラボ01</v>
          </cell>
          <cell r="E527" t="str">
            <v>執行者</v>
          </cell>
          <cell r="F527" t="str">
            <v>格好いい</v>
          </cell>
          <cell r="G527" t="str">
            <v>女性</v>
          </cell>
          <cell r="H527" t="str">
            <v>blue</v>
          </cell>
          <cell r="I527">
            <v>5</v>
          </cell>
          <cell r="J527" t="str">
            <v>Drop2N</v>
          </cell>
          <cell r="K527" t="str">
            <v>heal</v>
          </cell>
          <cell r="L527" t="str">
            <v>回復タイプ</v>
          </cell>
          <cell r="M527" t="str">
            <v>unknown</v>
          </cell>
          <cell r="N527" t="str">
            <v>Unknown</v>
          </cell>
          <cell r="O527" t="str">
            <v>none</v>
          </cell>
          <cell r="P527" t="str">
            <v>種族なし</v>
          </cell>
          <cell r="Q527" t="str">
            <v>アタッカー</v>
          </cell>
          <cell r="R527">
            <v>3</v>
          </cell>
          <cell r="S527" t="str">
            <v>NULL</v>
          </cell>
          <cell r="T527" t="str">
            <v>normal</v>
          </cell>
          <cell r="U527" t="str">
            <v>NULL</v>
          </cell>
          <cell r="V527" t="str">
            <v>NULL</v>
          </cell>
          <cell r="W527" t="str">
            <v>NULL</v>
          </cell>
        </row>
        <row r="528">
          <cell r="A528">
            <v>527</v>
          </cell>
          <cell r="B528" t="str">
            <v>ja</v>
          </cell>
          <cell r="C528" t="str">
            <v>初音ミクV3</v>
          </cell>
          <cell r="D528" t="str">
            <v>イベント:ミクコラボ01</v>
          </cell>
          <cell r="E528" t="str">
            <v>執行者</v>
          </cell>
          <cell r="F528" t="str">
            <v>格好いい</v>
          </cell>
          <cell r="G528" t="str">
            <v>女性</v>
          </cell>
          <cell r="H528" t="str">
            <v>yellow</v>
          </cell>
          <cell r="I528">
            <v>4</v>
          </cell>
          <cell r="J528" t="str">
            <v>DropWizS</v>
          </cell>
          <cell r="K528" t="str">
            <v>balance</v>
          </cell>
          <cell r="L528" t="str">
            <v>バランスタイプ</v>
          </cell>
          <cell r="M528" t="str">
            <v>unknown</v>
          </cell>
          <cell r="N528" t="str">
            <v>Unknown</v>
          </cell>
          <cell r="O528" t="str">
            <v>none</v>
          </cell>
          <cell r="P528" t="str">
            <v>種族なし</v>
          </cell>
          <cell r="Q528" t="str">
            <v>アタッカー</v>
          </cell>
          <cell r="R528">
            <v>3</v>
          </cell>
          <cell r="S528" t="str">
            <v>NULL</v>
          </cell>
          <cell r="T528" t="str">
            <v>normal</v>
          </cell>
          <cell r="U528" t="str">
            <v>NULL</v>
          </cell>
          <cell r="V528" t="str">
            <v>NULL</v>
          </cell>
          <cell r="W528" t="str">
            <v>NULL</v>
          </cell>
        </row>
        <row r="529">
          <cell r="A529">
            <v>528</v>
          </cell>
          <cell r="B529" t="str">
            <v>ja</v>
          </cell>
          <cell r="C529" t="str">
            <v>新世の歌姫 初音ミクV3</v>
          </cell>
          <cell r="D529" t="str">
            <v>イベント:ミクコラボ01</v>
          </cell>
          <cell r="E529" t="str">
            <v>執行者</v>
          </cell>
          <cell r="F529" t="str">
            <v>格好いい</v>
          </cell>
          <cell r="G529" t="str">
            <v>女性</v>
          </cell>
          <cell r="H529" t="str">
            <v>yellow</v>
          </cell>
          <cell r="I529">
            <v>5</v>
          </cell>
          <cell r="J529" t="str">
            <v>DropWizS</v>
          </cell>
          <cell r="K529" t="str">
            <v>balance</v>
          </cell>
          <cell r="L529" t="str">
            <v>バランスタイプ</v>
          </cell>
          <cell r="M529" t="str">
            <v>unknown</v>
          </cell>
          <cell r="N529" t="str">
            <v>Unknown</v>
          </cell>
          <cell r="O529" t="str">
            <v>none</v>
          </cell>
          <cell r="P529" t="str">
            <v>種族なし</v>
          </cell>
          <cell r="Q529" t="str">
            <v>アタッカー</v>
          </cell>
          <cell r="R529">
            <v>3</v>
          </cell>
          <cell r="S529" t="str">
            <v>NULL</v>
          </cell>
          <cell r="T529" t="str">
            <v>normal</v>
          </cell>
          <cell r="U529" t="str">
            <v>NULL</v>
          </cell>
          <cell r="V529" t="str">
            <v>NULL</v>
          </cell>
          <cell r="W529" t="str">
            <v>NULL</v>
          </cell>
        </row>
        <row r="530">
          <cell r="A530">
            <v>529</v>
          </cell>
          <cell r="B530" t="str">
            <v>ja</v>
          </cell>
          <cell r="C530" t="str">
            <v>冬服ジェリー</v>
          </cell>
          <cell r="D530" t="str">
            <v>イベント:ミクコラボ01</v>
          </cell>
          <cell r="E530" t="str">
            <v>執行者</v>
          </cell>
          <cell r="F530" t="str">
            <v>格好いい</v>
          </cell>
          <cell r="G530" t="str">
            <v>不明</v>
          </cell>
          <cell r="H530" t="str">
            <v>red</v>
          </cell>
          <cell r="I530">
            <v>1</v>
          </cell>
          <cell r="J530" t="str">
            <v>Drop1T</v>
          </cell>
          <cell r="K530" t="str">
            <v>attack</v>
          </cell>
          <cell r="L530" t="str">
            <v>攻撃タイプ</v>
          </cell>
          <cell r="M530" t="str">
            <v>unknown</v>
          </cell>
          <cell r="N530" t="str">
            <v>Unknown</v>
          </cell>
          <cell r="O530" t="str">
            <v>none</v>
          </cell>
          <cell r="P530" t="str">
            <v>種族なし</v>
          </cell>
          <cell r="Q530" t="str">
            <v>アタッカー</v>
          </cell>
          <cell r="R530">
            <v>3</v>
          </cell>
          <cell r="S530" t="str">
            <v>NULL</v>
          </cell>
          <cell r="T530" t="str">
            <v>normal</v>
          </cell>
          <cell r="U530" t="str">
            <v>NULL</v>
          </cell>
          <cell r="V530" t="str">
            <v>NULL</v>
          </cell>
          <cell r="W530" t="str">
            <v>NULL</v>
          </cell>
        </row>
        <row r="531">
          <cell r="A531">
            <v>530</v>
          </cell>
          <cell r="B531" t="str">
            <v>ja</v>
          </cell>
          <cell r="C531" t="str">
            <v>冬服ジョー</v>
          </cell>
          <cell r="D531" t="str">
            <v>イベント:ミクコラボ01</v>
          </cell>
          <cell r="E531" t="str">
            <v>執行者</v>
          </cell>
          <cell r="F531" t="str">
            <v>格好いい</v>
          </cell>
          <cell r="G531" t="str">
            <v>不明</v>
          </cell>
          <cell r="H531" t="str">
            <v>green</v>
          </cell>
          <cell r="I531">
            <v>1</v>
          </cell>
          <cell r="J531" t="str">
            <v>Drop1T</v>
          </cell>
          <cell r="K531" t="str">
            <v>balance</v>
          </cell>
          <cell r="L531" t="str">
            <v>バランスタイプ</v>
          </cell>
          <cell r="M531" t="str">
            <v>unknown</v>
          </cell>
          <cell r="N531" t="str">
            <v>Unknown</v>
          </cell>
          <cell r="O531" t="str">
            <v>none</v>
          </cell>
          <cell r="P531" t="str">
            <v>種族なし</v>
          </cell>
          <cell r="Q531" t="str">
            <v>アタッカー</v>
          </cell>
          <cell r="R531">
            <v>3</v>
          </cell>
          <cell r="S531" t="str">
            <v>NULL</v>
          </cell>
          <cell r="T531" t="str">
            <v>normal</v>
          </cell>
          <cell r="U531" t="str">
            <v>NULL</v>
          </cell>
          <cell r="V531" t="str">
            <v>NULL</v>
          </cell>
          <cell r="W531" t="str">
            <v>NULL</v>
          </cell>
        </row>
        <row r="532">
          <cell r="A532">
            <v>531</v>
          </cell>
          <cell r="B532" t="str">
            <v>ja</v>
          </cell>
          <cell r="C532" t="str">
            <v>冬服ポチ</v>
          </cell>
          <cell r="D532" t="str">
            <v>イベント:ミクコラボ01</v>
          </cell>
          <cell r="E532" t="str">
            <v>執行者</v>
          </cell>
          <cell r="F532" t="str">
            <v>格好いい</v>
          </cell>
          <cell r="G532" t="str">
            <v>不明</v>
          </cell>
          <cell r="H532" t="str">
            <v>blue</v>
          </cell>
          <cell r="I532">
            <v>1</v>
          </cell>
          <cell r="J532" t="str">
            <v>Drop1T</v>
          </cell>
          <cell r="K532" t="str">
            <v>heal</v>
          </cell>
          <cell r="L532" t="str">
            <v>回復タイプ</v>
          </cell>
          <cell r="M532" t="str">
            <v>unknown</v>
          </cell>
          <cell r="N532" t="str">
            <v>Unknown</v>
          </cell>
          <cell r="O532" t="str">
            <v>none</v>
          </cell>
          <cell r="P532" t="str">
            <v>種族なし</v>
          </cell>
          <cell r="Q532" t="str">
            <v>アタッカー</v>
          </cell>
          <cell r="R532">
            <v>3</v>
          </cell>
          <cell r="S532" t="str">
            <v>NULL</v>
          </cell>
          <cell r="T532" t="str">
            <v>normal</v>
          </cell>
          <cell r="U532" t="str">
            <v>NULL</v>
          </cell>
          <cell r="V532" t="str">
            <v>NULL</v>
          </cell>
          <cell r="W532" t="str">
            <v>NULL</v>
          </cell>
        </row>
        <row r="533">
          <cell r="A533">
            <v>532</v>
          </cell>
          <cell r="B533" t="str">
            <v>ja</v>
          </cell>
          <cell r="C533" t="str">
            <v>冬服エレキポット</v>
          </cell>
          <cell r="D533" t="str">
            <v>イベント:ミクコラボ01</v>
          </cell>
          <cell r="E533" t="str">
            <v>執行者</v>
          </cell>
          <cell r="F533" t="str">
            <v>格好いい</v>
          </cell>
          <cell r="G533" t="str">
            <v>不明</v>
          </cell>
          <cell r="H533" t="str">
            <v>yellow</v>
          </cell>
          <cell r="I533">
            <v>1</v>
          </cell>
          <cell r="J533" t="str">
            <v>Drop1T</v>
          </cell>
          <cell r="K533" t="str">
            <v>attack</v>
          </cell>
          <cell r="L533" t="str">
            <v>攻撃タイプ</v>
          </cell>
          <cell r="M533" t="str">
            <v>unknown</v>
          </cell>
          <cell r="N533" t="str">
            <v>Unknown</v>
          </cell>
          <cell r="O533" t="str">
            <v>none</v>
          </cell>
          <cell r="P533" t="str">
            <v>種族なし</v>
          </cell>
          <cell r="Q533" t="str">
            <v>アタッカー</v>
          </cell>
          <cell r="R533">
            <v>3</v>
          </cell>
          <cell r="S533" t="str">
            <v>NULL</v>
          </cell>
          <cell r="T533" t="str">
            <v>normal</v>
          </cell>
          <cell r="U533" t="str">
            <v>NULL</v>
          </cell>
          <cell r="V533" t="str">
            <v>NULL</v>
          </cell>
          <cell r="W533" t="str">
            <v>NULL</v>
          </cell>
        </row>
        <row r="534">
          <cell r="A534">
            <v>533</v>
          </cell>
          <cell r="B534" t="str">
            <v>ja</v>
          </cell>
          <cell r="C534" t="str">
            <v>冬服アカネ</v>
          </cell>
          <cell r="D534" t="str">
            <v>イベント:ミクコラボ01</v>
          </cell>
          <cell r="E534" t="str">
            <v>執行者</v>
          </cell>
          <cell r="F534" t="str">
            <v>格好いい</v>
          </cell>
          <cell r="G534" t="str">
            <v>不明</v>
          </cell>
          <cell r="H534" t="str">
            <v>red</v>
          </cell>
          <cell r="I534">
            <v>1</v>
          </cell>
          <cell r="J534" t="str">
            <v>Drop1W</v>
          </cell>
          <cell r="K534" t="str">
            <v>balance</v>
          </cell>
          <cell r="L534" t="str">
            <v>バランスタイプ</v>
          </cell>
          <cell r="M534" t="str">
            <v>human</v>
          </cell>
          <cell r="N534" t="str">
            <v>ヒューマン</v>
          </cell>
          <cell r="O534" t="str">
            <v>none</v>
          </cell>
          <cell r="P534" t="str">
            <v>種族なし</v>
          </cell>
          <cell r="Q534" t="str">
            <v>アタッカー</v>
          </cell>
          <cell r="R534">
            <v>3</v>
          </cell>
          <cell r="S534" t="str">
            <v>NULL</v>
          </cell>
          <cell r="T534" t="str">
            <v>normal</v>
          </cell>
          <cell r="U534" t="str">
            <v>NULL</v>
          </cell>
          <cell r="V534" t="str">
            <v>NULL</v>
          </cell>
          <cell r="W534" t="str">
            <v>NULL</v>
          </cell>
        </row>
        <row r="535">
          <cell r="A535">
            <v>534</v>
          </cell>
          <cell r="B535" t="str">
            <v>ja</v>
          </cell>
          <cell r="C535" t="str">
            <v>冬服パトライン</v>
          </cell>
          <cell r="D535" t="str">
            <v>イベント:ミクコラボ01</v>
          </cell>
          <cell r="E535" t="str">
            <v>執行者</v>
          </cell>
          <cell r="F535" t="str">
            <v>格好いい</v>
          </cell>
          <cell r="G535" t="str">
            <v>不明</v>
          </cell>
          <cell r="H535" t="str">
            <v>green</v>
          </cell>
          <cell r="I535">
            <v>1</v>
          </cell>
          <cell r="J535" t="str">
            <v>Drop1W</v>
          </cell>
          <cell r="K535" t="str">
            <v>heal</v>
          </cell>
          <cell r="L535" t="str">
            <v>回復タイプ</v>
          </cell>
          <cell r="M535" t="str">
            <v>machine</v>
          </cell>
          <cell r="N535" t="str">
            <v>マシン</v>
          </cell>
          <cell r="O535" t="str">
            <v>none</v>
          </cell>
          <cell r="P535" t="str">
            <v>種族なし</v>
          </cell>
          <cell r="Q535" t="str">
            <v>アタッカー</v>
          </cell>
          <cell r="R535">
            <v>3</v>
          </cell>
          <cell r="S535" t="str">
            <v>NULL</v>
          </cell>
          <cell r="T535" t="str">
            <v>normal</v>
          </cell>
          <cell r="U535" t="str">
            <v>NULL</v>
          </cell>
          <cell r="V535" t="str">
            <v>NULL</v>
          </cell>
          <cell r="W535" t="str">
            <v>NULL</v>
          </cell>
        </row>
        <row r="536">
          <cell r="A536">
            <v>535</v>
          </cell>
          <cell r="B536" t="str">
            <v>ja</v>
          </cell>
          <cell r="C536" t="str">
            <v>冬服リム</v>
          </cell>
          <cell r="D536" t="str">
            <v>イベント:ミクコラボ01</v>
          </cell>
          <cell r="E536" t="str">
            <v>執行者</v>
          </cell>
          <cell r="F536" t="str">
            <v>格好いい</v>
          </cell>
          <cell r="G536" t="str">
            <v>不明</v>
          </cell>
          <cell r="H536" t="str">
            <v>blue</v>
          </cell>
          <cell r="I536">
            <v>1</v>
          </cell>
          <cell r="J536" t="str">
            <v>Drop1W</v>
          </cell>
          <cell r="K536" t="str">
            <v>balance</v>
          </cell>
          <cell r="L536" t="str">
            <v>バランスタイプ</v>
          </cell>
          <cell r="M536" t="str">
            <v>human</v>
          </cell>
          <cell r="N536" t="str">
            <v>ヒューマン</v>
          </cell>
          <cell r="O536" t="str">
            <v>machine</v>
          </cell>
          <cell r="P536" t="str">
            <v>マシン</v>
          </cell>
          <cell r="Q536" t="str">
            <v>アタッカー</v>
          </cell>
          <cell r="R536">
            <v>3</v>
          </cell>
          <cell r="S536" t="str">
            <v>NULL</v>
          </cell>
          <cell r="T536" t="str">
            <v>normal</v>
          </cell>
          <cell r="U536" t="str">
            <v>NULL</v>
          </cell>
          <cell r="V536" t="str">
            <v>NULL</v>
          </cell>
          <cell r="W536" t="str">
            <v>NULL</v>
          </cell>
        </row>
        <row r="537">
          <cell r="A537">
            <v>536</v>
          </cell>
          <cell r="B537" t="str">
            <v>ja</v>
          </cell>
          <cell r="C537" t="str">
            <v>冬服ミミ</v>
          </cell>
          <cell r="D537" t="str">
            <v>イベント:ミクコラボ01</v>
          </cell>
          <cell r="E537" t="str">
            <v>執行者</v>
          </cell>
          <cell r="F537" t="str">
            <v>格好いい</v>
          </cell>
          <cell r="G537" t="str">
            <v>不明</v>
          </cell>
          <cell r="H537" t="str">
            <v>yellow</v>
          </cell>
          <cell r="I537">
            <v>1</v>
          </cell>
          <cell r="J537" t="str">
            <v>Drop1W</v>
          </cell>
          <cell r="K537" t="str">
            <v>attack</v>
          </cell>
          <cell r="L537" t="str">
            <v>攻撃タイプ</v>
          </cell>
          <cell r="M537" t="str">
            <v>animal</v>
          </cell>
          <cell r="N537" t="str">
            <v>アニマル</v>
          </cell>
          <cell r="O537" t="str">
            <v>none</v>
          </cell>
          <cell r="P537" t="str">
            <v>種族なし</v>
          </cell>
          <cell r="Q537" t="str">
            <v>アタッカー</v>
          </cell>
          <cell r="R537">
            <v>3</v>
          </cell>
          <cell r="S537" t="str">
            <v>NULL</v>
          </cell>
          <cell r="T537" t="str">
            <v>normal</v>
          </cell>
          <cell r="U537" t="str">
            <v>NULL</v>
          </cell>
          <cell r="V537" t="str">
            <v>NULL</v>
          </cell>
          <cell r="W537" t="str">
            <v>NULL</v>
          </cell>
        </row>
        <row r="538">
          <cell r="A538">
            <v>537</v>
          </cell>
          <cell r="B538" t="str">
            <v>ja</v>
          </cell>
          <cell r="C538" t="str">
            <v>冬服ハッピー100</v>
          </cell>
          <cell r="D538" t="str">
            <v>イベント:ミクコラボ01</v>
          </cell>
          <cell r="E538" t="str">
            <v>執行者</v>
          </cell>
          <cell r="F538" t="str">
            <v>格好いい</v>
          </cell>
          <cell r="G538" t="str">
            <v>女性</v>
          </cell>
          <cell r="H538" t="str">
            <v>green</v>
          </cell>
          <cell r="I538">
            <v>3</v>
          </cell>
          <cell r="J538" t="str">
            <v>DropWizW</v>
          </cell>
          <cell r="K538" t="str">
            <v>heal</v>
          </cell>
          <cell r="L538" t="str">
            <v>回復タイプ</v>
          </cell>
          <cell r="M538" t="str">
            <v>unknown</v>
          </cell>
          <cell r="N538" t="str">
            <v>Unknown</v>
          </cell>
          <cell r="O538" t="str">
            <v>none</v>
          </cell>
          <cell r="P538" t="str">
            <v>種族なし</v>
          </cell>
          <cell r="Q538" t="str">
            <v>アタッカー</v>
          </cell>
          <cell r="R538">
            <v>3</v>
          </cell>
          <cell r="S538" t="str">
            <v>NULL</v>
          </cell>
          <cell r="T538" t="str">
            <v>normal</v>
          </cell>
          <cell r="U538" t="str">
            <v>NULL</v>
          </cell>
          <cell r="V538" t="str">
            <v>NULL</v>
          </cell>
          <cell r="W538" t="str">
            <v>NULL</v>
          </cell>
        </row>
        <row r="539">
          <cell r="A539">
            <v>538</v>
          </cell>
          <cell r="B539" t="str">
            <v>ja</v>
          </cell>
          <cell r="C539" t="str">
            <v>冬服ニムダ</v>
          </cell>
          <cell r="D539" t="str">
            <v>イベント:ミクコラボ01</v>
          </cell>
          <cell r="E539" t="str">
            <v>執行者</v>
          </cell>
          <cell r="F539" t="str">
            <v>格好いい</v>
          </cell>
          <cell r="G539" t="str">
            <v>女性</v>
          </cell>
          <cell r="H539" t="str">
            <v>yellow</v>
          </cell>
          <cell r="I539">
            <v>3</v>
          </cell>
          <cell r="J539" t="str">
            <v>DropWizW</v>
          </cell>
          <cell r="K539" t="str">
            <v>heal</v>
          </cell>
          <cell r="L539" t="str">
            <v>回復タイプ</v>
          </cell>
          <cell r="M539" t="str">
            <v>unknown</v>
          </cell>
          <cell r="N539" t="str">
            <v>Unknown</v>
          </cell>
          <cell r="O539" t="str">
            <v>none</v>
          </cell>
          <cell r="P539" t="str">
            <v>種族なし</v>
          </cell>
          <cell r="Q539" t="str">
            <v>アタッカー</v>
          </cell>
          <cell r="R539">
            <v>3</v>
          </cell>
          <cell r="S539" t="str">
            <v>NULL</v>
          </cell>
          <cell r="T539" t="str">
            <v>normal</v>
          </cell>
          <cell r="U539" t="str">
            <v>NULL</v>
          </cell>
          <cell r="V539" t="str">
            <v>NULL</v>
          </cell>
          <cell r="W539" t="str">
            <v>NULL</v>
          </cell>
        </row>
        <row r="540">
          <cell r="A540">
            <v>539</v>
          </cell>
          <cell r="B540" t="str">
            <v>ja</v>
          </cell>
          <cell r="C540" t="str">
            <v>初音ミク・アペンド</v>
          </cell>
          <cell r="D540" t="str">
            <v>ガチャ:ミクコラボ01</v>
          </cell>
          <cell r="E540" t="str">
            <v>執行者</v>
          </cell>
          <cell r="F540" t="str">
            <v>格好いい</v>
          </cell>
          <cell r="G540" t="str">
            <v>女性</v>
          </cell>
          <cell r="H540" t="str">
            <v>green</v>
          </cell>
          <cell r="I540">
            <v>4</v>
          </cell>
          <cell r="J540" t="str">
            <v>PremiumSSS</v>
          </cell>
          <cell r="K540" t="str">
            <v>technical</v>
          </cell>
          <cell r="L540" t="str">
            <v>テクニカルタイプ</v>
          </cell>
          <cell r="M540" t="str">
            <v>unknown</v>
          </cell>
          <cell r="N540" t="str">
            <v>Unknown</v>
          </cell>
          <cell r="O540" t="str">
            <v>none</v>
          </cell>
          <cell r="P540" t="str">
            <v>種族なし</v>
          </cell>
          <cell r="Q540" t="str">
            <v>アタッカー</v>
          </cell>
          <cell r="R540">
            <v>3</v>
          </cell>
          <cell r="S540" t="str">
            <v>NULL</v>
          </cell>
          <cell r="T540" t="str">
            <v>normal</v>
          </cell>
          <cell r="U540" t="str">
            <v>NULL</v>
          </cell>
          <cell r="V540" t="str">
            <v>NULL</v>
          </cell>
          <cell r="W540" t="str">
            <v>NULL</v>
          </cell>
        </row>
        <row r="541">
          <cell r="A541">
            <v>540</v>
          </cell>
          <cell r="B541" t="str">
            <v>ja</v>
          </cell>
          <cell r="C541" t="str">
            <v>来訪の歌姫 初音ミク・アペンド</v>
          </cell>
          <cell r="D541" t="str">
            <v>ガチャ:ミクコラボ01</v>
          </cell>
          <cell r="E541" t="str">
            <v>執行者</v>
          </cell>
          <cell r="F541" t="str">
            <v>格好いい</v>
          </cell>
          <cell r="G541" t="str">
            <v>女性</v>
          </cell>
          <cell r="H541" t="str">
            <v>green</v>
          </cell>
          <cell r="I541">
            <v>5</v>
          </cell>
          <cell r="J541" t="str">
            <v>PremiumSSS</v>
          </cell>
          <cell r="K541" t="str">
            <v>technical</v>
          </cell>
          <cell r="L541" t="str">
            <v>テクニカルタイプ</v>
          </cell>
          <cell r="M541" t="str">
            <v>unknown</v>
          </cell>
          <cell r="N541" t="str">
            <v>Unknown</v>
          </cell>
          <cell r="O541" t="str">
            <v>none</v>
          </cell>
          <cell r="P541" t="str">
            <v>種族なし</v>
          </cell>
          <cell r="Q541" t="str">
            <v>アタッカー</v>
          </cell>
          <cell r="R541">
            <v>3</v>
          </cell>
          <cell r="S541" t="str">
            <v>NULL</v>
          </cell>
          <cell r="T541" t="str">
            <v>normal</v>
          </cell>
          <cell r="U541" t="str">
            <v>NULL</v>
          </cell>
          <cell r="V541" t="str">
            <v>NULL</v>
          </cell>
          <cell r="W541" t="str">
            <v>NULL</v>
          </cell>
        </row>
        <row r="542">
          <cell r="A542">
            <v>541</v>
          </cell>
          <cell r="B542" t="str">
            <v>ja</v>
          </cell>
          <cell r="C542" t="str">
            <v>初音ミク</v>
          </cell>
          <cell r="D542" t="str">
            <v>ガチャ:ミクコラボ01</v>
          </cell>
          <cell r="E542" t="str">
            <v>執行者</v>
          </cell>
          <cell r="F542" t="str">
            <v>格好いい</v>
          </cell>
          <cell r="G542" t="str">
            <v>女性</v>
          </cell>
          <cell r="H542" t="str">
            <v>green</v>
          </cell>
          <cell r="I542">
            <v>4</v>
          </cell>
          <cell r="J542" t="str">
            <v>PremiumSSS</v>
          </cell>
          <cell r="K542" t="str">
            <v>balance</v>
          </cell>
          <cell r="L542" t="str">
            <v>バランスタイプ</v>
          </cell>
          <cell r="M542" t="str">
            <v>unknown</v>
          </cell>
          <cell r="N542" t="str">
            <v>Unknown</v>
          </cell>
          <cell r="O542" t="str">
            <v>none</v>
          </cell>
          <cell r="P542" t="str">
            <v>種族なし</v>
          </cell>
          <cell r="Q542" t="str">
            <v>アタッカー</v>
          </cell>
          <cell r="R542">
            <v>3</v>
          </cell>
          <cell r="S542" t="str">
            <v>NULL</v>
          </cell>
          <cell r="T542" t="str">
            <v>normal</v>
          </cell>
          <cell r="U542" t="str">
            <v>NULL</v>
          </cell>
          <cell r="V542" t="str">
            <v>NULL</v>
          </cell>
          <cell r="W542" t="str">
            <v>NULL</v>
          </cell>
        </row>
        <row r="543">
          <cell r="A543">
            <v>542</v>
          </cell>
          <cell r="B543" t="str">
            <v>ja</v>
          </cell>
          <cell r="C543" t="str">
            <v>革命の音撃 初音ミク</v>
          </cell>
          <cell r="D543" t="str">
            <v>ガチャ:ミクコラボ01</v>
          </cell>
          <cell r="E543" t="str">
            <v>執行者</v>
          </cell>
          <cell r="F543" t="str">
            <v>格好いい</v>
          </cell>
          <cell r="G543" t="str">
            <v>女性</v>
          </cell>
          <cell r="H543" t="str">
            <v>green</v>
          </cell>
          <cell r="I543">
            <v>5</v>
          </cell>
          <cell r="J543" t="str">
            <v>PremiumSSS</v>
          </cell>
          <cell r="K543" t="str">
            <v>balance</v>
          </cell>
          <cell r="L543" t="str">
            <v>バランスタイプ</v>
          </cell>
          <cell r="M543" t="str">
            <v>unknown</v>
          </cell>
          <cell r="N543" t="str">
            <v>Unknown</v>
          </cell>
          <cell r="O543" t="str">
            <v>none</v>
          </cell>
          <cell r="P543" t="str">
            <v>種族なし</v>
          </cell>
          <cell r="Q543" t="str">
            <v>アタッカー</v>
          </cell>
          <cell r="R543">
            <v>3</v>
          </cell>
          <cell r="S543" t="str">
            <v>NULL</v>
          </cell>
          <cell r="T543" t="str">
            <v>normal</v>
          </cell>
          <cell r="U543" t="str">
            <v>NULL</v>
          </cell>
          <cell r="V543" t="str">
            <v>NULL</v>
          </cell>
          <cell r="W543" t="str">
            <v>NULL</v>
          </cell>
        </row>
        <row r="544">
          <cell r="A544">
            <v>543</v>
          </cell>
          <cell r="B544" t="str">
            <v>ja</v>
          </cell>
          <cell r="C544" t="str">
            <v>鏡音リン</v>
          </cell>
          <cell r="D544" t="str">
            <v>ガチャ:ミクコラボ01</v>
          </cell>
          <cell r="E544" t="str">
            <v>執行者</v>
          </cell>
          <cell r="F544" t="str">
            <v>格好いい</v>
          </cell>
          <cell r="G544" t="str">
            <v>女性</v>
          </cell>
          <cell r="H544" t="str">
            <v>yellow</v>
          </cell>
          <cell r="I544">
            <v>4</v>
          </cell>
          <cell r="J544" t="str">
            <v>PremiumSS</v>
          </cell>
          <cell r="K544" t="str">
            <v>balance</v>
          </cell>
          <cell r="L544" t="str">
            <v>バランスタイプ</v>
          </cell>
          <cell r="M544" t="str">
            <v>unknown</v>
          </cell>
          <cell r="N544" t="str">
            <v>Unknown</v>
          </cell>
          <cell r="O544" t="str">
            <v>none</v>
          </cell>
          <cell r="P544" t="str">
            <v>種族なし</v>
          </cell>
          <cell r="Q544" t="str">
            <v>アタッカー</v>
          </cell>
          <cell r="R544">
            <v>3</v>
          </cell>
          <cell r="S544" t="str">
            <v>NULL</v>
          </cell>
          <cell r="T544" t="str">
            <v>normal</v>
          </cell>
          <cell r="U544" t="str">
            <v>NULL</v>
          </cell>
          <cell r="V544" t="str">
            <v>NULL</v>
          </cell>
          <cell r="W544" t="str">
            <v>NULL</v>
          </cell>
        </row>
        <row r="545">
          <cell r="A545">
            <v>544</v>
          </cell>
          <cell r="B545" t="str">
            <v>ja</v>
          </cell>
          <cell r="C545" t="str">
            <v>反響の凛音 鏡音リン</v>
          </cell>
          <cell r="D545" t="str">
            <v>ガチャ:ミクコラボ01</v>
          </cell>
          <cell r="E545" t="str">
            <v>執行者</v>
          </cell>
          <cell r="F545" t="str">
            <v>格好いい</v>
          </cell>
          <cell r="G545" t="str">
            <v>女性</v>
          </cell>
          <cell r="H545" t="str">
            <v>yellow</v>
          </cell>
          <cell r="I545">
            <v>5</v>
          </cell>
          <cell r="J545" t="str">
            <v>PremiumSS</v>
          </cell>
          <cell r="K545" t="str">
            <v>balance</v>
          </cell>
          <cell r="L545" t="str">
            <v>バランスタイプ</v>
          </cell>
          <cell r="M545" t="str">
            <v>unknown</v>
          </cell>
          <cell r="N545" t="str">
            <v>Unknown</v>
          </cell>
          <cell r="O545" t="str">
            <v>none</v>
          </cell>
          <cell r="P545" t="str">
            <v>種族なし</v>
          </cell>
          <cell r="Q545" t="str">
            <v>アタッカー</v>
          </cell>
          <cell r="R545">
            <v>3</v>
          </cell>
          <cell r="S545" t="str">
            <v>NULL</v>
          </cell>
          <cell r="T545" t="str">
            <v>normal</v>
          </cell>
          <cell r="U545" t="str">
            <v>NULL</v>
          </cell>
          <cell r="V545" t="str">
            <v>NULL</v>
          </cell>
          <cell r="W545" t="str">
            <v>NULL</v>
          </cell>
        </row>
        <row r="546">
          <cell r="A546">
            <v>545</v>
          </cell>
          <cell r="B546" t="str">
            <v>ja</v>
          </cell>
          <cell r="C546" t="str">
            <v>鏡音レン</v>
          </cell>
          <cell r="D546" t="str">
            <v>ガチャ:ミクコラボ01</v>
          </cell>
          <cell r="E546" t="str">
            <v>執行者</v>
          </cell>
          <cell r="F546" t="str">
            <v>格好いい</v>
          </cell>
          <cell r="G546" t="str">
            <v>男性</v>
          </cell>
          <cell r="H546" t="str">
            <v>yellow</v>
          </cell>
          <cell r="I546">
            <v>4</v>
          </cell>
          <cell r="J546" t="str">
            <v>PremiumSS</v>
          </cell>
          <cell r="K546" t="str">
            <v>heal</v>
          </cell>
          <cell r="L546" t="str">
            <v>回復タイプ</v>
          </cell>
          <cell r="M546" t="str">
            <v>unknown</v>
          </cell>
          <cell r="N546" t="str">
            <v>Unknown</v>
          </cell>
          <cell r="O546" t="str">
            <v>none</v>
          </cell>
          <cell r="P546" t="str">
            <v>種族なし</v>
          </cell>
          <cell r="Q546" t="str">
            <v>アタッカー</v>
          </cell>
          <cell r="R546">
            <v>3</v>
          </cell>
          <cell r="S546" t="str">
            <v>NULL</v>
          </cell>
          <cell r="T546" t="str">
            <v>normal</v>
          </cell>
          <cell r="U546" t="str">
            <v>NULL</v>
          </cell>
          <cell r="V546" t="str">
            <v>NULL</v>
          </cell>
          <cell r="W546" t="str">
            <v>NULL</v>
          </cell>
        </row>
        <row r="547">
          <cell r="A547">
            <v>546</v>
          </cell>
          <cell r="B547" t="str">
            <v>ja</v>
          </cell>
          <cell r="C547" t="str">
            <v>残響の連符 鏡音レン</v>
          </cell>
          <cell r="D547" t="str">
            <v>ガチャ:ミクコラボ01</v>
          </cell>
          <cell r="E547" t="str">
            <v>執行者</v>
          </cell>
          <cell r="F547" t="str">
            <v>格好いい</v>
          </cell>
          <cell r="G547" t="str">
            <v>男性</v>
          </cell>
          <cell r="H547" t="str">
            <v>yellow</v>
          </cell>
          <cell r="I547">
            <v>5</v>
          </cell>
          <cell r="J547" t="str">
            <v>PremiumSS</v>
          </cell>
          <cell r="K547" t="str">
            <v>heal</v>
          </cell>
          <cell r="L547" t="str">
            <v>回復タイプ</v>
          </cell>
          <cell r="M547" t="str">
            <v>unknown</v>
          </cell>
          <cell r="N547" t="str">
            <v>Unknown</v>
          </cell>
          <cell r="O547" t="str">
            <v>none</v>
          </cell>
          <cell r="P547" t="str">
            <v>種族なし</v>
          </cell>
          <cell r="Q547" t="str">
            <v>アタッカー</v>
          </cell>
          <cell r="R547">
            <v>3</v>
          </cell>
          <cell r="S547" t="str">
            <v>NULL</v>
          </cell>
          <cell r="T547" t="str">
            <v>normal</v>
          </cell>
          <cell r="U547" t="str">
            <v>NULL</v>
          </cell>
          <cell r="V547" t="str">
            <v>NULL</v>
          </cell>
          <cell r="W547" t="str">
            <v>NULL</v>
          </cell>
        </row>
        <row r="548">
          <cell r="A548">
            <v>547</v>
          </cell>
          <cell r="B548" t="str">
            <v>ja</v>
          </cell>
          <cell r="C548" t="str">
            <v>巡音ルカ</v>
          </cell>
          <cell r="D548" t="str">
            <v>ガチャ:ミクコラボ01</v>
          </cell>
          <cell r="E548" t="str">
            <v>執行者</v>
          </cell>
          <cell r="F548" t="str">
            <v>格好いい</v>
          </cell>
          <cell r="G548" t="str">
            <v>女性</v>
          </cell>
          <cell r="H548" t="str">
            <v>red</v>
          </cell>
          <cell r="I548">
            <v>3</v>
          </cell>
          <cell r="J548" t="str">
            <v>PremiumS</v>
          </cell>
          <cell r="K548" t="str">
            <v>attack</v>
          </cell>
          <cell r="L548" t="str">
            <v>攻撃タイプ</v>
          </cell>
          <cell r="M548" t="str">
            <v>unknown</v>
          </cell>
          <cell r="N548" t="str">
            <v>Unknown</v>
          </cell>
          <cell r="O548" t="str">
            <v>none</v>
          </cell>
          <cell r="P548" t="str">
            <v>種族なし</v>
          </cell>
          <cell r="Q548" t="str">
            <v>アタッカー</v>
          </cell>
          <cell r="R548">
            <v>3</v>
          </cell>
          <cell r="S548" t="str">
            <v>NULL</v>
          </cell>
          <cell r="T548" t="str">
            <v>normal</v>
          </cell>
          <cell r="U548" t="str">
            <v>NULL</v>
          </cell>
          <cell r="V548" t="str">
            <v>NULL</v>
          </cell>
          <cell r="W548" t="str">
            <v>NULL</v>
          </cell>
        </row>
        <row r="549">
          <cell r="A549">
            <v>548</v>
          </cell>
          <cell r="B549" t="str">
            <v>ja</v>
          </cell>
          <cell r="C549" t="str">
            <v>乱舞の音環 巡音ルカ</v>
          </cell>
          <cell r="D549" t="str">
            <v>ガチャ:ミクコラボ01</v>
          </cell>
          <cell r="E549" t="str">
            <v>執行者</v>
          </cell>
          <cell r="F549" t="str">
            <v>格好いい</v>
          </cell>
          <cell r="G549" t="str">
            <v>女性</v>
          </cell>
          <cell r="H549" t="str">
            <v>red</v>
          </cell>
          <cell r="I549">
            <v>4</v>
          </cell>
          <cell r="J549" t="str">
            <v>PremiumS</v>
          </cell>
          <cell r="K549" t="str">
            <v>attack</v>
          </cell>
          <cell r="L549" t="str">
            <v>攻撃タイプ</v>
          </cell>
          <cell r="M549" t="str">
            <v>unknown</v>
          </cell>
          <cell r="N549" t="str">
            <v>Unknown</v>
          </cell>
          <cell r="O549" t="str">
            <v>none</v>
          </cell>
          <cell r="P549" t="str">
            <v>種族なし</v>
          </cell>
          <cell r="Q549" t="str">
            <v>アタッカー</v>
          </cell>
          <cell r="R549">
            <v>3</v>
          </cell>
          <cell r="S549" t="str">
            <v>NULL</v>
          </cell>
          <cell r="T549" t="str">
            <v>normal</v>
          </cell>
          <cell r="U549" t="str">
            <v>NULL</v>
          </cell>
          <cell r="V549" t="str">
            <v>NULL</v>
          </cell>
          <cell r="W549" t="str">
            <v>NULL</v>
          </cell>
        </row>
        <row r="550">
          <cell r="A550">
            <v>549</v>
          </cell>
          <cell r="B550" t="str">
            <v>ja</v>
          </cell>
          <cell r="C550" t="str">
            <v>MEIKO</v>
          </cell>
          <cell r="D550" t="str">
            <v>ガチャ:ミクコラボ01</v>
          </cell>
          <cell r="E550" t="str">
            <v>執行者</v>
          </cell>
          <cell r="F550" t="str">
            <v>格好いい</v>
          </cell>
          <cell r="G550" t="str">
            <v>女性</v>
          </cell>
          <cell r="H550" t="str">
            <v>red</v>
          </cell>
          <cell r="I550">
            <v>3</v>
          </cell>
          <cell r="J550" t="str">
            <v>PremiumS</v>
          </cell>
          <cell r="K550" t="str">
            <v>hp</v>
          </cell>
          <cell r="L550" t="str">
            <v>体力タイプ</v>
          </cell>
          <cell r="M550" t="str">
            <v>unknown</v>
          </cell>
          <cell r="N550" t="str">
            <v>Unknown</v>
          </cell>
          <cell r="O550" t="str">
            <v>none</v>
          </cell>
          <cell r="P550" t="str">
            <v>種族なし</v>
          </cell>
          <cell r="Q550" t="str">
            <v>アタッカー</v>
          </cell>
          <cell r="R550">
            <v>3</v>
          </cell>
          <cell r="S550" t="str">
            <v>NULL</v>
          </cell>
          <cell r="T550" t="str">
            <v>normal</v>
          </cell>
          <cell r="U550" t="str">
            <v>NULL</v>
          </cell>
          <cell r="V550" t="str">
            <v>NULL</v>
          </cell>
          <cell r="W550" t="str">
            <v>NULL</v>
          </cell>
        </row>
        <row r="551">
          <cell r="A551">
            <v>550</v>
          </cell>
          <cell r="B551" t="str">
            <v>ja</v>
          </cell>
          <cell r="C551" t="str">
            <v>解放の絶唱 MEIKO</v>
          </cell>
          <cell r="D551" t="str">
            <v>ガチャ:ミクコラボ01</v>
          </cell>
          <cell r="E551" t="str">
            <v>執行者</v>
          </cell>
          <cell r="F551" t="str">
            <v>格好いい</v>
          </cell>
          <cell r="G551" t="str">
            <v>女性</v>
          </cell>
          <cell r="H551" t="str">
            <v>red</v>
          </cell>
          <cell r="I551">
            <v>4</v>
          </cell>
          <cell r="J551" t="str">
            <v>PremiumS</v>
          </cell>
          <cell r="K551" t="str">
            <v>hp</v>
          </cell>
          <cell r="L551" t="str">
            <v>体力タイプ</v>
          </cell>
          <cell r="M551" t="str">
            <v>unknown</v>
          </cell>
          <cell r="N551" t="str">
            <v>Unknown</v>
          </cell>
          <cell r="O551" t="str">
            <v>none</v>
          </cell>
          <cell r="P551" t="str">
            <v>種族なし</v>
          </cell>
          <cell r="Q551" t="str">
            <v>アタッカー</v>
          </cell>
          <cell r="R551">
            <v>3</v>
          </cell>
          <cell r="S551" t="str">
            <v>NULL</v>
          </cell>
          <cell r="T551" t="str">
            <v>normal</v>
          </cell>
          <cell r="U551" t="str">
            <v>NULL</v>
          </cell>
          <cell r="V551" t="str">
            <v>NULL</v>
          </cell>
          <cell r="W551" t="str">
            <v>NULL</v>
          </cell>
        </row>
        <row r="552">
          <cell r="A552">
            <v>551</v>
          </cell>
          <cell r="B552" t="str">
            <v>ja</v>
          </cell>
          <cell r="C552" t="str">
            <v>KAITO</v>
          </cell>
          <cell r="D552" t="str">
            <v>ガチャ:ミクコラボ01</v>
          </cell>
          <cell r="E552" t="str">
            <v>執行者</v>
          </cell>
          <cell r="F552" t="str">
            <v>格好いい</v>
          </cell>
          <cell r="G552" t="str">
            <v>男性</v>
          </cell>
          <cell r="H552" t="str">
            <v>blue</v>
          </cell>
          <cell r="I552">
            <v>3</v>
          </cell>
          <cell r="J552" t="str">
            <v>PremiumS</v>
          </cell>
          <cell r="K552" t="str">
            <v>technical</v>
          </cell>
          <cell r="L552" t="str">
            <v>テクニカルタイプ</v>
          </cell>
          <cell r="M552" t="str">
            <v>unknown</v>
          </cell>
          <cell r="N552" t="str">
            <v>Unknown</v>
          </cell>
          <cell r="O552" t="str">
            <v>none</v>
          </cell>
          <cell r="P552" t="str">
            <v>種族なし</v>
          </cell>
          <cell r="Q552" t="str">
            <v>アタッカー</v>
          </cell>
          <cell r="R552">
            <v>3</v>
          </cell>
          <cell r="S552" t="str">
            <v>NULL</v>
          </cell>
          <cell r="T552" t="str">
            <v>normal</v>
          </cell>
          <cell r="U552" t="str">
            <v>NULL</v>
          </cell>
          <cell r="V552" t="str">
            <v>NULL</v>
          </cell>
          <cell r="W552" t="str">
            <v>NULL</v>
          </cell>
        </row>
        <row r="553">
          <cell r="A553">
            <v>552</v>
          </cell>
          <cell r="B553" t="str">
            <v>ja</v>
          </cell>
          <cell r="C553" t="str">
            <v>愉悦の愛唱 KAITO</v>
          </cell>
          <cell r="D553" t="str">
            <v>ガチャ:ミクコラボ01</v>
          </cell>
          <cell r="E553" t="str">
            <v>執行者</v>
          </cell>
          <cell r="F553" t="str">
            <v>格好いい</v>
          </cell>
          <cell r="G553" t="str">
            <v>男性</v>
          </cell>
          <cell r="H553" t="str">
            <v>blue</v>
          </cell>
          <cell r="I553">
            <v>4</v>
          </cell>
          <cell r="J553" t="str">
            <v>PremiumS</v>
          </cell>
          <cell r="K553" t="str">
            <v>technical</v>
          </cell>
          <cell r="L553" t="str">
            <v>テクニカルタイプ</v>
          </cell>
          <cell r="M553" t="str">
            <v>unknown</v>
          </cell>
          <cell r="N553" t="str">
            <v>Unknown</v>
          </cell>
          <cell r="O553" t="str">
            <v>none</v>
          </cell>
          <cell r="P553" t="str">
            <v>種族なし</v>
          </cell>
          <cell r="Q553" t="str">
            <v>アタッカー</v>
          </cell>
          <cell r="R553">
            <v>3</v>
          </cell>
          <cell r="S553" t="str">
            <v>NULL</v>
          </cell>
          <cell r="T553" t="str">
            <v>normal</v>
          </cell>
          <cell r="U553" t="str">
            <v>NULL</v>
          </cell>
          <cell r="V553" t="str">
            <v>NULL</v>
          </cell>
          <cell r="W553" t="str">
            <v>NULL</v>
          </cell>
        </row>
        <row r="554">
          <cell r="A554">
            <v>553</v>
          </cell>
          <cell r="B554" t="str">
            <v>ja</v>
          </cell>
          <cell r="C554" t="str">
            <v>雪ミク2016</v>
          </cell>
          <cell r="D554" t="str">
            <v>イベント:ミクコラボ01</v>
          </cell>
          <cell r="E554" t="str">
            <v>執行者</v>
          </cell>
          <cell r="F554" t="str">
            <v>格好いい</v>
          </cell>
          <cell r="G554" t="str">
            <v>女性</v>
          </cell>
          <cell r="H554" t="str">
            <v>blue</v>
          </cell>
          <cell r="I554">
            <v>4</v>
          </cell>
          <cell r="J554" t="str">
            <v>Drop2N</v>
          </cell>
          <cell r="K554" t="str">
            <v>attack</v>
          </cell>
          <cell r="L554" t="str">
            <v>攻撃タイプ</v>
          </cell>
          <cell r="M554" t="str">
            <v>unknown</v>
          </cell>
          <cell r="N554" t="str">
            <v>Unknown</v>
          </cell>
          <cell r="O554" t="str">
            <v>none</v>
          </cell>
          <cell r="P554" t="str">
            <v>種族なし</v>
          </cell>
          <cell r="Q554" t="str">
            <v>アタッカー</v>
          </cell>
          <cell r="R554">
            <v>3</v>
          </cell>
          <cell r="S554" t="str">
            <v>NULL</v>
          </cell>
          <cell r="T554" t="str">
            <v>normal</v>
          </cell>
          <cell r="U554" t="str">
            <v>NULL</v>
          </cell>
          <cell r="V554" t="str">
            <v>NULL</v>
          </cell>
          <cell r="W554" t="str">
            <v>NULL</v>
          </cell>
        </row>
        <row r="555">
          <cell r="A555">
            <v>554</v>
          </cell>
          <cell r="B555" t="str">
            <v>ja</v>
          </cell>
          <cell r="C555" t="str">
            <v>雪ミク&amp;ラビット・ユキネ2016</v>
          </cell>
          <cell r="D555" t="str">
            <v>イベント:ミクコラボ01</v>
          </cell>
          <cell r="E555" t="str">
            <v>執行者</v>
          </cell>
          <cell r="F555" t="str">
            <v>格好いい</v>
          </cell>
          <cell r="G555" t="str">
            <v>女性</v>
          </cell>
          <cell r="H555" t="str">
            <v>blue</v>
          </cell>
          <cell r="I555">
            <v>5</v>
          </cell>
          <cell r="J555" t="str">
            <v>Drop2N</v>
          </cell>
          <cell r="K555" t="str">
            <v>attack</v>
          </cell>
          <cell r="L555" t="str">
            <v>攻撃タイプ</v>
          </cell>
          <cell r="M555" t="str">
            <v>unknown</v>
          </cell>
          <cell r="N555" t="str">
            <v>Unknown</v>
          </cell>
          <cell r="O555" t="str">
            <v>none</v>
          </cell>
          <cell r="P555" t="str">
            <v>種族なし</v>
          </cell>
          <cell r="Q555" t="str">
            <v>アタッカー</v>
          </cell>
          <cell r="R555">
            <v>3</v>
          </cell>
          <cell r="S555" t="str">
            <v>NULL</v>
          </cell>
          <cell r="T555" t="str">
            <v>normal</v>
          </cell>
          <cell r="U555" t="str">
            <v>NULL</v>
          </cell>
          <cell r="V555" t="str">
            <v>NULL</v>
          </cell>
          <cell r="W555" t="str">
            <v>NULL</v>
          </cell>
        </row>
        <row r="556">
          <cell r="A556">
            <v>555</v>
          </cell>
          <cell r="B556" t="str">
            <v>ja</v>
          </cell>
          <cell r="C556" t="str">
            <v>雪ミク2014</v>
          </cell>
          <cell r="D556" t="str">
            <v>イベント:ミクコラボ01</v>
          </cell>
          <cell r="E556" t="str">
            <v>執行者</v>
          </cell>
          <cell r="F556" t="str">
            <v>格好いい</v>
          </cell>
          <cell r="G556" t="str">
            <v>女性</v>
          </cell>
          <cell r="H556" t="str">
            <v>blue</v>
          </cell>
          <cell r="I556">
            <v>4</v>
          </cell>
          <cell r="J556" t="str">
            <v>Drop2N</v>
          </cell>
          <cell r="K556" t="str">
            <v>heal</v>
          </cell>
          <cell r="L556" t="str">
            <v>回復タイプ</v>
          </cell>
          <cell r="M556" t="str">
            <v>unknown</v>
          </cell>
          <cell r="N556" t="str">
            <v>Unknown</v>
          </cell>
          <cell r="O556" t="str">
            <v>none</v>
          </cell>
          <cell r="P556" t="str">
            <v>種族なし</v>
          </cell>
          <cell r="Q556" t="str">
            <v>アタッカー</v>
          </cell>
          <cell r="R556">
            <v>3</v>
          </cell>
          <cell r="S556" t="str">
            <v>NULL</v>
          </cell>
          <cell r="T556" t="str">
            <v>normal</v>
          </cell>
          <cell r="U556" t="str">
            <v>NULL</v>
          </cell>
          <cell r="V556" t="str">
            <v>NULL</v>
          </cell>
          <cell r="W556" t="str">
            <v>NULL</v>
          </cell>
        </row>
        <row r="557">
          <cell r="A557">
            <v>556</v>
          </cell>
          <cell r="B557" t="str">
            <v>ja</v>
          </cell>
          <cell r="C557" t="str">
            <v>雪ミク&amp;ラビットユキネ2014</v>
          </cell>
          <cell r="D557" t="str">
            <v>イベント:ミクコラボ01</v>
          </cell>
          <cell r="E557" t="str">
            <v>執行者</v>
          </cell>
          <cell r="F557" t="str">
            <v>格好いい</v>
          </cell>
          <cell r="G557" t="str">
            <v>女性</v>
          </cell>
          <cell r="H557" t="str">
            <v>blue</v>
          </cell>
          <cell r="I557">
            <v>5</v>
          </cell>
          <cell r="J557" t="str">
            <v>Drop2N</v>
          </cell>
          <cell r="K557" t="str">
            <v>heal</v>
          </cell>
          <cell r="L557" t="str">
            <v>回復タイプ</v>
          </cell>
          <cell r="M557" t="str">
            <v>unknown</v>
          </cell>
          <cell r="N557" t="str">
            <v>Unknown</v>
          </cell>
          <cell r="O557" t="str">
            <v>none</v>
          </cell>
          <cell r="P557" t="str">
            <v>種族なし</v>
          </cell>
          <cell r="Q557" t="str">
            <v>アタッカー</v>
          </cell>
          <cell r="R557">
            <v>3</v>
          </cell>
          <cell r="S557" t="str">
            <v>NULL</v>
          </cell>
          <cell r="T557" t="str">
            <v>normal</v>
          </cell>
          <cell r="U557" t="str">
            <v>NULL</v>
          </cell>
          <cell r="V557" t="str">
            <v>NULL</v>
          </cell>
          <cell r="W557" t="str">
            <v>NULL</v>
          </cell>
        </row>
        <row r="558">
          <cell r="A558">
            <v>557</v>
          </cell>
          <cell r="B558" t="str">
            <v>ja</v>
          </cell>
          <cell r="C558" t="str">
            <v>ラビット・ユキネ</v>
          </cell>
          <cell r="D558" t="str">
            <v>イベント:ミクコラボ01</v>
          </cell>
          <cell r="E558" t="str">
            <v>執行者</v>
          </cell>
          <cell r="F558" t="str">
            <v>格好いい</v>
          </cell>
          <cell r="G558" t="str">
            <v>不明</v>
          </cell>
          <cell r="H558" t="str">
            <v>blue</v>
          </cell>
          <cell r="I558">
            <v>3</v>
          </cell>
          <cell r="J558" t="str">
            <v>Drop2N</v>
          </cell>
          <cell r="K558" t="str">
            <v>balance</v>
          </cell>
          <cell r="L558" t="str">
            <v>バランスタイプ</v>
          </cell>
          <cell r="M558" t="str">
            <v>unknown</v>
          </cell>
          <cell r="N558" t="str">
            <v>Unknown</v>
          </cell>
          <cell r="O558" t="str">
            <v>none</v>
          </cell>
          <cell r="P558" t="str">
            <v>種族なし</v>
          </cell>
          <cell r="Q558" t="str">
            <v>アタッカー</v>
          </cell>
          <cell r="R558">
            <v>3</v>
          </cell>
          <cell r="S558" t="str">
            <v>NULL</v>
          </cell>
          <cell r="T558" t="str">
            <v>normal</v>
          </cell>
          <cell r="U558" t="str">
            <v>NULL</v>
          </cell>
          <cell r="V558" t="str">
            <v>NULL</v>
          </cell>
          <cell r="W558" t="str">
            <v>NULL</v>
          </cell>
        </row>
        <row r="559">
          <cell r="A559">
            <v>558</v>
          </cell>
          <cell r="B559" t="str">
            <v>ja</v>
          </cell>
          <cell r="C559" t="str">
            <v>雪原の超躍 ラビット・ユキネ</v>
          </cell>
          <cell r="D559" t="str">
            <v>イベント:ミクコラボ01</v>
          </cell>
          <cell r="E559" t="str">
            <v>執行者</v>
          </cell>
          <cell r="F559" t="str">
            <v>格好いい</v>
          </cell>
          <cell r="G559" t="str">
            <v>不明</v>
          </cell>
          <cell r="H559" t="str">
            <v>blue</v>
          </cell>
          <cell r="I559">
            <v>4</v>
          </cell>
          <cell r="J559" t="str">
            <v>Drop2N</v>
          </cell>
          <cell r="K559" t="str">
            <v>balance</v>
          </cell>
          <cell r="L559" t="str">
            <v>バランスタイプ</v>
          </cell>
          <cell r="M559" t="str">
            <v>unknown</v>
          </cell>
          <cell r="N559" t="str">
            <v>Unknown</v>
          </cell>
          <cell r="O559" t="str">
            <v>none</v>
          </cell>
          <cell r="P559" t="str">
            <v>種族なし</v>
          </cell>
          <cell r="Q559" t="str">
            <v>アタッカー</v>
          </cell>
          <cell r="R559">
            <v>3</v>
          </cell>
          <cell r="S559" t="str">
            <v>NULL</v>
          </cell>
          <cell r="T559" t="str">
            <v>normal</v>
          </cell>
          <cell r="U559" t="str">
            <v>NULL</v>
          </cell>
          <cell r="V559" t="str">
            <v>NULL</v>
          </cell>
          <cell r="W559" t="str">
            <v>NULL</v>
          </cell>
        </row>
        <row r="560">
          <cell r="A560">
            <v>559</v>
          </cell>
          <cell r="B560" t="str">
            <v>ja</v>
          </cell>
          <cell r="C560" t="str">
            <v>白銀の滑光 ラビット・ユキネ</v>
          </cell>
          <cell r="D560" t="str">
            <v>イベント:ミクコラボ01</v>
          </cell>
          <cell r="E560" t="str">
            <v>執行者</v>
          </cell>
          <cell r="F560" t="str">
            <v>格好いい</v>
          </cell>
          <cell r="G560" t="str">
            <v>不明</v>
          </cell>
          <cell r="H560" t="str">
            <v>blue</v>
          </cell>
          <cell r="I560">
            <v>5</v>
          </cell>
          <cell r="J560" t="str">
            <v>Drop2N</v>
          </cell>
          <cell r="K560" t="str">
            <v>balance</v>
          </cell>
          <cell r="L560" t="str">
            <v>バランスタイプ</v>
          </cell>
          <cell r="M560" t="str">
            <v>unknown</v>
          </cell>
          <cell r="N560" t="str">
            <v>Unknown</v>
          </cell>
          <cell r="O560" t="str">
            <v>none</v>
          </cell>
          <cell r="P560" t="str">
            <v>種族なし</v>
          </cell>
          <cell r="Q560" t="str">
            <v>アタッカー</v>
          </cell>
          <cell r="R560">
            <v>3</v>
          </cell>
          <cell r="S560" t="str">
            <v>NULL</v>
          </cell>
          <cell r="T560" t="str">
            <v>normal</v>
          </cell>
          <cell r="U560" t="str">
            <v>NULL</v>
          </cell>
          <cell r="V560" t="str">
            <v>NULL</v>
          </cell>
          <cell r="W560" t="str">
            <v>NULL</v>
          </cell>
        </row>
        <row r="561">
          <cell r="A561">
            <v>560</v>
          </cell>
          <cell r="B561" t="str">
            <v>ja</v>
          </cell>
          <cell r="C561" t="str">
            <v>暴骨炎舞の狂賢者 ユノ</v>
          </cell>
          <cell r="D561" t="str">
            <v>R５覚醒</v>
          </cell>
          <cell r="E561" t="str">
            <v>アバター</v>
          </cell>
          <cell r="F561" t="str">
            <v>美しい</v>
          </cell>
          <cell r="G561" t="str">
            <v>女性</v>
          </cell>
          <cell r="H561" t="str">
            <v>red</v>
          </cell>
          <cell r="I561">
            <v>5</v>
          </cell>
          <cell r="J561" t="str">
            <v>PremiumW</v>
          </cell>
          <cell r="K561" t="str">
            <v>attack</v>
          </cell>
          <cell r="L561" t="str">
            <v>攻撃タイプ</v>
          </cell>
          <cell r="M561" t="str">
            <v>human</v>
          </cell>
          <cell r="N561" t="str">
            <v>ヒューマン</v>
          </cell>
          <cell r="O561" t="str">
            <v>animal</v>
          </cell>
          <cell r="P561" t="str">
            <v>アニマル</v>
          </cell>
          <cell r="Q561" t="str">
            <v>バッファー</v>
          </cell>
          <cell r="R561">
            <v>3</v>
          </cell>
          <cell r="S561" t="str">
            <v>NULL</v>
          </cell>
          <cell r="T561" t="str">
            <v>normal</v>
          </cell>
          <cell r="U561" t="str">
            <v>NULL</v>
          </cell>
          <cell r="V561" t="str">
            <v>NULL</v>
          </cell>
          <cell r="W561" t="str">
            <v>NULL</v>
          </cell>
        </row>
        <row r="562">
          <cell r="A562">
            <v>561</v>
          </cell>
          <cell r="B562" t="str">
            <v>ja</v>
          </cell>
          <cell r="C562" t="str">
            <v>森翠統べる獣姫 アマラ</v>
          </cell>
          <cell r="D562" t="str">
            <v>R５覚醒</v>
          </cell>
          <cell r="E562" t="str">
            <v>アバター</v>
          </cell>
          <cell r="F562" t="str">
            <v>格好いい</v>
          </cell>
          <cell r="G562" t="str">
            <v>女性</v>
          </cell>
          <cell r="H562" t="str">
            <v>green</v>
          </cell>
          <cell r="I562">
            <v>5</v>
          </cell>
          <cell r="J562" t="str">
            <v>PremiumW</v>
          </cell>
          <cell r="K562" t="str">
            <v>attack</v>
          </cell>
          <cell r="L562" t="str">
            <v>攻撃タイプ</v>
          </cell>
          <cell r="M562" t="str">
            <v>human</v>
          </cell>
          <cell r="N562" t="str">
            <v>ヒューマン</v>
          </cell>
          <cell r="O562" t="str">
            <v>animal</v>
          </cell>
          <cell r="P562" t="str">
            <v>アニマル</v>
          </cell>
          <cell r="Q562" t="str">
            <v>バッファー</v>
          </cell>
          <cell r="R562">
            <v>3</v>
          </cell>
          <cell r="S562" t="str">
            <v>NULL</v>
          </cell>
          <cell r="T562" t="str">
            <v>normal</v>
          </cell>
          <cell r="U562" t="str">
            <v>NULL</v>
          </cell>
          <cell r="V562" t="str">
            <v>NULL</v>
          </cell>
          <cell r="W562" t="str">
            <v>NULL</v>
          </cell>
        </row>
        <row r="563">
          <cell r="A563">
            <v>562</v>
          </cell>
          <cell r="B563" t="str">
            <v>ja</v>
          </cell>
          <cell r="C563" t="str">
            <v>月夜砕く蒼狂狼 ローレンス</v>
          </cell>
          <cell r="D563" t="str">
            <v>R５覚醒</v>
          </cell>
          <cell r="E563" t="str">
            <v>アバター</v>
          </cell>
          <cell r="F563" t="str">
            <v>格好いい</v>
          </cell>
          <cell r="G563" t="str">
            <v>不明</v>
          </cell>
          <cell r="H563" t="str">
            <v>blue</v>
          </cell>
          <cell r="I563">
            <v>5</v>
          </cell>
          <cell r="J563" t="str">
            <v>PremiumW</v>
          </cell>
          <cell r="K563" t="str">
            <v>attack</v>
          </cell>
          <cell r="L563" t="str">
            <v>攻撃タイプ</v>
          </cell>
          <cell r="M563" t="str">
            <v>animal</v>
          </cell>
          <cell r="N563" t="str">
            <v>アニマル</v>
          </cell>
          <cell r="O563" t="str">
            <v>none</v>
          </cell>
          <cell r="P563" t="str">
            <v>種族なし</v>
          </cell>
          <cell r="Q563" t="str">
            <v>バッファー</v>
          </cell>
          <cell r="R563">
            <v>3</v>
          </cell>
          <cell r="S563" t="str">
            <v>NULL</v>
          </cell>
          <cell r="T563" t="str">
            <v>normal</v>
          </cell>
          <cell r="U563" t="str">
            <v>NULL</v>
          </cell>
          <cell r="V563" t="str">
            <v>NULL</v>
          </cell>
          <cell r="W563" t="str">
            <v>NULL</v>
          </cell>
        </row>
        <row r="564">
          <cell r="A564">
            <v>563</v>
          </cell>
          <cell r="B564" t="str">
            <v>ja</v>
          </cell>
          <cell r="C564" t="str">
            <v>電翔紫閃の雷刃 ハヤト</v>
          </cell>
          <cell r="D564" t="str">
            <v>R５覚醒</v>
          </cell>
          <cell r="E564" t="str">
            <v>アバター</v>
          </cell>
          <cell r="F564" t="str">
            <v>格好いい</v>
          </cell>
          <cell r="G564" t="str">
            <v>男性</v>
          </cell>
          <cell r="H564" t="str">
            <v>yellow</v>
          </cell>
          <cell r="I564">
            <v>5</v>
          </cell>
          <cell r="J564" t="str">
            <v>PremiumW</v>
          </cell>
          <cell r="K564" t="str">
            <v>attack</v>
          </cell>
          <cell r="L564" t="str">
            <v>攻撃タイプ</v>
          </cell>
          <cell r="M564" t="str">
            <v>human</v>
          </cell>
          <cell r="N564" t="str">
            <v>ヒューマン</v>
          </cell>
          <cell r="O564" t="str">
            <v>animal</v>
          </cell>
          <cell r="P564" t="str">
            <v>アニマル</v>
          </cell>
          <cell r="Q564" t="str">
            <v>バッファー</v>
          </cell>
          <cell r="R564">
            <v>3</v>
          </cell>
          <cell r="S564" t="str">
            <v>NULL</v>
          </cell>
          <cell r="T564" t="str">
            <v>normal</v>
          </cell>
          <cell r="U564" t="str">
            <v>NULL</v>
          </cell>
          <cell r="V564" t="str">
            <v>NULL</v>
          </cell>
          <cell r="W564" t="str">
            <v>NULL</v>
          </cell>
        </row>
        <row r="565">
          <cell r="A565">
            <v>564</v>
          </cell>
          <cell r="B565" t="str">
            <v>ja</v>
          </cell>
          <cell r="C565" t="str">
            <v>赤ずきん</v>
          </cell>
          <cell r="D565" t="str">
            <v>未定</v>
          </cell>
          <cell r="E565" t="str">
            <v>執行者</v>
          </cell>
          <cell r="F565" t="str">
            <v>格好いい</v>
          </cell>
          <cell r="G565" t="str">
            <v>不明</v>
          </cell>
          <cell r="H565" t="str">
            <v>red</v>
          </cell>
          <cell r="I565">
            <v>5</v>
          </cell>
          <cell r="J565" t="str">
            <v>PremiumW</v>
          </cell>
          <cell r="K565" t="str">
            <v>balance</v>
          </cell>
          <cell r="L565" t="str">
            <v>バランスタイプ</v>
          </cell>
          <cell r="M565" t="str">
            <v>human</v>
          </cell>
          <cell r="N565" t="str">
            <v>ヒューマン</v>
          </cell>
          <cell r="O565" t="str">
            <v>none</v>
          </cell>
          <cell r="P565" t="str">
            <v>種族なし</v>
          </cell>
          <cell r="Q565" t="str">
            <v>アタッカー</v>
          </cell>
          <cell r="R565">
            <v>1</v>
          </cell>
          <cell r="S565" t="str">
            <v>NULL</v>
          </cell>
          <cell r="T565" t="str">
            <v>normal</v>
          </cell>
          <cell r="U565" t="str">
            <v>NULL</v>
          </cell>
          <cell r="V565" t="str">
            <v>NULL</v>
          </cell>
          <cell r="W565" t="str">
            <v>NULL</v>
          </cell>
        </row>
        <row r="566">
          <cell r="A566">
            <v>565</v>
          </cell>
          <cell r="B566" t="str">
            <v>ja</v>
          </cell>
          <cell r="C566" t="str">
            <v>かぐや</v>
          </cell>
          <cell r="D566" t="str">
            <v>未定</v>
          </cell>
          <cell r="E566" t="str">
            <v>執行者</v>
          </cell>
          <cell r="F566" t="str">
            <v>格好いい</v>
          </cell>
          <cell r="G566" t="str">
            <v>不明</v>
          </cell>
          <cell r="H566" t="str">
            <v>green</v>
          </cell>
          <cell r="I566">
            <v>5</v>
          </cell>
          <cell r="J566" t="str">
            <v>PremiumW</v>
          </cell>
          <cell r="K566" t="str">
            <v>hp</v>
          </cell>
          <cell r="L566" t="str">
            <v>体力タイプ</v>
          </cell>
          <cell r="M566" t="str">
            <v>human</v>
          </cell>
          <cell r="N566" t="str">
            <v>ヒューマン</v>
          </cell>
          <cell r="O566" t="str">
            <v>none</v>
          </cell>
          <cell r="P566" t="str">
            <v>種族なし</v>
          </cell>
          <cell r="Q566" t="str">
            <v>アタッカー</v>
          </cell>
          <cell r="R566">
            <v>1</v>
          </cell>
          <cell r="S566" t="str">
            <v>NULL</v>
          </cell>
          <cell r="T566" t="str">
            <v>normal</v>
          </cell>
          <cell r="U566" t="str">
            <v>NULL</v>
          </cell>
          <cell r="V566" t="str">
            <v>NULL</v>
          </cell>
          <cell r="W566" t="str">
            <v>NULL</v>
          </cell>
        </row>
        <row r="567">
          <cell r="A567">
            <v>566</v>
          </cell>
          <cell r="B567" t="str">
            <v>ja</v>
          </cell>
          <cell r="C567" t="str">
            <v>遊歩遊泳プリンセス マーメイド</v>
          </cell>
          <cell r="D567" t="str">
            <v>未定</v>
          </cell>
          <cell r="E567" t="str">
            <v>執行者</v>
          </cell>
          <cell r="F567" t="str">
            <v>格好いい</v>
          </cell>
          <cell r="G567" t="str">
            <v>不明</v>
          </cell>
          <cell r="H567" t="str">
            <v>blue</v>
          </cell>
          <cell r="I567">
            <v>5</v>
          </cell>
          <cell r="J567" t="str">
            <v>PremiumW</v>
          </cell>
          <cell r="K567" t="str">
            <v>hp</v>
          </cell>
          <cell r="L567" t="str">
            <v>体力タイプ</v>
          </cell>
          <cell r="M567" t="str">
            <v>human</v>
          </cell>
          <cell r="N567" t="str">
            <v>ヒューマン</v>
          </cell>
          <cell r="O567" t="str">
            <v>animal</v>
          </cell>
          <cell r="P567" t="str">
            <v>アニマル</v>
          </cell>
          <cell r="Q567" t="str">
            <v>アタッカー</v>
          </cell>
          <cell r="R567">
            <v>3</v>
          </cell>
          <cell r="S567" t="str">
            <v>NULL</v>
          </cell>
          <cell r="T567" t="str">
            <v>normal</v>
          </cell>
          <cell r="U567" t="str">
            <v>NULL</v>
          </cell>
          <cell r="V567" t="str">
            <v>NULL</v>
          </cell>
          <cell r="W567" t="str">
            <v>NULL</v>
          </cell>
        </row>
        <row r="568">
          <cell r="A568">
            <v>567</v>
          </cell>
          <cell r="B568" t="str">
            <v>ja</v>
          </cell>
          <cell r="C568" t="str">
            <v>紅揚の祭狐宴舞 タマモ</v>
          </cell>
          <cell r="D568" t="str">
            <v>未定</v>
          </cell>
          <cell r="E568" t="str">
            <v>執行者</v>
          </cell>
          <cell r="F568" t="str">
            <v>格好いい</v>
          </cell>
          <cell r="G568" t="str">
            <v>不明</v>
          </cell>
          <cell r="H568" t="str">
            <v>yellow</v>
          </cell>
          <cell r="I568">
            <v>5</v>
          </cell>
          <cell r="J568" t="str">
            <v>PremiumW</v>
          </cell>
          <cell r="K568" t="str">
            <v>balance</v>
          </cell>
          <cell r="L568" t="str">
            <v>バランスタイプ</v>
          </cell>
          <cell r="M568" t="str">
            <v>animal</v>
          </cell>
          <cell r="N568" t="str">
            <v>アニマル</v>
          </cell>
          <cell r="O568" t="str">
            <v>none</v>
          </cell>
          <cell r="P568" t="str">
            <v>種族なし</v>
          </cell>
          <cell r="Q568" t="str">
            <v>アタッカー</v>
          </cell>
          <cell r="R568">
            <v>3</v>
          </cell>
          <cell r="S568" t="str">
            <v>NULL</v>
          </cell>
          <cell r="T568" t="str">
            <v>normal</v>
          </cell>
          <cell r="U568" t="str">
            <v>NULL</v>
          </cell>
          <cell r="V568" t="str">
            <v>NULL</v>
          </cell>
          <cell r="W568" t="str">
            <v>NULL</v>
          </cell>
        </row>
        <row r="569">
          <cell r="A569">
            <v>568</v>
          </cell>
          <cell r="B569" t="str">
            <v>ja</v>
          </cell>
          <cell r="C569" t="str">
            <v>空駆ける電能師 テスラ</v>
          </cell>
          <cell r="D569" t="str">
            <v>未定</v>
          </cell>
          <cell r="E569" t="str">
            <v>執行者</v>
          </cell>
          <cell r="F569" t="str">
            <v>格好いい</v>
          </cell>
          <cell r="G569" t="str">
            <v>不明</v>
          </cell>
          <cell r="H569" t="str">
            <v>yellow</v>
          </cell>
          <cell r="I569">
            <v>6</v>
          </cell>
          <cell r="J569" t="str">
            <v>DropWizS</v>
          </cell>
          <cell r="K569" t="str">
            <v>balance</v>
          </cell>
          <cell r="L569" t="str">
            <v>バランスタイプ</v>
          </cell>
          <cell r="M569" t="str">
            <v>human</v>
          </cell>
          <cell r="N569" t="str">
            <v>ヒューマン</v>
          </cell>
          <cell r="O569" t="str">
            <v>machine</v>
          </cell>
          <cell r="P569" t="str">
            <v>マシン</v>
          </cell>
          <cell r="Q569" t="str">
            <v>アタッカー</v>
          </cell>
          <cell r="R569">
            <v>3</v>
          </cell>
          <cell r="S569" t="str">
            <v>NULL</v>
          </cell>
          <cell r="T569" t="str">
            <v>normal</v>
          </cell>
          <cell r="U569" t="str">
            <v>NULL</v>
          </cell>
          <cell r="V569" t="str">
            <v>NULL</v>
          </cell>
          <cell r="W569" t="str">
            <v>NULL</v>
          </cell>
        </row>
        <row r="570">
          <cell r="A570">
            <v>569</v>
          </cell>
          <cell r="B570" t="str">
            <v>ja</v>
          </cell>
          <cell r="C570" t="str">
            <v>ハッピー102</v>
          </cell>
          <cell r="D570" t="str">
            <v>イベント:ウィルス01</v>
          </cell>
          <cell r="E570" t="str">
            <v>ウィルス</v>
          </cell>
          <cell r="F570" t="str">
            <v>世界観</v>
          </cell>
          <cell r="G570" t="str">
            <v>女性</v>
          </cell>
          <cell r="H570" t="str">
            <v>green</v>
          </cell>
          <cell r="I570">
            <v>5</v>
          </cell>
          <cell r="J570" t="str">
            <v>DropWizS</v>
          </cell>
          <cell r="K570" t="str">
            <v>heal</v>
          </cell>
          <cell r="L570" t="str">
            <v>回復タイプ</v>
          </cell>
          <cell r="M570" t="str">
            <v>unknown</v>
          </cell>
          <cell r="N570" t="str">
            <v>Unknown</v>
          </cell>
          <cell r="O570" t="str">
            <v>none</v>
          </cell>
          <cell r="P570" t="str">
            <v>種族なし</v>
          </cell>
          <cell r="Q570" t="str">
            <v>アタッカー</v>
          </cell>
          <cell r="R570">
            <v>3</v>
          </cell>
          <cell r="S570" t="str">
            <v>NULL</v>
          </cell>
          <cell r="T570" t="str">
            <v>normal</v>
          </cell>
          <cell r="U570" t="str">
            <v>NULL</v>
          </cell>
          <cell r="V570" t="str">
            <v>NULL</v>
          </cell>
          <cell r="W570" t="str">
            <v>NULL</v>
          </cell>
        </row>
        <row r="571">
          <cell r="A571">
            <v>570</v>
          </cell>
          <cell r="B571" t="str">
            <v>ja</v>
          </cell>
          <cell r="C571" t="str">
            <v>幸響の電心 ハッピー</v>
          </cell>
          <cell r="D571" t="str">
            <v>イベント:ウィルス01</v>
          </cell>
          <cell r="E571" t="str">
            <v>ウィルス</v>
          </cell>
          <cell r="F571" t="str">
            <v>世界観</v>
          </cell>
          <cell r="G571" t="str">
            <v>女性</v>
          </cell>
          <cell r="H571" t="str">
            <v>green</v>
          </cell>
          <cell r="I571">
            <v>6</v>
          </cell>
          <cell r="J571" t="str">
            <v>DropWizS</v>
          </cell>
          <cell r="K571" t="str">
            <v>heal</v>
          </cell>
          <cell r="L571" t="str">
            <v>回復タイプ</v>
          </cell>
          <cell r="M571" t="str">
            <v>unknown</v>
          </cell>
          <cell r="N571" t="str">
            <v>Unknown</v>
          </cell>
          <cell r="O571" t="str">
            <v>none</v>
          </cell>
          <cell r="P571" t="str">
            <v>種族なし</v>
          </cell>
          <cell r="Q571" t="str">
            <v>アタッカー</v>
          </cell>
          <cell r="R571">
            <v>3</v>
          </cell>
          <cell r="S571" t="str">
            <v>NULL</v>
          </cell>
          <cell r="T571" t="str">
            <v>normal</v>
          </cell>
          <cell r="U571" t="str">
            <v>NULL</v>
          </cell>
          <cell r="V571" t="str">
            <v>NULL</v>
          </cell>
          <cell r="W571" t="str">
            <v>NULL</v>
          </cell>
        </row>
        <row r="572">
          <cell r="A572">
            <v>571</v>
          </cell>
          <cell r="B572" t="str">
            <v>ja</v>
          </cell>
          <cell r="C572" t="str">
            <v>ハッピー バレンタイン</v>
          </cell>
          <cell r="D572" t="str">
            <v>イベント:バレンタイン</v>
          </cell>
          <cell r="E572" t="str">
            <v>ウィルス</v>
          </cell>
          <cell r="F572" t="str">
            <v>かわいい</v>
          </cell>
          <cell r="G572" t="str">
            <v>女性</v>
          </cell>
          <cell r="H572" t="str">
            <v>green</v>
          </cell>
          <cell r="I572">
            <v>3</v>
          </cell>
          <cell r="J572" t="str">
            <v>DropWizW</v>
          </cell>
          <cell r="K572" t="str">
            <v>heal</v>
          </cell>
          <cell r="L572" t="str">
            <v>回復タイプ</v>
          </cell>
          <cell r="M572" t="str">
            <v>unknown</v>
          </cell>
          <cell r="N572" t="str">
            <v>Unknown</v>
          </cell>
          <cell r="O572" t="str">
            <v>none</v>
          </cell>
          <cell r="P572" t="str">
            <v>種族なし</v>
          </cell>
          <cell r="Q572" t="str">
            <v>タップブースター</v>
          </cell>
          <cell r="R572">
            <v>3</v>
          </cell>
          <cell r="S572" t="str">
            <v>NULL</v>
          </cell>
          <cell r="T572" t="str">
            <v>normal</v>
          </cell>
          <cell r="U572" t="str">
            <v>NULL</v>
          </cell>
          <cell r="V572" t="str">
            <v>NULL</v>
          </cell>
          <cell r="W572" t="str">
            <v>NULL</v>
          </cell>
        </row>
        <row r="573">
          <cell r="A573">
            <v>572</v>
          </cell>
          <cell r="B573" t="str">
            <v>ja</v>
          </cell>
          <cell r="C573" t="str">
            <v>恋する果実</v>
          </cell>
          <cell r="D573" t="str">
            <v>イベント:バレンタイン</v>
          </cell>
          <cell r="E573" t="str">
            <v>アリス</v>
          </cell>
          <cell r="F573" t="str">
            <v>世界観</v>
          </cell>
          <cell r="G573" t="str">
            <v>不明</v>
          </cell>
          <cell r="H573" t="str">
            <v>blue</v>
          </cell>
          <cell r="I573">
            <v>3</v>
          </cell>
          <cell r="J573" t="str">
            <v>Material</v>
          </cell>
          <cell r="K573" t="str">
            <v>skilllevel</v>
          </cell>
          <cell r="L573" t="str">
            <v>スキルレベル素材</v>
          </cell>
          <cell r="M573" t="str">
            <v>unknown</v>
          </cell>
          <cell r="N573" t="str">
            <v>Unknown</v>
          </cell>
          <cell r="O573" t="str">
            <v>none</v>
          </cell>
          <cell r="P573" t="str">
            <v>種族なし</v>
          </cell>
          <cell r="Q573" t="str">
            <v>スキル進化素材</v>
          </cell>
          <cell r="R573">
            <v>3</v>
          </cell>
          <cell r="S573" t="str">
            <v>NULL</v>
          </cell>
          <cell r="T573" t="str">
            <v>normal</v>
          </cell>
          <cell r="U573" t="str">
            <v>NULL</v>
          </cell>
          <cell r="V573" t="str">
            <v>NULL</v>
          </cell>
          <cell r="W573" t="str">
            <v>NULL</v>
          </cell>
        </row>
        <row r="574">
          <cell r="A574">
            <v>573</v>
          </cell>
          <cell r="B574" t="str">
            <v>ja</v>
          </cell>
          <cell r="C574" t="str">
            <v>オーディン</v>
          </cell>
          <cell r="D574" t="str">
            <v>イベント:超ウィザード</v>
          </cell>
          <cell r="E574" t="str">
            <v>執行者</v>
          </cell>
          <cell r="F574" t="str">
            <v>格好いい</v>
          </cell>
          <cell r="G574" t="str">
            <v>男性</v>
          </cell>
          <cell r="H574" t="str">
            <v>blue</v>
          </cell>
          <cell r="I574">
            <v>4</v>
          </cell>
          <cell r="J574" t="str">
            <v>DropWizSS</v>
          </cell>
          <cell r="K574" t="str">
            <v>hp</v>
          </cell>
          <cell r="L574" t="str">
            <v>体力タイプ</v>
          </cell>
          <cell r="M574" t="str">
            <v>machine</v>
          </cell>
          <cell r="N574" t="str">
            <v>マシン</v>
          </cell>
          <cell r="O574" t="str">
            <v>god</v>
          </cell>
          <cell r="P574" t="str">
            <v>ゴッド</v>
          </cell>
          <cell r="Q574" t="str">
            <v>アタッカー</v>
          </cell>
          <cell r="R574">
            <v>3</v>
          </cell>
          <cell r="S574" t="str">
            <v>NULL</v>
          </cell>
          <cell r="T574" t="str">
            <v>normal</v>
          </cell>
          <cell r="U574" t="str">
            <v>NULL</v>
          </cell>
          <cell r="V574" t="str">
            <v>NULL</v>
          </cell>
          <cell r="W574" t="str">
            <v>NULL</v>
          </cell>
        </row>
        <row r="575">
          <cell r="A575">
            <v>574</v>
          </cell>
          <cell r="B575" t="str">
            <v>ja</v>
          </cell>
          <cell r="C575" t="str">
            <v>世慧の守神 オーディン</v>
          </cell>
          <cell r="D575" t="str">
            <v>イベント:超ウィザード</v>
          </cell>
          <cell r="E575" t="str">
            <v>執行者</v>
          </cell>
          <cell r="F575" t="str">
            <v>格好いい</v>
          </cell>
          <cell r="G575" t="str">
            <v>男性</v>
          </cell>
          <cell r="H575" t="str">
            <v>blue</v>
          </cell>
          <cell r="I575">
            <v>5</v>
          </cell>
          <cell r="J575" t="str">
            <v>DropWizSS</v>
          </cell>
          <cell r="K575" t="str">
            <v>hp</v>
          </cell>
          <cell r="L575" t="str">
            <v>体力タイプ</v>
          </cell>
          <cell r="M575" t="str">
            <v>machine</v>
          </cell>
          <cell r="N575" t="str">
            <v>マシン</v>
          </cell>
          <cell r="O575" t="str">
            <v>god</v>
          </cell>
          <cell r="P575" t="str">
            <v>ゴッド</v>
          </cell>
          <cell r="Q575" t="str">
            <v>アタッカー</v>
          </cell>
          <cell r="R575">
            <v>3</v>
          </cell>
          <cell r="S575" t="str">
            <v>NULL</v>
          </cell>
          <cell r="T575" t="str">
            <v>normal</v>
          </cell>
          <cell r="U575" t="str">
            <v>NULL</v>
          </cell>
          <cell r="V575" t="str">
            <v>NULL</v>
          </cell>
          <cell r="W575" t="str">
            <v>NULL</v>
          </cell>
        </row>
        <row r="576">
          <cell r="A576">
            <v>575</v>
          </cell>
          <cell r="B576" t="str">
            <v>ja</v>
          </cell>
          <cell r="C576" t="str">
            <v>フレイ</v>
          </cell>
          <cell r="D576" t="str">
            <v>イベント:ウィザード</v>
          </cell>
          <cell r="E576" t="str">
            <v>執行者</v>
          </cell>
          <cell r="F576" t="str">
            <v>格好いい</v>
          </cell>
          <cell r="G576" t="str">
            <v>男性</v>
          </cell>
          <cell r="H576" t="str">
            <v>red</v>
          </cell>
          <cell r="I576">
            <v>4</v>
          </cell>
          <cell r="J576" t="str">
            <v>DropWizS</v>
          </cell>
          <cell r="K576" t="str">
            <v>attack</v>
          </cell>
          <cell r="L576" t="str">
            <v>攻撃タイプ</v>
          </cell>
          <cell r="M576" t="str">
            <v>animal</v>
          </cell>
          <cell r="N576" t="str">
            <v>アニマル</v>
          </cell>
          <cell r="O576" t="str">
            <v>none</v>
          </cell>
          <cell r="P576" t="str">
            <v>種族なし</v>
          </cell>
          <cell r="Q576" t="str">
            <v>アタッカー</v>
          </cell>
          <cell r="R576">
            <v>3</v>
          </cell>
          <cell r="S576" t="str">
            <v>NULL</v>
          </cell>
          <cell r="T576" t="str">
            <v>normal</v>
          </cell>
          <cell r="U576" t="str">
            <v>NULL</v>
          </cell>
          <cell r="V576" t="str">
            <v>NULL</v>
          </cell>
          <cell r="W576" t="str">
            <v>NULL</v>
          </cell>
        </row>
        <row r="577">
          <cell r="A577">
            <v>576</v>
          </cell>
          <cell r="B577" t="str">
            <v>ja</v>
          </cell>
          <cell r="C577" t="str">
            <v>統勝の豊穣王神 フレイ</v>
          </cell>
          <cell r="D577" t="str">
            <v>イベント:ウィザード</v>
          </cell>
          <cell r="E577" t="str">
            <v>執行者</v>
          </cell>
          <cell r="F577" t="str">
            <v>格好いい</v>
          </cell>
          <cell r="G577" t="str">
            <v>男性</v>
          </cell>
          <cell r="H577" t="str">
            <v>red</v>
          </cell>
          <cell r="I577">
            <v>5</v>
          </cell>
          <cell r="J577" t="str">
            <v>DropWizS</v>
          </cell>
          <cell r="K577" t="str">
            <v>attack</v>
          </cell>
          <cell r="L577" t="str">
            <v>攻撃タイプ</v>
          </cell>
          <cell r="M577" t="str">
            <v>animal</v>
          </cell>
          <cell r="N577" t="str">
            <v>アニマル</v>
          </cell>
          <cell r="O577" t="str">
            <v>none</v>
          </cell>
          <cell r="P577" t="str">
            <v>種族なし</v>
          </cell>
          <cell r="Q577" t="str">
            <v>アタッカー</v>
          </cell>
          <cell r="R577">
            <v>3</v>
          </cell>
          <cell r="S577" t="str">
            <v>NULL</v>
          </cell>
          <cell r="T577" t="str">
            <v>normal</v>
          </cell>
          <cell r="U577" t="str">
            <v>NULL</v>
          </cell>
          <cell r="V577" t="str">
            <v>NULL</v>
          </cell>
          <cell r="W577" t="str">
            <v>NULL</v>
          </cell>
        </row>
        <row r="578">
          <cell r="A578">
            <v>577</v>
          </cell>
          <cell r="B578" t="str">
            <v>ja</v>
          </cell>
          <cell r="C578" t="str">
            <v>ビュグヴィルとベイラ</v>
          </cell>
          <cell r="D578" t="str">
            <v>イベント:北欧01</v>
          </cell>
          <cell r="E578" t="str">
            <v>執行者</v>
          </cell>
          <cell r="F578" t="str">
            <v>格好いい</v>
          </cell>
          <cell r="G578" t="str">
            <v>女性</v>
          </cell>
          <cell r="H578" t="str">
            <v>red</v>
          </cell>
          <cell r="I578">
            <v>4</v>
          </cell>
          <cell r="J578" t="str">
            <v>Drop2N</v>
          </cell>
          <cell r="K578" t="str">
            <v>heal</v>
          </cell>
          <cell r="L578" t="str">
            <v>回復タイプ</v>
          </cell>
          <cell r="M578" t="str">
            <v>unknown</v>
          </cell>
          <cell r="N578" t="str">
            <v>Unknown</v>
          </cell>
          <cell r="O578" t="str">
            <v>none</v>
          </cell>
          <cell r="P578" t="str">
            <v>種族なし</v>
          </cell>
          <cell r="Q578" t="str">
            <v>アタッカー</v>
          </cell>
          <cell r="R578">
            <v>3</v>
          </cell>
          <cell r="S578" t="str">
            <v>NULL</v>
          </cell>
          <cell r="T578" t="str">
            <v>normal</v>
          </cell>
          <cell r="U578" t="str">
            <v>NULL</v>
          </cell>
          <cell r="V578" t="str">
            <v>NULL</v>
          </cell>
          <cell r="W578" t="str">
            <v>NULL</v>
          </cell>
        </row>
        <row r="579">
          <cell r="A579">
            <v>578</v>
          </cell>
          <cell r="B579" t="str">
            <v>ja</v>
          </cell>
          <cell r="C579" t="str">
            <v>穣神従事 ビュグヴィルとベイラ</v>
          </cell>
          <cell r="D579" t="str">
            <v>イベント:北欧01</v>
          </cell>
          <cell r="E579" t="str">
            <v>執行者</v>
          </cell>
          <cell r="F579" t="str">
            <v>格好いい</v>
          </cell>
          <cell r="G579" t="str">
            <v>女性</v>
          </cell>
          <cell r="H579" t="str">
            <v>red</v>
          </cell>
          <cell r="I579">
            <v>5</v>
          </cell>
          <cell r="J579" t="str">
            <v>Drop2N</v>
          </cell>
          <cell r="K579" t="str">
            <v>heal</v>
          </cell>
          <cell r="L579" t="str">
            <v>回復タイプ</v>
          </cell>
          <cell r="M579" t="str">
            <v>unknown</v>
          </cell>
          <cell r="N579" t="str">
            <v>Unknown</v>
          </cell>
          <cell r="O579" t="str">
            <v>none</v>
          </cell>
          <cell r="P579" t="str">
            <v>種族なし</v>
          </cell>
          <cell r="Q579" t="str">
            <v>アタッカー</v>
          </cell>
          <cell r="R579">
            <v>3</v>
          </cell>
          <cell r="S579" t="str">
            <v>NULL</v>
          </cell>
          <cell r="T579" t="str">
            <v>normal</v>
          </cell>
          <cell r="U579" t="str">
            <v>NULL</v>
          </cell>
          <cell r="V579" t="str">
            <v>NULL</v>
          </cell>
          <cell r="W579" t="str">
            <v>NULL</v>
          </cell>
        </row>
        <row r="580">
          <cell r="A580">
            <v>579</v>
          </cell>
          <cell r="B580" t="str">
            <v>ja</v>
          </cell>
          <cell r="C580" t="str">
            <v>オーズ</v>
          </cell>
          <cell r="D580" t="str">
            <v>イベント:北欧01</v>
          </cell>
          <cell r="E580" t="str">
            <v>執行者</v>
          </cell>
          <cell r="F580" t="str">
            <v>格好いい</v>
          </cell>
          <cell r="G580" t="str">
            <v>男性</v>
          </cell>
          <cell r="H580" t="str">
            <v>green</v>
          </cell>
          <cell r="I580">
            <v>4</v>
          </cell>
          <cell r="J580" t="str">
            <v>Drop2N</v>
          </cell>
          <cell r="K580" t="str">
            <v>technical</v>
          </cell>
          <cell r="L580" t="str">
            <v>テクニカルタイプ</v>
          </cell>
          <cell r="M580" t="str">
            <v>god</v>
          </cell>
          <cell r="N580" t="str">
            <v>ゴッド</v>
          </cell>
          <cell r="O580" t="str">
            <v>none</v>
          </cell>
          <cell r="P580" t="str">
            <v>種族なし</v>
          </cell>
          <cell r="Q580" t="str">
            <v>アタッカー</v>
          </cell>
          <cell r="R580">
            <v>3</v>
          </cell>
          <cell r="S580" t="str">
            <v>NULL</v>
          </cell>
          <cell r="T580" t="str">
            <v>normal</v>
          </cell>
          <cell r="U580" t="str">
            <v>NULL</v>
          </cell>
          <cell r="V580" t="str">
            <v>NULL</v>
          </cell>
          <cell r="W580" t="str">
            <v>NULL</v>
          </cell>
        </row>
        <row r="581">
          <cell r="A581">
            <v>580</v>
          </cell>
          <cell r="B581" t="str">
            <v>ja</v>
          </cell>
          <cell r="C581" t="str">
            <v>愛憐の旅神 オーズ</v>
          </cell>
          <cell r="D581" t="str">
            <v>イベント:北欧01</v>
          </cell>
          <cell r="E581" t="str">
            <v>執行者</v>
          </cell>
          <cell r="F581" t="str">
            <v>格好いい</v>
          </cell>
          <cell r="G581" t="str">
            <v>男性</v>
          </cell>
          <cell r="H581" t="str">
            <v>green</v>
          </cell>
          <cell r="I581">
            <v>5</v>
          </cell>
          <cell r="J581" t="str">
            <v>Drop2N</v>
          </cell>
          <cell r="K581" t="str">
            <v>technical</v>
          </cell>
          <cell r="L581" t="str">
            <v>テクニカルタイプ</v>
          </cell>
          <cell r="M581" t="str">
            <v>god</v>
          </cell>
          <cell r="N581" t="str">
            <v>ゴッド</v>
          </cell>
          <cell r="O581" t="str">
            <v>none</v>
          </cell>
          <cell r="P581" t="str">
            <v>種族なし</v>
          </cell>
          <cell r="Q581" t="str">
            <v>アタッカー</v>
          </cell>
          <cell r="R581">
            <v>3</v>
          </cell>
          <cell r="S581" t="str">
            <v>NULL</v>
          </cell>
          <cell r="T581" t="str">
            <v>normal</v>
          </cell>
          <cell r="U581" t="str">
            <v>NULL</v>
          </cell>
          <cell r="V581" t="str">
            <v>NULL</v>
          </cell>
          <cell r="W581" t="str">
            <v>NULL</v>
          </cell>
        </row>
        <row r="582">
          <cell r="A582">
            <v>581</v>
          </cell>
          <cell r="B582" t="str">
            <v>ja</v>
          </cell>
          <cell r="C582" t="str">
            <v>フギンとムニン</v>
          </cell>
          <cell r="D582" t="str">
            <v>イベント:ウィザード</v>
          </cell>
          <cell r="E582" t="str">
            <v>執行者</v>
          </cell>
          <cell r="F582" t="str">
            <v>格好いい</v>
          </cell>
          <cell r="G582" t="str">
            <v>不明</v>
          </cell>
          <cell r="H582" t="str">
            <v>blue</v>
          </cell>
          <cell r="I582">
            <v>4</v>
          </cell>
          <cell r="J582" t="str">
            <v>DropWizS</v>
          </cell>
          <cell r="K582" t="str">
            <v>technical</v>
          </cell>
          <cell r="L582" t="str">
            <v>テクニカルタイプ</v>
          </cell>
          <cell r="M582" t="str">
            <v>machine</v>
          </cell>
          <cell r="N582" t="str">
            <v>マシン</v>
          </cell>
          <cell r="O582" t="str">
            <v>animal</v>
          </cell>
          <cell r="P582" t="str">
            <v>アニマル</v>
          </cell>
          <cell r="Q582" t="str">
            <v>アタッカー</v>
          </cell>
          <cell r="R582">
            <v>3</v>
          </cell>
          <cell r="S582" t="str">
            <v>NULL</v>
          </cell>
          <cell r="T582" t="str">
            <v>normal</v>
          </cell>
          <cell r="U582" t="str">
            <v>NULL</v>
          </cell>
          <cell r="V582" t="str">
            <v>NULL</v>
          </cell>
          <cell r="W582" t="str">
            <v>NULL</v>
          </cell>
        </row>
        <row r="583">
          <cell r="A583">
            <v>582</v>
          </cell>
          <cell r="B583" t="str">
            <v>ja</v>
          </cell>
          <cell r="C583" t="str">
            <v>空を駆る双鴉 フギンとムニン</v>
          </cell>
          <cell r="D583" t="str">
            <v>イベント:ウィザード</v>
          </cell>
          <cell r="E583" t="str">
            <v>執行者</v>
          </cell>
          <cell r="F583" t="str">
            <v>格好いい</v>
          </cell>
          <cell r="G583" t="str">
            <v>不明</v>
          </cell>
          <cell r="H583" t="str">
            <v>blue</v>
          </cell>
          <cell r="I583">
            <v>5</v>
          </cell>
          <cell r="J583" t="str">
            <v>DropWizS</v>
          </cell>
          <cell r="K583" t="str">
            <v>technical</v>
          </cell>
          <cell r="L583" t="str">
            <v>テクニカルタイプ</v>
          </cell>
          <cell r="M583" t="str">
            <v>machine</v>
          </cell>
          <cell r="N583" t="str">
            <v>マシン</v>
          </cell>
          <cell r="O583" t="str">
            <v>animal</v>
          </cell>
          <cell r="P583" t="str">
            <v>アニマル</v>
          </cell>
          <cell r="Q583" t="str">
            <v>アタッカー</v>
          </cell>
          <cell r="R583">
            <v>3</v>
          </cell>
          <cell r="S583" t="str">
            <v>NULL</v>
          </cell>
          <cell r="T583" t="str">
            <v>normal</v>
          </cell>
          <cell r="U583" t="str">
            <v>NULL</v>
          </cell>
          <cell r="V583" t="str">
            <v>NULL</v>
          </cell>
          <cell r="W583" t="str">
            <v>NULL</v>
          </cell>
        </row>
        <row r="584">
          <cell r="A584">
            <v>583</v>
          </cell>
          <cell r="B584" t="str">
            <v>ja</v>
          </cell>
          <cell r="C584" t="str">
            <v>ミョルニル</v>
          </cell>
          <cell r="D584" t="str">
            <v>イベント:北欧01</v>
          </cell>
          <cell r="E584" t="str">
            <v>執行者</v>
          </cell>
          <cell r="F584" t="str">
            <v>格好いい</v>
          </cell>
          <cell r="G584" t="str">
            <v>不明</v>
          </cell>
          <cell r="H584" t="str">
            <v>yellow</v>
          </cell>
          <cell r="I584">
            <v>4</v>
          </cell>
          <cell r="J584" t="str">
            <v>Drop2N</v>
          </cell>
          <cell r="K584" t="str">
            <v>attack</v>
          </cell>
          <cell r="L584" t="str">
            <v>攻撃タイプ</v>
          </cell>
          <cell r="M584" t="str">
            <v>machine</v>
          </cell>
          <cell r="N584" t="str">
            <v>マシン</v>
          </cell>
          <cell r="O584" t="str">
            <v>none</v>
          </cell>
          <cell r="P584" t="str">
            <v>種族なし</v>
          </cell>
          <cell r="Q584" t="str">
            <v>アタッカー</v>
          </cell>
          <cell r="R584">
            <v>3</v>
          </cell>
          <cell r="S584" t="str">
            <v>NULL</v>
          </cell>
          <cell r="T584" t="str">
            <v>normal</v>
          </cell>
          <cell r="U584" t="str">
            <v>NULL</v>
          </cell>
          <cell r="V584" t="str">
            <v>NULL</v>
          </cell>
          <cell r="W584" t="str">
            <v>NULL</v>
          </cell>
        </row>
        <row r="585">
          <cell r="A585">
            <v>584</v>
          </cell>
          <cell r="B585" t="str">
            <v>ja</v>
          </cell>
          <cell r="C585" t="str">
            <v>自律する召雷鎚 ミョルニル</v>
          </cell>
          <cell r="D585" t="str">
            <v>イベント:北欧01</v>
          </cell>
          <cell r="E585" t="str">
            <v>執行者</v>
          </cell>
          <cell r="F585" t="str">
            <v>格好いい</v>
          </cell>
          <cell r="G585" t="str">
            <v>不明</v>
          </cell>
          <cell r="H585" t="str">
            <v>yellow</v>
          </cell>
          <cell r="I585">
            <v>5</v>
          </cell>
          <cell r="J585" t="str">
            <v>Drop2N</v>
          </cell>
          <cell r="K585" t="str">
            <v>attack</v>
          </cell>
          <cell r="L585" t="str">
            <v>攻撃タイプ</v>
          </cell>
          <cell r="M585" t="str">
            <v>machine</v>
          </cell>
          <cell r="N585" t="str">
            <v>マシン</v>
          </cell>
          <cell r="O585" t="str">
            <v>none</v>
          </cell>
          <cell r="P585" t="str">
            <v>種族なし</v>
          </cell>
          <cell r="Q585" t="str">
            <v>アタッカー</v>
          </cell>
          <cell r="R585">
            <v>3</v>
          </cell>
          <cell r="S585" t="str">
            <v>NULL</v>
          </cell>
          <cell r="T585" t="str">
            <v>normal</v>
          </cell>
          <cell r="U585" t="str">
            <v>NULL</v>
          </cell>
          <cell r="V585" t="str">
            <v>NULL</v>
          </cell>
          <cell r="W585" t="str">
            <v>NULL</v>
          </cell>
        </row>
        <row r="586">
          <cell r="A586">
            <v>585</v>
          </cell>
          <cell r="B586" t="str">
            <v>ja</v>
          </cell>
          <cell r="C586" t="str">
            <v>未定</v>
          </cell>
          <cell r="D586" t="str">
            <v>未定</v>
          </cell>
          <cell r="E586" t="str">
            <v>執行者</v>
          </cell>
          <cell r="F586" t="str">
            <v>格好いい</v>
          </cell>
          <cell r="G586" t="str">
            <v>男性</v>
          </cell>
          <cell r="H586" t="str">
            <v>red</v>
          </cell>
          <cell r="I586">
            <v>3</v>
          </cell>
          <cell r="J586" t="str">
            <v>PremiumS</v>
          </cell>
          <cell r="K586" t="str">
            <v>hp</v>
          </cell>
          <cell r="L586" t="str">
            <v>体力タイプ</v>
          </cell>
          <cell r="M586" t="str">
            <v>machine</v>
          </cell>
          <cell r="N586" t="str">
            <v>マシン</v>
          </cell>
          <cell r="O586" t="str">
            <v>none</v>
          </cell>
          <cell r="P586" t="str">
            <v>種族なし</v>
          </cell>
          <cell r="Q586" t="str">
            <v>アタッカー</v>
          </cell>
          <cell r="R586">
            <v>0</v>
          </cell>
          <cell r="S586" t="str">
            <v>NULL</v>
          </cell>
          <cell r="T586" t="str">
            <v>normal</v>
          </cell>
          <cell r="U586" t="str">
            <v>NULL</v>
          </cell>
          <cell r="V586" t="str">
            <v>NULL</v>
          </cell>
          <cell r="W586" t="str">
            <v>NULL</v>
          </cell>
        </row>
        <row r="587">
          <cell r="A587">
            <v>586</v>
          </cell>
          <cell r="B587" t="str">
            <v>ja</v>
          </cell>
          <cell r="C587" t="str">
            <v>ユミル</v>
          </cell>
          <cell r="D587" t="str">
            <v>ガチャ:北欧01</v>
          </cell>
          <cell r="E587" t="str">
            <v>執行者</v>
          </cell>
          <cell r="F587" t="str">
            <v>格好いい</v>
          </cell>
          <cell r="G587" t="str">
            <v>不明</v>
          </cell>
          <cell r="H587" t="str">
            <v>red</v>
          </cell>
          <cell r="I587">
            <v>4</v>
          </cell>
          <cell r="J587" t="str">
            <v>PremiumSS</v>
          </cell>
          <cell r="K587" t="str">
            <v>hp</v>
          </cell>
          <cell r="L587" t="str">
            <v>体力タイプ</v>
          </cell>
          <cell r="M587" t="str">
            <v>machine</v>
          </cell>
          <cell r="N587" t="str">
            <v>マシン</v>
          </cell>
          <cell r="O587" t="str">
            <v>none</v>
          </cell>
          <cell r="P587" t="str">
            <v>種族なし</v>
          </cell>
          <cell r="Q587" t="str">
            <v>アタッカー</v>
          </cell>
          <cell r="R587">
            <v>3</v>
          </cell>
          <cell r="S587" t="str">
            <v>NULL</v>
          </cell>
          <cell r="T587" t="str">
            <v>normal</v>
          </cell>
          <cell r="U587" t="str">
            <v>NULL</v>
          </cell>
          <cell r="V587" t="str">
            <v>NULL</v>
          </cell>
          <cell r="W587" t="str">
            <v>NULL</v>
          </cell>
        </row>
        <row r="588">
          <cell r="A588">
            <v>587</v>
          </cell>
          <cell r="B588" t="str">
            <v>ja</v>
          </cell>
          <cell r="C588" t="str">
            <v>原初の煉鋼巨刃 ユミル</v>
          </cell>
          <cell r="D588" t="str">
            <v>ガチャ:北欧01</v>
          </cell>
          <cell r="E588" t="str">
            <v>執行者</v>
          </cell>
          <cell r="F588" t="str">
            <v>格好いい</v>
          </cell>
          <cell r="G588" t="str">
            <v>不明</v>
          </cell>
          <cell r="H588" t="str">
            <v>red</v>
          </cell>
          <cell r="I588">
            <v>5</v>
          </cell>
          <cell r="J588" t="str">
            <v>PremiumSS</v>
          </cell>
          <cell r="K588" t="str">
            <v>hp</v>
          </cell>
          <cell r="L588" t="str">
            <v>体力タイプ</v>
          </cell>
          <cell r="M588" t="str">
            <v>machine</v>
          </cell>
          <cell r="N588" t="str">
            <v>マシン</v>
          </cell>
          <cell r="O588" t="str">
            <v>none</v>
          </cell>
          <cell r="P588" t="str">
            <v>種族なし</v>
          </cell>
          <cell r="Q588" t="str">
            <v>アタッカー</v>
          </cell>
          <cell r="R588">
            <v>3</v>
          </cell>
          <cell r="S588" t="str">
            <v>NULL</v>
          </cell>
          <cell r="T588" t="str">
            <v>normal</v>
          </cell>
          <cell r="U588" t="str">
            <v>NULL</v>
          </cell>
          <cell r="V588" t="str">
            <v>NULL</v>
          </cell>
          <cell r="W588" t="str">
            <v>NULL</v>
          </cell>
        </row>
        <row r="589">
          <cell r="A589">
            <v>588</v>
          </cell>
          <cell r="B589" t="str">
            <v>ja</v>
          </cell>
          <cell r="C589" t="str">
            <v>ニーベルゲン</v>
          </cell>
          <cell r="D589" t="str">
            <v>ガチャ:北欧01</v>
          </cell>
          <cell r="E589" t="str">
            <v>執行者</v>
          </cell>
          <cell r="F589" t="str">
            <v>格好いい</v>
          </cell>
          <cell r="G589" t="str">
            <v>女性</v>
          </cell>
          <cell r="H589" t="str">
            <v>green</v>
          </cell>
          <cell r="I589">
            <v>3</v>
          </cell>
          <cell r="J589" t="str">
            <v>PremiumS</v>
          </cell>
          <cell r="K589" t="str">
            <v>balance</v>
          </cell>
          <cell r="L589" t="str">
            <v>バランスタイプ</v>
          </cell>
          <cell r="M589" t="str">
            <v>unknown</v>
          </cell>
          <cell r="N589" t="str">
            <v>Unknown</v>
          </cell>
          <cell r="O589" t="str">
            <v>none</v>
          </cell>
          <cell r="P589" t="str">
            <v>種族なし</v>
          </cell>
          <cell r="Q589" t="str">
            <v>アタッカー</v>
          </cell>
          <cell r="R589">
            <v>3</v>
          </cell>
          <cell r="S589" t="str">
            <v>NULL</v>
          </cell>
          <cell r="T589" t="str">
            <v>normal</v>
          </cell>
          <cell r="U589" t="str">
            <v>NULL</v>
          </cell>
          <cell r="V589" t="str">
            <v>NULL</v>
          </cell>
          <cell r="W589" t="str">
            <v>NULL</v>
          </cell>
        </row>
        <row r="590">
          <cell r="A590">
            <v>589</v>
          </cell>
          <cell r="B590" t="str">
            <v>ja</v>
          </cell>
          <cell r="C590" t="str">
            <v>不幸の円環 ニーベルゲン</v>
          </cell>
          <cell r="D590" t="str">
            <v>ガチャ:北欧01</v>
          </cell>
          <cell r="E590" t="str">
            <v>執行者</v>
          </cell>
          <cell r="F590" t="str">
            <v>格好いい</v>
          </cell>
          <cell r="G590" t="str">
            <v>女性</v>
          </cell>
          <cell r="H590" t="str">
            <v>green</v>
          </cell>
          <cell r="I590">
            <v>4</v>
          </cell>
          <cell r="J590" t="str">
            <v>PremiumS</v>
          </cell>
          <cell r="K590" t="str">
            <v>balance</v>
          </cell>
          <cell r="L590" t="str">
            <v>バランスタイプ</v>
          </cell>
          <cell r="M590" t="str">
            <v>unknown</v>
          </cell>
          <cell r="N590" t="str">
            <v>Unknown</v>
          </cell>
          <cell r="O590" t="str">
            <v>none</v>
          </cell>
          <cell r="P590" t="str">
            <v>種族なし</v>
          </cell>
          <cell r="Q590" t="str">
            <v>アタッカー</v>
          </cell>
          <cell r="R590">
            <v>3</v>
          </cell>
          <cell r="S590" t="str">
            <v>NULL</v>
          </cell>
          <cell r="T590" t="str">
            <v>normal</v>
          </cell>
          <cell r="U590" t="str">
            <v>NULL</v>
          </cell>
          <cell r="V590" t="str">
            <v>NULL</v>
          </cell>
          <cell r="W590" t="str">
            <v>NULL</v>
          </cell>
        </row>
        <row r="591">
          <cell r="A591">
            <v>590</v>
          </cell>
          <cell r="B591" t="str">
            <v>ja</v>
          </cell>
          <cell r="C591" t="str">
            <v>永遠を廻る呪い ニーベルゲン</v>
          </cell>
          <cell r="D591" t="str">
            <v>ガチャ:北欧01</v>
          </cell>
          <cell r="E591" t="str">
            <v>執行者</v>
          </cell>
          <cell r="F591" t="str">
            <v>格好いい</v>
          </cell>
          <cell r="G591" t="str">
            <v>女性</v>
          </cell>
          <cell r="H591" t="str">
            <v>green</v>
          </cell>
          <cell r="I591">
            <v>5</v>
          </cell>
          <cell r="J591" t="str">
            <v>PremiumS</v>
          </cell>
          <cell r="K591" t="str">
            <v>balance</v>
          </cell>
          <cell r="L591" t="str">
            <v>バランスタイプ</v>
          </cell>
          <cell r="M591" t="str">
            <v>unknown</v>
          </cell>
          <cell r="N591" t="str">
            <v>Unknown</v>
          </cell>
          <cell r="O591" t="str">
            <v>none</v>
          </cell>
          <cell r="P591" t="str">
            <v>種族なし</v>
          </cell>
          <cell r="Q591" t="str">
            <v>アタッカー</v>
          </cell>
          <cell r="R591">
            <v>3</v>
          </cell>
          <cell r="S591" t="str">
            <v>NULL</v>
          </cell>
          <cell r="T591" t="str">
            <v>normal</v>
          </cell>
          <cell r="U591" t="str">
            <v>NULL</v>
          </cell>
          <cell r="V591" t="str">
            <v>NULL</v>
          </cell>
          <cell r="W591" t="str">
            <v>NULL</v>
          </cell>
        </row>
        <row r="592">
          <cell r="A592">
            <v>591</v>
          </cell>
          <cell r="B592" t="str">
            <v>ja</v>
          </cell>
          <cell r="C592" t="str">
            <v>ファフニール</v>
          </cell>
          <cell r="D592" t="str">
            <v>ガチャ:北欧01</v>
          </cell>
          <cell r="E592" t="str">
            <v>執行者</v>
          </cell>
          <cell r="F592" t="str">
            <v>格好いい</v>
          </cell>
          <cell r="G592" t="str">
            <v>不明</v>
          </cell>
          <cell r="H592" t="str">
            <v>blue</v>
          </cell>
          <cell r="I592">
            <v>3</v>
          </cell>
          <cell r="J592" t="str">
            <v>PremiumS</v>
          </cell>
          <cell r="K592" t="str">
            <v>technical</v>
          </cell>
          <cell r="L592" t="str">
            <v>テクニカルタイプ</v>
          </cell>
          <cell r="M592" t="str">
            <v>dragon</v>
          </cell>
          <cell r="N592" t="str">
            <v>ドラゴン</v>
          </cell>
          <cell r="O592" t="str">
            <v>none</v>
          </cell>
          <cell r="P592" t="str">
            <v>種族なし</v>
          </cell>
          <cell r="Q592" t="str">
            <v>アタッカー</v>
          </cell>
          <cell r="R592">
            <v>3</v>
          </cell>
          <cell r="S592" t="str">
            <v>NULL</v>
          </cell>
          <cell r="T592" t="str">
            <v>normal</v>
          </cell>
          <cell r="U592" t="str">
            <v>NULL</v>
          </cell>
          <cell r="V592" t="str">
            <v>NULL</v>
          </cell>
          <cell r="W592" t="str">
            <v>NULL</v>
          </cell>
        </row>
        <row r="593">
          <cell r="A593">
            <v>592</v>
          </cell>
          <cell r="B593" t="str">
            <v>ja</v>
          </cell>
          <cell r="C593" t="str">
            <v>財宝への執着 ファフニール</v>
          </cell>
          <cell r="D593" t="str">
            <v>ガチャ:北欧01</v>
          </cell>
          <cell r="E593" t="str">
            <v>執行者</v>
          </cell>
          <cell r="F593" t="str">
            <v>格好いい</v>
          </cell>
          <cell r="G593" t="str">
            <v>不明</v>
          </cell>
          <cell r="H593" t="str">
            <v>blue</v>
          </cell>
          <cell r="I593">
            <v>4</v>
          </cell>
          <cell r="J593" t="str">
            <v>PremiumS</v>
          </cell>
          <cell r="K593" t="str">
            <v>technical</v>
          </cell>
          <cell r="L593" t="str">
            <v>テクニカルタイプ</v>
          </cell>
          <cell r="M593" t="str">
            <v>dragon</v>
          </cell>
          <cell r="N593" t="str">
            <v>ドラゴン</v>
          </cell>
          <cell r="O593" t="str">
            <v>none</v>
          </cell>
          <cell r="P593" t="str">
            <v>種族なし</v>
          </cell>
          <cell r="Q593" t="str">
            <v>アタッカー</v>
          </cell>
          <cell r="R593">
            <v>3</v>
          </cell>
          <cell r="S593" t="str">
            <v>NULL</v>
          </cell>
          <cell r="T593" t="str">
            <v>normal</v>
          </cell>
          <cell r="U593" t="str">
            <v>NULL</v>
          </cell>
          <cell r="V593" t="str">
            <v>NULL</v>
          </cell>
          <cell r="W593" t="str">
            <v>NULL</v>
          </cell>
        </row>
        <row r="594">
          <cell r="A594">
            <v>593</v>
          </cell>
          <cell r="B594" t="str">
            <v>ja</v>
          </cell>
          <cell r="C594" t="str">
            <v>妄執する邪毒龍 ファフニール</v>
          </cell>
          <cell r="D594" t="str">
            <v>ガチャ:北欧01</v>
          </cell>
          <cell r="E594" t="str">
            <v>執行者</v>
          </cell>
          <cell r="F594" t="str">
            <v>格好いい</v>
          </cell>
          <cell r="G594" t="str">
            <v>不明</v>
          </cell>
          <cell r="H594" t="str">
            <v>blue</v>
          </cell>
          <cell r="I594">
            <v>5</v>
          </cell>
          <cell r="J594" t="str">
            <v>PremiumS</v>
          </cell>
          <cell r="K594" t="str">
            <v>technical</v>
          </cell>
          <cell r="L594" t="str">
            <v>テクニカルタイプ</v>
          </cell>
          <cell r="M594" t="str">
            <v>dragon</v>
          </cell>
          <cell r="N594" t="str">
            <v>ドラゴン</v>
          </cell>
          <cell r="O594" t="str">
            <v>none</v>
          </cell>
          <cell r="P594" t="str">
            <v>種族なし</v>
          </cell>
          <cell r="Q594" t="str">
            <v>アタッカー</v>
          </cell>
          <cell r="R594">
            <v>3</v>
          </cell>
          <cell r="S594" t="str">
            <v>NULL</v>
          </cell>
          <cell r="T594" t="str">
            <v>normal</v>
          </cell>
          <cell r="U594" t="str">
            <v>NULL</v>
          </cell>
          <cell r="V594" t="str">
            <v>NULL</v>
          </cell>
          <cell r="W594" t="str">
            <v>NULL</v>
          </cell>
        </row>
        <row r="595">
          <cell r="A595">
            <v>594</v>
          </cell>
          <cell r="B595" t="str">
            <v>ja</v>
          </cell>
          <cell r="C595" t="str">
            <v>アルフヘイム</v>
          </cell>
          <cell r="D595" t="str">
            <v>ガチャ:北欧01</v>
          </cell>
          <cell r="E595" t="str">
            <v>執行者</v>
          </cell>
          <cell r="F595" t="str">
            <v>格好いい</v>
          </cell>
          <cell r="G595" t="str">
            <v>不明</v>
          </cell>
          <cell r="H595" t="str">
            <v>yellow</v>
          </cell>
          <cell r="I595">
            <v>4</v>
          </cell>
          <cell r="J595" t="str">
            <v>PremiumSS</v>
          </cell>
          <cell r="K595" t="str">
            <v>attack</v>
          </cell>
          <cell r="L595" t="str">
            <v>攻撃タイプ</v>
          </cell>
          <cell r="M595" t="str">
            <v>dragon</v>
          </cell>
          <cell r="N595" t="str">
            <v>ドラゴン</v>
          </cell>
          <cell r="O595" t="str">
            <v>none</v>
          </cell>
          <cell r="P595" t="str">
            <v>種族なし</v>
          </cell>
          <cell r="Q595" t="str">
            <v>アタッカー</v>
          </cell>
          <cell r="R595">
            <v>3</v>
          </cell>
          <cell r="S595" t="str">
            <v>NULL</v>
          </cell>
          <cell r="T595" t="str">
            <v>normal</v>
          </cell>
          <cell r="U595" t="str">
            <v>NULL</v>
          </cell>
          <cell r="V595" t="str">
            <v>NULL</v>
          </cell>
          <cell r="W595" t="str">
            <v>NULL</v>
          </cell>
        </row>
        <row r="596">
          <cell r="A596">
            <v>595</v>
          </cell>
          <cell r="B596" t="str">
            <v>ja</v>
          </cell>
          <cell r="C596" t="str">
            <v>光華なる神域 アルフヘイム</v>
          </cell>
          <cell r="D596" t="str">
            <v>ガチャ:北欧01</v>
          </cell>
          <cell r="E596" t="str">
            <v>執行者</v>
          </cell>
          <cell r="F596" t="str">
            <v>格好いい</v>
          </cell>
          <cell r="G596" t="str">
            <v>不明</v>
          </cell>
          <cell r="H596" t="str">
            <v>yellow</v>
          </cell>
          <cell r="I596">
            <v>5</v>
          </cell>
          <cell r="J596" t="str">
            <v>PremiumSS</v>
          </cell>
          <cell r="K596" t="str">
            <v>attack</v>
          </cell>
          <cell r="L596" t="str">
            <v>攻撃タイプ</v>
          </cell>
          <cell r="M596" t="str">
            <v>dragon</v>
          </cell>
          <cell r="N596" t="str">
            <v>ドラゴン</v>
          </cell>
          <cell r="O596" t="str">
            <v>none</v>
          </cell>
          <cell r="P596" t="str">
            <v>種族なし</v>
          </cell>
          <cell r="Q596" t="str">
            <v>アタッカー</v>
          </cell>
          <cell r="R596">
            <v>3</v>
          </cell>
          <cell r="S596" t="str">
            <v>NULL</v>
          </cell>
          <cell r="T596" t="str">
            <v>normal</v>
          </cell>
          <cell r="U596" t="str">
            <v>NULL</v>
          </cell>
          <cell r="V596" t="str">
            <v>NULL</v>
          </cell>
          <cell r="W596" t="str">
            <v>NULL</v>
          </cell>
        </row>
        <row r="597">
          <cell r="A597">
            <v>596</v>
          </cell>
          <cell r="B597" t="str">
            <v>ja</v>
          </cell>
          <cell r="C597" t="str">
            <v>ムスペルヘイム</v>
          </cell>
          <cell r="D597" t="str">
            <v>ガチャ:北欧02</v>
          </cell>
          <cell r="E597" t="str">
            <v>執行者</v>
          </cell>
          <cell r="F597" t="str">
            <v>格好いい</v>
          </cell>
          <cell r="G597" t="str">
            <v>男性</v>
          </cell>
          <cell r="H597" t="str">
            <v>red</v>
          </cell>
          <cell r="I597">
            <v>3</v>
          </cell>
          <cell r="J597" t="str">
            <v>PremiumS</v>
          </cell>
          <cell r="K597" t="str">
            <v>balance</v>
          </cell>
          <cell r="L597" t="str">
            <v>バランスタイプ</v>
          </cell>
          <cell r="M597" t="str">
            <v>human</v>
          </cell>
          <cell r="N597" t="str">
            <v>ヒューマン</v>
          </cell>
          <cell r="O597" t="str">
            <v>machine</v>
          </cell>
          <cell r="P597" t="str">
            <v>マシン</v>
          </cell>
          <cell r="Q597" t="str">
            <v>アタッカー</v>
          </cell>
          <cell r="R597">
            <v>3</v>
          </cell>
          <cell r="S597" t="str">
            <v>NULL</v>
          </cell>
          <cell r="T597" t="str">
            <v>normal</v>
          </cell>
          <cell r="U597" t="str">
            <v>NULL</v>
          </cell>
          <cell r="V597" t="str">
            <v>NULL</v>
          </cell>
          <cell r="W597" t="str">
            <v>NULL</v>
          </cell>
        </row>
        <row r="598">
          <cell r="A598">
            <v>597</v>
          </cell>
          <cell r="B598" t="str">
            <v>ja</v>
          </cell>
          <cell r="C598" t="str">
            <v>灼熱の魂 ムスペルヘイム</v>
          </cell>
          <cell r="D598" t="str">
            <v>ガチャ:北欧02</v>
          </cell>
          <cell r="E598" t="str">
            <v>執行者</v>
          </cell>
          <cell r="F598" t="str">
            <v>格好いい</v>
          </cell>
          <cell r="G598" t="str">
            <v>男性</v>
          </cell>
          <cell r="H598" t="str">
            <v>red</v>
          </cell>
          <cell r="I598">
            <v>4</v>
          </cell>
          <cell r="J598" t="str">
            <v>PremiumS</v>
          </cell>
          <cell r="K598" t="str">
            <v>balance</v>
          </cell>
          <cell r="L598" t="str">
            <v>バランスタイプ</v>
          </cell>
          <cell r="M598" t="str">
            <v>human</v>
          </cell>
          <cell r="N598" t="str">
            <v>ヒューマン</v>
          </cell>
          <cell r="O598" t="str">
            <v>machine</v>
          </cell>
          <cell r="P598" t="str">
            <v>マシン</v>
          </cell>
          <cell r="Q598" t="str">
            <v>アタッカー</v>
          </cell>
          <cell r="R598">
            <v>3</v>
          </cell>
          <cell r="S598" t="str">
            <v>NULL</v>
          </cell>
          <cell r="T598" t="str">
            <v>normal</v>
          </cell>
          <cell r="U598" t="str">
            <v>NULL</v>
          </cell>
          <cell r="V598" t="str">
            <v>NULL</v>
          </cell>
          <cell r="W598" t="str">
            <v>NULL</v>
          </cell>
        </row>
        <row r="599">
          <cell r="A599">
            <v>598</v>
          </cell>
          <cell r="B599" t="str">
            <v>ja</v>
          </cell>
          <cell r="C599" t="str">
            <v>焼燃の情熱 ムスペルヘイム</v>
          </cell>
          <cell r="D599" t="str">
            <v>ガチャ:北欧02</v>
          </cell>
          <cell r="E599" t="str">
            <v>執行者</v>
          </cell>
          <cell r="F599" t="str">
            <v>格好いい</v>
          </cell>
          <cell r="G599" t="str">
            <v>男性</v>
          </cell>
          <cell r="H599" t="str">
            <v>red</v>
          </cell>
          <cell r="I599">
            <v>5</v>
          </cell>
          <cell r="J599" t="str">
            <v>PremiumS</v>
          </cell>
          <cell r="K599" t="str">
            <v>balance</v>
          </cell>
          <cell r="L599" t="str">
            <v>バランスタイプ</v>
          </cell>
          <cell r="M599" t="str">
            <v>human</v>
          </cell>
          <cell r="N599" t="str">
            <v>ヒューマン</v>
          </cell>
          <cell r="O599" t="str">
            <v>machine</v>
          </cell>
          <cell r="P599" t="str">
            <v>マシン</v>
          </cell>
          <cell r="Q599" t="str">
            <v>アタッカー</v>
          </cell>
          <cell r="R599">
            <v>3</v>
          </cell>
          <cell r="S599" t="str">
            <v>NULL</v>
          </cell>
          <cell r="T599" t="str">
            <v>normal</v>
          </cell>
          <cell r="U599" t="str">
            <v>NULL</v>
          </cell>
          <cell r="V599" t="str">
            <v>NULL</v>
          </cell>
          <cell r="W599" t="str">
            <v>NULL</v>
          </cell>
        </row>
        <row r="600">
          <cell r="A600">
            <v>599</v>
          </cell>
          <cell r="B600" t="str">
            <v>ja</v>
          </cell>
          <cell r="C600" t="str">
            <v>ニーズヘッグ</v>
          </cell>
          <cell r="D600" t="str">
            <v>ガチャ:北欧02</v>
          </cell>
          <cell r="E600" t="str">
            <v>執行者</v>
          </cell>
          <cell r="F600" t="str">
            <v>格好いい</v>
          </cell>
          <cell r="G600" t="str">
            <v>不明</v>
          </cell>
          <cell r="H600" t="str">
            <v>green</v>
          </cell>
          <cell r="I600">
            <v>3</v>
          </cell>
          <cell r="J600" t="str">
            <v>PremiumS</v>
          </cell>
          <cell r="K600" t="str">
            <v>attack</v>
          </cell>
          <cell r="L600" t="str">
            <v>攻撃タイプ</v>
          </cell>
          <cell r="M600" t="str">
            <v>dragon</v>
          </cell>
          <cell r="N600" t="str">
            <v>ドラゴン</v>
          </cell>
          <cell r="O600" t="str">
            <v>none</v>
          </cell>
          <cell r="P600" t="str">
            <v>種族なし</v>
          </cell>
          <cell r="Q600" t="str">
            <v>アタッカー</v>
          </cell>
          <cell r="R600">
            <v>3</v>
          </cell>
          <cell r="S600" t="str">
            <v>NULL</v>
          </cell>
          <cell r="T600" t="str">
            <v>normal</v>
          </cell>
          <cell r="U600" t="str">
            <v>NULL</v>
          </cell>
          <cell r="V600" t="str">
            <v>NULL</v>
          </cell>
          <cell r="W600" t="str">
            <v>NULL</v>
          </cell>
        </row>
        <row r="601">
          <cell r="A601">
            <v>600</v>
          </cell>
          <cell r="B601" t="str">
            <v>ja</v>
          </cell>
          <cell r="C601" t="str">
            <v>界下に潜む蛇 ニーズヘッグ</v>
          </cell>
          <cell r="D601" t="str">
            <v>ガチャ:北欧02</v>
          </cell>
          <cell r="E601" t="str">
            <v>執行者</v>
          </cell>
          <cell r="F601" t="str">
            <v>格好いい</v>
          </cell>
          <cell r="G601" t="str">
            <v>不明</v>
          </cell>
          <cell r="H601" t="str">
            <v>green</v>
          </cell>
          <cell r="I601">
            <v>4</v>
          </cell>
          <cell r="J601" t="str">
            <v>PremiumS</v>
          </cell>
          <cell r="K601" t="str">
            <v>attack</v>
          </cell>
          <cell r="L601" t="str">
            <v>攻撃タイプ</v>
          </cell>
          <cell r="M601" t="str">
            <v>dragon</v>
          </cell>
          <cell r="N601" t="str">
            <v>ドラゴン</v>
          </cell>
          <cell r="O601" t="str">
            <v>none</v>
          </cell>
          <cell r="P601" t="str">
            <v>種族なし</v>
          </cell>
          <cell r="Q601" t="str">
            <v>アタッカー</v>
          </cell>
          <cell r="R601">
            <v>3</v>
          </cell>
          <cell r="S601" t="str">
            <v>NULL</v>
          </cell>
          <cell r="T601" t="str">
            <v>normal</v>
          </cell>
          <cell r="U601" t="str">
            <v>NULL</v>
          </cell>
          <cell r="V601" t="str">
            <v>NULL</v>
          </cell>
          <cell r="W601" t="str">
            <v>NULL</v>
          </cell>
        </row>
        <row r="602">
          <cell r="A602">
            <v>601</v>
          </cell>
          <cell r="B602" t="str">
            <v>ja</v>
          </cell>
          <cell r="C602" t="str">
            <v>界根蝕む悪食 ニーズヘッグ</v>
          </cell>
          <cell r="D602" t="str">
            <v>ガチャ:北欧02</v>
          </cell>
          <cell r="E602" t="str">
            <v>執行者</v>
          </cell>
          <cell r="F602" t="str">
            <v>格好いい</v>
          </cell>
          <cell r="G602" t="str">
            <v>不明</v>
          </cell>
          <cell r="H602" t="str">
            <v>green</v>
          </cell>
          <cell r="I602">
            <v>5</v>
          </cell>
          <cell r="J602" t="str">
            <v>PremiumS</v>
          </cell>
          <cell r="K602" t="str">
            <v>attack</v>
          </cell>
          <cell r="L602" t="str">
            <v>攻撃タイプ</v>
          </cell>
          <cell r="M602" t="str">
            <v>dragon</v>
          </cell>
          <cell r="N602" t="str">
            <v>ドラゴン</v>
          </cell>
          <cell r="O602" t="str">
            <v>none</v>
          </cell>
          <cell r="P602" t="str">
            <v>種族なし</v>
          </cell>
          <cell r="Q602" t="str">
            <v>アタッカー</v>
          </cell>
          <cell r="R602">
            <v>3</v>
          </cell>
          <cell r="S602" t="str">
            <v>NULL</v>
          </cell>
          <cell r="T602" t="str">
            <v>normal</v>
          </cell>
          <cell r="U602" t="str">
            <v>NULL</v>
          </cell>
          <cell r="V602" t="str">
            <v>NULL</v>
          </cell>
          <cell r="W602" t="str">
            <v>NULL</v>
          </cell>
        </row>
        <row r="603">
          <cell r="A603">
            <v>602</v>
          </cell>
          <cell r="B603" t="str">
            <v>ja</v>
          </cell>
          <cell r="C603" t="str">
            <v>フレイヤ</v>
          </cell>
          <cell r="D603" t="str">
            <v>ガチャ:北欧02</v>
          </cell>
          <cell r="E603" t="str">
            <v>執行者</v>
          </cell>
          <cell r="F603" t="str">
            <v>格好いい</v>
          </cell>
          <cell r="G603" t="str">
            <v>女性</v>
          </cell>
          <cell r="H603" t="str">
            <v>blue</v>
          </cell>
          <cell r="I603">
            <v>4</v>
          </cell>
          <cell r="J603" t="str">
            <v>PremiumSS</v>
          </cell>
          <cell r="K603" t="str">
            <v>heal</v>
          </cell>
          <cell r="L603" t="str">
            <v>回復タイプ</v>
          </cell>
          <cell r="M603" t="str">
            <v>animal</v>
          </cell>
          <cell r="N603" t="str">
            <v>アニマル</v>
          </cell>
          <cell r="O603" t="str">
            <v>none</v>
          </cell>
          <cell r="P603" t="str">
            <v>種族なし</v>
          </cell>
          <cell r="Q603" t="str">
            <v>アタッカー</v>
          </cell>
          <cell r="R603">
            <v>3</v>
          </cell>
          <cell r="S603" t="str">
            <v>NULL</v>
          </cell>
          <cell r="T603" t="str">
            <v>normal</v>
          </cell>
          <cell r="U603" t="str">
            <v>NULL</v>
          </cell>
          <cell r="V603" t="str">
            <v>NULL</v>
          </cell>
          <cell r="W603" t="str">
            <v>NULL</v>
          </cell>
        </row>
        <row r="604">
          <cell r="A604">
            <v>603</v>
          </cell>
          <cell r="B604" t="str">
            <v>ja</v>
          </cell>
          <cell r="C604" t="str">
            <v>掌愛の豊穣女神 フレイヤ</v>
          </cell>
          <cell r="D604" t="str">
            <v>ガチャ:北欧02</v>
          </cell>
          <cell r="E604" t="str">
            <v>執行者</v>
          </cell>
          <cell r="F604" t="str">
            <v>格好いい</v>
          </cell>
          <cell r="G604" t="str">
            <v>女性</v>
          </cell>
          <cell r="H604" t="str">
            <v>blue</v>
          </cell>
          <cell r="I604">
            <v>5</v>
          </cell>
          <cell r="J604" t="str">
            <v>PremiumSS</v>
          </cell>
          <cell r="K604" t="str">
            <v>heal</v>
          </cell>
          <cell r="L604" t="str">
            <v>回復タイプ</v>
          </cell>
          <cell r="M604" t="str">
            <v>animal</v>
          </cell>
          <cell r="N604" t="str">
            <v>アニマル</v>
          </cell>
          <cell r="O604" t="str">
            <v>none</v>
          </cell>
          <cell r="P604" t="str">
            <v>種族なし</v>
          </cell>
          <cell r="Q604" t="str">
            <v>アタッカー</v>
          </cell>
          <cell r="R604">
            <v>3</v>
          </cell>
          <cell r="S604" t="str">
            <v>NULL</v>
          </cell>
          <cell r="T604" t="str">
            <v>normal</v>
          </cell>
          <cell r="U604" t="str">
            <v>NULL</v>
          </cell>
          <cell r="V604" t="str">
            <v>NULL</v>
          </cell>
          <cell r="W604" t="str">
            <v>NULL</v>
          </cell>
        </row>
        <row r="605">
          <cell r="A605">
            <v>604</v>
          </cell>
          <cell r="B605" t="str">
            <v>ja</v>
          </cell>
          <cell r="C605" t="str">
            <v>バルドル</v>
          </cell>
          <cell r="D605" t="str">
            <v>ガチャ:北欧02</v>
          </cell>
          <cell r="E605" t="str">
            <v>執行者</v>
          </cell>
          <cell r="F605" t="str">
            <v>格好いい</v>
          </cell>
          <cell r="G605" t="str">
            <v>男性</v>
          </cell>
          <cell r="H605" t="str">
            <v>yellow</v>
          </cell>
          <cell r="I605">
            <v>3</v>
          </cell>
          <cell r="J605" t="str">
            <v>PremiumS</v>
          </cell>
          <cell r="K605" t="str">
            <v>heal</v>
          </cell>
          <cell r="L605" t="str">
            <v>回復タイプ</v>
          </cell>
          <cell r="M605" t="str">
            <v>god</v>
          </cell>
          <cell r="N605" t="str">
            <v>ゴッド</v>
          </cell>
          <cell r="O605" t="str">
            <v>none</v>
          </cell>
          <cell r="P605" t="str">
            <v>種族なし</v>
          </cell>
          <cell r="Q605" t="str">
            <v>アタッカー</v>
          </cell>
          <cell r="R605">
            <v>3</v>
          </cell>
          <cell r="S605" t="str">
            <v>NULL</v>
          </cell>
          <cell r="T605" t="str">
            <v>normal</v>
          </cell>
          <cell r="U605" t="str">
            <v>NULL</v>
          </cell>
          <cell r="V605" t="str">
            <v>NULL</v>
          </cell>
          <cell r="W605" t="str">
            <v>NULL</v>
          </cell>
        </row>
        <row r="606">
          <cell r="A606">
            <v>605</v>
          </cell>
          <cell r="B606" t="str">
            <v>ja</v>
          </cell>
          <cell r="C606" t="str">
            <v>祝福される光耀 バルドル</v>
          </cell>
          <cell r="D606" t="str">
            <v>ガチャ:北欧02</v>
          </cell>
          <cell r="E606" t="str">
            <v>執行者</v>
          </cell>
          <cell r="F606" t="str">
            <v>格好いい</v>
          </cell>
          <cell r="G606" t="str">
            <v>男性</v>
          </cell>
          <cell r="H606" t="str">
            <v>yellow</v>
          </cell>
          <cell r="I606">
            <v>4</v>
          </cell>
          <cell r="J606" t="str">
            <v>PremiumS</v>
          </cell>
          <cell r="K606" t="str">
            <v>heal</v>
          </cell>
          <cell r="L606" t="str">
            <v>回復タイプ</v>
          </cell>
          <cell r="M606" t="str">
            <v>god</v>
          </cell>
          <cell r="N606" t="str">
            <v>ゴッド</v>
          </cell>
          <cell r="O606" t="str">
            <v>none</v>
          </cell>
          <cell r="P606" t="str">
            <v>種族なし</v>
          </cell>
          <cell r="Q606" t="str">
            <v>アタッカー</v>
          </cell>
          <cell r="R606">
            <v>3</v>
          </cell>
          <cell r="S606" t="str">
            <v>NULL</v>
          </cell>
          <cell r="T606" t="str">
            <v>normal</v>
          </cell>
          <cell r="U606" t="str">
            <v>NULL</v>
          </cell>
          <cell r="V606" t="str">
            <v>NULL</v>
          </cell>
          <cell r="W606" t="str">
            <v>NULL</v>
          </cell>
        </row>
        <row r="607">
          <cell r="A607">
            <v>606</v>
          </cell>
          <cell r="B607" t="str">
            <v>ja</v>
          </cell>
          <cell r="C607" t="str">
            <v>冀望の光芒 バルドル</v>
          </cell>
          <cell r="D607" t="str">
            <v>ガチャ:北欧02</v>
          </cell>
          <cell r="E607" t="str">
            <v>執行者</v>
          </cell>
          <cell r="F607" t="str">
            <v>格好いい</v>
          </cell>
          <cell r="G607" t="str">
            <v>男性</v>
          </cell>
          <cell r="H607" t="str">
            <v>yellow</v>
          </cell>
          <cell r="I607">
            <v>5</v>
          </cell>
          <cell r="J607" t="str">
            <v>PremiumS</v>
          </cell>
          <cell r="K607" t="str">
            <v>heal</v>
          </cell>
          <cell r="L607" t="str">
            <v>回復タイプ</v>
          </cell>
          <cell r="M607" t="str">
            <v>god</v>
          </cell>
          <cell r="N607" t="str">
            <v>ゴッド</v>
          </cell>
          <cell r="O607" t="str">
            <v>none</v>
          </cell>
          <cell r="P607" t="str">
            <v>種族なし</v>
          </cell>
          <cell r="Q607" t="str">
            <v>アタッカー</v>
          </cell>
          <cell r="R607">
            <v>3</v>
          </cell>
          <cell r="S607" t="str">
            <v>NULL</v>
          </cell>
          <cell r="T607" t="str">
            <v>normal</v>
          </cell>
          <cell r="U607" t="str">
            <v>NULL</v>
          </cell>
          <cell r="V607" t="str">
            <v>NULL</v>
          </cell>
          <cell r="W607" t="str">
            <v>NULL</v>
          </cell>
        </row>
        <row r="608">
          <cell r="A608">
            <v>607</v>
          </cell>
          <cell r="B608" t="str">
            <v>ja</v>
          </cell>
          <cell r="C608" t="str">
            <v>メガ攻めの果実</v>
          </cell>
          <cell r="D608" t="str">
            <v>限界突破素材・攻撃・赤</v>
          </cell>
          <cell r="E608" t="str">
            <v>アリス</v>
          </cell>
          <cell r="F608" t="str">
            <v>世界観</v>
          </cell>
          <cell r="G608" t="str">
            <v>不明</v>
          </cell>
          <cell r="H608" t="str">
            <v>red</v>
          </cell>
          <cell r="I608">
            <v>4</v>
          </cell>
          <cell r="J608" t="str">
            <v>Material</v>
          </cell>
          <cell r="K608" t="str">
            <v>limitbreak</v>
          </cell>
          <cell r="L608" t="str">
            <v>限界突破素材</v>
          </cell>
          <cell r="M608" t="str">
            <v>unknown</v>
          </cell>
          <cell r="N608" t="str">
            <v>Unknown</v>
          </cell>
          <cell r="O608" t="str">
            <v>none</v>
          </cell>
          <cell r="P608" t="str">
            <v>種族なし</v>
          </cell>
          <cell r="Q608" t="str">
            <v>アタッカー</v>
          </cell>
          <cell r="R608">
            <v>3</v>
          </cell>
          <cell r="S608" t="str">
            <v>NULL</v>
          </cell>
          <cell r="T608" t="str">
            <v>normal</v>
          </cell>
          <cell r="U608" t="str">
            <v>NULL</v>
          </cell>
          <cell r="V608" t="str">
            <v>NULL</v>
          </cell>
          <cell r="W608" t="str">
            <v>NULL</v>
          </cell>
        </row>
        <row r="609">
          <cell r="A609">
            <v>608</v>
          </cell>
          <cell r="B609" t="str">
            <v>ja</v>
          </cell>
          <cell r="C609" t="str">
            <v>メガ生命の果実</v>
          </cell>
          <cell r="D609" t="str">
            <v>限界突破素材・体力・緑</v>
          </cell>
          <cell r="E609" t="str">
            <v>アリス</v>
          </cell>
          <cell r="F609" t="str">
            <v>世界観</v>
          </cell>
          <cell r="G609" t="str">
            <v>不明</v>
          </cell>
          <cell r="H609" t="str">
            <v>green</v>
          </cell>
          <cell r="I609">
            <v>4</v>
          </cell>
          <cell r="J609" t="str">
            <v>Material</v>
          </cell>
          <cell r="K609" t="str">
            <v>limitbreak</v>
          </cell>
          <cell r="L609" t="str">
            <v>限界突破素材</v>
          </cell>
          <cell r="M609" t="str">
            <v>unknown</v>
          </cell>
          <cell r="N609" t="str">
            <v>Unknown</v>
          </cell>
          <cell r="O609" t="str">
            <v>none</v>
          </cell>
          <cell r="P609" t="str">
            <v>種族なし</v>
          </cell>
          <cell r="Q609" t="str">
            <v>アタッカー</v>
          </cell>
          <cell r="R609">
            <v>3</v>
          </cell>
          <cell r="S609" t="str">
            <v>NULL</v>
          </cell>
          <cell r="T609" t="str">
            <v>normal</v>
          </cell>
          <cell r="U609" t="str">
            <v>NULL</v>
          </cell>
          <cell r="V609" t="str">
            <v>NULL</v>
          </cell>
          <cell r="W609" t="str">
            <v>NULL</v>
          </cell>
        </row>
        <row r="610">
          <cell r="A610">
            <v>609</v>
          </cell>
          <cell r="B610" t="str">
            <v>ja</v>
          </cell>
          <cell r="C610" t="str">
            <v>メガ癒しの果実</v>
          </cell>
          <cell r="D610" t="str">
            <v>限界突破素材・回復・青</v>
          </cell>
          <cell r="E610" t="str">
            <v>アリス</v>
          </cell>
          <cell r="F610" t="str">
            <v>世界観</v>
          </cell>
          <cell r="G610" t="str">
            <v>不明</v>
          </cell>
          <cell r="H610" t="str">
            <v>blue</v>
          </cell>
          <cell r="I610">
            <v>4</v>
          </cell>
          <cell r="J610" t="str">
            <v>Material</v>
          </cell>
          <cell r="K610" t="str">
            <v>limitbreak</v>
          </cell>
          <cell r="L610" t="str">
            <v>限界突破素材</v>
          </cell>
          <cell r="M610" t="str">
            <v>unknown</v>
          </cell>
          <cell r="N610" t="str">
            <v>Unknown</v>
          </cell>
          <cell r="O610" t="str">
            <v>none</v>
          </cell>
          <cell r="P610" t="str">
            <v>種族なし</v>
          </cell>
          <cell r="Q610" t="str">
            <v>アタッカー</v>
          </cell>
          <cell r="R610">
            <v>3</v>
          </cell>
          <cell r="S610" t="str">
            <v>NULL</v>
          </cell>
          <cell r="T610" t="str">
            <v>normal</v>
          </cell>
          <cell r="U610" t="str">
            <v>NULL</v>
          </cell>
          <cell r="V610" t="str">
            <v>NULL</v>
          </cell>
          <cell r="W610" t="str">
            <v>NULL</v>
          </cell>
        </row>
        <row r="611">
          <cell r="A611">
            <v>610</v>
          </cell>
          <cell r="B611" t="str">
            <v>ja</v>
          </cell>
          <cell r="C611" t="str">
            <v>メガ秘術の果実</v>
          </cell>
          <cell r="D611" t="str">
            <v>スキル進化素材</v>
          </cell>
          <cell r="E611" t="str">
            <v>アリス</v>
          </cell>
          <cell r="F611" t="str">
            <v>世界観</v>
          </cell>
          <cell r="G611" t="str">
            <v>不明</v>
          </cell>
          <cell r="H611" t="str">
            <v>blue</v>
          </cell>
          <cell r="I611">
            <v>4</v>
          </cell>
          <cell r="J611" t="str">
            <v>Material</v>
          </cell>
          <cell r="K611" t="str">
            <v>skilllevel</v>
          </cell>
          <cell r="L611" t="str">
            <v>スキルレベル素材</v>
          </cell>
          <cell r="M611" t="str">
            <v>unknown</v>
          </cell>
          <cell r="N611" t="str">
            <v>Unknown</v>
          </cell>
          <cell r="O611" t="str">
            <v>none</v>
          </cell>
          <cell r="P611" t="str">
            <v>種族なし</v>
          </cell>
          <cell r="Q611" t="str">
            <v>アタッカー</v>
          </cell>
          <cell r="R611">
            <v>3</v>
          </cell>
          <cell r="S611" t="str">
            <v>NULL</v>
          </cell>
          <cell r="T611" t="str">
            <v>normal</v>
          </cell>
          <cell r="U611" t="str">
            <v>NULL</v>
          </cell>
          <cell r="V611" t="str">
            <v>NULL</v>
          </cell>
          <cell r="W611" t="str">
            <v>NULL</v>
          </cell>
        </row>
        <row r="612">
          <cell r="A612">
            <v>611</v>
          </cell>
          <cell r="B612" t="str">
            <v>ja</v>
          </cell>
          <cell r="C612" t="str">
            <v>ギガ攻めの果実</v>
          </cell>
          <cell r="D612" t="str">
            <v>限界突破素材・攻撃・赤</v>
          </cell>
          <cell r="E612" t="str">
            <v>アリス</v>
          </cell>
          <cell r="F612" t="str">
            <v>世界観</v>
          </cell>
          <cell r="G612" t="str">
            <v>不明</v>
          </cell>
          <cell r="H612" t="str">
            <v>red</v>
          </cell>
          <cell r="I612">
            <v>5</v>
          </cell>
          <cell r="J612" t="str">
            <v>Material</v>
          </cell>
          <cell r="K612" t="str">
            <v>limitbreak</v>
          </cell>
          <cell r="L612" t="str">
            <v>限界突破素材</v>
          </cell>
          <cell r="M612" t="str">
            <v>unknown</v>
          </cell>
          <cell r="N612" t="str">
            <v>Unknown</v>
          </cell>
          <cell r="O612" t="str">
            <v>none</v>
          </cell>
          <cell r="P612" t="str">
            <v>種族なし</v>
          </cell>
          <cell r="Q612" t="str">
            <v>アタッカー</v>
          </cell>
          <cell r="R612">
            <v>3</v>
          </cell>
          <cell r="S612" t="str">
            <v>NULL</v>
          </cell>
          <cell r="T612" t="str">
            <v>normal</v>
          </cell>
          <cell r="U612" t="str">
            <v>NULL</v>
          </cell>
          <cell r="V612" t="str">
            <v>NULL</v>
          </cell>
          <cell r="W612" t="str">
            <v>NULL</v>
          </cell>
        </row>
        <row r="613">
          <cell r="A613">
            <v>612</v>
          </cell>
          <cell r="B613" t="str">
            <v>ja</v>
          </cell>
          <cell r="C613" t="str">
            <v>ギガ生命の果実</v>
          </cell>
          <cell r="D613" t="str">
            <v>限界突破素材・体力・緑</v>
          </cell>
          <cell r="E613" t="str">
            <v>アリス</v>
          </cell>
          <cell r="F613" t="str">
            <v>世界観</v>
          </cell>
          <cell r="G613" t="str">
            <v>不明</v>
          </cell>
          <cell r="H613" t="str">
            <v>green</v>
          </cell>
          <cell r="I613">
            <v>5</v>
          </cell>
          <cell r="J613" t="str">
            <v>Material</v>
          </cell>
          <cell r="K613" t="str">
            <v>limitbreak</v>
          </cell>
          <cell r="L613" t="str">
            <v>限界突破素材</v>
          </cell>
          <cell r="M613" t="str">
            <v>unknown</v>
          </cell>
          <cell r="N613" t="str">
            <v>Unknown</v>
          </cell>
          <cell r="O613" t="str">
            <v>none</v>
          </cell>
          <cell r="P613" t="str">
            <v>種族なし</v>
          </cell>
          <cell r="Q613" t="str">
            <v>アタッカー</v>
          </cell>
          <cell r="R613">
            <v>3</v>
          </cell>
          <cell r="S613" t="str">
            <v>NULL</v>
          </cell>
          <cell r="T613" t="str">
            <v>normal</v>
          </cell>
          <cell r="U613" t="str">
            <v>NULL</v>
          </cell>
          <cell r="V613" t="str">
            <v>NULL</v>
          </cell>
          <cell r="W613" t="str">
            <v>NULL</v>
          </cell>
        </row>
        <row r="614">
          <cell r="A614">
            <v>613</v>
          </cell>
          <cell r="B614" t="str">
            <v>ja</v>
          </cell>
          <cell r="C614" t="str">
            <v>ギガ癒しの果実</v>
          </cell>
          <cell r="D614" t="str">
            <v>限界突破素材・回復・青</v>
          </cell>
          <cell r="E614" t="str">
            <v>アリス</v>
          </cell>
          <cell r="F614" t="str">
            <v>世界観</v>
          </cell>
          <cell r="G614" t="str">
            <v>不明</v>
          </cell>
          <cell r="H614" t="str">
            <v>blue</v>
          </cell>
          <cell r="I614">
            <v>5</v>
          </cell>
          <cell r="J614" t="str">
            <v>Material</v>
          </cell>
          <cell r="K614" t="str">
            <v>limitbreak</v>
          </cell>
          <cell r="L614" t="str">
            <v>限界突破素材</v>
          </cell>
          <cell r="M614" t="str">
            <v>unknown</v>
          </cell>
          <cell r="N614" t="str">
            <v>Unknown</v>
          </cell>
          <cell r="O614" t="str">
            <v>none</v>
          </cell>
          <cell r="P614" t="str">
            <v>種族なし</v>
          </cell>
          <cell r="Q614" t="str">
            <v>アタッカー</v>
          </cell>
          <cell r="R614">
            <v>3</v>
          </cell>
          <cell r="S614" t="str">
            <v>NULL</v>
          </cell>
          <cell r="T614" t="str">
            <v>normal</v>
          </cell>
          <cell r="U614" t="str">
            <v>NULL</v>
          </cell>
          <cell r="V614" t="str">
            <v>NULL</v>
          </cell>
          <cell r="W614" t="str">
            <v>NULL</v>
          </cell>
        </row>
        <row r="615">
          <cell r="A615">
            <v>614</v>
          </cell>
          <cell r="B615" t="str">
            <v>ja</v>
          </cell>
          <cell r="C615" t="str">
            <v>ギガ秘術の果実</v>
          </cell>
          <cell r="D615" t="str">
            <v>スキル進化素材</v>
          </cell>
          <cell r="E615" t="str">
            <v>アリス</v>
          </cell>
          <cell r="F615" t="str">
            <v>世界観</v>
          </cell>
          <cell r="G615" t="str">
            <v>不明</v>
          </cell>
          <cell r="H615" t="str">
            <v>blue</v>
          </cell>
          <cell r="I615">
            <v>5</v>
          </cell>
          <cell r="J615" t="str">
            <v>Material</v>
          </cell>
          <cell r="K615" t="str">
            <v>skilllevel</v>
          </cell>
          <cell r="L615" t="str">
            <v>スキルレベル素材</v>
          </cell>
          <cell r="M615" t="str">
            <v>unknown</v>
          </cell>
          <cell r="N615" t="str">
            <v>Unknown</v>
          </cell>
          <cell r="O615" t="str">
            <v>none</v>
          </cell>
          <cell r="P615" t="str">
            <v>種族なし</v>
          </cell>
          <cell r="Q615" t="str">
            <v>アタッカー</v>
          </cell>
          <cell r="R615">
            <v>3</v>
          </cell>
          <cell r="S615" t="str">
            <v>NULL</v>
          </cell>
          <cell r="T615" t="str">
            <v>normal</v>
          </cell>
          <cell r="U615" t="str">
            <v>NULL</v>
          </cell>
          <cell r="V615" t="str">
            <v>NULL</v>
          </cell>
          <cell r="W615" t="str">
            <v>NULL</v>
          </cell>
        </row>
        <row r="616">
          <cell r="A616">
            <v>615</v>
          </cell>
          <cell r="B616" t="str">
            <v>ja</v>
          </cell>
          <cell r="C616" t="str">
            <v>ヒュドラ・コスモブラスト</v>
          </cell>
          <cell r="D616" t="str">
            <v>イベント:150DL</v>
          </cell>
          <cell r="E616" t="str">
            <v>執行者</v>
          </cell>
          <cell r="F616" t="str">
            <v>格好いい</v>
          </cell>
          <cell r="G616" t="str">
            <v>不明</v>
          </cell>
          <cell r="H616" t="str">
            <v>red</v>
          </cell>
          <cell r="I616">
            <v>5</v>
          </cell>
          <cell r="J616" t="str">
            <v>DropWizN</v>
          </cell>
          <cell r="K616" t="str">
            <v>attack</v>
          </cell>
          <cell r="L616" t="str">
            <v>攻撃タイプ</v>
          </cell>
          <cell r="M616" t="str">
            <v>dragon</v>
          </cell>
          <cell r="N616" t="str">
            <v>ドラゴン</v>
          </cell>
          <cell r="O616" t="str">
            <v>machine</v>
          </cell>
          <cell r="P616" t="str">
            <v>マシン</v>
          </cell>
          <cell r="Q616" t="str">
            <v>アタッカー</v>
          </cell>
          <cell r="R616">
            <v>3</v>
          </cell>
          <cell r="S616" t="str">
            <v>NULL</v>
          </cell>
          <cell r="T616" t="str">
            <v>normal</v>
          </cell>
          <cell r="U616" t="str">
            <v>NULL</v>
          </cell>
          <cell r="V616" t="str">
            <v>NULL</v>
          </cell>
          <cell r="W616" t="str">
            <v>NULL</v>
          </cell>
        </row>
        <row r="617">
          <cell r="A617">
            <v>616</v>
          </cell>
          <cell r="B617" t="str">
            <v>ja</v>
          </cell>
          <cell r="C617" t="str">
            <v>リンドブルム・デルタクラスター</v>
          </cell>
          <cell r="D617" t="str">
            <v>イベント:150DL</v>
          </cell>
          <cell r="E617" t="str">
            <v>執行者</v>
          </cell>
          <cell r="F617" t="str">
            <v>格好いい</v>
          </cell>
          <cell r="G617" t="str">
            <v>不明</v>
          </cell>
          <cell r="H617" t="str">
            <v>green</v>
          </cell>
          <cell r="I617">
            <v>5</v>
          </cell>
          <cell r="J617" t="str">
            <v>DropWizN</v>
          </cell>
          <cell r="K617" t="str">
            <v>attack</v>
          </cell>
          <cell r="L617" t="str">
            <v>攻撃タイプ</v>
          </cell>
          <cell r="M617" t="str">
            <v>dragon</v>
          </cell>
          <cell r="N617" t="str">
            <v>ドラゴン</v>
          </cell>
          <cell r="O617" t="str">
            <v>machine</v>
          </cell>
          <cell r="P617" t="str">
            <v>マシン</v>
          </cell>
          <cell r="Q617" t="str">
            <v>アタッカー</v>
          </cell>
          <cell r="R617">
            <v>3</v>
          </cell>
          <cell r="S617" t="str">
            <v>NULL</v>
          </cell>
          <cell r="T617" t="str">
            <v>normal</v>
          </cell>
          <cell r="U617" t="str">
            <v>NULL</v>
          </cell>
          <cell r="V617" t="str">
            <v>NULL</v>
          </cell>
          <cell r="W617" t="str">
            <v>NULL</v>
          </cell>
        </row>
        <row r="618">
          <cell r="A618">
            <v>617</v>
          </cell>
          <cell r="B618" t="str">
            <v>ja</v>
          </cell>
          <cell r="C618" t="str">
            <v>ラーフ・アルマゲドン</v>
          </cell>
          <cell r="D618" t="str">
            <v>イベント:150DL</v>
          </cell>
          <cell r="E618" t="str">
            <v>執行者</v>
          </cell>
          <cell r="F618" t="str">
            <v>格好いい</v>
          </cell>
          <cell r="G618" t="str">
            <v>不明</v>
          </cell>
          <cell r="H618" t="str">
            <v>blue</v>
          </cell>
          <cell r="I618">
            <v>5</v>
          </cell>
          <cell r="J618" t="str">
            <v>DropWizN</v>
          </cell>
          <cell r="K618" t="str">
            <v>balance</v>
          </cell>
          <cell r="L618" t="str">
            <v>バランスタイプ</v>
          </cell>
          <cell r="M618" t="str">
            <v>dragon</v>
          </cell>
          <cell r="N618" t="str">
            <v>ドラゴン</v>
          </cell>
          <cell r="O618" t="str">
            <v>machine</v>
          </cell>
          <cell r="P618" t="str">
            <v>マシン</v>
          </cell>
          <cell r="Q618" t="str">
            <v>アタッカー</v>
          </cell>
          <cell r="R618">
            <v>3</v>
          </cell>
          <cell r="S618" t="str">
            <v>NULL</v>
          </cell>
          <cell r="T618" t="str">
            <v>normal</v>
          </cell>
          <cell r="U618" t="str">
            <v>NULL</v>
          </cell>
          <cell r="V618" t="str">
            <v>NULL</v>
          </cell>
          <cell r="W618" t="str">
            <v>NULL</v>
          </cell>
        </row>
        <row r="619">
          <cell r="A619">
            <v>618</v>
          </cell>
          <cell r="B619" t="str">
            <v>ja</v>
          </cell>
          <cell r="C619" t="str">
            <v>フェルニゲシュ・オメガドライブ</v>
          </cell>
          <cell r="D619" t="str">
            <v>イベント:150DL</v>
          </cell>
          <cell r="E619" t="str">
            <v>執行者</v>
          </cell>
          <cell r="F619" t="str">
            <v>格好いい</v>
          </cell>
          <cell r="G619" t="str">
            <v>不明</v>
          </cell>
          <cell r="H619" t="str">
            <v>yellow</v>
          </cell>
          <cell r="I619">
            <v>5</v>
          </cell>
          <cell r="J619" t="str">
            <v>DropWizN</v>
          </cell>
          <cell r="K619" t="str">
            <v>technical</v>
          </cell>
          <cell r="L619" t="str">
            <v>テクニカルタイプ</v>
          </cell>
          <cell r="M619" t="str">
            <v>dragon</v>
          </cell>
          <cell r="N619" t="str">
            <v>ドラゴン</v>
          </cell>
          <cell r="O619" t="str">
            <v>machine</v>
          </cell>
          <cell r="P619" t="str">
            <v>マシン</v>
          </cell>
          <cell r="Q619" t="str">
            <v>アタッカー</v>
          </cell>
          <cell r="R619">
            <v>3</v>
          </cell>
          <cell r="S619" t="str">
            <v>NULL</v>
          </cell>
          <cell r="T619" t="str">
            <v>normal</v>
          </cell>
          <cell r="U619" t="str">
            <v>NULL</v>
          </cell>
          <cell r="V619" t="str">
            <v>NULL</v>
          </cell>
          <cell r="W619" t="str">
            <v>NULL</v>
          </cell>
        </row>
        <row r="620">
          <cell r="A620">
            <v>619</v>
          </cell>
          <cell r="B620" t="str">
            <v>ja</v>
          </cell>
          <cell r="C620" t="str">
            <v>メビウス</v>
          </cell>
          <cell r="D620" t="str">
            <v>ガチャ:DL記念01</v>
          </cell>
          <cell r="E620" t="str">
            <v>執行者</v>
          </cell>
          <cell r="F620" t="str">
            <v>格好いい</v>
          </cell>
          <cell r="G620" t="str">
            <v>女性</v>
          </cell>
          <cell r="H620" t="str">
            <v>blue</v>
          </cell>
          <cell r="I620">
            <v>4</v>
          </cell>
          <cell r="J620" t="str">
            <v>PremiumSSS</v>
          </cell>
          <cell r="K620" t="str">
            <v>balance</v>
          </cell>
          <cell r="L620" t="str">
            <v>バランスタイプ</v>
          </cell>
          <cell r="M620" t="str">
            <v>human</v>
          </cell>
          <cell r="N620" t="str">
            <v>ヒューマン</v>
          </cell>
          <cell r="O620" t="str">
            <v>machine</v>
          </cell>
          <cell r="P620" t="str">
            <v>マシン</v>
          </cell>
          <cell r="Q620" t="str">
            <v>アタッカー</v>
          </cell>
          <cell r="R620">
            <v>3</v>
          </cell>
          <cell r="S620" t="str">
            <v>NULL</v>
          </cell>
          <cell r="T620" t="str">
            <v>normal</v>
          </cell>
          <cell r="U620" t="str">
            <v>NULL</v>
          </cell>
          <cell r="V620" t="str">
            <v>NULL</v>
          </cell>
          <cell r="W620" t="str">
            <v>NULL</v>
          </cell>
        </row>
        <row r="621">
          <cell r="A621">
            <v>620</v>
          </cell>
          <cell r="B621" t="str">
            <v>ja</v>
          </cell>
          <cell r="C621" t="str">
            <v>奇跡の調和 メビウス</v>
          </cell>
          <cell r="D621" t="str">
            <v>ガチャ:DL記念01</v>
          </cell>
          <cell r="E621" t="str">
            <v>執行者</v>
          </cell>
          <cell r="F621" t="str">
            <v>格好いい</v>
          </cell>
          <cell r="G621" t="str">
            <v>女性</v>
          </cell>
          <cell r="H621" t="str">
            <v>blue</v>
          </cell>
          <cell r="I621">
            <v>5</v>
          </cell>
          <cell r="J621" t="str">
            <v>PremiumSSS</v>
          </cell>
          <cell r="K621" t="str">
            <v>balance</v>
          </cell>
          <cell r="L621" t="str">
            <v>バランスタイプ</v>
          </cell>
          <cell r="M621" t="str">
            <v>human</v>
          </cell>
          <cell r="N621" t="str">
            <v>ヒューマン</v>
          </cell>
          <cell r="O621" t="str">
            <v>machine</v>
          </cell>
          <cell r="P621" t="str">
            <v>マシン</v>
          </cell>
          <cell r="Q621" t="str">
            <v>アタッカー</v>
          </cell>
          <cell r="R621">
            <v>3</v>
          </cell>
          <cell r="S621" t="str">
            <v>NULL</v>
          </cell>
          <cell r="T621" t="str">
            <v>normal</v>
          </cell>
          <cell r="U621" t="str">
            <v>NULL</v>
          </cell>
          <cell r="V621" t="str">
            <v>NULL</v>
          </cell>
          <cell r="W621" t="str">
            <v>NULL</v>
          </cell>
        </row>
        <row r="622">
          <cell r="A622">
            <v>621</v>
          </cell>
          <cell r="B622" t="str">
            <v>ja</v>
          </cell>
          <cell r="C622" t="str">
            <v>終わりなき奇跡 メビウス</v>
          </cell>
          <cell r="D622" t="str">
            <v>ガチャ:DL記念01</v>
          </cell>
          <cell r="E622" t="str">
            <v>執行者</v>
          </cell>
          <cell r="F622" t="str">
            <v>格好いい</v>
          </cell>
          <cell r="G622" t="str">
            <v>女性</v>
          </cell>
          <cell r="H622" t="str">
            <v>blue</v>
          </cell>
          <cell r="I622">
            <v>6</v>
          </cell>
          <cell r="J622" t="str">
            <v>PremiumSSS</v>
          </cell>
          <cell r="K622" t="str">
            <v>balance</v>
          </cell>
          <cell r="L622" t="str">
            <v>バランスタイプ</v>
          </cell>
          <cell r="M622" t="str">
            <v>human</v>
          </cell>
          <cell r="N622" t="str">
            <v>ヒューマン</v>
          </cell>
          <cell r="O622" t="str">
            <v>machine</v>
          </cell>
          <cell r="P622" t="str">
            <v>マシン</v>
          </cell>
          <cell r="Q622" t="str">
            <v>アタッカー</v>
          </cell>
          <cell r="R622">
            <v>3</v>
          </cell>
          <cell r="S622" t="str">
            <v>NULL</v>
          </cell>
          <cell r="T622" t="str">
            <v>normal</v>
          </cell>
          <cell r="U622" t="str">
            <v>NULL</v>
          </cell>
          <cell r="V622" t="str">
            <v>NULL</v>
          </cell>
          <cell r="W622" t="str">
            <v>NULL</v>
          </cell>
        </row>
        <row r="623">
          <cell r="A623">
            <v>622</v>
          </cell>
          <cell r="B623" t="str">
            <v>ja</v>
          </cell>
          <cell r="C623" t="str">
            <v>未定</v>
          </cell>
          <cell r="D623" t="str">
            <v>ガチャ:DL記念02</v>
          </cell>
          <cell r="E623" t="str">
            <v>執行者</v>
          </cell>
          <cell r="F623" t="str">
            <v>格好いい</v>
          </cell>
          <cell r="G623" t="str">
            <v>女性</v>
          </cell>
          <cell r="H623" t="str">
            <v>blue</v>
          </cell>
          <cell r="I623">
            <v>4</v>
          </cell>
          <cell r="J623" t="str">
            <v>PremiumSSS</v>
          </cell>
          <cell r="K623" t="str">
            <v>attack</v>
          </cell>
          <cell r="L623" t="str">
            <v>攻撃タイプ</v>
          </cell>
          <cell r="M623" t="str">
            <v>human</v>
          </cell>
          <cell r="N623" t="str">
            <v>ヒューマン</v>
          </cell>
          <cell r="O623" t="str">
            <v>none</v>
          </cell>
          <cell r="P623" t="str">
            <v>種族なし</v>
          </cell>
          <cell r="Q623" t="str">
            <v>アタッカー</v>
          </cell>
          <cell r="R623">
            <v>1</v>
          </cell>
          <cell r="S623" t="str">
            <v>NULL</v>
          </cell>
          <cell r="T623" t="str">
            <v>normal</v>
          </cell>
          <cell r="U623" t="str">
            <v>NULL</v>
          </cell>
          <cell r="V623" t="str">
            <v>NULL</v>
          </cell>
          <cell r="W623" t="str">
            <v>NULL</v>
          </cell>
        </row>
        <row r="624">
          <cell r="A624">
            <v>623</v>
          </cell>
          <cell r="B624" t="str">
            <v>ja</v>
          </cell>
          <cell r="C624" t="str">
            <v>フェルマー</v>
          </cell>
          <cell r="D624" t="str">
            <v>ガチャ:DL記念02</v>
          </cell>
          <cell r="E624" t="str">
            <v>執行者</v>
          </cell>
          <cell r="F624" t="str">
            <v>格好いい</v>
          </cell>
          <cell r="G624" t="str">
            <v>女性</v>
          </cell>
          <cell r="H624" t="str">
            <v>yellow</v>
          </cell>
          <cell r="I624">
            <v>5</v>
          </cell>
          <cell r="J624" t="str">
            <v>PremiumSSS</v>
          </cell>
          <cell r="K624" t="str">
            <v>attack</v>
          </cell>
          <cell r="L624" t="str">
            <v>攻撃タイプ</v>
          </cell>
          <cell r="M624" t="str">
            <v>academia</v>
          </cell>
          <cell r="N624" t="str">
            <v>アカデミア</v>
          </cell>
          <cell r="O624" t="str">
            <v>machine</v>
          </cell>
          <cell r="P624" t="str">
            <v>マシン</v>
          </cell>
          <cell r="Q624" t="str">
            <v>アタッカー</v>
          </cell>
          <cell r="R624">
            <v>3</v>
          </cell>
          <cell r="S624" t="str">
            <v>NULL</v>
          </cell>
          <cell r="T624" t="str">
            <v>normal</v>
          </cell>
          <cell r="U624" t="str">
            <v>NULL</v>
          </cell>
          <cell r="V624" t="str">
            <v>NULL</v>
          </cell>
          <cell r="W624" t="str">
            <v>NULL</v>
          </cell>
        </row>
        <row r="625">
          <cell r="A625">
            <v>624</v>
          </cell>
          <cell r="B625" t="str">
            <v>ja</v>
          </cell>
          <cell r="C625" t="str">
            <v>挑発の尖駆者 フェルマー</v>
          </cell>
          <cell r="D625" t="str">
            <v>ガチャ:DL記念02</v>
          </cell>
          <cell r="E625" t="str">
            <v>執行者</v>
          </cell>
          <cell r="F625" t="str">
            <v>格好いい</v>
          </cell>
          <cell r="G625" t="str">
            <v>女性</v>
          </cell>
          <cell r="H625" t="str">
            <v>yellow</v>
          </cell>
          <cell r="I625">
            <v>6</v>
          </cell>
          <cell r="J625" t="str">
            <v>PremiumSSS</v>
          </cell>
          <cell r="K625" t="str">
            <v>attack</v>
          </cell>
          <cell r="L625" t="str">
            <v>攻撃タイプ</v>
          </cell>
          <cell r="M625" t="str">
            <v>academia</v>
          </cell>
          <cell r="N625" t="str">
            <v>アカデミア</v>
          </cell>
          <cell r="O625" t="str">
            <v>machine</v>
          </cell>
          <cell r="P625" t="str">
            <v>マシン</v>
          </cell>
          <cell r="Q625" t="str">
            <v>アタッカー</v>
          </cell>
          <cell r="R625">
            <v>3</v>
          </cell>
          <cell r="S625" t="str">
            <v>NULL</v>
          </cell>
          <cell r="T625" t="str">
            <v>normal</v>
          </cell>
          <cell r="U625" t="str">
            <v>NULL</v>
          </cell>
          <cell r="V625" t="str">
            <v>NULL</v>
          </cell>
          <cell r="W625" t="str">
            <v>NULL</v>
          </cell>
        </row>
        <row r="626">
          <cell r="A626">
            <v>625</v>
          </cell>
          <cell r="B626" t="str">
            <v>ja</v>
          </cell>
          <cell r="C626" t="str">
            <v>デカルト</v>
          </cell>
          <cell r="D626" t="str">
            <v>チャレンジタワー</v>
          </cell>
          <cell r="E626" t="str">
            <v>執行者</v>
          </cell>
          <cell r="F626" t="str">
            <v>格好いい</v>
          </cell>
          <cell r="G626" t="str">
            <v>女性</v>
          </cell>
          <cell r="H626" t="str">
            <v>green</v>
          </cell>
          <cell r="I626">
            <v>4</v>
          </cell>
          <cell r="J626" t="str">
            <v>DropWizN</v>
          </cell>
          <cell r="K626" t="str">
            <v>attack</v>
          </cell>
          <cell r="L626" t="str">
            <v>攻撃タイプ</v>
          </cell>
          <cell r="M626" t="str">
            <v>human</v>
          </cell>
          <cell r="N626" t="str">
            <v>ヒューマン</v>
          </cell>
          <cell r="O626" t="str">
            <v>none</v>
          </cell>
          <cell r="P626" t="str">
            <v>種族なし</v>
          </cell>
          <cell r="Q626" t="str">
            <v>アタッカー</v>
          </cell>
          <cell r="R626">
            <v>1</v>
          </cell>
          <cell r="S626" t="str">
            <v>NULL</v>
          </cell>
          <cell r="T626" t="str">
            <v>normal</v>
          </cell>
          <cell r="U626" t="str">
            <v>NULL</v>
          </cell>
          <cell r="V626" t="str">
            <v>NULL</v>
          </cell>
          <cell r="W626" t="str">
            <v>NULL</v>
          </cell>
        </row>
        <row r="627">
          <cell r="A627">
            <v>626</v>
          </cell>
          <cell r="B627" t="str">
            <v>ja</v>
          </cell>
          <cell r="C627" t="str">
            <v>デカルト</v>
          </cell>
          <cell r="D627" t="str">
            <v>チャレンジタワー</v>
          </cell>
          <cell r="E627" t="str">
            <v>執行者</v>
          </cell>
          <cell r="F627" t="str">
            <v>格好いい</v>
          </cell>
          <cell r="G627" t="str">
            <v>女性</v>
          </cell>
          <cell r="H627" t="str">
            <v>green</v>
          </cell>
          <cell r="I627">
            <v>5</v>
          </cell>
          <cell r="J627" t="str">
            <v>DropWizN</v>
          </cell>
          <cell r="K627" t="str">
            <v>attack</v>
          </cell>
          <cell r="L627" t="str">
            <v>攻撃タイプ</v>
          </cell>
          <cell r="M627" t="str">
            <v>human</v>
          </cell>
          <cell r="N627" t="str">
            <v>ヒューマン</v>
          </cell>
          <cell r="O627" t="str">
            <v>none</v>
          </cell>
          <cell r="P627" t="str">
            <v>種族なし</v>
          </cell>
          <cell r="Q627" t="str">
            <v>アタッカー</v>
          </cell>
          <cell r="R627">
            <v>1</v>
          </cell>
          <cell r="S627" t="str">
            <v>NULL</v>
          </cell>
          <cell r="T627" t="str">
            <v>normal</v>
          </cell>
          <cell r="U627" t="str">
            <v>NULL</v>
          </cell>
          <cell r="V627" t="str">
            <v>NULL</v>
          </cell>
          <cell r="W627" t="str">
            <v>NULL</v>
          </cell>
        </row>
        <row r="628">
          <cell r="A628">
            <v>627</v>
          </cell>
          <cell r="B628" t="str">
            <v>ja</v>
          </cell>
          <cell r="C628" t="str">
            <v>メガラニカ</v>
          </cell>
          <cell r="D628" t="str">
            <v>チャレンジタワー</v>
          </cell>
          <cell r="E628" t="str">
            <v>執行者</v>
          </cell>
          <cell r="F628" t="str">
            <v>格好いい</v>
          </cell>
          <cell r="G628" t="str">
            <v>男性</v>
          </cell>
          <cell r="H628" t="str">
            <v>green</v>
          </cell>
          <cell r="I628">
            <v>5</v>
          </cell>
          <cell r="J628" t="str">
            <v>PremiumSSw</v>
          </cell>
          <cell r="K628" t="str">
            <v>balance</v>
          </cell>
          <cell r="L628" t="str">
            <v>バランスタイプ</v>
          </cell>
          <cell r="M628" t="str">
            <v>animal</v>
          </cell>
          <cell r="N628" t="str">
            <v>アニマル</v>
          </cell>
          <cell r="O628" t="str">
            <v>unknown</v>
          </cell>
          <cell r="P628" t="str">
            <v>Unknown</v>
          </cell>
          <cell r="Q628" t="str">
            <v>アタッカー</v>
          </cell>
          <cell r="R628">
            <v>3</v>
          </cell>
          <cell r="S628" t="str">
            <v>NULL</v>
          </cell>
          <cell r="T628" t="str">
            <v>normal</v>
          </cell>
          <cell r="U628" t="str">
            <v>NULL</v>
          </cell>
          <cell r="V628" t="str">
            <v>NULL</v>
          </cell>
          <cell r="W628" t="str">
            <v>NULL</v>
          </cell>
        </row>
        <row r="629">
          <cell r="A629">
            <v>628</v>
          </cell>
          <cell r="B629" t="str">
            <v>ja</v>
          </cell>
          <cell r="C629" t="str">
            <v>玄装の指南隊 メガラニカ</v>
          </cell>
          <cell r="D629" t="str">
            <v>チャレンジタワー</v>
          </cell>
          <cell r="E629" t="str">
            <v>執行者</v>
          </cell>
          <cell r="F629" t="str">
            <v>格好いい</v>
          </cell>
          <cell r="G629" t="str">
            <v>男性</v>
          </cell>
          <cell r="H629" t="str">
            <v>green</v>
          </cell>
          <cell r="I629">
            <v>6</v>
          </cell>
          <cell r="J629" t="str">
            <v>PremiumSSw</v>
          </cell>
          <cell r="K629" t="str">
            <v>balance</v>
          </cell>
          <cell r="L629" t="str">
            <v>バランスタイプ</v>
          </cell>
          <cell r="M629" t="str">
            <v>animal</v>
          </cell>
          <cell r="N629" t="str">
            <v>アニマル</v>
          </cell>
          <cell r="O629" t="str">
            <v>unknown</v>
          </cell>
          <cell r="P629" t="str">
            <v>Unknown</v>
          </cell>
          <cell r="Q629" t="str">
            <v>アタッカー</v>
          </cell>
          <cell r="R629">
            <v>3</v>
          </cell>
          <cell r="S629" t="str">
            <v>NULL</v>
          </cell>
          <cell r="T629" t="str">
            <v>normal</v>
          </cell>
          <cell r="U629" t="str">
            <v>NULL</v>
          </cell>
          <cell r="V629" t="str">
            <v>NULL</v>
          </cell>
          <cell r="W629" t="str">
            <v>NULL</v>
          </cell>
        </row>
        <row r="630">
          <cell r="A630">
            <v>629</v>
          </cell>
          <cell r="B630" t="str">
            <v>ja</v>
          </cell>
          <cell r="C630" t="str">
            <v>チャリオット</v>
          </cell>
          <cell r="D630" t="str">
            <v>チャレンジタワー</v>
          </cell>
          <cell r="E630" t="str">
            <v>執行者</v>
          </cell>
          <cell r="F630" t="str">
            <v>格好いい</v>
          </cell>
          <cell r="G630" t="str">
            <v>女性</v>
          </cell>
          <cell r="H630" t="str">
            <v>blue</v>
          </cell>
          <cell r="I630">
            <v>5</v>
          </cell>
          <cell r="J630" t="str">
            <v>PremiumSSS</v>
          </cell>
          <cell r="K630" t="str">
            <v>hp</v>
          </cell>
          <cell r="L630" t="str">
            <v>体力タイプ</v>
          </cell>
          <cell r="M630" t="str">
            <v>god</v>
          </cell>
          <cell r="N630" t="str">
            <v>ゴッド</v>
          </cell>
          <cell r="O630" t="str">
            <v>animal</v>
          </cell>
          <cell r="P630" t="str">
            <v>アニマル</v>
          </cell>
          <cell r="Q630" t="str">
            <v>アタッカー</v>
          </cell>
          <cell r="R630">
            <v>3</v>
          </cell>
          <cell r="S630" t="str">
            <v>NULL</v>
          </cell>
          <cell r="T630" t="str">
            <v>normal</v>
          </cell>
          <cell r="U630" t="str">
            <v>NULL</v>
          </cell>
          <cell r="V630" t="str">
            <v>NULL</v>
          </cell>
          <cell r="W630" t="str">
            <v>NULL</v>
          </cell>
        </row>
        <row r="631">
          <cell r="A631">
            <v>630</v>
          </cell>
          <cell r="B631" t="str">
            <v>ja</v>
          </cell>
          <cell r="C631" t="str">
            <v>明快の突戦車 チャリオット</v>
          </cell>
          <cell r="D631" t="str">
            <v>チャレンジタワー</v>
          </cell>
          <cell r="E631" t="str">
            <v>執行者</v>
          </cell>
          <cell r="F631" t="str">
            <v>格好いい</v>
          </cell>
          <cell r="G631" t="str">
            <v>女性</v>
          </cell>
          <cell r="H631" t="str">
            <v>blue</v>
          </cell>
          <cell r="I631">
            <v>6</v>
          </cell>
          <cell r="J631" t="str">
            <v>PremiumSSS</v>
          </cell>
          <cell r="K631" t="str">
            <v>hp</v>
          </cell>
          <cell r="L631" t="str">
            <v>体力タイプ</v>
          </cell>
          <cell r="M631" t="str">
            <v>god</v>
          </cell>
          <cell r="N631" t="str">
            <v>ゴッド</v>
          </cell>
          <cell r="O631" t="str">
            <v>animal</v>
          </cell>
          <cell r="P631" t="str">
            <v>アニマル</v>
          </cell>
          <cell r="Q631" t="str">
            <v>アタッカー</v>
          </cell>
          <cell r="R631">
            <v>3</v>
          </cell>
          <cell r="S631" t="str">
            <v>NULL</v>
          </cell>
          <cell r="T631" t="str">
            <v>normal</v>
          </cell>
          <cell r="U631" t="str">
            <v>NULL</v>
          </cell>
          <cell r="V631" t="str">
            <v>NULL</v>
          </cell>
          <cell r="W631" t="str">
            <v>NULL</v>
          </cell>
        </row>
        <row r="632">
          <cell r="A632">
            <v>631</v>
          </cell>
          <cell r="B632" t="str">
            <v>ja</v>
          </cell>
          <cell r="C632" t="str">
            <v>華恋なる宮護隊 パレ</v>
          </cell>
          <cell r="D632" t="str">
            <v>未定</v>
          </cell>
          <cell r="E632" t="str">
            <v>執行者</v>
          </cell>
          <cell r="F632" t="str">
            <v>格好いい</v>
          </cell>
          <cell r="G632" t="str">
            <v>不明</v>
          </cell>
          <cell r="H632" t="str">
            <v>yellow</v>
          </cell>
          <cell r="I632">
            <v>5</v>
          </cell>
          <cell r="J632" t="str">
            <v>Drop2N</v>
          </cell>
          <cell r="K632" t="str">
            <v>balance</v>
          </cell>
          <cell r="L632" t="str">
            <v>バランスタイプ</v>
          </cell>
          <cell r="M632" t="str">
            <v>human</v>
          </cell>
          <cell r="N632" t="str">
            <v>ヒューマン</v>
          </cell>
          <cell r="O632" t="str">
            <v>none</v>
          </cell>
          <cell r="P632" t="str">
            <v>種族なし</v>
          </cell>
          <cell r="Q632" t="str">
            <v>アタッカー</v>
          </cell>
          <cell r="R632">
            <v>3</v>
          </cell>
          <cell r="S632" t="str">
            <v>NULL</v>
          </cell>
          <cell r="T632" t="str">
            <v>normal</v>
          </cell>
          <cell r="U632" t="str">
            <v>NULL</v>
          </cell>
          <cell r="V632" t="str">
            <v>NULL</v>
          </cell>
          <cell r="W632" t="str">
            <v>NULL</v>
          </cell>
        </row>
        <row r="633">
          <cell r="A633">
            <v>632</v>
          </cell>
          <cell r="B633" t="str">
            <v>ja</v>
          </cell>
          <cell r="C633" t="str">
            <v>緋壁の城塞 アーグラ</v>
          </cell>
          <cell r="D633" t="str">
            <v>未定</v>
          </cell>
          <cell r="E633" t="str">
            <v>執行者</v>
          </cell>
          <cell r="F633" t="str">
            <v>格好いい</v>
          </cell>
          <cell r="G633" t="str">
            <v>不明</v>
          </cell>
          <cell r="H633" t="str">
            <v>red</v>
          </cell>
          <cell r="I633">
            <v>6</v>
          </cell>
          <cell r="J633" t="str">
            <v>DropWizS</v>
          </cell>
          <cell r="K633" t="str">
            <v>technical</v>
          </cell>
          <cell r="L633" t="str">
            <v>テクニカルタイプ</v>
          </cell>
          <cell r="M633" t="str">
            <v>god</v>
          </cell>
          <cell r="N633" t="str">
            <v>ゴッド</v>
          </cell>
          <cell r="O633" t="str">
            <v>none</v>
          </cell>
          <cell r="P633" t="str">
            <v>種族なし</v>
          </cell>
          <cell r="Q633" t="str">
            <v>アタッカー</v>
          </cell>
          <cell r="R633">
            <v>3</v>
          </cell>
          <cell r="S633" t="str">
            <v>NULL</v>
          </cell>
          <cell r="T633" t="str">
            <v>normal</v>
          </cell>
          <cell r="U633" t="str">
            <v>NULL</v>
          </cell>
          <cell r="V633" t="str">
            <v>NULL</v>
          </cell>
          <cell r="W633" t="str">
            <v>NULL</v>
          </cell>
        </row>
        <row r="634">
          <cell r="A634">
            <v>633</v>
          </cell>
          <cell r="B634" t="str">
            <v>ja</v>
          </cell>
          <cell r="C634" t="str">
            <v>麗邸の遊撃守 エリゼ</v>
          </cell>
          <cell r="D634" t="str">
            <v>未定</v>
          </cell>
          <cell r="E634" t="str">
            <v>執行者</v>
          </cell>
          <cell r="F634" t="str">
            <v>格好いい</v>
          </cell>
          <cell r="G634" t="str">
            <v>不明</v>
          </cell>
          <cell r="H634" t="str">
            <v>blue</v>
          </cell>
          <cell r="I634">
            <v>6</v>
          </cell>
          <cell r="J634" t="str">
            <v>DropWizS</v>
          </cell>
          <cell r="K634" t="str">
            <v>balance</v>
          </cell>
          <cell r="L634" t="str">
            <v>バランスタイプ</v>
          </cell>
          <cell r="M634" t="str">
            <v>unknown</v>
          </cell>
          <cell r="N634" t="str">
            <v>Unknown</v>
          </cell>
          <cell r="O634" t="str">
            <v>none</v>
          </cell>
          <cell r="P634" t="str">
            <v>種族なし</v>
          </cell>
          <cell r="Q634" t="str">
            <v>アタッカー</v>
          </cell>
          <cell r="R634">
            <v>3</v>
          </cell>
          <cell r="S634" t="str">
            <v>NULL</v>
          </cell>
          <cell r="T634" t="str">
            <v>normal</v>
          </cell>
          <cell r="U634" t="str">
            <v>NULL</v>
          </cell>
          <cell r="V634" t="str">
            <v>NULL</v>
          </cell>
          <cell r="W634" t="str">
            <v>NULL</v>
          </cell>
        </row>
        <row r="635">
          <cell r="A635">
            <v>634</v>
          </cell>
          <cell r="B635" t="str">
            <v>ja</v>
          </cell>
          <cell r="C635" t="str">
            <v>赤ドラゴン</v>
          </cell>
          <cell r="D635" t="str">
            <v>未定</v>
          </cell>
          <cell r="E635" t="str">
            <v>執行者</v>
          </cell>
          <cell r="F635" t="str">
            <v>格好いい</v>
          </cell>
          <cell r="G635" t="str">
            <v>不明</v>
          </cell>
          <cell r="H635" t="str">
            <v>red</v>
          </cell>
          <cell r="I635">
            <v>4</v>
          </cell>
          <cell r="J635" t="str">
            <v>PremiumS</v>
          </cell>
          <cell r="K635" t="str">
            <v>attack</v>
          </cell>
          <cell r="L635" t="str">
            <v>攻撃タイプ</v>
          </cell>
          <cell r="M635" t="str">
            <v>dragon</v>
          </cell>
          <cell r="N635" t="str">
            <v>ドラゴン</v>
          </cell>
          <cell r="O635" t="str">
            <v>none</v>
          </cell>
          <cell r="P635" t="str">
            <v>種族なし</v>
          </cell>
          <cell r="Q635" t="str">
            <v>アタッカー</v>
          </cell>
          <cell r="R635">
            <v>1</v>
          </cell>
          <cell r="S635" t="str">
            <v>NULL</v>
          </cell>
          <cell r="T635" t="str">
            <v>normal</v>
          </cell>
          <cell r="U635" t="str">
            <v>NULL</v>
          </cell>
          <cell r="V635" t="str">
            <v>NULL</v>
          </cell>
          <cell r="W635" t="str">
            <v>NULL</v>
          </cell>
        </row>
        <row r="636">
          <cell r="A636">
            <v>635</v>
          </cell>
          <cell r="B636" t="str">
            <v>ja</v>
          </cell>
          <cell r="C636" t="str">
            <v>赤ドラゴン</v>
          </cell>
          <cell r="D636" t="str">
            <v>未定</v>
          </cell>
          <cell r="E636" t="str">
            <v>執行者</v>
          </cell>
          <cell r="F636" t="str">
            <v>格好いい</v>
          </cell>
          <cell r="G636" t="str">
            <v>不明</v>
          </cell>
          <cell r="H636" t="str">
            <v>red</v>
          </cell>
          <cell r="I636">
            <v>5</v>
          </cell>
          <cell r="J636" t="str">
            <v>PremiumS</v>
          </cell>
          <cell r="K636" t="str">
            <v>attack</v>
          </cell>
          <cell r="L636" t="str">
            <v>攻撃タイプ</v>
          </cell>
          <cell r="M636" t="str">
            <v>dragon</v>
          </cell>
          <cell r="N636" t="str">
            <v>ドラゴン</v>
          </cell>
          <cell r="O636" t="str">
            <v>none</v>
          </cell>
          <cell r="P636" t="str">
            <v>種族なし</v>
          </cell>
          <cell r="Q636" t="str">
            <v>アタッカー</v>
          </cell>
          <cell r="R636">
            <v>1</v>
          </cell>
          <cell r="S636" t="str">
            <v>NULL</v>
          </cell>
          <cell r="T636" t="str">
            <v>normal</v>
          </cell>
          <cell r="U636" t="str">
            <v>NULL</v>
          </cell>
          <cell r="V636" t="str">
            <v>NULL</v>
          </cell>
          <cell r="W636" t="str">
            <v>NULL</v>
          </cell>
        </row>
        <row r="637">
          <cell r="A637">
            <v>636</v>
          </cell>
          <cell r="B637" t="str">
            <v>ja</v>
          </cell>
          <cell r="C637" t="str">
            <v>ローズR3(旧)</v>
          </cell>
          <cell r="D637" t="str">
            <v>未定</v>
          </cell>
          <cell r="E637" t="str">
            <v>執行者</v>
          </cell>
          <cell r="F637" t="str">
            <v>格好いい</v>
          </cell>
          <cell r="G637" t="str">
            <v>不明</v>
          </cell>
          <cell r="H637" t="str">
            <v>red</v>
          </cell>
          <cell r="I637">
            <v>3</v>
          </cell>
          <cell r="J637" t="str">
            <v>DropWizSSS</v>
          </cell>
          <cell r="K637" t="str">
            <v>attack</v>
          </cell>
          <cell r="L637" t="str">
            <v>攻撃タイプ</v>
          </cell>
          <cell r="M637" t="str">
            <v>queen</v>
          </cell>
          <cell r="N637" t="str">
            <v>QUEEN</v>
          </cell>
          <cell r="O637" t="str">
            <v>demon</v>
          </cell>
          <cell r="P637" t="str">
            <v>デーモン</v>
          </cell>
          <cell r="Q637" t="str">
            <v>アタッカー</v>
          </cell>
          <cell r="R637">
            <v>1</v>
          </cell>
          <cell r="S637" t="str">
            <v>NULL</v>
          </cell>
          <cell r="T637" t="str">
            <v>normal</v>
          </cell>
          <cell r="U637" t="str">
            <v>NULL</v>
          </cell>
          <cell r="V637" t="str">
            <v>NULL</v>
          </cell>
          <cell r="W637" t="str">
            <v>NULL</v>
          </cell>
        </row>
        <row r="638">
          <cell r="A638">
            <v>637</v>
          </cell>
          <cell r="B638" t="str">
            <v>ja</v>
          </cell>
          <cell r="C638" t="str">
            <v>ローズR4(旧)</v>
          </cell>
          <cell r="D638" t="str">
            <v>未定</v>
          </cell>
          <cell r="E638" t="str">
            <v>執行者</v>
          </cell>
          <cell r="F638" t="str">
            <v>格好いい</v>
          </cell>
          <cell r="G638" t="str">
            <v>不明</v>
          </cell>
          <cell r="H638" t="str">
            <v>red</v>
          </cell>
          <cell r="I638">
            <v>4</v>
          </cell>
          <cell r="J638" t="str">
            <v>DropWizSSS</v>
          </cell>
          <cell r="K638" t="str">
            <v>attack</v>
          </cell>
          <cell r="L638" t="str">
            <v>攻撃タイプ</v>
          </cell>
          <cell r="M638" t="str">
            <v>queen</v>
          </cell>
          <cell r="N638" t="str">
            <v>QUEEN</v>
          </cell>
          <cell r="O638" t="str">
            <v>demon</v>
          </cell>
          <cell r="P638" t="str">
            <v>デーモン</v>
          </cell>
          <cell r="Q638" t="str">
            <v>アタッカー</v>
          </cell>
          <cell r="R638">
            <v>1</v>
          </cell>
          <cell r="S638" t="str">
            <v>NULL</v>
          </cell>
          <cell r="T638" t="str">
            <v>normal</v>
          </cell>
          <cell r="U638" t="str">
            <v>NULL</v>
          </cell>
          <cell r="V638" t="str">
            <v>NULL</v>
          </cell>
          <cell r="W638" t="str">
            <v>NULL</v>
          </cell>
        </row>
        <row r="639">
          <cell r="A639">
            <v>638</v>
          </cell>
          <cell r="B639" t="str">
            <v>ja</v>
          </cell>
          <cell r="C639" t="str">
            <v>神さま</v>
          </cell>
          <cell r="D639" t="str">
            <v>未定</v>
          </cell>
          <cell r="E639" t="str">
            <v>執行者</v>
          </cell>
          <cell r="F639" t="str">
            <v>格好いい</v>
          </cell>
          <cell r="G639" t="str">
            <v>不明</v>
          </cell>
          <cell r="H639" t="str">
            <v>yellow</v>
          </cell>
          <cell r="I639">
            <v>6</v>
          </cell>
          <cell r="J639" t="str">
            <v>DropWizS</v>
          </cell>
          <cell r="K639" t="str">
            <v>balance</v>
          </cell>
          <cell r="L639" t="str">
            <v>バランスタイプ</v>
          </cell>
          <cell r="M639" t="str">
            <v>god</v>
          </cell>
          <cell r="N639" t="str">
            <v>ゴッド</v>
          </cell>
          <cell r="O639" t="str">
            <v>none</v>
          </cell>
          <cell r="P639" t="str">
            <v>種族なし</v>
          </cell>
          <cell r="Q639" t="str">
            <v>アタッカー</v>
          </cell>
          <cell r="R639">
            <v>3</v>
          </cell>
          <cell r="S639" t="str">
            <v>NULL</v>
          </cell>
          <cell r="T639" t="str">
            <v>normal</v>
          </cell>
          <cell r="U639" t="str">
            <v>NULL</v>
          </cell>
          <cell r="V639" t="str">
            <v>NULL</v>
          </cell>
          <cell r="W639" t="str">
            <v>NULL</v>
          </cell>
        </row>
        <row r="640">
          <cell r="A640">
            <v>639</v>
          </cell>
          <cell r="B640" t="str">
            <v>ja</v>
          </cell>
          <cell r="C640" t="str">
            <v>看板娘</v>
          </cell>
          <cell r="D640" t="str">
            <v>未定</v>
          </cell>
          <cell r="E640" t="str">
            <v>執行者</v>
          </cell>
          <cell r="F640" t="str">
            <v>格好いい</v>
          </cell>
          <cell r="G640" t="str">
            <v>不明</v>
          </cell>
          <cell r="H640" t="str">
            <v>red</v>
          </cell>
          <cell r="I640">
            <v>5</v>
          </cell>
          <cell r="J640" t="str">
            <v>Drop2N</v>
          </cell>
          <cell r="K640" t="str">
            <v>balance</v>
          </cell>
          <cell r="L640" t="str">
            <v>バランスタイプ</v>
          </cell>
          <cell r="M640" t="str">
            <v>human</v>
          </cell>
          <cell r="N640" t="str">
            <v>ヒューマン</v>
          </cell>
          <cell r="O640" t="str">
            <v>unknown</v>
          </cell>
          <cell r="P640" t="str">
            <v>Unknown</v>
          </cell>
          <cell r="Q640" t="str">
            <v>アタッカー</v>
          </cell>
          <cell r="R640">
            <v>3</v>
          </cell>
          <cell r="S640" t="str">
            <v>NULL</v>
          </cell>
          <cell r="T640" t="str">
            <v>normal</v>
          </cell>
          <cell r="U640" t="str">
            <v>NULL</v>
          </cell>
          <cell r="V640" t="str">
            <v>NULL</v>
          </cell>
          <cell r="W640" t="str">
            <v>NULL</v>
          </cell>
        </row>
        <row r="641">
          <cell r="A641">
            <v>640</v>
          </cell>
          <cell r="B641" t="str">
            <v>ja</v>
          </cell>
          <cell r="C641" t="str">
            <v>ブラックマ</v>
          </cell>
          <cell r="D641" t="str">
            <v>未定</v>
          </cell>
          <cell r="E641" t="str">
            <v>執行者</v>
          </cell>
          <cell r="F641" t="str">
            <v>格好いい</v>
          </cell>
          <cell r="G641" t="str">
            <v>不明</v>
          </cell>
          <cell r="H641" t="str">
            <v>green</v>
          </cell>
          <cell r="I641">
            <v>5</v>
          </cell>
          <cell r="J641" t="str">
            <v>Drop2N</v>
          </cell>
          <cell r="K641" t="str">
            <v>balance</v>
          </cell>
          <cell r="L641" t="str">
            <v>バランスタイプ</v>
          </cell>
          <cell r="M641" t="str">
            <v>animal</v>
          </cell>
          <cell r="N641" t="str">
            <v>アニマル</v>
          </cell>
          <cell r="O641" t="str">
            <v>none</v>
          </cell>
          <cell r="P641" t="str">
            <v>種族なし</v>
          </cell>
          <cell r="Q641" t="str">
            <v>アタッカー</v>
          </cell>
          <cell r="R641">
            <v>3</v>
          </cell>
          <cell r="S641" t="str">
            <v>NULL</v>
          </cell>
          <cell r="T641" t="str">
            <v>normal</v>
          </cell>
          <cell r="U641" t="str">
            <v>NULL</v>
          </cell>
          <cell r="V641" t="str">
            <v>NULL</v>
          </cell>
          <cell r="W641" t="str">
            <v>NULL</v>
          </cell>
        </row>
        <row r="642">
          <cell r="A642">
            <v>641</v>
          </cell>
          <cell r="B642" t="str">
            <v>ja</v>
          </cell>
          <cell r="C642" t="str">
            <v>砦</v>
          </cell>
          <cell r="D642" t="str">
            <v>未定</v>
          </cell>
          <cell r="E642" t="str">
            <v>執行者</v>
          </cell>
          <cell r="F642" t="str">
            <v>格好いい</v>
          </cell>
          <cell r="G642" t="str">
            <v>不明</v>
          </cell>
          <cell r="H642" t="str">
            <v>blue</v>
          </cell>
          <cell r="I642">
            <v>5</v>
          </cell>
          <cell r="J642" t="str">
            <v>Drop2N</v>
          </cell>
          <cell r="K642" t="str">
            <v>balance</v>
          </cell>
          <cell r="L642" t="str">
            <v>バランスタイプ</v>
          </cell>
          <cell r="M642" t="str">
            <v>unknown</v>
          </cell>
          <cell r="N642" t="str">
            <v>Unknown</v>
          </cell>
          <cell r="O642" t="str">
            <v>none</v>
          </cell>
          <cell r="P642" t="str">
            <v>種族なし</v>
          </cell>
          <cell r="Q642" t="str">
            <v>アタッカー</v>
          </cell>
          <cell r="R642">
            <v>3</v>
          </cell>
          <cell r="S642" t="str">
            <v>NULL</v>
          </cell>
          <cell r="T642" t="str">
            <v>normal</v>
          </cell>
          <cell r="U642" t="str">
            <v>NULL</v>
          </cell>
          <cell r="V642" t="str">
            <v>NULL</v>
          </cell>
          <cell r="W642" t="str">
            <v>NULL</v>
          </cell>
        </row>
        <row r="643">
          <cell r="A643">
            <v>642</v>
          </cell>
          <cell r="B643" t="str">
            <v>ja</v>
          </cell>
          <cell r="C643" t="str">
            <v>カーマ</v>
          </cell>
          <cell r="D643" t="str">
            <v>イベント:ウィザード</v>
          </cell>
          <cell r="E643" t="str">
            <v>執行者</v>
          </cell>
          <cell r="F643" t="str">
            <v>格好いい</v>
          </cell>
          <cell r="G643" t="str">
            <v>男性</v>
          </cell>
          <cell r="H643" t="str">
            <v>red</v>
          </cell>
          <cell r="I643">
            <v>4</v>
          </cell>
          <cell r="J643" t="str">
            <v>DropWizS</v>
          </cell>
          <cell r="K643" t="str">
            <v>balance</v>
          </cell>
          <cell r="L643" t="str">
            <v>バランスタイプ</v>
          </cell>
          <cell r="M643" t="str">
            <v>god</v>
          </cell>
          <cell r="N643" t="str">
            <v>ゴッド</v>
          </cell>
          <cell r="O643" t="str">
            <v>none</v>
          </cell>
          <cell r="P643" t="str">
            <v>種族なし</v>
          </cell>
          <cell r="Q643" t="str">
            <v>アタッカー</v>
          </cell>
          <cell r="R643">
            <v>3</v>
          </cell>
          <cell r="S643" t="str">
            <v>NULL</v>
          </cell>
          <cell r="T643" t="str">
            <v>normal</v>
          </cell>
          <cell r="U643" t="str">
            <v>NULL</v>
          </cell>
          <cell r="V643" t="str">
            <v>NULL</v>
          </cell>
          <cell r="W643" t="str">
            <v>NULL</v>
          </cell>
        </row>
        <row r="644">
          <cell r="A644">
            <v>643</v>
          </cell>
          <cell r="B644" t="str">
            <v>ja</v>
          </cell>
          <cell r="C644" t="str">
            <v>愛花天神 カーマ</v>
          </cell>
          <cell r="D644" t="str">
            <v>イベント:ウィザード</v>
          </cell>
          <cell r="E644" t="str">
            <v>執行者</v>
          </cell>
          <cell r="F644" t="str">
            <v>格好いい</v>
          </cell>
          <cell r="G644" t="str">
            <v>男性</v>
          </cell>
          <cell r="H644" t="str">
            <v>red</v>
          </cell>
          <cell r="I644">
            <v>5</v>
          </cell>
          <cell r="J644" t="str">
            <v>DropWizS</v>
          </cell>
          <cell r="K644" t="str">
            <v>balance</v>
          </cell>
          <cell r="L644" t="str">
            <v>バランスタイプ</v>
          </cell>
          <cell r="M644" t="str">
            <v>god</v>
          </cell>
          <cell r="N644" t="str">
            <v>ゴッド</v>
          </cell>
          <cell r="O644" t="str">
            <v>none</v>
          </cell>
          <cell r="P644" t="str">
            <v>種族なし</v>
          </cell>
          <cell r="Q644" t="str">
            <v>アタッカー</v>
          </cell>
          <cell r="R644">
            <v>3</v>
          </cell>
          <cell r="S644" t="str">
            <v>NULL</v>
          </cell>
          <cell r="T644" t="str">
            <v>normal</v>
          </cell>
          <cell r="U644" t="str">
            <v>NULL</v>
          </cell>
          <cell r="V644" t="str">
            <v>NULL</v>
          </cell>
          <cell r="W644" t="str">
            <v>NULL</v>
          </cell>
        </row>
        <row r="645">
          <cell r="A645">
            <v>644</v>
          </cell>
          <cell r="B645" t="str">
            <v>ja</v>
          </cell>
          <cell r="C645" t="str">
            <v>滑瓢 ショウキ</v>
          </cell>
          <cell r="D645" t="str">
            <v>イベント:ウィザード</v>
          </cell>
          <cell r="E645" t="str">
            <v>執行者</v>
          </cell>
          <cell r="F645" t="str">
            <v>格好いい</v>
          </cell>
          <cell r="G645" t="str">
            <v>男性</v>
          </cell>
          <cell r="H645" t="str">
            <v>green</v>
          </cell>
          <cell r="I645">
            <v>4</v>
          </cell>
          <cell r="J645" t="str">
            <v>DropWizS</v>
          </cell>
          <cell r="K645" t="str">
            <v>technical</v>
          </cell>
          <cell r="L645" t="str">
            <v>テクニカルタイプ</v>
          </cell>
          <cell r="M645" t="str">
            <v>human</v>
          </cell>
          <cell r="N645" t="str">
            <v>ヒューマン</v>
          </cell>
          <cell r="O645" t="str">
            <v>unknown</v>
          </cell>
          <cell r="P645" t="str">
            <v>Unknown</v>
          </cell>
          <cell r="Q645" t="str">
            <v>アタッカー</v>
          </cell>
          <cell r="R645">
            <v>3</v>
          </cell>
          <cell r="S645" t="str">
            <v>NULL</v>
          </cell>
          <cell r="T645" t="str">
            <v>normal</v>
          </cell>
          <cell r="U645" t="str">
            <v>NULL</v>
          </cell>
          <cell r="V645" t="str">
            <v>NULL</v>
          </cell>
          <cell r="W645" t="str">
            <v>NULL</v>
          </cell>
        </row>
        <row r="646">
          <cell r="A646">
            <v>645</v>
          </cell>
          <cell r="B646" t="str">
            <v>ja</v>
          </cell>
          <cell r="C646" t="str">
            <v>百鬼夜行の創大将 ショウキ</v>
          </cell>
          <cell r="D646" t="str">
            <v>イベント:ウィザード</v>
          </cell>
          <cell r="E646" t="str">
            <v>執行者</v>
          </cell>
          <cell r="F646" t="str">
            <v>格好いい</v>
          </cell>
          <cell r="G646" t="str">
            <v>男性</v>
          </cell>
          <cell r="H646" t="str">
            <v>green</v>
          </cell>
          <cell r="I646">
            <v>5</v>
          </cell>
          <cell r="J646" t="str">
            <v>DropWizS</v>
          </cell>
          <cell r="K646" t="str">
            <v>technical</v>
          </cell>
          <cell r="L646" t="str">
            <v>テクニカルタイプ</v>
          </cell>
          <cell r="M646" t="str">
            <v>human</v>
          </cell>
          <cell r="N646" t="str">
            <v>ヒューマン</v>
          </cell>
          <cell r="O646" t="str">
            <v>unknown</v>
          </cell>
          <cell r="P646" t="str">
            <v>Unknown</v>
          </cell>
          <cell r="Q646" t="str">
            <v>アタッカー</v>
          </cell>
          <cell r="R646">
            <v>3</v>
          </cell>
          <cell r="S646" t="str">
            <v>NULL</v>
          </cell>
          <cell r="T646" t="str">
            <v>normal</v>
          </cell>
          <cell r="U646" t="str">
            <v>NULL</v>
          </cell>
          <cell r="V646" t="str">
            <v>NULL</v>
          </cell>
          <cell r="W646" t="str">
            <v>NULL</v>
          </cell>
        </row>
        <row r="647">
          <cell r="A647">
            <v>646</v>
          </cell>
          <cell r="B647" t="str">
            <v>ja</v>
          </cell>
          <cell r="C647" t="str">
            <v>雪女 ユキ</v>
          </cell>
          <cell r="D647" t="str">
            <v>イベント:妖怪01</v>
          </cell>
          <cell r="E647" t="str">
            <v>執行者</v>
          </cell>
          <cell r="F647" t="str">
            <v>格好いい</v>
          </cell>
          <cell r="G647" t="str">
            <v>女性</v>
          </cell>
          <cell r="H647" t="str">
            <v>blue</v>
          </cell>
          <cell r="I647">
            <v>4</v>
          </cell>
          <cell r="J647" t="str">
            <v>Drop2N</v>
          </cell>
          <cell r="K647" t="str">
            <v>balance</v>
          </cell>
          <cell r="L647" t="str">
            <v>バランスタイプ</v>
          </cell>
          <cell r="M647" t="str">
            <v>unknown</v>
          </cell>
          <cell r="N647" t="str">
            <v>Unknown</v>
          </cell>
          <cell r="O647" t="str">
            <v>none</v>
          </cell>
          <cell r="P647" t="str">
            <v>種族なし</v>
          </cell>
          <cell r="Q647" t="str">
            <v>アタッカー</v>
          </cell>
          <cell r="R647">
            <v>3</v>
          </cell>
          <cell r="S647" t="str">
            <v>NULL</v>
          </cell>
          <cell r="T647" t="str">
            <v>normal</v>
          </cell>
          <cell r="U647" t="str">
            <v>NULL</v>
          </cell>
          <cell r="V647" t="str">
            <v>NULL</v>
          </cell>
          <cell r="W647" t="str">
            <v>NULL</v>
          </cell>
        </row>
        <row r="648">
          <cell r="A648">
            <v>647</v>
          </cell>
          <cell r="B648" t="str">
            <v>ja</v>
          </cell>
          <cell r="C648" t="str">
            <v>氷麗の雪化生 ユキ</v>
          </cell>
          <cell r="D648" t="str">
            <v>イベント:妖怪01</v>
          </cell>
          <cell r="E648" t="str">
            <v>執行者</v>
          </cell>
          <cell r="F648" t="str">
            <v>格好いい</v>
          </cell>
          <cell r="G648" t="str">
            <v>女性</v>
          </cell>
          <cell r="H648" t="str">
            <v>blue</v>
          </cell>
          <cell r="I648">
            <v>5</v>
          </cell>
          <cell r="J648" t="str">
            <v>Drop2N</v>
          </cell>
          <cell r="K648" t="str">
            <v>balance</v>
          </cell>
          <cell r="L648" t="str">
            <v>バランスタイプ</v>
          </cell>
          <cell r="M648" t="str">
            <v>unknown</v>
          </cell>
          <cell r="N648" t="str">
            <v>Unknown</v>
          </cell>
          <cell r="O648" t="str">
            <v>none</v>
          </cell>
          <cell r="P648" t="str">
            <v>種族なし</v>
          </cell>
          <cell r="Q648" t="str">
            <v>アタッカー</v>
          </cell>
          <cell r="R648">
            <v>3</v>
          </cell>
          <cell r="S648" t="str">
            <v>NULL</v>
          </cell>
          <cell r="T648" t="str">
            <v>normal</v>
          </cell>
          <cell r="U648" t="str">
            <v>NULL</v>
          </cell>
          <cell r="V648" t="str">
            <v>NULL</v>
          </cell>
          <cell r="W648" t="str">
            <v>NULL</v>
          </cell>
        </row>
        <row r="649">
          <cell r="A649">
            <v>648</v>
          </cell>
          <cell r="B649" t="str">
            <v>ja</v>
          </cell>
          <cell r="C649" t="str">
            <v>パールヴァティ</v>
          </cell>
          <cell r="D649" t="str">
            <v>イベント:ヒンドゥー01</v>
          </cell>
          <cell r="E649" t="str">
            <v>執行者</v>
          </cell>
          <cell r="F649" t="str">
            <v>格好いい</v>
          </cell>
          <cell r="G649" t="str">
            <v>女性</v>
          </cell>
          <cell r="H649" t="str">
            <v>blue</v>
          </cell>
          <cell r="I649">
            <v>4</v>
          </cell>
          <cell r="J649" t="str">
            <v>DropWizS</v>
          </cell>
          <cell r="K649" t="str">
            <v>heal</v>
          </cell>
          <cell r="L649" t="str">
            <v>回復タイプ</v>
          </cell>
          <cell r="M649" t="str">
            <v>god</v>
          </cell>
          <cell r="N649" t="str">
            <v>ゴッド</v>
          </cell>
          <cell r="O649" t="str">
            <v>none</v>
          </cell>
          <cell r="P649" t="str">
            <v>種族なし</v>
          </cell>
          <cell r="Q649" t="str">
            <v>アタッカー</v>
          </cell>
          <cell r="R649">
            <v>3</v>
          </cell>
          <cell r="S649" t="str">
            <v>NULL</v>
          </cell>
          <cell r="T649" t="str">
            <v>normal</v>
          </cell>
          <cell r="U649" t="str">
            <v>NULL</v>
          </cell>
          <cell r="V649" t="str">
            <v>NULL</v>
          </cell>
          <cell r="W649" t="str">
            <v>NULL</v>
          </cell>
        </row>
        <row r="650">
          <cell r="A650">
            <v>649</v>
          </cell>
          <cell r="B650" t="str">
            <v>ja</v>
          </cell>
          <cell r="C650" t="str">
            <v>寄咲く一輪華 パールヴァティ</v>
          </cell>
          <cell r="D650" t="str">
            <v>イベント:ヒンドゥー01</v>
          </cell>
          <cell r="E650" t="str">
            <v>執行者</v>
          </cell>
          <cell r="F650" t="str">
            <v>格好いい</v>
          </cell>
          <cell r="G650" t="str">
            <v>女性</v>
          </cell>
          <cell r="H650" t="str">
            <v>blue</v>
          </cell>
          <cell r="I650">
            <v>5</v>
          </cell>
          <cell r="J650" t="str">
            <v>DropWizS</v>
          </cell>
          <cell r="K650" t="str">
            <v>heal</v>
          </cell>
          <cell r="L650" t="str">
            <v>回復タイプ</v>
          </cell>
          <cell r="M650" t="str">
            <v>god</v>
          </cell>
          <cell r="N650" t="str">
            <v>ゴッド</v>
          </cell>
          <cell r="O650" t="str">
            <v>none</v>
          </cell>
          <cell r="P650" t="str">
            <v>種族なし</v>
          </cell>
          <cell r="Q650" t="str">
            <v>アタッカー</v>
          </cell>
          <cell r="R650">
            <v>3</v>
          </cell>
          <cell r="S650" t="str">
            <v>NULL</v>
          </cell>
          <cell r="T650" t="str">
            <v>normal</v>
          </cell>
          <cell r="U650" t="str">
            <v>NULL</v>
          </cell>
          <cell r="V650" t="str">
            <v>NULL</v>
          </cell>
          <cell r="W650" t="str">
            <v>NULL</v>
          </cell>
        </row>
        <row r="651">
          <cell r="A651">
            <v>650</v>
          </cell>
          <cell r="B651" t="str">
            <v>ja</v>
          </cell>
          <cell r="C651" t="str">
            <v>土蜘蛛 ユウヤ</v>
          </cell>
          <cell r="D651" t="str">
            <v>イベント:妖怪01</v>
          </cell>
          <cell r="E651" t="str">
            <v>執行者</v>
          </cell>
          <cell r="F651" t="str">
            <v>格好いい</v>
          </cell>
          <cell r="G651" t="str">
            <v>男性</v>
          </cell>
          <cell r="H651" t="str">
            <v>yellow</v>
          </cell>
          <cell r="I651">
            <v>4</v>
          </cell>
          <cell r="J651" t="str">
            <v>Drop2N</v>
          </cell>
          <cell r="K651" t="str">
            <v>technical</v>
          </cell>
          <cell r="L651" t="str">
            <v>テクニカルタイプ</v>
          </cell>
          <cell r="M651" t="str">
            <v>animal</v>
          </cell>
          <cell r="N651" t="str">
            <v>アニマル</v>
          </cell>
          <cell r="O651" t="str">
            <v>unknown</v>
          </cell>
          <cell r="P651" t="str">
            <v>Unknown</v>
          </cell>
          <cell r="Q651" t="str">
            <v>アタッカー</v>
          </cell>
          <cell r="R651">
            <v>3</v>
          </cell>
          <cell r="S651" t="str">
            <v>NULL</v>
          </cell>
          <cell r="T651" t="str">
            <v>normal</v>
          </cell>
          <cell r="U651" t="str">
            <v>NULL</v>
          </cell>
          <cell r="V651" t="str">
            <v>NULL</v>
          </cell>
          <cell r="W651" t="str">
            <v>NULL</v>
          </cell>
        </row>
        <row r="652">
          <cell r="A652">
            <v>651</v>
          </cell>
          <cell r="B652" t="str">
            <v>ja</v>
          </cell>
          <cell r="C652" t="str">
            <v>八重祟障 ユウヤ</v>
          </cell>
          <cell r="D652" t="str">
            <v>イベント:妖怪01</v>
          </cell>
          <cell r="E652" t="str">
            <v>執行者</v>
          </cell>
          <cell r="F652" t="str">
            <v>格好いい</v>
          </cell>
          <cell r="G652" t="str">
            <v>男性</v>
          </cell>
          <cell r="H652" t="str">
            <v>yellow</v>
          </cell>
          <cell r="I652">
            <v>5</v>
          </cell>
          <cell r="J652" t="str">
            <v>Drop2N</v>
          </cell>
          <cell r="K652" t="str">
            <v>technical</v>
          </cell>
          <cell r="L652" t="str">
            <v>テクニカルタイプ</v>
          </cell>
          <cell r="M652" t="str">
            <v>animal</v>
          </cell>
          <cell r="N652" t="str">
            <v>アニマル</v>
          </cell>
          <cell r="O652" t="str">
            <v>unknown</v>
          </cell>
          <cell r="P652" t="str">
            <v>Unknown</v>
          </cell>
          <cell r="Q652" t="str">
            <v>アタッカー</v>
          </cell>
          <cell r="R652">
            <v>3</v>
          </cell>
          <cell r="S652" t="str">
            <v>NULL</v>
          </cell>
          <cell r="T652" t="str">
            <v>normal</v>
          </cell>
          <cell r="U652" t="str">
            <v>NULL</v>
          </cell>
          <cell r="V652" t="str">
            <v>NULL</v>
          </cell>
          <cell r="W652" t="str">
            <v>NULL</v>
          </cell>
        </row>
        <row r="653">
          <cell r="A653">
            <v>652</v>
          </cell>
          <cell r="B653" t="str">
            <v>ja</v>
          </cell>
          <cell r="C653" t="str">
            <v>アナンタ</v>
          </cell>
          <cell r="D653" t="str">
            <v>イベント:ヒンドゥー01</v>
          </cell>
          <cell r="E653" t="str">
            <v>執行者</v>
          </cell>
          <cell r="F653" t="str">
            <v>格好いい</v>
          </cell>
          <cell r="G653" t="str">
            <v>不明</v>
          </cell>
          <cell r="H653" t="str">
            <v>yellow</v>
          </cell>
          <cell r="I653">
            <v>4</v>
          </cell>
          <cell r="J653" t="str">
            <v>Drop2N</v>
          </cell>
          <cell r="K653" t="str">
            <v>hp</v>
          </cell>
          <cell r="L653" t="str">
            <v>体力タイプ</v>
          </cell>
          <cell r="M653" t="str">
            <v>dragon</v>
          </cell>
          <cell r="N653" t="str">
            <v>ドラゴン</v>
          </cell>
          <cell r="O653" t="str">
            <v>none</v>
          </cell>
          <cell r="P653" t="str">
            <v>種族なし</v>
          </cell>
          <cell r="Q653" t="str">
            <v>アタッカー</v>
          </cell>
          <cell r="R653">
            <v>3</v>
          </cell>
          <cell r="S653" t="str">
            <v>NULL</v>
          </cell>
          <cell r="T653" t="str">
            <v>normal</v>
          </cell>
          <cell r="U653" t="str">
            <v>NULL</v>
          </cell>
          <cell r="V653" t="str">
            <v>NULL</v>
          </cell>
          <cell r="W653" t="str">
            <v>NULL</v>
          </cell>
        </row>
        <row r="654">
          <cell r="A654">
            <v>653</v>
          </cell>
          <cell r="B654" t="str">
            <v>ja</v>
          </cell>
          <cell r="C654" t="str">
            <v>悠久の狡蛇 アナンタ</v>
          </cell>
          <cell r="D654" t="str">
            <v>イベント:ヒンドゥー01</v>
          </cell>
          <cell r="E654" t="str">
            <v>執行者</v>
          </cell>
          <cell r="F654" t="str">
            <v>格好いい</v>
          </cell>
          <cell r="G654" t="str">
            <v>不明</v>
          </cell>
          <cell r="H654" t="str">
            <v>yellow</v>
          </cell>
          <cell r="I654">
            <v>5</v>
          </cell>
          <cell r="J654" t="str">
            <v>Drop2N</v>
          </cell>
          <cell r="K654" t="str">
            <v>hp</v>
          </cell>
          <cell r="L654" t="str">
            <v>体力タイプ</v>
          </cell>
          <cell r="M654" t="str">
            <v>dragon</v>
          </cell>
          <cell r="N654" t="str">
            <v>ドラゴン</v>
          </cell>
          <cell r="O654" t="str">
            <v>none</v>
          </cell>
          <cell r="P654" t="str">
            <v>種族なし</v>
          </cell>
          <cell r="Q654" t="str">
            <v>アタッカー</v>
          </cell>
          <cell r="R654">
            <v>3</v>
          </cell>
          <cell r="S654" t="str">
            <v>NULL</v>
          </cell>
          <cell r="T654" t="str">
            <v>normal</v>
          </cell>
          <cell r="U654" t="str">
            <v>NULL</v>
          </cell>
          <cell r="V654" t="str">
            <v>NULL</v>
          </cell>
          <cell r="W654" t="str">
            <v>NULL</v>
          </cell>
        </row>
        <row r="655">
          <cell r="A655">
            <v>654</v>
          </cell>
          <cell r="B655" t="str">
            <v>ja</v>
          </cell>
          <cell r="C655" t="str">
            <v>酒呑童子 ヨミ</v>
          </cell>
          <cell r="D655" t="str">
            <v>イベント:ウィザード</v>
          </cell>
          <cell r="E655" t="str">
            <v>執行者</v>
          </cell>
          <cell r="F655" t="str">
            <v>格好いい</v>
          </cell>
          <cell r="G655" t="str">
            <v>女性</v>
          </cell>
          <cell r="H655" t="str">
            <v>yellow</v>
          </cell>
          <cell r="I655">
            <v>4</v>
          </cell>
          <cell r="J655" t="str">
            <v>DropWizS</v>
          </cell>
          <cell r="K655" t="str">
            <v>attack</v>
          </cell>
          <cell r="L655" t="str">
            <v>攻撃タイプ</v>
          </cell>
          <cell r="M655" t="str">
            <v>god</v>
          </cell>
          <cell r="N655" t="str">
            <v>ゴッド</v>
          </cell>
          <cell r="O655" t="str">
            <v>unknown</v>
          </cell>
          <cell r="P655" t="str">
            <v>Unknown</v>
          </cell>
          <cell r="Q655" t="str">
            <v>アタッカー</v>
          </cell>
          <cell r="R655">
            <v>3</v>
          </cell>
          <cell r="S655" t="str">
            <v>NULL</v>
          </cell>
          <cell r="T655" t="str">
            <v>normal</v>
          </cell>
          <cell r="U655" t="str">
            <v>NULL</v>
          </cell>
          <cell r="V655" t="str">
            <v>NULL</v>
          </cell>
          <cell r="W655" t="str">
            <v>NULL</v>
          </cell>
        </row>
        <row r="656">
          <cell r="A656">
            <v>655</v>
          </cell>
          <cell r="B656" t="str">
            <v>ja</v>
          </cell>
          <cell r="C656" t="str">
            <v>桜花舞う嵐鬼神 ヨミ</v>
          </cell>
          <cell r="D656" t="str">
            <v>イベント:ウィザード</v>
          </cell>
          <cell r="E656" t="str">
            <v>執行者</v>
          </cell>
          <cell r="F656" t="str">
            <v>格好いい</v>
          </cell>
          <cell r="G656" t="str">
            <v>女性</v>
          </cell>
          <cell r="H656" t="str">
            <v>yellow</v>
          </cell>
          <cell r="I656">
            <v>5</v>
          </cell>
          <cell r="J656" t="str">
            <v>DropWizS</v>
          </cell>
          <cell r="K656" t="str">
            <v>attack</v>
          </cell>
          <cell r="L656" t="str">
            <v>攻撃タイプ</v>
          </cell>
          <cell r="M656" t="str">
            <v>god</v>
          </cell>
          <cell r="N656" t="str">
            <v>ゴッド</v>
          </cell>
          <cell r="O656" t="str">
            <v>unknown</v>
          </cell>
          <cell r="P656" t="str">
            <v>Unknown</v>
          </cell>
          <cell r="Q656" t="str">
            <v>アタッカー</v>
          </cell>
          <cell r="R656">
            <v>3</v>
          </cell>
          <cell r="S656" t="str">
            <v>NULL</v>
          </cell>
          <cell r="T656" t="str">
            <v>normal</v>
          </cell>
          <cell r="U656" t="str">
            <v>NULL</v>
          </cell>
          <cell r="V656" t="str">
            <v>NULL</v>
          </cell>
          <cell r="W656" t="str">
            <v>NULL</v>
          </cell>
        </row>
        <row r="657">
          <cell r="A657">
            <v>656</v>
          </cell>
          <cell r="B657" t="str">
            <v>ja</v>
          </cell>
          <cell r="C657" t="str">
            <v>シヴァ</v>
          </cell>
          <cell r="D657" t="str">
            <v>イベント:ウィザード</v>
          </cell>
          <cell r="E657" t="str">
            <v>執行者</v>
          </cell>
          <cell r="F657" t="str">
            <v>格好いい</v>
          </cell>
          <cell r="G657" t="str">
            <v>男性</v>
          </cell>
          <cell r="H657" t="str">
            <v>blue</v>
          </cell>
          <cell r="I657">
            <v>4</v>
          </cell>
          <cell r="J657" t="str">
            <v>DropWizS</v>
          </cell>
          <cell r="K657" t="str">
            <v>balance</v>
          </cell>
          <cell r="L657" t="str">
            <v>バランスタイプ</v>
          </cell>
          <cell r="M657" t="str">
            <v>god</v>
          </cell>
          <cell r="N657" t="str">
            <v>ゴッド</v>
          </cell>
          <cell r="O657" t="str">
            <v>none</v>
          </cell>
          <cell r="P657" t="str">
            <v>種族なし</v>
          </cell>
          <cell r="Q657" t="str">
            <v>アタッカー</v>
          </cell>
          <cell r="R657">
            <v>3</v>
          </cell>
          <cell r="S657" t="str">
            <v>NULL</v>
          </cell>
          <cell r="T657" t="str">
            <v>normal</v>
          </cell>
          <cell r="U657" t="str">
            <v>NULL</v>
          </cell>
          <cell r="V657" t="str">
            <v>NULL</v>
          </cell>
          <cell r="W657" t="str">
            <v>NULL</v>
          </cell>
        </row>
        <row r="658">
          <cell r="A658">
            <v>657</v>
          </cell>
          <cell r="B658" t="str">
            <v>ja</v>
          </cell>
          <cell r="C658" t="str">
            <v>解滅の裁神 シヴァ</v>
          </cell>
          <cell r="D658" t="str">
            <v>イベント:ウィザード</v>
          </cell>
          <cell r="E658" t="str">
            <v>執行者</v>
          </cell>
          <cell r="F658" t="str">
            <v>格好いい</v>
          </cell>
          <cell r="G658" t="str">
            <v>男性</v>
          </cell>
          <cell r="H658" t="str">
            <v>blue</v>
          </cell>
          <cell r="I658">
            <v>5</v>
          </cell>
          <cell r="J658" t="str">
            <v>DropWizS</v>
          </cell>
          <cell r="K658" t="str">
            <v>balance</v>
          </cell>
          <cell r="L658" t="str">
            <v>バランスタイプ</v>
          </cell>
          <cell r="M658" t="str">
            <v>god</v>
          </cell>
          <cell r="N658" t="str">
            <v>ゴッド</v>
          </cell>
          <cell r="O658" t="str">
            <v>none</v>
          </cell>
          <cell r="P658" t="str">
            <v>種族なし</v>
          </cell>
          <cell r="Q658" t="str">
            <v>アタッカー</v>
          </cell>
          <cell r="R658">
            <v>3</v>
          </cell>
          <cell r="S658" t="str">
            <v>NULL</v>
          </cell>
          <cell r="T658" t="str">
            <v>normal</v>
          </cell>
          <cell r="U658" t="str">
            <v>NULL</v>
          </cell>
          <cell r="V658" t="str">
            <v>NULL</v>
          </cell>
          <cell r="W658" t="str">
            <v>NULL</v>
          </cell>
        </row>
        <row r="659">
          <cell r="A659">
            <v>658</v>
          </cell>
          <cell r="B659" t="str">
            <v>ja</v>
          </cell>
          <cell r="C659" t="str">
            <v>猫又 クルミ</v>
          </cell>
          <cell r="D659" t="str">
            <v>ガチャ:妖怪01</v>
          </cell>
          <cell r="E659" t="str">
            <v>執行者</v>
          </cell>
          <cell r="F659" t="str">
            <v>格好いい</v>
          </cell>
          <cell r="G659" t="str">
            <v>女性</v>
          </cell>
          <cell r="H659" t="str">
            <v>red</v>
          </cell>
          <cell r="I659">
            <v>4</v>
          </cell>
          <cell r="J659" t="str">
            <v>PremiumSS</v>
          </cell>
          <cell r="K659" t="str">
            <v>attack</v>
          </cell>
          <cell r="L659" t="str">
            <v>攻撃タイプ</v>
          </cell>
          <cell r="M659" t="str">
            <v>animal</v>
          </cell>
          <cell r="N659" t="str">
            <v>アニマル</v>
          </cell>
          <cell r="O659" t="str">
            <v>unknown</v>
          </cell>
          <cell r="P659" t="str">
            <v>Unknown</v>
          </cell>
          <cell r="Q659" t="str">
            <v>アタッカー</v>
          </cell>
          <cell r="R659">
            <v>3</v>
          </cell>
          <cell r="S659" t="str">
            <v>NULL</v>
          </cell>
          <cell r="T659" t="str">
            <v>normal</v>
          </cell>
          <cell r="U659" t="str">
            <v>NULL</v>
          </cell>
          <cell r="V659" t="str">
            <v>NULL</v>
          </cell>
          <cell r="W659" t="str">
            <v>NULL</v>
          </cell>
        </row>
        <row r="660">
          <cell r="A660">
            <v>659</v>
          </cell>
          <cell r="B660" t="str">
            <v>ja</v>
          </cell>
          <cell r="C660" t="str">
            <v>跳梁する化猫 クルミ</v>
          </cell>
          <cell r="D660" t="str">
            <v>ガチャ:妖怪01</v>
          </cell>
          <cell r="E660" t="str">
            <v>執行者</v>
          </cell>
          <cell r="F660" t="str">
            <v>格好いい</v>
          </cell>
          <cell r="G660" t="str">
            <v>女性</v>
          </cell>
          <cell r="H660" t="str">
            <v>red</v>
          </cell>
          <cell r="I660">
            <v>5</v>
          </cell>
          <cell r="J660" t="str">
            <v>PremiumSS</v>
          </cell>
          <cell r="K660" t="str">
            <v>attack</v>
          </cell>
          <cell r="L660" t="str">
            <v>攻撃タイプ</v>
          </cell>
          <cell r="M660" t="str">
            <v>animal</v>
          </cell>
          <cell r="N660" t="str">
            <v>アニマル</v>
          </cell>
          <cell r="O660" t="str">
            <v>unknown</v>
          </cell>
          <cell r="P660" t="str">
            <v>Unknown</v>
          </cell>
          <cell r="Q660" t="str">
            <v>アタッカー</v>
          </cell>
          <cell r="R660">
            <v>3</v>
          </cell>
          <cell r="S660" t="str">
            <v>NULL</v>
          </cell>
          <cell r="T660" t="str">
            <v>normal</v>
          </cell>
          <cell r="U660" t="str">
            <v>NULL</v>
          </cell>
          <cell r="V660" t="str">
            <v>NULL</v>
          </cell>
          <cell r="W660" t="str">
            <v>NULL</v>
          </cell>
        </row>
        <row r="661">
          <cell r="A661">
            <v>660</v>
          </cell>
          <cell r="B661" t="str">
            <v>ja</v>
          </cell>
          <cell r="C661" t="str">
            <v>烏天狗 フウガ</v>
          </cell>
          <cell r="D661" t="str">
            <v>ガチャ:妖怪01</v>
          </cell>
          <cell r="E661" t="str">
            <v>執行者</v>
          </cell>
          <cell r="F661" t="str">
            <v>格好いい</v>
          </cell>
          <cell r="G661" t="str">
            <v>男性</v>
          </cell>
          <cell r="H661" t="str">
            <v>green</v>
          </cell>
          <cell r="I661">
            <v>4</v>
          </cell>
          <cell r="J661" t="str">
            <v>PremiumSS</v>
          </cell>
          <cell r="K661" t="str">
            <v>balance</v>
          </cell>
          <cell r="L661" t="str">
            <v>バランスタイプ</v>
          </cell>
          <cell r="M661" t="str">
            <v>animal</v>
          </cell>
          <cell r="N661" t="str">
            <v>アニマル</v>
          </cell>
          <cell r="O661" t="str">
            <v>unknown</v>
          </cell>
          <cell r="P661" t="str">
            <v>Unknown</v>
          </cell>
          <cell r="Q661" t="str">
            <v>アタッカー</v>
          </cell>
          <cell r="R661">
            <v>3</v>
          </cell>
          <cell r="S661" t="str">
            <v>NULL</v>
          </cell>
          <cell r="T661" t="str">
            <v>normal</v>
          </cell>
          <cell r="U661" t="str">
            <v>NULL</v>
          </cell>
          <cell r="V661" t="str">
            <v>NULL</v>
          </cell>
          <cell r="W661" t="str">
            <v>NULL</v>
          </cell>
        </row>
        <row r="662">
          <cell r="A662">
            <v>661</v>
          </cell>
          <cell r="B662" t="str">
            <v>ja</v>
          </cell>
          <cell r="C662" t="str">
            <v>疾風の天狗礫 フウガ</v>
          </cell>
          <cell r="D662" t="str">
            <v>ガチャ:妖怪01</v>
          </cell>
          <cell r="E662" t="str">
            <v>執行者</v>
          </cell>
          <cell r="F662" t="str">
            <v>格好いい</v>
          </cell>
          <cell r="G662" t="str">
            <v>男性</v>
          </cell>
          <cell r="H662" t="str">
            <v>green</v>
          </cell>
          <cell r="I662">
            <v>5</v>
          </cell>
          <cell r="J662" t="str">
            <v>PremiumSS</v>
          </cell>
          <cell r="K662" t="str">
            <v>balance</v>
          </cell>
          <cell r="L662" t="str">
            <v>バランスタイプ</v>
          </cell>
          <cell r="M662" t="str">
            <v>animal</v>
          </cell>
          <cell r="N662" t="str">
            <v>アニマル</v>
          </cell>
          <cell r="O662" t="str">
            <v>unknown</v>
          </cell>
          <cell r="P662" t="str">
            <v>Unknown</v>
          </cell>
          <cell r="Q662" t="str">
            <v>アタッカー</v>
          </cell>
          <cell r="R662">
            <v>3</v>
          </cell>
          <cell r="S662" t="str">
            <v>NULL</v>
          </cell>
          <cell r="T662" t="str">
            <v>normal</v>
          </cell>
          <cell r="U662" t="str">
            <v>NULL</v>
          </cell>
          <cell r="V662" t="str">
            <v>NULL</v>
          </cell>
          <cell r="W662" t="str">
            <v>NULL</v>
          </cell>
        </row>
        <row r="663">
          <cell r="A663">
            <v>662</v>
          </cell>
          <cell r="B663" t="str">
            <v>ja</v>
          </cell>
          <cell r="C663" t="str">
            <v>ダイダラ</v>
          </cell>
          <cell r="D663" t="str">
            <v>ガチャ:妖怪01</v>
          </cell>
          <cell r="E663" t="str">
            <v>執行者</v>
          </cell>
          <cell r="F663" t="str">
            <v>格好いい</v>
          </cell>
          <cell r="G663" t="str">
            <v>不明</v>
          </cell>
          <cell r="H663" t="str">
            <v>blue</v>
          </cell>
          <cell r="I663">
            <v>3</v>
          </cell>
          <cell r="J663" t="str">
            <v>PremiumS</v>
          </cell>
          <cell r="K663" t="str">
            <v>hp</v>
          </cell>
          <cell r="L663" t="str">
            <v>体力タイプ</v>
          </cell>
          <cell r="M663" t="str">
            <v>unknown</v>
          </cell>
          <cell r="N663" t="str">
            <v>Unknown</v>
          </cell>
          <cell r="O663" t="str">
            <v>none</v>
          </cell>
          <cell r="P663" t="str">
            <v>種族なし</v>
          </cell>
          <cell r="Q663" t="str">
            <v>アタッカー</v>
          </cell>
          <cell r="R663">
            <v>3</v>
          </cell>
          <cell r="S663" t="str">
            <v>NULL</v>
          </cell>
          <cell r="T663" t="str">
            <v>normal</v>
          </cell>
          <cell r="U663" t="str">
            <v>NULL</v>
          </cell>
          <cell r="V663" t="str">
            <v>NULL</v>
          </cell>
          <cell r="W663" t="str">
            <v>NULL</v>
          </cell>
        </row>
        <row r="664">
          <cell r="A664">
            <v>663</v>
          </cell>
          <cell r="B664" t="str">
            <v>ja</v>
          </cell>
          <cell r="C664" t="str">
            <v>都揺らす地響き ダイダラ</v>
          </cell>
          <cell r="D664" t="str">
            <v>ガチャ:妖怪01</v>
          </cell>
          <cell r="E664" t="str">
            <v>執行者</v>
          </cell>
          <cell r="F664" t="str">
            <v>格好いい</v>
          </cell>
          <cell r="G664" t="str">
            <v>不明</v>
          </cell>
          <cell r="H664" t="str">
            <v>blue</v>
          </cell>
          <cell r="I664">
            <v>4</v>
          </cell>
          <cell r="J664" t="str">
            <v>PremiumS</v>
          </cell>
          <cell r="K664" t="str">
            <v>hp</v>
          </cell>
          <cell r="L664" t="str">
            <v>体力タイプ</v>
          </cell>
          <cell r="M664" t="str">
            <v>unknown</v>
          </cell>
          <cell r="N664" t="str">
            <v>Unknown</v>
          </cell>
          <cell r="O664" t="str">
            <v>none</v>
          </cell>
          <cell r="P664" t="str">
            <v>種族なし</v>
          </cell>
          <cell r="Q664" t="str">
            <v>アタッカー</v>
          </cell>
          <cell r="R664">
            <v>3</v>
          </cell>
          <cell r="S664" t="str">
            <v>NULL</v>
          </cell>
          <cell r="T664" t="str">
            <v>normal</v>
          </cell>
          <cell r="U664" t="str">
            <v>NULL</v>
          </cell>
          <cell r="V664" t="str">
            <v>NULL</v>
          </cell>
          <cell r="W664" t="str">
            <v>NULL</v>
          </cell>
        </row>
        <row r="665">
          <cell r="A665">
            <v>664</v>
          </cell>
          <cell r="B665" t="str">
            <v>ja</v>
          </cell>
          <cell r="C665" t="str">
            <v>山掴み国造り ダイダラ</v>
          </cell>
          <cell r="D665" t="str">
            <v>ガチャ:妖怪01</v>
          </cell>
          <cell r="E665" t="str">
            <v>執行者</v>
          </cell>
          <cell r="F665" t="str">
            <v>格好いい</v>
          </cell>
          <cell r="G665" t="str">
            <v>不明</v>
          </cell>
          <cell r="H665" t="str">
            <v>blue</v>
          </cell>
          <cell r="I665">
            <v>5</v>
          </cell>
          <cell r="J665" t="str">
            <v>PremiumS</v>
          </cell>
          <cell r="K665" t="str">
            <v>hp</v>
          </cell>
          <cell r="L665" t="str">
            <v>体力タイプ</v>
          </cell>
          <cell r="M665" t="str">
            <v>unknown</v>
          </cell>
          <cell r="N665" t="str">
            <v>Unknown</v>
          </cell>
          <cell r="O665" t="str">
            <v>none</v>
          </cell>
          <cell r="P665" t="str">
            <v>種族なし</v>
          </cell>
          <cell r="Q665" t="str">
            <v>アタッカー</v>
          </cell>
          <cell r="R665">
            <v>3</v>
          </cell>
          <cell r="S665" t="str">
            <v>NULL</v>
          </cell>
          <cell r="T665" t="str">
            <v>normal</v>
          </cell>
          <cell r="U665" t="str">
            <v>NULL</v>
          </cell>
          <cell r="V665" t="str">
            <v>NULL</v>
          </cell>
          <cell r="W665" t="str">
            <v>NULL</v>
          </cell>
        </row>
        <row r="666">
          <cell r="A666">
            <v>665</v>
          </cell>
          <cell r="B666" t="str">
            <v>ja</v>
          </cell>
          <cell r="C666" t="str">
            <v>座敷童子 テマリ</v>
          </cell>
          <cell r="D666" t="str">
            <v>ガチャ:妖怪01</v>
          </cell>
          <cell r="E666" t="str">
            <v>執行者</v>
          </cell>
          <cell r="F666" t="str">
            <v>格好いい</v>
          </cell>
          <cell r="G666" t="str">
            <v>女性</v>
          </cell>
          <cell r="H666" t="str">
            <v>yellow</v>
          </cell>
          <cell r="I666">
            <v>3</v>
          </cell>
          <cell r="J666" t="str">
            <v>PremiumS</v>
          </cell>
          <cell r="K666" t="str">
            <v>balance</v>
          </cell>
          <cell r="L666" t="str">
            <v>バランスタイプ</v>
          </cell>
          <cell r="M666" t="str">
            <v>unknown</v>
          </cell>
          <cell r="N666" t="str">
            <v>Unknown</v>
          </cell>
          <cell r="O666" t="str">
            <v>none</v>
          </cell>
          <cell r="P666" t="str">
            <v>種族なし</v>
          </cell>
          <cell r="Q666" t="str">
            <v>アタッカー</v>
          </cell>
          <cell r="R666">
            <v>3</v>
          </cell>
          <cell r="S666" t="str">
            <v>NULL</v>
          </cell>
          <cell r="T666" t="str">
            <v>normal</v>
          </cell>
          <cell r="U666" t="str">
            <v>NULL</v>
          </cell>
          <cell r="V666" t="str">
            <v>NULL</v>
          </cell>
          <cell r="W666" t="str">
            <v>NULL</v>
          </cell>
        </row>
        <row r="667">
          <cell r="A667">
            <v>666</v>
          </cell>
          <cell r="B667" t="str">
            <v>ja</v>
          </cell>
          <cell r="C667" t="str">
            <v>拡散する幸福 テマリ</v>
          </cell>
          <cell r="D667" t="str">
            <v>ガチャ:妖怪01</v>
          </cell>
          <cell r="E667" t="str">
            <v>執行者</v>
          </cell>
          <cell r="F667" t="str">
            <v>格好いい</v>
          </cell>
          <cell r="G667" t="str">
            <v>女性</v>
          </cell>
          <cell r="H667" t="str">
            <v>yellow</v>
          </cell>
          <cell r="I667">
            <v>4</v>
          </cell>
          <cell r="J667" t="str">
            <v>PremiumS</v>
          </cell>
          <cell r="K667" t="str">
            <v>balance</v>
          </cell>
          <cell r="L667" t="str">
            <v>バランスタイプ</v>
          </cell>
          <cell r="M667" t="str">
            <v>unknown</v>
          </cell>
          <cell r="N667" t="str">
            <v>Unknown</v>
          </cell>
          <cell r="O667" t="str">
            <v>none</v>
          </cell>
          <cell r="P667" t="str">
            <v>種族なし</v>
          </cell>
          <cell r="Q667" t="str">
            <v>アタッカー</v>
          </cell>
          <cell r="R667">
            <v>3</v>
          </cell>
          <cell r="S667" t="str">
            <v>NULL</v>
          </cell>
          <cell r="T667" t="str">
            <v>normal</v>
          </cell>
          <cell r="U667" t="str">
            <v>NULL</v>
          </cell>
          <cell r="V667" t="str">
            <v>NULL</v>
          </cell>
          <cell r="W667" t="str">
            <v>NULL</v>
          </cell>
        </row>
        <row r="668">
          <cell r="A668">
            <v>667</v>
          </cell>
          <cell r="B668" t="str">
            <v>ja</v>
          </cell>
          <cell r="C668" t="str">
            <v>最幸運の妖童 テマリ</v>
          </cell>
          <cell r="D668" t="str">
            <v>ガチャ:妖怪01</v>
          </cell>
          <cell r="E668" t="str">
            <v>執行者</v>
          </cell>
          <cell r="F668" t="str">
            <v>格好いい</v>
          </cell>
          <cell r="G668" t="str">
            <v>女性</v>
          </cell>
          <cell r="H668" t="str">
            <v>yellow</v>
          </cell>
          <cell r="I668">
            <v>5</v>
          </cell>
          <cell r="J668" t="str">
            <v>PremiumS</v>
          </cell>
          <cell r="K668" t="str">
            <v>balance</v>
          </cell>
          <cell r="L668" t="str">
            <v>バランスタイプ</v>
          </cell>
          <cell r="M668" t="str">
            <v>unknown</v>
          </cell>
          <cell r="N668" t="str">
            <v>Unknown</v>
          </cell>
          <cell r="O668" t="str">
            <v>none</v>
          </cell>
          <cell r="P668" t="str">
            <v>種族なし</v>
          </cell>
          <cell r="Q668" t="str">
            <v>アタッカー</v>
          </cell>
          <cell r="R668">
            <v>3</v>
          </cell>
          <cell r="S668" t="str">
            <v>NULL</v>
          </cell>
          <cell r="T668" t="str">
            <v>normal</v>
          </cell>
          <cell r="U668" t="str">
            <v>NULL</v>
          </cell>
          <cell r="V668" t="str">
            <v>NULL</v>
          </cell>
          <cell r="W668" t="str">
            <v>NULL</v>
          </cell>
        </row>
        <row r="669">
          <cell r="A669">
            <v>668</v>
          </cell>
          <cell r="B669" t="str">
            <v>ja</v>
          </cell>
          <cell r="C669" t="str">
            <v>アグニ</v>
          </cell>
          <cell r="D669" t="str">
            <v>ガチャ:ヒンドゥ-01</v>
          </cell>
          <cell r="E669" t="str">
            <v>執行者</v>
          </cell>
          <cell r="F669" t="str">
            <v>格好いい</v>
          </cell>
          <cell r="G669" t="str">
            <v>男性</v>
          </cell>
          <cell r="H669" t="str">
            <v>red</v>
          </cell>
          <cell r="I669">
            <v>3</v>
          </cell>
          <cell r="J669" t="str">
            <v>PremiumS</v>
          </cell>
          <cell r="K669" t="str">
            <v>hp</v>
          </cell>
          <cell r="L669" t="str">
            <v>体力タイプ</v>
          </cell>
          <cell r="M669" t="str">
            <v>god</v>
          </cell>
          <cell r="N669" t="str">
            <v>ゴッド</v>
          </cell>
          <cell r="O669" t="str">
            <v>none</v>
          </cell>
          <cell r="P669" t="str">
            <v>種族なし</v>
          </cell>
          <cell r="Q669" t="str">
            <v>アタッカー</v>
          </cell>
          <cell r="R669">
            <v>3</v>
          </cell>
          <cell r="S669" t="str">
            <v>NULL</v>
          </cell>
          <cell r="T669" t="str">
            <v>normal</v>
          </cell>
          <cell r="U669" t="str">
            <v>NULL</v>
          </cell>
          <cell r="V669" t="str">
            <v>NULL</v>
          </cell>
          <cell r="W669" t="str">
            <v>NULL</v>
          </cell>
        </row>
        <row r="670">
          <cell r="A670">
            <v>669</v>
          </cell>
          <cell r="B670" t="str">
            <v>ja</v>
          </cell>
          <cell r="C670" t="str">
            <v>天地の仲界 アグニ</v>
          </cell>
          <cell r="D670" t="str">
            <v>ガチャ:ヒンドゥ-01</v>
          </cell>
          <cell r="E670" t="str">
            <v>執行者</v>
          </cell>
          <cell r="F670" t="str">
            <v>格好いい</v>
          </cell>
          <cell r="G670" t="str">
            <v>男性</v>
          </cell>
          <cell r="H670" t="str">
            <v>red</v>
          </cell>
          <cell r="I670">
            <v>4</v>
          </cell>
          <cell r="J670" t="str">
            <v>PremiumS</v>
          </cell>
          <cell r="K670" t="str">
            <v>hp</v>
          </cell>
          <cell r="L670" t="str">
            <v>体力タイプ</v>
          </cell>
          <cell r="M670" t="str">
            <v>god</v>
          </cell>
          <cell r="N670" t="str">
            <v>ゴッド</v>
          </cell>
          <cell r="O670" t="str">
            <v>none</v>
          </cell>
          <cell r="P670" t="str">
            <v>種族なし</v>
          </cell>
          <cell r="Q670" t="str">
            <v>アタッカー</v>
          </cell>
          <cell r="R670">
            <v>3</v>
          </cell>
          <cell r="S670" t="str">
            <v>NULL</v>
          </cell>
          <cell r="T670" t="str">
            <v>normal</v>
          </cell>
          <cell r="U670" t="str">
            <v>NULL</v>
          </cell>
          <cell r="V670" t="str">
            <v>NULL</v>
          </cell>
          <cell r="W670" t="str">
            <v>NULL</v>
          </cell>
        </row>
        <row r="671">
          <cell r="A671">
            <v>670</v>
          </cell>
          <cell r="B671" t="str">
            <v>ja</v>
          </cell>
          <cell r="C671" t="str">
            <v>陽天の噴煙 アグニ</v>
          </cell>
          <cell r="D671" t="str">
            <v>ガチャ:ヒンドゥ-01</v>
          </cell>
          <cell r="E671" t="str">
            <v>執行者</v>
          </cell>
          <cell r="F671" t="str">
            <v>格好いい</v>
          </cell>
          <cell r="G671" t="str">
            <v>男性</v>
          </cell>
          <cell r="H671" t="str">
            <v>red</v>
          </cell>
          <cell r="I671">
            <v>5</v>
          </cell>
          <cell r="J671" t="str">
            <v>PremiumS</v>
          </cell>
          <cell r="K671" t="str">
            <v>hp</v>
          </cell>
          <cell r="L671" t="str">
            <v>体力タイプ</v>
          </cell>
          <cell r="M671" t="str">
            <v>god</v>
          </cell>
          <cell r="N671" t="str">
            <v>ゴッド</v>
          </cell>
          <cell r="O671" t="str">
            <v>none</v>
          </cell>
          <cell r="P671" t="str">
            <v>種族なし</v>
          </cell>
          <cell r="Q671" t="str">
            <v>アタッカー</v>
          </cell>
          <cell r="R671">
            <v>3</v>
          </cell>
          <cell r="S671" t="str">
            <v>NULL</v>
          </cell>
          <cell r="T671" t="str">
            <v>normal</v>
          </cell>
          <cell r="U671" t="str">
            <v>NULL</v>
          </cell>
          <cell r="V671" t="str">
            <v>NULL</v>
          </cell>
          <cell r="W671" t="str">
            <v>NULL</v>
          </cell>
        </row>
        <row r="672">
          <cell r="A672">
            <v>671</v>
          </cell>
          <cell r="B672" t="str">
            <v>ja</v>
          </cell>
          <cell r="C672" t="str">
            <v>ハヌマーン</v>
          </cell>
          <cell r="D672" t="str">
            <v>ガチャ:ヒンドゥ-01</v>
          </cell>
          <cell r="E672" t="str">
            <v>執行者</v>
          </cell>
          <cell r="F672" t="str">
            <v>格好いい</v>
          </cell>
          <cell r="G672" t="str">
            <v>男性</v>
          </cell>
          <cell r="H672" t="str">
            <v>green</v>
          </cell>
          <cell r="I672">
            <v>3</v>
          </cell>
          <cell r="J672" t="str">
            <v>PremiumS</v>
          </cell>
          <cell r="K672" t="str">
            <v>attack</v>
          </cell>
          <cell r="L672" t="str">
            <v>攻撃タイプ</v>
          </cell>
          <cell r="M672" t="str">
            <v>animal</v>
          </cell>
          <cell r="N672" t="str">
            <v>アニマル</v>
          </cell>
          <cell r="O672" t="str">
            <v>none</v>
          </cell>
          <cell r="P672" t="str">
            <v>種族なし</v>
          </cell>
          <cell r="Q672" t="str">
            <v>アタッカー</v>
          </cell>
          <cell r="R672">
            <v>3</v>
          </cell>
          <cell r="S672" t="str">
            <v>NULL</v>
          </cell>
          <cell r="T672" t="str">
            <v>normal</v>
          </cell>
          <cell r="U672" t="str">
            <v>NULL</v>
          </cell>
          <cell r="V672" t="str">
            <v>NULL</v>
          </cell>
          <cell r="W672" t="str">
            <v>NULL</v>
          </cell>
        </row>
        <row r="673">
          <cell r="A673">
            <v>672</v>
          </cell>
          <cell r="B673" t="str">
            <v>ja</v>
          </cell>
          <cell r="C673" t="str">
            <v>西遊韋駄天 ハヌマーン</v>
          </cell>
          <cell r="D673" t="str">
            <v>ガチャ:ヒンドゥ-01</v>
          </cell>
          <cell r="E673" t="str">
            <v>執行者</v>
          </cell>
          <cell r="F673" t="str">
            <v>格好いい</v>
          </cell>
          <cell r="G673" t="str">
            <v>男性</v>
          </cell>
          <cell r="H673" t="str">
            <v>green</v>
          </cell>
          <cell r="I673">
            <v>4</v>
          </cell>
          <cell r="J673" t="str">
            <v>PremiumS</v>
          </cell>
          <cell r="K673" t="str">
            <v>attack</v>
          </cell>
          <cell r="L673" t="str">
            <v>攻撃タイプ</v>
          </cell>
          <cell r="M673" t="str">
            <v>animal</v>
          </cell>
          <cell r="N673" t="str">
            <v>アニマル</v>
          </cell>
          <cell r="O673" t="str">
            <v>none</v>
          </cell>
          <cell r="P673" t="str">
            <v>種族なし</v>
          </cell>
          <cell r="Q673" t="str">
            <v>アタッカー</v>
          </cell>
          <cell r="R673">
            <v>3</v>
          </cell>
          <cell r="S673" t="str">
            <v>NULL</v>
          </cell>
          <cell r="T673" t="str">
            <v>normal</v>
          </cell>
          <cell r="U673" t="str">
            <v>NULL</v>
          </cell>
          <cell r="V673" t="str">
            <v>NULL</v>
          </cell>
          <cell r="W673" t="str">
            <v>NULL</v>
          </cell>
        </row>
        <row r="674">
          <cell r="A674">
            <v>673</v>
          </cell>
          <cell r="B674" t="str">
            <v>ja</v>
          </cell>
          <cell r="C674" t="str">
            <v>変幻自在の猿王 ハヌマーン</v>
          </cell>
          <cell r="D674" t="str">
            <v>ガチャ:ヒンドゥ-01</v>
          </cell>
          <cell r="E674" t="str">
            <v>執行者</v>
          </cell>
          <cell r="F674" t="str">
            <v>格好いい</v>
          </cell>
          <cell r="G674" t="str">
            <v>男性</v>
          </cell>
          <cell r="H674" t="str">
            <v>green</v>
          </cell>
          <cell r="I674">
            <v>5</v>
          </cell>
          <cell r="J674" t="str">
            <v>PremiumS</v>
          </cell>
          <cell r="K674" t="str">
            <v>attack</v>
          </cell>
          <cell r="L674" t="str">
            <v>攻撃タイプ</v>
          </cell>
          <cell r="M674" t="str">
            <v>animal</v>
          </cell>
          <cell r="N674" t="str">
            <v>アニマル</v>
          </cell>
          <cell r="O674" t="str">
            <v>none</v>
          </cell>
          <cell r="P674" t="str">
            <v>種族なし</v>
          </cell>
          <cell r="Q674" t="str">
            <v>アタッカー</v>
          </cell>
          <cell r="R674">
            <v>3</v>
          </cell>
          <cell r="S674" t="str">
            <v>NULL</v>
          </cell>
          <cell r="T674" t="str">
            <v>normal</v>
          </cell>
          <cell r="U674" t="str">
            <v>NULL</v>
          </cell>
          <cell r="V674" t="str">
            <v>NULL</v>
          </cell>
          <cell r="W674" t="str">
            <v>NULL</v>
          </cell>
        </row>
        <row r="675">
          <cell r="A675">
            <v>674</v>
          </cell>
          <cell r="B675" t="str">
            <v>ja</v>
          </cell>
          <cell r="C675" t="str">
            <v>サラスヴァティ</v>
          </cell>
          <cell r="D675" t="str">
            <v>ガチャ:ヒンドゥ-01</v>
          </cell>
          <cell r="E675" t="str">
            <v>執行者</v>
          </cell>
          <cell r="F675" t="str">
            <v>格好いい</v>
          </cell>
          <cell r="G675" t="str">
            <v>女性</v>
          </cell>
          <cell r="H675" t="str">
            <v>blue</v>
          </cell>
          <cell r="I675">
            <v>4</v>
          </cell>
          <cell r="J675" t="str">
            <v>PremiumSS</v>
          </cell>
          <cell r="K675" t="str">
            <v>balance</v>
          </cell>
          <cell r="L675" t="str">
            <v>バランスタイプ</v>
          </cell>
          <cell r="M675" t="str">
            <v>god</v>
          </cell>
          <cell r="N675" t="str">
            <v>ゴッド</v>
          </cell>
          <cell r="O675" t="str">
            <v>none</v>
          </cell>
          <cell r="P675" t="str">
            <v>種族なし</v>
          </cell>
          <cell r="Q675" t="str">
            <v>アタッカー</v>
          </cell>
          <cell r="R675">
            <v>3</v>
          </cell>
          <cell r="S675" t="str">
            <v>NULL</v>
          </cell>
          <cell r="T675" t="str">
            <v>normal</v>
          </cell>
          <cell r="U675" t="str">
            <v>NULL</v>
          </cell>
          <cell r="V675" t="str">
            <v>NULL</v>
          </cell>
          <cell r="W675" t="str">
            <v>NULL</v>
          </cell>
        </row>
        <row r="676">
          <cell r="A676">
            <v>675</v>
          </cell>
          <cell r="B676" t="str">
            <v>ja</v>
          </cell>
          <cell r="C676" t="str">
            <v>芸楽の奔流 サラスヴァティ</v>
          </cell>
          <cell r="D676" t="str">
            <v>ガチャ:ヒンドゥ-01</v>
          </cell>
          <cell r="E676" t="str">
            <v>執行者</v>
          </cell>
          <cell r="F676" t="str">
            <v>格好いい</v>
          </cell>
          <cell r="G676" t="str">
            <v>女性</v>
          </cell>
          <cell r="H676" t="str">
            <v>blue</v>
          </cell>
          <cell r="I676">
            <v>5</v>
          </cell>
          <cell r="J676" t="str">
            <v>PremiumSS</v>
          </cell>
          <cell r="K676" t="str">
            <v>balance</v>
          </cell>
          <cell r="L676" t="str">
            <v>バランスタイプ</v>
          </cell>
          <cell r="M676" t="str">
            <v>god</v>
          </cell>
          <cell r="N676" t="str">
            <v>ゴッド</v>
          </cell>
          <cell r="O676" t="str">
            <v>none</v>
          </cell>
          <cell r="P676" t="str">
            <v>種族なし</v>
          </cell>
          <cell r="Q676" t="str">
            <v>アタッカー</v>
          </cell>
          <cell r="R676">
            <v>3</v>
          </cell>
          <cell r="S676" t="str">
            <v>NULL</v>
          </cell>
          <cell r="T676" t="str">
            <v>normal</v>
          </cell>
          <cell r="U676" t="str">
            <v>NULL</v>
          </cell>
          <cell r="V676" t="str">
            <v>NULL</v>
          </cell>
          <cell r="W676" t="str">
            <v>NULL</v>
          </cell>
        </row>
        <row r="677">
          <cell r="A677">
            <v>676</v>
          </cell>
          <cell r="B677" t="str">
            <v>ja</v>
          </cell>
          <cell r="C677" t="str">
            <v>ヴィシュヌ</v>
          </cell>
          <cell r="D677" t="str">
            <v>ガチャ:ヒンドゥ-01</v>
          </cell>
          <cell r="E677" t="str">
            <v>執行者</v>
          </cell>
          <cell r="F677" t="str">
            <v>格好いい</v>
          </cell>
          <cell r="G677" t="str">
            <v>女性</v>
          </cell>
          <cell r="H677" t="str">
            <v>yellow</v>
          </cell>
          <cell r="I677">
            <v>4</v>
          </cell>
          <cell r="J677" t="str">
            <v>PremiumSS</v>
          </cell>
          <cell r="K677" t="str">
            <v>attack</v>
          </cell>
          <cell r="L677" t="str">
            <v>攻撃タイプ</v>
          </cell>
          <cell r="M677" t="str">
            <v>god</v>
          </cell>
          <cell r="N677" t="str">
            <v>ゴッド</v>
          </cell>
          <cell r="O677" t="str">
            <v>none</v>
          </cell>
          <cell r="P677" t="str">
            <v>種族なし</v>
          </cell>
          <cell r="Q677" t="str">
            <v>アタッカー</v>
          </cell>
          <cell r="R677">
            <v>3</v>
          </cell>
          <cell r="S677" t="str">
            <v>NULL</v>
          </cell>
          <cell r="T677" t="str">
            <v>normal</v>
          </cell>
          <cell r="U677" t="str">
            <v>NULL</v>
          </cell>
          <cell r="V677" t="str">
            <v>NULL</v>
          </cell>
          <cell r="W677" t="str">
            <v>NULL</v>
          </cell>
        </row>
        <row r="678">
          <cell r="A678">
            <v>677</v>
          </cell>
          <cell r="B678" t="str">
            <v>ja</v>
          </cell>
          <cell r="C678" t="str">
            <v>武遊闊歩 ヴィシュヌ</v>
          </cell>
          <cell r="D678" t="str">
            <v>ガチャ:ヒンドゥ-01</v>
          </cell>
          <cell r="E678" t="str">
            <v>執行者</v>
          </cell>
          <cell r="F678" t="str">
            <v>格好いい</v>
          </cell>
          <cell r="G678" t="str">
            <v>女性</v>
          </cell>
          <cell r="H678" t="str">
            <v>yellow</v>
          </cell>
          <cell r="I678">
            <v>5</v>
          </cell>
          <cell r="J678" t="str">
            <v>PremiumSS</v>
          </cell>
          <cell r="K678" t="str">
            <v>attack</v>
          </cell>
          <cell r="L678" t="str">
            <v>攻撃タイプ</v>
          </cell>
          <cell r="M678" t="str">
            <v>god</v>
          </cell>
          <cell r="N678" t="str">
            <v>ゴッド</v>
          </cell>
          <cell r="O678" t="str">
            <v>none</v>
          </cell>
          <cell r="P678" t="str">
            <v>種族なし</v>
          </cell>
          <cell r="Q678" t="str">
            <v>アタッカー</v>
          </cell>
          <cell r="R678">
            <v>3</v>
          </cell>
          <cell r="S678" t="str">
            <v>NULL</v>
          </cell>
          <cell r="T678" t="str">
            <v>normal</v>
          </cell>
          <cell r="U678" t="str">
            <v>NULL</v>
          </cell>
          <cell r="V678" t="str">
            <v>NULL</v>
          </cell>
          <cell r="W678" t="str">
            <v>NULL</v>
          </cell>
        </row>
        <row r="679">
          <cell r="A679">
            <v>678</v>
          </cell>
          <cell r="B679" t="str">
            <v>ja</v>
          </cell>
          <cell r="C679" t="str">
            <v>レイヴン</v>
          </cell>
          <cell r="D679" t="str">
            <v>ガチャ:ホワイトデー2016</v>
          </cell>
          <cell r="E679" t="str">
            <v>執行者</v>
          </cell>
          <cell r="F679" t="str">
            <v>格好いい</v>
          </cell>
          <cell r="G679" t="str">
            <v>男性</v>
          </cell>
          <cell r="H679" t="str">
            <v>green</v>
          </cell>
          <cell r="I679">
            <v>4</v>
          </cell>
          <cell r="J679" t="str">
            <v>PremiumSS</v>
          </cell>
          <cell r="K679" t="str">
            <v>attack</v>
          </cell>
          <cell r="L679" t="str">
            <v>攻撃タイプ</v>
          </cell>
          <cell r="M679" t="str">
            <v>human</v>
          </cell>
          <cell r="N679" t="str">
            <v>ヒューマン</v>
          </cell>
          <cell r="O679" t="str">
            <v>none</v>
          </cell>
          <cell r="P679" t="str">
            <v>種族なし</v>
          </cell>
          <cell r="Q679" t="str">
            <v>アタッカー</v>
          </cell>
          <cell r="R679">
            <v>3</v>
          </cell>
          <cell r="S679" t="str">
            <v>NULL</v>
          </cell>
          <cell r="T679" t="str">
            <v>normal</v>
          </cell>
          <cell r="U679" t="str">
            <v>NULL</v>
          </cell>
          <cell r="V679" t="str">
            <v>NULL</v>
          </cell>
          <cell r="W679" t="str">
            <v>NULL</v>
          </cell>
        </row>
        <row r="680">
          <cell r="A680">
            <v>679</v>
          </cell>
          <cell r="B680" t="str">
            <v>ja</v>
          </cell>
          <cell r="C680" t="str">
            <v>孤高の王子 レイヴン</v>
          </cell>
          <cell r="D680" t="str">
            <v>ガチャ:ホワイトデー2016</v>
          </cell>
          <cell r="E680" t="str">
            <v>執行者</v>
          </cell>
          <cell r="F680" t="str">
            <v>格好いい</v>
          </cell>
          <cell r="G680" t="str">
            <v>男性</v>
          </cell>
          <cell r="H680" t="str">
            <v>green</v>
          </cell>
          <cell r="I680">
            <v>5</v>
          </cell>
          <cell r="J680" t="str">
            <v>PremiumSS</v>
          </cell>
          <cell r="K680" t="str">
            <v>attack</v>
          </cell>
          <cell r="L680" t="str">
            <v>攻撃タイプ</v>
          </cell>
          <cell r="M680" t="str">
            <v>human</v>
          </cell>
          <cell r="N680" t="str">
            <v>ヒューマン</v>
          </cell>
          <cell r="O680" t="str">
            <v>none</v>
          </cell>
          <cell r="P680" t="str">
            <v>種族なし</v>
          </cell>
          <cell r="Q680" t="str">
            <v>アタッカー</v>
          </cell>
          <cell r="R680">
            <v>3</v>
          </cell>
          <cell r="S680" t="str">
            <v>NULL</v>
          </cell>
          <cell r="T680" t="str">
            <v>normal</v>
          </cell>
          <cell r="U680" t="str">
            <v>NULL</v>
          </cell>
          <cell r="V680" t="str">
            <v>NULL</v>
          </cell>
          <cell r="W680" t="str">
            <v>NULL</v>
          </cell>
        </row>
        <row r="681">
          <cell r="A681">
            <v>680</v>
          </cell>
          <cell r="B681" t="str">
            <v>ja</v>
          </cell>
          <cell r="C681" t="str">
            <v>炎のプレゼントケロケロ</v>
          </cell>
          <cell r="D681" t="str">
            <v>イベント;ホワイトデー2016</v>
          </cell>
          <cell r="E681" t="str">
            <v>アリス</v>
          </cell>
          <cell r="F681" t="str">
            <v>世界観</v>
          </cell>
          <cell r="G681" t="str">
            <v>不明</v>
          </cell>
          <cell r="H681" t="str">
            <v>red</v>
          </cell>
          <cell r="I681">
            <v>5</v>
          </cell>
          <cell r="J681" t="str">
            <v>Material</v>
          </cell>
          <cell r="K681" t="str">
            <v>exp</v>
          </cell>
          <cell r="L681" t="str">
            <v>強化素材タイプ</v>
          </cell>
          <cell r="M681" t="str">
            <v>unknown</v>
          </cell>
          <cell r="N681" t="str">
            <v>Unknown</v>
          </cell>
          <cell r="O681" t="str">
            <v>none</v>
          </cell>
          <cell r="P681" t="str">
            <v>種族なし</v>
          </cell>
          <cell r="Q681" t="str">
            <v>経験値素材</v>
          </cell>
          <cell r="R681">
            <v>3</v>
          </cell>
          <cell r="S681" t="str">
            <v>NULL</v>
          </cell>
          <cell r="T681" t="str">
            <v>normal</v>
          </cell>
          <cell r="U681" t="str">
            <v>NULL</v>
          </cell>
          <cell r="V681" t="str">
            <v>NULL</v>
          </cell>
          <cell r="W681" t="str">
            <v>NULL</v>
          </cell>
        </row>
        <row r="682">
          <cell r="A682">
            <v>681</v>
          </cell>
          <cell r="B682" t="str">
            <v>ja</v>
          </cell>
          <cell r="C682" t="str">
            <v>炎のプレゼントフロッグ</v>
          </cell>
          <cell r="D682" t="str">
            <v>イベント;ホワイトデー2016</v>
          </cell>
          <cell r="E682" t="str">
            <v>アリス</v>
          </cell>
          <cell r="F682" t="str">
            <v>世界観</v>
          </cell>
          <cell r="G682" t="str">
            <v>不明</v>
          </cell>
          <cell r="H682" t="str">
            <v>red</v>
          </cell>
          <cell r="I682">
            <v>6</v>
          </cell>
          <cell r="J682" t="str">
            <v>Material</v>
          </cell>
          <cell r="K682" t="str">
            <v>exp</v>
          </cell>
          <cell r="L682" t="str">
            <v>強化素材タイプ</v>
          </cell>
          <cell r="M682" t="str">
            <v>unknown</v>
          </cell>
          <cell r="N682" t="str">
            <v>Unknown</v>
          </cell>
          <cell r="O682" t="str">
            <v>none</v>
          </cell>
          <cell r="P682" t="str">
            <v>種族なし</v>
          </cell>
          <cell r="Q682" t="str">
            <v>経験値素材</v>
          </cell>
          <cell r="R682">
            <v>3</v>
          </cell>
          <cell r="S682" t="str">
            <v>NULL</v>
          </cell>
          <cell r="T682" t="str">
            <v>normal</v>
          </cell>
          <cell r="U682" t="str">
            <v>NULL</v>
          </cell>
          <cell r="V682" t="str">
            <v>NULL</v>
          </cell>
          <cell r="W682" t="str">
            <v>NULL</v>
          </cell>
        </row>
        <row r="683">
          <cell r="A683">
            <v>682</v>
          </cell>
          <cell r="B683" t="str">
            <v>ja</v>
          </cell>
          <cell r="C683" t="str">
            <v>森のプレゼントケロケロ</v>
          </cell>
          <cell r="D683" t="str">
            <v>イベント;ホワイトデー2016</v>
          </cell>
          <cell r="E683" t="str">
            <v>アリス</v>
          </cell>
          <cell r="F683" t="str">
            <v>世界観</v>
          </cell>
          <cell r="G683" t="str">
            <v>不明</v>
          </cell>
          <cell r="H683" t="str">
            <v>green</v>
          </cell>
          <cell r="I683">
            <v>5</v>
          </cell>
          <cell r="J683" t="str">
            <v>Material</v>
          </cell>
          <cell r="K683" t="str">
            <v>exp</v>
          </cell>
          <cell r="L683" t="str">
            <v>強化素材タイプ</v>
          </cell>
          <cell r="M683" t="str">
            <v>unknown</v>
          </cell>
          <cell r="N683" t="str">
            <v>Unknown</v>
          </cell>
          <cell r="O683" t="str">
            <v>none</v>
          </cell>
          <cell r="P683" t="str">
            <v>種族なし</v>
          </cell>
          <cell r="Q683" t="str">
            <v>経験値素材</v>
          </cell>
          <cell r="R683">
            <v>3</v>
          </cell>
          <cell r="S683" t="str">
            <v>NULL</v>
          </cell>
          <cell r="T683" t="str">
            <v>normal</v>
          </cell>
          <cell r="U683" t="str">
            <v>NULL</v>
          </cell>
          <cell r="V683" t="str">
            <v>NULL</v>
          </cell>
          <cell r="W683" t="str">
            <v>NULL</v>
          </cell>
        </row>
        <row r="684">
          <cell r="A684">
            <v>683</v>
          </cell>
          <cell r="B684" t="str">
            <v>ja</v>
          </cell>
          <cell r="C684" t="str">
            <v>森のプレゼントフロッグ</v>
          </cell>
          <cell r="D684" t="str">
            <v>イベント;ホワイトデー2016</v>
          </cell>
          <cell r="E684" t="str">
            <v>アリス</v>
          </cell>
          <cell r="F684" t="str">
            <v>世界観</v>
          </cell>
          <cell r="G684" t="str">
            <v>不明</v>
          </cell>
          <cell r="H684" t="str">
            <v>green</v>
          </cell>
          <cell r="I684">
            <v>6</v>
          </cell>
          <cell r="J684" t="str">
            <v>Material</v>
          </cell>
          <cell r="K684" t="str">
            <v>exp</v>
          </cell>
          <cell r="L684" t="str">
            <v>強化素材タイプ</v>
          </cell>
          <cell r="M684" t="str">
            <v>unknown</v>
          </cell>
          <cell r="N684" t="str">
            <v>Unknown</v>
          </cell>
          <cell r="O684" t="str">
            <v>none</v>
          </cell>
          <cell r="P684" t="str">
            <v>種族なし</v>
          </cell>
          <cell r="Q684" t="str">
            <v>経験値素材</v>
          </cell>
          <cell r="R684">
            <v>3</v>
          </cell>
          <cell r="S684" t="str">
            <v>NULL</v>
          </cell>
          <cell r="T684" t="str">
            <v>normal</v>
          </cell>
          <cell r="U684" t="str">
            <v>NULL</v>
          </cell>
          <cell r="V684" t="str">
            <v>NULL</v>
          </cell>
          <cell r="W684" t="str">
            <v>NULL</v>
          </cell>
        </row>
        <row r="685">
          <cell r="A685">
            <v>684</v>
          </cell>
          <cell r="B685" t="str">
            <v>ja</v>
          </cell>
          <cell r="C685" t="str">
            <v>水のプレゼントケロケロ</v>
          </cell>
          <cell r="D685" t="str">
            <v>イベント;ホワイトデー2016</v>
          </cell>
          <cell r="E685" t="str">
            <v>アリス</v>
          </cell>
          <cell r="F685" t="str">
            <v>世界観</v>
          </cell>
          <cell r="G685" t="str">
            <v>不明</v>
          </cell>
          <cell r="H685" t="str">
            <v>blue</v>
          </cell>
          <cell r="I685">
            <v>5</v>
          </cell>
          <cell r="J685" t="str">
            <v>Material</v>
          </cell>
          <cell r="K685" t="str">
            <v>exp</v>
          </cell>
          <cell r="L685" t="str">
            <v>強化素材タイプ</v>
          </cell>
          <cell r="M685" t="str">
            <v>unknown</v>
          </cell>
          <cell r="N685" t="str">
            <v>Unknown</v>
          </cell>
          <cell r="O685" t="str">
            <v>none</v>
          </cell>
          <cell r="P685" t="str">
            <v>種族なし</v>
          </cell>
          <cell r="Q685" t="str">
            <v>経験値素材</v>
          </cell>
          <cell r="R685">
            <v>3</v>
          </cell>
          <cell r="S685" t="str">
            <v>NULL</v>
          </cell>
          <cell r="T685" t="str">
            <v>normal</v>
          </cell>
          <cell r="U685" t="str">
            <v>NULL</v>
          </cell>
          <cell r="V685" t="str">
            <v>NULL</v>
          </cell>
          <cell r="W685" t="str">
            <v>NULL</v>
          </cell>
        </row>
        <row r="686">
          <cell r="A686">
            <v>685</v>
          </cell>
          <cell r="B686" t="str">
            <v>ja</v>
          </cell>
          <cell r="C686" t="str">
            <v>水のプレゼントフロッグ</v>
          </cell>
          <cell r="D686" t="str">
            <v>イベント;ホワイトデー2016</v>
          </cell>
          <cell r="E686" t="str">
            <v>アリス</v>
          </cell>
          <cell r="F686" t="str">
            <v>世界観</v>
          </cell>
          <cell r="G686" t="str">
            <v>不明</v>
          </cell>
          <cell r="H686" t="str">
            <v>blue</v>
          </cell>
          <cell r="I686">
            <v>6</v>
          </cell>
          <cell r="J686" t="str">
            <v>Material</v>
          </cell>
          <cell r="K686" t="str">
            <v>exp</v>
          </cell>
          <cell r="L686" t="str">
            <v>強化素材タイプ</v>
          </cell>
          <cell r="M686" t="str">
            <v>unknown</v>
          </cell>
          <cell r="N686" t="str">
            <v>Unknown</v>
          </cell>
          <cell r="O686" t="str">
            <v>none</v>
          </cell>
          <cell r="P686" t="str">
            <v>種族なし</v>
          </cell>
          <cell r="Q686" t="str">
            <v>経験値素材</v>
          </cell>
          <cell r="R686">
            <v>3</v>
          </cell>
          <cell r="S686" t="str">
            <v>NULL</v>
          </cell>
          <cell r="T686" t="str">
            <v>normal</v>
          </cell>
          <cell r="U686" t="str">
            <v>NULL</v>
          </cell>
          <cell r="V686" t="str">
            <v>NULL</v>
          </cell>
          <cell r="W686" t="str">
            <v>NULL</v>
          </cell>
        </row>
        <row r="687">
          <cell r="A687">
            <v>686</v>
          </cell>
          <cell r="B687" t="str">
            <v>ja</v>
          </cell>
          <cell r="C687" t="str">
            <v>雷のプレゼントケロケロ</v>
          </cell>
          <cell r="D687" t="str">
            <v>イベント;ホワイトデー2016</v>
          </cell>
          <cell r="E687" t="str">
            <v>アリス</v>
          </cell>
          <cell r="F687" t="str">
            <v>世界観</v>
          </cell>
          <cell r="G687" t="str">
            <v>不明</v>
          </cell>
          <cell r="H687" t="str">
            <v>yellow</v>
          </cell>
          <cell r="I687">
            <v>5</v>
          </cell>
          <cell r="J687" t="str">
            <v>Material</v>
          </cell>
          <cell r="K687" t="str">
            <v>exp</v>
          </cell>
          <cell r="L687" t="str">
            <v>強化素材タイプ</v>
          </cell>
          <cell r="M687" t="str">
            <v>unknown</v>
          </cell>
          <cell r="N687" t="str">
            <v>Unknown</v>
          </cell>
          <cell r="O687" t="str">
            <v>none</v>
          </cell>
          <cell r="P687" t="str">
            <v>種族なし</v>
          </cell>
          <cell r="Q687" t="str">
            <v>経験値素材</v>
          </cell>
          <cell r="R687">
            <v>3</v>
          </cell>
          <cell r="S687" t="str">
            <v>NULL</v>
          </cell>
          <cell r="T687" t="str">
            <v>normal</v>
          </cell>
          <cell r="U687" t="str">
            <v>NULL</v>
          </cell>
          <cell r="V687" t="str">
            <v>NULL</v>
          </cell>
          <cell r="W687" t="str">
            <v>NULL</v>
          </cell>
        </row>
        <row r="688">
          <cell r="A688">
            <v>687</v>
          </cell>
          <cell r="B688" t="str">
            <v>ja</v>
          </cell>
          <cell r="C688" t="str">
            <v>雷のプレゼントフロッグ</v>
          </cell>
          <cell r="D688" t="str">
            <v>イベント;ホワイトデー2016</v>
          </cell>
          <cell r="E688" t="str">
            <v>アリス</v>
          </cell>
          <cell r="F688" t="str">
            <v>世界観</v>
          </cell>
          <cell r="G688" t="str">
            <v>不明</v>
          </cell>
          <cell r="H688" t="str">
            <v>yellow</v>
          </cell>
          <cell r="I688">
            <v>6</v>
          </cell>
          <cell r="J688" t="str">
            <v>Material</v>
          </cell>
          <cell r="K688" t="str">
            <v>exp</v>
          </cell>
          <cell r="L688" t="str">
            <v>強化素材タイプ</v>
          </cell>
          <cell r="M688" t="str">
            <v>unknown</v>
          </cell>
          <cell r="N688" t="str">
            <v>Unknown</v>
          </cell>
          <cell r="O688" t="str">
            <v>none</v>
          </cell>
          <cell r="P688" t="str">
            <v>種族なし</v>
          </cell>
          <cell r="Q688" t="str">
            <v>経験値素材</v>
          </cell>
          <cell r="R688">
            <v>3</v>
          </cell>
          <cell r="S688" t="str">
            <v>NULL</v>
          </cell>
          <cell r="T688" t="str">
            <v>normal</v>
          </cell>
          <cell r="U688" t="str">
            <v>NULL</v>
          </cell>
          <cell r="V688" t="str">
            <v>NULL</v>
          </cell>
          <cell r="W688" t="str">
            <v>NULL</v>
          </cell>
        </row>
        <row r="689">
          <cell r="A689">
            <v>688</v>
          </cell>
          <cell r="B689" t="str">
            <v>ja</v>
          </cell>
          <cell r="C689" t="str">
            <v>ユークリッド</v>
          </cell>
          <cell r="D689" t="str">
            <v>ガチャ:フィーバーフェス04</v>
          </cell>
          <cell r="E689" t="str">
            <v>執行者</v>
          </cell>
          <cell r="F689" t="str">
            <v>格好いい</v>
          </cell>
          <cell r="G689" t="str">
            <v>女性</v>
          </cell>
          <cell r="H689" t="str">
            <v>blue</v>
          </cell>
          <cell r="I689">
            <v>4</v>
          </cell>
          <cell r="J689" t="str">
            <v>PremiumSSS</v>
          </cell>
          <cell r="K689" t="str">
            <v>balance</v>
          </cell>
          <cell r="L689" t="str">
            <v>バランスタイプ</v>
          </cell>
          <cell r="M689" t="str">
            <v>human</v>
          </cell>
          <cell r="N689" t="str">
            <v>ヒューマン</v>
          </cell>
          <cell r="O689" t="str">
            <v>none</v>
          </cell>
          <cell r="P689" t="str">
            <v>種族なし</v>
          </cell>
          <cell r="Q689" t="str">
            <v>アタッカー</v>
          </cell>
          <cell r="R689">
            <v>3</v>
          </cell>
          <cell r="S689" t="str">
            <v>NULL</v>
          </cell>
          <cell r="T689" t="str">
            <v>normal</v>
          </cell>
          <cell r="U689" t="str">
            <v>NULL</v>
          </cell>
          <cell r="V689" t="str">
            <v>NULL</v>
          </cell>
          <cell r="W689" t="str">
            <v>NULL</v>
          </cell>
        </row>
        <row r="690">
          <cell r="A690">
            <v>689</v>
          </cell>
          <cell r="B690" t="str">
            <v>ja</v>
          </cell>
          <cell r="C690" t="str">
            <v>根原論理 ユークリッド</v>
          </cell>
          <cell r="D690" t="str">
            <v>ガチャ:フィーバーフェス04</v>
          </cell>
          <cell r="E690" t="str">
            <v>執行者</v>
          </cell>
          <cell r="F690" t="str">
            <v>格好いい</v>
          </cell>
          <cell r="G690" t="str">
            <v>女性</v>
          </cell>
          <cell r="H690" t="str">
            <v>blue</v>
          </cell>
          <cell r="I690">
            <v>5</v>
          </cell>
          <cell r="J690" t="str">
            <v>PremiumSSS</v>
          </cell>
          <cell r="K690" t="str">
            <v>balance</v>
          </cell>
          <cell r="L690" t="str">
            <v>バランスタイプ</v>
          </cell>
          <cell r="M690" t="str">
            <v>human</v>
          </cell>
          <cell r="N690" t="str">
            <v>ヒューマン</v>
          </cell>
          <cell r="O690" t="str">
            <v>none</v>
          </cell>
          <cell r="P690" t="str">
            <v>種族なし</v>
          </cell>
          <cell r="Q690" t="str">
            <v>アタッカー</v>
          </cell>
          <cell r="R690">
            <v>3</v>
          </cell>
          <cell r="S690" t="str">
            <v>NULL</v>
          </cell>
          <cell r="T690" t="str">
            <v>normal</v>
          </cell>
          <cell r="U690" t="str">
            <v>NULL</v>
          </cell>
          <cell r="V690" t="str">
            <v>NULL</v>
          </cell>
          <cell r="W690" t="str">
            <v>NULL</v>
          </cell>
        </row>
        <row r="691">
          <cell r="A691">
            <v>690</v>
          </cell>
          <cell r="B691" t="str">
            <v>ja</v>
          </cell>
          <cell r="C691" t="str">
            <v>不朽の極論 ユークリッド</v>
          </cell>
          <cell r="D691" t="str">
            <v>ガチャ:フィーバーフェス04</v>
          </cell>
          <cell r="E691" t="str">
            <v>執行者</v>
          </cell>
          <cell r="F691" t="str">
            <v>格好いい</v>
          </cell>
          <cell r="G691" t="str">
            <v>女性</v>
          </cell>
          <cell r="H691" t="str">
            <v>blue</v>
          </cell>
          <cell r="I691">
            <v>6</v>
          </cell>
          <cell r="J691" t="str">
            <v>PremiumSSS</v>
          </cell>
          <cell r="K691" t="str">
            <v>balance</v>
          </cell>
          <cell r="L691" t="str">
            <v>バランスタイプ</v>
          </cell>
          <cell r="M691" t="str">
            <v>human</v>
          </cell>
          <cell r="N691" t="str">
            <v>ヒューマン</v>
          </cell>
          <cell r="O691" t="str">
            <v>none</v>
          </cell>
          <cell r="P691" t="str">
            <v>種族なし</v>
          </cell>
          <cell r="Q691" t="str">
            <v>アタッカー</v>
          </cell>
          <cell r="R691">
            <v>3</v>
          </cell>
          <cell r="S691" t="str">
            <v>NULL</v>
          </cell>
          <cell r="T691" t="str">
            <v>normal</v>
          </cell>
          <cell r="U691" t="str">
            <v>NULL</v>
          </cell>
          <cell r="V691" t="str">
            <v>NULL</v>
          </cell>
          <cell r="W691" t="str">
            <v>NULL</v>
          </cell>
        </row>
        <row r="692">
          <cell r="A692">
            <v>691</v>
          </cell>
          <cell r="B692" t="str">
            <v>ja</v>
          </cell>
          <cell r="C692" t="str">
            <v>黒沼青葉</v>
          </cell>
          <cell r="D692" t="str">
            <v>イベント:デュラララ01 青葉</v>
          </cell>
          <cell r="E692" t="str">
            <v>執行者</v>
          </cell>
          <cell r="F692" t="str">
            <v>格好いい</v>
          </cell>
          <cell r="G692" t="str">
            <v>男性</v>
          </cell>
          <cell r="H692" t="str">
            <v>blue</v>
          </cell>
          <cell r="I692">
            <v>4</v>
          </cell>
          <cell r="J692" t="str">
            <v>Drop2N</v>
          </cell>
          <cell r="K692" t="str">
            <v>dr</v>
          </cell>
          <cell r="L692" t="str">
            <v>デュラララ!!</v>
          </cell>
          <cell r="M692" t="str">
            <v>human</v>
          </cell>
          <cell r="N692" t="str">
            <v>ヒューマン</v>
          </cell>
          <cell r="O692" t="str">
            <v>none</v>
          </cell>
          <cell r="P692" t="str">
            <v>種族なし</v>
          </cell>
          <cell r="Q692" t="str">
            <v>アタッカー</v>
          </cell>
          <cell r="R692">
            <v>3</v>
          </cell>
          <cell r="S692" t="str">
            <v>NULL</v>
          </cell>
          <cell r="T692" t="str">
            <v>normal</v>
          </cell>
          <cell r="U692" t="str">
            <v>NULL</v>
          </cell>
          <cell r="V692" t="str">
            <v>NULL</v>
          </cell>
          <cell r="W692" t="str">
            <v>NULL</v>
          </cell>
        </row>
        <row r="693">
          <cell r="A693">
            <v>692</v>
          </cell>
          <cell r="B693" t="str">
            <v>ja</v>
          </cell>
          <cell r="C693" t="str">
            <v>暗躍する偽帝 黒沼青葉</v>
          </cell>
          <cell r="D693" t="str">
            <v>イベント:デュラララ01 青葉</v>
          </cell>
          <cell r="E693" t="str">
            <v>執行者</v>
          </cell>
          <cell r="F693" t="str">
            <v>格好いい</v>
          </cell>
          <cell r="G693" t="str">
            <v>男性</v>
          </cell>
          <cell r="H693" t="str">
            <v>blue</v>
          </cell>
          <cell r="I693">
            <v>5</v>
          </cell>
          <cell r="J693" t="str">
            <v>Drop2N</v>
          </cell>
          <cell r="K693" t="str">
            <v>dr</v>
          </cell>
          <cell r="L693" t="str">
            <v>デュラララ!!</v>
          </cell>
          <cell r="M693" t="str">
            <v>human</v>
          </cell>
          <cell r="N693" t="str">
            <v>ヒューマン</v>
          </cell>
          <cell r="O693" t="str">
            <v>none</v>
          </cell>
          <cell r="P693" t="str">
            <v>種族なし</v>
          </cell>
          <cell r="Q693" t="str">
            <v>アタッカー</v>
          </cell>
          <cell r="R693">
            <v>3</v>
          </cell>
          <cell r="S693" t="str">
            <v>NULL</v>
          </cell>
          <cell r="T693" t="str">
            <v>normal</v>
          </cell>
          <cell r="U693" t="str">
            <v>NULL</v>
          </cell>
          <cell r="V693" t="str">
            <v>NULL</v>
          </cell>
          <cell r="W693" t="str">
            <v>NULL</v>
          </cell>
        </row>
        <row r="694">
          <cell r="A694">
            <v>693</v>
          </cell>
          <cell r="B694" t="str">
            <v>ja</v>
          </cell>
          <cell r="C694" t="str">
            <v>紀田正臣</v>
          </cell>
          <cell r="D694" t="str">
            <v>イベント:デュラララ01 正臣</v>
          </cell>
          <cell r="E694" t="str">
            <v>執行者</v>
          </cell>
          <cell r="F694" t="str">
            <v>格好いい</v>
          </cell>
          <cell r="G694" t="str">
            <v>男性</v>
          </cell>
          <cell r="H694" t="str">
            <v>yellow</v>
          </cell>
          <cell r="I694">
            <v>4</v>
          </cell>
          <cell r="J694" t="str">
            <v>Drop2N</v>
          </cell>
          <cell r="K694" t="str">
            <v>dr</v>
          </cell>
          <cell r="L694" t="str">
            <v>デュラララ!!</v>
          </cell>
          <cell r="M694" t="str">
            <v>human</v>
          </cell>
          <cell r="N694" t="str">
            <v>ヒューマン</v>
          </cell>
          <cell r="O694" t="str">
            <v>none</v>
          </cell>
          <cell r="P694" t="str">
            <v>種族なし</v>
          </cell>
          <cell r="Q694" t="str">
            <v>アタッカー</v>
          </cell>
          <cell r="R694">
            <v>3</v>
          </cell>
          <cell r="S694" t="str">
            <v>NULL</v>
          </cell>
          <cell r="T694" t="str">
            <v>normal</v>
          </cell>
          <cell r="U694" t="str">
            <v>NULL</v>
          </cell>
          <cell r="V694" t="str">
            <v>NULL</v>
          </cell>
          <cell r="W694" t="str">
            <v>NULL</v>
          </cell>
        </row>
        <row r="695">
          <cell r="A695">
            <v>694</v>
          </cell>
          <cell r="B695" t="str">
            <v>ja</v>
          </cell>
          <cell r="C695" t="str">
            <v>黄巾賊の将軍 紀田正臣</v>
          </cell>
          <cell r="D695" t="str">
            <v>イベント:デュラララ01 正臣</v>
          </cell>
          <cell r="E695" t="str">
            <v>執行者</v>
          </cell>
          <cell r="F695" t="str">
            <v>格好いい</v>
          </cell>
          <cell r="G695" t="str">
            <v>男性</v>
          </cell>
          <cell r="H695" t="str">
            <v>yellow</v>
          </cell>
          <cell r="I695">
            <v>5</v>
          </cell>
          <cell r="J695" t="str">
            <v>Drop2N</v>
          </cell>
          <cell r="K695" t="str">
            <v>dr</v>
          </cell>
          <cell r="L695" t="str">
            <v>デュラララ!!</v>
          </cell>
          <cell r="M695" t="str">
            <v>human</v>
          </cell>
          <cell r="N695" t="str">
            <v>ヒューマン</v>
          </cell>
          <cell r="O695" t="str">
            <v>none</v>
          </cell>
          <cell r="P695" t="str">
            <v>種族なし</v>
          </cell>
          <cell r="Q695" t="str">
            <v>アタッカー</v>
          </cell>
          <cell r="R695">
            <v>3</v>
          </cell>
          <cell r="S695" t="str">
            <v>NULL</v>
          </cell>
          <cell r="T695" t="str">
            <v>normal</v>
          </cell>
          <cell r="U695" t="str">
            <v>NULL</v>
          </cell>
          <cell r="V695" t="str">
            <v>NULL</v>
          </cell>
          <cell r="W695" t="str">
            <v>NULL</v>
          </cell>
        </row>
        <row r="696">
          <cell r="A696">
            <v>695</v>
          </cell>
          <cell r="B696" t="str">
            <v>ja</v>
          </cell>
          <cell r="C696" t="str">
            <v>セルティ</v>
          </cell>
          <cell r="D696" t="str">
            <v>イベント:デュラララ01 セルティ</v>
          </cell>
          <cell r="E696" t="str">
            <v>執行者</v>
          </cell>
          <cell r="F696" t="str">
            <v>格好いい</v>
          </cell>
          <cell r="G696" t="str">
            <v>女性</v>
          </cell>
          <cell r="H696" t="str">
            <v>yellow</v>
          </cell>
          <cell r="I696">
            <v>3</v>
          </cell>
          <cell r="J696" t="str">
            <v>Drop2N</v>
          </cell>
          <cell r="K696" t="str">
            <v>dr</v>
          </cell>
          <cell r="L696" t="str">
            <v>デュラララ!!</v>
          </cell>
          <cell r="M696" t="str">
            <v>unknown</v>
          </cell>
          <cell r="N696" t="str">
            <v>Unknown</v>
          </cell>
          <cell r="O696" t="str">
            <v>none</v>
          </cell>
          <cell r="P696" t="str">
            <v>種族なし</v>
          </cell>
          <cell r="Q696" t="str">
            <v>アタッカー</v>
          </cell>
          <cell r="R696">
            <v>3</v>
          </cell>
          <cell r="S696" t="str">
            <v>NULL</v>
          </cell>
          <cell r="T696" t="str">
            <v>normal</v>
          </cell>
          <cell r="U696" t="str">
            <v>NULL</v>
          </cell>
          <cell r="V696" t="str">
            <v>NULL</v>
          </cell>
          <cell r="W696" t="str">
            <v>NULL</v>
          </cell>
        </row>
        <row r="697">
          <cell r="A697">
            <v>696</v>
          </cell>
          <cell r="B697" t="str">
            <v>ja</v>
          </cell>
          <cell r="C697" t="str">
            <v>生きる都市伝説 セルティ</v>
          </cell>
          <cell r="D697" t="str">
            <v>イベント:デュラララ01 セルティ</v>
          </cell>
          <cell r="E697" t="str">
            <v>執行者</v>
          </cell>
          <cell r="F697" t="str">
            <v>格好いい</v>
          </cell>
          <cell r="G697" t="str">
            <v>女性</v>
          </cell>
          <cell r="H697" t="str">
            <v>yellow</v>
          </cell>
          <cell r="I697">
            <v>4</v>
          </cell>
          <cell r="J697" t="str">
            <v>Drop2N</v>
          </cell>
          <cell r="K697" t="str">
            <v>dr</v>
          </cell>
          <cell r="L697" t="str">
            <v>デュラララ!!</v>
          </cell>
          <cell r="M697" t="str">
            <v>unknown</v>
          </cell>
          <cell r="N697" t="str">
            <v>Unknown</v>
          </cell>
          <cell r="O697" t="str">
            <v>none</v>
          </cell>
          <cell r="P697" t="str">
            <v>種族なし</v>
          </cell>
          <cell r="Q697" t="str">
            <v>アタッカー</v>
          </cell>
          <cell r="R697">
            <v>3</v>
          </cell>
          <cell r="S697" t="str">
            <v>NULL</v>
          </cell>
          <cell r="T697" t="str">
            <v>normal</v>
          </cell>
          <cell r="U697" t="str">
            <v>NULL</v>
          </cell>
          <cell r="V697" t="str">
            <v>NULL</v>
          </cell>
          <cell r="W697" t="str">
            <v>NULL</v>
          </cell>
        </row>
        <row r="698">
          <cell r="A698">
            <v>697</v>
          </cell>
          <cell r="B698" t="str">
            <v>ja</v>
          </cell>
          <cell r="C698" t="str">
            <v>黒影の首なしライダー セルティ</v>
          </cell>
          <cell r="D698" t="str">
            <v>イベント:デュラララ01 セルティ</v>
          </cell>
          <cell r="E698" t="str">
            <v>執行者</v>
          </cell>
          <cell r="F698" t="str">
            <v>格好いい</v>
          </cell>
          <cell r="G698" t="str">
            <v>女性</v>
          </cell>
          <cell r="H698" t="str">
            <v>yellow</v>
          </cell>
          <cell r="I698">
            <v>5</v>
          </cell>
          <cell r="J698" t="str">
            <v>Drop2N</v>
          </cell>
          <cell r="K698" t="str">
            <v>dr</v>
          </cell>
          <cell r="L698" t="str">
            <v>デュラララ!!</v>
          </cell>
          <cell r="M698" t="str">
            <v>unknown</v>
          </cell>
          <cell r="N698" t="str">
            <v>Unknown</v>
          </cell>
          <cell r="O698" t="str">
            <v>none</v>
          </cell>
          <cell r="P698" t="str">
            <v>種族なし</v>
          </cell>
          <cell r="Q698" t="str">
            <v>アタッカー</v>
          </cell>
          <cell r="R698">
            <v>3</v>
          </cell>
          <cell r="S698" t="str">
            <v>NULL</v>
          </cell>
          <cell r="T698" t="str">
            <v>normal</v>
          </cell>
          <cell r="U698" t="str">
            <v>NULL</v>
          </cell>
          <cell r="V698" t="str">
            <v>NULL</v>
          </cell>
          <cell r="W698" t="str">
            <v>NULL</v>
          </cell>
        </row>
        <row r="699">
          <cell r="A699">
            <v>698</v>
          </cell>
          <cell r="B699" t="str">
            <v>ja</v>
          </cell>
          <cell r="C699" t="str">
            <v>園原杏里</v>
          </cell>
          <cell r="D699" t="str">
            <v>イベント:デュラララ01　杏里</v>
          </cell>
          <cell r="E699" t="str">
            <v>執行者</v>
          </cell>
          <cell r="F699" t="str">
            <v>格好いい</v>
          </cell>
          <cell r="G699" t="str">
            <v>女性</v>
          </cell>
          <cell r="H699" t="str">
            <v>red</v>
          </cell>
          <cell r="I699">
            <v>5</v>
          </cell>
          <cell r="J699" t="str">
            <v>DropWizS</v>
          </cell>
          <cell r="K699" t="str">
            <v>dr</v>
          </cell>
          <cell r="L699" t="str">
            <v>デュラララ!!</v>
          </cell>
          <cell r="M699" t="str">
            <v>human</v>
          </cell>
          <cell r="N699" t="str">
            <v>ヒューマン</v>
          </cell>
          <cell r="O699" t="str">
            <v>unknown</v>
          </cell>
          <cell r="P699" t="str">
            <v>Unknown</v>
          </cell>
          <cell r="Q699" t="str">
            <v>アタッカー</v>
          </cell>
          <cell r="R699">
            <v>3</v>
          </cell>
          <cell r="S699" t="str">
            <v>NULL</v>
          </cell>
          <cell r="T699" t="str">
            <v>normal</v>
          </cell>
          <cell r="U699" t="str">
            <v>NULL</v>
          </cell>
          <cell r="V699" t="str">
            <v>NULL</v>
          </cell>
          <cell r="W699" t="str">
            <v>NULL</v>
          </cell>
        </row>
        <row r="700">
          <cell r="A700">
            <v>699</v>
          </cell>
          <cell r="B700" t="str">
            <v>ja</v>
          </cell>
          <cell r="C700" t="str">
            <v>依存の母愛　園原杏里</v>
          </cell>
          <cell r="D700" t="str">
            <v>イベント:デュラララ01　杏里</v>
          </cell>
          <cell r="E700" t="str">
            <v>執行者</v>
          </cell>
          <cell r="F700" t="str">
            <v>格好いい</v>
          </cell>
          <cell r="G700" t="str">
            <v>女性</v>
          </cell>
          <cell r="H700" t="str">
            <v>red</v>
          </cell>
          <cell r="I700">
            <v>6</v>
          </cell>
          <cell r="J700" t="str">
            <v>DropWizS</v>
          </cell>
          <cell r="K700" t="str">
            <v>dr</v>
          </cell>
          <cell r="L700" t="str">
            <v>デュラララ!!</v>
          </cell>
          <cell r="M700" t="str">
            <v>human</v>
          </cell>
          <cell r="N700" t="str">
            <v>ヒューマン</v>
          </cell>
          <cell r="O700" t="str">
            <v>unknown</v>
          </cell>
          <cell r="P700" t="str">
            <v>Unknown</v>
          </cell>
          <cell r="Q700" t="str">
            <v>アタッカー</v>
          </cell>
          <cell r="R700">
            <v>3</v>
          </cell>
          <cell r="S700" t="str">
            <v>NULL</v>
          </cell>
          <cell r="T700" t="str">
            <v>normal</v>
          </cell>
          <cell r="U700" t="str">
            <v>NULL</v>
          </cell>
          <cell r="V700" t="str">
            <v>NULL</v>
          </cell>
          <cell r="W700" t="str">
            <v>NULL</v>
          </cell>
        </row>
        <row r="701">
          <cell r="A701">
            <v>700</v>
          </cell>
          <cell r="B701" t="str">
            <v>ja</v>
          </cell>
          <cell r="C701" t="str">
            <v>折原臨也</v>
          </cell>
          <cell r="D701" t="str">
            <v>イベント:デュラララ01　折原</v>
          </cell>
          <cell r="E701" t="str">
            <v>執行者</v>
          </cell>
          <cell r="F701" t="str">
            <v>格好いい</v>
          </cell>
          <cell r="G701" t="str">
            <v>男性</v>
          </cell>
          <cell r="H701" t="str">
            <v>blue</v>
          </cell>
          <cell r="I701">
            <v>5</v>
          </cell>
          <cell r="J701" t="str">
            <v>DropWizS</v>
          </cell>
          <cell r="K701" t="str">
            <v>dr</v>
          </cell>
          <cell r="L701" t="str">
            <v>デュラララ!!</v>
          </cell>
          <cell r="M701" t="str">
            <v>human</v>
          </cell>
          <cell r="N701" t="str">
            <v>ヒューマン</v>
          </cell>
          <cell r="O701" t="str">
            <v>none</v>
          </cell>
          <cell r="P701" t="str">
            <v>種族なし</v>
          </cell>
          <cell r="Q701" t="str">
            <v>アタッカー</v>
          </cell>
          <cell r="R701">
            <v>3</v>
          </cell>
          <cell r="S701" t="str">
            <v>NULL</v>
          </cell>
          <cell r="T701" t="str">
            <v>normal</v>
          </cell>
          <cell r="U701" t="str">
            <v>NULL</v>
          </cell>
          <cell r="V701" t="str">
            <v>NULL</v>
          </cell>
          <cell r="W701" t="str">
            <v>NULL</v>
          </cell>
        </row>
        <row r="702">
          <cell r="A702">
            <v>701</v>
          </cell>
          <cell r="B702" t="str">
            <v>ja</v>
          </cell>
          <cell r="C702" t="str">
            <v>謀略の情報屋 折原臨也</v>
          </cell>
          <cell r="D702" t="str">
            <v>イベント:デュラララ01　折原</v>
          </cell>
          <cell r="E702" t="str">
            <v>執行者</v>
          </cell>
          <cell r="F702" t="str">
            <v>格好いい</v>
          </cell>
          <cell r="G702" t="str">
            <v>男性</v>
          </cell>
          <cell r="H702" t="str">
            <v>blue</v>
          </cell>
          <cell r="I702">
            <v>6</v>
          </cell>
          <cell r="J702" t="str">
            <v>DropWizS</v>
          </cell>
          <cell r="K702" t="str">
            <v>dr</v>
          </cell>
          <cell r="L702" t="str">
            <v>デュラララ!!</v>
          </cell>
          <cell r="M702" t="str">
            <v>human</v>
          </cell>
          <cell r="N702" t="str">
            <v>ヒューマン</v>
          </cell>
          <cell r="O702" t="str">
            <v>none</v>
          </cell>
          <cell r="P702" t="str">
            <v>種族なし</v>
          </cell>
          <cell r="Q702" t="str">
            <v>アタッカー</v>
          </cell>
          <cell r="R702">
            <v>3</v>
          </cell>
          <cell r="S702" t="str">
            <v>NULL</v>
          </cell>
          <cell r="T702" t="str">
            <v>normal</v>
          </cell>
          <cell r="U702" t="str">
            <v>NULL</v>
          </cell>
          <cell r="V702" t="str">
            <v>NULL</v>
          </cell>
          <cell r="W702" t="str">
            <v>NULL</v>
          </cell>
        </row>
        <row r="703">
          <cell r="A703">
            <v>702</v>
          </cell>
          <cell r="B703" t="str">
            <v>ja</v>
          </cell>
          <cell r="C703" t="str">
            <v>サイモン</v>
          </cell>
          <cell r="D703" t="str">
            <v>ガチャ:デュラララ01　サイモン</v>
          </cell>
          <cell r="E703" t="str">
            <v>執行者</v>
          </cell>
          <cell r="F703" t="str">
            <v>格好いい</v>
          </cell>
          <cell r="G703" t="str">
            <v>男性</v>
          </cell>
          <cell r="H703" t="str">
            <v>red</v>
          </cell>
          <cell r="I703">
            <v>4</v>
          </cell>
          <cell r="J703" t="str">
            <v>PremiumS</v>
          </cell>
          <cell r="K703" t="str">
            <v>dr</v>
          </cell>
          <cell r="L703" t="str">
            <v>デュラララ!!</v>
          </cell>
          <cell r="M703" t="str">
            <v>human</v>
          </cell>
          <cell r="N703" t="str">
            <v>ヒューマン</v>
          </cell>
          <cell r="O703" t="str">
            <v>none</v>
          </cell>
          <cell r="P703" t="str">
            <v>種族なし</v>
          </cell>
          <cell r="Q703" t="str">
            <v>アタッカー</v>
          </cell>
          <cell r="R703">
            <v>3</v>
          </cell>
          <cell r="S703" t="str">
            <v>NULL</v>
          </cell>
          <cell r="T703" t="str">
            <v>normal</v>
          </cell>
          <cell r="U703" t="str">
            <v>NULL</v>
          </cell>
          <cell r="V703" t="str">
            <v>NULL</v>
          </cell>
          <cell r="W703" t="str">
            <v>NULL</v>
          </cell>
        </row>
        <row r="704">
          <cell r="A704">
            <v>703</v>
          </cell>
          <cell r="B704" t="str">
            <v>ja</v>
          </cell>
          <cell r="C704" t="str">
            <v>豪腕静穏な寿司屋 サイモン</v>
          </cell>
          <cell r="D704" t="str">
            <v>ガチャ:デュラララ01　サイモン</v>
          </cell>
          <cell r="E704" t="str">
            <v>執行者</v>
          </cell>
          <cell r="F704" t="str">
            <v>格好いい</v>
          </cell>
          <cell r="G704" t="str">
            <v>男性</v>
          </cell>
          <cell r="H704" t="str">
            <v>red</v>
          </cell>
          <cell r="I704">
            <v>5</v>
          </cell>
          <cell r="J704" t="str">
            <v>PremiumS</v>
          </cell>
          <cell r="K704" t="str">
            <v>dr</v>
          </cell>
          <cell r="L704" t="str">
            <v>デュラララ!!</v>
          </cell>
          <cell r="M704" t="str">
            <v>human</v>
          </cell>
          <cell r="N704" t="str">
            <v>ヒューマン</v>
          </cell>
          <cell r="O704" t="str">
            <v>none</v>
          </cell>
          <cell r="P704" t="str">
            <v>種族なし</v>
          </cell>
          <cell r="Q704" t="str">
            <v>アタッカー</v>
          </cell>
          <cell r="R704">
            <v>3</v>
          </cell>
          <cell r="S704" t="str">
            <v>NULL</v>
          </cell>
          <cell r="T704" t="str">
            <v>normal</v>
          </cell>
          <cell r="U704" t="str">
            <v>NULL</v>
          </cell>
          <cell r="V704" t="str">
            <v>NULL</v>
          </cell>
          <cell r="W704" t="str">
            <v>NULL</v>
          </cell>
        </row>
        <row r="705">
          <cell r="A705">
            <v>704</v>
          </cell>
          <cell r="B705" t="str">
            <v>ja</v>
          </cell>
          <cell r="C705" t="str">
            <v>贄川春奈</v>
          </cell>
          <cell r="D705" t="str">
            <v>ガチャ:デュラララ01　贄川</v>
          </cell>
          <cell r="E705" t="str">
            <v>執行者</v>
          </cell>
          <cell r="F705" t="str">
            <v>格好いい</v>
          </cell>
          <cell r="G705" t="str">
            <v>女性</v>
          </cell>
          <cell r="H705" t="str">
            <v>red</v>
          </cell>
          <cell r="I705">
            <v>3</v>
          </cell>
          <cell r="J705" t="str">
            <v>PremiumN</v>
          </cell>
          <cell r="K705" t="str">
            <v>dr</v>
          </cell>
          <cell r="L705" t="str">
            <v>デュラララ!!</v>
          </cell>
          <cell r="M705" t="str">
            <v>human</v>
          </cell>
          <cell r="N705" t="str">
            <v>ヒューマン</v>
          </cell>
          <cell r="O705" t="str">
            <v>none</v>
          </cell>
          <cell r="P705" t="str">
            <v>種族なし</v>
          </cell>
          <cell r="Q705" t="str">
            <v>アタッカー</v>
          </cell>
          <cell r="R705">
            <v>3</v>
          </cell>
          <cell r="S705" t="str">
            <v>NULL</v>
          </cell>
          <cell r="T705" t="str">
            <v>normal</v>
          </cell>
          <cell r="U705" t="str">
            <v>NULL</v>
          </cell>
          <cell r="V705" t="str">
            <v>NULL</v>
          </cell>
          <cell r="W705" t="str">
            <v>NULL</v>
          </cell>
        </row>
        <row r="706">
          <cell r="A706">
            <v>705</v>
          </cell>
          <cell r="B706" t="str">
            <v>ja</v>
          </cell>
          <cell r="C706" t="str">
            <v>狂愛なる罪歌の子　贄川春奈</v>
          </cell>
          <cell r="D706" t="str">
            <v>ガチャ:デュラララ01　贄川</v>
          </cell>
          <cell r="E706" t="str">
            <v>執行者</v>
          </cell>
          <cell r="F706" t="str">
            <v>格好いい</v>
          </cell>
          <cell r="G706" t="str">
            <v>女性</v>
          </cell>
          <cell r="H706" t="str">
            <v>red</v>
          </cell>
          <cell r="I706">
            <v>4</v>
          </cell>
          <cell r="J706" t="str">
            <v>PremiumN</v>
          </cell>
          <cell r="K706" t="str">
            <v>dr</v>
          </cell>
          <cell r="L706" t="str">
            <v>デュラララ!!</v>
          </cell>
          <cell r="M706" t="str">
            <v>human</v>
          </cell>
          <cell r="N706" t="str">
            <v>ヒューマン</v>
          </cell>
          <cell r="O706" t="str">
            <v>none</v>
          </cell>
          <cell r="P706" t="str">
            <v>種族なし</v>
          </cell>
          <cell r="Q706" t="str">
            <v>アタッカー</v>
          </cell>
          <cell r="R706">
            <v>3</v>
          </cell>
          <cell r="S706" t="str">
            <v>NULL</v>
          </cell>
          <cell r="T706" t="str">
            <v>normal</v>
          </cell>
          <cell r="U706" t="str">
            <v>NULL</v>
          </cell>
          <cell r="V706" t="str">
            <v>NULL</v>
          </cell>
          <cell r="W706" t="str">
            <v>NULL</v>
          </cell>
        </row>
        <row r="707">
          <cell r="A707">
            <v>706</v>
          </cell>
          <cell r="B707" t="str">
            <v>ja</v>
          </cell>
          <cell r="C707" t="str">
            <v>岸谷新羅</v>
          </cell>
          <cell r="D707" t="str">
            <v>ガチャ:デュラララ01　岸谷</v>
          </cell>
          <cell r="E707" t="str">
            <v>執行者</v>
          </cell>
          <cell r="F707" t="str">
            <v>格好いい</v>
          </cell>
          <cell r="G707" t="str">
            <v>男性</v>
          </cell>
          <cell r="H707" t="str">
            <v>green</v>
          </cell>
          <cell r="I707">
            <v>4</v>
          </cell>
          <cell r="J707" t="str">
            <v>PremiumS</v>
          </cell>
          <cell r="K707" t="str">
            <v>dr</v>
          </cell>
          <cell r="L707" t="str">
            <v>デュラララ!!</v>
          </cell>
          <cell r="M707" t="str">
            <v>human</v>
          </cell>
          <cell r="N707" t="str">
            <v>ヒューマン</v>
          </cell>
          <cell r="O707" t="str">
            <v>none</v>
          </cell>
          <cell r="P707" t="str">
            <v>種族なし</v>
          </cell>
          <cell r="Q707" t="str">
            <v>アタッカー</v>
          </cell>
          <cell r="R707">
            <v>3</v>
          </cell>
          <cell r="S707" t="str">
            <v>NULL</v>
          </cell>
          <cell r="T707" t="str">
            <v>normal</v>
          </cell>
          <cell r="U707" t="str">
            <v>NULL</v>
          </cell>
          <cell r="V707" t="str">
            <v>NULL</v>
          </cell>
          <cell r="W707" t="str">
            <v>NULL</v>
          </cell>
        </row>
        <row r="708">
          <cell r="A708">
            <v>707</v>
          </cell>
          <cell r="B708" t="str">
            <v>ja</v>
          </cell>
          <cell r="C708" t="str">
            <v>愛月撤灯の闇医者 岸谷新羅</v>
          </cell>
          <cell r="D708" t="str">
            <v>ガチャ:デュラララ01　岸谷</v>
          </cell>
          <cell r="E708" t="str">
            <v>執行者</v>
          </cell>
          <cell r="F708" t="str">
            <v>格好いい</v>
          </cell>
          <cell r="G708" t="str">
            <v>男性</v>
          </cell>
          <cell r="H708" t="str">
            <v>green</v>
          </cell>
          <cell r="I708">
            <v>5</v>
          </cell>
          <cell r="J708" t="str">
            <v>PremiumS</v>
          </cell>
          <cell r="K708" t="str">
            <v>dr</v>
          </cell>
          <cell r="L708" t="str">
            <v>デュラララ!!</v>
          </cell>
          <cell r="M708" t="str">
            <v>human</v>
          </cell>
          <cell r="N708" t="str">
            <v>ヒューマン</v>
          </cell>
          <cell r="O708" t="str">
            <v>none</v>
          </cell>
          <cell r="P708" t="str">
            <v>種族なし</v>
          </cell>
          <cell r="Q708" t="str">
            <v>アタッカー</v>
          </cell>
          <cell r="R708">
            <v>3</v>
          </cell>
          <cell r="S708" t="str">
            <v>NULL</v>
          </cell>
          <cell r="T708" t="str">
            <v>normal</v>
          </cell>
          <cell r="U708" t="str">
            <v>NULL</v>
          </cell>
          <cell r="V708" t="str">
            <v>NULL</v>
          </cell>
          <cell r="W708" t="str">
            <v>NULL</v>
          </cell>
        </row>
        <row r="709">
          <cell r="A709">
            <v>708</v>
          </cell>
          <cell r="B709" t="str">
            <v>ja</v>
          </cell>
          <cell r="C709" t="str">
            <v>門田京平</v>
          </cell>
          <cell r="D709" t="str">
            <v>ガチャ:デュラララ01　門田</v>
          </cell>
          <cell r="E709" t="str">
            <v>執行者</v>
          </cell>
          <cell r="F709" t="str">
            <v>格好いい</v>
          </cell>
          <cell r="G709" t="str">
            <v>男性</v>
          </cell>
          <cell r="H709" t="str">
            <v>green</v>
          </cell>
          <cell r="I709">
            <v>3</v>
          </cell>
          <cell r="J709" t="str">
            <v>PremiumN</v>
          </cell>
          <cell r="K709" t="str">
            <v>dr</v>
          </cell>
          <cell r="L709" t="str">
            <v>デュラララ!!</v>
          </cell>
          <cell r="M709" t="str">
            <v>human</v>
          </cell>
          <cell r="N709" t="str">
            <v>ヒューマン</v>
          </cell>
          <cell r="O709" t="str">
            <v>none</v>
          </cell>
          <cell r="P709" t="str">
            <v>種族なし</v>
          </cell>
          <cell r="Q709" t="str">
            <v>アタッカー</v>
          </cell>
          <cell r="R709">
            <v>3</v>
          </cell>
          <cell r="S709" t="str">
            <v>NULL</v>
          </cell>
          <cell r="T709" t="str">
            <v>normal</v>
          </cell>
          <cell r="U709" t="str">
            <v>NULL</v>
          </cell>
          <cell r="V709" t="str">
            <v>NULL</v>
          </cell>
          <cell r="W709" t="str">
            <v>NULL</v>
          </cell>
        </row>
        <row r="710">
          <cell r="A710">
            <v>709</v>
          </cell>
          <cell r="B710" t="str">
            <v>ja</v>
          </cell>
          <cell r="C710" t="str">
            <v>不穢の抑止力　門田京平</v>
          </cell>
          <cell r="D710" t="str">
            <v>ガチャ:デュラララ01　門田</v>
          </cell>
          <cell r="E710" t="str">
            <v>執行者</v>
          </cell>
          <cell r="F710" t="str">
            <v>格好いい</v>
          </cell>
          <cell r="G710" t="str">
            <v>男性</v>
          </cell>
          <cell r="H710" t="str">
            <v>green</v>
          </cell>
          <cell r="I710">
            <v>4</v>
          </cell>
          <cell r="J710" t="str">
            <v>PremiumN</v>
          </cell>
          <cell r="K710" t="str">
            <v>dr</v>
          </cell>
          <cell r="L710" t="str">
            <v>デュラララ!!</v>
          </cell>
          <cell r="M710" t="str">
            <v>human</v>
          </cell>
          <cell r="N710" t="str">
            <v>ヒューマン</v>
          </cell>
          <cell r="O710" t="str">
            <v>none</v>
          </cell>
          <cell r="P710" t="str">
            <v>種族なし</v>
          </cell>
          <cell r="Q710" t="str">
            <v>アタッカー</v>
          </cell>
          <cell r="R710">
            <v>3</v>
          </cell>
          <cell r="S710" t="str">
            <v>NULL</v>
          </cell>
          <cell r="T710" t="str">
            <v>normal</v>
          </cell>
          <cell r="U710" t="str">
            <v>NULL</v>
          </cell>
          <cell r="V710" t="str">
            <v>NULL</v>
          </cell>
          <cell r="W710" t="str">
            <v>NULL</v>
          </cell>
        </row>
        <row r="711">
          <cell r="A711">
            <v>710</v>
          </cell>
          <cell r="B711" t="str">
            <v>ja</v>
          </cell>
          <cell r="C711" t="str">
            <v>田中トム</v>
          </cell>
          <cell r="D711" t="str">
            <v>ガチャ:デュラララ01　田中</v>
          </cell>
          <cell r="E711" t="str">
            <v>執行者</v>
          </cell>
          <cell r="F711" t="str">
            <v>格好いい</v>
          </cell>
          <cell r="G711" t="str">
            <v>男性</v>
          </cell>
          <cell r="H711" t="str">
            <v>green</v>
          </cell>
          <cell r="I711">
            <v>3</v>
          </cell>
          <cell r="J711" t="str">
            <v>PremiumN</v>
          </cell>
          <cell r="K711" t="str">
            <v>dr</v>
          </cell>
          <cell r="L711" t="str">
            <v>デュラララ!!</v>
          </cell>
          <cell r="M711" t="str">
            <v>human</v>
          </cell>
          <cell r="N711" t="str">
            <v>ヒューマン</v>
          </cell>
          <cell r="O711" t="str">
            <v>none</v>
          </cell>
          <cell r="P711" t="str">
            <v>種族なし</v>
          </cell>
          <cell r="Q711" t="str">
            <v>アタッカー</v>
          </cell>
          <cell r="R711">
            <v>3</v>
          </cell>
          <cell r="S711" t="str">
            <v>NULL</v>
          </cell>
          <cell r="T711" t="str">
            <v>normal</v>
          </cell>
          <cell r="U711" t="str">
            <v>NULL</v>
          </cell>
          <cell r="V711" t="str">
            <v>NULL</v>
          </cell>
          <cell r="W711" t="str">
            <v>NULL</v>
          </cell>
        </row>
        <row r="712">
          <cell r="A712">
            <v>711</v>
          </cell>
          <cell r="B712" t="str">
            <v>ja</v>
          </cell>
          <cell r="C712" t="str">
            <v>平衡調和の取り立て屋　田中トム</v>
          </cell>
          <cell r="D712" t="str">
            <v>ガチャ:デュラララ01　田中</v>
          </cell>
          <cell r="E712" t="str">
            <v>執行者</v>
          </cell>
          <cell r="F712" t="str">
            <v>格好いい</v>
          </cell>
          <cell r="G712" t="str">
            <v>男性</v>
          </cell>
          <cell r="H712" t="str">
            <v>green</v>
          </cell>
          <cell r="I712">
            <v>4</v>
          </cell>
          <cell r="J712" t="str">
            <v>PremiumN</v>
          </cell>
          <cell r="K712" t="str">
            <v>dr</v>
          </cell>
          <cell r="L712" t="str">
            <v>デュラララ!!</v>
          </cell>
          <cell r="M712" t="str">
            <v>human</v>
          </cell>
          <cell r="N712" t="str">
            <v>ヒューマン</v>
          </cell>
          <cell r="O712" t="str">
            <v>none</v>
          </cell>
          <cell r="P712" t="str">
            <v>種族なし</v>
          </cell>
          <cell r="Q712" t="str">
            <v>アタッカー</v>
          </cell>
          <cell r="R712">
            <v>3</v>
          </cell>
          <cell r="S712" t="str">
            <v>NULL</v>
          </cell>
          <cell r="T712" t="str">
            <v>normal</v>
          </cell>
          <cell r="U712" t="str">
            <v>NULL</v>
          </cell>
          <cell r="V712" t="str">
            <v>NULL</v>
          </cell>
          <cell r="W712" t="str">
            <v>NULL</v>
          </cell>
        </row>
        <row r="713">
          <cell r="A713">
            <v>712</v>
          </cell>
          <cell r="B713" t="str">
            <v>ja</v>
          </cell>
          <cell r="C713" t="str">
            <v>竜ヶ峰帝人</v>
          </cell>
          <cell r="D713" t="str">
            <v>ガチャ:デュラララ01　帝人</v>
          </cell>
          <cell r="E713" t="str">
            <v>執行者</v>
          </cell>
          <cell r="F713" t="str">
            <v>格好いい</v>
          </cell>
          <cell r="G713" t="str">
            <v>男性</v>
          </cell>
          <cell r="H713" t="str">
            <v>blue</v>
          </cell>
          <cell r="I713">
            <v>5</v>
          </cell>
          <cell r="J713" t="str">
            <v>PremiumSS</v>
          </cell>
          <cell r="K713" t="str">
            <v>dr</v>
          </cell>
          <cell r="L713" t="str">
            <v>デュラララ!!</v>
          </cell>
          <cell r="M713" t="str">
            <v>human</v>
          </cell>
          <cell r="N713" t="str">
            <v>ヒューマン</v>
          </cell>
          <cell r="O713" t="str">
            <v>none</v>
          </cell>
          <cell r="P713" t="str">
            <v>種族なし</v>
          </cell>
          <cell r="Q713" t="str">
            <v>アタッカー</v>
          </cell>
          <cell r="R713">
            <v>3</v>
          </cell>
          <cell r="S713" t="str">
            <v>NULL</v>
          </cell>
          <cell r="T713" t="str">
            <v>normal</v>
          </cell>
          <cell r="U713" t="str">
            <v>NULL</v>
          </cell>
          <cell r="V713" t="str">
            <v>NULL</v>
          </cell>
          <cell r="W713" t="str">
            <v>NULL</v>
          </cell>
        </row>
        <row r="714">
          <cell r="A714">
            <v>713</v>
          </cell>
          <cell r="B714" t="str">
            <v>ja</v>
          </cell>
          <cell r="C714" t="str">
            <v>始まりの創始者　竜ヶ峰帝人</v>
          </cell>
          <cell r="D714" t="str">
            <v>ガチャ:デュラララ01　帝人</v>
          </cell>
          <cell r="E714" t="str">
            <v>執行者</v>
          </cell>
          <cell r="F714" t="str">
            <v>格好いい</v>
          </cell>
          <cell r="G714" t="str">
            <v>男性</v>
          </cell>
          <cell r="H714" t="str">
            <v>blue</v>
          </cell>
          <cell r="I714">
            <v>6</v>
          </cell>
          <cell r="J714" t="str">
            <v>PremiumSS</v>
          </cell>
          <cell r="K714" t="str">
            <v>dr</v>
          </cell>
          <cell r="L714" t="str">
            <v>デュラララ!!</v>
          </cell>
          <cell r="M714" t="str">
            <v>human</v>
          </cell>
          <cell r="N714" t="str">
            <v>ヒューマン</v>
          </cell>
          <cell r="O714" t="str">
            <v>none</v>
          </cell>
          <cell r="P714" t="str">
            <v>種族なし</v>
          </cell>
          <cell r="Q714" t="str">
            <v>アタッカー</v>
          </cell>
          <cell r="R714">
            <v>3</v>
          </cell>
          <cell r="S714" t="str">
            <v>NULL</v>
          </cell>
          <cell r="T714" t="str">
            <v>normal</v>
          </cell>
          <cell r="U714" t="str">
            <v>NULL</v>
          </cell>
          <cell r="V714" t="str">
            <v>NULL</v>
          </cell>
          <cell r="W714" t="str">
            <v>NULL</v>
          </cell>
        </row>
        <row r="715">
          <cell r="A715">
            <v>714</v>
          </cell>
          <cell r="B715" t="str">
            <v>ja</v>
          </cell>
          <cell r="C715" t="str">
            <v>粟楠茜</v>
          </cell>
          <cell r="D715" t="str">
            <v>ガチャ:デュラララ01　茜</v>
          </cell>
          <cell r="E715" t="str">
            <v>執行者</v>
          </cell>
          <cell r="F715" t="str">
            <v>格好いい</v>
          </cell>
          <cell r="G715" t="str">
            <v>女性</v>
          </cell>
          <cell r="H715" t="str">
            <v>blue</v>
          </cell>
          <cell r="I715">
            <v>3</v>
          </cell>
          <cell r="J715" t="str">
            <v>PremiumN</v>
          </cell>
          <cell r="K715" t="str">
            <v>dr</v>
          </cell>
          <cell r="L715" t="str">
            <v>デュラララ!!</v>
          </cell>
          <cell r="M715" t="str">
            <v>human</v>
          </cell>
          <cell r="N715" t="str">
            <v>ヒューマン</v>
          </cell>
          <cell r="O715" t="str">
            <v>none</v>
          </cell>
          <cell r="P715" t="str">
            <v>種族なし</v>
          </cell>
          <cell r="Q715" t="str">
            <v>アタッカー</v>
          </cell>
          <cell r="R715">
            <v>3</v>
          </cell>
          <cell r="S715" t="str">
            <v>NULL</v>
          </cell>
          <cell r="T715" t="str">
            <v>normal</v>
          </cell>
          <cell r="U715" t="str">
            <v>NULL</v>
          </cell>
          <cell r="V715" t="str">
            <v>NULL</v>
          </cell>
          <cell r="W715" t="str">
            <v>NULL</v>
          </cell>
        </row>
        <row r="716">
          <cell r="A716">
            <v>715</v>
          </cell>
          <cell r="B716" t="str">
            <v>ja</v>
          </cell>
          <cell r="C716" t="str">
            <v>小さな殺し屋　粟楠茜</v>
          </cell>
          <cell r="D716" t="str">
            <v>ガチャ:デュラララ01　茜</v>
          </cell>
          <cell r="E716" t="str">
            <v>執行者</v>
          </cell>
          <cell r="F716" t="str">
            <v>格好いい</v>
          </cell>
          <cell r="G716" t="str">
            <v>女性</v>
          </cell>
          <cell r="H716" t="str">
            <v>blue</v>
          </cell>
          <cell r="I716">
            <v>4</v>
          </cell>
          <cell r="J716" t="str">
            <v>PremiumN</v>
          </cell>
          <cell r="K716" t="str">
            <v>dr</v>
          </cell>
          <cell r="L716" t="str">
            <v>デュラララ!!</v>
          </cell>
          <cell r="M716" t="str">
            <v>human</v>
          </cell>
          <cell r="N716" t="str">
            <v>ヒューマン</v>
          </cell>
          <cell r="O716" t="str">
            <v>none</v>
          </cell>
          <cell r="P716" t="str">
            <v>種族なし</v>
          </cell>
          <cell r="Q716" t="str">
            <v>アタッカー</v>
          </cell>
          <cell r="R716">
            <v>3</v>
          </cell>
          <cell r="S716" t="str">
            <v>NULL</v>
          </cell>
          <cell r="T716" t="str">
            <v>normal</v>
          </cell>
          <cell r="U716" t="str">
            <v>NULL</v>
          </cell>
          <cell r="V716" t="str">
            <v>NULL</v>
          </cell>
          <cell r="W716" t="str">
            <v>NULL</v>
          </cell>
        </row>
        <row r="717">
          <cell r="A717">
            <v>716</v>
          </cell>
          <cell r="B717" t="str">
            <v>ja</v>
          </cell>
          <cell r="C717" t="str">
            <v>平和島静雄</v>
          </cell>
          <cell r="D717" t="str">
            <v>ガチャ:デュラララ01　静雄</v>
          </cell>
          <cell r="E717" t="str">
            <v>執行者</v>
          </cell>
          <cell r="F717" t="str">
            <v>格好いい</v>
          </cell>
          <cell r="G717" t="str">
            <v>男性</v>
          </cell>
          <cell r="H717" t="str">
            <v>yellow</v>
          </cell>
          <cell r="I717">
            <v>5</v>
          </cell>
          <cell r="J717" t="str">
            <v>PremiumSS</v>
          </cell>
          <cell r="K717" t="str">
            <v>dr</v>
          </cell>
          <cell r="L717" t="str">
            <v>デュラララ!!</v>
          </cell>
          <cell r="M717" t="str">
            <v>human</v>
          </cell>
          <cell r="N717" t="str">
            <v>ヒューマン</v>
          </cell>
          <cell r="O717" t="str">
            <v>none</v>
          </cell>
          <cell r="P717" t="str">
            <v>種族なし</v>
          </cell>
          <cell r="Q717" t="str">
            <v>アタッカー</v>
          </cell>
          <cell r="R717">
            <v>3</v>
          </cell>
          <cell r="S717" t="str">
            <v>NULL</v>
          </cell>
          <cell r="T717" t="str">
            <v>normal</v>
          </cell>
          <cell r="U717" t="str">
            <v>NULL</v>
          </cell>
          <cell r="V717" t="str">
            <v>NULL</v>
          </cell>
          <cell r="W717" t="str">
            <v>NULL</v>
          </cell>
        </row>
        <row r="718">
          <cell r="A718">
            <v>717</v>
          </cell>
          <cell r="B718" t="str">
            <v>ja</v>
          </cell>
          <cell r="C718" t="str">
            <v>池袋最強の暴走 平和島静雄</v>
          </cell>
          <cell r="D718" t="str">
            <v>ガチャ:デュラララ01　静雄</v>
          </cell>
          <cell r="E718" t="str">
            <v>執行者</v>
          </cell>
          <cell r="F718" t="str">
            <v>格好いい</v>
          </cell>
          <cell r="G718" t="str">
            <v>男性</v>
          </cell>
          <cell r="H718" t="str">
            <v>yellow</v>
          </cell>
          <cell r="I718">
            <v>6</v>
          </cell>
          <cell r="J718" t="str">
            <v>PremiumSS</v>
          </cell>
          <cell r="K718" t="str">
            <v>dr</v>
          </cell>
          <cell r="L718" t="str">
            <v>デュラララ!!</v>
          </cell>
          <cell r="M718" t="str">
            <v>human</v>
          </cell>
          <cell r="N718" t="str">
            <v>ヒューマン</v>
          </cell>
          <cell r="O718" t="str">
            <v>none</v>
          </cell>
          <cell r="P718" t="str">
            <v>種族なし</v>
          </cell>
          <cell r="Q718" t="str">
            <v>アタッカー</v>
          </cell>
          <cell r="R718">
            <v>3</v>
          </cell>
          <cell r="S718" t="str">
            <v>NULL</v>
          </cell>
          <cell r="T718" t="str">
            <v>normal</v>
          </cell>
          <cell r="U718" t="str">
            <v>NULL</v>
          </cell>
          <cell r="V718" t="str">
            <v>NULL</v>
          </cell>
          <cell r="W718" t="str">
            <v>NULL</v>
          </cell>
        </row>
        <row r="719">
          <cell r="A719">
            <v>718</v>
          </cell>
          <cell r="B719" t="str">
            <v>ja</v>
          </cell>
          <cell r="C719" t="str">
            <v>ヴァローナ</v>
          </cell>
          <cell r="D719" t="str">
            <v>ガチャ:デュラララ01　ヴァローナ</v>
          </cell>
          <cell r="E719" t="str">
            <v>執行者</v>
          </cell>
          <cell r="F719" t="str">
            <v>格好いい</v>
          </cell>
          <cell r="G719" t="str">
            <v>女性</v>
          </cell>
          <cell r="H719" t="str">
            <v>yellow</v>
          </cell>
          <cell r="I719">
            <v>4</v>
          </cell>
          <cell r="J719" t="str">
            <v>PremiumS</v>
          </cell>
          <cell r="K719" t="str">
            <v>dr</v>
          </cell>
          <cell r="L719" t="str">
            <v>デュラララ!!</v>
          </cell>
          <cell r="M719" t="str">
            <v>human</v>
          </cell>
          <cell r="N719" t="str">
            <v>ヒューマン</v>
          </cell>
          <cell r="O719" t="str">
            <v>none</v>
          </cell>
          <cell r="P719" t="str">
            <v>種族なし</v>
          </cell>
          <cell r="Q719" t="str">
            <v>アタッカー</v>
          </cell>
          <cell r="R719">
            <v>3</v>
          </cell>
          <cell r="S719" t="str">
            <v>NULL</v>
          </cell>
          <cell r="T719" t="str">
            <v>normal</v>
          </cell>
          <cell r="U719" t="str">
            <v>NULL</v>
          </cell>
          <cell r="V719" t="str">
            <v>NULL</v>
          </cell>
          <cell r="W719" t="str">
            <v>NULL</v>
          </cell>
        </row>
        <row r="720">
          <cell r="A720">
            <v>719</v>
          </cell>
          <cell r="B720" t="str">
            <v>ja</v>
          </cell>
          <cell r="C720" t="str">
            <v>聡明な戦狂女 ヴァローナ</v>
          </cell>
          <cell r="D720" t="str">
            <v>ガチャ:デュラララ01　ヴァローナ</v>
          </cell>
          <cell r="E720" t="str">
            <v>執行者</v>
          </cell>
          <cell r="F720" t="str">
            <v>格好いい</v>
          </cell>
          <cell r="G720" t="str">
            <v>女性</v>
          </cell>
          <cell r="H720" t="str">
            <v>yellow</v>
          </cell>
          <cell r="I720">
            <v>5</v>
          </cell>
          <cell r="J720" t="str">
            <v>PremiumS</v>
          </cell>
          <cell r="K720" t="str">
            <v>dr</v>
          </cell>
          <cell r="L720" t="str">
            <v>デュラララ!!</v>
          </cell>
          <cell r="M720" t="str">
            <v>human</v>
          </cell>
          <cell r="N720" t="str">
            <v>ヒューマン</v>
          </cell>
          <cell r="O720" t="str">
            <v>none</v>
          </cell>
          <cell r="P720" t="str">
            <v>種族なし</v>
          </cell>
          <cell r="Q720" t="str">
            <v>アタッカー</v>
          </cell>
          <cell r="R720">
            <v>3</v>
          </cell>
          <cell r="S720" t="str">
            <v>NULL</v>
          </cell>
          <cell r="T720" t="str">
            <v>normal</v>
          </cell>
          <cell r="U720" t="str">
            <v>NULL</v>
          </cell>
          <cell r="V720" t="str">
            <v>NULL</v>
          </cell>
          <cell r="W720" t="str">
            <v>NULL</v>
          </cell>
        </row>
        <row r="721">
          <cell r="A721">
            <v>720</v>
          </cell>
          <cell r="B721" t="str">
            <v>ja</v>
          </cell>
          <cell r="C721" t="str">
            <v>直江兼続</v>
          </cell>
          <cell r="D721" t="str">
            <v>イベント:戦国01</v>
          </cell>
          <cell r="E721" t="str">
            <v>執行者</v>
          </cell>
          <cell r="F721" t="str">
            <v>格好いい</v>
          </cell>
          <cell r="G721" t="str">
            <v>男性</v>
          </cell>
          <cell r="H721" t="str">
            <v>green</v>
          </cell>
          <cell r="I721">
            <v>4</v>
          </cell>
          <cell r="J721" t="str">
            <v>Drop2N</v>
          </cell>
          <cell r="K721" t="str">
            <v>hp</v>
          </cell>
          <cell r="L721" t="str">
            <v>体力タイプ</v>
          </cell>
          <cell r="M721" t="str">
            <v>human</v>
          </cell>
          <cell r="N721" t="str">
            <v>ヒューマン</v>
          </cell>
          <cell r="O721" t="str">
            <v>samurai</v>
          </cell>
          <cell r="P721" t="str">
            <v>サムライ</v>
          </cell>
          <cell r="Q721" t="str">
            <v>アタッカー</v>
          </cell>
          <cell r="R721">
            <v>3</v>
          </cell>
          <cell r="S721" t="str">
            <v>NULL</v>
          </cell>
          <cell r="T721" t="str">
            <v>normal</v>
          </cell>
          <cell r="U721" t="str">
            <v>NULL</v>
          </cell>
          <cell r="V721" t="str">
            <v>NULL</v>
          </cell>
          <cell r="W721" t="str">
            <v>NULL</v>
          </cell>
        </row>
        <row r="722">
          <cell r="A722">
            <v>721</v>
          </cell>
          <cell r="B722" t="str">
            <v>ja</v>
          </cell>
          <cell r="C722" t="str">
            <v>迎激の愛銃 直江兼続</v>
          </cell>
          <cell r="D722" t="str">
            <v>イベント:戦国01</v>
          </cell>
          <cell r="E722" t="str">
            <v>執行者</v>
          </cell>
          <cell r="F722" t="str">
            <v>格好いい</v>
          </cell>
          <cell r="G722" t="str">
            <v>男性</v>
          </cell>
          <cell r="H722" t="str">
            <v>green</v>
          </cell>
          <cell r="I722">
            <v>5</v>
          </cell>
          <cell r="J722" t="str">
            <v>Drop2N</v>
          </cell>
          <cell r="K722" t="str">
            <v>hp</v>
          </cell>
          <cell r="L722" t="str">
            <v>体力タイプ</v>
          </cell>
          <cell r="M722" t="str">
            <v>human</v>
          </cell>
          <cell r="N722" t="str">
            <v>ヒューマン</v>
          </cell>
          <cell r="O722" t="str">
            <v>samurai</v>
          </cell>
          <cell r="P722" t="str">
            <v>サムライ</v>
          </cell>
          <cell r="Q722" t="str">
            <v>アタッカー</v>
          </cell>
          <cell r="R722">
            <v>3</v>
          </cell>
          <cell r="S722" t="str">
            <v>NULL</v>
          </cell>
          <cell r="T722" t="str">
            <v>normal</v>
          </cell>
          <cell r="U722" t="str">
            <v>NULL</v>
          </cell>
          <cell r="V722" t="str">
            <v>NULL</v>
          </cell>
          <cell r="W722" t="str">
            <v>NULL</v>
          </cell>
        </row>
        <row r="723">
          <cell r="A723">
            <v>722</v>
          </cell>
          <cell r="B723" t="str">
            <v>ja</v>
          </cell>
          <cell r="C723" t="str">
            <v>森蘭丸</v>
          </cell>
          <cell r="D723" t="str">
            <v>イベント:戦国01</v>
          </cell>
          <cell r="E723" t="str">
            <v>執行者</v>
          </cell>
          <cell r="F723" t="str">
            <v>格好いい</v>
          </cell>
          <cell r="G723" t="str">
            <v>男性</v>
          </cell>
          <cell r="H723" t="str">
            <v>yellow</v>
          </cell>
          <cell r="I723">
            <v>4</v>
          </cell>
          <cell r="J723" t="str">
            <v>Drop2N</v>
          </cell>
          <cell r="K723" t="str">
            <v>balance</v>
          </cell>
          <cell r="L723" t="str">
            <v>バランスタイプ</v>
          </cell>
          <cell r="M723" t="str">
            <v>human</v>
          </cell>
          <cell r="N723" t="str">
            <v>ヒューマン</v>
          </cell>
          <cell r="O723" t="str">
            <v>samurai</v>
          </cell>
          <cell r="P723" t="str">
            <v>サムライ</v>
          </cell>
          <cell r="Q723" t="str">
            <v>アタッカー</v>
          </cell>
          <cell r="R723">
            <v>3</v>
          </cell>
          <cell r="S723" t="str">
            <v>NULL</v>
          </cell>
          <cell r="T723" t="str">
            <v>normal</v>
          </cell>
          <cell r="U723" t="str">
            <v>NULL</v>
          </cell>
          <cell r="V723" t="str">
            <v>NULL</v>
          </cell>
          <cell r="W723" t="str">
            <v>NULL</v>
          </cell>
        </row>
        <row r="724">
          <cell r="A724">
            <v>723</v>
          </cell>
          <cell r="B724" t="str">
            <v>ja</v>
          </cell>
          <cell r="C724" t="str">
            <v>萌芽の密心  森蘭丸</v>
          </cell>
          <cell r="D724" t="str">
            <v>イベント:戦国01</v>
          </cell>
          <cell r="E724" t="str">
            <v>執行者</v>
          </cell>
          <cell r="F724" t="str">
            <v>格好いい</v>
          </cell>
          <cell r="G724" t="str">
            <v>男性</v>
          </cell>
          <cell r="H724" t="str">
            <v>yellow</v>
          </cell>
          <cell r="I724">
            <v>5</v>
          </cell>
          <cell r="J724" t="str">
            <v>Drop2N</v>
          </cell>
          <cell r="K724" t="str">
            <v>balance</v>
          </cell>
          <cell r="L724" t="str">
            <v>バランスタイプ</v>
          </cell>
          <cell r="M724" t="str">
            <v>human</v>
          </cell>
          <cell r="N724" t="str">
            <v>ヒューマン</v>
          </cell>
          <cell r="O724" t="str">
            <v>samurai</v>
          </cell>
          <cell r="P724" t="str">
            <v>サムライ</v>
          </cell>
          <cell r="Q724" t="str">
            <v>アタッカー</v>
          </cell>
          <cell r="R724">
            <v>3</v>
          </cell>
          <cell r="S724" t="str">
            <v>NULL</v>
          </cell>
          <cell r="T724" t="str">
            <v>normal</v>
          </cell>
          <cell r="U724" t="str">
            <v>NULL</v>
          </cell>
          <cell r="V724" t="str">
            <v>NULL</v>
          </cell>
          <cell r="W724" t="str">
            <v>NULL</v>
          </cell>
        </row>
        <row r="725">
          <cell r="A725">
            <v>724</v>
          </cell>
          <cell r="B725" t="str">
            <v>ja</v>
          </cell>
          <cell r="C725" t="str">
            <v>武田信玄</v>
          </cell>
          <cell r="D725" t="str">
            <v>イベント:ウィザード</v>
          </cell>
          <cell r="E725" t="str">
            <v>執行者</v>
          </cell>
          <cell r="F725" t="str">
            <v>格好いい</v>
          </cell>
          <cell r="G725" t="str">
            <v>男性</v>
          </cell>
          <cell r="H725" t="str">
            <v>red</v>
          </cell>
          <cell r="I725">
            <v>5</v>
          </cell>
          <cell r="J725" t="str">
            <v>DropWizS</v>
          </cell>
          <cell r="K725" t="str">
            <v>attack</v>
          </cell>
          <cell r="L725" t="str">
            <v>攻撃タイプ</v>
          </cell>
          <cell r="M725" t="str">
            <v>human</v>
          </cell>
          <cell r="N725" t="str">
            <v>ヒューマン</v>
          </cell>
          <cell r="O725" t="str">
            <v>samurai</v>
          </cell>
          <cell r="P725" t="str">
            <v>サムライ</v>
          </cell>
          <cell r="Q725" t="str">
            <v>アタッカー</v>
          </cell>
          <cell r="R725">
            <v>3</v>
          </cell>
          <cell r="S725" t="str">
            <v>NULL</v>
          </cell>
          <cell r="T725" t="str">
            <v>normal</v>
          </cell>
          <cell r="U725" t="str">
            <v>NULL</v>
          </cell>
          <cell r="V725" t="str">
            <v>NULL</v>
          </cell>
          <cell r="W725" t="str">
            <v>NULL</v>
          </cell>
        </row>
        <row r="726">
          <cell r="A726">
            <v>725</v>
          </cell>
          <cell r="B726" t="str">
            <v>ja</v>
          </cell>
          <cell r="C726" t="str">
            <v>泰然の暴虎 武田信玄</v>
          </cell>
          <cell r="D726" t="str">
            <v>イベント:ウィザード</v>
          </cell>
          <cell r="E726" t="str">
            <v>執行者</v>
          </cell>
          <cell r="F726" t="str">
            <v>格好いい</v>
          </cell>
          <cell r="G726" t="str">
            <v>男性</v>
          </cell>
          <cell r="H726" t="str">
            <v>red</v>
          </cell>
          <cell r="I726">
            <v>6</v>
          </cell>
          <cell r="J726" t="str">
            <v>DropWizS</v>
          </cell>
          <cell r="K726" t="str">
            <v>attack</v>
          </cell>
          <cell r="L726" t="str">
            <v>攻撃タイプ</v>
          </cell>
          <cell r="M726" t="str">
            <v>human</v>
          </cell>
          <cell r="N726" t="str">
            <v>ヒューマン</v>
          </cell>
          <cell r="O726" t="str">
            <v>samurai</v>
          </cell>
          <cell r="P726" t="str">
            <v>サムライ</v>
          </cell>
          <cell r="Q726" t="str">
            <v>アタッカー</v>
          </cell>
          <cell r="R726">
            <v>3</v>
          </cell>
          <cell r="S726" t="str">
            <v>NULL</v>
          </cell>
          <cell r="T726" t="str">
            <v>normal</v>
          </cell>
          <cell r="U726" t="str">
            <v>NULL</v>
          </cell>
          <cell r="V726" t="str">
            <v>NULL</v>
          </cell>
          <cell r="W726" t="str">
            <v>NULL</v>
          </cell>
        </row>
        <row r="727">
          <cell r="A727">
            <v>726</v>
          </cell>
          <cell r="B727" t="str">
            <v>ja</v>
          </cell>
          <cell r="C727" t="str">
            <v>織田信長</v>
          </cell>
          <cell r="D727" t="str">
            <v>イベント:超ウィザード03</v>
          </cell>
          <cell r="E727" t="str">
            <v>執行者</v>
          </cell>
          <cell r="F727" t="str">
            <v>格好いい</v>
          </cell>
          <cell r="G727" t="str">
            <v>男性</v>
          </cell>
          <cell r="H727" t="str">
            <v>red</v>
          </cell>
          <cell r="I727">
            <v>5</v>
          </cell>
          <cell r="J727" t="str">
            <v>DropWizSS</v>
          </cell>
          <cell r="K727" t="str">
            <v>balance</v>
          </cell>
          <cell r="L727" t="str">
            <v>バランスタイプ</v>
          </cell>
          <cell r="M727" t="str">
            <v>human</v>
          </cell>
          <cell r="N727" t="str">
            <v>ヒューマン</v>
          </cell>
          <cell r="O727" t="str">
            <v>samurai</v>
          </cell>
          <cell r="P727" t="str">
            <v>サムライ</v>
          </cell>
          <cell r="Q727" t="str">
            <v>アタッカー</v>
          </cell>
          <cell r="R727">
            <v>3</v>
          </cell>
          <cell r="S727" t="str">
            <v>NULL</v>
          </cell>
          <cell r="T727" t="str">
            <v>normal</v>
          </cell>
          <cell r="U727" t="str">
            <v>NULL</v>
          </cell>
          <cell r="V727" t="str">
            <v>NULL</v>
          </cell>
          <cell r="W727" t="str">
            <v>NULL</v>
          </cell>
        </row>
        <row r="728">
          <cell r="A728">
            <v>727</v>
          </cell>
          <cell r="B728" t="str">
            <v>ja</v>
          </cell>
          <cell r="C728" t="str">
            <v>真鋭の征服者 織田信長</v>
          </cell>
          <cell r="D728" t="str">
            <v>イベント:超ウィザード03</v>
          </cell>
          <cell r="E728" t="str">
            <v>執行者</v>
          </cell>
          <cell r="F728" t="str">
            <v>格好いい</v>
          </cell>
          <cell r="G728" t="str">
            <v>男性</v>
          </cell>
          <cell r="H728" t="str">
            <v>red</v>
          </cell>
          <cell r="I728">
            <v>6</v>
          </cell>
          <cell r="J728" t="str">
            <v>DropWizSS</v>
          </cell>
          <cell r="K728" t="str">
            <v>balance</v>
          </cell>
          <cell r="L728" t="str">
            <v>バランスタイプ</v>
          </cell>
          <cell r="M728" t="str">
            <v>human</v>
          </cell>
          <cell r="N728" t="str">
            <v>ヒューマン</v>
          </cell>
          <cell r="O728" t="str">
            <v>samurai</v>
          </cell>
          <cell r="P728" t="str">
            <v>サムライ</v>
          </cell>
          <cell r="Q728" t="str">
            <v>アタッカー</v>
          </cell>
          <cell r="R728">
            <v>3</v>
          </cell>
          <cell r="S728" t="str">
            <v>NULL</v>
          </cell>
          <cell r="T728" t="str">
            <v>normal</v>
          </cell>
          <cell r="U728" t="str">
            <v>NULL</v>
          </cell>
          <cell r="V728" t="str">
            <v>NULL</v>
          </cell>
          <cell r="W728" t="str">
            <v>NULL</v>
          </cell>
        </row>
        <row r="729">
          <cell r="A729">
            <v>728</v>
          </cell>
          <cell r="B729" t="str">
            <v>ja</v>
          </cell>
          <cell r="C729" t="str">
            <v>井伊直虎</v>
          </cell>
          <cell r="D729" t="str">
            <v>ガチャ:戦国01</v>
          </cell>
          <cell r="E729" t="str">
            <v>執行者</v>
          </cell>
          <cell r="F729" t="str">
            <v>格好いい</v>
          </cell>
          <cell r="G729" t="str">
            <v>女性</v>
          </cell>
          <cell r="H729" t="str">
            <v>red</v>
          </cell>
          <cell r="I729">
            <v>4</v>
          </cell>
          <cell r="J729" t="str">
            <v>PremiumS</v>
          </cell>
          <cell r="K729" t="str">
            <v>balance</v>
          </cell>
          <cell r="L729" t="str">
            <v>バランスタイプ</v>
          </cell>
          <cell r="M729" t="str">
            <v>human</v>
          </cell>
          <cell r="N729" t="str">
            <v>ヒューマン</v>
          </cell>
          <cell r="O729" t="str">
            <v>samurai</v>
          </cell>
          <cell r="P729" t="str">
            <v>サムライ</v>
          </cell>
          <cell r="Q729" t="str">
            <v>アタッカー</v>
          </cell>
          <cell r="R729">
            <v>3</v>
          </cell>
          <cell r="S729" t="str">
            <v>NULL</v>
          </cell>
          <cell r="T729" t="str">
            <v>normal</v>
          </cell>
          <cell r="U729" t="str">
            <v>NULL</v>
          </cell>
          <cell r="V729" t="str">
            <v>NULL</v>
          </cell>
          <cell r="W729" t="str">
            <v>NULL</v>
          </cell>
        </row>
        <row r="730">
          <cell r="A730">
            <v>729</v>
          </cell>
          <cell r="B730" t="str">
            <v>ja</v>
          </cell>
          <cell r="C730" t="str">
            <v>暗厄の双刀 井伊直虎</v>
          </cell>
          <cell r="D730" t="str">
            <v>ガチャ:戦国01</v>
          </cell>
          <cell r="E730" t="str">
            <v>執行者</v>
          </cell>
          <cell r="F730" t="str">
            <v>格好いい</v>
          </cell>
          <cell r="G730" t="str">
            <v>女性</v>
          </cell>
          <cell r="H730" t="str">
            <v>red</v>
          </cell>
          <cell r="I730">
            <v>5</v>
          </cell>
          <cell r="J730" t="str">
            <v>PremiumS</v>
          </cell>
          <cell r="K730" t="str">
            <v>balance</v>
          </cell>
          <cell r="L730" t="str">
            <v>バランスタイプ</v>
          </cell>
          <cell r="M730" t="str">
            <v>human</v>
          </cell>
          <cell r="N730" t="str">
            <v>ヒューマン</v>
          </cell>
          <cell r="O730" t="str">
            <v>samurai</v>
          </cell>
          <cell r="P730" t="str">
            <v>サムライ</v>
          </cell>
          <cell r="Q730" t="str">
            <v>アタッカー</v>
          </cell>
          <cell r="R730">
            <v>3</v>
          </cell>
          <cell r="S730" t="str">
            <v>NULL</v>
          </cell>
          <cell r="T730" t="str">
            <v>normal</v>
          </cell>
          <cell r="U730" t="str">
            <v>NULL</v>
          </cell>
          <cell r="V730" t="str">
            <v>NULL</v>
          </cell>
          <cell r="W730" t="str">
            <v>NULL</v>
          </cell>
        </row>
        <row r="731">
          <cell r="A731">
            <v>730</v>
          </cell>
          <cell r="B731" t="str">
            <v>ja</v>
          </cell>
          <cell r="C731" t="str">
            <v>ガラシャ</v>
          </cell>
          <cell r="D731" t="str">
            <v>ガチャ:戦国01</v>
          </cell>
          <cell r="E731" t="str">
            <v>執行者</v>
          </cell>
          <cell r="F731" t="str">
            <v>格好いい</v>
          </cell>
          <cell r="G731" t="str">
            <v>女性</v>
          </cell>
          <cell r="H731" t="str">
            <v>green</v>
          </cell>
          <cell r="I731">
            <v>4</v>
          </cell>
          <cell r="J731" t="str">
            <v>PremiumS</v>
          </cell>
          <cell r="K731" t="str">
            <v>heal</v>
          </cell>
          <cell r="L731" t="str">
            <v>回復タイプ</v>
          </cell>
          <cell r="M731" t="str">
            <v>human</v>
          </cell>
          <cell r="N731" t="str">
            <v>ヒューマン</v>
          </cell>
          <cell r="O731" t="str">
            <v>none</v>
          </cell>
          <cell r="P731" t="str">
            <v>種族なし</v>
          </cell>
          <cell r="Q731" t="str">
            <v>アタッカー</v>
          </cell>
          <cell r="R731">
            <v>3</v>
          </cell>
          <cell r="S731" t="str">
            <v>NULL</v>
          </cell>
          <cell r="T731" t="str">
            <v>normal</v>
          </cell>
          <cell r="U731" t="str">
            <v>NULL</v>
          </cell>
          <cell r="V731" t="str">
            <v>NULL</v>
          </cell>
          <cell r="W731" t="str">
            <v>NULL</v>
          </cell>
        </row>
        <row r="732">
          <cell r="A732">
            <v>731</v>
          </cell>
          <cell r="B732" t="str">
            <v>ja</v>
          </cell>
          <cell r="C732" t="str">
            <v>敬虔なる追銃 ガラシャ</v>
          </cell>
          <cell r="D732" t="str">
            <v>ガチャ:戦国01</v>
          </cell>
          <cell r="E732" t="str">
            <v>執行者</v>
          </cell>
          <cell r="F732" t="str">
            <v>格好いい</v>
          </cell>
          <cell r="G732" t="str">
            <v>女性</v>
          </cell>
          <cell r="H732" t="str">
            <v>green</v>
          </cell>
          <cell r="I732">
            <v>5</v>
          </cell>
          <cell r="J732" t="str">
            <v>PremiumS</v>
          </cell>
          <cell r="K732" t="str">
            <v>heal</v>
          </cell>
          <cell r="L732" t="str">
            <v>回復タイプ</v>
          </cell>
          <cell r="M732" t="str">
            <v>human</v>
          </cell>
          <cell r="N732" t="str">
            <v>ヒューマン</v>
          </cell>
          <cell r="O732" t="str">
            <v>none</v>
          </cell>
          <cell r="P732" t="str">
            <v>種族なし</v>
          </cell>
          <cell r="Q732" t="str">
            <v>アタッカー</v>
          </cell>
          <cell r="R732">
            <v>3</v>
          </cell>
          <cell r="S732" t="str">
            <v>NULL</v>
          </cell>
          <cell r="T732" t="str">
            <v>normal</v>
          </cell>
          <cell r="U732" t="str">
            <v>NULL</v>
          </cell>
          <cell r="V732" t="str">
            <v>NULL</v>
          </cell>
          <cell r="W732" t="str">
            <v>NULL</v>
          </cell>
        </row>
        <row r="733">
          <cell r="A733">
            <v>732</v>
          </cell>
          <cell r="B733" t="str">
            <v>ja</v>
          </cell>
          <cell r="C733" t="str">
            <v>上杉謙信</v>
          </cell>
          <cell r="D733" t="str">
            <v>ガチャ:戦国01</v>
          </cell>
          <cell r="E733" t="str">
            <v>執行者</v>
          </cell>
          <cell r="F733" t="str">
            <v>格好いい</v>
          </cell>
          <cell r="G733" t="str">
            <v>女性</v>
          </cell>
          <cell r="H733" t="str">
            <v>blue</v>
          </cell>
          <cell r="I733">
            <v>5</v>
          </cell>
          <cell r="J733" t="str">
            <v>PremiumSS</v>
          </cell>
          <cell r="K733" t="str">
            <v>attack</v>
          </cell>
          <cell r="L733" t="str">
            <v>攻撃タイプ</v>
          </cell>
          <cell r="M733" t="str">
            <v>human</v>
          </cell>
          <cell r="N733" t="str">
            <v>ヒューマン</v>
          </cell>
          <cell r="O733" t="str">
            <v>samurai</v>
          </cell>
          <cell r="P733" t="str">
            <v>サムライ</v>
          </cell>
          <cell r="Q733" t="str">
            <v>アタッカー</v>
          </cell>
          <cell r="R733">
            <v>3</v>
          </cell>
          <cell r="S733" t="str">
            <v>NULL</v>
          </cell>
          <cell r="T733" t="str">
            <v>normal</v>
          </cell>
          <cell r="U733" t="str">
            <v>NULL</v>
          </cell>
          <cell r="V733" t="str">
            <v>NULL</v>
          </cell>
          <cell r="W733" t="str">
            <v>NULL</v>
          </cell>
        </row>
        <row r="734">
          <cell r="A734">
            <v>733</v>
          </cell>
          <cell r="B734" t="str">
            <v>ja</v>
          </cell>
          <cell r="C734" t="str">
            <v>夢幻の千刃 上杉謙信</v>
          </cell>
          <cell r="D734" t="str">
            <v>ガチャ:戦国01</v>
          </cell>
          <cell r="E734" t="str">
            <v>執行者</v>
          </cell>
          <cell r="F734" t="str">
            <v>格好いい</v>
          </cell>
          <cell r="G734" t="str">
            <v>男性</v>
          </cell>
          <cell r="H734" t="str">
            <v>blue</v>
          </cell>
          <cell r="I734">
            <v>6</v>
          </cell>
          <cell r="J734" t="str">
            <v>PremiumSS</v>
          </cell>
          <cell r="K734" t="str">
            <v>attack</v>
          </cell>
          <cell r="L734" t="str">
            <v>攻撃タイプ</v>
          </cell>
          <cell r="M734" t="str">
            <v>human</v>
          </cell>
          <cell r="N734" t="str">
            <v>ヒューマン</v>
          </cell>
          <cell r="O734" t="str">
            <v>samurai</v>
          </cell>
          <cell r="P734" t="str">
            <v>サムライ</v>
          </cell>
          <cell r="Q734" t="str">
            <v>アタッカー</v>
          </cell>
          <cell r="R734">
            <v>3</v>
          </cell>
          <cell r="S734" t="str">
            <v>NULL</v>
          </cell>
          <cell r="T734" t="str">
            <v>normal</v>
          </cell>
          <cell r="U734" t="str">
            <v>NULL</v>
          </cell>
          <cell r="V734" t="str">
            <v>NULL</v>
          </cell>
          <cell r="W734" t="str">
            <v>NULL</v>
          </cell>
        </row>
        <row r="735">
          <cell r="A735">
            <v>734</v>
          </cell>
          <cell r="B735" t="str">
            <v>ja</v>
          </cell>
          <cell r="C735" t="str">
            <v>伊達政宗</v>
          </cell>
          <cell r="D735" t="str">
            <v>ガチャ:戦国01</v>
          </cell>
          <cell r="E735" t="str">
            <v>執行者</v>
          </cell>
          <cell r="F735" t="str">
            <v>格好いい</v>
          </cell>
          <cell r="G735" t="str">
            <v>男性</v>
          </cell>
          <cell r="H735" t="str">
            <v>yellow</v>
          </cell>
          <cell r="I735">
            <v>5</v>
          </cell>
          <cell r="J735" t="str">
            <v>PremiumSS</v>
          </cell>
          <cell r="K735" t="str">
            <v>balance</v>
          </cell>
          <cell r="L735" t="str">
            <v>バランスタイプ</v>
          </cell>
          <cell r="M735" t="str">
            <v>human</v>
          </cell>
          <cell r="N735" t="str">
            <v>ヒューマン</v>
          </cell>
          <cell r="O735" t="str">
            <v>samurai</v>
          </cell>
          <cell r="P735" t="str">
            <v>サムライ</v>
          </cell>
          <cell r="Q735" t="str">
            <v>アタッカー</v>
          </cell>
          <cell r="R735">
            <v>3</v>
          </cell>
          <cell r="S735" t="str">
            <v>NULL</v>
          </cell>
          <cell r="T735" t="str">
            <v>normal</v>
          </cell>
          <cell r="U735" t="str">
            <v>NULL</v>
          </cell>
          <cell r="V735" t="str">
            <v>NULL</v>
          </cell>
          <cell r="W735" t="str">
            <v>NULL</v>
          </cell>
        </row>
        <row r="736">
          <cell r="A736">
            <v>735</v>
          </cell>
          <cell r="B736" t="str">
            <v>ja</v>
          </cell>
          <cell r="C736" t="str">
            <v>破天の隻眼 伊達政宗</v>
          </cell>
          <cell r="D736" t="str">
            <v>ガチャ:戦国01</v>
          </cell>
          <cell r="E736" t="str">
            <v>執行者</v>
          </cell>
          <cell r="F736" t="str">
            <v>格好いい</v>
          </cell>
          <cell r="G736" t="str">
            <v>女性</v>
          </cell>
          <cell r="H736" t="str">
            <v>yellow</v>
          </cell>
          <cell r="I736">
            <v>6</v>
          </cell>
          <cell r="J736" t="str">
            <v>PremiumSS</v>
          </cell>
          <cell r="K736" t="str">
            <v>balance</v>
          </cell>
          <cell r="L736" t="str">
            <v>バランスタイプ</v>
          </cell>
          <cell r="M736" t="str">
            <v>human</v>
          </cell>
          <cell r="N736" t="str">
            <v>ヒューマン</v>
          </cell>
          <cell r="O736" t="str">
            <v>samurai</v>
          </cell>
          <cell r="P736" t="str">
            <v>サムライ</v>
          </cell>
          <cell r="Q736" t="str">
            <v>アタッカー</v>
          </cell>
          <cell r="R736">
            <v>3</v>
          </cell>
          <cell r="S736" t="str">
            <v>NULL</v>
          </cell>
          <cell r="T736" t="str">
            <v>normal</v>
          </cell>
          <cell r="U736" t="str">
            <v>NULL</v>
          </cell>
          <cell r="V736" t="str">
            <v>NULL</v>
          </cell>
          <cell r="W736" t="str">
            <v>NULL</v>
          </cell>
        </row>
        <row r="737">
          <cell r="A737">
            <v>736</v>
          </cell>
          <cell r="B737" t="str">
            <v>ja</v>
          </cell>
          <cell r="C737" t="str">
            <v>オルトロス</v>
          </cell>
          <cell r="D737" t="str">
            <v>各属性相性良3・黄・R354</v>
          </cell>
          <cell r="E737" t="str">
            <v>執行者</v>
          </cell>
          <cell r="F737" t="str">
            <v>格好いい</v>
          </cell>
          <cell r="G737" t="str">
            <v>女性</v>
          </cell>
          <cell r="H737" t="str">
            <v>red</v>
          </cell>
          <cell r="I737">
            <v>4</v>
          </cell>
          <cell r="J737" t="str">
            <v>Drop2N</v>
          </cell>
          <cell r="K737" t="str">
            <v>hp</v>
          </cell>
          <cell r="L737" t="str">
            <v>体力タイプ</v>
          </cell>
          <cell r="M737" t="str">
            <v>animal</v>
          </cell>
          <cell r="N737" t="str">
            <v>アニマル</v>
          </cell>
          <cell r="O737" t="str">
            <v>none</v>
          </cell>
          <cell r="P737" t="str">
            <v>種族なし</v>
          </cell>
          <cell r="Q737" t="str">
            <v>アタッカー</v>
          </cell>
          <cell r="R737">
            <v>3</v>
          </cell>
          <cell r="S737" t="str">
            <v>NULL</v>
          </cell>
          <cell r="T737" t="str">
            <v>normal</v>
          </cell>
          <cell r="U737" t="str">
            <v>NULL</v>
          </cell>
          <cell r="V737" t="str">
            <v>NULL</v>
          </cell>
          <cell r="W737" t="str">
            <v>NULL</v>
          </cell>
        </row>
        <row r="738">
          <cell r="A738">
            <v>737</v>
          </cell>
          <cell r="B738" t="str">
            <v>ja</v>
          </cell>
          <cell r="C738" t="str">
            <v>狂鳴の慟哭 オルトロス</v>
          </cell>
          <cell r="D738" t="str">
            <v>各属性相性良3・黄・R355</v>
          </cell>
          <cell r="E738" t="str">
            <v>執行者</v>
          </cell>
          <cell r="F738" t="str">
            <v>格好いい</v>
          </cell>
          <cell r="G738" t="str">
            <v>男性</v>
          </cell>
          <cell r="H738" t="str">
            <v>red</v>
          </cell>
          <cell r="I738">
            <v>5</v>
          </cell>
          <cell r="J738" t="str">
            <v>Drop2N</v>
          </cell>
          <cell r="K738" t="str">
            <v>hp</v>
          </cell>
          <cell r="L738" t="str">
            <v>体力タイプ</v>
          </cell>
          <cell r="M738" t="str">
            <v>animal</v>
          </cell>
          <cell r="N738" t="str">
            <v>アニマル</v>
          </cell>
          <cell r="O738" t="str">
            <v>none</v>
          </cell>
          <cell r="P738" t="str">
            <v>種族なし</v>
          </cell>
          <cell r="Q738" t="str">
            <v>アタッカー</v>
          </cell>
          <cell r="R738">
            <v>3</v>
          </cell>
          <cell r="S738" t="str">
            <v>NULL</v>
          </cell>
          <cell r="T738" t="str">
            <v>normal</v>
          </cell>
          <cell r="U738" t="str">
            <v>NULL</v>
          </cell>
          <cell r="V738" t="str">
            <v>NULL</v>
          </cell>
          <cell r="W738" t="str">
            <v>NULL</v>
          </cell>
        </row>
        <row r="739">
          <cell r="A739">
            <v>738</v>
          </cell>
          <cell r="B739" t="str">
            <v>ja</v>
          </cell>
          <cell r="C739" t="str">
            <v>ラドン</v>
          </cell>
          <cell r="D739" t="str">
            <v>各属性相性良3・黄・R356</v>
          </cell>
          <cell r="E739" t="str">
            <v>執行者</v>
          </cell>
          <cell r="F739" t="str">
            <v>格好いい</v>
          </cell>
          <cell r="G739" t="str">
            <v>男性</v>
          </cell>
          <cell r="H739" t="str">
            <v>blue</v>
          </cell>
          <cell r="I739">
            <v>4</v>
          </cell>
          <cell r="J739" t="str">
            <v>Drop2N</v>
          </cell>
          <cell r="K739" t="str">
            <v>balance</v>
          </cell>
          <cell r="L739" t="str">
            <v>バランスタイプ</v>
          </cell>
          <cell r="M739" t="str">
            <v>dragon</v>
          </cell>
          <cell r="N739" t="str">
            <v>ドラゴン</v>
          </cell>
          <cell r="O739" t="str">
            <v>machine</v>
          </cell>
          <cell r="P739" t="str">
            <v>マシン</v>
          </cell>
          <cell r="Q739" t="str">
            <v>アタッカー</v>
          </cell>
          <cell r="R739">
            <v>3</v>
          </cell>
          <cell r="S739" t="str">
            <v>NULL</v>
          </cell>
          <cell r="T739" t="str">
            <v>normal</v>
          </cell>
          <cell r="U739" t="str">
            <v>NULL</v>
          </cell>
          <cell r="V739" t="str">
            <v>NULL</v>
          </cell>
          <cell r="W739" t="str">
            <v>NULL</v>
          </cell>
        </row>
        <row r="740">
          <cell r="A740">
            <v>739</v>
          </cell>
          <cell r="B740" t="str">
            <v>ja</v>
          </cell>
          <cell r="C740" t="str">
            <v>寡言の密使 ラドン</v>
          </cell>
          <cell r="D740" t="str">
            <v>各属性相性良3・黄・R357</v>
          </cell>
          <cell r="E740" t="str">
            <v>執行者</v>
          </cell>
          <cell r="F740" t="str">
            <v>格好いい</v>
          </cell>
          <cell r="G740" t="str">
            <v>男性</v>
          </cell>
          <cell r="H740" t="str">
            <v>blue</v>
          </cell>
          <cell r="I740">
            <v>5</v>
          </cell>
          <cell r="J740" t="str">
            <v>Drop2N</v>
          </cell>
          <cell r="K740" t="str">
            <v>balance</v>
          </cell>
          <cell r="L740" t="str">
            <v>バランスタイプ</v>
          </cell>
          <cell r="M740" t="str">
            <v>dragon</v>
          </cell>
          <cell r="N740" t="str">
            <v>ドラゴン</v>
          </cell>
          <cell r="O740" t="str">
            <v>machine</v>
          </cell>
          <cell r="P740" t="str">
            <v>マシン</v>
          </cell>
          <cell r="Q740" t="str">
            <v>アタッカー</v>
          </cell>
          <cell r="R740">
            <v>3</v>
          </cell>
          <cell r="S740" t="str">
            <v>NULL</v>
          </cell>
          <cell r="T740" t="str">
            <v>normal</v>
          </cell>
          <cell r="U740" t="str">
            <v>NULL</v>
          </cell>
          <cell r="V740" t="str">
            <v>NULL</v>
          </cell>
          <cell r="W740" t="str">
            <v>NULL</v>
          </cell>
        </row>
        <row r="741">
          <cell r="A741">
            <v>740</v>
          </cell>
          <cell r="B741" t="str">
            <v>ja</v>
          </cell>
          <cell r="C741" t="str">
            <v>テュポーン</v>
          </cell>
          <cell r="D741" t="str">
            <v>各属性相性良3・黄・R358</v>
          </cell>
          <cell r="E741" t="str">
            <v>執行者</v>
          </cell>
          <cell r="F741" t="str">
            <v>格好いい</v>
          </cell>
          <cell r="G741" t="str">
            <v>男性</v>
          </cell>
          <cell r="H741" t="str">
            <v>yellow</v>
          </cell>
          <cell r="I741">
            <v>5</v>
          </cell>
          <cell r="J741" t="str">
            <v>DropWizS</v>
          </cell>
          <cell r="K741" t="str">
            <v>attack</v>
          </cell>
          <cell r="L741" t="str">
            <v>攻撃タイプ</v>
          </cell>
          <cell r="M741" t="str">
            <v>dragon</v>
          </cell>
          <cell r="N741" t="str">
            <v>ドラゴン</v>
          </cell>
          <cell r="O741" t="str">
            <v>none</v>
          </cell>
          <cell r="P741" t="str">
            <v>種族なし</v>
          </cell>
          <cell r="Q741" t="str">
            <v>アタッカー</v>
          </cell>
          <cell r="R741">
            <v>3</v>
          </cell>
          <cell r="S741" t="str">
            <v>NULL</v>
          </cell>
          <cell r="T741" t="str">
            <v>normal</v>
          </cell>
          <cell r="U741" t="str">
            <v>NULL</v>
          </cell>
          <cell r="V741" t="str">
            <v>NULL</v>
          </cell>
          <cell r="W741" t="str">
            <v>NULL</v>
          </cell>
        </row>
        <row r="742">
          <cell r="A742">
            <v>741</v>
          </cell>
          <cell r="B742" t="str">
            <v>ja</v>
          </cell>
          <cell r="C742" t="str">
            <v>皆滅の戦鬼 テュポーン</v>
          </cell>
          <cell r="D742" t="str">
            <v>各属性相性良3・黄・R359</v>
          </cell>
          <cell r="E742" t="str">
            <v>執行者</v>
          </cell>
          <cell r="F742" t="str">
            <v>格好いい</v>
          </cell>
          <cell r="G742" t="str">
            <v>男性</v>
          </cell>
          <cell r="H742" t="str">
            <v>yellow</v>
          </cell>
          <cell r="I742">
            <v>6</v>
          </cell>
          <cell r="J742" t="str">
            <v>DropWizS</v>
          </cell>
          <cell r="K742" t="str">
            <v>attack</v>
          </cell>
          <cell r="L742" t="str">
            <v>攻撃タイプ</v>
          </cell>
          <cell r="M742" t="str">
            <v>dragon</v>
          </cell>
          <cell r="N742" t="str">
            <v>ドラゴン</v>
          </cell>
          <cell r="O742" t="str">
            <v>none</v>
          </cell>
          <cell r="P742" t="str">
            <v>種族なし</v>
          </cell>
          <cell r="Q742" t="str">
            <v>アタッカー</v>
          </cell>
          <cell r="R742">
            <v>3</v>
          </cell>
          <cell r="S742" t="str">
            <v>NULL</v>
          </cell>
          <cell r="T742" t="str">
            <v>normal</v>
          </cell>
          <cell r="U742" t="str">
            <v>NULL</v>
          </cell>
          <cell r="V742" t="str">
            <v>NULL</v>
          </cell>
          <cell r="W742" t="str">
            <v>NULL</v>
          </cell>
        </row>
        <row r="743">
          <cell r="A743">
            <v>742</v>
          </cell>
          <cell r="B743" t="str">
            <v>ja</v>
          </cell>
          <cell r="C743" t="str">
            <v>アポロン</v>
          </cell>
          <cell r="D743" t="str">
            <v>各属性相性良3・黄・R360</v>
          </cell>
          <cell r="E743" t="str">
            <v>執行者</v>
          </cell>
          <cell r="F743" t="str">
            <v>格好いい</v>
          </cell>
          <cell r="G743" t="str">
            <v>男性</v>
          </cell>
          <cell r="H743" t="str">
            <v>red</v>
          </cell>
          <cell r="I743">
            <v>5</v>
          </cell>
          <cell r="J743" t="str">
            <v>PremiumSS</v>
          </cell>
          <cell r="K743" t="str">
            <v>attack</v>
          </cell>
          <cell r="L743" t="str">
            <v>攻撃タイプ</v>
          </cell>
          <cell r="M743" t="str">
            <v>god</v>
          </cell>
          <cell r="N743" t="str">
            <v>ゴッド</v>
          </cell>
          <cell r="O743" t="str">
            <v>none</v>
          </cell>
          <cell r="P743" t="str">
            <v>種族なし</v>
          </cell>
          <cell r="Q743" t="str">
            <v>アタッカー</v>
          </cell>
          <cell r="R743">
            <v>3</v>
          </cell>
          <cell r="S743" t="str">
            <v>NULL</v>
          </cell>
          <cell r="T743" t="str">
            <v>normal</v>
          </cell>
          <cell r="U743" t="str">
            <v>NULL</v>
          </cell>
          <cell r="V743" t="str">
            <v>NULL</v>
          </cell>
          <cell r="W743" t="str">
            <v>NULL</v>
          </cell>
        </row>
        <row r="744">
          <cell r="A744">
            <v>743</v>
          </cell>
          <cell r="B744" t="str">
            <v>ja</v>
          </cell>
          <cell r="C744" t="str">
            <v>弩級の洸源 アポロン</v>
          </cell>
          <cell r="D744" t="str">
            <v>各属性相性良3・黄・R361</v>
          </cell>
          <cell r="E744" t="str">
            <v>執行者</v>
          </cell>
          <cell r="F744" t="str">
            <v>格好いい</v>
          </cell>
          <cell r="G744" t="str">
            <v>男性</v>
          </cell>
          <cell r="H744" t="str">
            <v>red</v>
          </cell>
          <cell r="I744">
            <v>6</v>
          </cell>
          <cell r="J744" t="str">
            <v>PremiumSS</v>
          </cell>
          <cell r="K744" t="str">
            <v>attack</v>
          </cell>
          <cell r="L744" t="str">
            <v>攻撃タイプ</v>
          </cell>
          <cell r="M744" t="str">
            <v>god</v>
          </cell>
          <cell r="N744" t="str">
            <v>ゴッド</v>
          </cell>
          <cell r="O744" t="str">
            <v>none</v>
          </cell>
          <cell r="P744" t="str">
            <v>種族なし</v>
          </cell>
          <cell r="Q744" t="str">
            <v>アタッカー</v>
          </cell>
          <cell r="R744">
            <v>3</v>
          </cell>
          <cell r="S744" t="str">
            <v>NULL</v>
          </cell>
          <cell r="T744" t="str">
            <v>normal</v>
          </cell>
          <cell r="U744" t="str">
            <v>NULL</v>
          </cell>
          <cell r="V744" t="str">
            <v>NULL</v>
          </cell>
          <cell r="W744" t="str">
            <v>NULL</v>
          </cell>
        </row>
        <row r="745">
          <cell r="A745">
            <v>744</v>
          </cell>
          <cell r="B745" t="str">
            <v>ja</v>
          </cell>
          <cell r="C745" t="str">
            <v>ヘルメス</v>
          </cell>
          <cell r="D745" t="str">
            <v>各属性相性良3・黄・R362</v>
          </cell>
          <cell r="E745" t="str">
            <v>執行者</v>
          </cell>
          <cell r="F745" t="str">
            <v>格好いい</v>
          </cell>
          <cell r="G745" t="str">
            <v>男性</v>
          </cell>
          <cell r="H745" t="str">
            <v>green</v>
          </cell>
          <cell r="I745">
            <v>5</v>
          </cell>
          <cell r="J745" t="str">
            <v>PremiumSS</v>
          </cell>
          <cell r="K745" t="str">
            <v>technical</v>
          </cell>
          <cell r="L745" t="str">
            <v>テクニカルタイプ</v>
          </cell>
          <cell r="M745" t="str">
            <v>god</v>
          </cell>
          <cell r="N745" t="str">
            <v>ゴッド</v>
          </cell>
          <cell r="O745" t="str">
            <v>none</v>
          </cell>
          <cell r="P745" t="str">
            <v>種族なし</v>
          </cell>
          <cell r="Q745" t="str">
            <v>アタッカー</v>
          </cell>
          <cell r="R745">
            <v>3</v>
          </cell>
          <cell r="S745" t="str">
            <v>NULL</v>
          </cell>
          <cell r="T745" t="str">
            <v>normal</v>
          </cell>
          <cell r="U745" t="str">
            <v>NULL</v>
          </cell>
          <cell r="V745" t="str">
            <v>NULL</v>
          </cell>
          <cell r="W745" t="str">
            <v>NULL</v>
          </cell>
        </row>
        <row r="746">
          <cell r="A746">
            <v>745</v>
          </cell>
          <cell r="B746" t="str">
            <v>ja</v>
          </cell>
          <cell r="C746" t="str">
            <v>望羅の発神 ヘルメス</v>
          </cell>
          <cell r="D746" t="str">
            <v>各属性相性良3・黄・R363</v>
          </cell>
          <cell r="E746" t="str">
            <v>執行者</v>
          </cell>
          <cell r="F746" t="str">
            <v>格好いい</v>
          </cell>
          <cell r="G746" t="str">
            <v>男性</v>
          </cell>
          <cell r="H746" t="str">
            <v>green</v>
          </cell>
          <cell r="I746">
            <v>6</v>
          </cell>
          <cell r="J746" t="str">
            <v>PremiumSS</v>
          </cell>
          <cell r="K746" t="str">
            <v>technical</v>
          </cell>
          <cell r="L746" t="str">
            <v>テクニカルタイプ</v>
          </cell>
          <cell r="M746" t="str">
            <v>god</v>
          </cell>
          <cell r="N746" t="str">
            <v>ゴッド</v>
          </cell>
          <cell r="O746" t="str">
            <v>none</v>
          </cell>
          <cell r="P746" t="str">
            <v>種族なし</v>
          </cell>
          <cell r="Q746" t="str">
            <v>アタッカー</v>
          </cell>
          <cell r="R746">
            <v>3</v>
          </cell>
          <cell r="S746" t="str">
            <v>NULL</v>
          </cell>
          <cell r="T746" t="str">
            <v>normal</v>
          </cell>
          <cell r="U746" t="str">
            <v>NULL</v>
          </cell>
          <cell r="V746" t="str">
            <v>NULL</v>
          </cell>
          <cell r="W746" t="str">
            <v>NULL</v>
          </cell>
        </row>
        <row r="747">
          <cell r="A747">
            <v>746</v>
          </cell>
          <cell r="B747" t="str">
            <v>ja</v>
          </cell>
          <cell r="C747" t="str">
            <v>ノルン</v>
          </cell>
          <cell r="D747" t="str">
            <v>各属性相性良3・黄・R364</v>
          </cell>
          <cell r="E747" t="str">
            <v>執行者</v>
          </cell>
          <cell r="F747" t="str">
            <v>格好いい</v>
          </cell>
          <cell r="G747" t="str">
            <v>男性</v>
          </cell>
          <cell r="H747" t="str">
            <v>blue</v>
          </cell>
          <cell r="I747">
            <v>4</v>
          </cell>
          <cell r="J747" t="str">
            <v>PremiumS</v>
          </cell>
          <cell r="K747" t="str">
            <v>balance</v>
          </cell>
          <cell r="L747" t="str">
            <v>バランスタイプ</v>
          </cell>
          <cell r="M747" t="str">
            <v>god</v>
          </cell>
          <cell r="N747" t="str">
            <v>ゴッド</v>
          </cell>
          <cell r="O747" t="str">
            <v>none</v>
          </cell>
          <cell r="P747" t="str">
            <v>種族なし</v>
          </cell>
          <cell r="Q747" t="str">
            <v>アタッカー</v>
          </cell>
          <cell r="R747">
            <v>3</v>
          </cell>
          <cell r="S747" t="str">
            <v>NULL</v>
          </cell>
          <cell r="T747" t="str">
            <v>normal</v>
          </cell>
          <cell r="U747" t="str">
            <v>NULL</v>
          </cell>
          <cell r="V747" t="str">
            <v>NULL</v>
          </cell>
          <cell r="W747" t="str">
            <v>NULL</v>
          </cell>
        </row>
        <row r="748">
          <cell r="A748">
            <v>747</v>
          </cell>
          <cell r="B748" t="str">
            <v>ja</v>
          </cell>
          <cell r="C748" t="str">
            <v>潔碧の巡励神 ノルン</v>
          </cell>
          <cell r="D748" t="str">
            <v>各属性相性良3・黄・R365</v>
          </cell>
          <cell r="E748" t="str">
            <v>執行者</v>
          </cell>
          <cell r="F748" t="str">
            <v>格好いい</v>
          </cell>
          <cell r="G748" t="str">
            <v>男性</v>
          </cell>
          <cell r="H748" t="str">
            <v>blue</v>
          </cell>
          <cell r="I748">
            <v>5</v>
          </cell>
          <cell r="J748" t="str">
            <v>PremiumS</v>
          </cell>
          <cell r="K748" t="str">
            <v>balance</v>
          </cell>
          <cell r="L748" t="str">
            <v>バランスタイプ</v>
          </cell>
          <cell r="M748" t="str">
            <v>god</v>
          </cell>
          <cell r="N748" t="str">
            <v>ゴッド</v>
          </cell>
          <cell r="O748" t="str">
            <v>none</v>
          </cell>
          <cell r="P748" t="str">
            <v>種族なし</v>
          </cell>
          <cell r="Q748" t="str">
            <v>アタッカー</v>
          </cell>
          <cell r="R748">
            <v>3</v>
          </cell>
          <cell r="S748" t="str">
            <v>NULL</v>
          </cell>
          <cell r="T748" t="str">
            <v>normal</v>
          </cell>
          <cell r="U748" t="str">
            <v>NULL</v>
          </cell>
          <cell r="V748" t="str">
            <v>NULL</v>
          </cell>
          <cell r="W748" t="str">
            <v>NULL</v>
          </cell>
        </row>
        <row r="749">
          <cell r="A749">
            <v>748</v>
          </cell>
          <cell r="B749" t="str">
            <v>ja</v>
          </cell>
          <cell r="C749" t="str">
            <v>パーン</v>
          </cell>
          <cell r="D749" t="str">
            <v>各属性相性良3・黄・R366</v>
          </cell>
          <cell r="E749" t="str">
            <v>執行者</v>
          </cell>
          <cell r="F749" t="str">
            <v>格好いい</v>
          </cell>
          <cell r="G749" t="str">
            <v>男性</v>
          </cell>
          <cell r="H749" t="str">
            <v>yellow</v>
          </cell>
          <cell r="I749">
            <v>4</v>
          </cell>
          <cell r="J749" t="str">
            <v>PremiumS</v>
          </cell>
          <cell r="K749" t="str">
            <v>heal</v>
          </cell>
          <cell r="L749" t="str">
            <v>回復タイプ</v>
          </cell>
          <cell r="M749" t="str">
            <v>animal</v>
          </cell>
          <cell r="N749" t="str">
            <v>アニマル</v>
          </cell>
          <cell r="O749" t="str">
            <v>none</v>
          </cell>
          <cell r="P749" t="str">
            <v>種族なし</v>
          </cell>
          <cell r="Q749" t="str">
            <v>アタッカー</v>
          </cell>
          <cell r="R749">
            <v>3</v>
          </cell>
          <cell r="S749" t="str">
            <v>NULL</v>
          </cell>
          <cell r="T749" t="str">
            <v>normal</v>
          </cell>
          <cell r="U749" t="str">
            <v>NULL</v>
          </cell>
          <cell r="V749" t="str">
            <v>NULL</v>
          </cell>
          <cell r="W749" t="str">
            <v>NULL</v>
          </cell>
        </row>
        <row r="750">
          <cell r="A750">
            <v>749</v>
          </cell>
          <cell r="B750" t="str">
            <v>ja</v>
          </cell>
          <cell r="C750" t="str">
            <v>光喜の牧童 パーン</v>
          </cell>
          <cell r="D750" t="str">
            <v>各属性相性良3・黄・R367</v>
          </cell>
          <cell r="E750" t="str">
            <v>執行者</v>
          </cell>
          <cell r="F750" t="str">
            <v>格好いい</v>
          </cell>
          <cell r="G750" t="str">
            <v>男性</v>
          </cell>
          <cell r="H750" t="str">
            <v>yellow</v>
          </cell>
          <cell r="I750">
            <v>5</v>
          </cell>
          <cell r="J750" t="str">
            <v>PremiumS</v>
          </cell>
          <cell r="K750" t="str">
            <v>heal</v>
          </cell>
          <cell r="L750" t="str">
            <v>回復タイプ</v>
          </cell>
          <cell r="M750" t="str">
            <v>animal</v>
          </cell>
          <cell r="N750" t="str">
            <v>アニマル</v>
          </cell>
          <cell r="O750" t="str">
            <v>none</v>
          </cell>
          <cell r="P750" t="str">
            <v>種族なし</v>
          </cell>
          <cell r="Q750" t="str">
            <v>アタッカー</v>
          </cell>
          <cell r="R750">
            <v>3</v>
          </cell>
          <cell r="S750" t="str">
            <v>NULL</v>
          </cell>
          <cell r="T750" t="str">
            <v>normal</v>
          </cell>
          <cell r="U750" t="str">
            <v>NULL</v>
          </cell>
          <cell r="V750" t="str">
            <v>NULL</v>
          </cell>
          <cell r="W750" t="str">
            <v>NULL</v>
          </cell>
        </row>
        <row r="751">
          <cell r="A751">
            <v>750</v>
          </cell>
          <cell r="B751" t="str">
            <v>ja</v>
          </cell>
          <cell r="C751" t="str">
            <v>ポアソン</v>
          </cell>
          <cell r="D751" t="str">
            <v>各属性相性良3・黄・R493</v>
          </cell>
          <cell r="E751" t="str">
            <v>執行者</v>
          </cell>
          <cell r="F751" t="str">
            <v>格好いい</v>
          </cell>
          <cell r="G751" t="str">
            <v>男性</v>
          </cell>
          <cell r="H751" t="str">
            <v>green</v>
          </cell>
          <cell r="I751">
            <v>5</v>
          </cell>
          <cell r="J751" t="str">
            <v>PremiumSSS</v>
          </cell>
          <cell r="K751" t="str">
            <v>balance</v>
          </cell>
          <cell r="L751" t="str">
            <v>バランスタイプ</v>
          </cell>
          <cell r="M751" t="str">
            <v>academia</v>
          </cell>
          <cell r="N751" t="str">
            <v>アカデミア</v>
          </cell>
          <cell r="O751" t="str">
            <v>unknown</v>
          </cell>
          <cell r="P751" t="str">
            <v>Unknown</v>
          </cell>
          <cell r="Q751" t="str">
            <v>アタッカー</v>
          </cell>
          <cell r="R751">
            <v>3</v>
          </cell>
          <cell r="S751" t="str">
            <v>NULL</v>
          </cell>
          <cell r="T751" t="str">
            <v>normal</v>
          </cell>
          <cell r="U751" t="str">
            <v>NULL</v>
          </cell>
          <cell r="V751" t="str">
            <v>NULL</v>
          </cell>
          <cell r="W751" t="str">
            <v>NULL</v>
          </cell>
        </row>
        <row r="752">
          <cell r="A752">
            <v>751</v>
          </cell>
          <cell r="B752" t="str">
            <v>ja</v>
          </cell>
          <cell r="C752" t="str">
            <v>交錯の旋匣 ポアソン</v>
          </cell>
          <cell r="D752" t="str">
            <v>各属性相性良3・黄・R494</v>
          </cell>
          <cell r="E752" t="str">
            <v>執行者</v>
          </cell>
          <cell r="F752" t="str">
            <v>格好いい</v>
          </cell>
          <cell r="G752" t="str">
            <v>男性</v>
          </cell>
          <cell r="H752" t="str">
            <v>green</v>
          </cell>
          <cell r="I752">
            <v>6</v>
          </cell>
          <cell r="J752" t="str">
            <v>PremiumSSS</v>
          </cell>
          <cell r="K752" t="str">
            <v>balance</v>
          </cell>
          <cell r="L752" t="str">
            <v>バランスタイプ</v>
          </cell>
          <cell r="M752" t="str">
            <v>academia</v>
          </cell>
          <cell r="N752" t="str">
            <v>アカデミア</v>
          </cell>
          <cell r="O752" t="str">
            <v>unknown</v>
          </cell>
          <cell r="P752" t="str">
            <v>Unknown</v>
          </cell>
          <cell r="Q752" t="str">
            <v>アタッカー</v>
          </cell>
          <cell r="R752">
            <v>3</v>
          </cell>
          <cell r="S752" t="str">
            <v>NULL</v>
          </cell>
          <cell r="T752" t="str">
            <v>normal</v>
          </cell>
          <cell r="U752" t="str">
            <v>NULL</v>
          </cell>
          <cell r="V752" t="str">
            <v>NULL</v>
          </cell>
          <cell r="W752" t="str">
            <v>NULL</v>
          </cell>
        </row>
        <row r="753">
          <cell r="A753">
            <v>752</v>
          </cell>
          <cell r="B753" t="str">
            <v>ja</v>
          </cell>
          <cell r="C753" t="str">
            <v>ムラマサ</v>
          </cell>
          <cell r="D753" t="str">
            <v>イベント:ランキング01</v>
          </cell>
          <cell r="E753" t="str">
            <v>執行者</v>
          </cell>
          <cell r="F753" t="str">
            <v>格好いい</v>
          </cell>
          <cell r="G753" t="str">
            <v>男性</v>
          </cell>
          <cell r="H753" t="str">
            <v>red</v>
          </cell>
          <cell r="I753">
            <v>5</v>
          </cell>
          <cell r="J753" t="str">
            <v>DropWizSSS</v>
          </cell>
          <cell r="K753" t="str">
            <v>attack</v>
          </cell>
          <cell r="L753" t="str">
            <v>攻撃タイプ</v>
          </cell>
          <cell r="M753" t="str">
            <v>weapon</v>
          </cell>
          <cell r="N753" t="str">
            <v>ウェポン</v>
          </cell>
          <cell r="O753" t="str">
            <v>none</v>
          </cell>
          <cell r="P753" t="str">
            <v>種族なし</v>
          </cell>
          <cell r="Q753" t="str">
            <v>アタッカー</v>
          </cell>
          <cell r="R753">
            <v>3</v>
          </cell>
          <cell r="S753" t="str">
            <v>NULL</v>
          </cell>
          <cell r="T753" t="str">
            <v>normal</v>
          </cell>
          <cell r="U753" t="str">
            <v>NULL</v>
          </cell>
          <cell r="V753" t="str">
            <v>NULL</v>
          </cell>
          <cell r="W753" t="str">
            <v>NULL</v>
          </cell>
        </row>
        <row r="754">
          <cell r="A754">
            <v>753</v>
          </cell>
          <cell r="B754" t="str">
            <v>ja</v>
          </cell>
          <cell r="C754" t="str">
            <v>皆斬の虐器 ムラマサ</v>
          </cell>
          <cell r="D754" t="str">
            <v>イベント:ランキング01</v>
          </cell>
          <cell r="E754" t="str">
            <v>執行者</v>
          </cell>
          <cell r="F754" t="str">
            <v>格好いい</v>
          </cell>
          <cell r="G754" t="str">
            <v>男性</v>
          </cell>
          <cell r="H754" t="str">
            <v>red</v>
          </cell>
          <cell r="I754">
            <v>6</v>
          </cell>
          <cell r="J754" t="str">
            <v>DropWizSSS</v>
          </cell>
          <cell r="K754" t="str">
            <v>attack</v>
          </cell>
          <cell r="L754" t="str">
            <v>攻撃タイプ</v>
          </cell>
          <cell r="M754" t="str">
            <v>weapon</v>
          </cell>
          <cell r="N754" t="str">
            <v>ウェポン</v>
          </cell>
          <cell r="O754" t="str">
            <v>none</v>
          </cell>
          <cell r="P754" t="str">
            <v>種族なし</v>
          </cell>
          <cell r="Q754" t="str">
            <v>アタッカー</v>
          </cell>
          <cell r="R754">
            <v>3</v>
          </cell>
          <cell r="S754" t="str">
            <v>NULL</v>
          </cell>
          <cell r="T754" t="str">
            <v>normal</v>
          </cell>
          <cell r="U754" t="str">
            <v>NULL</v>
          </cell>
          <cell r="V754" t="str">
            <v>NULL</v>
          </cell>
          <cell r="W754" t="str">
            <v>NULL</v>
          </cell>
        </row>
        <row r="755">
          <cell r="A755">
            <v>754</v>
          </cell>
          <cell r="B755" t="str">
            <v>ja</v>
          </cell>
          <cell r="C755" t="str">
            <v>マサムネ</v>
          </cell>
          <cell r="D755" t="str">
            <v>イベント:ランキング01</v>
          </cell>
          <cell r="E755" t="str">
            <v>執行者</v>
          </cell>
          <cell r="F755" t="str">
            <v>格好いい</v>
          </cell>
          <cell r="G755" t="str">
            <v>男性</v>
          </cell>
          <cell r="H755" t="str">
            <v>green</v>
          </cell>
          <cell r="I755">
            <v>5</v>
          </cell>
          <cell r="J755" t="str">
            <v>DropWizSSS</v>
          </cell>
          <cell r="K755" t="str">
            <v>balance</v>
          </cell>
          <cell r="L755" t="str">
            <v>バランスタイプ</v>
          </cell>
          <cell r="M755" t="str">
            <v>weapon</v>
          </cell>
          <cell r="N755" t="str">
            <v>ウェポン</v>
          </cell>
          <cell r="O755" t="str">
            <v>none</v>
          </cell>
          <cell r="P755" t="str">
            <v>種族なし</v>
          </cell>
          <cell r="Q755" t="str">
            <v>アタッカー</v>
          </cell>
          <cell r="R755">
            <v>3</v>
          </cell>
          <cell r="S755" t="str">
            <v>NULL</v>
          </cell>
          <cell r="T755" t="str">
            <v>normal</v>
          </cell>
          <cell r="U755" t="str">
            <v>NULL</v>
          </cell>
          <cell r="V755" t="str">
            <v>NULL</v>
          </cell>
          <cell r="W755" t="str">
            <v>NULL</v>
          </cell>
        </row>
        <row r="756">
          <cell r="A756">
            <v>755</v>
          </cell>
          <cell r="B756" t="str">
            <v>ja</v>
          </cell>
          <cell r="C756" t="str">
            <v>究覇の一剣 マサムネ</v>
          </cell>
          <cell r="D756" t="str">
            <v>イベント:ランキング01</v>
          </cell>
          <cell r="E756" t="str">
            <v>執行者</v>
          </cell>
          <cell r="F756" t="str">
            <v>格好いい</v>
          </cell>
          <cell r="G756" t="str">
            <v>男性</v>
          </cell>
          <cell r="H756" t="str">
            <v>green</v>
          </cell>
          <cell r="I756">
            <v>6</v>
          </cell>
          <cell r="J756" t="str">
            <v>DropWizSSS</v>
          </cell>
          <cell r="K756" t="str">
            <v>balance</v>
          </cell>
          <cell r="L756" t="str">
            <v>バランスタイプ</v>
          </cell>
          <cell r="M756" t="str">
            <v>weapon</v>
          </cell>
          <cell r="N756" t="str">
            <v>ウェポン</v>
          </cell>
          <cell r="O756" t="str">
            <v>none</v>
          </cell>
          <cell r="P756" t="str">
            <v>種族なし</v>
          </cell>
          <cell r="Q756" t="str">
            <v>アタッカー</v>
          </cell>
          <cell r="R756">
            <v>3</v>
          </cell>
          <cell r="S756" t="str">
            <v>NULL</v>
          </cell>
          <cell r="T756" t="str">
            <v>normal</v>
          </cell>
          <cell r="U756" t="str">
            <v>NULL</v>
          </cell>
          <cell r="V756" t="str">
            <v>NULL</v>
          </cell>
          <cell r="W756" t="str">
            <v>NULL</v>
          </cell>
        </row>
        <row r="757">
          <cell r="A757">
            <v>756</v>
          </cell>
          <cell r="B757" t="str">
            <v>ja</v>
          </cell>
          <cell r="C757" t="str">
            <v>アメノムラクモ</v>
          </cell>
          <cell r="D757" t="str">
            <v>イベント:ランキング01</v>
          </cell>
          <cell r="E757" t="str">
            <v>執行者</v>
          </cell>
          <cell r="F757" t="str">
            <v>格好いい</v>
          </cell>
          <cell r="G757" t="str">
            <v>男性</v>
          </cell>
          <cell r="H757" t="str">
            <v>blue</v>
          </cell>
          <cell r="I757">
            <v>5</v>
          </cell>
          <cell r="J757" t="str">
            <v>DropWizSSS</v>
          </cell>
          <cell r="K757" t="str">
            <v>technical</v>
          </cell>
          <cell r="L757" t="str">
            <v>テクニカルタイプ</v>
          </cell>
          <cell r="M757" t="str">
            <v>weapon</v>
          </cell>
          <cell r="N757" t="str">
            <v>ウェポン</v>
          </cell>
          <cell r="O757" t="str">
            <v>none</v>
          </cell>
          <cell r="P757" t="str">
            <v>種族なし</v>
          </cell>
          <cell r="Q757" t="str">
            <v>アタッカー</v>
          </cell>
          <cell r="R757">
            <v>3</v>
          </cell>
          <cell r="S757" t="str">
            <v>NULL</v>
          </cell>
          <cell r="T757" t="str">
            <v>normal</v>
          </cell>
          <cell r="U757" t="str">
            <v>NULL</v>
          </cell>
          <cell r="V757" t="str">
            <v>NULL</v>
          </cell>
          <cell r="W757" t="str">
            <v>NULL</v>
          </cell>
        </row>
        <row r="758">
          <cell r="A758">
            <v>757</v>
          </cell>
          <cell r="B758" t="str">
            <v>ja</v>
          </cell>
          <cell r="C758" t="str">
            <v>荒龍の復魂 アメノムラクモ</v>
          </cell>
          <cell r="D758" t="str">
            <v>イベント:ランキング01</v>
          </cell>
          <cell r="E758" t="str">
            <v>執行者</v>
          </cell>
          <cell r="F758" t="str">
            <v>格好いい</v>
          </cell>
          <cell r="G758" t="str">
            <v>男性</v>
          </cell>
          <cell r="H758" t="str">
            <v>blue</v>
          </cell>
          <cell r="I758">
            <v>6</v>
          </cell>
          <cell r="J758" t="str">
            <v>DropWizSSS</v>
          </cell>
          <cell r="K758" t="str">
            <v>technical</v>
          </cell>
          <cell r="L758" t="str">
            <v>テクニカルタイプ</v>
          </cell>
          <cell r="M758" t="str">
            <v>weapon</v>
          </cell>
          <cell r="N758" t="str">
            <v>ウェポン</v>
          </cell>
          <cell r="O758" t="str">
            <v>none</v>
          </cell>
          <cell r="P758" t="str">
            <v>種族なし</v>
          </cell>
          <cell r="Q758" t="str">
            <v>アタッカー</v>
          </cell>
          <cell r="R758">
            <v>3</v>
          </cell>
          <cell r="S758" t="str">
            <v>NULL</v>
          </cell>
          <cell r="T758" t="str">
            <v>normal</v>
          </cell>
          <cell r="U758" t="str">
            <v>NULL</v>
          </cell>
          <cell r="V758" t="str">
            <v>NULL</v>
          </cell>
          <cell r="W758" t="str">
            <v>NULL</v>
          </cell>
        </row>
        <row r="759">
          <cell r="A759">
            <v>758</v>
          </cell>
          <cell r="B759" t="str">
            <v>ja</v>
          </cell>
          <cell r="C759" t="str">
            <v>雷切</v>
          </cell>
          <cell r="D759" t="str">
            <v>イベント:ランキング01</v>
          </cell>
          <cell r="E759" t="str">
            <v>執行者</v>
          </cell>
          <cell r="F759" t="str">
            <v>格好いい</v>
          </cell>
          <cell r="G759" t="str">
            <v>男性</v>
          </cell>
          <cell r="H759" t="str">
            <v>yellow</v>
          </cell>
          <cell r="I759">
            <v>5</v>
          </cell>
          <cell r="J759" t="str">
            <v>DropWizSSS</v>
          </cell>
          <cell r="K759" t="str">
            <v>attack</v>
          </cell>
          <cell r="L759" t="str">
            <v>攻撃タイプ</v>
          </cell>
          <cell r="M759" t="str">
            <v>weapon</v>
          </cell>
          <cell r="N759" t="str">
            <v>ウェポン</v>
          </cell>
          <cell r="O759" t="str">
            <v>none</v>
          </cell>
          <cell r="P759" t="str">
            <v>種族なし</v>
          </cell>
          <cell r="Q759" t="str">
            <v>アタッカー</v>
          </cell>
          <cell r="R759">
            <v>1</v>
          </cell>
          <cell r="S759" t="str">
            <v>NULL</v>
          </cell>
          <cell r="T759" t="str">
            <v>normal</v>
          </cell>
          <cell r="U759" t="str">
            <v>NULL</v>
          </cell>
          <cell r="V759" t="str">
            <v>NULL</v>
          </cell>
          <cell r="W759" t="str">
            <v>NULL</v>
          </cell>
        </row>
        <row r="760">
          <cell r="A760">
            <v>759</v>
          </cell>
          <cell r="B760" t="str">
            <v>ja</v>
          </cell>
          <cell r="C760" t="str">
            <v>超光の鳴鋒 雷切</v>
          </cell>
          <cell r="D760" t="str">
            <v>イベント:ランキング01</v>
          </cell>
          <cell r="E760" t="str">
            <v>執行者</v>
          </cell>
          <cell r="F760" t="str">
            <v>格好いい</v>
          </cell>
          <cell r="G760" t="str">
            <v>男性</v>
          </cell>
          <cell r="H760" t="str">
            <v>yellow</v>
          </cell>
          <cell r="I760">
            <v>6</v>
          </cell>
          <cell r="J760" t="str">
            <v>DropWizSSS</v>
          </cell>
          <cell r="K760" t="str">
            <v>attack</v>
          </cell>
          <cell r="L760" t="str">
            <v>攻撃タイプ</v>
          </cell>
          <cell r="M760" t="str">
            <v>weapon</v>
          </cell>
          <cell r="N760" t="str">
            <v>ウェポン</v>
          </cell>
          <cell r="O760" t="str">
            <v>none</v>
          </cell>
          <cell r="P760" t="str">
            <v>種族なし</v>
          </cell>
          <cell r="Q760" t="str">
            <v>アタッカー</v>
          </cell>
          <cell r="R760">
            <v>1</v>
          </cell>
          <cell r="S760" t="str">
            <v>NULL</v>
          </cell>
          <cell r="T760" t="str">
            <v>normal</v>
          </cell>
          <cell r="U760" t="str">
            <v>NULL</v>
          </cell>
          <cell r="V760" t="str">
            <v>NULL</v>
          </cell>
          <cell r="W760" t="str">
            <v>NULL</v>
          </cell>
        </row>
        <row r="761">
          <cell r="A761">
            <v>760</v>
          </cell>
          <cell r="B761" t="str">
            <v>ja</v>
          </cell>
          <cell r="C761" t="str">
            <v>限論顕現 クロネッカー</v>
          </cell>
          <cell r="D761" t="str">
            <v>ガチャ:フィーバーフェス05</v>
          </cell>
          <cell r="E761" t="str">
            <v>執行者</v>
          </cell>
          <cell r="F761" t="str">
            <v>格好いい</v>
          </cell>
          <cell r="G761" t="str">
            <v>男性</v>
          </cell>
          <cell r="H761" t="str">
            <v>yellow</v>
          </cell>
          <cell r="I761">
            <v>5</v>
          </cell>
          <cell r="J761" t="str">
            <v>PremiumSSS</v>
          </cell>
          <cell r="K761" t="str">
            <v>balance</v>
          </cell>
          <cell r="L761" t="str">
            <v>バランスタイプ</v>
          </cell>
          <cell r="M761" t="str">
            <v>human</v>
          </cell>
          <cell r="N761" t="str">
            <v>ヒューマン</v>
          </cell>
          <cell r="O761" t="str">
            <v>none</v>
          </cell>
          <cell r="P761" t="str">
            <v>種族なし</v>
          </cell>
          <cell r="Q761" t="str">
            <v>アタッカー</v>
          </cell>
          <cell r="R761">
            <v>3</v>
          </cell>
          <cell r="S761" t="str">
            <v>NULL</v>
          </cell>
          <cell r="T761" t="str">
            <v>normal</v>
          </cell>
          <cell r="U761" t="str">
            <v>NULL</v>
          </cell>
          <cell r="V761" t="str">
            <v>NULL</v>
          </cell>
          <cell r="W761" t="str">
            <v>NULL</v>
          </cell>
        </row>
        <row r="762">
          <cell r="A762">
            <v>761</v>
          </cell>
          <cell r="B762" t="str">
            <v>ja</v>
          </cell>
          <cell r="C762" t="str">
            <v>唯限の崇嬢 クロネッカー</v>
          </cell>
          <cell r="D762" t="str">
            <v>ガチャ:フィーバーフェス05</v>
          </cell>
          <cell r="E762" t="str">
            <v>執行者</v>
          </cell>
          <cell r="F762" t="str">
            <v>格好いい</v>
          </cell>
          <cell r="G762" t="str">
            <v>男性</v>
          </cell>
          <cell r="H762" t="str">
            <v>yellow</v>
          </cell>
          <cell r="I762">
            <v>6</v>
          </cell>
          <cell r="J762" t="str">
            <v>PremiumSSS</v>
          </cell>
          <cell r="K762" t="str">
            <v>balance</v>
          </cell>
          <cell r="L762" t="str">
            <v>バランスタイプ</v>
          </cell>
          <cell r="M762" t="str">
            <v>human</v>
          </cell>
          <cell r="N762" t="str">
            <v>ヒューマン</v>
          </cell>
          <cell r="O762" t="str">
            <v>none</v>
          </cell>
          <cell r="P762" t="str">
            <v>種族なし</v>
          </cell>
          <cell r="Q762" t="str">
            <v>アタッカー</v>
          </cell>
          <cell r="R762">
            <v>3</v>
          </cell>
          <cell r="S762" t="str">
            <v>NULL</v>
          </cell>
          <cell r="T762" t="str">
            <v>normal</v>
          </cell>
          <cell r="U762" t="str">
            <v>NULL</v>
          </cell>
          <cell r="V762" t="str">
            <v>NULL</v>
          </cell>
          <cell r="W762" t="str">
            <v>NULL</v>
          </cell>
        </row>
        <row r="763">
          <cell r="A763">
            <v>762</v>
          </cell>
          <cell r="B763" t="str">
            <v>ja</v>
          </cell>
          <cell r="C763" t="str">
            <v>フィボナッチ</v>
          </cell>
          <cell r="D763" t="str">
            <v>ガチャ:フィーバーフェス06</v>
          </cell>
          <cell r="E763" t="str">
            <v>執行者</v>
          </cell>
          <cell r="F763" t="str">
            <v>格好いい</v>
          </cell>
          <cell r="G763" t="str">
            <v>男性</v>
          </cell>
          <cell r="H763" t="str">
            <v>blue</v>
          </cell>
          <cell r="I763">
            <v>5</v>
          </cell>
          <cell r="J763" t="str">
            <v>PremiumSSS</v>
          </cell>
          <cell r="K763" t="str">
            <v>balance</v>
          </cell>
          <cell r="L763" t="str">
            <v>バランスタイプ</v>
          </cell>
          <cell r="M763" t="str">
            <v>human</v>
          </cell>
          <cell r="N763" t="str">
            <v>ヒューマン</v>
          </cell>
          <cell r="O763" t="str">
            <v>machine</v>
          </cell>
          <cell r="P763" t="str">
            <v>マシン</v>
          </cell>
          <cell r="Q763" t="str">
            <v>アタッカー</v>
          </cell>
          <cell r="R763">
            <v>3</v>
          </cell>
          <cell r="S763" t="str">
            <v>NULL</v>
          </cell>
          <cell r="T763" t="str">
            <v>normal</v>
          </cell>
          <cell r="U763" t="str">
            <v>NULL</v>
          </cell>
          <cell r="V763" t="str">
            <v>NULL</v>
          </cell>
          <cell r="W763" t="str">
            <v>NULL</v>
          </cell>
        </row>
        <row r="764">
          <cell r="A764">
            <v>763</v>
          </cell>
          <cell r="B764" t="str">
            <v>ja</v>
          </cell>
          <cell r="C764" t="str">
            <v>螺旋の皇魂比 フィボナッチ</v>
          </cell>
          <cell r="D764" t="str">
            <v>ガチャ:フィーバーフェス06</v>
          </cell>
          <cell r="E764" t="str">
            <v>執行者</v>
          </cell>
          <cell r="F764" t="str">
            <v>格好いい</v>
          </cell>
          <cell r="G764" t="str">
            <v>男性</v>
          </cell>
          <cell r="H764" t="str">
            <v>blue</v>
          </cell>
          <cell r="I764">
            <v>6</v>
          </cell>
          <cell r="J764" t="str">
            <v>PremiumSSS</v>
          </cell>
          <cell r="K764" t="str">
            <v>balance</v>
          </cell>
          <cell r="L764" t="str">
            <v>バランスタイプ</v>
          </cell>
          <cell r="M764" t="str">
            <v>human</v>
          </cell>
          <cell r="N764" t="str">
            <v>ヒューマン</v>
          </cell>
          <cell r="O764" t="str">
            <v>machine</v>
          </cell>
          <cell r="P764" t="str">
            <v>マシン</v>
          </cell>
          <cell r="Q764" t="str">
            <v>アタッカー</v>
          </cell>
          <cell r="R764">
            <v>3</v>
          </cell>
          <cell r="S764" t="str">
            <v>NULL</v>
          </cell>
          <cell r="T764" t="str">
            <v>normal</v>
          </cell>
          <cell r="U764" t="str">
            <v>NULL</v>
          </cell>
          <cell r="V764" t="str">
            <v>NULL</v>
          </cell>
          <cell r="W764" t="str">
            <v>NULL</v>
          </cell>
        </row>
        <row r="765">
          <cell r="A765">
            <v>764</v>
          </cell>
          <cell r="B765" t="str">
            <v>ja</v>
          </cell>
          <cell r="C765" t="str">
            <v>ライオネル</v>
          </cell>
          <cell r="D765" t="str">
            <v>イベント:円卓02</v>
          </cell>
          <cell r="E765" t="str">
            <v>執行者</v>
          </cell>
          <cell r="F765" t="str">
            <v>格好いい</v>
          </cell>
          <cell r="G765" t="str">
            <v>不明</v>
          </cell>
          <cell r="H765" t="str">
            <v>yellow</v>
          </cell>
          <cell r="I765">
            <v>4</v>
          </cell>
          <cell r="J765" t="str">
            <v>Drop2N</v>
          </cell>
          <cell r="K765" t="str">
            <v>balance</v>
          </cell>
          <cell r="L765" t="str">
            <v>バランスタイプ</v>
          </cell>
          <cell r="M765" t="str">
            <v>animal</v>
          </cell>
          <cell r="N765" t="str">
            <v>アニマル</v>
          </cell>
          <cell r="O765" t="str">
            <v>none</v>
          </cell>
          <cell r="P765" t="str">
            <v>種族なし</v>
          </cell>
          <cell r="Q765" t="str">
            <v>アタッカー</v>
          </cell>
          <cell r="R765">
            <v>3</v>
          </cell>
          <cell r="S765" t="str">
            <v>NULL</v>
          </cell>
          <cell r="T765" t="str">
            <v>normal</v>
          </cell>
          <cell r="U765" t="str">
            <v>NULL</v>
          </cell>
          <cell r="V765" t="str">
            <v>NULL</v>
          </cell>
          <cell r="W765" t="str">
            <v>NULL</v>
          </cell>
        </row>
        <row r="766">
          <cell r="A766">
            <v>765</v>
          </cell>
          <cell r="B766" t="str">
            <v>ja</v>
          </cell>
          <cell r="C766" t="str">
            <v>逆襲獣皇 ライオネル</v>
          </cell>
          <cell r="D766" t="str">
            <v>イベント:円卓02</v>
          </cell>
          <cell r="E766" t="str">
            <v>執行者</v>
          </cell>
          <cell r="F766" t="str">
            <v>格好いい</v>
          </cell>
          <cell r="G766" t="str">
            <v>不明</v>
          </cell>
          <cell r="H766" t="str">
            <v>yellow</v>
          </cell>
          <cell r="I766">
            <v>5</v>
          </cell>
          <cell r="J766" t="str">
            <v>Drop2N</v>
          </cell>
          <cell r="K766" t="str">
            <v>balance</v>
          </cell>
          <cell r="L766" t="str">
            <v>バランスタイプ</v>
          </cell>
          <cell r="M766" t="str">
            <v>animal</v>
          </cell>
          <cell r="N766" t="str">
            <v>アニマル</v>
          </cell>
          <cell r="O766" t="str">
            <v>none</v>
          </cell>
          <cell r="P766" t="str">
            <v>種族なし</v>
          </cell>
          <cell r="Q766" t="str">
            <v>アタッカー</v>
          </cell>
          <cell r="R766">
            <v>3</v>
          </cell>
          <cell r="S766" t="str">
            <v>NULL</v>
          </cell>
          <cell r="T766" t="str">
            <v>normal</v>
          </cell>
          <cell r="U766" t="str">
            <v>NULL</v>
          </cell>
          <cell r="V766" t="str">
            <v>NULL</v>
          </cell>
          <cell r="W766" t="str">
            <v>NULL</v>
          </cell>
        </row>
        <row r="767">
          <cell r="A767">
            <v>766</v>
          </cell>
          <cell r="B767" t="str">
            <v>ja</v>
          </cell>
          <cell r="C767" t="str">
            <v>ランドラグ</v>
          </cell>
          <cell r="D767" t="str">
            <v>イベント:円卓02</v>
          </cell>
          <cell r="E767" t="str">
            <v>執行者</v>
          </cell>
          <cell r="F767" t="str">
            <v>格好いい</v>
          </cell>
          <cell r="G767" t="str">
            <v>不明</v>
          </cell>
          <cell r="H767" t="str">
            <v>red</v>
          </cell>
          <cell r="I767">
            <v>4</v>
          </cell>
          <cell r="J767" t="str">
            <v>Drop2N</v>
          </cell>
          <cell r="K767" t="str">
            <v>hp</v>
          </cell>
          <cell r="L767" t="str">
            <v>体力タイプ</v>
          </cell>
          <cell r="M767" t="str">
            <v>dragon</v>
          </cell>
          <cell r="N767" t="str">
            <v>ドラゴン</v>
          </cell>
          <cell r="O767" t="str">
            <v>none</v>
          </cell>
          <cell r="P767" t="str">
            <v>種族なし</v>
          </cell>
          <cell r="Q767" t="str">
            <v>アタッカー</v>
          </cell>
          <cell r="R767">
            <v>3</v>
          </cell>
          <cell r="S767" t="str">
            <v>NULL</v>
          </cell>
          <cell r="T767" t="str">
            <v>normal</v>
          </cell>
          <cell r="U767" t="str">
            <v>NULL</v>
          </cell>
          <cell r="V767" t="str">
            <v>NULL</v>
          </cell>
          <cell r="W767" t="str">
            <v>NULL</v>
          </cell>
        </row>
        <row r="768">
          <cell r="A768">
            <v>767</v>
          </cell>
          <cell r="B768" t="str">
            <v>ja</v>
          </cell>
          <cell r="C768" t="str">
            <v>灼炎業竜 ランドラグ</v>
          </cell>
          <cell r="D768" t="str">
            <v>イベント:円卓02</v>
          </cell>
          <cell r="E768" t="str">
            <v>執行者</v>
          </cell>
          <cell r="F768" t="str">
            <v>格好いい</v>
          </cell>
          <cell r="G768" t="str">
            <v>不明</v>
          </cell>
          <cell r="H768" t="str">
            <v>red</v>
          </cell>
          <cell r="I768">
            <v>5</v>
          </cell>
          <cell r="J768" t="str">
            <v>Drop2N</v>
          </cell>
          <cell r="K768" t="str">
            <v>hp</v>
          </cell>
          <cell r="L768" t="str">
            <v>体力タイプ</v>
          </cell>
          <cell r="M768" t="str">
            <v>dragon</v>
          </cell>
          <cell r="N768" t="str">
            <v>ドラゴン</v>
          </cell>
          <cell r="O768" t="str">
            <v>none</v>
          </cell>
          <cell r="P768" t="str">
            <v>種族なし</v>
          </cell>
          <cell r="Q768" t="str">
            <v>アタッカー</v>
          </cell>
          <cell r="R768">
            <v>3</v>
          </cell>
          <cell r="S768" t="str">
            <v>NULL</v>
          </cell>
          <cell r="T768" t="str">
            <v>normal</v>
          </cell>
          <cell r="U768" t="str">
            <v>NULL</v>
          </cell>
          <cell r="V768" t="str">
            <v>NULL</v>
          </cell>
          <cell r="W768" t="str">
            <v>NULL</v>
          </cell>
        </row>
        <row r="769">
          <cell r="A769">
            <v>768</v>
          </cell>
          <cell r="B769" t="str">
            <v>ja</v>
          </cell>
          <cell r="C769" t="str">
            <v>ガレス</v>
          </cell>
          <cell r="D769" t="str">
            <v>イベント:円卓02</v>
          </cell>
          <cell r="E769" t="str">
            <v>執行者</v>
          </cell>
          <cell r="F769" t="str">
            <v>格好いい</v>
          </cell>
          <cell r="G769" t="str">
            <v>男性</v>
          </cell>
          <cell r="H769" t="str">
            <v>green</v>
          </cell>
          <cell r="I769">
            <v>4</v>
          </cell>
          <cell r="J769" t="str">
            <v>DropWizS</v>
          </cell>
          <cell r="K769" t="str">
            <v>technical</v>
          </cell>
          <cell r="L769" t="str">
            <v>テクニカルタイプ</v>
          </cell>
          <cell r="M769" t="str">
            <v>human</v>
          </cell>
          <cell r="N769" t="str">
            <v>ヒューマン</v>
          </cell>
          <cell r="O769" t="str">
            <v>none</v>
          </cell>
          <cell r="P769" t="str">
            <v>種族なし</v>
          </cell>
          <cell r="Q769" t="str">
            <v>アタッカー</v>
          </cell>
          <cell r="R769">
            <v>3</v>
          </cell>
          <cell r="S769" t="str">
            <v>NULL</v>
          </cell>
          <cell r="T769" t="str">
            <v>normal</v>
          </cell>
          <cell r="U769" t="str">
            <v>NULL</v>
          </cell>
          <cell r="V769" t="str">
            <v>NULL</v>
          </cell>
          <cell r="W769" t="str">
            <v>NULL</v>
          </cell>
        </row>
        <row r="770">
          <cell r="A770">
            <v>769</v>
          </cell>
          <cell r="B770" t="str">
            <v>ja</v>
          </cell>
          <cell r="C770" t="str">
            <v>白域・純双剣 ガレス</v>
          </cell>
          <cell r="D770" t="str">
            <v>イベント:円卓02</v>
          </cell>
          <cell r="E770" t="str">
            <v>執行者</v>
          </cell>
          <cell r="F770" t="str">
            <v>格好いい</v>
          </cell>
          <cell r="G770" t="str">
            <v>男性</v>
          </cell>
          <cell r="H770" t="str">
            <v>green</v>
          </cell>
          <cell r="I770">
            <v>5</v>
          </cell>
          <cell r="J770" t="str">
            <v>DropWizS</v>
          </cell>
          <cell r="K770" t="str">
            <v>technical</v>
          </cell>
          <cell r="L770" t="str">
            <v>テクニカルタイプ</v>
          </cell>
          <cell r="M770" t="str">
            <v>human</v>
          </cell>
          <cell r="N770" t="str">
            <v>ヒューマン</v>
          </cell>
          <cell r="O770" t="str">
            <v>none</v>
          </cell>
          <cell r="P770" t="str">
            <v>種族なし</v>
          </cell>
          <cell r="Q770" t="str">
            <v>アタッカー</v>
          </cell>
          <cell r="R770">
            <v>3</v>
          </cell>
          <cell r="S770" t="str">
            <v>NULL</v>
          </cell>
          <cell r="T770" t="str">
            <v>normal</v>
          </cell>
          <cell r="U770" t="str">
            <v>NULL</v>
          </cell>
          <cell r="V770" t="str">
            <v>NULL</v>
          </cell>
          <cell r="W770" t="str">
            <v>NULL</v>
          </cell>
        </row>
        <row r="771">
          <cell r="A771">
            <v>770</v>
          </cell>
          <cell r="B771" t="str">
            <v>ja</v>
          </cell>
          <cell r="C771" t="str">
            <v>ハヅル</v>
          </cell>
          <cell r="D771" t="str">
            <v>ガチャ:日本昔話01</v>
          </cell>
          <cell r="E771" t="str">
            <v>執行者</v>
          </cell>
          <cell r="F771" t="str">
            <v>格好いい</v>
          </cell>
          <cell r="G771" t="str">
            <v>女性</v>
          </cell>
          <cell r="H771" t="str">
            <v>red</v>
          </cell>
          <cell r="I771">
            <v>4</v>
          </cell>
          <cell r="J771" t="str">
            <v>PremiumSS</v>
          </cell>
          <cell r="K771" t="str">
            <v>balance</v>
          </cell>
          <cell r="L771" t="str">
            <v>バランスタイプ</v>
          </cell>
          <cell r="M771" t="str">
            <v>animal</v>
          </cell>
          <cell r="N771" t="str">
            <v>アニマル</v>
          </cell>
          <cell r="O771" t="str">
            <v>none</v>
          </cell>
          <cell r="P771" t="str">
            <v>種族なし</v>
          </cell>
          <cell r="Q771" t="str">
            <v>アタッカー</v>
          </cell>
          <cell r="R771">
            <v>3</v>
          </cell>
          <cell r="S771" t="str">
            <v>NULL</v>
          </cell>
          <cell r="T771" t="str">
            <v>normal</v>
          </cell>
          <cell r="U771" t="str">
            <v>NULL</v>
          </cell>
          <cell r="V771" t="str">
            <v>NULL</v>
          </cell>
          <cell r="W771" t="str">
            <v>NULL</v>
          </cell>
        </row>
        <row r="772">
          <cell r="A772">
            <v>771</v>
          </cell>
          <cell r="B772" t="str">
            <v>ja</v>
          </cell>
          <cell r="C772" t="str">
            <v>天織羽鶴 ハヅル</v>
          </cell>
          <cell r="D772" t="str">
            <v>ガチャ:日本昔話01</v>
          </cell>
          <cell r="E772" t="str">
            <v>執行者</v>
          </cell>
          <cell r="F772" t="str">
            <v>格好いい</v>
          </cell>
          <cell r="G772" t="str">
            <v>女性</v>
          </cell>
          <cell r="H772" t="str">
            <v>red</v>
          </cell>
          <cell r="I772">
            <v>5</v>
          </cell>
          <cell r="J772" t="str">
            <v>PremiumSS</v>
          </cell>
          <cell r="K772" t="str">
            <v>balance</v>
          </cell>
          <cell r="L772" t="str">
            <v>バランスタイプ</v>
          </cell>
          <cell r="M772" t="str">
            <v>animal</v>
          </cell>
          <cell r="N772" t="str">
            <v>アニマル</v>
          </cell>
          <cell r="O772" t="str">
            <v>none</v>
          </cell>
          <cell r="P772" t="str">
            <v>種族なし</v>
          </cell>
          <cell r="Q772" t="str">
            <v>アタッカー</v>
          </cell>
          <cell r="R772">
            <v>3</v>
          </cell>
          <cell r="S772" t="str">
            <v>NULL</v>
          </cell>
          <cell r="T772" t="str">
            <v>normal</v>
          </cell>
          <cell r="U772" t="str">
            <v>NULL</v>
          </cell>
          <cell r="V772" t="str">
            <v>NULL</v>
          </cell>
          <cell r="W772" t="str">
            <v>NULL</v>
          </cell>
        </row>
        <row r="773">
          <cell r="A773">
            <v>772</v>
          </cell>
          <cell r="B773" t="str">
            <v>ja</v>
          </cell>
          <cell r="C773" t="str">
            <v>イナバ</v>
          </cell>
          <cell r="D773" t="str">
            <v>ガチャ:日本昔話01</v>
          </cell>
          <cell r="E773" t="str">
            <v>執行者</v>
          </cell>
          <cell r="F773" t="str">
            <v>格好いい</v>
          </cell>
          <cell r="G773" t="str">
            <v>女性</v>
          </cell>
          <cell r="H773" t="str">
            <v>green</v>
          </cell>
          <cell r="I773">
            <v>4</v>
          </cell>
          <cell r="J773" t="str">
            <v>PremiumSS</v>
          </cell>
          <cell r="K773" t="str">
            <v>balance</v>
          </cell>
          <cell r="L773" t="str">
            <v>バランスタイプ</v>
          </cell>
          <cell r="M773" t="str">
            <v>animal</v>
          </cell>
          <cell r="N773" t="str">
            <v>アニマル</v>
          </cell>
          <cell r="O773" t="str">
            <v>none</v>
          </cell>
          <cell r="P773" t="str">
            <v>種族なし</v>
          </cell>
          <cell r="Q773" t="str">
            <v>アタッカー</v>
          </cell>
          <cell r="R773">
            <v>3</v>
          </cell>
          <cell r="S773" t="str">
            <v>NULL</v>
          </cell>
          <cell r="T773" t="str">
            <v>normal</v>
          </cell>
          <cell r="U773" t="str">
            <v>NULL</v>
          </cell>
          <cell r="V773" t="str">
            <v>NULL</v>
          </cell>
          <cell r="W773" t="str">
            <v>NULL</v>
          </cell>
        </row>
        <row r="774">
          <cell r="A774">
            <v>773</v>
          </cell>
          <cell r="B774" t="str">
            <v>ja</v>
          </cell>
          <cell r="C774" t="str">
            <v>浮跳天兎 イナバ</v>
          </cell>
          <cell r="D774" t="str">
            <v>ガチャ:日本昔話01</v>
          </cell>
          <cell r="E774" t="str">
            <v>執行者</v>
          </cell>
          <cell r="F774" t="str">
            <v>格好いい</v>
          </cell>
          <cell r="G774" t="str">
            <v>女性</v>
          </cell>
          <cell r="H774" t="str">
            <v>green</v>
          </cell>
          <cell r="I774">
            <v>5</v>
          </cell>
          <cell r="J774" t="str">
            <v>PremiumSS</v>
          </cell>
          <cell r="K774" t="str">
            <v>balance</v>
          </cell>
          <cell r="L774" t="str">
            <v>バランスタイプ</v>
          </cell>
          <cell r="M774" t="str">
            <v>animal</v>
          </cell>
          <cell r="N774" t="str">
            <v>アニマル</v>
          </cell>
          <cell r="O774" t="str">
            <v>none</v>
          </cell>
          <cell r="P774" t="str">
            <v>種族なし</v>
          </cell>
          <cell r="Q774" t="str">
            <v>アタッカー</v>
          </cell>
          <cell r="R774">
            <v>3</v>
          </cell>
          <cell r="S774" t="str">
            <v>NULL</v>
          </cell>
          <cell r="T774" t="str">
            <v>normal</v>
          </cell>
          <cell r="U774" t="str">
            <v>NULL</v>
          </cell>
          <cell r="V774" t="str">
            <v>NULL</v>
          </cell>
          <cell r="W774" t="str">
            <v>NULL</v>
          </cell>
        </row>
        <row r="775">
          <cell r="A775">
            <v>774</v>
          </cell>
          <cell r="B775" t="str">
            <v>ja</v>
          </cell>
          <cell r="C775" t="str">
            <v>ミズチ</v>
          </cell>
          <cell r="D775" t="str">
            <v>ガチャ:日本昔話01</v>
          </cell>
          <cell r="E775" t="str">
            <v>執行者</v>
          </cell>
          <cell r="F775" t="str">
            <v>格好いい</v>
          </cell>
          <cell r="G775" t="str">
            <v>不明</v>
          </cell>
          <cell r="H775" t="str">
            <v>blue</v>
          </cell>
          <cell r="I775">
            <v>3</v>
          </cell>
          <cell r="J775" t="str">
            <v>PremiumS</v>
          </cell>
          <cell r="K775" t="str">
            <v>heal</v>
          </cell>
          <cell r="L775" t="str">
            <v>回復タイプ</v>
          </cell>
          <cell r="M775" t="str">
            <v>dragon</v>
          </cell>
          <cell r="N775" t="str">
            <v>ドラゴン</v>
          </cell>
          <cell r="O775" t="str">
            <v>none</v>
          </cell>
          <cell r="P775" t="str">
            <v>種族なし</v>
          </cell>
          <cell r="Q775" t="str">
            <v>アタッカー</v>
          </cell>
          <cell r="R775">
            <v>3</v>
          </cell>
          <cell r="S775" t="str">
            <v>NULL</v>
          </cell>
          <cell r="T775" t="str">
            <v>normal</v>
          </cell>
          <cell r="U775" t="str">
            <v>NULL</v>
          </cell>
          <cell r="V775" t="str">
            <v>NULL</v>
          </cell>
          <cell r="W775" t="str">
            <v>NULL</v>
          </cell>
        </row>
        <row r="776">
          <cell r="A776">
            <v>775</v>
          </cell>
          <cell r="B776" t="str">
            <v>ja</v>
          </cell>
          <cell r="C776" t="str">
            <v>水底霊竜 ミズチ</v>
          </cell>
          <cell r="D776" t="str">
            <v>ガチャ:日本昔話01</v>
          </cell>
          <cell r="E776" t="str">
            <v>執行者</v>
          </cell>
          <cell r="F776" t="str">
            <v>格好いい</v>
          </cell>
          <cell r="G776" t="str">
            <v>不明</v>
          </cell>
          <cell r="H776" t="str">
            <v>blue</v>
          </cell>
          <cell r="I776">
            <v>4</v>
          </cell>
          <cell r="J776" t="str">
            <v>PremiumS</v>
          </cell>
          <cell r="K776" t="str">
            <v>heal</v>
          </cell>
          <cell r="L776" t="str">
            <v>回復タイプ</v>
          </cell>
          <cell r="M776" t="str">
            <v>dragon</v>
          </cell>
          <cell r="N776" t="str">
            <v>ドラゴン</v>
          </cell>
          <cell r="O776" t="str">
            <v>none</v>
          </cell>
          <cell r="P776" t="str">
            <v>種族なし</v>
          </cell>
          <cell r="Q776" t="str">
            <v>アタッカー</v>
          </cell>
          <cell r="R776">
            <v>3</v>
          </cell>
          <cell r="S776" t="str">
            <v>NULL</v>
          </cell>
          <cell r="T776" t="str">
            <v>normal</v>
          </cell>
          <cell r="U776" t="str">
            <v>NULL</v>
          </cell>
          <cell r="V776" t="str">
            <v>NULL</v>
          </cell>
          <cell r="W776" t="str">
            <v>NULL</v>
          </cell>
        </row>
        <row r="777">
          <cell r="A777">
            <v>776</v>
          </cell>
          <cell r="B777" t="str">
            <v>ja</v>
          </cell>
          <cell r="C777" t="str">
            <v>水竜底主 ミズチ</v>
          </cell>
          <cell r="D777" t="str">
            <v>ガチャ:日本昔話01</v>
          </cell>
          <cell r="E777" t="str">
            <v>執行者</v>
          </cell>
          <cell r="F777" t="str">
            <v>格好いい</v>
          </cell>
          <cell r="G777" t="str">
            <v>不明</v>
          </cell>
          <cell r="H777" t="str">
            <v>blue</v>
          </cell>
          <cell r="I777">
            <v>5</v>
          </cell>
          <cell r="J777" t="str">
            <v>PremiumS</v>
          </cell>
          <cell r="K777" t="str">
            <v>heal</v>
          </cell>
          <cell r="L777" t="str">
            <v>回復タイプ</v>
          </cell>
          <cell r="M777" t="str">
            <v>dragon</v>
          </cell>
          <cell r="N777" t="str">
            <v>ドラゴン</v>
          </cell>
          <cell r="O777" t="str">
            <v>none</v>
          </cell>
          <cell r="P777" t="str">
            <v>種族なし</v>
          </cell>
          <cell r="Q777" t="str">
            <v>アタッカー</v>
          </cell>
          <cell r="R777">
            <v>3</v>
          </cell>
          <cell r="S777" t="str">
            <v>NULL</v>
          </cell>
          <cell r="T777" t="str">
            <v>normal</v>
          </cell>
          <cell r="U777" t="str">
            <v>NULL</v>
          </cell>
          <cell r="V777" t="str">
            <v>NULL</v>
          </cell>
          <cell r="W777" t="str">
            <v>NULL</v>
          </cell>
        </row>
        <row r="778">
          <cell r="A778">
            <v>777</v>
          </cell>
          <cell r="B778" t="str">
            <v>ja</v>
          </cell>
          <cell r="C778" t="str">
            <v>ガメック</v>
          </cell>
          <cell r="D778" t="str">
            <v>ガチャ:日本昔話01</v>
          </cell>
          <cell r="E778" t="str">
            <v>執行者</v>
          </cell>
          <cell r="F778" t="str">
            <v>格好いい</v>
          </cell>
          <cell r="G778" t="str">
            <v>不明</v>
          </cell>
          <cell r="H778" t="str">
            <v>yellow</v>
          </cell>
          <cell r="I778">
            <v>3</v>
          </cell>
          <cell r="J778" t="str">
            <v>PremiumS</v>
          </cell>
          <cell r="K778" t="str">
            <v>hp</v>
          </cell>
          <cell r="L778" t="str">
            <v>体力タイプ</v>
          </cell>
          <cell r="M778" t="str">
            <v>animal</v>
          </cell>
          <cell r="N778" t="str">
            <v>アニマル</v>
          </cell>
          <cell r="O778" t="str">
            <v>none</v>
          </cell>
          <cell r="P778" t="str">
            <v>種族なし</v>
          </cell>
          <cell r="Q778" t="str">
            <v>アタッカー</v>
          </cell>
          <cell r="R778">
            <v>3</v>
          </cell>
          <cell r="S778" t="str">
            <v>NULL</v>
          </cell>
          <cell r="T778" t="str">
            <v>normal</v>
          </cell>
          <cell r="U778" t="str">
            <v>NULL</v>
          </cell>
          <cell r="V778" t="str">
            <v>NULL</v>
          </cell>
          <cell r="W778" t="str">
            <v>NULL</v>
          </cell>
        </row>
        <row r="779">
          <cell r="A779">
            <v>778</v>
          </cell>
          <cell r="B779" t="str">
            <v>ja</v>
          </cell>
          <cell r="C779" t="str">
            <v>一亀懸明 ガメック</v>
          </cell>
          <cell r="D779" t="str">
            <v>ガチャ:日本昔話01</v>
          </cell>
          <cell r="E779" t="str">
            <v>執行者</v>
          </cell>
          <cell r="F779" t="str">
            <v>格好いい</v>
          </cell>
          <cell r="G779" t="str">
            <v>不明</v>
          </cell>
          <cell r="H779" t="str">
            <v>yellow</v>
          </cell>
          <cell r="I779">
            <v>4</v>
          </cell>
          <cell r="J779" t="str">
            <v>PremiumS</v>
          </cell>
          <cell r="K779" t="str">
            <v>hp</v>
          </cell>
          <cell r="L779" t="str">
            <v>体力タイプ</v>
          </cell>
          <cell r="M779" t="str">
            <v>animal</v>
          </cell>
          <cell r="N779" t="str">
            <v>アニマル</v>
          </cell>
          <cell r="O779" t="str">
            <v>none</v>
          </cell>
          <cell r="P779" t="str">
            <v>種族なし</v>
          </cell>
          <cell r="Q779" t="str">
            <v>アタッカー</v>
          </cell>
          <cell r="R779">
            <v>3</v>
          </cell>
          <cell r="S779" t="str">
            <v>NULL</v>
          </cell>
          <cell r="T779" t="str">
            <v>normal</v>
          </cell>
          <cell r="U779" t="str">
            <v>NULL</v>
          </cell>
          <cell r="V779" t="str">
            <v>NULL</v>
          </cell>
          <cell r="W779" t="str">
            <v>NULL</v>
          </cell>
        </row>
        <row r="780">
          <cell r="A780">
            <v>779</v>
          </cell>
          <cell r="B780" t="str">
            <v>ja</v>
          </cell>
          <cell r="C780" t="str">
            <v>頑堅咬亀 ガメック</v>
          </cell>
          <cell r="D780" t="str">
            <v>ガチャ:日本昔話01</v>
          </cell>
          <cell r="E780" t="str">
            <v>執行者</v>
          </cell>
          <cell r="F780" t="str">
            <v>格好いい</v>
          </cell>
          <cell r="G780" t="str">
            <v>不明</v>
          </cell>
          <cell r="H780" t="str">
            <v>yellow</v>
          </cell>
          <cell r="I780">
            <v>5</v>
          </cell>
          <cell r="J780" t="str">
            <v>PremiumS</v>
          </cell>
          <cell r="K780" t="str">
            <v>hp</v>
          </cell>
          <cell r="L780" t="str">
            <v>体力タイプ</v>
          </cell>
          <cell r="M780" t="str">
            <v>animal</v>
          </cell>
          <cell r="N780" t="str">
            <v>アニマル</v>
          </cell>
          <cell r="O780" t="str">
            <v>none</v>
          </cell>
          <cell r="P780" t="str">
            <v>種族なし</v>
          </cell>
          <cell r="Q780" t="str">
            <v>アタッカー</v>
          </cell>
          <cell r="R780">
            <v>3</v>
          </cell>
          <cell r="S780" t="str">
            <v>NULL</v>
          </cell>
          <cell r="T780" t="str">
            <v>normal</v>
          </cell>
          <cell r="U780" t="str">
            <v>NULL</v>
          </cell>
          <cell r="V780" t="str">
            <v>NULL</v>
          </cell>
          <cell r="W780" t="str">
            <v>NULL</v>
          </cell>
        </row>
        <row r="781">
          <cell r="A781">
            <v>780</v>
          </cell>
          <cell r="B781" t="str">
            <v>ja</v>
          </cell>
          <cell r="C781" t="str">
            <v>カスケード</v>
          </cell>
          <cell r="D781" t="str">
            <v>各属性相性良3・黄・R398</v>
          </cell>
          <cell r="E781" t="str">
            <v>執行者</v>
          </cell>
          <cell r="F781" t="str">
            <v>格好いい</v>
          </cell>
          <cell r="G781" t="str">
            <v>男性</v>
          </cell>
          <cell r="H781" t="str">
            <v>yellow</v>
          </cell>
          <cell r="I781">
            <v>5</v>
          </cell>
          <cell r="J781" t="str">
            <v>DropWizS</v>
          </cell>
          <cell r="K781" t="str">
            <v>technical</v>
          </cell>
          <cell r="L781" t="str">
            <v>テクニカルタイプ</v>
          </cell>
          <cell r="M781" t="str">
            <v>unknown</v>
          </cell>
          <cell r="N781" t="str">
            <v>Unknown</v>
          </cell>
          <cell r="O781" t="str">
            <v>none</v>
          </cell>
          <cell r="P781" t="str">
            <v>種族なし</v>
          </cell>
          <cell r="Q781" t="str">
            <v>アタッカー</v>
          </cell>
          <cell r="R781">
            <v>3</v>
          </cell>
          <cell r="S781" t="str">
            <v>NULL</v>
          </cell>
          <cell r="T781" t="str">
            <v>normal</v>
          </cell>
          <cell r="U781" t="str">
            <v>NULL</v>
          </cell>
          <cell r="V781" t="str">
            <v>NULL</v>
          </cell>
          <cell r="W781" t="str">
            <v>NULL</v>
          </cell>
        </row>
        <row r="782">
          <cell r="A782">
            <v>781</v>
          </cell>
          <cell r="B782" t="str">
            <v>ja</v>
          </cell>
          <cell r="C782" t="str">
            <v>崩落の大瀑布 カスケード</v>
          </cell>
          <cell r="D782" t="str">
            <v>各属性相性良3・黄・R399</v>
          </cell>
          <cell r="E782" t="str">
            <v>執行者</v>
          </cell>
          <cell r="F782" t="str">
            <v>格好いい</v>
          </cell>
          <cell r="G782" t="str">
            <v>男性</v>
          </cell>
          <cell r="H782" t="str">
            <v>yellow</v>
          </cell>
          <cell r="I782">
            <v>6</v>
          </cell>
          <cell r="J782" t="str">
            <v>DropWizS</v>
          </cell>
          <cell r="K782" t="str">
            <v>technical</v>
          </cell>
          <cell r="L782" t="str">
            <v>テクニカルタイプ</v>
          </cell>
          <cell r="M782" t="str">
            <v>unknown</v>
          </cell>
          <cell r="N782" t="str">
            <v>Unknown</v>
          </cell>
          <cell r="O782" t="str">
            <v>none</v>
          </cell>
          <cell r="P782" t="str">
            <v>種族なし</v>
          </cell>
          <cell r="Q782" t="str">
            <v>アタッカー</v>
          </cell>
          <cell r="R782">
            <v>3</v>
          </cell>
          <cell r="S782" t="str">
            <v>NULL</v>
          </cell>
          <cell r="T782" t="str">
            <v>normal</v>
          </cell>
          <cell r="U782" t="str">
            <v>NULL</v>
          </cell>
          <cell r="V782" t="str">
            <v>NULL</v>
          </cell>
          <cell r="W782" t="str">
            <v>NULL</v>
          </cell>
        </row>
        <row r="783">
          <cell r="A783">
            <v>782</v>
          </cell>
          <cell r="B783" t="str">
            <v>ja</v>
          </cell>
          <cell r="C783" t="str">
            <v>機甲雷天使 ミカエル・グロリアス</v>
          </cell>
          <cell r="D783" t="str">
            <v>各属性相性良3・黄・R400</v>
          </cell>
          <cell r="E783" t="str">
            <v>執行者</v>
          </cell>
          <cell r="F783" t="str">
            <v>格好いい</v>
          </cell>
          <cell r="G783" t="str">
            <v>男性</v>
          </cell>
          <cell r="H783" t="str">
            <v>yellow</v>
          </cell>
          <cell r="I783">
            <v>6</v>
          </cell>
          <cell r="J783" t="str">
            <v>PremiumS</v>
          </cell>
          <cell r="K783" t="str">
            <v>attack</v>
          </cell>
          <cell r="L783" t="str">
            <v>攻撃タイプ</v>
          </cell>
          <cell r="M783" t="str">
            <v>machine</v>
          </cell>
          <cell r="N783" t="str">
            <v>マシン</v>
          </cell>
          <cell r="O783" t="str">
            <v>god</v>
          </cell>
          <cell r="P783" t="str">
            <v>ゴッド</v>
          </cell>
          <cell r="Q783" t="str">
            <v>アタッカー</v>
          </cell>
          <cell r="R783">
            <v>3</v>
          </cell>
          <cell r="S783" t="str">
            <v>NULL</v>
          </cell>
          <cell r="T783" t="str">
            <v>normal</v>
          </cell>
          <cell r="U783" t="str">
            <v>NULL</v>
          </cell>
          <cell r="V783" t="str">
            <v>NULL</v>
          </cell>
          <cell r="W783" t="str">
            <v>NULL</v>
          </cell>
        </row>
        <row r="784">
          <cell r="A784">
            <v>783</v>
          </cell>
          <cell r="B784" t="str">
            <v>ja</v>
          </cell>
          <cell r="C784" t="str">
            <v>モールス</v>
          </cell>
          <cell r="D784" t="str">
            <v>各属性相性良3・黄・R401</v>
          </cell>
          <cell r="E784" t="str">
            <v>執行者</v>
          </cell>
          <cell r="F784" t="str">
            <v>格好いい</v>
          </cell>
          <cell r="G784" t="str">
            <v>男性</v>
          </cell>
          <cell r="H784" t="str">
            <v>red</v>
          </cell>
          <cell r="I784">
            <v>5</v>
          </cell>
          <cell r="J784" t="str">
            <v>PremiumSSS</v>
          </cell>
          <cell r="K784" t="str">
            <v>technical</v>
          </cell>
          <cell r="L784" t="str">
            <v>テクニカルタイプ</v>
          </cell>
          <cell r="M784" t="str">
            <v>academia</v>
          </cell>
          <cell r="N784" t="str">
            <v>アカデミア</v>
          </cell>
          <cell r="O784" t="str">
            <v>unknown</v>
          </cell>
          <cell r="P784" t="str">
            <v>Unknown</v>
          </cell>
          <cell r="Q784" t="str">
            <v>アタッカー</v>
          </cell>
          <cell r="R784">
            <v>3</v>
          </cell>
          <cell r="S784" t="str">
            <v>NULL</v>
          </cell>
          <cell r="T784" t="str">
            <v>normal</v>
          </cell>
          <cell r="U784" t="str">
            <v>NULL</v>
          </cell>
          <cell r="V784" t="str">
            <v>NULL</v>
          </cell>
          <cell r="W784" t="str">
            <v>NULL</v>
          </cell>
        </row>
        <row r="785">
          <cell r="A785">
            <v>784</v>
          </cell>
          <cell r="B785" t="str">
            <v>ja</v>
          </cell>
          <cell r="C785" t="str">
            <v>想心の恋鎖 モールス</v>
          </cell>
          <cell r="D785" t="str">
            <v>各属性相性良3・黄・R402</v>
          </cell>
          <cell r="E785" t="str">
            <v>執行者</v>
          </cell>
          <cell r="F785" t="str">
            <v>格好いい</v>
          </cell>
          <cell r="G785" t="str">
            <v>男性</v>
          </cell>
          <cell r="H785" t="str">
            <v>red</v>
          </cell>
          <cell r="I785">
            <v>6</v>
          </cell>
          <cell r="J785" t="str">
            <v>PremiumSSS</v>
          </cell>
          <cell r="K785" t="str">
            <v>technical</v>
          </cell>
          <cell r="L785" t="str">
            <v>テクニカルタイプ</v>
          </cell>
          <cell r="M785" t="str">
            <v>academia</v>
          </cell>
          <cell r="N785" t="str">
            <v>アカデミア</v>
          </cell>
          <cell r="O785" t="str">
            <v>unknown</v>
          </cell>
          <cell r="P785" t="str">
            <v>Unknown</v>
          </cell>
          <cell r="Q785" t="str">
            <v>アタッカー</v>
          </cell>
          <cell r="R785">
            <v>3</v>
          </cell>
          <cell r="S785" t="str">
            <v>NULL</v>
          </cell>
          <cell r="T785" t="str">
            <v>normal</v>
          </cell>
          <cell r="U785" t="str">
            <v>NULL</v>
          </cell>
          <cell r="V785" t="str">
            <v>NULL</v>
          </cell>
          <cell r="W785" t="str">
            <v>NULL</v>
          </cell>
        </row>
        <row r="786">
          <cell r="A786">
            <v>785</v>
          </cell>
          <cell r="B786" t="str">
            <v>ja</v>
          </cell>
          <cell r="C786" t="str">
            <v>あけおめダック2017</v>
          </cell>
          <cell r="D786" t="str">
            <v>イベント:お正月2016</v>
          </cell>
          <cell r="E786" t="str">
            <v>執行者</v>
          </cell>
          <cell r="F786" t="str">
            <v>格好いい</v>
          </cell>
          <cell r="G786" t="str">
            <v>不明</v>
          </cell>
          <cell r="H786" t="str">
            <v>yellow</v>
          </cell>
          <cell r="I786">
            <v>6</v>
          </cell>
          <cell r="J786" t="str">
            <v>Material</v>
          </cell>
          <cell r="K786" t="str">
            <v>coin</v>
          </cell>
          <cell r="L786" t="str">
            <v>コインタイプ</v>
          </cell>
          <cell r="M786" t="str">
            <v>unknown</v>
          </cell>
          <cell r="N786" t="str">
            <v>Unknown</v>
          </cell>
          <cell r="O786" t="str">
            <v>none</v>
          </cell>
          <cell r="P786" t="str">
            <v>種族なし</v>
          </cell>
          <cell r="Q786" t="str">
            <v>アタッカー</v>
          </cell>
          <cell r="R786">
            <v>3</v>
          </cell>
          <cell r="S786" t="str">
            <v>NULL</v>
          </cell>
          <cell r="T786" t="str">
            <v>normal</v>
          </cell>
          <cell r="U786" t="str">
            <v>NULL</v>
          </cell>
          <cell r="V786" t="str">
            <v>NULL</v>
          </cell>
          <cell r="W786" t="str">
            <v>NULL</v>
          </cell>
        </row>
        <row r="787">
          <cell r="A787">
            <v>786</v>
          </cell>
          <cell r="B787" t="str">
            <v>ja</v>
          </cell>
          <cell r="C787" t="str">
            <v>ヘイウェイ</v>
          </cell>
          <cell r="D787" t="str">
            <v>ガチャ:赤フェス02</v>
          </cell>
          <cell r="E787" t="str">
            <v>執行者</v>
          </cell>
          <cell r="F787" t="str">
            <v>格好いい</v>
          </cell>
          <cell r="G787" t="str">
            <v>男性</v>
          </cell>
          <cell r="H787" t="str">
            <v>red</v>
          </cell>
          <cell r="I787">
            <v>5</v>
          </cell>
          <cell r="J787" t="str">
            <v>PremiumSSS</v>
          </cell>
          <cell r="K787" t="str">
            <v>attack</v>
          </cell>
          <cell r="L787" t="str">
            <v>攻撃タイプ</v>
          </cell>
          <cell r="M787" t="str">
            <v>dragon</v>
          </cell>
          <cell r="N787" t="str">
            <v>ドラゴン</v>
          </cell>
          <cell r="O787" t="str">
            <v>human</v>
          </cell>
          <cell r="P787" t="str">
            <v>ヒューマン</v>
          </cell>
          <cell r="Q787" t="str">
            <v>アタッカー</v>
          </cell>
          <cell r="R787">
            <v>3</v>
          </cell>
          <cell r="S787" t="str">
            <v>NULL</v>
          </cell>
          <cell r="T787" t="str">
            <v>normal</v>
          </cell>
          <cell r="U787" t="str">
            <v>NULL</v>
          </cell>
          <cell r="V787" t="str">
            <v>NULL</v>
          </cell>
          <cell r="W787" t="str">
            <v>NULL</v>
          </cell>
        </row>
        <row r="788">
          <cell r="A788">
            <v>787</v>
          </cell>
          <cell r="B788" t="str">
            <v>ja</v>
          </cell>
          <cell r="C788" t="str">
            <v>極閃描牙 ヘイウェイ</v>
          </cell>
          <cell r="D788" t="str">
            <v>ガチャ:赤フェス02</v>
          </cell>
          <cell r="E788" t="str">
            <v>執行者</v>
          </cell>
          <cell r="F788" t="str">
            <v>格好いい</v>
          </cell>
          <cell r="G788" t="str">
            <v>男性</v>
          </cell>
          <cell r="H788" t="str">
            <v>red</v>
          </cell>
          <cell r="I788">
            <v>6</v>
          </cell>
          <cell r="J788" t="str">
            <v>PremiumSSS</v>
          </cell>
          <cell r="K788" t="str">
            <v>attack</v>
          </cell>
          <cell r="L788" t="str">
            <v>攻撃タイプ</v>
          </cell>
          <cell r="M788" t="str">
            <v>dragon</v>
          </cell>
          <cell r="N788" t="str">
            <v>ドラゴン</v>
          </cell>
          <cell r="O788" t="str">
            <v>human</v>
          </cell>
          <cell r="P788" t="str">
            <v>ヒューマン</v>
          </cell>
          <cell r="Q788" t="str">
            <v>アタッカー</v>
          </cell>
          <cell r="R788">
            <v>3</v>
          </cell>
          <cell r="S788" t="str">
            <v>NULL</v>
          </cell>
          <cell r="T788" t="str">
            <v>normal</v>
          </cell>
          <cell r="U788" t="str">
            <v>NULL</v>
          </cell>
          <cell r="V788" t="str">
            <v>NULL</v>
          </cell>
          <cell r="W788" t="str">
            <v>NULL</v>
          </cell>
        </row>
        <row r="789">
          <cell r="A789">
            <v>788</v>
          </cell>
          <cell r="B789" t="str">
            <v>ja</v>
          </cell>
          <cell r="C789" t="str">
            <v>アトラス</v>
          </cell>
          <cell r="D789" t="str">
            <v>各属性相性良3・黄・R406</v>
          </cell>
          <cell r="E789" t="str">
            <v>執行者</v>
          </cell>
          <cell r="F789" t="str">
            <v>格好いい</v>
          </cell>
          <cell r="G789" t="str">
            <v>男性</v>
          </cell>
          <cell r="H789" t="str">
            <v>green</v>
          </cell>
          <cell r="I789">
            <v>5</v>
          </cell>
          <cell r="J789" t="str">
            <v>DropWizS</v>
          </cell>
          <cell r="K789" t="str">
            <v>balance</v>
          </cell>
          <cell r="L789" t="str">
            <v>バランスタイプ</v>
          </cell>
          <cell r="M789" t="str">
            <v>god</v>
          </cell>
          <cell r="N789" t="str">
            <v>ゴッド</v>
          </cell>
          <cell r="O789" t="str">
            <v>animal</v>
          </cell>
          <cell r="P789" t="str">
            <v>アニマル</v>
          </cell>
          <cell r="Q789" t="str">
            <v>アタッカー</v>
          </cell>
          <cell r="R789">
            <v>3</v>
          </cell>
          <cell r="S789" t="str">
            <v>NULL</v>
          </cell>
          <cell r="T789" t="str">
            <v>normal</v>
          </cell>
          <cell r="U789" t="str">
            <v>NULL</v>
          </cell>
          <cell r="V789" t="str">
            <v>NULL</v>
          </cell>
          <cell r="W789" t="str">
            <v>NULL</v>
          </cell>
        </row>
        <row r="790">
          <cell r="A790">
            <v>789</v>
          </cell>
          <cell r="B790" t="str">
            <v>ja</v>
          </cell>
          <cell r="C790" t="str">
            <v>極闘の大鋼腕 アトラス</v>
          </cell>
          <cell r="D790" t="str">
            <v>各属性相性良3・黄・R407</v>
          </cell>
          <cell r="E790" t="str">
            <v>執行者</v>
          </cell>
          <cell r="F790" t="str">
            <v>格好いい</v>
          </cell>
          <cell r="G790" t="str">
            <v>男性</v>
          </cell>
          <cell r="H790" t="str">
            <v>green</v>
          </cell>
          <cell r="I790">
            <v>6</v>
          </cell>
          <cell r="J790" t="str">
            <v>DropWizS</v>
          </cell>
          <cell r="K790" t="str">
            <v>balance</v>
          </cell>
          <cell r="L790" t="str">
            <v>バランスタイプ</v>
          </cell>
          <cell r="M790" t="str">
            <v>god</v>
          </cell>
          <cell r="N790" t="str">
            <v>ゴッド</v>
          </cell>
          <cell r="O790" t="str">
            <v>animal</v>
          </cell>
          <cell r="P790" t="str">
            <v>アニマル</v>
          </cell>
          <cell r="Q790" t="str">
            <v>アタッカー</v>
          </cell>
          <cell r="R790">
            <v>3</v>
          </cell>
          <cell r="S790" t="str">
            <v>NULL</v>
          </cell>
          <cell r="T790" t="str">
            <v>normal</v>
          </cell>
          <cell r="U790" t="str">
            <v>NULL</v>
          </cell>
          <cell r="V790" t="str">
            <v>NULL</v>
          </cell>
          <cell r="W790" t="str">
            <v>NULL</v>
          </cell>
        </row>
        <row r="791">
          <cell r="A791">
            <v>790</v>
          </cell>
          <cell r="B791" t="str">
            <v>ja</v>
          </cell>
          <cell r="C791" t="str">
            <v>戦略級の才脳 ノイマン</v>
          </cell>
          <cell r="D791" t="str">
            <v>ガチャ:青フェス02</v>
          </cell>
          <cell r="E791" t="str">
            <v>執行者</v>
          </cell>
          <cell r="F791" t="str">
            <v>格好いい</v>
          </cell>
          <cell r="G791" t="str">
            <v>女性</v>
          </cell>
          <cell r="H791" t="str">
            <v>blue</v>
          </cell>
          <cell r="I791">
            <v>5</v>
          </cell>
          <cell r="J791" t="str">
            <v>PremiumSSS</v>
          </cell>
          <cell r="K791" t="str">
            <v>attack</v>
          </cell>
          <cell r="L791" t="str">
            <v>攻撃タイプ</v>
          </cell>
          <cell r="M791" t="str">
            <v>machine</v>
          </cell>
          <cell r="N791" t="str">
            <v>マシン</v>
          </cell>
          <cell r="O791" t="str">
            <v>human</v>
          </cell>
          <cell r="P791" t="str">
            <v>ヒューマン</v>
          </cell>
          <cell r="Q791" t="str">
            <v>アタッカー</v>
          </cell>
          <cell r="R791">
            <v>3</v>
          </cell>
          <cell r="S791" t="str">
            <v>NULL</v>
          </cell>
          <cell r="T791" t="str">
            <v>normal</v>
          </cell>
          <cell r="U791" t="str">
            <v>NULL</v>
          </cell>
          <cell r="V791" t="str">
            <v>NULL</v>
          </cell>
          <cell r="W791" t="str">
            <v>NULL</v>
          </cell>
        </row>
        <row r="792">
          <cell r="A792">
            <v>791</v>
          </cell>
          <cell r="B792" t="str">
            <v>ja</v>
          </cell>
          <cell r="C792" t="str">
            <v>無差別求の破者 ノイマン</v>
          </cell>
          <cell r="D792" t="str">
            <v>ガチャ:青フェス02</v>
          </cell>
          <cell r="E792" t="str">
            <v>執行者</v>
          </cell>
          <cell r="F792" t="str">
            <v>格好いい</v>
          </cell>
          <cell r="G792" t="str">
            <v>女性</v>
          </cell>
          <cell r="H792" t="str">
            <v>blue</v>
          </cell>
          <cell r="I792">
            <v>6</v>
          </cell>
          <cell r="J792" t="str">
            <v>PremiumSSS</v>
          </cell>
          <cell r="K792" t="str">
            <v>attack</v>
          </cell>
          <cell r="L792" t="str">
            <v>攻撃タイプ</v>
          </cell>
          <cell r="M792" t="str">
            <v>academia</v>
          </cell>
          <cell r="N792" t="str">
            <v>アカデミア</v>
          </cell>
          <cell r="O792" t="str">
            <v>none</v>
          </cell>
          <cell r="P792" t="str">
            <v>種族なし</v>
          </cell>
          <cell r="Q792" t="str">
            <v>アタッカー</v>
          </cell>
          <cell r="R792">
            <v>3</v>
          </cell>
          <cell r="S792" t="str">
            <v>NULL</v>
          </cell>
          <cell r="T792" t="str">
            <v>normal</v>
          </cell>
          <cell r="U792" t="str">
            <v>NULL</v>
          </cell>
          <cell r="V792" t="str">
            <v>NULL</v>
          </cell>
          <cell r="W792" t="str">
            <v>NULL</v>
          </cell>
        </row>
        <row r="793">
          <cell r="A793">
            <v>792</v>
          </cell>
          <cell r="B793" t="str">
            <v>ja</v>
          </cell>
          <cell r="C793" t="str">
            <v>片還の収波 フーリエ</v>
          </cell>
          <cell r="D793" t="str">
            <v>各属性相性良3・黄・R410</v>
          </cell>
          <cell r="E793" t="str">
            <v>執行者</v>
          </cell>
          <cell r="F793" t="str">
            <v>格好いい</v>
          </cell>
          <cell r="G793" t="str">
            <v>男性</v>
          </cell>
          <cell r="H793" t="str">
            <v>yellow</v>
          </cell>
          <cell r="I793">
            <v>5</v>
          </cell>
          <cell r="J793" t="str">
            <v>PremiumSSS</v>
          </cell>
          <cell r="K793" t="str">
            <v>technical</v>
          </cell>
          <cell r="L793" t="str">
            <v>テクニカルタイプ</v>
          </cell>
          <cell r="M793" t="str">
            <v>human</v>
          </cell>
          <cell r="N793" t="str">
            <v>ヒューマン</v>
          </cell>
          <cell r="O793" t="str">
            <v>none</v>
          </cell>
          <cell r="P793" t="str">
            <v>種族なし</v>
          </cell>
          <cell r="Q793" t="str">
            <v>アタッカー</v>
          </cell>
          <cell r="R793">
            <v>3</v>
          </cell>
          <cell r="S793" t="str">
            <v>NULL</v>
          </cell>
          <cell r="T793" t="str">
            <v>normal</v>
          </cell>
          <cell r="U793" t="str">
            <v>NULL</v>
          </cell>
          <cell r="V793" t="str">
            <v>NULL</v>
          </cell>
          <cell r="W793" t="str">
            <v>NULL</v>
          </cell>
        </row>
        <row r="794">
          <cell r="A794">
            <v>793</v>
          </cell>
          <cell r="B794" t="str">
            <v>ja</v>
          </cell>
          <cell r="C794" t="str">
            <v>熱解する求波導 フーリエ</v>
          </cell>
          <cell r="D794" t="str">
            <v>各属性相性良3・黄・R411</v>
          </cell>
          <cell r="E794" t="str">
            <v>執行者</v>
          </cell>
          <cell r="F794" t="str">
            <v>格好いい</v>
          </cell>
          <cell r="G794" t="str">
            <v>男性</v>
          </cell>
          <cell r="H794" t="str">
            <v>yellow</v>
          </cell>
          <cell r="I794">
            <v>6</v>
          </cell>
          <cell r="J794" t="str">
            <v>PremiumSSS</v>
          </cell>
          <cell r="K794" t="str">
            <v>technical</v>
          </cell>
          <cell r="L794" t="str">
            <v>テクニカルタイプ</v>
          </cell>
          <cell r="M794" t="str">
            <v>academia</v>
          </cell>
          <cell r="N794" t="str">
            <v>アカデミア</v>
          </cell>
          <cell r="O794" t="str">
            <v>none</v>
          </cell>
          <cell r="P794" t="str">
            <v>種族なし</v>
          </cell>
          <cell r="Q794" t="str">
            <v>アタッカー</v>
          </cell>
          <cell r="R794">
            <v>3</v>
          </cell>
          <cell r="S794" t="str">
            <v>NULL</v>
          </cell>
          <cell r="T794" t="str">
            <v>normal</v>
          </cell>
          <cell r="U794" t="str">
            <v>NULL</v>
          </cell>
          <cell r="V794" t="str">
            <v>NULL</v>
          </cell>
          <cell r="W794" t="str">
            <v>NULL</v>
          </cell>
        </row>
        <row r="795">
          <cell r="A795">
            <v>794</v>
          </cell>
          <cell r="B795" t="str">
            <v>ja</v>
          </cell>
          <cell r="C795" t="str">
            <v>卒業のウィルス ハッピー</v>
          </cell>
          <cell r="D795" t="str">
            <v>イベント:卒業</v>
          </cell>
          <cell r="E795" t="str">
            <v>ウィルス</v>
          </cell>
          <cell r="F795" t="str">
            <v>かわいい</v>
          </cell>
          <cell r="G795" t="str">
            <v>女性</v>
          </cell>
          <cell r="H795" t="str">
            <v>green</v>
          </cell>
          <cell r="I795">
            <v>3</v>
          </cell>
          <cell r="J795" t="str">
            <v>DropWizW</v>
          </cell>
          <cell r="K795" t="str">
            <v>heal</v>
          </cell>
          <cell r="L795" t="str">
            <v>回復タイプ</v>
          </cell>
          <cell r="M795" t="str">
            <v>unknown</v>
          </cell>
          <cell r="N795" t="str">
            <v>Unknown</v>
          </cell>
          <cell r="O795" t="str">
            <v>none</v>
          </cell>
          <cell r="P795" t="str">
            <v>種族なし</v>
          </cell>
          <cell r="Q795" t="str">
            <v>アタッカー</v>
          </cell>
          <cell r="R795">
            <v>3</v>
          </cell>
          <cell r="S795" t="str">
            <v>NULL</v>
          </cell>
          <cell r="T795" t="str">
            <v>normal</v>
          </cell>
          <cell r="U795" t="str">
            <v>NULL</v>
          </cell>
          <cell r="V795" t="str">
            <v>NULL</v>
          </cell>
          <cell r="W795" t="str">
            <v>NULL</v>
          </cell>
        </row>
        <row r="796">
          <cell r="A796">
            <v>795</v>
          </cell>
          <cell r="B796" t="str">
            <v>ja</v>
          </cell>
          <cell r="C796" t="str">
            <v>桜花の果実</v>
          </cell>
          <cell r="D796" t="str">
            <v>イベント:卒業</v>
          </cell>
          <cell r="E796" t="str">
            <v>アリス</v>
          </cell>
          <cell r="F796" t="str">
            <v>世界観</v>
          </cell>
          <cell r="G796" t="str">
            <v>不明</v>
          </cell>
          <cell r="H796" t="str">
            <v>blue</v>
          </cell>
          <cell r="I796">
            <v>3</v>
          </cell>
          <cell r="J796" t="str">
            <v>Material</v>
          </cell>
          <cell r="K796" t="str">
            <v>skilllevel</v>
          </cell>
          <cell r="L796" t="str">
            <v>スキルレベル素材</v>
          </cell>
          <cell r="M796" t="str">
            <v>unknown</v>
          </cell>
          <cell r="N796" t="str">
            <v>Unknown</v>
          </cell>
          <cell r="O796" t="str">
            <v>none</v>
          </cell>
          <cell r="P796" t="str">
            <v>種族なし</v>
          </cell>
          <cell r="Q796" t="str">
            <v>スキル進化素材</v>
          </cell>
          <cell r="R796">
            <v>3</v>
          </cell>
          <cell r="S796" t="str">
            <v>NULL</v>
          </cell>
          <cell r="T796" t="str">
            <v>normal</v>
          </cell>
          <cell r="U796" t="str">
            <v>NULL</v>
          </cell>
          <cell r="V796" t="str">
            <v>NULL</v>
          </cell>
          <cell r="W796" t="str">
            <v>NULL</v>
          </cell>
        </row>
        <row r="797">
          <cell r="A797">
            <v>796</v>
          </cell>
          <cell r="B797" t="str">
            <v>ja</v>
          </cell>
          <cell r="C797" t="str">
            <v>超越凌駕 ラグランジュ</v>
          </cell>
          <cell r="D797" t="str">
            <v>ガチャ:フィーバーフェス02</v>
          </cell>
          <cell r="E797" t="str">
            <v>執行者</v>
          </cell>
          <cell r="F797" t="str">
            <v>格好いい</v>
          </cell>
          <cell r="G797" t="str">
            <v>男性</v>
          </cell>
          <cell r="H797" t="str">
            <v>red</v>
          </cell>
          <cell r="I797">
            <v>6</v>
          </cell>
          <cell r="J797" t="str">
            <v>PremiumSSS</v>
          </cell>
          <cell r="K797" t="str">
            <v>technical</v>
          </cell>
          <cell r="L797" t="str">
            <v>テクニカルタイプ</v>
          </cell>
          <cell r="M797" t="str">
            <v>human</v>
          </cell>
          <cell r="N797" t="str">
            <v>ヒューマン</v>
          </cell>
          <cell r="O797" t="str">
            <v>none</v>
          </cell>
          <cell r="P797" t="str">
            <v>種族なし</v>
          </cell>
          <cell r="Q797" t="str">
            <v>アタッカー</v>
          </cell>
          <cell r="R797">
            <v>3</v>
          </cell>
          <cell r="S797" t="str">
            <v>NULL</v>
          </cell>
          <cell r="T797" t="str">
            <v>normal</v>
          </cell>
          <cell r="U797" t="str">
            <v>NULL</v>
          </cell>
          <cell r="V797" t="str">
            <v>NULL</v>
          </cell>
          <cell r="W797" t="str">
            <v>NULL</v>
          </cell>
        </row>
        <row r="798">
          <cell r="A798">
            <v>797</v>
          </cell>
          <cell r="B798" t="str">
            <v>ja</v>
          </cell>
          <cell r="C798" t="str">
            <v>崩烙の世解 シュレディンガー</v>
          </cell>
          <cell r="D798" t="str">
            <v>各属性相性良3・黄・R415</v>
          </cell>
          <cell r="E798" t="str">
            <v>執行者</v>
          </cell>
          <cell r="F798" t="str">
            <v>格好いい</v>
          </cell>
          <cell r="G798" t="str">
            <v>男性</v>
          </cell>
          <cell r="H798" t="str">
            <v>red</v>
          </cell>
          <cell r="I798">
            <v>6</v>
          </cell>
          <cell r="J798" t="str">
            <v>PremiumSSS</v>
          </cell>
          <cell r="K798" t="str">
            <v>balance</v>
          </cell>
          <cell r="L798" t="str">
            <v>バランスタイプ</v>
          </cell>
          <cell r="M798" t="str">
            <v>animal</v>
          </cell>
          <cell r="N798" t="str">
            <v>アニマル</v>
          </cell>
          <cell r="O798" t="str">
            <v>none</v>
          </cell>
          <cell r="P798" t="str">
            <v>種族なし</v>
          </cell>
          <cell r="Q798" t="str">
            <v>アタッカー</v>
          </cell>
          <cell r="R798">
            <v>3</v>
          </cell>
          <cell r="S798" t="str">
            <v>NULL</v>
          </cell>
          <cell r="T798" t="str">
            <v>normal</v>
          </cell>
          <cell r="U798" t="str">
            <v>NULL</v>
          </cell>
          <cell r="V798" t="str">
            <v>NULL</v>
          </cell>
          <cell r="W798" t="str">
            <v>NULL</v>
          </cell>
        </row>
        <row r="799">
          <cell r="A799">
            <v>798</v>
          </cell>
          <cell r="B799" t="str">
            <v>ja</v>
          </cell>
          <cell r="C799" t="str">
            <v>煌式の大機刃 オイラー</v>
          </cell>
          <cell r="D799" t="str">
            <v>各属性相性良3・黄・R416</v>
          </cell>
          <cell r="E799" t="str">
            <v>執行者</v>
          </cell>
          <cell r="F799" t="str">
            <v>格好いい</v>
          </cell>
          <cell r="G799" t="str">
            <v>男性</v>
          </cell>
          <cell r="H799" t="str">
            <v>green</v>
          </cell>
          <cell r="I799">
            <v>6</v>
          </cell>
          <cell r="J799" t="str">
            <v>PremiumSSS</v>
          </cell>
          <cell r="K799" t="str">
            <v>balance</v>
          </cell>
          <cell r="L799" t="str">
            <v>バランスタイプ</v>
          </cell>
          <cell r="M799" t="str">
            <v>human</v>
          </cell>
          <cell r="N799" t="str">
            <v>ヒューマン</v>
          </cell>
          <cell r="O799" t="str">
            <v>none</v>
          </cell>
          <cell r="P799" t="str">
            <v>種族なし</v>
          </cell>
          <cell r="Q799" t="str">
            <v>アタッカー</v>
          </cell>
          <cell r="R799">
            <v>3</v>
          </cell>
          <cell r="S799" t="str">
            <v>NULL</v>
          </cell>
          <cell r="T799" t="str">
            <v>normal</v>
          </cell>
          <cell r="U799" t="str">
            <v>NULL</v>
          </cell>
          <cell r="V799" t="str">
            <v>NULL</v>
          </cell>
          <cell r="W799" t="str">
            <v>NULL</v>
          </cell>
        </row>
        <row r="800">
          <cell r="A800">
            <v>799</v>
          </cell>
          <cell r="B800" t="str">
            <v>ja</v>
          </cell>
          <cell r="C800" t="str">
            <v>電讃の魔機 チューリング</v>
          </cell>
          <cell r="D800" t="str">
            <v>各属性相性良3・黄・R417</v>
          </cell>
          <cell r="E800" t="str">
            <v>執行者</v>
          </cell>
          <cell r="F800" t="str">
            <v>格好いい</v>
          </cell>
          <cell r="G800" t="str">
            <v>男性</v>
          </cell>
          <cell r="H800" t="str">
            <v>green</v>
          </cell>
          <cell r="I800">
            <v>6</v>
          </cell>
          <cell r="J800" t="str">
            <v>PremiumSSS</v>
          </cell>
          <cell r="K800" t="str">
            <v>hp</v>
          </cell>
          <cell r="L800" t="str">
            <v>体力タイプ</v>
          </cell>
          <cell r="M800" t="str">
            <v>human</v>
          </cell>
          <cell r="N800" t="str">
            <v>ヒューマン</v>
          </cell>
          <cell r="O800" t="str">
            <v>machine</v>
          </cell>
          <cell r="P800" t="str">
            <v>マシン</v>
          </cell>
          <cell r="Q800" t="str">
            <v>アタッカー</v>
          </cell>
          <cell r="R800">
            <v>3</v>
          </cell>
          <cell r="S800" t="str">
            <v>NULL</v>
          </cell>
          <cell r="T800" t="str">
            <v>normal</v>
          </cell>
          <cell r="U800" t="str">
            <v>NULL</v>
          </cell>
          <cell r="V800" t="str">
            <v>NULL</v>
          </cell>
          <cell r="W800" t="str">
            <v>NULL</v>
          </cell>
        </row>
        <row r="801">
          <cell r="A801">
            <v>800</v>
          </cell>
          <cell r="B801" t="str">
            <v>ja</v>
          </cell>
          <cell r="C801" t="str">
            <v>蒼穹包む命題 ヘンペル</v>
          </cell>
          <cell r="D801" t="str">
            <v>各属性相性良3・黄・R418</v>
          </cell>
          <cell r="E801" t="str">
            <v>執行者</v>
          </cell>
          <cell r="F801" t="str">
            <v>格好いい</v>
          </cell>
          <cell r="G801" t="str">
            <v>男性</v>
          </cell>
          <cell r="H801" t="str">
            <v>blue</v>
          </cell>
          <cell r="I801">
            <v>6</v>
          </cell>
          <cell r="J801" t="str">
            <v>PremiumSSS</v>
          </cell>
          <cell r="K801" t="str">
            <v>technical</v>
          </cell>
          <cell r="L801" t="str">
            <v>テクニカルタイプ</v>
          </cell>
          <cell r="M801" t="str">
            <v>human</v>
          </cell>
          <cell r="N801" t="str">
            <v>ヒューマン</v>
          </cell>
          <cell r="O801" t="str">
            <v>none</v>
          </cell>
          <cell r="P801" t="str">
            <v>種族なし</v>
          </cell>
          <cell r="Q801" t="str">
            <v>アタッカー</v>
          </cell>
          <cell r="R801">
            <v>3</v>
          </cell>
          <cell r="S801" t="str">
            <v>NULL</v>
          </cell>
          <cell r="T801" t="str">
            <v>normal</v>
          </cell>
          <cell r="U801" t="str">
            <v>NULL</v>
          </cell>
          <cell r="V801" t="str">
            <v>NULL</v>
          </cell>
          <cell r="W801" t="str">
            <v>NULL</v>
          </cell>
        </row>
        <row r="802">
          <cell r="A802">
            <v>801</v>
          </cell>
          <cell r="B802" t="str">
            <v>ja</v>
          </cell>
          <cell r="C802" t="str">
            <v>覚世の大機神 オーディン</v>
          </cell>
          <cell r="D802" t="str">
            <v>各属性相性良3・黄・R419</v>
          </cell>
          <cell r="E802" t="str">
            <v>執行者</v>
          </cell>
          <cell r="F802" t="str">
            <v>格好いい</v>
          </cell>
          <cell r="G802" t="str">
            <v>男性</v>
          </cell>
          <cell r="H802" t="str">
            <v>blue</v>
          </cell>
          <cell r="I802">
            <v>6</v>
          </cell>
          <cell r="J802" t="str">
            <v>DropWizSS</v>
          </cell>
          <cell r="K802" t="str">
            <v>hp</v>
          </cell>
          <cell r="L802" t="str">
            <v>体力タイプ</v>
          </cell>
          <cell r="M802" t="str">
            <v>machine</v>
          </cell>
          <cell r="N802" t="str">
            <v>マシン</v>
          </cell>
          <cell r="O802" t="str">
            <v>god</v>
          </cell>
          <cell r="P802" t="str">
            <v>ゴッド</v>
          </cell>
          <cell r="Q802" t="str">
            <v>アタッカー</v>
          </cell>
          <cell r="R802">
            <v>3</v>
          </cell>
          <cell r="S802" t="str">
            <v>NULL</v>
          </cell>
          <cell r="T802" t="str">
            <v>normal</v>
          </cell>
          <cell r="U802" t="str">
            <v>NULL</v>
          </cell>
          <cell r="V802" t="str">
            <v>NULL</v>
          </cell>
          <cell r="W802" t="str">
            <v>NULL</v>
          </cell>
        </row>
        <row r="803">
          <cell r="A803">
            <v>802</v>
          </cell>
          <cell r="B803" t="str">
            <v>ja</v>
          </cell>
          <cell r="C803" t="str">
            <v>四聖結終の超獣 麒麟</v>
          </cell>
          <cell r="D803" t="str">
            <v>各属性相性良3・黄・R420</v>
          </cell>
          <cell r="E803" t="str">
            <v>執行者</v>
          </cell>
          <cell r="F803" t="str">
            <v>格好いい</v>
          </cell>
          <cell r="G803" t="str">
            <v>男性</v>
          </cell>
          <cell r="H803" t="str">
            <v>yellow</v>
          </cell>
          <cell r="I803">
            <v>6</v>
          </cell>
          <cell r="J803" t="str">
            <v>DropWizSS</v>
          </cell>
          <cell r="K803" t="str">
            <v>balance</v>
          </cell>
          <cell r="L803" t="str">
            <v>バランスタイプ</v>
          </cell>
          <cell r="M803" t="str">
            <v>god</v>
          </cell>
          <cell r="N803" t="str">
            <v>ゴッド</v>
          </cell>
          <cell r="O803" t="str">
            <v>none</v>
          </cell>
          <cell r="P803" t="str">
            <v>種族なし</v>
          </cell>
          <cell r="Q803" t="str">
            <v>アタッカー</v>
          </cell>
          <cell r="R803">
            <v>3</v>
          </cell>
          <cell r="S803" t="str">
            <v>NULL</v>
          </cell>
          <cell r="T803" t="str">
            <v>normal</v>
          </cell>
          <cell r="U803" t="str">
            <v>NULL</v>
          </cell>
          <cell r="V803" t="str">
            <v>NULL</v>
          </cell>
          <cell r="W803" t="str">
            <v>NULL</v>
          </cell>
        </row>
        <row r="804">
          <cell r="A804">
            <v>803</v>
          </cell>
          <cell r="B804" t="str">
            <v>ja</v>
          </cell>
          <cell r="C804" t="str">
            <v>大宇宙の膨超 ハップル</v>
          </cell>
          <cell r="D804" t="str">
            <v>各属性相性良3・黄・R421</v>
          </cell>
          <cell r="E804" t="str">
            <v>執行者</v>
          </cell>
          <cell r="F804" t="str">
            <v>格好いい</v>
          </cell>
          <cell r="G804" t="str">
            <v>男性</v>
          </cell>
          <cell r="H804" t="str">
            <v>yellow</v>
          </cell>
          <cell r="I804">
            <v>6</v>
          </cell>
          <cell r="J804" t="str">
            <v>PremiumSSS</v>
          </cell>
          <cell r="K804" t="str">
            <v>technical</v>
          </cell>
          <cell r="L804" t="str">
            <v>テクニカルタイプ</v>
          </cell>
          <cell r="M804" t="str">
            <v>human</v>
          </cell>
          <cell r="N804" t="str">
            <v>ヒューマン</v>
          </cell>
          <cell r="O804" t="str">
            <v>none</v>
          </cell>
          <cell r="P804" t="str">
            <v>種族なし</v>
          </cell>
          <cell r="Q804" t="str">
            <v>アタッカー</v>
          </cell>
          <cell r="R804">
            <v>3</v>
          </cell>
          <cell r="S804" t="str">
            <v>NULL</v>
          </cell>
          <cell r="T804" t="str">
            <v>normal</v>
          </cell>
          <cell r="U804" t="str">
            <v>NULL</v>
          </cell>
          <cell r="V804" t="str">
            <v>NULL</v>
          </cell>
          <cell r="W804" t="str">
            <v>NULL</v>
          </cell>
        </row>
        <row r="805">
          <cell r="A805">
            <v>804</v>
          </cell>
          <cell r="B805" t="str">
            <v>ja</v>
          </cell>
          <cell r="C805" t="str">
            <v>豪電の守護芯 ファラデー</v>
          </cell>
          <cell r="D805" t="str">
            <v>各属性相性良3・黄・R422</v>
          </cell>
          <cell r="E805" t="str">
            <v>執行者</v>
          </cell>
          <cell r="F805" t="str">
            <v>格好いい</v>
          </cell>
          <cell r="G805" t="str">
            <v>男性</v>
          </cell>
          <cell r="H805" t="str">
            <v>yellow</v>
          </cell>
          <cell r="I805">
            <v>6</v>
          </cell>
          <cell r="J805" t="str">
            <v>PremiumSSS</v>
          </cell>
          <cell r="K805" t="str">
            <v>balance</v>
          </cell>
          <cell r="L805" t="str">
            <v>バランスタイプ</v>
          </cell>
          <cell r="M805" t="str">
            <v>human</v>
          </cell>
          <cell r="N805" t="str">
            <v>ヒューマン</v>
          </cell>
          <cell r="O805" t="str">
            <v>none</v>
          </cell>
          <cell r="P805" t="str">
            <v>種族なし</v>
          </cell>
          <cell r="Q805" t="str">
            <v>アタッカー</v>
          </cell>
          <cell r="R805">
            <v>3</v>
          </cell>
          <cell r="S805" t="str">
            <v>NULL</v>
          </cell>
          <cell r="T805" t="str">
            <v>normal</v>
          </cell>
          <cell r="U805" t="str">
            <v>NULL</v>
          </cell>
          <cell r="V805" t="str">
            <v>NULL</v>
          </cell>
          <cell r="W805" t="str">
            <v>NULL</v>
          </cell>
        </row>
        <row r="806">
          <cell r="A806">
            <v>805</v>
          </cell>
          <cell r="B806" t="str">
            <v>ja</v>
          </cell>
          <cell r="C806" t="str">
            <v>熱環の大逆聖 ベリアル</v>
          </cell>
          <cell r="D806" t="str">
            <v>各属性相性良3・黄・R423</v>
          </cell>
          <cell r="E806" t="str">
            <v>執行者</v>
          </cell>
          <cell r="F806" t="str">
            <v>格好いい</v>
          </cell>
          <cell r="G806" t="str">
            <v>男性</v>
          </cell>
          <cell r="H806" t="str">
            <v>red</v>
          </cell>
          <cell r="I806">
            <v>6</v>
          </cell>
          <cell r="J806" t="str">
            <v>PremiumS</v>
          </cell>
          <cell r="K806" t="str">
            <v>attack</v>
          </cell>
          <cell r="L806" t="str">
            <v>攻撃タイプ</v>
          </cell>
          <cell r="M806" t="str">
            <v>god</v>
          </cell>
          <cell r="N806" t="str">
            <v>ゴッド</v>
          </cell>
          <cell r="O806" t="str">
            <v>none</v>
          </cell>
          <cell r="P806" t="str">
            <v>種族なし</v>
          </cell>
          <cell r="Q806" t="str">
            <v>アタッカー</v>
          </cell>
          <cell r="R806">
            <v>3</v>
          </cell>
          <cell r="S806" t="str">
            <v>NULL</v>
          </cell>
          <cell r="T806" t="str">
            <v>normal</v>
          </cell>
          <cell r="U806" t="str">
            <v>NULL</v>
          </cell>
          <cell r="V806" t="str">
            <v>NULL</v>
          </cell>
          <cell r="W806" t="str">
            <v>NULL</v>
          </cell>
        </row>
        <row r="807">
          <cell r="A807">
            <v>806</v>
          </cell>
          <cell r="B807" t="str">
            <v>ja</v>
          </cell>
          <cell r="C807" t="str">
            <v>全解の預智聖 オセ</v>
          </cell>
          <cell r="D807" t="str">
            <v>各属性相性良3・黄・R424</v>
          </cell>
          <cell r="E807" t="str">
            <v>執行者</v>
          </cell>
          <cell r="F807" t="str">
            <v>格好いい</v>
          </cell>
          <cell r="G807" t="str">
            <v>男性</v>
          </cell>
          <cell r="H807" t="str">
            <v>green</v>
          </cell>
          <cell r="I807">
            <v>6</v>
          </cell>
          <cell r="J807" t="str">
            <v>PremiumS</v>
          </cell>
          <cell r="K807" t="str">
            <v>attack</v>
          </cell>
          <cell r="L807" t="str">
            <v>攻撃タイプ</v>
          </cell>
          <cell r="M807" t="str">
            <v>god</v>
          </cell>
          <cell r="N807" t="str">
            <v>ゴッド</v>
          </cell>
          <cell r="O807" t="str">
            <v>none</v>
          </cell>
          <cell r="P807" t="str">
            <v>種族なし</v>
          </cell>
          <cell r="Q807" t="str">
            <v>アタッカー</v>
          </cell>
          <cell r="R807">
            <v>3</v>
          </cell>
          <cell r="S807" t="str">
            <v>NULL</v>
          </cell>
          <cell r="T807" t="str">
            <v>normal</v>
          </cell>
          <cell r="U807" t="str">
            <v>NULL</v>
          </cell>
          <cell r="V807" t="str">
            <v>NULL</v>
          </cell>
          <cell r="W807" t="str">
            <v>NULL</v>
          </cell>
        </row>
        <row r="808">
          <cell r="A808">
            <v>807</v>
          </cell>
          <cell r="B808" t="str">
            <v>ja</v>
          </cell>
          <cell r="C808" t="str">
            <v>襲愛の真公爵 フォルネウス</v>
          </cell>
          <cell r="D808" t="str">
            <v>各属性相性良3・黄・R425</v>
          </cell>
          <cell r="E808" t="str">
            <v>執行者</v>
          </cell>
          <cell r="F808" t="str">
            <v>格好いい</v>
          </cell>
          <cell r="G808" t="str">
            <v>男性</v>
          </cell>
          <cell r="H808" t="str">
            <v>blue</v>
          </cell>
          <cell r="I808">
            <v>6</v>
          </cell>
          <cell r="J808" t="str">
            <v>PremiumS</v>
          </cell>
          <cell r="K808" t="str">
            <v>attack</v>
          </cell>
          <cell r="L808" t="str">
            <v>攻撃タイプ</v>
          </cell>
          <cell r="M808" t="str">
            <v>god</v>
          </cell>
          <cell r="N808" t="str">
            <v>ゴッド</v>
          </cell>
          <cell r="O808" t="str">
            <v>none</v>
          </cell>
          <cell r="P808" t="str">
            <v>種族なし</v>
          </cell>
          <cell r="Q808" t="str">
            <v>アタッカー</v>
          </cell>
          <cell r="R808">
            <v>3</v>
          </cell>
          <cell r="S808" t="str">
            <v>NULL</v>
          </cell>
          <cell r="T808" t="str">
            <v>normal</v>
          </cell>
          <cell r="U808" t="str">
            <v>NULL</v>
          </cell>
          <cell r="V808" t="str">
            <v>NULL</v>
          </cell>
          <cell r="W808" t="str">
            <v>NULL</v>
          </cell>
        </row>
        <row r="809">
          <cell r="A809">
            <v>808</v>
          </cell>
          <cell r="B809" t="str">
            <v>ja</v>
          </cell>
          <cell r="C809" t="str">
            <v>天地万物の烈神母 イザナミ</v>
          </cell>
          <cell r="D809" t="str">
            <v>各属性相性良3・黄・R426</v>
          </cell>
          <cell r="E809" t="str">
            <v>執行者</v>
          </cell>
          <cell r="F809" t="str">
            <v>格好いい</v>
          </cell>
          <cell r="G809" t="str">
            <v>男性</v>
          </cell>
          <cell r="H809" t="str">
            <v>yellow</v>
          </cell>
          <cell r="I809">
            <v>6</v>
          </cell>
          <cell r="J809" t="str">
            <v>PremiumS</v>
          </cell>
          <cell r="K809" t="str">
            <v>attack</v>
          </cell>
          <cell r="L809" t="str">
            <v>攻撃タイプ</v>
          </cell>
          <cell r="M809" t="str">
            <v>god</v>
          </cell>
          <cell r="N809" t="str">
            <v>ゴッド</v>
          </cell>
          <cell r="O809" t="str">
            <v>none</v>
          </cell>
          <cell r="P809" t="str">
            <v>種族なし</v>
          </cell>
          <cell r="Q809" t="str">
            <v>アタッカー</v>
          </cell>
          <cell r="R809">
            <v>3</v>
          </cell>
          <cell r="S809" t="str">
            <v>NULL</v>
          </cell>
          <cell r="T809" t="str">
            <v>normal</v>
          </cell>
          <cell r="U809" t="str">
            <v>NULL</v>
          </cell>
          <cell r="V809" t="str">
            <v>NULL</v>
          </cell>
          <cell r="W809" t="str">
            <v>NULL</v>
          </cell>
        </row>
        <row r="810">
          <cell r="A810">
            <v>809</v>
          </cell>
          <cell r="B810" t="str">
            <v>ja</v>
          </cell>
          <cell r="C810" t="str">
            <v>天然理心の激凛 沖田総司</v>
          </cell>
          <cell r="D810" t="str">
            <v>各属性相性良3・黄・R427</v>
          </cell>
          <cell r="E810" t="str">
            <v>執行者</v>
          </cell>
          <cell r="F810" t="str">
            <v>格好いい</v>
          </cell>
          <cell r="G810" t="str">
            <v>男性</v>
          </cell>
          <cell r="H810" t="str">
            <v>blue</v>
          </cell>
          <cell r="I810">
            <v>6</v>
          </cell>
          <cell r="J810" t="str">
            <v>PremiumSS</v>
          </cell>
          <cell r="K810" t="str">
            <v>balance</v>
          </cell>
          <cell r="L810" t="str">
            <v>バランスタイプ</v>
          </cell>
          <cell r="M810" t="str">
            <v>human</v>
          </cell>
          <cell r="N810" t="str">
            <v>ヒューマン</v>
          </cell>
          <cell r="O810" t="str">
            <v>none</v>
          </cell>
          <cell r="P810" t="str">
            <v>種族なし</v>
          </cell>
          <cell r="Q810" t="str">
            <v>アタッカー</v>
          </cell>
          <cell r="R810">
            <v>3</v>
          </cell>
          <cell r="S810" t="str">
            <v>NULL</v>
          </cell>
          <cell r="T810" t="str">
            <v>normal</v>
          </cell>
          <cell r="U810" t="str">
            <v>NULL</v>
          </cell>
          <cell r="V810" t="str">
            <v>NULL</v>
          </cell>
          <cell r="W810" t="str">
            <v>NULL</v>
          </cell>
        </row>
        <row r="811">
          <cell r="A811">
            <v>810</v>
          </cell>
          <cell r="B811" t="str">
            <v>ja</v>
          </cell>
          <cell r="C811" t="str">
            <v>君臨大御神 アマテラス</v>
          </cell>
          <cell r="D811" t="str">
            <v>各属性相性良3・黄・R428</v>
          </cell>
          <cell r="E811" t="str">
            <v>執行者</v>
          </cell>
          <cell r="F811" t="str">
            <v>格好いい</v>
          </cell>
          <cell r="G811" t="str">
            <v>男性</v>
          </cell>
          <cell r="H811" t="str">
            <v>red</v>
          </cell>
          <cell r="I811">
            <v>6</v>
          </cell>
          <cell r="J811" t="str">
            <v>DropWizS</v>
          </cell>
          <cell r="K811" t="str">
            <v>attack</v>
          </cell>
          <cell r="L811" t="str">
            <v>攻撃タイプ</v>
          </cell>
          <cell r="M811" t="str">
            <v>god</v>
          </cell>
          <cell r="N811" t="str">
            <v>ゴッド</v>
          </cell>
          <cell r="O811" t="str">
            <v>none</v>
          </cell>
          <cell r="P811" t="str">
            <v>種族なし</v>
          </cell>
          <cell r="Q811" t="str">
            <v>アタッカー</v>
          </cell>
          <cell r="R811">
            <v>3</v>
          </cell>
          <cell r="S811" t="str">
            <v>NULL</v>
          </cell>
          <cell r="T811" t="str">
            <v>normal</v>
          </cell>
          <cell r="U811" t="str">
            <v>NULL</v>
          </cell>
          <cell r="V811" t="str">
            <v>NULL</v>
          </cell>
          <cell r="W811" t="str">
            <v>NULL</v>
          </cell>
        </row>
        <row r="812">
          <cell r="A812">
            <v>811</v>
          </cell>
          <cell r="B812" t="str">
            <v>ja</v>
          </cell>
          <cell r="C812" t="str">
            <v>咲き誇る旅航者 親指姫</v>
          </cell>
          <cell r="D812" t="str">
            <v>各属性相性良3・黄・R429</v>
          </cell>
          <cell r="E812" t="str">
            <v>執行者</v>
          </cell>
          <cell r="F812" t="str">
            <v>格好いい</v>
          </cell>
          <cell r="G812" t="str">
            <v>男性</v>
          </cell>
          <cell r="H812" t="str">
            <v>red</v>
          </cell>
          <cell r="I812">
            <v>6</v>
          </cell>
          <cell r="J812" t="str">
            <v>PremiumSS</v>
          </cell>
          <cell r="K812" t="str">
            <v>heal</v>
          </cell>
          <cell r="L812" t="str">
            <v>回復タイプ</v>
          </cell>
          <cell r="M812" t="str">
            <v>human</v>
          </cell>
          <cell r="N812" t="str">
            <v>ヒューマン</v>
          </cell>
          <cell r="O812" t="str">
            <v>machine</v>
          </cell>
          <cell r="P812" t="str">
            <v>マシン</v>
          </cell>
          <cell r="Q812" t="str">
            <v>アタッカー</v>
          </cell>
          <cell r="R812">
            <v>3</v>
          </cell>
          <cell r="S812" t="str">
            <v>NULL</v>
          </cell>
          <cell r="T812" t="str">
            <v>normal</v>
          </cell>
          <cell r="U812" t="str">
            <v>NULL</v>
          </cell>
          <cell r="V812" t="str">
            <v>NULL</v>
          </cell>
          <cell r="W812" t="str">
            <v>NULL</v>
          </cell>
        </row>
        <row r="813">
          <cell r="A813">
            <v>812</v>
          </cell>
          <cell r="B813" t="str">
            <v>ja</v>
          </cell>
          <cell r="C813" t="str">
            <v>凶膨なる殲滅 アザゼル</v>
          </cell>
          <cell r="D813" t="str">
            <v>各属性相性良3・黄・R430</v>
          </cell>
          <cell r="E813" t="str">
            <v>執行者</v>
          </cell>
          <cell r="F813" t="str">
            <v>格好いい</v>
          </cell>
          <cell r="G813" t="str">
            <v>男性</v>
          </cell>
          <cell r="H813" t="str">
            <v>green</v>
          </cell>
          <cell r="I813">
            <v>6</v>
          </cell>
          <cell r="J813" t="str">
            <v>DropWizS</v>
          </cell>
          <cell r="K813" t="str">
            <v>technical</v>
          </cell>
          <cell r="L813" t="str">
            <v>テクニカルタイプ</v>
          </cell>
          <cell r="M813" t="str">
            <v>god</v>
          </cell>
          <cell r="N813" t="str">
            <v>ゴッド</v>
          </cell>
          <cell r="O813" t="str">
            <v>none</v>
          </cell>
          <cell r="P813" t="str">
            <v>種族なし</v>
          </cell>
          <cell r="Q813" t="str">
            <v>アタッカー</v>
          </cell>
          <cell r="R813">
            <v>3</v>
          </cell>
          <cell r="S813" t="str">
            <v>NULL</v>
          </cell>
          <cell r="T813" t="str">
            <v>normal</v>
          </cell>
          <cell r="U813" t="str">
            <v>NULL</v>
          </cell>
          <cell r="V813" t="str">
            <v>NULL</v>
          </cell>
          <cell r="W813" t="str">
            <v>NULL</v>
          </cell>
        </row>
        <row r="814">
          <cell r="A814">
            <v>813</v>
          </cell>
          <cell r="B814" t="str">
            <v>ja</v>
          </cell>
          <cell r="C814" t="str">
            <v>絆の大冒険 ヘンゼル＆グレーテル</v>
          </cell>
          <cell r="D814" t="str">
            <v>各属性相性良3・黄・R431</v>
          </cell>
          <cell r="E814" t="str">
            <v>執行者</v>
          </cell>
          <cell r="F814" t="str">
            <v>格好いい</v>
          </cell>
          <cell r="G814" t="str">
            <v>男性</v>
          </cell>
          <cell r="H814" t="str">
            <v>yellow</v>
          </cell>
          <cell r="I814">
            <v>6</v>
          </cell>
          <cell r="J814" t="str">
            <v>PremiumSS</v>
          </cell>
          <cell r="K814" t="str">
            <v>balance</v>
          </cell>
          <cell r="L814" t="str">
            <v>バランスタイプ</v>
          </cell>
          <cell r="M814" t="str">
            <v>human</v>
          </cell>
          <cell r="N814" t="str">
            <v>ヒューマン</v>
          </cell>
          <cell r="O814" t="str">
            <v>machine</v>
          </cell>
          <cell r="P814" t="str">
            <v>マシン</v>
          </cell>
          <cell r="Q814" t="str">
            <v>アタッカー</v>
          </cell>
          <cell r="R814">
            <v>3</v>
          </cell>
          <cell r="S814" t="str">
            <v>NULL</v>
          </cell>
          <cell r="T814" t="str">
            <v>normal</v>
          </cell>
          <cell r="U814" t="str">
            <v>NULL</v>
          </cell>
          <cell r="V814" t="str">
            <v>NULL</v>
          </cell>
          <cell r="W814" t="str">
            <v>NULL</v>
          </cell>
        </row>
        <row r="815">
          <cell r="A815">
            <v>814</v>
          </cell>
          <cell r="B815" t="str">
            <v>ja</v>
          </cell>
          <cell r="C815" t="str">
            <v>戦場疾駆の鋼蹄 ジャンヌ</v>
          </cell>
          <cell r="D815" t="str">
            <v>各属性相性良3・黄・R432</v>
          </cell>
          <cell r="E815" t="str">
            <v>執行者</v>
          </cell>
          <cell r="F815" t="str">
            <v>格好いい</v>
          </cell>
          <cell r="G815" t="str">
            <v>男性</v>
          </cell>
          <cell r="H815" t="str">
            <v>blue</v>
          </cell>
          <cell r="I815">
            <v>6</v>
          </cell>
          <cell r="J815" t="str">
            <v>DropWizS</v>
          </cell>
          <cell r="K815" t="str">
            <v>heal</v>
          </cell>
          <cell r="L815" t="str">
            <v>回復タイプ</v>
          </cell>
          <cell r="M815" t="str">
            <v>human</v>
          </cell>
          <cell r="N815" t="str">
            <v>ヒューマン</v>
          </cell>
          <cell r="O815" t="str">
            <v>none</v>
          </cell>
          <cell r="P815" t="str">
            <v>種族なし</v>
          </cell>
          <cell r="Q815" t="str">
            <v>アタッカー</v>
          </cell>
          <cell r="R815">
            <v>3</v>
          </cell>
          <cell r="S815" t="str">
            <v>NULL</v>
          </cell>
          <cell r="T815" t="str">
            <v>normal</v>
          </cell>
          <cell r="U815" t="str">
            <v>NULL</v>
          </cell>
          <cell r="V815" t="str">
            <v>NULL</v>
          </cell>
          <cell r="W815" t="str">
            <v>NULL</v>
          </cell>
        </row>
        <row r="816">
          <cell r="A816">
            <v>815</v>
          </cell>
          <cell r="B816" t="str">
            <v>ja</v>
          </cell>
          <cell r="C816" t="str">
            <v>解砲の鴉眼 八咫烏</v>
          </cell>
          <cell r="D816" t="str">
            <v>各属性相性良3・黄・R433</v>
          </cell>
          <cell r="E816" t="str">
            <v>執行者</v>
          </cell>
          <cell r="F816" t="str">
            <v>格好いい</v>
          </cell>
          <cell r="G816" t="str">
            <v>男性</v>
          </cell>
          <cell r="H816" t="str">
            <v>green</v>
          </cell>
          <cell r="I816">
            <v>6</v>
          </cell>
          <cell r="J816" t="str">
            <v>PremiumSS</v>
          </cell>
          <cell r="K816" t="str">
            <v>balance</v>
          </cell>
          <cell r="L816" t="str">
            <v>バランスタイプ</v>
          </cell>
          <cell r="M816" t="str">
            <v>animal</v>
          </cell>
          <cell r="N816" t="str">
            <v>アニマル</v>
          </cell>
          <cell r="O816" t="str">
            <v>none</v>
          </cell>
          <cell r="P816" t="str">
            <v>種族なし</v>
          </cell>
          <cell r="Q816" t="str">
            <v>アタッカー</v>
          </cell>
          <cell r="R816">
            <v>3</v>
          </cell>
          <cell r="S816" t="str">
            <v>NULL</v>
          </cell>
          <cell r="T816" t="str">
            <v>normal</v>
          </cell>
          <cell r="U816" t="str">
            <v>NULL</v>
          </cell>
          <cell r="V816" t="str">
            <v>NULL</v>
          </cell>
          <cell r="W816" t="str">
            <v>NULL</v>
          </cell>
        </row>
        <row r="817">
          <cell r="A817">
            <v>816</v>
          </cell>
          <cell r="B817" t="str">
            <v>ja</v>
          </cell>
          <cell r="C817" t="str">
            <v>極・二天一流 宮本武蔵</v>
          </cell>
          <cell r="D817" t="str">
            <v>各属性相性良3・黄・R434</v>
          </cell>
          <cell r="E817" t="str">
            <v>執行者</v>
          </cell>
          <cell r="F817" t="str">
            <v>格好いい</v>
          </cell>
          <cell r="G817" t="str">
            <v>男性</v>
          </cell>
          <cell r="H817" t="str">
            <v>yellow</v>
          </cell>
          <cell r="I817">
            <v>6</v>
          </cell>
          <cell r="J817" t="str">
            <v>DropWizS</v>
          </cell>
          <cell r="K817" t="str">
            <v>attack</v>
          </cell>
          <cell r="L817" t="str">
            <v>攻撃タイプ</v>
          </cell>
          <cell r="M817" t="str">
            <v>human</v>
          </cell>
          <cell r="N817" t="str">
            <v>ヒューマン</v>
          </cell>
          <cell r="O817" t="str">
            <v>none</v>
          </cell>
          <cell r="P817" t="str">
            <v>種族なし</v>
          </cell>
          <cell r="Q817" t="str">
            <v>アタッカー</v>
          </cell>
          <cell r="R817">
            <v>3</v>
          </cell>
          <cell r="S817" t="str">
            <v>NULL</v>
          </cell>
          <cell r="T817" t="str">
            <v>normal</v>
          </cell>
          <cell r="U817" t="str">
            <v>NULL</v>
          </cell>
          <cell r="V817" t="str">
            <v>NULL</v>
          </cell>
          <cell r="W817" t="str">
            <v>NULL</v>
          </cell>
        </row>
        <row r="818">
          <cell r="A818">
            <v>817</v>
          </cell>
          <cell r="B818" t="str">
            <v>ja</v>
          </cell>
          <cell r="C818" t="str">
            <v>決戦の抗弾 D.R.T.H.</v>
          </cell>
          <cell r="D818" t="str">
            <v>各属性相性良3・黄・R435</v>
          </cell>
          <cell r="E818" t="str">
            <v>執行者</v>
          </cell>
          <cell r="F818" t="str">
            <v>格好いい</v>
          </cell>
          <cell r="G818" t="str">
            <v>男性</v>
          </cell>
          <cell r="H818" t="str">
            <v>red</v>
          </cell>
          <cell r="I818">
            <v>6</v>
          </cell>
          <cell r="J818" t="str">
            <v>PremiumSS</v>
          </cell>
          <cell r="K818" t="str">
            <v>balance</v>
          </cell>
          <cell r="L818" t="str">
            <v>バランスタイプ</v>
          </cell>
          <cell r="M818" t="str">
            <v>human</v>
          </cell>
          <cell r="N818" t="str">
            <v>ヒューマン</v>
          </cell>
          <cell r="O818" t="str">
            <v>none</v>
          </cell>
          <cell r="P818" t="str">
            <v>種族なし</v>
          </cell>
          <cell r="Q818" t="str">
            <v>アタッカー</v>
          </cell>
          <cell r="R818">
            <v>3</v>
          </cell>
          <cell r="S818" t="str">
            <v>NULL</v>
          </cell>
          <cell r="T818" t="str">
            <v>normal</v>
          </cell>
          <cell r="U818" t="str">
            <v>NULL</v>
          </cell>
          <cell r="V818" t="str">
            <v>NULL</v>
          </cell>
          <cell r="W818" t="str">
            <v>NULL</v>
          </cell>
        </row>
        <row r="819">
          <cell r="A819">
            <v>818</v>
          </cell>
          <cell r="B819" t="str">
            <v>ja</v>
          </cell>
          <cell r="C819" t="str">
            <v>虚空を飾る大輪 オズ</v>
          </cell>
          <cell r="D819" t="str">
            <v>各属性相性良3・黄・R436</v>
          </cell>
          <cell r="E819" t="str">
            <v>執行者</v>
          </cell>
          <cell r="F819" t="str">
            <v>格好いい</v>
          </cell>
          <cell r="G819" t="str">
            <v>男性</v>
          </cell>
          <cell r="H819" t="str">
            <v>green</v>
          </cell>
          <cell r="I819">
            <v>6</v>
          </cell>
          <cell r="J819" t="str">
            <v>DropWizS</v>
          </cell>
          <cell r="K819" t="str">
            <v>technical</v>
          </cell>
          <cell r="L819" t="str">
            <v>テクニカルタイプ</v>
          </cell>
          <cell r="M819" t="str">
            <v>human</v>
          </cell>
          <cell r="N819" t="str">
            <v>ヒューマン</v>
          </cell>
          <cell r="O819" t="str">
            <v>none</v>
          </cell>
          <cell r="P819" t="str">
            <v>種族なし</v>
          </cell>
          <cell r="Q819" t="str">
            <v>アタッカー</v>
          </cell>
          <cell r="R819">
            <v>3</v>
          </cell>
          <cell r="S819" t="str">
            <v>NULL</v>
          </cell>
          <cell r="T819" t="str">
            <v>normal</v>
          </cell>
          <cell r="U819" t="str">
            <v>NULL</v>
          </cell>
          <cell r="V819" t="str">
            <v>NULL</v>
          </cell>
          <cell r="W819" t="str">
            <v>NULL</v>
          </cell>
        </row>
        <row r="820">
          <cell r="A820">
            <v>819</v>
          </cell>
          <cell r="B820" t="str">
            <v>ja</v>
          </cell>
          <cell r="C820" t="str">
            <v>讐命の我突 モルドレッド</v>
          </cell>
          <cell r="D820" t="str">
            <v>各属性相性良3・黄・R437</v>
          </cell>
          <cell r="E820" t="str">
            <v>執行者</v>
          </cell>
          <cell r="F820" t="str">
            <v>格好いい</v>
          </cell>
          <cell r="G820" t="str">
            <v>男性</v>
          </cell>
          <cell r="H820" t="str">
            <v>blue</v>
          </cell>
          <cell r="I820">
            <v>6</v>
          </cell>
          <cell r="J820" t="str">
            <v>PremiumSS</v>
          </cell>
          <cell r="K820" t="str">
            <v>technical</v>
          </cell>
          <cell r="L820" t="str">
            <v>テクニカルタイプ</v>
          </cell>
          <cell r="M820" t="str">
            <v>human</v>
          </cell>
          <cell r="N820" t="str">
            <v>ヒューマン</v>
          </cell>
          <cell r="O820" t="str">
            <v>none</v>
          </cell>
          <cell r="P820" t="str">
            <v>種族なし</v>
          </cell>
          <cell r="Q820" t="str">
            <v>アタッカー</v>
          </cell>
          <cell r="R820">
            <v>3</v>
          </cell>
          <cell r="S820" t="str">
            <v>NULL</v>
          </cell>
          <cell r="T820" t="str">
            <v>normal</v>
          </cell>
          <cell r="U820" t="str">
            <v>NULL</v>
          </cell>
          <cell r="V820" t="str">
            <v>NULL</v>
          </cell>
          <cell r="W820" t="str">
            <v>NULL</v>
          </cell>
        </row>
        <row r="821">
          <cell r="A821">
            <v>820</v>
          </cell>
          <cell r="B821" t="str">
            <v>ja</v>
          </cell>
          <cell r="C821" t="str">
            <v>凶心者の聖儀 アーサー</v>
          </cell>
          <cell r="D821" t="str">
            <v>各属性相性良3・黄・R438</v>
          </cell>
          <cell r="E821" t="str">
            <v>執行者</v>
          </cell>
          <cell r="F821" t="str">
            <v>格好いい</v>
          </cell>
          <cell r="G821" t="str">
            <v>男性</v>
          </cell>
          <cell r="H821" t="str">
            <v>red</v>
          </cell>
          <cell r="I821">
            <v>6</v>
          </cell>
          <cell r="J821" t="str">
            <v>DropWizS</v>
          </cell>
          <cell r="K821" t="str">
            <v>balance</v>
          </cell>
          <cell r="L821" t="str">
            <v>バランスタイプ</v>
          </cell>
          <cell r="M821" t="str">
            <v>human</v>
          </cell>
          <cell r="N821" t="str">
            <v>ヒューマン</v>
          </cell>
          <cell r="O821" t="str">
            <v>none</v>
          </cell>
          <cell r="P821" t="str">
            <v>種族なし</v>
          </cell>
          <cell r="Q821" t="str">
            <v>アタッカー</v>
          </cell>
          <cell r="R821">
            <v>3</v>
          </cell>
          <cell r="S821" t="str">
            <v>NULL</v>
          </cell>
          <cell r="T821" t="str">
            <v>normal</v>
          </cell>
          <cell r="U821" t="str">
            <v>NULL</v>
          </cell>
          <cell r="V821" t="str">
            <v>NULL</v>
          </cell>
          <cell r="W821" t="str">
            <v>NULL</v>
          </cell>
        </row>
        <row r="822">
          <cell r="A822">
            <v>821</v>
          </cell>
          <cell r="B822" t="str">
            <v>ja</v>
          </cell>
          <cell r="C822" t="str">
            <v>急蹴の硬機脚 ブートレグ・ペロー</v>
          </cell>
          <cell r="D822" t="str">
            <v>各属性相性良3・黄・R439</v>
          </cell>
          <cell r="E822" t="str">
            <v>執行者</v>
          </cell>
          <cell r="F822" t="str">
            <v>格好いい</v>
          </cell>
          <cell r="G822" t="str">
            <v>男性</v>
          </cell>
          <cell r="H822" t="str">
            <v>red</v>
          </cell>
          <cell r="I822">
            <v>6</v>
          </cell>
          <cell r="J822" t="str">
            <v>PremiumSS</v>
          </cell>
          <cell r="K822" t="str">
            <v>hp</v>
          </cell>
          <cell r="L822" t="str">
            <v>体力タイプ</v>
          </cell>
          <cell r="M822" t="str">
            <v>animal</v>
          </cell>
          <cell r="N822" t="str">
            <v>アニマル</v>
          </cell>
          <cell r="O822" t="str">
            <v>machine</v>
          </cell>
          <cell r="P822" t="str">
            <v>マシン</v>
          </cell>
          <cell r="Q822" t="str">
            <v>アタッカー</v>
          </cell>
          <cell r="R822">
            <v>3</v>
          </cell>
          <cell r="S822" t="str">
            <v>NULL</v>
          </cell>
          <cell r="T822" t="str">
            <v>normal</v>
          </cell>
          <cell r="U822" t="str">
            <v>NULL</v>
          </cell>
          <cell r="V822" t="str">
            <v>NULL</v>
          </cell>
          <cell r="W822" t="str">
            <v>NULL</v>
          </cell>
        </row>
        <row r="823">
          <cell r="A823">
            <v>822</v>
          </cell>
          <cell r="B823" t="str">
            <v>ja</v>
          </cell>
          <cell r="C823" t="str">
            <v>操魂の蒐集家 グリム</v>
          </cell>
          <cell r="D823" t="str">
            <v>各属性相性良3・黄・R440</v>
          </cell>
          <cell r="E823" t="str">
            <v>執行者</v>
          </cell>
          <cell r="F823" t="str">
            <v>格好いい</v>
          </cell>
          <cell r="G823" t="str">
            <v>男性</v>
          </cell>
          <cell r="H823" t="str">
            <v>green</v>
          </cell>
          <cell r="I823">
            <v>6</v>
          </cell>
          <cell r="J823" t="str">
            <v>DropWizS</v>
          </cell>
          <cell r="K823" t="str">
            <v>balance</v>
          </cell>
          <cell r="L823" t="str">
            <v>バランスタイプ</v>
          </cell>
          <cell r="M823" t="str">
            <v>human</v>
          </cell>
          <cell r="N823" t="str">
            <v>ヒューマン</v>
          </cell>
          <cell r="O823" t="str">
            <v>unknown</v>
          </cell>
          <cell r="P823" t="str">
            <v>Unknown</v>
          </cell>
          <cell r="Q823" t="str">
            <v>アタッカー</v>
          </cell>
          <cell r="R823">
            <v>3</v>
          </cell>
          <cell r="S823" t="str">
            <v>NULL</v>
          </cell>
          <cell r="T823" t="str">
            <v>normal</v>
          </cell>
          <cell r="U823" t="str">
            <v>NULL</v>
          </cell>
          <cell r="V823" t="str">
            <v>NULL</v>
          </cell>
          <cell r="W823" t="str">
            <v>NULL</v>
          </cell>
        </row>
        <row r="824">
          <cell r="A824">
            <v>823</v>
          </cell>
          <cell r="B824" t="str">
            <v>ja</v>
          </cell>
          <cell r="C824" t="str">
            <v>跳鼠の睡奏楽 ハーメルン</v>
          </cell>
          <cell r="D824" t="str">
            <v>各属性相性良3・黄・R441</v>
          </cell>
          <cell r="E824" t="str">
            <v>執行者</v>
          </cell>
          <cell r="F824" t="str">
            <v>格好いい</v>
          </cell>
          <cell r="G824" t="str">
            <v>男性</v>
          </cell>
          <cell r="H824" t="str">
            <v>green</v>
          </cell>
          <cell r="I824">
            <v>6</v>
          </cell>
          <cell r="J824" t="str">
            <v>PremiumSS</v>
          </cell>
          <cell r="K824" t="str">
            <v>technical</v>
          </cell>
          <cell r="L824" t="str">
            <v>テクニカルタイプ</v>
          </cell>
          <cell r="M824" t="str">
            <v>human</v>
          </cell>
          <cell r="N824" t="str">
            <v>ヒューマン</v>
          </cell>
          <cell r="O824" t="str">
            <v>none</v>
          </cell>
          <cell r="P824" t="str">
            <v>種族なし</v>
          </cell>
          <cell r="Q824" t="str">
            <v>アタッカー</v>
          </cell>
          <cell r="R824">
            <v>3</v>
          </cell>
          <cell r="S824" t="str">
            <v>NULL</v>
          </cell>
          <cell r="T824" t="str">
            <v>normal</v>
          </cell>
          <cell r="U824" t="str">
            <v>NULL</v>
          </cell>
          <cell r="V824" t="str">
            <v>NULL</v>
          </cell>
          <cell r="W824" t="str">
            <v>NULL</v>
          </cell>
        </row>
        <row r="825">
          <cell r="A825">
            <v>824</v>
          </cell>
          <cell r="B825" t="str">
            <v>ja</v>
          </cell>
          <cell r="C825" t="str">
            <v>悪意の団塊  Gスター・チルドレン</v>
          </cell>
          <cell r="D825" t="str">
            <v>各属性相性良3・黄・R442</v>
          </cell>
          <cell r="E825" t="str">
            <v>執行者</v>
          </cell>
          <cell r="F825" t="str">
            <v>格好いい</v>
          </cell>
          <cell r="G825" t="str">
            <v>男性</v>
          </cell>
          <cell r="H825" t="str">
            <v>yellow</v>
          </cell>
          <cell r="I825">
            <v>6</v>
          </cell>
          <cell r="J825" t="str">
            <v>DropWizS</v>
          </cell>
          <cell r="K825" t="str">
            <v>hp</v>
          </cell>
          <cell r="L825" t="str">
            <v>体力タイプ</v>
          </cell>
          <cell r="M825" t="str">
            <v>unknown</v>
          </cell>
          <cell r="N825" t="str">
            <v>Unknown</v>
          </cell>
          <cell r="O825" t="str">
            <v>none</v>
          </cell>
          <cell r="P825" t="str">
            <v>種族なし</v>
          </cell>
          <cell r="Q825" t="str">
            <v>アタッカー</v>
          </cell>
          <cell r="R825">
            <v>3</v>
          </cell>
          <cell r="S825" t="str">
            <v>NULL</v>
          </cell>
          <cell r="T825" t="str">
            <v>normal</v>
          </cell>
          <cell r="U825" t="str">
            <v>NULL</v>
          </cell>
          <cell r="V825" t="str">
            <v>NULL</v>
          </cell>
          <cell r="W825" t="str">
            <v>NULL</v>
          </cell>
        </row>
        <row r="826">
          <cell r="A826">
            <v>825</v>
          </cell>
          <cell r="B826" t="str">
            <v>ja</v>
          </cell>
          <cell r="C826" t="str">
            <v>彩愛なる豊穣妃神 フレイヤ</v>
          </cell>
          <cell r="D826" t="str">
            <v>各属性相性良3・黄・R443</v>
          </cell>
          <cell r="E826" t="str">
            <v>執行者</v>
          </cell>
          <cell r="F826" t="str">
            <v>格好いい</v>
          </cell>
          <cell r="G826" t="str">
            <v>男性</v>
          </cell>
          <cell r="H826" t="str">
            <v>blue</v>
          </cell>
          <cell r="I826">
            <v>6</v>
          </cell>
          <cell r="J826" t="str">
            <v>PremiumSS</v>
          </cell>
          <cell r="K826" t="str">
            <v>heal</v>
          </cell>
          <cell r="L826" t="str">
            <v>回復タイプ</v>
          </cell>
          <cell r="M826" t="str">
            <v>animal</v>
          </cell>
          <cell r="N826" t="str">
            <v>アニマル</v>
          </cell>
          <cell r="O826" t="str">
            <v>none</v>
          </cell>
          <cell r="P826" t="str">
            <v>種族なし</v>
          </cell>
          <cell r="Q826" t="str">
            <v>アタッカー</v>
          </cell>
          <cell r="R826">
            <v>3</v>
          </cell>
          <cell r="S826" t="str">
            <v>NULL</v>
          </cell>
          <cell r="T826" t="str">
            <v>normal</v>
          </cell>
          <cell r="U826" t="str">
            <v>NULL</v>
          </cell>
          <cell r="V826" t="str">
            <v>NULL</v>
          </cell>
          <cell r="W826" t="str">
            <v>NULL</v>
          </cell>
        </row>
        <row r="827">
          <cell r="A827">
            <v>826</v>
          </cell>
          <cell r="B827" t="str">
            <v>ja</v>
          </cell>
          <cell r="C827" t="str">
            <v>崇紅なる豊穣皇神 フレイ</v>
          </cell>
          <cell r="D827" t="str">
            <v>各属性相性良3・黄・R444</v>
          </cell>
          <cell r="E827" t="str">
            <v>執行者</v>
          </cell>
          <cell r="F827" t="str">
            <v>格好いい</v>
          </cell>
          <cell r="G827" t="str">
            <v>男性</v>
          </cell>
          <cell r="H827" t="str">
            <v>red</v>
          </cell>
          <cell r="I827">
            <v>6</v>
          </cell>
          <cell r="J827" t="str">
            <v>DropWizS</v>
          </cell>
          <cell r="K827" t="str">
            <v>attack</v>
          </cell>
          <cell r="L827" t="str">
            <v>攻撃タイプ</v>
          </cell>
          <cell r="M827" t="str">
            <v>animal</v>
          </cell>
          <cell r="N827" t="str">
            <v>アニマル</v>
          </cell>
          <cell r="O827" t="str">
            <v>none</v>
          </cell>
          <cell r="P827" t="str">
            <v>種族なし</v>
          </cell>
          <cell r="Q827" t="str">
            <v>アタッカー</v>
          </cell>
          <cell r="R827">
            <v>3</v>
          </cell>
          <cell r="S827" t="str">
            <v>NULL</v>
          </cell>
          <cell r="T827" t="str">
            <v>normal</v>
          </cell>
          <cell r="U827" t="str">
            <v>NULL</v>
          </cell>
          <cell r="V827" t="str">
            <v>NULL</v>
          </cell>
          <cell r="W827" t="str">
            <v>NULL</v>
          </cell>
        </row>
        <row r="828">
          <cell r="A828">
            <v>827</v>
          </cell>
          <cell r="B828" t="str">
            <v>ja</v>
          </cell>
          <cell r="C828" t="str">
            <v>光神しき彩雲龍 アルフヘイム</v>
          </cell>
          <cell r="D828" t="str">
            <v>各属性相性良3・黄・R445</v>
          </cell>
          <cell r="E828" t="str">
            <v>執行者</v>
          </cell>
          <cell r="F828" t="str">
            <v>格好いい</v>
          </cell>
          <cell r="G828" t="str">
            <v>男性</v>
          </cell>
          <cell r="H828" t="str">
            <v>yellow</v>
          </cell>
          <cell r="I828">
            <v>6</v>
          </cell>
          <cell r="J828" t="str">
            <v>PremiumSS</v>
          </cell>
          <cell r="K828" t="str">
            <v>attack</v>
          </cell>
          <cell r="L828" t="str">
            <v>攻撃タイプ</v>
          </cell>
          <cell r="M828" t="str">
            <v>dragon</v>
          </cell>
          <cell r="N828" t="str">
            <v>ドラゴン</v>
          </cell>
          <cell r="O828" t="str">
            <v>none</v>
          </cell>
          <cell r="P828" t="str">
            <v>種族なし</v>
          </cell>
          <cell r="Q828" t="str">
            <v>アタッカー</v>
          </cell>
          <cell r="R828">
            <v>3</v>
          </cell>
          <cell r="S828" t="str">
            <v>NULL</v>
          </cell>
          <cell r="T828" t="str">
            <v>normal</v>
          </cell>
          <cell r="U828" t="str">
            <v>NULL</v>
          </cell>
          <cell r="V828" t="str">
            <v>NULL</v>
          </cell>
          <cell r="W828" t="str">
            <v>NULL</v>
          </cell>
        </row>
        <row r="829">
          <cell r="A829">
            <v>828</v>
          </cell>
          <cell r="B829" t="str">
            <v>ja</v>
          </cell>
          <cell r="C829" t="str">
            <v>双究の覇翼 フギンとムニン</v>
          </cell>
          <cell r="D829" t="str">
            <v>各属性相性良3・黄・R446</v>
          </cell>
          <cell r="E829" t="str">
            <v>執行者</v>
          </cell>
          <cell r="F829" t="str">
            <v>格好いい</v>
          </cell>
          <cell r="G829" t="str">
            <v>男性</v>
          </cell>
          <cell r="H829" t="str">
            <v>blue</v>
          </cell>
          <cell r="I829">
            <v>6</v>
          </cell>
          <cell r="J829" t="str">
            <v>DropWizS</v>
          </cell>
          <cell r="K829" t="str">
            <v>technical</v>
          </cell>
          <cell r="L829" t="str">
            <v>テクニカルタイプ</v>
          </cell>
          <cell r="M829" t="str">
            <v>machine</v>
          </cell>
          <cell r="N829" t="str">
            <v>マシン</v>
          </cell>
          <cell r="O829" t="str">
            <v>animal</v>
          </cell>
          <cell r="P829" t="str">
            <v>アニマル</v>
          </cell>
          <cell r="Q829" t="str">
            <v>アタッカー</v>
          </cell>
          <cell r="R829">
            <v>3</v>
          </cell>
          <cell r="S829" t="str">
            <v>NULL</v>
          </cell>
          <cell r="T829" t="str">
            <v>normal</v>
          </cell>
          <cell r="U829" t="str">
            <v>NULL</v>
          </cell>
          <cell r="V829" t="str">
            <v>NULL</v>
          </cell>
          <cell r="W829" t="str">
            <v>NULL</v>
          </cell>
        </row>
        <row r="830">
          <cell r="A830">
            <v>829</v>
          </cell>
          <cell r="B830" t="str">
            <v>ja</v>
          </cell>
          <cell r="C830" t="str">
            <v>銃刃乱舞の怪猫 クルミ</v>
          </cell>
          <cell r="D830" t="str">
            <v>各属性相性良3・黄・R447</v>
          </cell>
          <cell r="E830" t="str">
            <v>執行者</v>
          </cell>
          <cell r="F830" t="str">
            <v>格好いい</v>
          </cell>
          <cell r="G830" t="str">
            <v>男性</v>
          </cell>
          <cell r="H830" t="str">
            <v>red</v>
          </cell>
          <cell r="I830">
            <v>6</v>
          </cell>
          <cell r="J830" t="str">
            <v>PremiumSS</v>
          </cell>
          <cell r="K830" t="str">
            <v>attack</v>
          </cell>
          <cell r="L830" t="str">
            <v>攻撃タイプ</v>
          </cell>
          <cell r="M830" t="str">
            <v>unknown</v>
          </cell>
          <cell r="N830" t="str">
            <v>Unknown</v>
          </cell>
          <cell r="O830" t="str">
            <v>animal</v>
          </cell>
          <cell r="P830" t="str">
            <v>アニマル</v>
          </cell>
          <cell r="Q830" t="str">
            <v>アタッカー</v>
          </cell>
          <cell r="R830">
            <v>3</v>
          </cell>
          <cell r="S830" t="str">
            <v>NULL</v>
          </cell>
          <cell r="T830" t="str">
            <v>normal</v>
          </cell>
          <cell r="U830" t="str">
            <v>NULL</v>
          </cell>
          <cell r="V830" t="str">
            <v>NULL</v>
          </cell>
          <cell r="W830" t="str">
            <v>NULL</v>
          </cell>
        </row>
        <row r="831">
          <cell r="A831">
            <v>830</v>
          </cell>
          <cell r="B831" t="str">
            <v>ja</v>
          </cell>
          <cell r="C831" t="str">
            <v>清兆の天狗礫 フウガ</v>
          </cell>
          <cell r="D831" t="str">
            <v>各属性相性良3・黄・R448</v>
          </cell>
          <cell r="E831" t="str">
            <v>執行者</v>
          </cell>
          <cell r="F831" t="str">
            <v>格好いい</v>
          </cell>
          <cell r="G831" t="str">
            <v>男性</v>
          </cell>
          <cell r="H831" t="str">
            <v>green</v>
          </cell>
          <cell r="I831">
            <v>6</v>
          </cell>
          <cell r="J831" t="str">
            <v>PremiumSS</v>
          </cell>
          <cell r="K831" t="str">
            <v>balance</v>
          </cell>
          <cell r="L831" t="str">
            <v>バランスタイプ</v>
          </cell>
          <cell r="M831" t="str">
            <v>unknown</v>
          </cell>
          <cell r="N831" t="str">
            <v>Unknown</v>
          </cell>
          <cell r="O831" t="str">
            <v>animal</v>
          </cell>
          <cell r="P831" t="str">
            <v>アニマル</v>
          </cell>
          <cell r="Q831" t="str">
            <v>アタッカー</v>
          </cell>
          <cell r="R831">
            <v>3</v>
          </cell>
          <cell r="S831" t="str">
            <v>NULL</v>
          </cell>
          <cell r="T831" t="str">
            <v>normal</v>
          </cell>
          <cell r="U831" t="str">
            <v>NULL</v>
          </cell>
          <cell r="V831" t="str">
            <v>NULL</v>
          </cell>
          <cell r="W831" t="str">
            <v>NULL</v>
          </cell>
        </row>
        <row r="832">
          <cell r="A832">
            <v>831</v>
          </cell>
          <cell r="B832" t="str">
            <v>ja</v>
          </cell>
          <cell r="C832" t="str">
            <v>万鬼乱襲の大創帥 ショウキ</v>
          </cell>
          <cell r="D832" t="str">
            <v>各属性相性良3・黄・R449</v>
          </cell>
          <cell r="E832" t="str">
            <v>執行者</v>
          </cell>
          <cell r="F832" t="str">
            <v>格好いい</v>
          </cell>
          <cell r="G832" t="str">
            <v>男性</v>
          </cell>
          <cell r="H832" t="str">
            <v>green</v>
          </cell>
          <cell r="I832">
            <v>6</v>
          </cell>
          <cell r="J832" t="str">
            <v>DropWizS</v>
          </cell>
          <cell r="K832" t="str">
            <v>technical</v>
          </cell>
          <cell r="L832" t="str">
            <v>テクニカルタイプ</v>
          </cell>
          <cell r="M832" t="str">
            <v>human</v>
          </cell>
          <cell r="N832" t="str">
            <v>ヒューマン</v>
          </cell>
          <cell r="O832" t="str">
            <v>unknown</v>
          </cell>
          <cell r="P832" t="str">
            <v>Unknown</v>
          </cell>
          <cell r="Q832" t="str">
            <v>アタッカー</v>
          </cell>
          <cell r="R832">
            <v>3</v>
          </cell>
          <cell r="S832" t="str">
            <v>NULL</v>
          </cell>
          <cell r="T832" t="str">
            <v>normal</v>
          </cell>
          <cell r="U832" t="str">
            <v>NULL</v>
          </cell>
          <cell r="V832" t="str">
            <v>NULL</v>
          </cell>
          <cell r="W832" t="str">
            <v>NULL</v>
          </cell>
        </row>
        <row r="833">
          <cell r="A833">
            <v>832</v>
          </cell>
          <cell r="B833" t="str">
            <v>ja</v>
          </cell>
          <cell r="C833" t="str">
            <v>狂花吹雪く旋獄鬼神 ヨミ</v>
          </cell>
          <cell r="D833" t="str">
            <v>各属性相性良3・黄・R450</v>
          </cell>
          <cell r="E833" t="str">
            <v>執行者</v>
          </cell>
          <cell r="F833" t="str">
            <v>格好いい</v>
          </cell>
          <cell r="G833" t="str">
            <v>男性</v>
          </cell>
          <cell r="H833" t="str">
            <v>yellow</v>
          </cell>
          <cell r="I833">
            <v>6</v>
          </cell>
          <cell r="J833" t="str">
            <v>DropWizS</v>
          </cell>
          <cell r="K833" t="str">
            <v>attack</v>
          </cell>
          <cell r="L833" t="str">
            <v>攻撃タイプ</v>
          </cell>
          <cell r="M833" t="str">
            <v>god</v>
          </cell>
          <cell r="N833" t="str">
            <v>ゴッド</v>
          </cell>
          <cell r="O833" t="str">
            <v>unknown</v>
          </cell>
          <cell r="P833" t="str">
            <v>Unknown</v>
          </cell>
          <cell r="Q833" t="str">
            <v>アタッカー</v>
          </cell>
          <cell r="R833">
            <v>3</v>
          </cell>
          <cell r="S833" t="str">
            <v>NULL</v>
          </cell>
          <cell r="T833" t="str">
            <v>normal</v>
          </cell>
          <cell r="U833" t="str">
            <v>NULL</v>
          </cell>
          <cell r="V833" t="str">
            <v>NULL</v>
          </cell>
          <cell r="W833" t="str">
            <v>NULL</v>
          </cell>
        </row>
        <row r="834">
          <cell r="A834">
            <v>833</v>
          </cell>
          <cell r="B834" t="str">
            <v>ja</v>
          </cell>
          <cell r="C834" t="str">
            <v>維界の復世神 ヴィシュヌ</v>
          </cell>
          <cell r="D834" t="str">
            <v>各属性相性良3・黄・R451</v>
          </cell>
          <cell r="E834" t="str">
            <v>執行者</v>
          </cell>
          <cell r="F834" t="str">
            <v>格好いい</v>
          </cell>
          <cell r="G834" t="str">
            <v>男性</v>
          </cell>
          <cell r="H834" t="str">
            <v>yellow</v>
          </cell>
          <cell r="I834">
            <v>6</v>
          </cell>
          <cell r="J834" t="str">
            <v>PremiumSS</v>
          </cell>
          <cell r="K834" t="str">
            <v>attack</v>
          </cell>
          <cell r="L834" t="str">
            <v>攻撃タイプ</v>
          </cell>
          <cell r="M834" t="str">
            <v>god</v>
          </cell>
          <cell r="N834" t="str">
            <v>ゴッド</v>
          </cell>
          <cell r="O834" t="str">
            <v>none</v>
          </cell>
          <cell r="P834" t="str">
            <v>種族なし</v>
          </cell>
          <cell r="Q834" t="str">
            <v>アタッカー</v>
          </cell>
          <cell r="R834">
            <v>3</v>
          </cell>
          <cell r="S834" t="str">
            <v>NULL</v>
          </cell>
          <cell r="T834" t="str">
            <v>normal</v>
          </cell>
          <cell r="U834" t="str">
            <v>NULL</v>
          </cell>
          <cell r="V834" t="str">
            <v>NULL</v>
          </cell>
          <cell r="W834" t="str">
            <v>NULL</v>
          </cell>
        </row>
        <row r="835">
          <cell r="A835">
            <v>834</v>
          </cell>
          <cell r="B835" t="str">
            <v>ja</v>
          </cell>
          <cell r="C835" t="str">
            <v>破界する裁滅神 シヴァ</v>
          </cell>
          <cell r="D835" t="str">
            <v>各属性相性良3・黄・R452</v>
          </cell>
          <cell r="E835" t="str">
            <v>執行者</v>
          </cell>
          <cell r="F835" t="str">
            <v>格好いい</v>
          </cell>
          <cell r="G835" t="str">
            <v>男性</v>
          </cell>
          <cell r="H835" t="str">
            <v>blue</v>
          </cell>
          <cell r="I835">
            <v>6</v>
          </cell>
          <cell r="J835" t="str">
            <v>DropWizS</v>
          </cell>
          <cell r="K835" t="str">
            <v>balance</v>
          </cell>
          <cell r="L835" t="str">
            <v>バランスタイプ</v>
          </cell>
          <cell r="M835" t="str">
            <v>god</v>
          </cell>
          <cell r="N835" t="str">
            <v>ゴッド</v>
          </cell>
          <cell r="O835" t="str">
            <v>none</v>
          </cell>
          <cell r="P835" t="str">
            <v>種族なし</v>
          </cell>
          <cell r="Q835" t="str">
            <v>アタッカー</v>
          </cell>
          <cell r="R835">
            <v>3</v>
          </cell>
          <cell r="S835" t="str">
            <v>NULL</v>
          </cell>
          <cell r="T835" t="str">
            <v>normal</v>
          </cell>
          <cell r="U835" t="str">
            <v>NULL</v>
          </cell>
          <cell r="V835" t="str">
            <v>NULL</v>
          </cell>
          <cell r="W835" t="str">
            <v>NULL</v>
          </cell>
        </row>
        <row r="836">
          <cell r="A836">
            <v>835</v>
          </cell>
          <cell r="B836" t="str">
            <v>ja</v>
          </cell>
          <cell r="C836" t="str">
            <v>流奏の鳳楽神 サラスヴァティ</v>
          </cell>
          <cell r="D836" t="str">
            <v>各属性相性良3・黄・R453</v>
          </cell>
          <cell r="E836" t="str">
            <v>執行者</v>
          </cell>
          <cell r="F836" t="str">
            <v>格好いい</v>
          </cell>
          <cell r="G836" t="str">
            <v>男性</v>
          </cell>
          <cell r="H836" t="str">
            <v>blue</v>
          </cell>
          <cell r="I836">
            <v>6</v>
          </cell>
          <cell r="J836" t="str">
            <v>PremiumSS</v>
          </cell>
          <cell r="K836" t="str">
            <v>balance</v>
          </cell>
          <cell r="L836" t="str">
            <v>バランスタイプ</v>
          </cell>
          <cell r="M836" t="str">
            <v>god</v>
          </cell>
          <cell r="N836" t="str">
            <v>ゴッド</v>
          </cell>
          <cell r="O836" t="str">
            <v>none</v>
          </cell>
          <cell r="P836" t="str">
            <v>種族なし</v>
          </cell>
          <cell r="Q836" t="str">
            <v>アタッカー</v>
          </cell>
          <cell r="R836">
            <v>3</v>
          </cell>
          <cell r="S836" t="str">
            <v>NULL</v>
          </cell>
          <cell r="T836" t="str">
            <v>normal</v>
          </cell>
          <cell r="U836" t="str">
            <v>NULL</v>
          </cell>
          <cell r="V836" t="str">
            <v>NULL</v>
          </cell>
          <cell r="W836" t="str">
            <v>NULL</v>
          </cell>
        </row>
        <row r="837">
          <cell r="A837">
            <v>836</v>
          </cell>
          <cell r="B837" t="str">
            <v>ja</v>
          </cell>
          <cell r="C837" t="str">
            <v>射愛の恋華天神 カーマ</v>
          </cell>
          <cell r="D837" t="str">
            <v>各属性相性良3・黄・R454</v>
          </cell>
          <cell r="E837" t="str">
            <v>執行者</v>
          </cell>
          <cell r="F837" t="str">
            <v>格好いい</v>
          </cell>
          <cell r="G837" t="str">
            <v>男性</v>
          </cell>
          <cell r="H837" t="str">
            <v>red</v>
          </cell>
          <cell r="I837">
            <v>6</v>
          </cell>
          <cell r="J837" t="str">
            <v>DropWizS</v>
          </cell>
          <cell r="K837" t="str">
            <v>balance</v>
          </cell>
          <cell r="L837" t="str">
            <v>バランスタイプ</v>
          </cell>
          <cell r="M837" t="str">
            <v>god</v>
          </cell>
          <cell r="N837" t="str">
            <v>ゴッド</v>
          </cell>
          <cell r="O837" t="str">
            <v>none</v>
          </cell>
          <cell r="P837" t="str">
            <v>種族なし</v>
          </cell>
          <cell r="Q837" t="str">
            <v>アタッカー</v>
          </cell>
          <cell r="R837">
            <v>3</v>
          </cell>
          <cell r="S837" t="str">
            <v>NULL</v>
          </cell>
          <cell r="T837" t="str">
            <v>normal</v>
          </cell>
          <cell r="U837" t="str">
            <v>NULL</v>
          </cell>
          <cell r="V837" t="str">
            <v>NULL</v>
          </cell>
          <cell r="W837" t="str">
            <v>NULL</v>
          </cell>
        </row>
        <row r="838">
          <cell r="A838">
            <v>837</v>
          </cell>
          <cell r="B838" t="str">
            <v>ja</v>
          </cell>
          <cell r="C838" t="str">
            <v>リトルハンプティ</v>
          </cell>
          <cell r="D838" t="str">
            <v>各属性相性良3・黄・R455</v>
          </cell>
          <cell r="E838" t="str">
            <v>執行者</v>
          </cell>
          <cell r="F838" t="str">
            <v>格好いい</v>
          </cell>
          <cell r="G838" t="str">
            <v>男性</v>
          </cell>
          <cell r="H838" t="str">
            <v>yellow</v>
          </cell>
          <cell r="I838">
            <v>6</v>
          </cell>
          <cell r="J838" t="str">
            <v>Material</v>
          </cell>
          <cell r="K838" t="str">
            <v>evolution</v>
          </cell>
          <cell r="L838" t="str">
            <v>覚醒素材タイプ</v>
          </cell>
          <cell r="M838" t="str">
            <v>unknown</v>
          </cell>
          <cell r="N838" t="str">
            <v>Unknown</v>
          </cell>
          <cell r="O838" t="str">
            <v>none</v>
          </cell>
          <cell r="P838" t="str">
            <v>種族なし</v>
          </cell>
          <cell r="Q838" t="str">
            <v>アタッカー</v>
          </cell>
          <cell r="R838">
            <v>3</v>
          </cell>
          <cell r="S838" t="str">
            <v>NULL</v>
          </cell>
          <cell r="T838" t="str">
            <v>normal</v>
          </cell>
          <cell r="U838" t="str">
            <v>NULL</v>
          </cell>
          <cell r="V838" t="str">
            <v>NULL</v>
          </cell>
          <cell r="W838" t="str">
            <v>NULL</v>
          </cell>
        </row>
        <row r="839">
          <cell r="A839">
            <v>838</v>
          </cell>
          <cell r="B839" t="str">
            <v>ja</v>
          </cell>
          <cell r="C839" t="str">
            <v>巌鋼の爆烈志士 近藤勇</v>
          </cell>
          <cell r="D839" t="str">
            <v>各属性相性良3・黄・R456</v>
          </cell>
          <cell r="E839" t="str">
            <v>執行者</v>
          </cell>
          <cell r="F839" t="str">
            <v>格好いい</v>
          </cell>
          <cell r="G839" t="str">
            <v>男性</v>
          </cell>
          <cell r="H839" t="str">
            <v>red</v>
          </cell>
          <cell r="I839">
            <v>6</v>
          </cell>
          <cell r="J839" t="str">
            <v>PremiumSS</v>
          </cell>
          <cell r="K839" t="str">
            <v>hp</v>
          </cell>
          <cell r="L839" t="str">
            <v>体力タイプ</v>
          </cell>
          <cell r="M839" t="str">
            <v>human</v>
          </cell>
          <cell r="N839" t="str">
            <v>ヒューマン</v>
          </cell>
          <cell r="O839" t="str">
            <v>samurai</v>
          </cell>
          <cell r="P839" t="str">
            <v>サムライ</v>
          </cell>
          <cell r="Q839" t="str">
            <v>アタッカー</v>
          </cell>
          <cell r="R839">
            <v>3</v>
          </cell>
          <cell r="S839" t="str">
            <v>NULL</v>
          </cell>
          <cell r="T839" t="str">
            <v>normal</v>
          </cell>
          <cell r="U839" t="str">
            <v>NULL</v>
          </cell>
          <cell r="V839" t="str">
            <v>NULL</v>
          </cell>
          <cell r="W839" t="str">
            <v>NULL</v>
          </cell>
        </row>
        <row r="840">
          <cell r="A840">
            <v>839</v>
          </cell>
          <cell r="B840" t="str">
            <v>ja</v>
          </cell>
          <cell r="C840" t="str">
            <v>真覇の勇魔剣 ランスロット</v>
          </cell>
          <cell r="D840" t="str">
            <v>各属性相性良3・黄・R457</v>
          </cell>
          <cell r="E840" t="str">
            <v>執行者</v>
          </cell>
          <cell r="F840" t="str">
            <v>格好いい</v>
          </cell>
          <cell r="G840" t="str">
            <v>男性</v>
          </cell>
          <cell r="H840" t="str">
            <v>green</v>
          </cell>
          <cell r="I840">
            <v>6</v>
          </cell>
          <cell r="J840" t="str">
            <v>PremiumSS</v>
          </cell>
          <cell r="K840" t="str">
            <v>balance</v>
          </cell>
          <cell r="L840" t="str">
            <v>バランスタイプ</v>
          </cell>
          <cell r="M840" t="str">
            <v>human</v>
          </cell>
          <cell r="N840" t="str">
            <v>ヒューマン</v>
          </cell>
          <cell r="O840" t="str">
            <v>hero</v>
          </cell>
          <cell r="P840" t="str">
            <v>ヒーロー</v>
          </cell>
          <cell r="Q840" t="str">
            <v>アタッカー</v>
          </cell>
          <cell r="R840">
            <v>3</v>
          </cell>
          <cell r="S840" t="str">
            <v>NULL</v>
          </cell>
          <cell r="T840" t="str">
            <v>normal</v>
          </cell>
          <cell r="U840" t="str">
            <v>NULL</v>
          </cell>
          <cell r="V840" t="str">
            <v>NULL</v>
          </cell>
          <cell r="W840" t="str">
            <v>NULL</v>
          </cell>
        </row>
        <row r="841">
          <cell r="A841">
            <v>840</v>
          </cell>
          <cell r="B841" t="str">
            <v>ja</v>
          </cell>
          <cell r="C841" t="str">
            <v>フェニックス</v>
          </cell>
          <cell r="D841" t="str">
            <v>各属性相性良3・黄・R458</v>
          </cell>
          <cell r="E841" t="str">
            <v>執行者</v>
          </cell>
          <cell r="F841" t="str">
            <v>格好いい</v>
          </cell>
          <cell r="G841" t="str">
            <v>男性</v>
          </cell>
          <cell r="H841" t="str">
            <v>red</v>
          </cell>
          <cell r="I841">
            <v>4</v>
          </cell>
          <cell r="J841" t="str">
            <v>Drop2N</v>
          </cell>
          <cell r="K841" t="str">
            <v>hp</v>
          </cell>
          <cell r="L841" t="str">
            <v>体力タイプ</v>
          </cell>
          <cell r="M841" t="str">
            <v>animal</v>
          </cell>
          <cell r="N841" t="str">
            <v>アニマル</v>
          </cell>
          <cell r="O841" t="str">
            <v>none</v>
          </cell>
          <cell r="P841" t="str">
            <v>種族なし</v>
          </cell>
          <cell r="Q841" t="str">
            <v>アタッカー</v>
          </cell>
          <cell r="R841">
            <v>3</v>
          </cell>
          <cell r="S841" t="str">
            <v>NULL</v>
          </cell>
          <cell r="T841" t="str">
            <v>normal</v>
          </cell>
          <cell r="U841" t="str">
            <v>NULL</v>
          </cell>
          <cell r="V841" t="str">
            <v>NULL</v>
          </cell>
          <cell r="W841" t="str">
            <v>NULL</v>
          </cell>
        </row>
        <row r="842">
          <cell r="A842">
            <v>841</v>
          </cell>
          <cell r="B842" t="str">
            <v>ja</v>
          </cell>
          <cell r="C842" t="str">
            <v>排斥の不死鳥 フェニックス</v>
          </cell>
          <cell r="D842" t="str">
            <v>各属性相性良3・黄・R459</v>
          </cell>
          <cell r="E842" t="str">
            <v>執行者</v>
          </cell>
          <cell r="F842" t="str">
            <v>格好いい</v>
          </cell>
          <cell r="G842" t="str">
            <v>男性</v>
          </cell>
          <cell r="H842" t="str">
            <v>red</v>
          </cell>
          <cell r="I842">
            <v>5</v>
          </cell>
          <cell r="J842" t="str">
            <v>Drop2N</v>
          </cell>
          <cell r="K842" t="str">
            <v>hp</v>
          </cell>
          <cell r="L842" t="str">
            <v>体力タイプ</v>
          </cell>
          <cell r="M842" t="str">
            <v>animal</v>
          </cell>
          <cell r="N842" t="str">
            <v>アニマル</v>
          </cell>
          <cell r="O842" t="str">
            <v>none</v>
          </cell>
          <cell r="P842" t="str">
            <v>種族なし</v>
          </cell>
          <cell r="Q842" t="str">
            <v>アタッカー</v>
          </cell>
          <cell r="R842">
            <v>3</v>
          </cell>
          <cell r="S842" t="str">
            <v>NULL</v>
          </cell>
          <cell r="T842" t="str">
            <v>normal</v>
          </cell>
          <cell r="U842" t="str">
            <v>NULL</v>
          </cell>
          <cell r="V842" t="str">
            <v>NULL</v>
          </cell>
          <cell r="W842" t="str">
            <v>NULL</v>
          </cell>
        </row>
        <row r="843">
          <cell r="A843">
            <v>842</v>
          </cell>
          <cell r="B843" t="str">
            <v>ja</v>
          </cell>
          <cell r="C843" t="str">
            <v>セイレーン</v>
          </cell>
          <cell r="D843" t="str">
            <v>各属性相性良3・黄・R460</v>
          </cell>
          <cell r="E843" t="str">
            <v>執行者</v>
          </cell>
          <cell r="F843" t="str">
            <v>格好いい</v>
          </cell>
          <cell r="G843" t="str">
            <v>男性</v>
          </cell>
          <cell r="H843" t="str">
            <v>blue</v>
          </cell>
          <cell r="I843">
            <v>4</v>
          </cell>
          <cell r="J843" t="str">
            <v>Drop2N</v>
          </cell>
          <cell r="K843" t="str">
            <v>heal</v>
          </cell>
          <cell r="L843" t="str">
            <v>回復タイプ</v>
          </cell>
          <cell r="M843" t="str">
            <v>animal</v>
          </cell>
          <cell r="N843" t="str">
            <v>アニマル</v>
          </cell>
          <cell r="O843" t="str">
            <v>none</v>
          </cell>
          <cell r="P843" t="str">
            <v>種族なし</v>
          </cell>
          <cell r="Q843" t="str">
            <v>アタッカー</v>
          </cell>
          <cell r="R843">
            <v>3</v>
          </cell>
          <cell r="S843" t="str">
            <v>NULL</v>
          </cell>
          <cell r="T843" t="str">
            <v>normal</v>
          </cell>
          <cell r="U843" t="str">
            <v>NULL</v>
          </cell>
          <cell r="V843" t="str">
            <v>NULL</v>
          </cell>
          <cell r="W843" t="str">
            <v>NULL</v>
          </cell>
        </row>
        <row r="844">
          <cell r="A844">
            <v>843</v>
          </cell>
          <cell r="B844" t="str">
            <v>ja</v>
          </cell>
          <cell r="C844" t="str">
            <v>荒れ狂う乱歌 セイレーン</v>
          </cell>
          <cell r="D844" t="str">
            <v>各属性相性良3・黄・R461</v>
          </cell>
          <cell r="E844" t="str">
            <v>執行者</v>
          </cell>
          <cell r="F844" t="str">
            <v>格好いい</v>
          </cell>
          <cell r="G844" t="str">
            <v>男性</v>
          </cell>
          <cell r="H844" t="str">
            <v>blue</v>
          </cell>
          <cell r="I844">
            <v>5</v>
          </cell>
          <cell r="J844" t="str">
            <v>Drop2N</v>
          </cell>
          <cell r="K844" t="str">
            <v>heal</v>
          </cell>
          <cell r="L844" t="str">
            <v>回復タイプ</v>
          </cell>
          <cell r="M844" t="str">
            <v>animal</v>
          </cell>
          <cell r="N844" t="str">
            <v>アニマル</v>
          </cell>
          <cell r="O844" t="str">
            <v>none</v>
          </cell>
          <cell r="P844" t="str">
            <v>種族なし</v>
          </cell>
          <cell r="Q844" t="str">
            <v>アタッカー</v>
          </cell>
          <cell r="R844">
            <v>3</v>
          </cell>
          <cell r="S844" t="str">
            <v>NULL</v>
          </cell>
          <cell r="T844" t="str">
            <v>normal</v>
          </cell>
          <cell r="U844" t="str">
            <v>NULL</v>
          </cell>
          <cell r="V844" t="str">
            <v>NULL</v>
          </cell>
          <cell r="W844" t="str">
            <v>NULL</v>
          </cell>
        </row>
        <row r="845">
          <cell r="A845">
            <v>844</v>
          </cell>
          <cell r="B845" t="str">
            <v>ja</v>
          </cell>
          <cell r="C845" t="str">
            <v>ベルゼブブ</v>
          </cell>
          <cell r="D845" t="str">
            <v>各属性相性良3・黄・R462</v>
          </cell>
          <cell r="E845" t="str">
            <v>執行者</v>
          </cell>
          <cell r="F845" t="str">
            <v>格好いい</v>
          </cell>
          <cell r="G845" t="str">
            <v>男性</v>
          </cell>
          <cell r="H845" t="str">
            <v>green</v>
          </cell>
          <cell r="I845">
            <v>5</v>
          </cell>
          <cell r="J845" t="str">
            <v>DropWizS</v>
          </cell>
          <cell r="K845" t="str">
            <v>technical</v>
          </cell>
          <cell r="L845" t="str">
            <v>テクニカルタイプ</v>
          </cell>
          <cell r="M845" t="str">
            <v>god</v>
          </cell>
          <cell r="N845" t="str">
            <v>ゴッド</v>
          </cell>
          <cell r="O845" t="str">
            <v>animal</v>
          </cell>
          <cell r="P845" t="str">
            <v>アニマル</v>
          </cell>
          <cell r="Q845" t="str">
            <v>アタッカー</v>
          </cell>
          <cell r="R845">
            <v>3</v>
          </cell>
          <cell r="S845" t="str">
            <v>NULL</v>
          </cell>
          <cell r="T845" t="str">
            <v>normal</v>
          </cell>
          <cell r="U845" t="str">
            <v>NULL</v>
          </cell>
          <cell r="V845" t="str">
            <v>NULL</v>
          </cell>
          <cell r="W845" t="str">
            <v>NULL</v>
          </cell>
        </row>
        <row r="846">
          <cell r="A846">
            <v>845</v>
          </cell>
          <cell r="B846" t="str">
            <v>ja</v>
          </cell>
          <cell r="C846" t="str">
            <v>妖艶なる蝿王 ベルゼブブ</v>
          </cell>
          <cell r="D846" t="str">
            <v>各属性相性良3・黄・R463</v>
          </cell>
          <cell r="E846" t="str">
            <v>執行者</v>
          </cell>
          <cell r="F846" t="str">
            <v>格好いい</v>
          </cell>
          <cell r="G846" t="str">
            <v>男性</v>
          </cell>
          <cell r="H846" t="str">
            <v>green</v>
          </cell>
          <cell r="I846">
            <v>6</v>
          </cell>
          <cell r="J846" t="str">
            <v>DropWizS</v>
          </cell>
          <cell r="K846" t="str">
            <v>technical</v>
          </cell>
          <cell r="L846" t="str">
            <v>テクニカルタイプ</v>
          </cell>
          <cell r="M846" t="str">
            <v>god</v>
          </cell>
          <cell r="N846" t="str">
            <v>ゴッド</v>
          </cell>
          <cell r="O846" t="str">
            <v>animal</v>
          </cell>
          <cell r="P846" t="str">
            <v>アニマル</v>
          </cell>
          <cell r="Q846" t="str">
            <v>アタッカー</v>
          </cell>
          <cell r="R846">
            <v>3</v>
          </cell>
          <cell r="S846" t="str">
            <v>NULL</v>
          </cell>
          <cell r="T846" t="str">
            <v>normal</v>
          </cell>
          <cell r="U846" t="str">
            <v>NULL</v>
          </cell>
          <cell r="V846" t="str">
            <v>NULL</v>
          </cell>
          <cell r="W846" t="str">
            <v>NULL</v>
          </cell>
        </row>
        <row r="847">
          <cell r="A847">
            <v>846</v>
          </cell>
          <cell r="B847" t="str">
            <v>ja</v>
          </cell>
          <cell r="C847" t="str">
            <v>ルシファー</v>
          </cell>
          <cell r="D847" t="str">
            <v>各属性相性良3・黄・R464</v>
          </cell>
          <cell r="E847" t="str">
            <v>執行者</v>
          </cell>
          <cell r="F847" t="str">
            <v>格好いい</v>
          </cell>
          <cell r="G847" t="str">
            <v>男性</v>
          </cell>
          <cell r="H847" t="str">
            <v>green</v>
          </cell>
          <cell r="I847">
            <v>5</v>
          </cell>
          <cell r="J847" t="str">
            <v>DropWizSS</v>
          </cell>
          <cell r="K847" t="str">
            <v>attack</v>
          </cell>
          <cell r="L847" t="str">
            <v>攻撃タイプ</v>
          </cell>
          <cell r="M847" t="str">
            <v>god</v>
          </cell>
          <cell r="N847" t="str">
            <v>ゴッド</v>
          </cell>
          <cell r="O847" t="str">
            <v>none</v>
          </cell>
          <cell r="P847" t="str">
            <v>種族なし</v>
          </cell>
          <cell r="Q847" t="str">
            <v>アタッカー</v>
          </cell>
          <cell r="R847">
            <v>3</v>
          </cell>
          <cell r="S847" t="str">
            <v>NULL</v>
          </cell>
          <cell r="T847" t="str">
            <v>normal</v>
          </cell>
          <cell r="U847" t="str">
            <v>NULL</v>
          </cell>
          <cell r="V847" t="str">
            <v>NULL</v>
          </cell>
          <cell r="W847" t="str">
            <v>NULL</v>
          </cell>
        </row>
        <row r="848">
          <cell r="A848">
            <v>847</v>
          </cell>
          <cell r="B848" t="str">
            <v>ja</v>
          </cell>
          <cell r="C848" t="str">
            <v>傲慢なる堕天史 ルシファー</v>
          </cell>
          <cell r="D848" t="str">
            <v>各属性相性良3・黄・R465</v>
          </cell>
          <cell r="E848" t="str">
            <v>執行者</v>
          </cell>
          <cell r="F848" t="str">
            <v>格好いい</v>
          </cell>
          <cell r="G848" t="str">
            <v>男性</v>
          </cell>
          <cell r="H848" t="str">
            <v>green</v>
          </cell>
          <cell r="I848">
            <v>6</v>
          </cell>
          <cell r="J848" t="str">
            <v>DropWizSS</v>
          </cell>
          <cell r="K848" t="str">
            <v>attack</v>
          </cell>
          <cell r="L848" t="str">
            <v>攻撃タイプ</v>
          </cell>
          <cell r="M848" t="str">
            <v>god</v>
          </cell>
          <cell r="N848" t="str">
            <v>ゴッド</v>
          </cell>
          <cell r="O848" t="str">
            <v>none</v>
          </cell>
          <cell r="P848" t="str">
            <v>種族なし</v>
          </cell>
          <cell r="Q848" t="str">
            <v>アタッカー</v>
          </cell>
          <cell r="R848">
            <v>3</v>
          </cell>
          <cell r="S848" t="str">
            <v>NULL</v>
          </cell>
          <cell r="T848" t="str">
            <v>normal</v>
          </cell>
          <cell r="U848" t="str">
            <v>NULL</v>
          </cell>
          <cell r="V848" t="str">
            <v>NULL</v>
          </cell>
          <cell r="W848" t="str">
            <v>NULL</v>
          </cell>
        </row>
        <row r="849">
          <cell r="A849">
            <v>848</v>
          </cell>
          <cell r="B849" t="str">
            <v>ja</v>
          </cell>
          <cell r="C849" t="str">
            <v>メタトロン</v>
          </cell>
          <cell r="D849" t="str">
            <v>各属性相性良3・黄・R466</v>
          </cell>
          <cell r="E849" t="str">
            <v>執行者</v>
          </cell>
          <cell r="F849" t="str">
            <v>格好いい</v>
          </cell>
          <cell r="G849" t="str">
            <v>男性</v>
          </cell>
          <cell r="H849" t="str">
            <v>red</v>
          </cell>
          <cell r="I849">
            <v>5</v>
          </cell>
          <cell r="J849" t="str">
            <v>PremiumSS</v>
          </cell>
          <cell r="K849" t="str">
            <v>balance</v>
          </cell>
          <cell r="L849" t="str">
            <v>バランスタイプ</v>
          </cell>
          <cell r="M849" t="str">
            <v>god</v>
          </cell>
          <cell r="N849" t="str">
            <v>ゴッド</v>
          </cell>
          <cell r="O849" t="str">
            <v>machine</v>
          </cell>
          <cell r="P849" t="str">
            <v>マシン</v>
          </cell>
          <cell r="Q849" t="str">
            <v>アタッカー</v>
          </cell>
          <cell r="R849">
            <v>3</v>
          </cell>
          <cell r="S849" t="str">
            <v>NULL</v>
          </cell>
          <cell r="T849" t="str">
            <v>normal</v>
          </cell>
          <cell r="U849" t="str">
            <v>NULL</v>
          </cell>
          <cell r="V849" t="str">
            <v>NULL</v>
          </cell>
          <cell r="W849" t="str">
            <v>NULL</v>
          </cell>
        </row>
        <row r="850">
          <cell r="A850">
            <v>849</v>
          </cell>
          <cell r="B850" t="str">
            <v>ja</v>
          </cell>
          <cell r="C850" t="str">
            <v>燦然たる天使 メタトロン・ラヴァ</v>
          </cell>
          <cell r="D850" t="str">
            <v>各属性相性良3・黄・R467</v>
          </cell>
          <cell r="E850" t="str">
            <v>執行者</v>
          </cell>
          <cell r="F850" t="str">
            <v>格好いい</v>
          </cell>
          <cell r="G850" t="str">
            <v>男性</v>
          </cell>
          <cell r="H850" t="str">
            <v>red</v>
          </cell>
          <cell r="I850">
            <v>6</v>
          </cell>
          <cell r="J850" t="str">
            <v>PremiumSS</v>
          </cell>
          <cell r="K850" t="str">
            <v>balance</v>
          </cell>
          <cell r="L850" t="str">
            <v>バランスタイプ</v>
          </cell>
          <cell r="M850" t="str">
            <v>god</v>
          </cell>
          <cell r="N850" t="str">
            <v>ゴッド</v>
          </cell>
          <cell r="O850" t="str">
            <v>machine</v>
          </cell>
          <cell r="P850" t="str">
            <v>マシン</v>
          </cell>
          <cell r="Q850" t="str">
            <v>アタッカー</v>
          </cell>
          <cell r="R850">
            <v>3</v>
          </cell>
          <cell r="S850" t="str">
            <v>NULL</v>
          </cell>
          <cell r="T850" t="str">
            <v>normal</v>
          </cell>
          <cell r="U850" t="str">
            <v>NULL</v>
          </cell>
          <cell r="V850" t="str">
            <v>NULL</v>
          </cell>
          <cell r="W850" t="str">
            <v>NULL</v>
          </cell>
        </row>
        <row r="851">
          <cell r="A851">
            <v>850</v>
          </cell>
          <cell r="B851" t="str">
            <v>ja</v>
          </cell>
          <cell r="C851" t="str">
            <v>バアル</v>
          </cell>
          <cell r="D851" t="str">
            <v>各属性相性良3・黄・R468</v>
          </cell>
          <cell r="E851" t="str">
            <v>執行者</v>
          </cell>
          <cell r="F851" t="str">
            <v>格好いい</v>
          </cell>
          <cell r="G851" t="str">
            <v>男性</v>
          </cell>
          <cell r="H851" t="str">
            <v>green</v>
          </cell>
          <cell r="I851">
            <v>5</v>
          </cell>
          <cell r="J851" t="str">
            <v>PremiumSS</v>
          </cell>
          <cell r="K851" t="str">
            <v>technical</v>
          </cell>
          <cell r="L851" t="str">
            <v>テクニカルタイプ</v>
          </cell>
          <cell r="M851" t="str">
            <v>god</v>
          </cell>
          <cell r="N851" t="str">
            <v>ゴッド</v>
          </cell>
          <cell r="O851" t="str">
            <v>none</v>
          </cell>
          <cell r="P851" t="str">
            <v>種族なし</v>
          </cell>
          <cell r="Q851" t="str">
            <v>アタッカー</v>
          </cell>
          <cell r="R851">
            <v>3</v>
          </cell>
          <cell r="S851" t="str">
            <v>NULL</v>
          </cell>
          <cell r="T851" t="str">
            <v>normal</v>
          </cell>
          <cell r="U851" t="str">
            <v>NULL</v>
          </cell>
          <cell r="V851" t="str">
            <v>NULL</v>
          </cell>
          <cell r="W851" t="str">
            <v>NULL</v>
          </cell>
        </row>
        <row r="852">
          <cell r="A852">
            <v>851</v>
          </cell>
          <cell r="B852" t="str">
            <v>ja</v>
          </cell>
          <cell r="C852" t="str">
            <v>寡黙なる凶王 バアル</v>
          </cell>
          <cell r="D852" t="str">
            <v>各属性相性良3・黄・R469</v>
          </cell>
          <cell r="E852" t="str">
            <v>執行者</v>
          </cell>
          <cell r="F852" t="str">
            <v>格好いい</v>
          </cell>
          <cell r="G852" t="str">
            <v>男性</v>
          </cell>
          <cell r="H852" t="str">
            <v>green</v>
          </cell>
          <cell r="I852">
            <v>6</v>
          </cell>
          <cell r="J852" t="str">
            <v>PremiumSS</v>
          </cell>
          <cell r="K852" t="str">
            <v>technical</v>
          </cell>
          <cell r="L852" t="str">
            <v>テクニカルタイプ</v>
          </cell>
          <cell r="M852" t="str">
            <v>god</v>
          </cell>
          <cell r="N852" t="str">
            <v>ゴッド</v>
          </cell>
          <cell r="O852" t="str">
            <v>demon</v>
          </cell>
          <cell r="P852" t="str">
            <v>デーモン</v>
          </cell>
          <cell r="Q852" t="str">
            <v>アタッカー</v>
          </cell>
          <cell r="R852">
            <v>3</v>
          </cell>
          <cell r="S852" t="str">
            <v>NULL</v>
          </cell>
          <cell r="T852" t="str">
            <v>normal</v>
          </cell>
          <cell r="U852" t="str">
            <v>NULL</v>
          </cell>
          <cell r="V852" t="str">
            <v>NULL</v>
          </cell>
          <cell r="W852" t="str">
            <v>NULL</v>
          </cell>
        </row>
        <row r="853">
          <cell r="A853">
            <v>852</v>
          </cell>
          <cell r="B853" t="str">
            <v>ja</v>
          </cell>
          <cell r="C853" t="str">
            <v>サキエル</v>
          </cell>
          <cell r="D853" t="str">
            <v>各属性相性良3・黄・R470</v>
          </cell>
          <cell r="E853" t="str">
            <v>執行者</v>
          </cell>
          <cell r="F853" t="str">
            <v>格好いい</v>
          </cell>
          <cell r="G853" t="str">
            <v>男性</v>
          </cell>
          <cell r="H853" t="str">
            <v>blue</v>
          </cell>
          <cell r="I853">
            <v>4</v>
          </cell>
          <cell r="J853" t="str">
            <v>PremiumS</v>
          </cell>
          <cell r="K853" t="str">
            <v>hp</v>
          </cell>
          <cell r="L853" t="str">
            <v>体力タイプ</v>
          </cell>
          <cell r="M853" t="str">
            <v>god</v>
          </cell>
          <cell r="N853" t="str">
            <v>ゴッド</v>
          </cell>
          <cell r="O853" t="str">
            <v>machine</v>
          </cell>
          <cell r="P853" t="str">
            <v>マシン</v>
          </cell>
          <cell r="Q853" t="str">
            <v>アタッカー</v>
          </cell>
          <cell r="R853">
            <v>3</v>
          </cell>
          <cell r="S853" t="str">
            <v>NULL</v>
          </cell>
          <cell r="T853" t="str">
            <v>normal</v>
          </cell>
          <cell r="U853" t="str">
            <v>NULL</v>
          </cell>
          <cell r="V853" t="str">
            <v>NULL</v>
          </cell>
          <cell r="W853" t="str">
            <v>NULL</v>
          </cell>
        </row>
        <row r="854">
          <cell r="A854">
            <v>853</v>
          </cell>
          <cell r="B854" t="str">
            <v>ja</v>
          </cell>
          <cell r="C854" t="str">
            <v>裂爪の天使 サキエル・ティア</v>
          </cell>
          <cell r="D854" t="str">
            <v>各属性相性良3・黄・R471</v>
          </cell>
          <cell r="E854" t="str">
            <v>執行者</v>
          </cell>
          <cell r="F854" t="str">
            <v>格好いい</v>
          </cell>
          <cell r="G854" t="str">
            <v>男性</v>
          </cell>
          <cell r="H854" t="str">
            <v>blue</v>
          </cell>
          <cell r="I854">
            <v>5</v>
          </cell>
          <cell r="J854" t="str">
            <v>PremiumS</v>
          </cell>
          <cell r="K854" t="str">
            <v>hp</v>
          </cell>
          <cell r="L854" t="str">
            <v>体力タイプ</v>
          </cell>
          <cell r="M854" t="str">
            <v>god</v>
          </cell>
          <cell r="N854" t="str">
            <v>ゴッド</v>
          </cell>
          <cell r="O854" t="str">
            <v>machine</v>
          </cell>
          <cell r="P854" t="str">
            <v>マシン</v>
          </cell>
          <cell r="Q854" t="str">
            <v>アタッカー</v>
          </cell>
          <cell r="R854">
            <v>3</v>
          </cell>
          <cell r="S854" t="str">
            <v>NULL</v>
          </cell>
          <cell r="T854" t="str">
            <v>normal</v>
          </cell>
          <cell r="U854" t="str">
            <v>NULL</v>
          </cell>
          <cell r="V854" t="str">
            <v>NULL</v>
          </cell>
          <cell r="W854" t="str">
            <v>NULL</v>
          </cell>
        </row>
        <row r="855">
          <cell r="A855">
            <v>854</v>
          </cell>
          <cell r="B855" t="str">
            <v>ja</v>
          </cell>
          <cell r="C855" t="str">
            <v>フラウロス</v>
          </cell>
          <cell r="D855" t="str">
            <v>各属性相性良3・黄・R472</v>
          </cell>
          <cell r="E855" t="str">
            <v>執行者</v>
          </cell>
          <cell r="F855" t="str">
            <v>格好いい</v>
          </cell>
          <cell r="G855" t="str">
            <v>男性</v>
          </cell>
          <cell r="H855" t="str">
            <v>yellow</v>
          </cell>
          <cell r="I855">
            <v>4</v>
          </cell>
          <cell r="J855" t="str">
            <v>PremiumS</v>
          </cell>
          <cell r="K855" t="str">
            <v>attack</v>
          </cell>
          <cell r="L855" t="str">
            <v>攻撃タイプ</v>
          </cell>
          <cell r="M855" t="str">
            <v>animal</v>
          </cell>
          <cell r="N855" t="str">
            <v>アニマル</v>
          </cell>
          <cell r="O855" t="str">
            <v>none</v>
          </cell>
          <cell r="P855" t="str">
            <v>種族なし</v>
          </cell>
          <cell r="Q855" t="str">
            <v>アタッカー</v>
          </cell>
          <cell r="R855">
            <v>3</v>
          </cell>
          <cell r="S855" t="str">
            <v>NULL</v>
          </cell>
          <cell r="T855" t="str">
            <v>normal</v>
          </cell>
          <cell r="U855" t="str">
            <v>NULL</v>
          </cell>
          <cell r="V855" t="str">
            <v>NULL</v>
          </cell>
          <cell r="W855" t="str">
            <v>NULL</v>
          </cell>
        </row>
        <row r="856">
          <cell r="A856">
            <v>855</v>
          </cell>
          <cell r="B856" t="str">
            <v>ja</v>
          </cell>
          <cell r="C856" t="str">
            <v>豹魔の侠客 フラウロス</v>
          </cell>
          <cell r="D856" t="str">
            <v>各属性相性良3・黄・R473</v>
          </cell>
          <cell r="E856" t="str">
            <v>執行者</v>
          </cell>
          <cell r="F856" t="str">
            <v>格好いい</v>
          </cell>
          <cell r="G856" t="str">
            <v>男性</v>
          </cell>
          <cell r="H856" t="str">
            <v>yellow</v>
          </cell>
          <cell r="I856">
            <v>5</v>
          </cell>
          <cell r="J856" t="str">
            <v>PremiumS</v>
          </cell>
          <cell r="K856" t="str">
            <v>attack</v>
          </cell>
          <cell r="L856" t="str">
            <v>攻撃タイプ</v>
          </cell>
          <cell r="M856" t="str">
            <v>animal</v>
          </cell>
          <cell r="N856" t="str">
            <v>アニマル</v>
          </cell>
          <cell r="O856" t="str">
            <v>none</v>
          </cell>
          <cell r="P856" t="str">
            <v>種族なし</v>
          </cell>
          <cell r="Q856" t="str">
            <v>アタッカー</v>
          </cell>
          <cell r="R856">
            <v>3</v>
          </cell>
          <cell r="S856" t="str">
            <v>NULL</v>
          </cell>
          <cell r="T856" t="str">
            <v>normal</v>
          </cell>
          <cell r="U856" t="str">
            <v>NULL</v>
          </cell>
          <cell r="V856" t="str">
            <v>NULL</v>
          </cell>
          <cell r="W856" t="str">
            <v>NULL</v>
          </cell>
        </row>
        <row r="857">
          <cell r="A857">
            <v>856</v>
          </cell>
          <cell r="B857" t="str">
            <v>ja</v>
          </cell>
          <cell r="C857" t="str">
            <v>リフレクト＆M.I.R.R.O.R.</v>
          </cell>
          <cell r="D857" t="str">
            <v>各属性相性良3・黄・R474</v>
          </cell>
          <cell r="E857" t="str">
            <v>執行者</v>
          </cell>
          <cell r="F857" t="str">
            <v>格好いい</v>
          </cell>
          <cell r="G857" t="str">
            <v>男性</v>
          </cell>
          <cell r="H857" t="str">
            <v>red</v>
          </cell>
          <cell r="I857">
            <v>4</v>
          </cell>
          <cell r="J857" t="str">
            <v>Drop2N</v>
          </cell>
          <cell r="K857" t="str">
            <v>technical</v>
          </cell>
          <cell r="L857" t="str">
            <v>テクニカルタイプ</v>
          </cell>
          <cell r="M857" t="str">
            <v>human</v>
          </cell>
          <cell r="N857" t="str">
            <v>ヒューマン</v>
          </cell>
          <cell r="O857" t="str">
            <v>none</v>
          </cell>
          <cell r="P857" t="str">
            <v>種族なし</v>
          </cell>
          <cell r="Q857" t="str">
            <v>アタッカー</v>
          </cell>
          <cell r="R857">
            <v>3</v>
          </cell>
          <cell r="S857" t="str">
            <v>NULL</v>
          </cell>
          <cell r="T857" t="str">
            <v>normal</v>
          </cell>
          <cell r="U857" t="str">
            <v>NULL</v>
          </cell>
          <cell r="V857" t="str">
            <v>NULL</v>
          </cell>
          <cell r="W857" t="str">
            <v>NULL</v>
          </cell>
        </row>
        <row r="858">
          <cell r="A858">
            <v>857</v>
          </cell>
          <cell r="B858" t="str">
            <v>ja</v>
          </cell>
          <cell r="C858" t="str">
            <v>嫉心のリフレクト＆M.I.R.R.O.R.</v>
          </cell>
          <cell r="D858" t="str">
            <v>各属性相性良3・黄・R475</v>
          </cell>
          <cell r="E858" t="str">
            <v>執行者</v>
          </cell>
          <cell r="F858" t="str">
            <v>格好いい</v>
          </cell>
          <cell r="G858" t="str">
            <v>男性</v>
          </cell>
          <cell r="H858" t="str">
            <v>red</v>
          </cell>
          <cell r="I858">
            <v>5</v>
          </cell>
          <cell r="J858" t="str">
            <v>Drop2N</v>
          </cell>
          <cell r="K858" t="str">
            <v>technical</v>
          </cell>
          <cell r="L858" t="str">
            <v>テクニカルタイプ</v>
          </cell>
          <cell r="M858" t="str">
            <v>human</v>
          </cell>
          <cell r="N858" t="str">
            <v>ヒューマン</v>
          </cell>
          <cell r="O858" t="str">
            <v>none</v>
          </cell>
          <cell r="P858" t="str">
            <v>種族なし</v>
          </cell>
          <cell r="Q858" t="str">
            <v>アタッカー</v>
          </cell>
          <cell r="R858">
            <v>3</v>
          </cell>
          <cell r="S858" t="str">
            <v>NULL</v>
          </cell>
          <cell r="T858" t="str">
            <v>normal</v>
          </cell>
          <cell r="U858" t="str">
            <v>NULL</v>
          </cell>
          <cell r="V858" t="str">
            <v>NULL</v>
          </cell>
          <cell r="W858" t="str">
            <v>NULL</v>
          </cell>
        </row>
        <row r="859">
          <cell r="A859">
            <v>858</v>
          </cell>
          <cell r="B859" t="str">
            <v>ja</v>
          </cell>
          <cell r="C859" t="str">
            <v>Mr.ホエール</v>
          </cell>
          <cell r="D859" t="str">
            <v>各属性相性良3・黄・R476</v>
          </cell>
          <cell r="E859" t="str">
            <v>執行者</v>
          </cell>
          <cell r="F859" t="str">
            <v>格好いい</v>
          </cell>
          <cell r="G859" t="str">
            <v>男性</v>
          </cell>
          <cell r="H859" t="str">
            <v>yellow</v>
          </cell>
          <cell r="I859">
            <v>4</v>
          </cell>
          <cell r="J859" t="str">
            <v>Drop2N</v>
          </cell>
          <cell r="K859" t="str">
            <v>hp</v>
          </cell>
          <cell r="L859" t="str">
            <v>体力タイプ</v>
          </cell>
          <cell r="M859" t="str">
            <v>machine</v>
          </cell>
          <cell r="N859" t="str">
            <v>マシン</v>
          </cell>
          <cell r="O859" t="str">
            <v>animal</v>
          </cell>
          <cell r="P859" t="str">
            <v>アニマル</v>
          </cell>
          <cell r="Q859" t="str">
            <v>アタッカー</v>
          </cell>
          <cell r="R859">
            <v>3</v>
          </cell>
          <cell r="S859" t="str">
            <v>NULL</v>
          </cell>
          <cell r="T859" t="str">
            <v>normal</v>
          </cell>
          <cell r="U859" t="str">
            <v>NULL</v>
          </cell>
          <cell r="V859" t="str">
            <v>NULL</v>
          </cell>
          <cell r="W859" t="str">
            <v>NULL</v>
          </cell>
        </row>
        <row r="860">
          <cell r="A860">
            <v>859</v>
          </cell>
          <cell r="B860" t="str">
            <v>ja</v>
          </cell>
          <cell r="C860" t="str">
            <v>夢鯨大食 Mr.ホエール</v>
          </cell>
          <cell r="D860" t="str">
            <v>各属性相性良3・黄・R477</v>
          </cell>
          <cell r="E860" t="str">
            <v>執行者</v>
          </cell>
          <cell r="F860" t="str">
            <v>格好いい</v>
          </cell>
          <cell r="G860" t="str">
            <v>男性</v>
          </cell>
          <cell r="H860" t="str">
            <v>yellow</v>
          </cell>
          <cell r="I860">
            <v>5</v>
          </cell>
          <cell r="J860" t="str">
            <v>Drop2N</v>
          </cell>
          <cell r="K860" t="str">
            <v>hp</v>
          </cell>
          <cell r="L860" t="str">
            <v>体力タイプ</v>
          </cell>
          <cell r="M860" t="str">
            <v>machine</v>
          </cell>
          <cell r="N860" t="str">
            <v>マシン</v>
          </cell>
          <cell r="O860" t="str">
            <v>animal</v>
          </cell>
          <cell r="P860" t="str">
            <v>アニマル</v>
          </cell>
          <cell r="Q860" t="str">
            <v>アタッカー</v>
          </cell>
          <cell r="R860">
            <v>3</v>
          </cell>
          <cell r="S860" t="str">
            <v>NULL</v>
          </cell>
          <cell r="T860" t="str">
            <v>normal</v>
          </cell>
          <cell r="U860" t="str">
            <v>NULL</v>
          </cell>
          <cell r="V860" t="str">
            <v>NULL</v>
          </cell>
          <cell r="W860" t="str">
            <v>NULL</v>
          </cell>
        </row>
        <row r="861">
          <cell r="A861">
            <v>860</v>
          </cell>
          <cell r="B861" t="str">
            <v>ja</v>
          </cell>
          <cell r="C861" t="str">
            <v>叶望の幻燈 ジーナ</v>
          </cell>
          <cell r="D861" t="str">
            <v>各属性相性良3・黄・R478</v>
          </cell>
          <cell r="E861" t="str">
            <v>執行者</v>
          </cell>
          <cell r="F861" t="str">
            <v>格好いい</v>
          </cell>
          <cell r="G861" t="str">
            <v>男性</v>
          </cell>
          <cell r="H861" t="str">
            <v>blue</v>
          </cell>
          <cell r="I861">
            <v>5</v>
          </cell>
          <cell r="J861" t="str">
            <v>DropWizS</v>
          </cell>
          <cell r="K861" t="str">
            <v>hp</v>
          </cell>
          <cell r="L861" t="str">
            <v>体力タイプ</v>
          </cell>
          <cell r="M861" t="str">
            <v>unknown</v>
          </cell>
          <cell r="N861" t="str">
            <v>Unknown</v>
          </cell>
          <cell r="O861" t="str">
            <v>god</v>
          </cell>
          <cell r="P861" t="str">
            <v>ゴッド</v>
          </cell>
          <cell r="Q861" t="str">
            <v>アタッカー</v>
          </cell>
          <cell r="R861">
            <v>3</v>
          </cell>
          <cell r="S861" t="str">
            <v>NULL</v>
          </cell>
          <cell r="T861" t="str">
            <v>normal</v>
          </cell>
          <cell r="U861" t="str">
            <v>NULL</v>
          </cell>
          <cell r="V861" t="str">
            <v>NULL</v>
          </cell>
          <cell r="W861" t="str">
            <v>NULL</v>
          </cell>
        </row>
        <row r="862">
          <cell r="A862">
            <v>861</v>
          </cell>
          <cell r="B862" t="str">
            <v>ja</v>
          </cell>
          <cell r="C862" t="str">
            <v>青燈の巨躯 ジーナ</v>
          </cell>
          <cell r="D862" t="str">
            <v>各属性相性良3・黄・R479</v>
          </cell>
          <cell r="E862" t="str">
            <v>執行者</v>
          </cell>
          <cell r="F862" t="str">
            <v>格好いい</v>
          </cell>
          <cell r="G862" t="str">
            <v>男性</v>
          </cell>
          <cell r="H862" t="str">
            <v>blue</v>
          </cell>
          <cell r="I862">
            <v>6</v>
          </cell>
          <cell r="J862" t="str">
            <v>DropWizS</v>
          </cell>
          <cell r="K862" t="str">
            <v>hp</v>
          </cell>
          <cell r="L862" t="str">
            <v>体力タイプ</v>
          </cell>
          <cell r="M862" t="str">
            <v>unknown</v>
          </cell>
          <cell r="N862" t="str">
            <v>Unknown</v>
          </cell>
          <cell r="O862" t="str">
            <v>god</v>
          </cell>
          <cell r="P862" t="str">
            <v>ゴッド</v>
          </cell>
          <cell r="Q862" t="str">
            <v>アタッカー</v>
          </cell>
          <cell r="R862">
            <v>3</v>
          </cell>
          <cell r="S862" t="str">
            <v>NULL</v>
          </cell>
          <cell r="T862" t="str">
            <v>normal</v>
          </cell>
          <cell r="U862" t="str">
            <v>NULL</v>
          </cell>
          <cell r="V862" t="str">
            <v>NULL</v>
          </cell>
          <cell r="W862" t="str">
            <v>NULL</v>
          </cell>
        </row>
        <row r="863">
          <cell r="A863">
            <v>862</v>
          </cell>
          <cell r="B863" t="str">
            <v>ja</v>
          </cell>
          <cell r="C863" t="str">
            <v>ブレーメン</v>
          </cell>
          <cell r="D863" t="str">
            <v>各属性相性良3・黄・R480</v>
          </cell>
          <cell r="E863" t="str">
            <v>執行者</v>
          </cell>
          <cell r="F863" t="str">
            <v>格好いい</v>
          </cell>
          <cell r="G863" t="str">
            <v>男性</v>
          </cell>
          <cell r="H863" t="str">
            <v>red</v>
          </cell>
          <cell r="I863">
            <v>4</v>
          </cell>
          <cell r="J863" t="str">
            <v>PremiumS</v>
          </cell>
          <cell r="K863" t="str">
            <v>balance</v>
          </cell>
          <cell r="L863" t="str">
            <v>バランスタイプ</v>
          </cell>
          <cell r="M863" t="str">
            <v>animal</v>
          </cell>
          <cell r="N863" t="str">
            <v>アニマル</v>
          </cell>
          <cell r="O863" t="str">
            <v>none</v>
          </cell>
          <cell r="P863" t="str">
            <v>種族なし</v>
          </cell>
          <cell r="Q863" t="str">
            <v>アタッカー</v>
          </cell>
          <cell r="R863">
            <v>3</v>
          </cell>
          <cell r="S863" t="str">
            <v>NULL</v>
          </cell>
          <cell r="T863" t="str">
            <v>normal</v>
          </cell>
          <cell r="U863" t="str">
            <v>NULL</v>
          </cell>
          <cell r="V863" t="str">
            <v>NULL</v>
          </cell>
          <cell r="W863" t="str">
            <v>NULL</v>
          </cell>
        </row>
        <row r="864">
          <cell r="A864">
            <v>863</v>
          </cell>
          <cell r="B864" t="str">
            <v>ja</v>
          </cell>
          <cell r="C864" t="str">
            <v>歓揮の楽団長 ブレーメン</v>
          </cell>
          <cell r="D864" t="str">
            <v>各属性相性良3・黄・R481</v>
          </cell>
          <cell r="E864" t="str">
            <v>執行者</v>
          </cell>
          <cell r="F864" t="str">
            <v>格好いい</v>
          </cell>
          <cell r="G864" t="str">
            <v>男性</v>
          </cell>
          <cell r="H864" t="str">
            <v>red</v>
          </cell>
          <cell r="I864">
            <v>5</v>
          </cell>
          <cell r="J864" t="str">
            <v>PremiumS</v>
          </cell>
          <cell r="K864" t="str">
            <v>balance</v>
          </cell>
          <cell r="L864" t="str">
            <v>バランスタイプ</v>
          </cell>
          <cell r="M864" t="str">
            <v>animal</v>
          </cell>
          <cell r="N864" t="str">
            <v>アニマル</v>
          </cell>
          <cell r="O864" t="str">
            <v>none</v>
          </cell>
          <cell r="P864" t="str">
            <v>種族なし</v>
          </cell>
          <cell r="Q864" t="str">
            <v>アタッカー</v>
          </cell>
          <cell r="R864">
            <v>3</v>
          </cell>
          <cell r="S864" t="str">
            <v>NULL</v>
          </cell>
          <cell r="T864" t="str">
            <v>normal</v>
          </cell>
          <cell r="U864" t="str">
            <v>NULL</v>
          </cell>
          <cell r="V864" t="str">
            <v>NULL</v>
          </cell>
          <cell r="W864" t="str">
            <v>NULL</v>
          </cell>
        </row>
        <row r="865">
          <cell r="A865">
            <v>864</v>
          </cell>
          <cell r="B865" t="str">
            <v>ja</v>
          </cell>
          <cell r="C865" t="str">
            <v>ピノキオ</v>
          </cell>
          <cell r="D865" t="str">
            <v>各属性相性良3・黄・R482</v>
          </cell>
          <cell r="E865" t="str">
            <v>執行者</v>
          </cell>
          <cell r="F865" t="str">
            <v>格好いい</v>
          </cell>
          <cell r="G865" t="str">
            <v>男性</v>
          </cell>
          <cell r="H865" t="str">
            <v>green</v>
          </cell>
          <cell r="I865">
            <v>4</v>
          </cell>
          <cell r="J865" t="str">
            <v>PremiumS</v>
          </cell>
          <cell r="K865" t="str">
            <v>attack</v>
          </cell>
          <cell r="L865" t="str">
            <v>攻撃タイプ</v>
          </cell>
          <cell r="M865" t="str">
            <v>machine</v>
          </cell>
          <cell r="N865" t="str">
            <v>マシン</v>
          </cell>
          <cell r="O865" t="str">
            <v>none</v>
          </cell>
          <cell r="P865" t="str">
            <v>種族なし</v>
          </cell>
          <cell r="Q865" t="str">
            <v>アタッカー</v>
          </cell>
          <cell r="R865">
            <v>3</v>
          </cell>
          <cell r="S865" t="str">
            <v>NULL</v>
          </cell>
          <cell r="T865" t="str">
            <v>normal</v>
          </cell>
          <cell r="U865" t="str">
            <v>NULL</v>
          </cell>
          <cell r="V865" t="str">
            <v>NULL</v>
          </cell>
          <cell r="W865" t="str">
            <v>NULL</v>
          </cell>
        </row>
        <row r="866">
          <cell r="A866">
            <v>865</v>
          </cell>
          <cell r="B866" t="str">
            <v>ja</v>
          </cell>
          <cell r="C866" t="str">
            <v>無情の感線 ピノキオ</v>
          </cell>
          <cell r="D866" t="str">
            <v>各属性相性良3・黄・R483</v>
          </cell>
          <cell r="E866" t="str">
            <v>執行者</v>
          </cell>
          <cell r="F866" t="str">
            <v>格好いい</v>
          </cell>
          <cell r="G866" t="str">
            <v>男性</v>
          </cell>
          <cell r="H866" t="str">
            <v>green</v>
          </cell>
          <cell r="I866">
            <v>5</v>
          </cell>
          <cell r="J866" t="str">
            <v>PremiumS</v>
          </cell>
          <cell r="K866" t="str">
            <v>attack</v>
          </cell>
          <cell r="L866" t="str">
            <v>攻撃タイプ</v>
          </cell>
          <cell r="M866" t="str">
            <v>machine</v>
          </cell>
          <cell r="N866" t="str">
            <v>マシン</v>
          </cell>
          <cell r="O866" t="str">
            <v>none</v>
          </cell>
          <cell r="P866" t="str">
            <v>種族なし</v>
          </cell>
          <cell r="Q866" t="str">
            <v>アタッカー</v>
          </cell>
          <cell r="R866">
            <v>3</v>
          </cell>
          <cell r="S866" t="str">
            <v>NULL</v>
          </cell>
          <cell r="T866" t="str">
            <v>normal</v>
          </cell>
          <cell r="U866" t="str">
            <v>NULL</v>
          </cell>
          <cell r="V866" t="str">
            <v>NULL</v>
          </cell>
          <cell r="W866" t="str">
            <v>NULL</v>
          </cell>
        </row>
        <row r="867">
          <cell r="A867">
            <v>866</v>
          </cell>
          <cell r="B867" t="str">
            <v>ja</v>
          </cell>
          <cell r="C867" t="str">
            <v>無敗の司令姫 白雪姫</v>
          </cell>
          <cell r="D867" t="str">
            <v>各属性相性良3・黄・R474</v>
          </cell>
          <cell r="E867" t="str">
            <v>執行者</v>
          </cell>
          <cell r="F867" t="str">
            <v>格好いい</v>
          </cell>
          <cell r="G867" t="str">
            <v>男性</v>
          </cell>
          <cell r="H867" t="str">
            <v>blue</v>
          </cell>
          <cell r="I867">
            <v>5</v>
          </cell>
          <cell r="J867" t="str">
            <v>PremiumSS</v>
          </cell>
          <cell r="K867" t="str">
            <v>balance</v>
          </cell>
          <cell r="L867" t="str">
            <v>バランスタイプ</v>
          </cell>
          <cell r="M867" t="str">
            <v>human</v>
          </cell>
          <cell r="N867" t="str">
            <v>ヒューマン</v>
          </cell>
          <cell r="O867" t="str">
            <v>unknown</v>
          </cell>
          <cell r="P867" t="str">
            <v>Unknown</v>
          </cell>
          <cell r="Q867" t="str">
            <v>アタッカー</v>
          </cell>
          <cell r="R867">
            <v>3</v>
          </cell>
          <cell r="S867" t="str">
            <v>NULL</v>
          </cell>
          <cell r="T867" t="str">
            <v>normal</v>
          </cell>
          <cell r="U867" t="str">
            <v>NULL</v>
          </cell>
          <cell r="V867" t="str">
            <v>NULL</v>
          </cell>
          <cell r="W867" t="str">
            <v>NULL</v>
          </cell>
        </row>
        <row r="868">
          <cell r="A868">
            <v>867</v>
          </cell>
          <cell r="B868" t="str">
            <v>ja</v>
          </cell>
          <cell r="C868" t="str">
            <v>華麗なる作戦 白雪姫</v>
          </cell>
          <cell r="D868" t="str">
            <v>各属性相性良3・黄・R475</v>
          </cell>
          <cell r="E868" t="str">
            <v>執行者</v>
          </cell>
          <cell r="F868" t="str">
            <v>格好いい</v>
          </cell>
          <cell r="G868" t="str">
            <v>男性</v>
          </cell>
          <cell r="H868" t="str">
            <v>blue</v>
          </cell>
          <cell r="I868">
            <v>6</v>
          </cell>
          <cell r="J868" t="str">
            <v>PremiumSS</v>
          </cell>
          <cell r="K868" t="str">
            <v>balance</v>
          </cell>
          <cell r="L868" t="str">
            <v>バランスタイプ</v>
          </cell>
          <cell r="M868" t="str">
            <v>human</v>
          </cell>
          <cell r="N868" t="str">
            <v>ヒューマン</v>
          </cell>
          <cell r="O868" t="str">
            <v>unknown</v>
          </cell>
          <cell r="P868" t="str">
            <v>Unknown</v>
          </cell>
          <cell r="Q868" t="str">
            <v>アタッカー</v>
          </cell>
          <cell r="R868">
            <v>3</v>
          </cell>
          <cell r="S868" t="str">
            <v>NULL</v>
          </cell>
          <cell r="T868" t="str">
            <v>normal</v>
          </cell>
          <cell r="U868" t="str">
            <v>NULL</v>
          </cell>
          <cell r="V868" t="str">
            <v>NULL</v>
          </cell>
          <cell r="W868" t="str">
            <v>NULL</v>
          </cell>
        </row>
        <row r="869">
          <cell r="A869">
            <v>868</v>
          </cell>
          <cell r="B869" t="str">
            <v>ja</v>
          </cell>
          <cell r="C869" t="str">
            <v>アラジンと殲滅機兵LAMP</v>
          </cell>
          <cell r="D869" t="str">
            <v>各属性相性良3・黄・R476</v>
          </cell>
          <cell r="E869" t="str">
            <v>執行者</v>
          </cell>
          <cell r="F869" t="str">
            <v>格好いい</v>
          </cell>
          <cell r="G869" t="str">
            <v>男性</v>
          </cell>
          <cell r="H869" t="str">
            <v>yellow</v>
          </cell>
          <cell r="I869">
            <v>5</v>
          </cell>
          <cell r="J869" t="str">
            <v>PremiumSS</v>
          </cell>
          <cell r="K869" t="str">
            <v>hp</v>
          </cell>
          <cell r="L869" t="str">
            <v>体力タイプ</v>
          </cell>
          <cell r="M869" t="str">
            <v>human</v>
          </cell>
          <cell r="N869" t="str">
            <v>ヒューマン</v>
          </cell>
          <cell r="O869" t="str">
            <v>machine</v>
          </cell>
          <cell r="P869" t="str">
            <v>マシン</v>
          </cell>
          <cell r="Q869" t="str">
            <v>アタッカー</v>
          </cell>
          <cell r="R869">
            <v>3</v>
          </cell>
          <cell r="S869" t="str">
            <v>NULL</v>
          </cell>
          <cell r="T869" t="str">
            <v>normal</v>
          </cell>
          <cell r="U869" t="str">
            <v>NULL</v>
          </cell>
          <cell r="V869" t="str">
            <v>NULL</v>
          </cell>
          <cell r="W869" t="str">
            <v>NULL</v>
          </cell>
        </row>
        <row r="870">
          <cell r="A870">
            <v>869</v>
          </cell>
          <cell r="B870" t="str">
            <v>ja</v>
          </cell>
          <cell r="C870" t="str">
            <v xml:space="preserve">マスター･アラジンと殲滅機兵LAMP </v>
          </cell>
          <cell r="D870" t="str">
            <v>各属性相性良3・黄・R477</v>
          </cell>
          <cell r="E870" t="str">
            <v>執行者</v>
          </cell>
          <cell r="F870" t="str">
            <v>格好いい</v>
          </cell>
          <cell r="G870" t="str">
            <v>男性</v>
          </cell>
          <cell r="H870" t="str">
            <v>yellow</v>
          </cell>
          <cell r="I870">
            <v>6</v>
          </cell>
          <cell r="J870" t="str">
            <v>PremiumSS</v>
          </cell>
          <cell r="K870" t="str">
            <v>hp</v>
          </cell>
          <cell r="L870" t="str">
            <v>体力タイプ</v>
          </cell>
          <cell r="M870" t="str">
            <v>human</v>
          </cell>
          <cell r="N870" t="str">
            <v>ヒューマン</v>
          </cell>
          <cell r="O870" t="str">
            <v>machine</v>
          </cell>
          <cell r="P870" t="str">
            <v>マシン</v>
          </cell>
          <cell r="Q870" t="str">
            <v>アタッカー</v>
          </cell>
          <cell r="R870">
            <v>3</v>
          </cell>
          <cell r="S870" t="str">
            <v>NULL</v>
          </cell>
          <cell r="T870" t="str">
            <v>normal</v>
          </cell>
          <cell r="U870" t="str">
            <v>NULL</v>
          </cell>
          <cell r="V870" t="str">
            <v>NULL</v>
          </cell>
          <cell r="W870" t="str">
            <v>NULL</v>
          </cell>
        </row>
        <row r="871">
          <cell r="A871">
            <v>870</v>
          </cell>
          <cell r="B871" t="str">
            <v>ja</v>
          </cell>
          <cell r="C871" t="str">
            <v>フロイト</v>
          </cell>
          <cell r="D871" t="str">
            <v>各属性相性良3・黄・R478</v>
          </cell>
          <cell r="E871" t="str">
            <v>執行者</v>
          </cell>
          <cell r="F871" t="str">
            <v>格好いい</v>
          </cell>
          <cell r="G871" t="str">
            <v>男性</v>
          </cell>
          <cell r="H871" t="str">
            <v>red</v>
          </cell>
          <cell r="I871">
            <v>5</v>
          </cell>
          <cell r="J871" t="str">
            <v>PremiumSSS</v>
          </cell>
          <cell r="K871" t="str">
            <v>balance</v>
          </cell>
          <cell r="L871" t="str">
            <v>バランスタイプ</v>
          </cell>
          <cell r="M871" t="str">
            <v>academia</v>
          </cell>
          <cell r="N871" t="str">
            <v>アカデミア</v>
          </cell>
          <cell r="O871" t="str">
            <v>machine</v>
          </cell>
          <cell r="P871" t="str">
            <v>マシン</v>
          </cell>
          <cell r="Q871" t="str">
            <v>アタッカー</v>
          </cell>
          <cell r="R871">
            <v>3</v>
          </cell>
          <cell r="S871" t="str">
            <v>NULL</v>
          </cell>
          <cell r="T871" t="str">
            <v>normal</v>
          </cell>
          <cell r="U871" t="str">
            <v>NULL</v>
          </cell>
          <cell r="V871" t="str">
            <v>NULL</v>
          </cell>
          <cell r="W871" t="str">
            <v>NULL</v>
          </cell>
        </row>
        <row r="872">
          <cell r="A872">
            <v>871</v>
          </cell>
          <cell r="B872" t="str">
            <v>ja</v>
          </cell>
          <cell r="C872" t="str">
            <v>無我夢中の羊狩り フロイト</v>
          </cell>
          <cell r="D872" t="str">
            <v>各属性相性良3・黄・R479</v>
          </cell>
          <cell r="E872" t="str">
            <v>執行者</v>
          </cell>
          <cell r="F872" t="str">
            <v>格好いい</v>
          </cell>
          <cell r="G872" t="str">
            <v>男性</v>
          </cell>
          <cell r="H872" t="str">
            <v>red</v>
          </cell>
          <cell r="I872">
            <v>6</v>
          </cell>
          <cell r="J872" t="str">
            <v>PremiumSSS</v>
          </cell>
          <cell r="K872" t="str">
            <v>balance</v>
          </cell>
          <cell r="L872" t="str">
            <v>バランスタイプ</v>
          </cell>
          <cell r="M872" t="str">
            <v>academia</v>
          </cell>
          <cell r="N872" t="str">
            <v>アカデミア</v>
          </cell>
          <cell r="O872" t="str">
            <v>machine</v>
          </cell>
          <cell r="P872" t="str">
            <v>マシン</v>
          </cell>
          <cell r="Q872" t="str">
            <v>アタッカー</v>
          </cell>
          <cell r="R872">
            <v>3</v>
          </cell>
          <cell r="S872" t="str">
            <v>NULL</v>
          </cell>
          <cell r="T872" t="str">
            <v>normal</v>
          </cell>
          <cell r="U872" t="str">
            <v>NULL</v>
          </cell>
          <cell r="V872" t="str">
            <v>NULL</v>
          </cell>
          <cell r="W872" t="str">
            <v>NULL</v>
          </cell>
        </row>
        <row r="873">
          <cell r="A873">
            <v>872</v>
          </cell>
          <cell r="B873" t="str">
            <v>ja</v>
          </cell>
          <cell r="C873" t="str">
            <v>シュヴァルツシルト</v>
          </cell>
          <cell r="D873" t="str">
            <v>各属性相性良3・黄・R480</v>
          </cell>
          <cell r="E873" t="str">
            <v>執行者</v>
          </cell>
          <cell r="F873" t="str">
            <v>格好いい</v>
          </cell>
          <cell r="G873" t="str">
            <v>男性</v>
          </cell>
          <cell r="H873" t="str">
            <v>blue</v>
          </cell>
          <cell r="I873">
            <v>5</v>
          </cell>
          <cell r="J873" t="str">
            <v>PremiumSSS</v>
          </cell>
          <cell r="K873" t="str">
            <v>attack</v>
          </cell>
          <cell r="L873" t="str">
            <v>攻撃タイプ</v>
          </cell>
          <cell r="M873" t="str">
            <v>academia</v>
          </cell>
          <cell r="N873" t="str">
            <v>アカデミア</v>
          </cell>
          <cell r="O873" t="str">
            <v>unknown</v>
          </cell>
          <cell r="P873" t="str">
            <v>Unknown</v>
          </cell>
          <cell r="Q873" t="str">
            <v>アタッカー</v>
          </cell>
          <cell r="R873">
            <v>3</v>
          </cell>
          <cell r="S873" t="str">
            <v>NULL</v>
          </cell>
          <cell r="T873" t="str">
            <v>normal</v>
          </cell>
          <cell r="U873" t="str">
            <v>NULL</v>
          </cell>
          <cell r="V873" t="str">
            <v>NULL</v>
          </cell>
          <cell r="W873" t="str">
            <v>NULL</v>
          </cell>
        </row>
        <row r="874">
          <cell r="A874">
            <v>873</v>
          </cell>
          <cell r="B874" t="str">
            <v>ja</v>
          </cell>
          <cell r="C874" t="str">
            <v>時歪の特異天 シュヴァルツシルト</v>
          </cell>
          <cell r="D874" t="str">
            <v>各属性相性良3・黄・R481</v>
          </cell>
          <cell r="E874" t="str">
            <v>執行者</v>
          </cell>
          <cell r="F874" t="str">
            <v>格好いい</v>
          </cell>
          <cell r="G874" t="str">
            <v>男性</v>
          </cell>
          <cell r="H874" t="str">
            <v>blue</v>
          </cell>
          <cell r="I874">
            <v>6</v>
          </cell>
          <cell r="J874" t="str">
            <v>PremiumSSS</v>
          </cell>
          <cell r="K874" t="str">
            <v>attack</v>
          </cell>
          <cell r="L874" t="str">
            <v>攻撃タイプ</v>
          </cell>
          <cell r="M874" t="str">
            <v>academia</v>
          </cell>
          <cell r="N874" t="str">
            <v>アカデミア</v>
          </cell>
          <cell r="O874" t="str">
            <v>unknown</v>
          </cell>
          <cell r="P874" t="str">
            <v>Unknown</v>
          </cell>
          <cell r="Q874" t="str">
            <v>アタッカー</v>
          </cell>
          <cell r="R874">
            <v>3</v>
          </cell>
          <cell r="S874" t="str">
            <v>NULL</v>
          </cell>
          <cell r="T874" t="str">
            <v>normal</v>
          </cell>
          <cell r="U874" t="str">
            <v>NULL</v>
          </cell>
          <cell r="V874" t="str">
            <v>NULL</v>
          </cell>
          <cell r="W874" t="str">
            <v>NULL</v>
          </cell>
        </row>
        <row r="875">
          <cell r="A875">
            <v>874</v>
          </cell>
          <cell r="B875" t="str">
            <v>ja</v>
          </cell>
          <cell r="C875" t="str">
            <v>フレネル</v>
          </cell>
          <cell r="D875" t="str">
            <v>各属性相性良3・黄・R482</v>
          </cell>
          <cell r="E875" t="str">
            <v>執行者</v>
          </cell>
          <cell r="F875" t="str">
            <v>格好いい</v>
          </cell>
          <cell r="G875" t="str">
            <v>男性</v>
          </cell>
          <cell r="H875" t="str">
            <v>yellow</v>
          </cell>
          <cell r="I875">
            <v>5</v>
          </cell>
          <cell r="J875" t="str">
            <v>PremiumSSS</v>
          </cell>
          <cell r="K875" t="str">
            <v>attack</v>
          </cell>
          <cell r="L875" t="str">
            <v>攻撃タイプ</v>
          </cell>
          <cell r="M875" t="str">
            <v>academia</v>
          </cell>
          <cell r="N875" t="str">
            <v>アカデミア</v>
          </cell>
          <cell r="O875" t="str">
            <v>machine</v>
          </cell>
          <cell r="P875" t="str">
            <v>マシン</v>
          </cell>
          <cell r="Q875" t="str">
            <v>アタッカー</v>
          </cell>
          <cell r="R875">
            <v>3</v>
          </cell>
          <cell r="S875" t="str">
            <v>NULL</v>
          </cell>
          <cell r="T875" t="str">
            <v>normal</v>
          </cell>
          <cell r="U875" t="str">
            <v>NULL</v>
          </cell>
          <cell r="V875" t="str">
            <v>NULL</v>
          </cell>
          <cell r="W875" t="str">
            <v>NULL</v>
          </cell>
        </row>
        <row r="876">
          <cell r="A876">
            <v>875</v>
          </cell>
          <cell r="B876" t="str">
            <v>ja</v>
          </cell>
          <cell r="C876" t="str">
            <v>覇導の光跡 フレネル</v>
          </cell>
          <cell r="D876" t="str">
            <v>各属性相性良3・黄・R483</v>
          </cell>
          <cell r="E876" t="str">
            <v>執行者</v>
          </cell>
          <cell r="F876" t="str">
            <v>格好いい</v>
          </cell>
          <cell r="G876" t="str">
            <v>男性</v>
          </cell>
          <cell r="H876" t="str">
            <v>yellow</v>
          </cell>
          <cell r="I876">
            <v>6</v>
          </cell>
          <cell r="J876" t="str">
            <v>PremiumSSS</v>
          </cell>
          <cell r="K876" t="str">
            <v>attack</v>
          </cell>
          <cell r="L876" t="str">
            <v>攻撃タイプ</v>
          </cell>
          <cell r="M876" t="str">
            <v>academia</v>
          </cell>
          <cell r="N876" t="str">
            <v>アカデミア</v>
          </cell>
          <cell r="O876" t="str">
            <v>machine</v>
          </cell>
          <cell r="P876" t="str">
            <v>マシン</v>
          </cell>
          <cell r="Q876" t="str">
            <v>アタッカー</v>
          </cell>
          <cell r="R876">
            <v>3</v>
          </cell>
          <cell r="S876" t="str">
            <v>NULL</v>
          </cell>
          <cell r="T876" t="str">
            <v>normal</v>
          </cell>
          <cell r="U876" t="str">
            <v>NULL</v>
          </cell>
          <cell r="V876" t="str">
            <v>NULL</v>
          </cell>
          <cell r="W876" t="str">
            <v>NULL</v>
          </cell>
        </row>
        <row r="877">
          <cell r="A877">
            <v>876</v>
          </cell>
          <cell r="B877" t="str">
            <v>ja</v>
          </cell>
          <cell r="C877" t="str">
            <v>イフリート</v>
          </cell>
          <cell r="D877" t="str">
            <v>各属性相性良3・黄・R480</v>
          </cell>
          <cell r="E877" t="str">
            <v>執行者</v>
          </cell>
          <cell r="F877" t="str">
            <v>格好いい</v>
          </cell>
          <cell r="G877" t="str">
            <v>男性</v>
          </cell>
          <cell r="H877" t="str">
            <v>red</v>
          </cell>
          <cell r="I877">
            <v>4</v>
          </cell>
          <cell r="J877" t="str">
            <v>Drop2N</v>
          </cell>
          <cell r="K877" t="str">
            <v>attack</v>
          </cell>
          <cell r="L877" t="str">
            <v>攻撃タイプ</v>
          </cell>
          <cell r="M877" t="str">
            <v>god</v>
          </cell>
          <cell r="N877" t="str">
            <v>ゴッド</v>
          </cell>
          <cell r="O877" t="str">
            <v>none</v>
          </cell>
          <cell r="P877" t="str">
            <v>種族なし</v>
          </cell>
          <cell r="Q877" t="str">
            <v>アタッカー</v>
          </cell>
          <cell r="R877">
            <v>3</v>
          </cell>
          <cell r="S877" t="str">
            <v>NULL</v>
          </cell>
          <cell r="T877" t="str">
            <v>normal</v>
          </cell>
          <cell r="U877" t="str">
            <v>NULL</v>
          </cell>
          <cell r="V877" t="str">
            <v>NULL</v>
          </cell>
          <cell r="W877" t="str">
            <v>NULL</v>
          </cell>
        </row>
        <row r="878">
          <cell r="A878">
            <v>877</v>
          </cell>
          <cell r="B878" t="str">
            <v>ja</v>
          </cell>
          <cell r="C878" t="str">
            <v>自律の協炎 イフリート</v>
          </cell>
          <cell r="D878" t="str">
            <v>各属性相性良3・黄・R481</v>
          </cell>
          <cell r="E878" t="str">
            <v>執行者</v>
          </cell>
          <cell r="F878" t="str">
            <v>格好いい</v>
          </cell>
          <cell r="G878" t="str">
            <v>男性</v>
          </cell>
          <cell r="H878" t="str">
            <v>red</v>
          </cell>
          <cell r="I878">
            <v>5</v>
          </cell>
          <cell r="J878" t="str">
            <v>Drop2N</v>
          </cell>
          <cell r="K878" t="str">
            <v>attack</v>
          </cell>
          <cell r="L878" t="str">
            <v>攻撃タイプ</v>
          </cell>
          <cell r="M878" t="str">
            <v>god</v>
          </cell>
          <cell r="N878" t="str">
            <v>ゴッド</v>
          </cell>
          <cell r="O878" t="str">
            <v>none</v>
          </cell>
          <cell r="P878" t="str">
            <v>種族なし</v>
          </cell>
          <cell r="Q878" t="str">
            <v>アタッカー</v>
          </cell>
          <cell r="R878">
            <v>3</v>
          </cell>
          <cell r="S878" t="str">
            <v>NULL</v>
          </cell>
          <cell r="T878" t="str">
            <v>normal</v>
          </cell>
          <cell r="U878" t="str">
            <v>NULL</v>
          </cell>
          <cell r="V878" t="str">
            <v>NULL</v>
          </cell>
          <cell r="W878" t="str">
            <v>NULL</v>
          </cell>
        </row>
        <row r="879">
          <cell r="A879">
            <v>878</v>
          </cell>
          <cell r="B879" t="str">
            <v>ja</v>
          </cell>
          <cell r="C879" t="str">
            <v>イグニス</v>
          </cell>
          <cell r="D879" t="str">
            <v>各属性相性良3・黄・R482</v>
          </cell>
          <cell r="E879" t="str">
            <v>執行者</v>
          </cell>
          <cell r="F879" t="str">
            <v>格好いい</v>
          </cell>
          <cell r="G879" t="str">
            <v>男性</v>
          </cell>
          <cell r="H879" t="str">
            <v>red</v>
          </cell>
          <cell r="I879">
            <v>4</v>
          </cell>
          <cell r="J879" t="str">
            <v>Drop2N</v>
          </cell>
          <cell r="K879" t="str">
            <v>balance</v>
          </cell>
          <cell r="L879" t="str">
            <v>バランスタイプ</v>
          </cell>
          <cell r="M879" t="str">
            <v>god</v>
          </cell>
          <cell r="N879" t="str">
            <v>ゴッド</v>
          </cell>
          <cell r="O879" t="str">
            <v>animal</v>
          </cell>
          <cell r="P879" t="str">
            <v>アニマル</v>
          </cell>
          <cell r="Q879" t="str">
            <v>アタッカー</v>
          </cell>
          <cell r="R879">
            <v>3</v>
          </cell>
          <cell r="S879" t="str">
            <v>NULL</v>
          </cell>
          <cell r="T879" t="str">
            <v>normal</v>
          </cell>
          <cell r="U879" t="str">
            <v>NULL</v>
          </cell>
          <cell r="V879" t="str">
            <v>NULL</v>
          </cell>
          <cell r="W879" t="str">
            <v>NULL</v>
          </cell>
        </row>
        <row r="880">
          <cell r="A880">
            <v>879</v>
          </cell>
          <cell r="B880" t="str">
            <v>ja</v>
          </cell>
          <cell r="C880" t="str">
            <v>イグニス・フューリー</v>
          </cell>
          <cell r="D880" t="str">
            <v>各属性相性良3・黄・R483</v>
          </cell>
          <cell r="E880" t="str">
            <v>執行者</v>
          </cell>
          <cell r="F880" t="str">
            <v>格好いい</v>
          </cell>
          <cell r="G880" t="str">
            <v>男性</v>
          </cell>
          <cell r="H880" t="str">
            <v>red</v>
          </cell>
          <cell r="I880">
            <v>5</v>
          </cell>
          <cell r="J880" t="str">
            <v>Drop2N</v>
          </cell>
          <cell r="K880" t="str">
            <v>balance</v>
          </cell>
          <cell r="L880" t="str">
            <v>バランスタイプ</v>
          </cell>
          <cell r="M880" t="str">
            <v>god</v>
          </cell>
          <cell r="N880" t="str">
            <v>ゴッド</v>
          </cell>
          <cell r="O880" t="str">
            <v>animal</v>
          </cell>
          <cell r="P880" t="str">
            <v>アニマル</v>
          </cell>
          <cell r="Q880" t="str">
            <v>アタッカー</v>
          </cell>
          <cell r="R880">
            <v>3</v>
          </cell>
          <cell r="S880" t="str">
            <v>NULL</v>
          </cell>
          <cell r="T880" t="str">
            <v>normal</v>
          </cell>
          <cell r="U880" t="str">
            <v>NULL</v>
          </cell>
          <cell r="V880" t="str">
            <v>NULL</v>
          </cell>
          <cell r="W880" t="str">
            <v>NULL</v>
          </cell>
        </row>
        <row r="881">
          <cell r="A881">
            <v>880</v>
          </cell>
          <cell r="B881" t="str">
            <v>ja</v>
          </cell>
          <cell r="C881" t="str">
            <v>ハーシェル</v>
          </cell>
          <cell r="D881" t="str">
            <v>各属性相性良3・黄・R484</v>
          </cell>
          <cell r="E881" t="str">
            <v>執行者</v>
          </cell>
          <cell r="F881" t="str">
            <v>格好いい</v>
          </cell>
          <cell r="G881" t="str">
            <v>男性</v>
          </cell>
          <cell r="H881" t="str">
            <v>yellow</v>
          </cell>
          <cell r="I881">
            <v>5</v>
          </cell>
          <cell r="J881" t="str">
            <v>PremiumSSS</v>
          </cell>
          <cell r="K881" t="str">
            <v>heal</v>
          </cell>
          <cell r="L881" t="str">
            <v>回復タイプ</v>
          </cell>
          <cell r="M881" t="str">
            <v>academia</v>
          </cell>
          <cell r="N881" t="str">
            <v>アカデミア</v>
          </cell>
          <cell r="O881" t="str">
            <v>animal</v>
          </cell>
          <cell r="P881" t="str">
            <v>アニマル</v>
          </cell>
          <cell r="Q881" t="str">
            <v>アタッカー</v>
          </cell>
          <cell r="R881">
            <v>3</v>
          </cell>
          <cell r="S881" t="str">
            <v>NULL</v>
          </cell>
          <cell r="T881" t="str">
            <v>normal</v>
          </cell>
          <cell r="U881" t="str">
            <v>NULL</v>
          </cell>
          <cell r="V881" t="str">
            <v>NULL</v>
          </cell>
          <cell r="W881" t="str">
            <v>NULL</v>
          </cell>
        </row>
        <row r="882">
          <cell r="A882">
            <v>881</v>
          </cell>
          <cell r="B882" t="str">
            <v>ja</v>
          </cell>
          <cell r="C882" t="str">
            <v>銀河究星の望観者 ハーシェル</v>
          </cell>
          <cell r="D882" t="str">
            <v>各属性相性良3・黄・R485</v>
          </cell>
          <cell r="E882" t="str">
            <v>執行者</v>
          </cell>
          <cell r="F882" t="str">
            <v>格好いい</v>
          </cell>
          <cell r="G882" t="str">
            <v>男性</v>
          </cell>
          <cell r="H882" t="str">
            <v>yellow</v>
          </cell>
          <cell r="I882">
            <v>6</v>
          </cell>
          <cell r="J882" t="str">
            <v>PremiumSSS</v>
          </cell>
          <cell r="K882" t="str">
            <v>heal</v>
          </cell>
          <cell r="L882" t="str">
            <v>回復タイプ</v>
          </cell>
          <cell r="M882" t="str">
            <v>academia</v>
          </cell>
          <cell r="N882" t="str">
            <v>アカデミア</v>
          </cell>
          <cell r="O882" t="str">
            <v>animal</v>
          </cell>
          <cell r="P882" t="str">
            <v>アニマル</v>
          </cell>
          <cell r="Q882" t="str">
            <v>アタッカー</v>
          </cell>
          <cell r="R882">
            <v>3</v>
          </cell>
          <cell r="S882" t="str">
            <v>NULL</v>
          </cell>
          <cell r="T882" t="str">
            <v>normal</v>
          </cell>
          <cell r="U882" t="str">
            <v>NULL</v>
          </cell>
          <cell r="V882" t="str">
            <v>NULL</v>
          </cell>
          <cell r="W882" t="str">
            <v>NULL</v>
          </cell>
        </row>
        <row r="883">
          <cell r="A883">
            <v>882</v>
          </cell>
          <cell r="B883" t="str">
            <v>ja</v>
          </cell>
          <cell r="C883" t="str">
            <v>歪極する星壊 シュヴァルツシルト</v>
          </cell>
          <cell r="D883" t="str">
            <v>各属性相性良3・黄・R486</v>
          </cell>
          <cell r="E883" t="str">
            <v>執行者</v>
          </cell>
          <cell r="F883" t="str">
            <v>格好いい</v>
          </cell>
          <cell r="G883" t="str">
            <v>男性</v>
          </cell>
          <cell r="H883" t="str">
            <v>blue</v>
          </cell>
          <cell r="I883">
            <v>6</v>
          </cell>
          <cell r="J883" t="str">
            <v>PremiumSSS</v>
          </cell>
          <cell r="K883" t="str">
            <v>attack</v>
          </cell>
          <cell r="L883" t="str">
            <v>攻撃タイプ</v>
          </cell>
          <cell r="M883" t="str">
            <v>academia</v>
          </cell>
          <cell r="N883" t="str">
            <v>アカデミア</v>
          </cell>
          <cell r="O883" t="str">
            <v>human</v>
          </cell>
          <cell r="P883" t="str">
            <v>ヒューマン</v>
          </cell>
          <cell r="Q883" t="str">
            <v>アタッカー</v>
          </cell>
          <cell r="R883">
            <v>3</v>
          </cell>
          <cell r="S883" t="str">
            <v>NULL</v>
          </cell>
          <cell r="T883" t="str">
            <v>super</v>
          </cell>
          <cell r="U883" t="str">
            <v>NULL</v>
          </cell>
          <cell r="V883" t="str">
            <v>NULL</v>
          </cell>
          <cell r="W883" t="str">
            <v>NULL</v>
          </cell>
        </row>
        <row r="884">
          <cell r="A884">
            <v>883</v>
          </cell>
          <cell r="B884" t="str">
            <v>ja</v>
          </cell>
          <cell r="C884" t="str">
            <v>灼動する猛巨炎 プロメテウス</v>
          </cell>
          <cell r="D884" t="str">
            <v>各属性相性良3・黄・R487</v>
          </cell>
          <cell r="E884" t="str">
            <v>執行者</v>
          </cell>
          <cell r="F884" t="str">
            <v>格好いい</v>
          </cell>
          <cell r="G884" t="str">
            <v>男性</v>
          </cell>
          <cell r="H884" t="str">
            <v>red</v>
          </cell>
          <cell r="I884">
            <v>6</v>
          </cell>
          <cell r="J884" t="str">
            <v>PremiumS</v>
          </cell>
          <cell r="K884" t="str">
            <v>hp</v>
          </cell>
          <cell r="L884" t="str">
            <v>体力タイプ</v>
          </cell>
          <cell r="M884" t="str">
            <v>god</v>
          </cell>
          <cell r="N884" t="str">
            <v>ゴッド</v>
          </cell>
          <cell r="O884" t="str">
            <v>none</v>
          </cell>
          <cell r="P884" t="str">
            <v>種族なし</v>
          </cell>
          <cell r="Q884" t="str">
            <v>アタッカー</v>
          </cell>
          <cell r="R884">
            <v>3</v>
          </cell>
          <cell r="S884" t="str">
            <v>NULL</v>
          </cell>
          <cell r="T884" t="str">
            <v>normal</v>
          </cell>
          <cell r="U884" t="str">
            <v>NULL</v>
          </cell>
          <cell r="V884" t="str">
            <v>NULL</v>
          </cell>
          <cell r="W884" t="str">
            <v>NULL</v>
          </cell>
        </row>
        <row r="885">
          <cell r="A885">
            <v>884</v>
          </cell>
          <cell r="B885" t="str">
            <v>ja</v>
          </cell>
          <cell r="C885" t="str">
            <v>咲園の爛漫神 アフロディーテ</v>
          </cell>
          <cell r="D885" t="str">
            <v>各属性相性良3・黄・R488</v>
          </cell>
          <cell r="E885" t="str">
            <v>執行者</v>
          </cell>
          <cell r="F885" t="str">
            <v>格好いい</v>
          </cell>
          <cell r="G885" t="str">
            <v>男性</v>
          </cell>
          <cell r="H885" t="str">
            <v>green</v>
          </cell>
          <cell r="I885">
            <v>6</v>
          </cell>
          <cell r="J885" t="str">
            <v>PremiumS</v>
          </cell>
          <cell r="K885" t="str">
            <v>hp</v>
          </cell>
          <cell r="L885" t="str">
            <v>体力タイプ</v>
          </cell>
          <cell r="M885" t="str">
            <v>god</v>
          </cell>
          <cell r="N885" t="str">
            <v>ゴッド</v>
          </cell>
          <cell r="O885" t="str">
            <v>none</v>
          </cell>
          <cell r="P885" t="str">
            <v>種族なし</v>
          </cell>
          <cell r="Q885" t="str">
            <v>アタッカー</v>
          </cell>
          <cell r="R885">
            <v>3</v>
          </cell>
          <cell r="S885" t="str">
            <v>NULL</v>
          </cell>
          <cell r="T885" t="str">
            <v>normal</v>
          </cell>
          <cell r="U885" t="str">
            <v>NULL</v>
          </cell>
          <cell r="V885" t="str">
            <v>NULL</v>
          </cell>
          <cell r="W885" t="str">
            <v>NULL</v>
          </cell>
        </row>
        <row r="886">
          <cell r="A886">
            <v>885</v>
          </cell>
          <cell r="B886" t="str">
            <v>ja</v>
          </cell>
          <cell r="C886" t="str">
            <v>御群の絶海女神 テティス</v>
          </cell>
          <cell r="D886" t="str">
            <v>各属性相性良3・黄・R489</v>
          </cell>
          <cell r="E886" t="str">
            <v>執行者</v>
          </cell>
          <cell r="F886" t="str">
            <v>格好いい</v>
          </cell>
          <cell r="G886" t="str">
            <v>男性</v>
          </cell>
          <cell r="H886" t="str">
            <v>blue</v>
          </cell>
          <cell r="I886">
            <v>6</v>
          </cell>
          <cell r="J886" t="str">
            <v>PremiumS</v>
          </cell>
          <cell r="K886" t="str">
            <v>hp</v>
          </cell>
          <cell r="L886" t="str">
            <v>体力タイプ</v>
          </cell>
          <cell r="M886" t="str">
            <v>god</v>
          </cell>
          <cell r="N886" t="str">
            <v>ゴッド</v>
          </cell>
          <cell r="O886" t="str">
            <v>none</v>
          </cell>
          <cell r="P886" t="str">
            <v>種族なし</v>
          </cell>
          <cell r="Q886" t="str">
            <v>アタッカー</v>
          </cell>
          <cell r="R886">
            <v>3</v>
          </cell>
          <cell r="S886" t="str">
            <v>NULL</v>
          </cell>
          <cell r="T886" t="str">
            <v>normal</v>
          </cell>
          <cell r="U886" t="str">
            <v>NULL</v>
          </cell>
          <cell r="V886" t="str">
            <v>NULL</v>
          </cell>
          <cell r="W886" t="str">
            <v>NULL</v>
          </cell>
        </row>
        <row r="887">
          <cell r="A887">
            <v>886</v>
          </cell>
          <cell r="B887" t="str">
            <v>ja</v>
          </cell>
          <cell r="C887" t="str">
            <v>星義司る天聖神 アストライアー</v>
          </cell>
          <cell r="D887" t="str">
            <v>各属性相性良3・黄・R490</v>
          </cell>
          <cell r="E887" t="str">
            <v>執行者</v>
          </cell>
          <cell r="F887" t="str">
            <v>格好いい</v>
          </cell>
          <cell r="G887" t="str">
            <v>男性</v>
          </cell>
          <cell r="H887" t="str">
            <v>yellow</v>
          </cell>
          <cell r="I887">
            <v>6</v>
          </cell>
          <cell r="J887" t="str">
            <v>PremiumS</v>
          </cell>
          <cell r="K887" t="str">
            <v>balance</v>
          </cell>
          <cell r="L887" t="str">
            <v>バランスタイプ</v>
          </cell>
          <cell r="M887" t="str">
            <v>god</v>
          </cell>
          <cell r="N887" t="str">
            <v>ゴッド</v>
          </cell>
          <cell r="O887" t="str">
            <v>none</v>
          </cell>
          <cell r="P887" t="str">
            <v>種族なし</v>
          </cell>
          <cell r="Q887" t="str">
            <v>アタッカー</v>
          </cell>
          <cell r="R887">
            <v>3</v>
          </cell>
          <cell r="S887" t="str">
            <v>NULL</v>
          </cell>
          <cell r="T887" t="str">
            <v>normal</v>
          </cell>
          <cell r="U887" t="str">
            <v>NULL</v>
          </cell>
          <cell r="V887" t="str">
            <v>NULL</v>
          </cell>
          <cell r="W887" t="str">
            <v>NULL</v>
          </cell>
        </row>
        <row r="888">
          <cell r="A888">
            <v>887</v>
          </cell>
          <cell r="B888" t="str">
            <v>ja</v>
          </cell>
          <cell r="C888" t="str">
            <v>エリス</v>
          </cell>
          <cell r="D888" t="str">
            <v>各属性相性良3・黄・R491</v>
          </cell>
          <cell r="E888" t="str">
            <v>執行者</v>
          </cell>
          <cell r="F888" t="str">
            <v>格好いい</v>
          </cell>
          <cell r="G888" t="str">
            <v>男性</v>
          </cell>
          <cell r="H888" t="str">
            <v>red</v>
          </cell>
          <cell r="I888">
            <v>5</v>
          </cell>
          <cell r="J888" t="str">
            <v>DropWizS</v>
          </cell>
          <cell r="K888" t="str">
            <v>attack</v>
          </cell>
          <cell r="L888" t="str">
            <v>攻撃タイプ</v>
          </cell>
          <cell r="M888" t="str">
            <v>god</v>
          </cell>
          <cell r="N888" t="str">
            <v>ゴッド</v>
          </cell>
          <cell r="O888" t="str">
            <v>machine</v>
          </cell>
          <cell r="P888" t="str">
            <v>マシン</v>
          </cell>
          <cell r="Q888" t="str">
            <v>アタッカー</v>
          </cell>
          <cell r="R888">
            <v>3</v>
          </cell>
          <cell r="S888" t="str">
            <v>NULL</v>
          </cell>
          <cell r="T888" t="str">
            <v>normal</v>
          </cell>
          <cell r="U888" t="str">
            <v>NULL</v>
          </cell>
          <cell r="V888" t="str">
            <v>NULL</v>
          </cell>
          <cell r="W888" t="str">
            <v>NULL</v>
          </cell>
        </row>
        <row r="889">
          <cell r="A889">
            <v>888</v>
          </cell>
          <cell r="B889" t="str">
            <v>ja</v>
          </cell>
          <cell r="C889" t="str">
            <v>禍根の暴送者 エリス</v>
          </cell>
          <cell r="D889" t="str">
            <v>各属性相性良3・黄・R492</v>
          </cell>
          <cell r="E889" t="str">
            <v>執行者</v>
          </cell>
          <cell r="F889" t="str">
            <v>格好いい</v>
          </cell>
          <cell r="G889" t="str">
            <v>男性</v>
          </cell>
          <cell r="H889" t="str">
            <v>red</v>
          </cell>
          <cell r="I889">
            <v>6</v>
          </cell>
          <cell r="J889" t="str">
            <v>DropWizS</v>
          </cell>
          <cell r="K889" t="str">
            <v>attack</v>
          </cell>
          <cell r="L889" t="str">
            <v>攻撃タイプ</v>
          </cell>
          <cell r="M889" t="str">
            <v>god</v>
          </cell>
          <cell r="N889" t="str">
            <v>ゴッド</v>
          </cell>
          <cell r="O889" t="str">
            <v>machine</v>
          </cell>
          <cell r="P889" t="str">
            <v>マシン</v>
          </cell>
          <cell r="Q889" t="str">
            <v>アタッカー</v>
          </cell>
          <cell r="R889">
            <v>3</v>
          </cell>
          <cell r="S889" t="str">
            <v>NULL</v>
          </cell>
          <cell r="T889" t="str">
            <v>normal</v>
          </cell>
          <cell r="U889" t="str">
            <v>NULL</v>
          </cell>
          <cell r="V889" t="str">
            <v>NULL</v>
          </cell>
          <cell r="W889" t="str">
            <v>NULL</v>
          </cell>
        </row>
        <row r="890">
          <cell r="A890">
            <v>889</v>
          </cell>
          <cell r="B890" t="str">
            <v>ja</v>
          </cell>
          <cell r="C890" t="str">
            <v>未定</v>
          </cell>
          <cell r="D890" t="str">
            <v>各属性相性良3・黄・R493</v>
          </cell>
          <cell r="E890" t="str">
            <v>執行者</v>
          </cell>
          <cell r="F890" t="str">
            <v>格好いい</v>
          </cell>
          <cell r="G890" t="str">
            <v>男性</v>
          </cell>
          <cell r="H890" t="str">
            <v>green</v>
          </cell>
          <cell r="I890">
            <v>5</v>
          </cell>
          <cell r="J890" t="str">
            <v>PremiumSSS</v>
          </cell>
          <cell r="K890" t="str">
            <v>balance</v>
          </cell>
          <cell r="L890" t="str">
            <v>バランスタイプ</v>
          </cell>
          <cell r="M890" t="str">
            <v>academia</v>
          </cell>
          <cell r="N890" t="str">
            <v>アカデミア</v>
          </cell>
          <cell r="O890" t="str">
            <v>unknown</v>
          </cell>
          <cell r="P890" t="str">
            <v>Unknown</v>
          </cell>
          <cell r="Q890" t="str">
            <v>アタッカー</v>
          </cell>
          <cell r="R890">
            <v>1</v>
          </cell>
          <cell r="S890" t="str">
            <v>NULL</v>
          </cell>
          <cell r="T890" t="str">
            <v>normal</v>
          </cell>
          <cell r="U890" t="str">
            <v>NULL</v>
          </cell>
          <cell r="V890" t="str">
            <v>NULL</v>
          </cell>
          <cell r="W890" t="str">
            <v>NULL</v>
          </cell>
        </row>
        <row r="891">
          <cell r="A891">
            <v>890</v>
          </cell>
          <cell r="B891" t="str">
            <v>ja</v>
          </cell>
          <cell r="C891" t="str">
            <v>未定</v>
          </cell>
          <cell r="D891" t="str">
            <v>各属性相性良3・黄・R494</v>
          </cell>
          <cell r="E891" t="str">
            <v>執行者</v>
          </cell>
          <cell r="F891" t="str">
            <v>格好いい</v>
          </cell>
          <cell r="G891" t="str">
            <v>男性</v>
          </cell>
          <cell r="H891" t="str">
            <v>green</v>
          </cell>
          <cell r="I891">
            <v>6</v>
          </cell>
          <cell r="J891" t="str">
            <v>PremiumSSS</v>
          </cell>
          <cell r="K891" t="str">
            <v>balance</v>
          </cell>
          <cell r="L891" t="str">
            <v>バランスタイプ</v>
          </cell>
          <cell r="M891" t="str">
            <v>academia</v>
          </cell>
          <cell r="N891" t="str">
            <v>アカデミア</v>
          </cell>
          <cell r="O891" t="str">
            <v>unknown</v>
          </cell>
          <cell r="P891" t="str">
            <v>Unknown</v>
          </cell>
          <cell r="Q891" t="str">
            <v>アタッカー</v>
          </cell>
          <cell r="R891">
            <v>1</v>
          </cell>
          <cell r="S891" t="str">
            <v>NULL</v>
          </cell>
          <cell r="T891" t="str">
            <v>normal</v>
          </cell>
          <cell r="U891" t="str">
            <v>NULL</v>
          </cell>
          <cell r="V891" t="str">
            <v>NULL</v>
          </cell>
          <cell r="W891" t="str">
            <v>NULL</v>
          </cell>
        </row>
        <row r="892">
          <cell r="A892">
            <v>891</v>
          </cell>
          <cell r="B892" t="str">
            <v>ja</v>
          </cell>
          <cell r="C892" t="str">
            <v>コルキス</v>
          </cell>
          <cell r="D892" t="str">
            <v>各属性相性良3・黄・R495</v>
          </cell>
          <cell r="E892" t="str">
            <v>執行者</v>
          </cell>
          <cell r="F892" t="str">
            <v>格好いい</v>
          </cell>
          <cell r="G892" t="str">
            <v>男性</v>
          </cell>
          <cell r="H892" t="str">
            <v>blue</v>
          </cell>
          <cell r="I892">
            <v>5</v>
          </cell>
          <cell r="J892" t="str">
            <v>DropWizS</v>
          </cell>
          <cell r="K892" t="str">
            <v>hp</v>
          </cell>
          <cell r="L892" t="str">
            <v>体力タイプ</v>
          </cell>
          <cell r="M892" t="str">
            <v>god</v>
          </cell>
          <cell r="N892" t="str">
            <v>ゴッド</v>
          </cell>
          <cell r="O892" t="str">
            <v>animal</v>
          </cell>
          <cell r="P892" t="str">
            <v>アニマル</v>
          </cell>
          <cell r="Q892" t="str">
            <v>アタッカー</v>
          </cell>
          <cell r="R892">
            <v>3</v>
          </cell>
          <cell r="S892" t="str">
            <v>NULL</v>
          </cell>
          <cell r="T892" t="str">
            <v>normal</v>
          </cell>
          <cell r="U892" t="str">
            <v>NULL</v>
          </cell>
          <cell r="V892" t="str">
            <v>NULL</v>
          </cell>
          <cell r="W892" t="str">
            <v>NULL</v>
          </cell>
        </row>
        <row r="893">
          <cell r="A893">
            <v>892</v>
          </cell>
          <cell r="B893" t="str">
            <v>ja</v>
          </cell>
          <cell r="C893" t="str">
            <v>金碧の羊星 コルキス</v>
          </cell>
          <cell r="D893" t="str">
            <v>各属性相性良3・黄・R496</v>
          </cell>
          <cell r="E893" t="str">
            <v>執行者</v>
          </cell>
          <cell r="F893" t="str">
            <v>格好いい</v>
          </cell>
          <cell r="G893" t="str">
            <v>男性</v>
          </cell>
          <cell r="H893" t="str">
            <v>blue</v>
          </cell>
          <cell r="I893">
            <v>6</v>
          </cell>
          <cell r="J893" t="str">
            <v>DropWizS</v>
          </cell>
          <cell r="K893" t="str">
            <v>hp</v>
          </cell>
          <cell r="L893" t="str">
            <v>体力タイプ</v>
          </cell>
          <cell r="M893" t="str">
            <v>god</v>
          </cell>
          <cell r="N893" t="str">
            <v>ゴッド</v>
          </cell>
          <cell r="O893" t="str">
            <v>animal</v>
          </cell>
          <cell r="P893" t="str">
            <v>アニマル</v>
          </cell>
          <cell r="Q893" t="str">
            <v>アタッカー</v>
          </cell>
          <cell r="R893">
            <v>3</v>
          </cell>
          <cell r="S893" t="str">
            <v>NULL</v>
          </cell>
          <cell r="T893" t="str">
            <v>normal</v>
          </cell>
          <cell r="U893" t="str">
            <v>NULL</v>
          </cell>
          <cell r="V893" t="str">
            <v>NULL</v>
          </cell>
          <cell r="W893" t="str">
            <v>NULL</v>
          </cell>
        </row>
        <row r="894">
          <cell r="A894">
            <v>893</v>
          </cell>
          <cell r="B894" t="str">
            <v>ja</v>
          </cell>
          <cell r="C894" t="str">
            <v>アテナ</v>
          </cell>
          <cell r="D894" t="str">
            <v>各属性相性良3・黄・R497</v>
          </cell>
          <cell r="E894" t="str">
            <v>執行者</v>
          </cell>
          <cell r="F894" t="str">
            <v>格好いい</v>
          </cell>
          <cell r="G894" t="str">
            <v>男性</v>
          </cell>
          <cell r="H894" t="str">
            <v>yellow</v>
          </cell>
          <cell r="I894">
            <v>5</v>
          </cell>
          <cell r="J894" t="str">
            <v>DropWizS</v>
          </cell>
          <cell r="K894" t="str">
            <v>balance</v>
          </cell>
          <cell r="L894" t="str">
            <v>バランスタイプ</v>
          </cell>
          <cell r="M894" t="str">
            <v>god</v>
          </cell>
          <cell r="N894" t="str">
            <v>ゴッド</v>
          </cell>
          <cell r="O894" t="str">
            <v>machine</v>
          </cell>
          <cell r="P894" t="str">
            <v>マシン</v>
          </cell>
          <cell r="Q894" t="str">
            <v>アタッカー</v>
          </cell>
          <cell r="R894">
            <v>3</v>
          </cell>
          <cell r="S894" t="str">
            <v>NULL</v>
          </cell>
          <cell r="T894" t="str">
            <v>normal</v>
          </cell>
          <cell r="U894" t="str">
            <v>NULL</v>
          </cell>
          <cell r="V894" t="str">
            <v>NULL</v>
          </cell>
          <cell r="W894" t="str">
            <v>NULL</v>
          </cell>
        </row>
        <row r="895">
          <cell r="A895">
            <v>894</v>
          </cell>
          <cell r="B895" t="str">
            <v>ja</v>
          </cell>
          <cell r="C895" t="str">
            <v>聖澄の戦慧神 アテナ</v>
          </cell>
          <cell r="D895" t="str">
            <v>各属性相性良3・黄・R498</v>
          </cell>
          <cell r="E895" t="str">
            <v>執行者</v>
          </cell>
          <cell r="F895" t="str">
            <v>格好いい</v>
          </cell>
          <cell r="G895" t="str">
            <v>男性</v>
          </cell>
          <cell r="H895" t="str">
            <v>yellow</v>
          </cell>
          <cell r="I895">
            <v>6</v>
          </cell>
          <cell r="J895" t="str">
            <v>DropWizS</v>
          </cell>
          <cell r="K895" t="str">
            <v>balance</v>
          </cell>
          <cell r="L895" t="str">
            <v>バランスタイプ</v>
          </cell>
          <cell r="M895" t="str">
            <v>god</v>
          </cell>
          <cell r="N895" t="str">
            <v>ゴッド</v>
          </cell>
          <cell r="O895" t="str">
            <v>machine</v>
          </cell>
          <cell r="P895" t="str">
            <v>マシン</v>
          </cell>
          <cell r="Q895" t="str">
            <v>アタッカー</v>
          </cell>
          <cell r="R895">
            <v>3</v>
          </cell>
          <cell r="S895" t="str">
            <v>NULL</v>
          </cell>
          <cell r="T895" t="str">
            <v>normal</v>
          </cell>
          <cell r="U895" t="str">
            <v>NULL</v>
          </cell>
          <cell r="V895" t="str">
            <v>NULL</v>
          </cell>
          <cell r="W895" t="str">
            <v>NULL</v>
          </cell>
        </row>
        <row r="896">
          <cell r="A896">
            <v>895</v>
          </cell>
          <cell r="B896" t="str">
            <v>ja</v>
          </cell>
          <cell r="C896" t="str">
            <v>滅焼の大神狼 フェンリル</v>
          </cell>
          <cell r="D896" t="str">
            <v>各属性相性良3・黄・R499</v>
          </cell>
          <cell r="E896" t="str">
            <v>執行者</v>
          </cell>
          <cell r="F896" t="str">
            <v>格好いい</v>
          </cell>
          <cell r="G896" t="str">
            <v>男性</v>
          </cell>
          <cell r="H896" t="str">
            <v>red</v>
          </cell>
          <cell r="I896">
            <v>6</v>
          </cell>
          <cell r="J896" t="str">
            <v>PremiumS</v>
          </cell>
          <cell r="K896" t="str">
            <v>attack</v>
          </cell>
          <cell r="L896" t="str">
            <v>攻撃タイプ</v>
          </cell>
          <cell r="M896" t="str">
            <v>animal</v>
          </cell>
          <cell r="N896" t="str">
            <v>アニマル</v>
          </cell>
          <cell r="O896" t="str">
            <v>fantasy</v>
          </cell>
          <cell r="P896" t="str">
            <v>ファンタジー</v>
          </cell>
          <cell r="Q896" t="str">
            <v>アタッカー</v>
          </cell>
          <cell r="R896">
            <v>3</v>
          </cell>
          <cell r="S896" t="str">
            <v>NULL</v>
          </cell>
          <cell r="T896" t="str">
            <v>normal</v>
          </cell>
          <cell r="U896" t="str">
            <v>NULL</v>
          </cell>
          <cell r="V896" t="str">
            <v>NULL</v>
          </cell>
          <cell r="W896" t="str">
            <v>NULL</v>
          </cell>
        </row>
        <row r="897">
          <cell r="A897">
            <v>896</v>
          </cell>
          <cell r="B897" t="str">
            <v>ja</v>
          </cell>
          <cell r="C897" t="str">
            <v>天衣紡ぐ麗鶴 ハヅル</v>
          </cell>
          <cell r="D897" t="str">
            <v>各属性相性良3・黄・R500</v>
          </cell>
          <cell r="E897" t="str">
            <v>執行者</v>
          </cell>
          <cell r="F897" t="str">
            <v>格好いい</v>
          </cell>
          <cell r="G897" t="str">
            <v>男性</v>
          </cell>
          <cell r="H897" t="str">
            <v>red</v>
          </cell>
          <cell r="I897">
            <v>6</v>
          </cell>
          <cell r="J897" t="str">
            <v>PremiumSS</v>
          </cell>
          <cell r="K897" t="str">
            <v>balance</v>
          </cell>
          <cell r="L897" t="str">
            <v>バランスタイプ</v>
          </cell>
          <cell r="M897" t="str">
            <v>animal</v>
          </cell>
          <cell r="N897" t="str">
            <v>アニマル</v>
          </cell>
          <cell r="O897" t="str">
            <v>none</v>
          </cell>
          <cell r="P897" t="str">
            <v>種族なし</v>
          </cell>
          <cell r="Q897" t="str">
            <v>アタッカー</v>
          </cell>
          <cell r="R897">
            <v>3</v>
          </cell>
          <cell r="S897" t="str">
            <v>NULL</v>
          </cell>
          <cell r="T897" t="str">
            <v>normal</v>
          </cell>
          <cell r="U897" t="str">
            <v>NULL</v>
          </cell>
          <cell r="V897" t="str">
            <v>NULL</v>
          </cell>
          <cell r="W897" t="str">
            <v>NULL</v>
          </cell>
        </row>
        <row r="898">
          <cell r="A898">
            <v>897</v>
          </cell>
          <cell r="B898" t="str">
            <v>ja</v>
          </cell>
          <cell r="C898" t="str">
            <v>天跳兎破 イナバ</v>
          </cell>
          <cell r="D898" t="str">
            <v>各属性相性良3・黄・R501</v>
          </cell>
          <cell r="E898" t="str">
            <v>執行者</v>
          </cell>
          <cell r="F898" t="str">
            <v>格好いい</v>
          </cell>
          <cell r="G898" t="str">
            <v>男性</v>
          </cell>
          <cell r="H898" t="str">
            <v>green</v>
          </cell>
          <cell r="I898">
            <v>6</v>
          </cell>
          <cell r="J898" t="str">
            <v>PremiumSS</v>
          </cell>
          <cell r="K898" t="str">
            <v>balance</v>
          </cell>
          <cell r="L898" t="str">
            <v>バランスタイプ</v>
          </cell>
          <cell r="M898" t="str">
            <v>animal</v>
          </cell>
          <cell r="N898" t="str">
            <v>アニマル</v>
          </cell>
          <cell r="O898" t="str">
            <v>none</v>
          </cell>
          <cell r="P898" t="str">
            <v>種族なし</v>
          </cell>
          <cell r="Q898" t="str">
            <v>アタッカー</v>
          </cell>
          <cell r="R898">
            <v>3</v>
          </cell>
          <cell r="S898" t="str">
            <v>NULL</v>
          </cell>
          <cell r="T898" t="str">
            <v>normal</v>
          </cell>
          <cell r="U898" t="str">
            <v>NULL</v>
          </cell>
          <cell r="V898" t="str">
            <v>NULL</v>
          </cell>
          <cell r="W898" t="str">
            <v>NULL</v>
          </cell>
        </row>
        <row r="899">
          <cell r="A899">
            <v>898</v>
          </cell>
          <cell r="B899" t="str">
            <v>ja</v>
          </cell>
          <cell r="C899" t="str">
            <v>傾神の最愛姫 スフィンクス</v>
          </cell>
          <cell r="D899" t="str">
            <v>各属性相性良3・黄・R502</v>
          </cell>
          <cell r="E899" t="str">
            <v>執行者</v>
          </cell>
          <cell r="F899" t="str">
            <v>格好いい</v>
          </cell>
          <cell r="G899" t="str">
            <v>男性</v>
          </cell>
          <cell r="H899" t="str">
            <v>yellow</v>
          </cell>
          <cell r="I899">
            <v>6</v>
          </cell>
          <cell r="J899" t="str">
            <v>PremiumS</v>
          </cell>
          <cell r="K899" t="str">
            <v>heal</v>
          </cell>
          <cell r="L899" t="str">
            <v>回復タイプ</v>
          </cell>
          <cell r="M899" t="str">
            <v>animal</v>
          </cell>
          <cell r="N899" t="str">
            <v>アニマル</v>
          </cell>
          <cell r="O899" t="str">
            <v>fantasy</v>
          </cell>
          <cell r="P899" t="str">
            <v>ファンタジー</v>
          </cell>
          <cell r="Q899" t="str">
            <v>アタッカー</v>
          </cell>
          <cell r="R899">
            <v>3</v>
          </cell>
          <cell r="S899" t="str">
            <v>NULL</v>
          </cell>
          <cell r="T899" t="str">
            <v>normal</v>
          </cell>
          <cell r="U899" t="str">
            <v>NULL</v>
          </cell>
          <cell r="V899" t="str">
            <v>NULL</v>
          </cell>
          <cell r="W899" t="str">
            <v>NULL</v>
          </cell>
        </row>
        <row r="900">
          <cell r="A900">
            <v>899</v>
          </cell>
          <cell r="B900" t="str">
            <v>ja</v>
          </cell>
          <cell r="C900" t="str">
            <v>楽園からの帰還 アザゼル</v>
          </cell>
          <cell r="D900" t="str">
            <v>サンリオキャラ大集合+アザゼル</v>
          </cell>
          <cell r="E900" t="str">
            <v>執行者</v>
          </cell>
          <cell r="F900" t="str">
            <v>格好いい</v>
          </cell>
          <cell r="G900" t="str">
            <v>男性</v>
          </cell>
          <cell r="H900" t="str">
            <v>green</v>
          </cell>
          <cell r="I900">
            <v>5</v>
          </cell>
          <cell r="J900" t="str">
            <v>DropWizS</v>
          </cell>
          <cell r="K900" t="str">
            <v>technical</v>
          </cell>
          <cell r="L900" t="str">
            <v>テクニカルタイプ</v>
          </cell>
          <cell r="M900" t="str">
            <v>ss</v>
          </cell>
          <cell r="N900" t="str">
            <v>サンリオキャラクターズ</v>
          </cell>
          <cell r="O900" t="str">
            <v>none</v>
          </cell>
          <cell r="P900" t="str">
            <v>種族なし</v>
          </cell>
          <cell r="Q900" t="str">
            <v>アタッカー</v>
          </cell>
          <cell r="R900">
            <v>3</v>
          </cell>
          <cell r="S900" t="str">
            <v>NULL</v>
          </cell>
          <cell r="T900" t="str">
            <v>normal</v>
          </cell>
          <cell r="U900" t="str">
            <v>(C)'76, '93, '96, '01, '16 SANRIO(E)</v>
          </cell>
          <cell r="V900" t="str">
            <v>NULL</v>
          </cell>
          <cell r="W900" t="str">
            <v>NULL</v>
          </cell>
        </row>
        <row r="901">
          <cell r="A901">
            <v>900</v>
          </cell>
          <cell r="B901" t="str">
            <v>ja</v>
          </cell>
          <cell r="C901" t="str">
            <v>桃源郷での大宴会 アザゼル</v>
          </cell>
          <cell r="D901" t="str">
            <v>サンリオキャラ大集合+アザゼル</v>
          </cell>
          <cell r="E901" t="str">
            <v>執行者</v>
          </cell>
          <cell r="F901" t="str">
            <v>格好いい</v>
          </cell>
          <cell r="G901" t="str">
            <v>男性</v>
          </cell>
          <cell r="H901" t="str">
            <v>green</v>
          </cell>
          <cell r="I901">
            <v>6</v>
          </cell>
          <cell r="J901" t="str">
            <v>DropWizS</v>
          </cell>
          <cell r="K901" t="str">
            <v>technical</v>
          </cell>
          <cell r="L901" t="str">
            <v>テクニカルタイプ</v>
          </cell>
          <cell r="M901" t="str">
            <v>ss</v>
          </cell>
          <cell r="N901" t="str">
            <v>サンリオキャラクターズ</v>
          </cell>
          <cell r="O901" t="str">
            <v>none</v>
          </cell>
          <cell r="P901" t="str">
            <v>種族なし</v>
          </cell>
          <cell r="Q901" t="str">
            <v>アタッカー</v>
          </cell>
          <cell r="R901">
            <v>3</v>
          </cell>
          <cell r="S901" t="str">
            <v>NULL</v>
          </cell>
          <cell r="T901" t="str">
            <v>normal</v>
          </cell>
          <cell r="U901" t="str">
            <v>(C)'76, '88, '93, '96, '01, '05, '16 SANRIO(E)</v>
          </cell>
          <cell r="V901" t="str">
            <v>NULL</v>
          </cell>
          <cell r="W901" t="str">
            <v>NULL</v>
          </cell>
        </row>
        <row r="902">
          <cell r="A902">
            <v>901</v>
          </cell>
          <cell r="B902" t="str">
            <v>ja</v>
          </cell>
          <cell r="C902" t="str">
            <v>恩愛性ニムダ</v>
          </cell>
          <cell r="D902" t="str">
            <v>ニムダ_サンリオキャラ混じり</v>
          </cell>
          <cell r="E902" t="str">
            <v>執行者</v>
          </cell>
          <cell r="F902" t="str">
            <v>格好いい</v>
          </cell>
          <cell r="G902" t="str">
            <v>男性</v>
          </cell>
          <cell r="H902" t="str">
            <v>yellow</v>
          </cell>
          <cell r="I902">
            <v>4</v>
          </cell>
          <cell r="J902" t="str">
            <v>Drop2N</v>
          </cell>
          <cell r="K902" t="str">
            <v>technical</v>
          </cell>
          <cell r="L902" t="str">
            <v>テクニカルタイプ</v>
          </cell>
          <cell r="M902" t="str">
            <v>ss</v>
          </cell>
          <cell r="N902" t="str">
            <v>サンリオキャラクターズ</v>
          </cell>
          <cell r="O902" t="str">
            <v>none</v>
          </cell>
          <cell r="P902" t="str">
            <v>種族なし</v>
          </cell>
          <cell r="Q902" t="str">
            <v>アタッカー</v>
          </cell>
          <cell r="R902">
            <v>3</v>
          </cell>
          <cell r="S902" t="str">
            <v>NULL</v>
          </cell>
          <cell r="T902" t="str">
            <v>normal</v>
          </cell>
          <cell r="U902" t="str">
            <v>(C)'76, '96, '01, '16 SANRIO(E)</v>
          </cell>
          <cell r="V902" t="str">
            <v>NULL</v>
          </cell>
          <cell r="W902" t="str">
            <v>NULL</v>
          </cell>
        </row>
        <row r="903">
          <cell r="A903">
            <v>902</v>
          </cell>
          <cell r="B903" t="str">
            <v>ja</v>
          </cell>
          <cell r="C903" t="str">
            <v>集団恩愛性ニムダL</v>
          </cell>
          <cell r="D903" t="str">
            <v>ニムダ_サンリオキャラ混じり</v>
          </cell>
          <cell r="E903" t="str">
            <v>執行者</v>
          </cell>
          <cell r="F903" t="str">
            <v>格好いい</v>
          </cell>
          <cell r="G903" t="str">
            <v>男性</v>
          </cell>
          <cell r="H903" t="str">
            <v>yellow</v>
          </cell>
          <cell r="I903">
            <v>5</v>
          </cell>
          <cell r="J903" t="str">
            <v>Drop2N</v>
          </cell>
          <cell r="K903" t="str">
            <v>technical</v>
          </cell>
          <cell r="L903" t="str">
            <v>テクニカルタイプ</v>
          </cell>
          <cell r="M903" t="str">
            <v>ss</v>
          </cell>
          <cell r="N903" t="str">
            <v>サンリオキャラクターズ</v>
          </cell>
          <cell r="O903" t="str">
            <v>none</v>
          </cell>
          <cell r="P903" t="str">
            <v>種族なし</v>
          </cell>
          <cell r="Q903" t="str">
            <v>アタッカー</v>
          </cell>
          <cell r="R903">
            <v>3</v>
          </cell>
          <cell r="S903" t="str">
            <v>NULL</v>
          </cell>
          <cell r="T903" t="str">
            <v>normal</v>
          </cell>
          <cell r="U903" t="str">
            <v>(C)'76, '88, '93, '96, '01, '05, '16 SANRIO(E)</v>
          </cell>
          <cell r="V903" t="str">
            <v>NULL</v>
          </cell>
          <cell r="W903" t="str">
            <v>NULL</v>
          </cell>
        </row>
        <row r="904">
          <cell r="A904">
            <v>903</v>
          </cell>
          <cell r="B904" t="str">
            <v>ja</v>
          </cell>
          <cell r="C904" t="str">
            <v>ハローキティ</v>
          </cell>
          <cell r="D904" t="str">
            <v>ハローキティ</v>
          </cell>
          <cell r="E904" t="str">
            <v>執行者</v>
          </cell>
          <cell r="F904" t="str">
            <v>格好いい</v>
          </cell>
          <cell r="G904" t="str">
            <v>男性</v>
          </cell>
          <cell r="H904" t="str">
            <v>red</v>
          </cell>
          <cell r="I904">
            <v>4</v>
          </cell>
          <cell r="J904" t="str">
            <v>Drop2N</v>
          </cell>
          <cell r="K904" t="str">
            <v>balance</v>
          </cell>
          <cell r="L904" t="str">
            <v>バランスタイプ</v>
          </cell>
          <cell r="M904" t="str">
            <v>ss</v>
          </cell>
          <cell r="N904" t="str">
            <v>サンリオキャラクターズ</v>
          </cell>
          <cell r="O904" t="str">
            <v>none</v>
          </cell>
          <cell r="P904" t="str">
            <v>種族なし</v>
          </cell>
          <cell r="Q904" t="str">
            <v>アタッカー</v>
          </cell>
          <cell r="R904">
            <v>3</v>
          </cell>
          <cell r="S904" t="str">
            <v>NULL</v>
          </cell>
          <cell r="T904" t="str">
            <v>normal</v>
          </cell>
          <cell r="U904" t="str">
            <v>(C)'76, '16 SANRIO(E)</v>
          </cell>
          <cell r="V904" t="str">
            <v>NULL</v>
          </cell>
          <cell r="W904" t="str">
            <v>NULL</v>
          </cell>
        </row>
        <row r="905">
          <cell r="A905">
            <v>904</v>
          </cell>
          <cell r="B905" t="str">
            <v>ja</v>
          </cell>
          <cell r="C905" t="str">
            <v>りんごの馬車　ハローキティ</v>
          </cell>
          <cell r="D905" t="str">
            <v>ハローキティ</v>
          </cell>
          <cell r="E905" t="str">
            <v>執行者</v>
          </cell>
          <cell r="F905" t="str">
            <v>格好いい</v>
          </cell>
          <cell r="G905" t="str">
            <v>男性</v>
          </cell>
          <cell r="H905" t="str">
            <v>red</v>
          </cell>
          <cell r="I905">
            <v>5</v>
          </cell>
          <cell r="J905" t="str">
            <v>Drop2N</v>
          </cell>
          <cell r="K905" t="str">
            <v>balance</v>
          </cell>
          <cell r="L905" t="str">
            <v>バランスタイプ</v>
          </cell>
          <cell r="M905" t="str">
            <v>ss</v>
          </cell>
          <cell r="N905" t="str">
            <v>サンリオキャラクターズ</v>
          </cell>
          <cell r="O905" t="str">
            <v>none</v>
          </cell>
          <cell r="P905" t="str">
            <v>種族なし</v>
          </cell>
          <cell r="Q905" t="str">
            <v>アタッカー</v>
          </cell>
          <cell r="R905">
            <v>3</v>
          </cell>
          <cell r="S905" t="str">
            <v>NULL</v>
          </cell>
          <cell r="T905" t="str">
            <v>normal</v>
          </cell>
          <cell r="U905" t="str">
            <v>(C)'76, '16 SANRIO(E)</v>
          </cell>
          <cell r="V905" t="str">
            <v>NULL</v>
          </cell>
          <cell r="W905" t="str">
            <v>NULL</v>
          </cell>
        </row>
        <row r="906">
          <cell r="A906">
            <v>905</v>
          </cell>
          <cell r="B906" t="str">
            <v>ja</v>
          </cell>
          <cell r="C906" t="str">
            <v>KIRIMIちゃん.</v>
          </cell>
          <cell r="D906" t="str">
            <v>KIRIMIちゃん</v>
          </cell>
          <cell r="E906" t="str">
            <v>執行者</v>
          </cell>
          <cell r="F906" t="str">
            <v>格好いい</v>
          </cell>
          <cell r="G906" t="str">
            <v>男性</v>
          </cell>
          <cell r="H906" t="str">
            <v>red</v>
          </cell>
          <cell r="I906">
            <v>4</v>
          </cell>
          <cell r="J906" t="str">
            <v>Drop2N</v>
          </cell>
          <cell r="K906" t="str">
            <v>hp</v>
          </cell>
          <cell r="L906" t="str">
            <v>体力タイプ</v>
          </cell>
          <cell r="M906" t="str">
            <v>ss</v>
          </cell>
          <cell r="N906" t="str">
            <v>サンリオキャラクターズ</v>
          </cell>
          <cell r="O906" t="str">
            <v>none</v>
          </cell>
          <cell r="P906" t="str">
            <v>種族なし</v>
          </cell>
          <cell r="Q906" t="str">
            <v>アタッカー</v>
          </cell>
          <cell r="R906">
            <v>3</v>
          </cell>
          <cell r="S906" t="str">
            <v>NULL</v>
          </cell>
          <cell r="T906" t="str">
            <v>normal</v>
          </cell>
          <cell r="U906" t="str">
            <v>(C)'13, '16 SANRIO(E)</v>
          </cell>
          <cell r="V906" t="str">
            <v>NULL</v>
          </cell>
          <cell r="W906" t="str">
            <v>NULL</v>
          </cell>
        </row>
        <row r="907">
          <cell r="A907">
            <v>906</v>
          </cell>
          <cell r="B907" t="str">
            <v>ja</v>
          </cell>
          <cell r="C907" t="str">
            <v>おいしくたべてね KIRIMIちゃん.</v>
          </cell>
          <cell r="D907" t="str">
            <v>KIRIMIちゃん</v>
          </cell>
          <cell r="E907" t="str">
            <v>執行者</v>
          </cell>
          <cell r="F907" t="str">
            <v>格好いい</v>
          </cell>
          <cell r="G907" t="str">
            <v>男性</v>
          </cell>
          <cell r="H907" t="str">
            <v>red</v>
          </cell>
          <cell r="I907">
            <v>5</v>
          </cell>
          <cell r="J907" t="str">
            <v>Drop2N</v>
          </cell>
          <cell r="K907" t="str">
            <v>hp</v>
          </cell>
          <cell r="L907" t="str">
            <v>体力タイプ</v>
          </cell>
          <cell r="M907" t="str">
            <v>ss</v>
          </cell>
          <cell r="N907" t="str">
            <v>サンリオキャラクターズ</v>
          </cell>
          <cell r="O907" t="str">
            <v>none</v>
          </cell>
          <cell r="P907" t="str">
            <v>種族なし</v>
          </cell>
          <cell r="Q907" t="str">
            <v>アタッカー</v>
          </cell>
          <cell r="R907">
            <v>3</v>
          </cell>
          <cell r="S907" t="str">
            <v>NULL</v>
          </cell>
          <cell r="T907" t="str">
            <v>normal</v>
          </cell>
          <cell r="U907" t="str">
            <v>(C)'13, '16 SANRIO(E)</v>
          </cell>
          <cell r="V907" t="str">
            <v>NULL</v>
          </cell>
          <cell r="W907" t="str">
            <v>NULL</v>
          </cell>
        </row>
        <row r="908">
          <cell r="A908">
            <v>907</v>
          </cell>
          <cell r="B908" t="str">
            <v>ja</v>
          </cell>
          <cell r="C908" t="str">
            <v>ハローキティのリボン</v>
          </cell>
          <cell r="D908" t="str">
            <v>ハローキティのリボン</v>
          </cell>
          <cell r="E908" t="str">
            <v>執行者</v>
          </cell>
          <cell r="F908" t="str">
            <v>格好いい</v>
          </cell>
          <cell r="G908" t="str">
            <v>男性</v>
          </cell>
          <cell r="H908" t="str">
            <v>red</v>
          </cell>
          <cell r="I908">
            <v>5</v>
          </cell>
          <cell r="J908" t="str">
            <v>Drop2N</v>
          </cell>
          <cell r="K908" t="str">
            <v>evolution</v>
          </cell>
          <cell r="L908" t="str">
            <v>覚醒素材タイプ</v>
          </cell>
          <cell r="M908" t="str">
            <v>ss</v>
          </cell>
          <cell r="N908" t="str">
            <v>サンリオキャラクターズ</v>
          </cell>
          <cell r="O908" t="str">
            <v>none</v>
          </cell>
          <cell r="P908" t="str">
            <v>種族なし</v>
          </cell>
          <cell r="Q908" t="str">
            <v>アタッカー</v>
          </cell>
          <cell r="R908">
            <v>3</v>
          </cell>
          <cell r="S908" t="str">
            <v>NULL</v>
          </cell>
          <cell r="T908" t="str">
            <v>normal</v>
          </cell>
          <cell r="U908" t="str">
            <v>(C)'04, '16 SANRIO(E)</v>
          </cell>
          <cell r="V908" t="str">
            <v>NULL</v>
          </cell>
          <cell r="W908" t="str">
            <v>NULL</v>
          </cell>
        </row>
        <row r="909">
          <cell r="A909">
            <v>908</v>
          </cell>
          <cell r="B909" t="str">
            <v>ja</v>
          </cell>
          <cell r="C909" t="str">
            <v>ママの作ったアップルパイ</v>
          </cell>
          <cell r="D909" t="str">
            <v>ママの作ったアップルパイ</v>
          </cell>
          <cell r="E909" t="str">
            <v>執行者</v>
          </cell>
          <cell r="F909" t="str">
            <v>格好いい</v>
          </cell>
          <cell r="G909" t="str">
            <v>男性</v>
          </cell>
          <cell r="H909" t="str">
            <v>red</v>
          </cell>
          <cell r="I909">
            <v>4</v>
          </cell>
          <cell r="J909" t="str">
            <v>Drop2N</v>
          </cell>
          <cell r="K909" t="str">
            <v>evolution</v>
          </cell>
          <cell r="L909" t="str">
            <v>覚醒素材タイプ</v>
          </cell>
          <cell r="M909" t="str">
            <v>ss</v>
          </cell>
          <cell r="N909" t="str">
            <v>サンリオキャラクターズ</v>
          </cell>
          <cell r="O909" t="str">
            <v>none</v>
          </cell>
          <cell r="P909" t="str">
            <v>種族なし</v>
          </cell>
          <cell r="Q909" t="str">
            <v>アタッカー</v>
          </cell>
          <cell r="R909">
            <v>3</v>
          </cell>
          <cell r="S909" t="str">
            <v>NULL</v>
          </cell>
          <cell r="T909" t="str">
            <v>normal</v>
          </cell>
          <cell r="U909" t="str">
            <v>(C)'76, '16 SANRIO(E)</v>
          </cell>
          <cell r="V909" t="str">
            <v>NULL</v>
          </cell>
          <cell r="W909" t="str">
            <v>NULL</v>
          </cell>
        </row>
        <row r="910">
          <cell r="A910">
            <v>909</v>
          </cell>
          <cell r="B910" t="str">
            <v>ja</v>
          </cell>
          <cell r="C910" t="str">
            <v>光愛の弾幕 D.R.T.H.</v>
          </cell>
          <cell r="D910" t="str">
            <v>D.R.T.H__キティコスプレ</v>
          </cell>
          <cell r="E910" t="str">
            <v>執行者</v>
          </cell>
          <cell r="F910" t="str">
            <v>格好いい</v>
          </cell>
          <cell r="G910" t="str">
            <v>男性</v>
          </cell>
          <cell r="H910" t="str">
            <v>red</v>
          </cell>
          <cell r="I910">
            <v>5</v>
          </cell>
          <cell r="J910" t="str">
            <v>PremiumSS</v>
          </cell>
          <cell r="K910" t="str">
            <v>balance</v>
          </cell>
          <cell r="L910" t="str">
            <v>バランスタイプ</v>
          </cell>
          <cell r="M910" t="str">
            <v>ss</v>
          </cell>
          <cell r="N910" t="str">
            <v>サンリオキャラクターズ</v>
          </cell>
          <cell r="O910" t="str">
            <v>none</v>
          </cell>
          <cell r="P910" t="str">
            <v>種族なし</v>
          </cell>
          <cell r="Q910" t="str">
            <v>アタッカー</v>
          </cell>
          <cell r="R910">
            <v>3</v>
          </cell>
          <cell r="S910" t="str">
            <v>NULL</v>
          </cell>
          <cell r="T910" t="str">
            <v>normal</v>
          </cell>
          <cell r="U910" t="str">
            <v>(C)'76, '16 SANRIO(E)</v>
          </cell>
          <cell r="V910" t="str">
            <v>NULL</v>
          </cell>
          <cell r="W910" t="str">
            <v>NULL</v>
          </cell>
        </row>
        <row r="911">
          <cell r="A911">
            <v>910</v>
          </cell>
          <cell r="B911" t="str">
            <v>ja</v>
          </cell>
          <cell r="C911" t="str">
            <v>輝愛の大弾幕 D.R.T.H.</v>
          </cell>
          <cell r="D911" t="str">
            <v>D.R.T.H__キティコスプレ</v>
          </cell>
          <cell r="E911" t="str">
            <v>執行者</v>
          </cell>
          <cell r="F911" t="str">
            <v>格好いい</v>
          </cell>
          <cell r="G911" t="str">
            <v>男性</v>
          </cell>
          <cell r="H911" t="str">
            <v>red</v>
          </cell>
          <cell r="I911">
            <v>6</v>
          </cell>
          <cell r="J911" t="str">
            <v>PremiumSS</v>
          </cell>
          <cell r="K911" t="str">
            <v>balance</v>
          </cell>
          <cell r="L911" t="str">
            <v>バランスタイプ</v>
          </cell>
          <cell r="M911" t="str">
            <v>ss</v>
          </cell>
          <cell r="N911" t="str">
            <v>サンリオキャラクターズ</v>
          </cell>
          <cell r="O911" t="str">
            <v>none</v>
          </cell>
          <cell r="P911" t="str">
            <v>種族なし</v>
          </cell>
          <cell r="Q911" t="str">
            <v>アタッカー</v>
          </cell>
          <cell r="R911">
            <v>3</v>
          </cell>
          <cell r="S911" t="str">
            <v>NULL</v>
          </cell>
          <cell r="T911" t="str">
            <v>normal</v>
          </cell>
          <cell r="U911" t="str">
            <v>(C)'76, '16 SANRIO(E)</v>
          </cell>
          <cell r="V911" t="str">
            <v>NULL</v>
          </cell>
          <cell r="W911" t="str">
            <v>NULL</v>
          </cell>
        </row>
        <row r="912">
          <cell r="A912">
            <v>911</v>
          </cell>
          <cell r="B912" t="str">
            <v>ja</v>
          </cell>
          <cell r="C912" t="str">
            <v>マイメロディ</v>
          </cell>
          <cell r="D912" t="str">
            <v>マイメロディ</v>
          </cell>
          <cell r="E912" t="str">
            <v>執行者</v>
          </cell>
          <cell r="F912" t="str">
            <v>格好いい</v>
          </cell>
          <cell r="G912" t="str">
            <v>男性</v>
          </cell>
          <cell r="H912" t="str">
            <v>red</v>
          </cell>
          <cell r="I912">
            <v>4</v>
          </cell>
          <cell r="J912" t="str">
            <v>PremiumS</v>
          </cell>
          <cell r="K912" t="str">
            <v>attack</v>
          </cell>
          <cell r="L912" t="str">
            <v>攻撃タイプ</v>
          </cell>
          <cell r="M912" t="str">
            <v>ss</v>
          </cell>
          <cell r="N912" t="str">
            <v>サンリオキャラクターズ</v>
          </cell>
          <cell r="O912" t="str">
            <v>none</v>
          </cell>
          <cell r="P912" t="str">
            <v>種族なし</v>
          </cell>
          <cell r="Q912" t="str">
            <v>アタッカー</v>
          </cell>
          <cell r="R912">
            <v>3</v>
          </cell>
          <cell r="S912" t="str">
            <v>NULL</v>
          </cell>
          <cell r="T912" t="str">
            <v>normal</v>
          </cell>
          <cell r="U912" t="str">
            <v>(C)'76, '16 SANRIO(E)</v>
          </cell>
          <cell r="V912" t="str">
            <v>NULL</v>
          </cell>
          <cell r="W912" t="str">
            <v>NULL</v>
          </cell>
        </row>
        <row r="913">
          <cell r="A913">
            <v>912</v>
          </cell>
          <cell r="B913" t="str">
            <v>ja</v>
          </cell>
          <cell r="C913" t="str">
            <v>フラットくんと一緒 マイメロディ</v>
          </cell>
          <cell r="D913" t="str">
            <v>マイメロディ</v>
          </cell>
          <cell r="E913" t="str">
            <v>執行者</v>
          </cell>
          <cell r="F913" t="str">
            <v>格好いい</v>
          </cell>
          <cell r="G913" t="str">
            <v>男性</v>
          </cell>
          <cell r="H913" t="str">
            <v>red</v>
          </cell>
          <cell r="I913">
            <v>5</v>
          </cell>
          <cell r="J913" t="str">
            <v>PremiumS</v>
          </cell>
          <cell r="K913" t="str">
            <v>attack</v>
          </cell>
          <cell r="L913" t="str">
            <v>攻撃タイプ</v>
          </cell>
          <cell r="M913" t="str">
            <v>ss</v>
          </cell>
          <cell r="N913" t="str">
            <v>サンリオキャラクターズ</v>
          </cell>
          <cell r="O913" t="str">
            <v>none</v>
          </cell>
          <cell r="P913" t="str">
            <v>種族なし</v>
          </cell>
          <cell r="Q913" t="str">
            <v>アタッカー</v>
          </cell>
          <cell r="R913">
            <v>3</v>
          </cell>
          <cell r="S913" t="str">
            <v>NULL</v>
          </cell>
          <cell r="T913" t="str">
            <v>normal</v>
          </cell>
          <cell r="U913" t="str">
            <v>(C)'76, '16 SANRIO(E)</v>
          </cell>
          <cell r="V913" t="str">
            <v>NULL</v>
          </cell>
          <cell r="W913" t="str">
            <v>NULL</v>
          </cell>
        </row>
        <row r="914">
          <cell r="A914">
            <v>913</v>
          </cell>
          <cell r="B914" t="str">
            <v>ja</v>
          </cell>
          <cell r="C914" t="str">
            <v>幸福の縁廻　ニーベルゲン</v>
          </cell>
          <cell r="D914" t="str">
            <v>ニーベルゲン_シナモロールコスプレ</v>
          </cell>
          <cell r="E914" t="str">
            <v>執行者</v>
          </cell>
          <cell r="F914" t="str">
            <v>格好いい</v>
          </cell>
          <cell r="G914" t="str">
            <v>男性</v>
          </cell>
          <cell r="H914" t="str">
            <v>green</v>
          </cell>
          <cell r="I914">
            <v>4</v>
          </cell>
          <cell r="J914" t="str">
            <v>PremiumS</v>
          </cell>
          <cell r="K914" t="str">
            <v>balance</v>
          </cell>
          <cell r="L914" t="str">
            <v>バランスタイプ</v>
          </cell>
          <cell r="M914" t="str">
            <v>ss</v>
          </cell>
          <cell r="N914" t="str">
            <v>サンリオキャラクターズ</v>
          </cell>
          <cell r="O914" t="str">
            <v>none</v>
          </cell>
          <cell r="P914" t="str">
            <v>種族なし</v>
          </cell>
          <cell r="Q914" t="str">
            <v>アタッカー</v>
          </cell>
          <cell r="R914">
            <v>3</v>
          </cell>
          <cell r="S914" t="str">
            <v>NULL</v>
          </cell>
          <cell r="T914" t="str">
            <v>normal</v>
          </cell>
          <cell r="U914" t="str">
            <v>(C)'01, '16 SANRIO(E)</v>
          </cell>
          <cell r="V914" t="str">
            <v>NULL</v>
          </cell>
          <cell r="W914" t="str">
            <v>NULL</v>
          </cell>
        </row>
        <row r="915">
          <cell r="A915">
            <v>914</v>
          </cell>
          <cell r="B915" t="str">
            <v>ja</v>
          </cell>
          <cell r="C915" t="str">
            <v>淡色を廻る倖せ　ニーベルゲン</v>
          </cell>
          <cell r="D915" t="str">
            <v>ニーベルゲン_シナモロールコスプレ</v>
          </cell>
          <cell r="E915" t="str">
            <v>執行者</v>
          </cell>
          <cell r="F915" t="str">
            <v>格好いい</v>
          </cell>
          <cell r="G915" t="str">
            <v>男性</v>
          </cell>
          <cell r="H915" t="str">
            <v>green</v>
          </cell>
          <cell r="I915">
            <v>5</v>
          </cell>
          <cell r="J915" t="str">
            <v>PremiumS</v>
          </cell>
          <cell r="K915" t="str">
            <v>balance</v>
          </cell>
          <cell r="L915" t="str">
            <v>バランスタイプ</v>
          </cell>
          <cell r="M915" t="str">
            <v>ss</v>
          </cell>
          <cell r="N915" t="str">
            <v>サンリオキャラクターズ</v>
          </cell>
          <cell r="O915" t="str">
            <v>none</v>
          </cell>
          <cell r="P915" t="str">
            <v>種族なし</v>
          </cell>
          <cell r="Q915" t="str">
            <v>アタッカー</v>
          </cell>
          <cell r="R915">
            <v>3</v>
          </cell>
          <cell r="S915" t="str">
            <v>NULL</v>
          </cell>
          <cell r="T915" t="str">
            <v>normal</v>
          </cell>
          <cell r="U915" t="str">
            <v>(C)'01, '16 SANRIO(E)</v>
          </cell>
          <cell r="V915" t="str">
            <v>NULL</v>
          </cell>
          <cell r="W915" t="str">
            <v>NULL</v>
          </cell>
        </row>
        <row r="916">
          <cell r="A916">
            <v>915</v>
          </cell>
          <cell r="B916" t="str">
            <v>ja</v>
          </cell>
          <cell r="C916" t="str">
            <v>休息者　カカシ</v>
          </cell>
          <cell r="D916" t="str">
            <v>カカシ_マイメロディコスプレ</v>
          </cell>
          <cell r="E916" t="str">
            <v>執行者</v>
          </cell>
          <cell r="F916" t="str">
            <v>格好いい</v>
          </cell>
          <cell r="G916" t="str">
            <v>男性</v>
          </cell>
          <cell r="H916" t="str">
            <v>green</v>
          </cell>
          <cell r="I916">
            <v>4</v>
          </cell>
          <cell r="J916" t="str">
            <v>PremiumS</v>
          </cell>
          <cell r="K916" t="str">
            <v>technical</v>
          </cell>
          <cell r="L916" t="str">
            <v>テクニカルタイプ</v>
          </cell>
          <cell r="M916" t="str">
            <v>ss</v>
          </cell>
          <cell r="N916" t="str">
            <v>サンリオキャラクターズ</v>
          </cell>
          <cell r="O916" t="str">
            <v>none</v>
          </cell>
          <cell r="P916" t="str">
            <v>種族なし</v>
          </cell>
          <cell r="Q916" t="str">
            <v>アタッカー</v>
          </cell>
          <cell r="R916">
            <v>3</v>
          </cell>
          <cell r="S916" t="str">
            <v>NULL</v>
          </cell>
          <cell r="T916" t="str">
            <v>normal</v>
          </cell>
          <cell r="U916" t="str">
            <v>(C)'76, '16 SANRIO(E)</v>
          </cell>
          <cell r="V916" t="str">
            <v>NULL</v>
          </cell>
          <cell r="W916" t="str">
            <v>NULL</v>
          </cell>
        </row>
        <row r="917">
          <cell r="A917">
            <v>916</v>
          </cell>
          <cell r="B917" t="str">
            <v>ja</v>
          </cell>
          <cell r="C917" t="str">
            <v>翠線譜の音色　カカシ</v>
          </cell>
          <cell r="D917" t="str">
            <v>カカシ_マイメロディコスプレ</v>
          </cell>
          <cell r="E917" t="str">
            <v>執行者</v>
          </cell>
          <cell r="F917" t="str">
            <v>格好いい</v>
          </cell>
          <cell r="G917" t="str">
            <v>男性</v>
          </cell>
          <cell r="H917" t="str">
            <v>green</v>
          </cell>
          <cell r="I917">
            <v>5</v>
          </cell>
          <cell r="J917" t="str">
            <v>PremiumS</v>
          </cell>
          <cell r="K917" t="str">
            <v>technical</v>
          </cell>
          <cell r="L917" t="str">
            <v>テクニカルタイプ</v>
          </cell>
          <cell r="M917" t="str">
            <v>ss</v>
          </cell>
          <cell r="N917" t="str">
            <v>サンリオキャラクターズ</v>
          </cell>
          <cell r="O917" t="str">
            <v>none</v>
          </cell>
          <cell r="P917" t="str">
            <v>種族なし</v>
          </cell>
          <cell r="Q917" t="str">
            <v>アタッカー</v>
          </cell>
          <cell r="R917">
            <v>3</v>
          </cell>
          <cell r="S917" t="str">
            <v>NULL</v>
          </cell>
          <cell r="T917" t="str">
            <v>normal</v>
          </cell>
          <cell r="U917" t="str">
            <v>(C)'76, '16 SANRIO(E)</v>
          </cell>
          <cell r="V917" t="str">
            <v>NULL</v>
          </cell>
          <cell r="W917" t="str">
            <v>NULL</v>
          </cell>
        </row>
        <row r="918">
          <cell r="A918">
            <v>917</v>
          </cell>
          <cell r="B918" t="str">
            <v>ja</v>
          </cell>
          <cell r="C918" t="str">
            <v>けろけろけろっぴ</v>
          </cell>
          <cell r="D918" t="str">
            <v>ケロケロけろっぴ</v>
          </cell>
          <cell r="E918" t="str">
            <v>執行者</v>
          </cell>
          <cell r="F918" t="str">
            <v>格好いい</v>
          </cell>
          <cell r="G918" t="str">
            <v>男性</v>
          </cell>
          <cell r="H918" t="str">
            <v>green</v>
          </cell>
          <cell r="I918">
            <v>3</v>
          </cell>
          <cell r="J918" t="str">
            <v>PremiumS</v>
          </cell>
          <cell r="K918" t="str">
            <v>balance</v>
          </cell>
          <cell r="L918" t="str">
            <v>バランスタイプ</v>
          </cell>
          <cell r="M918" t="str">
            <v>ss</v>
          </cell>
          <cell r="N918" t="str">
            <v>サンリオキャラクターズ</v>
          </cell>
          <cell r="O918" t="str">
            <v>none</v>
          </cell>
          <cell r="P918" t="str">
            <v>種族なし</v>
          </cell>
          <cell r="Q918" t="str">
            <v>アタッカー</v>
          </cell>
          <cell r="R918">
            <v>3</v>
          </cell>
          <cell r="S918" t="str">
            <v>NULL</v>
          </cell>
          <cell r="T918" t="str">
            <v>normal</v>
          </cell>
          <cell r="U918" t="str">
            <v>(C)'88, '16 SANRIO(E)</v>
          </cell>
          <cell r="V918" t="str">
            <v>NULL</v>
          </cell>
          <cell r="W918" t="str">
            <v>NULL</v>
          </cell>
        </row>
        <row r="919">
          <cell r="A919">
            <v>918</v>
          </cell>
          <cell r="B919" t="str">
            <v>ja</v>
          </cell>
          <cell r="C919" t="str">
            <v>てるてる天気 けろけろけろっぴ</v>
          </cell>
          <cell r="D919" t="str">
            <v>ケロケロけろっぴ</v>
          </cell>
          <cell r="E919" t="str">
            <v>執行者</v>
          </cell>
          <cell r="F919" t="str">
            <v>格好いい</v>
          </cell>
          <cell r="G919" t="str">
            <v>男性</v>
          </cell>
          <cell r="H919" t="str">
            <v>green</v>
          </cell>
          <cell r="I919">
            <v>4</v>
          </cell>
          <cell r="J919" t="str">
            <v>PremiumS</v>
          </cell>
          <cell r="K919" t="str">
            <v>balance</v>
          </cell>
          <cell r="L919" t="str">
            <v>バランスタイプ</v>
          </cell>
          <cell r="M919" t="str">
            <v>ss</v>
          </cell>
          <cell r="N919" t="str">
            <v>サンリオキャラクターズ</v>
          </cell>
          <cell r="O919" t="str">
            <v>none</v>
          </cell>
          <cell r="P919" t="str">
            <v>種族なし</v>
          </cell>
          <cell r="Q919" t="str">
            <v>アタッカー</v>
          </cell>
          <cell r="R919">
            <v>3</v>
          </cell>
          <cell r="S919" t="str">
            <v>NULL</v>
          </cell>
          <cell r="T919" t="str">
            <v>normal</v>
          </cell>
          <cell r="U919" t="str">
            <v>(C)'88, '16 SANRIO(E)</v>
          </cell>
          <cell r="V919" t="str">
            <v>NULL</v>
          </cell>
          <cell r="W919" t="str">
            <v>NULL</v>
          </cell>
        </row>
        <row r="920">
          <cell r="A920">
            <v>919</v>
          </cell>
          <cell r="B920" t="str">
            <v>ja</v>
          </cell>
          <cell r="C920" t="str">
            <v>甘美の誘惑 モルドレッド</v>
          </cell>
          <cell r="D920" t="str">
            <v>モルドレッド_ポムポムプリンコスプレ</v>
          </cell>
          <cell r="E920" t="str">
            <v>執行者</v>
          </cell>
          <cell r="F920" t="str">
            <v>格好いい</v>
          </cell>
          <cell r="G920" t="str">
            <v>男性</v>
          </cell>
          <cell r="H920" t="str">
            <v>blue</v>
          </cell>
          <cell r="I920">
            <v>5</v>
          </cell>
          <cell r="J920" t="str">
            <v>PremiumSS</v>
          </cell>
          <cell r="K920" t="str">
            <v>heal</v>
          </cell>
          <cell r="L920" t="str">
            <v>回復タイプ</v>
          </cell>
          <cell r="M920" t="str">
            <v>ss</v>
          </cell>
          <cell r="N920" t="str">
            <v>サンリオキャラクターズ</v>
          </cell>
          <cell r="O920" t="str">
            <v>none</v>
          </cell>
          <cell r="P920" t="str">
            <v>種族なし</v>
          </cell>
          <cell r="Q920" t="str">
            <v>アタッカー</v>
          </cell>
          <cell r="R920">
            <v>3</v>
          </cell>
          <cell r="S920" t="str">
            <v>NULL</v>
          </cell>
          <cell r="T920" t="str">
            <v>normal</v>
          </cell>
          <cell r="U920" t="str">
            <v>(C)'96, '16 SANRIO(E)</v>
          </cell>
          <cell r="V920" t="str">
            <v>NULL</v>
          </cell>
          <cell r="W920" t="str">
            <v>NULL</v>
          </cell>
        </row>
        <row r="921">
          <cell r="A921">
            <v>920</v>
          </cell>
          <cell r="B921" t="str">
            <v>ja</v>
          </cell>
          <cell r="C921" t="str">
            <v>甘美の誘迷 モルドレッド</v>
          </cell>
          <cell r="D921" t="str">
            <v>モルドレッド_ポムポムプリンコスプレ</v>
          </cell>
          <cell r="E921" t="str">
            <v>執行者</v>
          </cell>
          <cell r="F921" t="str">
            <v>格好いい</v>
          </cell>
          <cell r="G921" t="str">
            <v>男性</v>
          </cell>
          <cell r="H921" t="str">
            <v>blue</v>
          </cell>
          <cell r="I921">
            <v>6</v>
          </cell>
          <cell r="J921" t="str">
            <v>PremiumSS</v>
          </cell>
          <cell r="K921" t="str">
            <v>heal</v>
          </cell>
          <cell r="L921" t="str">
            <v>回復タイプ</v>
          </cell>
          <cell r="M921" t="str">
            <v>ss</v>
          </cell>
          <cell r="N921" t="str">
            <v>サンリオキャラクターズ</v>
          </cell>
          <cell r="O921" t="str">
            <v>none</v>
          </cell>
          <cell r="P921" t="str">
            <v>種族なし</v>
          </cell>
          <cell r="Q921" t="str">
            <v>アタッカー</v>
          </cell>
          <cell r="R921">
            <v>3</v>
          </cell>
          <cell r="S921" t="str">
            <v>NULL</v>
          </cell>
          <cell r="T921" t="str">
            <v>normal</v>
          </cell>
          <cell r="U921" t="str">
            <v>(C)'96, '16 SANRIO(E)</v>
          </cell>
          <cell r="V921" t="str">
            <v>NULL</v>
          </cell>
          <cell r="W921" t="str">
            <v>NULL</v>
          </cell>
        </row>
        <row r="922">
          <cell r="A922">
            <v>921</v>
          </cell>
          <cell r="B922" t="str">
            <v>ja</v>
          </cell>
          <cell r="C922" t="str">
            <v>クロミ</v>
          </cell>
          <cell r="D922" t="str">
            <v>クロミ</v>
          </cell>
          <cell r="E922" t="str">
            <v>執行者</v>
          </cell>
          <cell r="F922" t="str">
            <v>格好いい</v>
          </cell>
          <cell r="G922" t="str">
            <v>男性</v>
          </cell>
          <cell r="H922" t="str">
            <v>blue</v>
          </cell>
          <cell r="I922">
            <v>3</v>
          </cell>
          <cell r="J922" t="str">
            <v>PremiumS</v>
          </cell>
          <cell r="K922" t="str">
            <v>technical</v>
          </cell>
          <cell r="L922" t="str">
            <v>テクニカルタイプ</v>
          </cell>
          <cell r="M922" t="str">
            <v>ss</v>
          </cell>
          <cell r="N922" t="str">
            <v>サンリオキャラクターズ</v>
          </cell>
          <cell r="O922" t="str">
            <v>none</v>
          </cell>
          <cell r="P922" t="str">
            <v>種族なし</v>
          </cell>
          <cell r="Q922" t="str">
            <v>アタッカー</v>
          </cell>
          <cell r="R922">
            <v>3</v>
          </cell>
          <cell r="S922" t="str">
            <v>NULL</v>
          </cell>
          <cell r="T922" t="str">
            <v>normal</v>
          </cell>
          <cell r="U922" t="str">
            <v>(C)'05, '16 SANRIO(E)</v>
          </cell>
          <cell r="V922" t="str">
            <v>NULL</v>
          </cell>
          <cell r="W922" t="str">
            <v>NULL</v>
          </cell>
        </row>
        <row r="923">
          <cell r="A923">
            <v>922</v>
          </cell>
          <cell r="B923" t="str">
            <v>ja</v>
          </cell>
          <cell r="C923" t="str">
            <v>アタイとバク クロミ</v>
          </cell>
          <cell r="D923" t="str">
            <v>クロミ</v>
          </cell>
          <cell r="E923" t="str">
            <v>執行者</v>
          </cell>
          <cell r="F923" t="str">
            <v>格好いい</v>
          </cell>
          <cell r="G923" t="str">
            <v>男性</v>
          </cell>
          <cell r="H923" t="str">
            <v>blue</v>
          </cell>
          <cell r="I923">
            <v>4</v>
          </cell>
          <cell r="J923" t="str">
            <v>PremiumS</v>
          </cell>
          <cell r="K923" t="str">
            <v>technical</v>
          </cell>
          <cell r="L923" t="str">
            <v>テクニカルタイプ</v>
          </cell>
          <cell r="M923" t="str">
            <v>ss</v>
          </cell>
          <cell r="N923" t="str">
            <v>サンリオキャラクターズ</v>
          </cell>
          <cell r="O923" t="str">
            <v>none</v>
          </cell>
          <cell r="P923" t="str">
            <v>種族なし</v>
          </cell>
          <cell r="Q923" t="str">
            <v>アタッカー</v>
          </cell>
          <cell r="R923">
            <v>3</v>
          </cell>
          <cell r="S923" t="str">
            <v>NULL</v>
          </cell>
          <cell r="T923" t="str">
            <v>normal</v>
          </cell>
          <cell r="U923" t="str">
            <v>(C)'05, '16 SANRIO(E)</v>
          </cell>
          <cell r="V923" t="str">
            <v>NULL</v>
          </cell>
          <cell r="W923" t="str">
            <v>NULL</v>
          </cell>
        </row>
        <row r="924">
          <cell r="A924">
            <v>923</v>
          </cell>
          <cell r="B924" t="str">
            <v>ja</v>
          </cell>
          <cell r="C924" t="str">
            <v>バッドばつ丸</v>
          </cell>
          <cell r="D924" t="str">
            <v>バッドばつ丸</v>
          </cell>
          <cell r="E924" t="str">
            <v>執行者</v>
          </cell>
          <cell r="F924" t="str">
            <v>格好いい</v>
          </cell>
          <cell r="G924" t="str">
            <v>男性</v>
          </cell>
          <cell r="H924" t="str">
            <v>blue</v>
          </cell>
          <cell r="I924">
            <v>3</v>
          </cell>
          <cell r="J924" t="str">
            <v>PremiumS</v>
          </cell>
          <cell r="K924" t="str">
            <v>attack</v>
          </cell>
          <cell r="L924" t="str">
            <v>攻撃タイプ</v>
          </cell>
          <cell r="M924" t="str">
            <v>ss</v>
          </cell>
          <cell r="N924" t="str">
            <v>サンリオキャラクターズ</v>
          </cell>
          <cell r="O924" t="str">
            <v>none</v>
          </cell>
          <cell r="P924" t="str">
            <v>種族なし</v>
          </cell>
          <cell r="Q924" t="str">
            <v>アタッカー</v>
          </cell>
          <cell r="R924">
            <v>3</v>
          </cell>
          <cell r="S924" t="str">
            <v>NULL</v>
          </cell>
          <cell r="T924" t="str">
            <v>normal</v>
          </cell>
          <cell r="U924" t="str">
            <v>(C)'93, '16 SANRIO(E)</v>
          </cell>
          <cell r="V924" t="str">
            <v>NULL</v>
          </cell>
          <cell r="W924" t="str">
            <v>NULL</v>
          </cell>
        </row>
        <row r="925">
          <cell r="A925">
            <v>924</v>
          </cell>
          <cell r="B925" t="str">
            <v>ja</v>
          </cell>
          <cell r="C925" t="str">
            <v>いたずら大好き　バッドばつ丸</v>
          </cell>
          <cell r="D925" t="str">
            <v>バッドばつ丸</v>
          </cell>
          <cell r="E925" t="str">
            <v>執行者</v>
          </cell>
          <cell r="F925" t="str">
            <v>格好いい</v>
          </cell>
          <cell r="G925" t="str">
            <v>男性</v>
          </cell>
          <cell r="H925" t="str">
            <v>blue</v>
          </cell>
          <cell r="I925">
            <v>4</v>
          </cell>
          <cell r="J925" t="str">
            <v>PremiumS</v>
          </cell>
          <cell r="K925" t="str">
            <v>attack</v>
          </cell>
          <cell r="L925" t="str">
            <v>攻撃タイプ</v>
          </cell>
          <cell r="M925" t="str">
            <v>ss</v>
          </cell>
          <cell r="N925" t="str">
            <v>サンリオキャラクターズ</v>
          </cell>
          <cell r="O925" t="str">
            <v>none</v>
          </cell>
          <cell r="P925" t="str">
            <v>種族なし</v>
          </cell>
          <cell r="Q925" t="str">
            <v>アタッカー</v>
          </cell>
          <cell r="R925">
            <v>3</v>
          </cell>
          <cell r="S925" t="str">
            <v>NULL</v>
          </cell>
          <cell r="T925" t="str">
            <v>normal</v>
          </cell>
          <cell r="U925" t="str">
            <v>(C)'93, '16 SANRIO(E)</v>
          </cell>
          <cell r="V925" t="str">
            <v>NULL</v>
          </cell>
          <cell r="W925" t="str">
            <v>NULL</v>
          </cell>
        </row>
        <row r="926">
          <cell r="A926">
            <v>925</v>
          </cell>
          <cell r="B926" t="str">
            <v>ja</v>
          </cell>
          <cell r="C926" t="str">
            <v>シナモロール</v>
          </cell>
          <cell r="D926" t="str">
            <v>シナモロール</v>
          </cell>
          <cell r="E926" t="str">
            <v>執行者</v>
          </cell>
          <cell r="F926" t="str">
            <v>格好いい</v>
          </cell>
          <cell r="G926" t="str">
            <v>男性</v>
          </cell>
          <cell r="H926" t="str">
            <v>yellow</v>
          </cell>
          <cell r="I926">
            <v>4</v>
          </cell>
          <cell r="J926" t="str">
            <v>PremiumS</v>
          </cell>
          <cell r="K926" t="str">
            <v>heal</v>
          </cell>
          <cell r="L926" t="str">
            <v>回復タイプ</v>
          </cell>
          <cell r="M926" t="str">
            <v>ss</v>
          </cell>
          <cell r="N926" t="str">
            <v>サンリオキャラクターズ</v>
          </cell>
          <cell r="O926" t="str">
            <v>none</v>
          </cell>
          <cell r="P926" t="str">
            <v>種族なし</v>
          </cell>
          <cell r="Q926" t="str">
            <v>アタッカー</v>
          </cell>
          <cell r="R926">
            <v>3</v>
          </cell>
          <cell r="S926" t="str">
            <v>NULL</v>
          </cell>
          <cell r="T926" t="str">
            <v>normal</v>
          </cell>
          <cell r="U926" t="str">
            <v>(C)'01, '16 SANRIO(E)</v>
          </cell>
          <cell r="V926" t="str">
            <v>NULL</v>
          </cell>
          <cell r="W926" t="str">
            <v>NULL</v>
          </cell>
        </row>
        <row r="927">
          <cell r="A927">
            <v>926</v>
          </cell>
          <cell r="B927" t="str">
            <v>ja</v>
          </cell>
          <cell r="C927" t="str">
            <v>ふわふわおさんぽ♪ シナモロール</v>
          </cell>
          <cell r="D927" t="str">
            <v>シナモロール</v>
          </cell>
          <cell r="E927" t="str">
            <v>執行者</v>
          </cell>
          <cell r="F927" t="str">
            <v>格好いい</v>
          </cell>
          <cell r="G927" t="str">
            <v>男性</v>
          </cell>
          <cell r="H927" t="str">
            <v>yellow</v>
          </cell>
          <cell r="I927">
            <v>5</v>
          </cell>
          <cell r="J927" t="str">
            <v>PremiumS</v>
          </cell>
          <cell r="K927" t="str">
            <v>heal</v>
          </cell>
          <cell r="L927" t="str">
            <v>回復タイプ</v>
          </cell>
          <cell r="M927" t="str">
            <v>ss</v>
          </cell>
          <cell r="N927" t="str">
            <v>サンリオキャラクターズ</v>
          </cell>
          <cell r="O927" t="str">
            <v>none</v>
          </cell>
          <cell r="P927" t="str">
            <v>種族なし</v>
          </cell>
          <cell r="Q927" t="str">
            <v>アタッカー</v>
          </cell>
          <cell r="R927">
            <v>3</v>
          </cell>
          <cell r="S927" t="str">
            <v>NULL</v>
          </cell>
          <cell r="T927" t="str">
            <v>normal</v>
          </cell>
          <cell r="U927" t="str">
            <v>(C)'01, '16 SANRIO(E)</v>
          </cell>
          <cell r="V927" t="str">
            <v>NULL</v>
          </cell>
          <cell r="W927" t="str">
            <v>NULL</v>
          </cell>
        </row>
        <row r="928">
          <cell r="A928">
            <v>927</v>
          </cell>
          <cell r="B928" t="str">
            <v>ja</v>
          </cell>
          <cell r="C928" t="str">
            <v>ポムポムプリン</v>
          </cell>
          <cell r="D928" t="str">
            <v>ポムポムプリン</v>
          </cell>
          <cell r="E928" t="str">
            <v>執行者</v>
          </cell>
          <cell r="F928" t="str">
            <v>格好いい</v>
          </cell>
          <cell r="G928" t="str">
            <v>男性</v>
          </cell>
          <cell r="H928" t="str">
            <v>yellow</v>
          </cell>
          <cell r="I928">
            <v>3</v>
          </cell>
          <cell r="J928" t="str">
            <v>PremiumS</v>
          </cell>
          <cell r="K928" t="str">
            <v>hp</v>
          </cell>
          <cell r="L928" t="str">
            <v>体力タイプ</v>
          </cell>
          <cell r="M928" t="str">
            <v>ss</v>
          </cell>
          <cell r="N928" t="str">
            <v>サンリオキャラクターズ</v>
          </cell>
          <cell r="O928" t="str">
            <v>none</v>
          </cell>
          <cell r="P928" t="str">
            <v>種族なし</v>
          </cell>
          <cell r="Q928" t="str">
            <v>アタッカー</v>
          </cell>
          <cell r="R928">
            <v>3</v>
          </cell>
          <cell r="S928" t="str">
            <v>NULL</v>
          </cell>
          <cell r="T928" t="str">
            <v>normal</v>
          </cell>
          <cell r="U928" t="str">
            <v>(C)'96, '16 SANRIO(E)</v>
          </cell>
          <cell r="V928" t="str">
            <v>NULL</v>
          </cell>
          <cell r="W928" t="str">
            <v>NULL</v>
          </cell>
        </row>
        <row r="929">
          <cell r="A929">
            <v>928</v>
          </cell>
          <cell r="B929" t="str">
            <v>ja</v>
          </cell>
          <cell r="C929" t="str">
            <v>一緒におでかけ ポムポムプリン</v>
          </cell>
          <cell r="D929" t="str">
            <v>ポムポムプリン</v>
          </cell>
          <cell r="E929" t="str">
            <v>執行者</v>
          </cell>
          <cell r="F929" t="str">
            <v>格好いい</v>
          </cell>
          <cell r="G929" t="str">
            <v>男性</v>
          </cell>
          <cell r="H929" t="str">
            <v>yellow</v>
          </cell>
          <cell r="I929">
            <v>4</v>
          </cell>
          <cell r="J929" t="str">
            <v>PremiumS</v>
          </cell>
          <cell r="K929" t="str">
            <v>hp</v>
          </cell>
          <cell r="L929" t="str">
            <v>体力タイプ</v>
          </cell>
          <cell r="M929" t="str">
            <v>ss</v>
          </cell>
          <cell r="N929" t="str">
            <v>サンリオキャラクターズ</v>
          </cell>
          <cell r="O929" t="str">
            <v>none</v>
          </cell>
          <cell r="P929" t="str">
            <v>種族なし</v>
          </cell>
          <cell r="Q929" t="str">
            <v>アタッカー</v>
          </cell>
          <cell r="R929">
            <v>3</v>
          </cell>
          <cell r="S929" t="str">
            <v>NULL</v>
          </cell>
          <cell r="T929" t="str">
            <v>normal</v>
          </cell>
          <cell r="U929" t="str">
            <v>(C)'96, '16 SANRIO(E)</v>
          </cell>
          <cell r="V929" t="str">
            <v>NULL</v>
          </cell>
          <cell r="W929" t="str">
            <v>NULL</v>
          </cell>
        </row>
        <row r="930">
          <cell r="A930">
            <v>929</v>
          </cell>
          <cell r="B930" t="str">
            <v>ja</v>
          </cell>
          <cell r="C930" t="str">
            <v>ゼウス</v>
          </cell>
          <cell r="D930" t="str">
            <v>各属性相性良3・黄・R533</v>
          </cell>
          <cell r="E930" t="str">
            <v>執行者</v>
          </cell>
          <cell r="F930" t="str">
            <v>格好いい</v>
          </cell>
          <cell r="G930" t="str">
            <v>男性</v>
          </cell>
          <cell r="H930" t="str">
            <v>yellow</v>
          </cell>
          <cell r="I930">
            <v>5</v>
          </cell>
          <cell r="J930" t="str">
            <v>DropWizSS</v>
          </cell>
          <cell r="K930" t="str">
            <v>balance</v>
          </cell>
          <cell r="L930" t="str">
            <v>バランスタイプ</v>
          </cell>
          <cell r="M930" t="str">
            <v>god</v>
          </cell>
          <cell r="N930" t="str">
            <v>ゴッド</v>
          </cell>
          <cell r="O930" t="str">
            <v>none</v>
          </cell>
          <cell r="P930" t="str">
            <v>種族なし</v>
          </cell>
          <cell r="Q930" t="str">
            <v>アタッカー</v>
          </cell>
          <cell r="R930">
            <v>3</v>
          </cell>
          <cell r="S930" t="str">
            <v>NULL</v>
          </cell>
          <cell r="T930" t="str">
            <v>normal</v>
          </cell>
          <cell r="U930" t="str">
            <v>NULL</v>
          </cell>
          <cell r="V930" t="str">
            <v>NULL</v>
          </cell>
          <cell r="W930" t="str">
            <v>NULL</v>
          </cell>
        </row>
        <row r="931">
          <cell r="A931">
            <v>930</v>
          </cell>
          <cell r="B931" t="str">
            <v>ja</v>
          </cell>
          <cell r="C931" t="str">
            <v>烙雷の全能神 ゼウス</v>
          </cell>
          <cell r="D931" t="str">
            <v>各属性相性良3・黄・R534</v>
          </cell>
          <cell r="E931" t="str">
            <v>執行者</v>
          </cell>
          <cell r="F931" t="str">
            <v>格好いい</v>
          </cell>
          <cell r="G931" t="str">
            <v>男性</v>
          </cell>
          <cell r="H931" t="str">
            <v>yellow</v>
          </cell>
          <cell r="I931">
            <v>6</v>
          </cell>
          <cell r="J931" t="str">
            <v>DropWizSS</v>
          </cell>
          <cell r="K931" t="str">
            <v>balance</v>
          </cell>
          <cell r="L931" t="str">
            <v>バランスタイプ</v>
          </cell>
          <cell r="M931" t="str">
            <v>god</v>
          </cell>
          <cell r="N931" t="str">
            <v>ゴッド</v>
          </cell>
          <cell r="O931" t="str">
            <v>none</v>
          </cell>
          <cell r="P931" t="str">
            <v>種族なし</v>
          </cell>
          <cell r="Q931" t="str">
            <v>アタッカー</v>
          </cell>
          <cell r="R931">
            <v>3</v>
          </cell>
          <cell r="S931" t="str">
            <v>NULL</v>
          </cell>
          <cell r="T931" t="str">
            <v>normal</v>
          </cell>
          <cell r="U931" t="str">
            <v>NULL</v>
          </cell>
          <cell r="V931" t="str">
            <v>NULL</v>
          </cell>
          <cell r="W931" t="str">
            <v>NULL</v>
          </cell>
        </row>
        <row r="932">
          <cell r="A932">
            <v>931</v>
          </cell>
          <cell r="B932" t="str">
            <v>ja</v>
          </cell>
          <cell r="C932" t="str">
            <v>ネルソン</v>
          </cell>
          <cell r="D932" t="str">
            <v>各属性相性良3・黄・R535</v>
          </cell>
          <cell r="E932" t="str">
            <v>執行者</v>
          </cell>
          <cell r="F932" t="str">
            <v>格好いい</v>
          </cell>
          <cell r="G932" t="str">
            <v>男性</v>
          </cell>
          <cell r="H932" t="str">
            <v>green</v>
          </cell>
          <cell r="I932">
            <v>4</v>
          </cell>
          <cell r="J932" t="str">
            <v>Drop2N</v>
          </cell>
          <cell r="K932" t="str">
            <v>technical</v>
          </cell>
          <cell r="L932" t="str">
            <v>テクニカルタイプ</v>
          </cell>
          <cell r="M932" t="str">
            <v>human</v>
          </cell>
          <cell r="N932" t="str">
            <v>ヒューマン</v>
          </cell>
          <cell r="O932" t="str">
            <v>machine</v>
          </cell>
          <cell r="P932" t="str">
            <v>マシン</v>
          </cell>
          <cell r="Q932" t="str">
            <v>アタッカー</v>
          </cell>
          <cell r="R932">
            <v>3</v>
          </cell>
          <cell r="S932" t="str">
            <v>NULL</v>
          </cell>
          <cell r="T932" t="str">
            <v>normal</v>
          </cell>
          <cell r="U932" t="str">
            <v>NULL</v>
          </cell>
          <cell r="V932" t="str">
            <v>NULL</v>
          </cell>
          <cell r="W932" t="str">
            <v>NULL</v>
          </cell>
        </row>
        <row r="933">
          <cell r="A933">
            <v>932</v>
          </cell>
          <cell r="B933" t="str">
            <v>ja</v>
          </cell>
          <cell r="C933" t="str">
            <v>隻眼の英堤 ネルソン</v>
          </cell>
          <cell r="D933" t="str">
            <v>各属性相性良3・黄・R536</v>
          </cell>
          <cell r="E933" t="str">
            <v>執行者</v>
          </cell>
          <cell r="F933" t="str">
            <v>格好いい</v>
          </cell>
          <cell r="G933" t="str">
            <v>男性</v>
          </cell>
          <cell r="H933" t="str">
            <v>green</v>
          </cell>
          <cell r="I933">
            <v>5</v>
          </cell>
          <cell r="J933" t="str">
            <v>Drop2N</v>
          </cell>
          <cell r="K933" t="str">
            <v>technical</v>
          </cell>
          <cell r="L933" t="str">
            <v>テクニカルタイプ</v>
          </cell>
          <cell r="M933" t="str">
            <v>human</v>
          </cell>
          <cell r="N933" t="str">
            <v>ヒューマン</v>
          </cell>
          <cell r="O933" t="str">
            <v>machine</v>
          </cell>
          <cell r="P933" t="str">
            <v>マシン</v>
          </cell>
          <cell r="Q933" t="str">
            <v>アタッカー</v>
          </cell>
          <cell r="R933">
            <v>3</v>
          </cell>
          <cell r="S933" t="str">
            <v>NULL</v>
          </cell>
          <cell r="T933" t="str">
            <v>normal</v>
          </cell>
          <cell r="U933" t="str">
            <v>NULL</v>
          </cell>
          <cell r="V933" t="str">
            <v>NULL</v>
          </cell>
          <cell r="W933" t="str">
            <v>NULL</v>
          </cell>
        </row>
        <row r="934">
          <cell r="A934">
            <v>933</v>
          </cell>
          <cell r="B934" t="str">
            <v>ja</v>
          </cell>
          <cell r="C934" t="str">
            <v>ヴェルサイユ</v>
          </cell>
          <cell r="D934" t="str">
            <v>各属性相性良3・黄・R537</v>
          </cell>
          <cell r="E934" t="str">
            <v>執行者</v>
          </cell>
          <cell r="F934" t="str">
            <v>格好いい</v>
          </cell>
          <cell r="G934" t="str">
            <v>男性</v>
          </cell>
          <cell r="H934" t="str">
            <v>yellow</v>
          </cell>
          <cell r="I934">
            <v>4</v>
          </cell>
          <cell r="J934" t="str">
            <v>Drop2N</v>
          </cell>
          <cell r="K934" t="str">
            <v>attack</v>
          </cell>
          <cell r="L934" t="str">
            <v>攻撃タイプ</v>
          </cell>
          <cell r="M934" t="str">
            <v>unknown</v>
          </cell>
          <cell r="N934" t="str">
            <v>Unknown</v>
          </cell>
          <cell r="O934" t="str">
            <v>none</v>
          </cell>
          <cell r="P934" t="str">
            <v>種族なし</v>
          </cell>
          <cell r="Q934" t="str">
            <v>アタッカー</v>
          </cell>
          <cell r="R934">
            <v>3</v>
          </cell>
          <cell r="S934" t="str">
            <v>NULL</v>
          </cell>
          <cell r="T934" t="str">
            <v>normal</v>
          </cell>
          <cell r="U934" t="str">
            <v>NULL</v>
          </cell>
          <cell r="V934" t="str">
            <v>NULL</v>
          </cell>
          <cell r="W934" t="str">
            <v>NULL</v>
          </cell>
        </row>
        <row r="935">
          <cell r="A935">
            <v>934</v>
          </cell>
          <cell r="B935" t="str">
            <v>ja</v>
          </cell>
          <cell r="C935" t="str">
            <v>絢爛たる燈城 ヴェルサイユ</v>
          </cell>
          <cell r="D935" t="str">
            <v>各属性相性良3・黄・R538</v>
          </cell>
          <cell r="E935" t="str">
            <v>執行者</v>
          </cell>
          <cell r="F935" t="str">
            <v>格好いい</v>
          </cell>
          <cell r="G935" t="str">
            <v>男性</v>
          </cell>
          <cell r="H935" t="str">
            <v>yellow</v>
          </cell>
          <cell r="I935">
            <v>5</v>
          </cell>
          <cell r="J935" t="str">
            <v>Drop2N</v>
          </cell>
          <cell r="K935" t="str">
            <v>attack</v>
          </cell>
          <cell r="L935" t="str">
            <v>攻撃タイプ</v>
          </cell>
          <cell r="M935" t="str">
            <v>unknown</v>
          </cell>
          <cell r="N935" t="str">
            <v>Unknown</v>
          </cell>
          <cell r="O935" t="str">
            <v>none</v>
          </cell>
          <cell r="P935" t="str">
            <v>種族なし</v>
          </cell>
          <cell r="Q935" t="str">
            <v>アタッカー</v>
          </cell>
          <cell r="R935">
            <v>3</v>
          </cell>
          <cell r="S935" t="str">
            <v>NULL</v>
          </cell>
          <cell r="T935" t="str">
            <v>normal</v>
          </cell>
          <cell r="U935" t="str">
            <v>NULL</v>
          </cell>
          <cell r="V935" t="str">
            <v>NULL</v>
          </cell>
          <cell r="W935" t="str">
            <v>NULL</v>
          </cell>
        </row>
        <row r="936">
          <cell r="A936">
            <v>935</v>
          </cell>
          <cell r="B936" t="str">
            <v>ja</v>
          </cell>
          <cell r="C936" t="str">
            <v>ルイ16世</v>
          </cell>
          <cell r="D936" t="str">
            <v>各属性相性良3・黄・R539</v>
          </cell>
          <cell r="E936" t="str">
            <v>執行者</v>
          </cell>
          <cell r="F936" t="str">
            <v>格好いい</v>
          </cell>
          <cell r="G936" t="str">
            <v>男性</v>
          </cell>
          <cell r="H936" t="str">
            <v>red</v>
          </cell>
          <cell r="I936">
            <v>5</v>
          </cell>
          <cell r="J936" t="str">
            <v>DropWizS</v>
          </cell>
          <cell r="K936" t="str">
            <v>balance</v>
          </cell>
          <cell r="L936" t="str">
            <v>バランスタイプ</v>
          </cell>
          <cell r="M936" t="str">
            <v>human</v>
          </cell>
          <cell r="N936" t="str">
            <v>ヒューマン</v>
          </cell>
          <cell r="O936" t="str">
            <v>none</v>
          </cell>
          <cell r="P936" t="str">
            <v>種族なし</v>
          </cell>
          <cell r="Q936" t="str">
            <v>アタッカー</v>
          </cell>
          <cell r="R936">
            <v>3</v>
          </cell>
          <cell r="S936" t="str">
            <v>NULL</v>
          </cell>
          <cell r="T936" t="str">
            <v>normal</v>
          </cell>
          <cell r="U936" t="str">
            <v>NULL</v>
          </cell>
          <cell r="V936" t="str">
            <v>NULL</v>
          </cell>
          <cell r="W936" t="str">
            <v>NULL</v>
          </cell>
        </row>
        <row r="937">
          <cell r="A937">
            <v>936</v>
          </cell>
          <cell r="B937" t="str">
            <v>ja</v>
          </cell>
          <cell r="C937" t="str">
            <v>憲誓の煉王 ルイ16世</v>
          </cell>
          <cell r="D937" t="str">
            <v>各属性相性良3・黄・R540</v>
          </cell>
          <cell r="E937" t="str">
            <v>執行者</v>
          </cell>
          <cell r="F937" t="str">
            <v>格好いい</v>
          </cell>
          <cell r="G937" t="str">
            <v>男性</v>
          </cell>
          <cell r="H937" t="str">
            <v>red</v>
          </cell>
          <cell r="I937">
            <v>6</v>
          </cell>
          <cell r="J937" t="str">
            <v>DropWizS</v>
          </cell>
          <cell r="K937" t="str">
            <v>balance</v>
          </cell>
          <cell r="L937" t="str">
            <v>バランスタイプ</v>
          </cell>
          <cell r="M937" t="str">
            <v>human</v>
          </cell>
          <cell r="N937" t="str">
            <v>ヒューマン</v>
          </cell>
          <cell r="O937" t="str">
            <v>none</v>
          </cell>
          <cell r="P937" t="str">
            <v>種族なし</v>
          </cell>
          <cell r="Q937" t="str">
            <v>アタッカー</v>
          </cell>
          <cell r="R937">
            <v>3</v>
          </cell>
          <cell r="S937" t="str">
            <v>NULL</v>
          </cell>
          <cell r="T937" t="str">
            <v>normal</v>
          </cell>
          <cell r="U937" t="str">
            <v>NULL</v>
          </cell>
          <cell r="V937" t="str">
            <v>NULL</v>
          </cell>
          <cell r="W937" t="str">
            <v>NULL</v>
          </cell>
        </row>
        <row r="938">
          <cell r="A938">
            <v>937</v>
          </cell>
          <cell r="B938" t="str">
            <v>ja</v>
          </cell>
          <cell r="C938" t="str">
            <v>ナポレオン</v>
          </cell>
          <cell r="D938" t="str">
            <v>各属性相性良3・黄・R541</v>
          </cell>
          <cell r="E938" t="str">
            <v>執行者</v>
          </cell>
          <cell r="F938" t="str">
            <v>格好いい</v>
          </cell>
          <cell r="G938" t="str">
            <v>男性</v>
          </cell>
          <cell r="H938" t="str">
            <v>red</v>
          </cell>
          <cell r="I938">
            <v>5</v>
          </cell>
          <cell r="J938" t="str">
            <v>PremiumSS</v>
          </cell>
          <cell r="K938" t="str">
            <v>balance</v>
          </cell>
          <cell r="L938" t="str">
            <v>バランスタイプ</v>
          </cell>
          <cell r="M938" t="str">
            <v>human</v>
          </cell>
          <cell r="N938" t="str">
            <v>ヒューマン</v>
          </cell>
          <cell r="O938" t="str">
            <v>none</v>
          </cell>
          <cell r="P938" t="str">
            <v>種族なし</v>
          </cell>
          <cell r="Q938" t="str">
            <v>アタッカー</v>
          </cell>
          <cell r="R938">
            <v>3</v>
          </cell>
          <cell r="S938" t="str">
            <v>NULL</v>
          </cell>
          <cell r="T938" t="str">
            <v>normal</v>
          </cell>
          <cell r="U938" t="str">
            <v>NULL</v>
          </cell>
          <cell r="V938" t="str">
            <v>NULL</v>
          </cell>
          <cell r="W938" t="str">
            <v>NULL</v>
          </cell>
        </row>
        <row r="939">
          <cell r="A939">
            <v>938</v>
          </cell>
          <cell r="B939" t="str">
            <v>ja</v>
          </cell>
          <cell r="C939" t="str">
            <v>炎焔宿す革命皇 ナポレオン</v>
          </cell>
          <cell r="D939" t="str">
            <v>各属性相性良3・黄・R542</v>
          </cell>
          <cell r="E939" t="str">
            <v>執行者</v>
          </cell>
          <cell r="F939" t="str">
            <v>格好いい</v>
          </cell>
          <cell r="G939" t="str">
            <v>男性</v>
          </cell>
          <cell r="H939" t="str">
            <v>red</v>
          </cell>
          <cell r="I939">
            <v>6</v>
          </cell>
          <cell r="J939" t="str">
            <v>PremiumSS</v>
          </cell>
          <cell r="K939" t="str">
            <v>balance</v>
          </cell>
          <cell r="L939" t="str">
            <v>バランスタイプ</v>
          </cell>
          <cell r="M939" t="str">
            <v>human</v>
          </cell>
          <cell r="N939" t="str">
            <v>ヒューマン</v>
          </cell>
          <cell r="O939" t="str">
            <v>none</v>
          </cell>
          <cell r="P939" t="str">
            <v>種族なし</v>
          </cell>
          <cell r="Q939" t="str">
            <v>アタッカー</v>
          </cell>
          <cell r="R939">
            <v>3</v>
          </cell>
          <cell r="S939" t="str">
            <v>NULL</v>
          </cell>
          <cell r="T939" t="str">
            <v>normal</v>
          </cell>
          <cell r="U939" t="str">
            <v>NULL</v>
          </cell>
          <cell r="V939" t="str">
            <v>NULL</v>
          </cell>
          <cell r="W939" t="str">
            <v>NULL</v>
          </cell>
        </row>
        <row r="940">
          <cell r="A940">
            <v>939</v>
          </cell>
          <cell r="B940" t="str">
            <v>ja</v>
          </cell>
          <cell r="C940" t="str">
            <v>バスティーユ</v>
          </cell>
          <cell r="D940" t="str">
            <v>各属性相性良3・黄・R543</v>
          </cell>
          <cell r="E940" t="str">
            <v>執行者</v>
          </cell>
          <cell r="F940" t="str">
            <v>格好いい</v>
          </cell>
          <cell r="G940" t="str">
            <v>男性</v>
          </cell>
          <cell r="H940" t="str">
            <v>green</v>
          </cell>
          <cell r="I940">
            <v>4</v>
          </cell>
          <cell r="J940" t="str">
            <v>PremiumS</v>
          </cell>
          <cell r="K940" t="str">
            <v>hp</v>
          </cell>
          <cell r="L940" t="str">
            <v>体力タイプ</v>
          </cell>
          <cell r="M940" t="str">
            <v>unknown</v>
          </cell>
          <cell r="N940" t="str">
            <v>Unknown</v>
          </cell>
          <cell r="O940" t="str">
            <v>none</v>
          </cell>
          <cell r="P940" t="str">
            <v>種族なし</v>
          </cell>
          <cell r="Q940" t="str">
            <v>アタッカー</v>
          </cell>
          <cell r="R940">
            <v>3</v>
          </cell>
          <cell r="S940" t="str">
            <v>NULL</v>
          </cell>
          <cell r="T940" t="str">
            <v>normal</v>
          </cell>
          <cell r="U940" t="str">
            <v>NULL</v>
          </cell>
          <cell r="V940" t="str">
            <v>NULL</v>
          </cell>
          <cell r="W940" t="str">
            <v>NULL</v>
          </cell>
        </row>
        <row r="941">
          <cell r="A941">
            <v>940</v>
          </cell>
          <cell r="B941" t="str">
            <v>ja</v>
          </cell>
          <cell r="C941" t="str">
            <v>不壊の大要塞 バスティーユ</v>
          </cell>
          <cell r="D941" t="str">
            <v>各属性相性良3・黄・R544</v>
          </cell>
          <cell r="E941" t="str">
            <v>執行者</v>
          </cell>
          <cell r="F941" t="str">
            <v>格好いい</v>
          </cell>
          <cell r="G941" t="str">
            <v>男性</v>
          </cell>
          <cell r="H941" t="str">
            <v>green</v>
          </cell>
          <cell r="I941">
            <v>5</v>
          </cell>
          <cell r="J941" t="str">
            <v>PremiumS</v>
          </cell>
          <cell r="K941" t="str">
            <v>hp</v>
          </cell>
          <cell r="L941" t="str">
            <v>体力タイプ</v>
          </cell>
          <cell r="M941" t="str">
            <v>unknown</v>
          </cell>
          <cell r="N941" t="str">
            <v>Unknown</v>
          </cell>
          <cell r="O941" t="str">
            <v>none</v>
          </cell>
          <cell r="P941" t="str">
            <v>種族なし</v>
          </cell>
          <cell r="Q941" t="str">
            <v>アタッカー</v>
          </cell>
          <cell r="R941">
            <v>3</v>
          </cell>
          <cell r="S941" t="str">
            <v>NULL</v>
          </cell>
          <cell r="T941" t="str">
            <v>normal</v>
          </cell>
          <cell r="U941" t="str">
            <v>NULL</v>
          </cell>
          <cell r="V941" t="str">
            <v>NULL</v>
          </cell>
          <cell r="W941" t="str">
            <v>NULL</v>
          </cell>
        </row>
        <row r="942">
          <cell r="A942">
            <v>941</v>
          </cell>
          <cell r="B942" t="str">
            <v>ja</v>
          </cell>
          <cell r="C942" t="str">
            <v>アントワネット</v>
          </cell>
          <cell r="D942" t="str">
            <v>各属性相性良3・黄・R545</v>
          </cell>
          <cell r="E942" t="str">
            <v>執行者</v>
          </cell>
          <cell r="F942" t="str">
            <v>格好いい</v>
          </cell>
          <cell r="G942" t="str">
            <v>男性</v>
          </cell>
          <cell r="H942" t="str">
            <v>blue</v>
          </cell>
          <cell r="I942">
            <v>5</v>
          </cell>
          <cell r="J942" t="str">
            <v>PremiumSS</v>
          </cell>
          <cell r="K942" t="str">
            <v>technical</v>
          </cell>
          <cell r="L942" t="str">
            <v>テクニカルタイプ</v>
          </cell>
          <cell r="M942" t="str">
            <v>human</v>
          </cell>
          <cell r="N942" t="str">
            <v>ヒューマン</v>
          </cell>
          <cell r="O942" t="str">
            <v>none</v>
          </cell>
          <cell r="P942" t="str">
            <v>種族なし</v>
          </cell>
          <cell r="Q942" t="str">
            <v>アタッカー</v>
          </cell>
          <cell r="R942">
            <v>3</v>
          </cell>
          <cell r="S942" t="str">
            <v>NULL</v>
          </cell>
          <cell r="T942" t="str">
            <v>normal</v>
          </cell>
          <cell r="U942" t="str">
            <v>NULL</v>
          </cell>
          <cell r="V942" t="str">
            <v>NULL</v>
          </cell>
          <cell r="W942" t="str">
            <v>NULL</v>
          </cell>
        </row>
        <row r="943">
          <cell r="A943">
            <v>942</v>
          </cell>
          <cell r="B943" t="str">
            <v>ja</v>
          </cell>
          <cell r="C943" t="str">
            <v>華戯たる傲妃 アントワネット</v>
          </cell>
          <cell r="D943" t="str">
            <v>各属性相性良3・黄・R546</v>
          </cell>
          <cell r="E943" t="str">
            <v>執行者</v>
          </cell>
          <cell r="F943" t="str">
            <v>格好いい</v>
          </cell>
          <cell r="G943" t="str">
            <v>男性</v>
          </cell>
          <cell r="H943" t="str">
            <v>blue</v>
          </cell>
          <cell r="I943">
            <v>6</v>
          </cell>
          <cell r="J943" t="str">
            <v>PremiumSS</v>
          </cell>
          <cell r="K943" t="str">
            <v>technical</v>
          </cell>
          <cell r="L943" t="str">
            <v>テクニカルタイプ</v>
          </cell>
          <cell r="M943" t="str">
            <v>human</v>
          </cell>
          <cell r="N943" t="str">
            <v>ヒューマン</v>
          </cell>
          <cell r="O943" t="str">
            <v>none</v>
          </cell>
          <cell r="P943" t="str">
            <v>種族なし</v>
          </cell>
          <cell r="Q943" t="str">
            <v>アタッカー</v>
          </cell>
          <cell r="R943">
            <v>3</v>
          </cell>
          <cell r="S943" t="str">
            <v>NULL</v>
          </cell>
          <cell r="T943" t="str">
            <v>normal</v>
          </cell>
          <cell r="U943" t="str">
            <v>NULL</v>
          </cell>
          <cell r="V943" t="str">
            <v>NULL</v>
          </cell>
          <cell r="W943" t="str">
            <v>NULL</v>
          </cell>
        </row>
        <row r="944">
          <cell r="A944">
            <v>943</v>
          </cell>
          <cell r="B944" t="str">
            <v>ja</v>
          </cell>
          <cell r="C944" t="str">
            <v>サンソン</v>
          </cell>
          <cell r="D944" t="str">
            <v>各属性相性良3・黄・R547</v>
          </cell>
          <cell r="E944" t="str">
            <v>執行者</v>
          </cell>
          <cell r="F944" t="str">
            <v>格好いい</v>
          </cell>
          <cell r="G944" t="str">
            <v>男性</v>
          </cell>
          <cell r="H944" t="str">
            <v>yellow</v>
          </cell>
          <cell r="I944">
            <v>5</v>
          </cell>
          <cell r="J944" t="str">
            <v>PremiumSS</v>
          </cell>
          <cell r="K944" t="str">
            <v>attack</v>
          </cell>
          <cell r="L944" t="str">
            <v>攻撃タイプ</v>
          </cell>
          <cell r="M944" t="str">
            <v>human</v>
          </cell>
          <cell r="N944" t="str">
            <v>ヒューマン</v>
          </cell>
          <cell r="O944" t="str">
            <v>none</v>
          </cell>
          <cell r="P944" t="str">
            <v>種族なし</v>
          </cell>
          <cell r="Q944" t="str">
            <v>アタッカー</v>
          </cell>
          <cell r="R944">
            <v>3</v>
          </cell>
          <cell r="S944" t="str">
            <v>NULL</v>
          </cell>
          <cell r="T944" t="str">
            <v>normal</v>
          </cell>
          <cell r="U944" t="str">
            <v>NULL</v>
          </cell>
          <cell r="V944" t="str">
            <v>NULL</v>
          </cell>
          <cell r="W944" t="str">
            <v>NULL</v>
          </cell>
        </row>
        <row r="945">
          <cell r="A945">
            <v>944</v>
          </cell>
          <cell r="B945" t="str">
            <v>ja</v>
          </cell>
          <cell r="C945" t="str">
            <v>王敬の執行者 サンソン</v>
          </cell>
          <cell r="D945" t="str">
            <v>各属性相性良3・黄・R548</v>
          </cell>
          <cell r="E945" t="str">
            <v>執行者</v>
          </cell>
          <cell r="F945" t="str">
            <v>格好いい</v>
          </cell>
          <cell r="G945" t="str">
            <v>男性</v>
          </cell>
          <cell r="H945" t="str">
            <v>yellow</v>
          </cell>
          <cell r="I945">
            <v>6</v>
          </cell>
          <cell r="J945" t="str">
            <v>PremiumSS</v>
          </cell>
          <cell r="K945" t="str">
            <v>attack</v>
          </cell>
          <cell r="L945" t="str">
            <v>攻撃タイプ</v>
          </cell>
          <cell r="M945" t="str">
            <v>human</v>
          </cell>
          <cell r="N945" t="str">
            <v>ヒューマン</v>
          </cell>
          <cell r="O945" t="str">
            <v>none</v>
          </cell>
          <cell r="P945" t="str">
            <v>種族なし</v>
          </cell>
          <cell r="Q945" t="str">
            <v>アタッカー</v>
          </cell>
          <cell r="R945">
            <v>3</v>
          </cell>
          <cell r="S945" t="str">
            <v>NULL</v>
          </cell>
          <cell r="T945" t="str">
            <v>normal</v>
          </cell>
          <cell r="U945" t="str">
            <v>NULL</v>
          </cell>
          <cell r="V945" t="str">
            <v>NULL</v>
          </cell>
          <cell r="W945" t="str">
            <v>NULL</v>
          </cell>
        </row>
        <row r="946">
          <cell r="A946">
            <v>945</v>
          </cell>
          <cell r="B946" t="str">
            <v>ja</v>
          </cell>
          <cell r="C946" t="str">
            <v>ブリューナク</v>
          </cell>
          <cell r="D946" t="str">
            <v>各属性相性良3・黄・R549</v>
          </cell>
          <cell r="E946" t="str">
            <v>執行者</v>
          </cell>
          <cell r="F946" t="str">
            <v>格好いい</v>
          </cell>
          <cell r="G946" t="str">
            <v>男性</v>
          </cell>
          <cell r="H946" t="str">
            <v>red</v>
          </cell>
          <cell r="I946">
            <v>5</v>
          </cell>
          <cell r="J946" t="str">
            <v>PremiumSSS</v>
          </cell>
          <cell r="K946" t="str">
            <v>attack</v>
          </cell>
          <cell r="L946" t="str">
            <v>攻撃タイプ</v>
          </cell>
          <cell r="M946" t="str">
            <v>academia</v>
          </cell>
          <cell r="N946" t="str">
            <v>アカデミア</v>
          </cell>
          <cell r="O946" t="str">
            <v>unknown</v>
          </cell>
          <cell r="P946" t="str">
            <v>Unknown</v>
          </cell>
          <cell r="Q946" t="str">
            <v>アタッカー</v>
          </cell>
          <cell r="R946">
            <v>1</v>
          </cell>
          <cell r="S946" t="str">
            <v>NULL</v>
          </cell>
          <cell r="T946" t="str">
            <v>normal</v>
          </cell>
          <cell r="U946" t="str">
            <v>NULL</v>
          </cell>
          <cell r="V946" t="str">
            <v>NULL</v>
          </cell>
          <cell r="W946" t="str">
            <v>NULL</v>
          </cell>
        </row>
        <row r="947">
          <cell r="A947">
            <v>946</v>
          </cell>
          <cell r="B947" t="str">
            <v>ja</v>
          </cell>
          <cell r="C947" t="str">
            <v>ブリューナク</v>
          </cell>
          <cell r="D947" t="str">
            <v>各属性相性良3・黄・R550</v>
          </cell>
          <cell r="E947" t="str">
            <v>執行者</v>
          </cell>
          <cell r="F947" t="str">
            <v>格好いい</v>
          </cell>
          <cell r="G947" t="str">
            <v>男性</v>
          </cell>
          <cell r="H947" t="str">
            <v>red</v>
          </cell>
          <cell r="I947">
            <v>6</v>
          </cell>
          <cell r="J947" t="str">
            <v>PremiumSSS</v>
          </cell>
          <cell r="K947" t="str">
            <v>attack</v>
          </cell>
          <cell r="L947" t="str">
            <v>攻撃タイプ</v>
          </cell>
          <cell r="M947" t="str">
            <v>academia</v>
          </cell>
          <cell r="N947" t="str">
            <v>アカデミア</v>
          </cell>
          <cell r="O947" t="str">
            <v>unknown</v>
          </cell>
          <cell r="P947" t="str">
            <v>Unknown</v>
          </cell>
          <cell r="Q947" t="str">
            <v>アタッカー</v>
          </cell>
          <cell r="R947">
            <v>1</v>
          </cell>
          <cell r="S947" t="str">
            <v>NULL</v>
          </cell>
          <cell r="T947" t="str">
            <v>normal</v>
          </cell>
          <cell r="U947" t="str">
            <v>NULL</v>
          </cell>
          <cell r="V947" t="str">
            <v>NULL</v>
          </cell>
          <cell r="W947" t="str">
            <v>NULL</v>
          </cell>
        </row>
        <row r="948">
          <cell r="A948">
            <v>947</v>
          </cell>
          <cell r="B948" t="str">
            <v>ja</v>
          </cell>
          <cell r="C948" t="str">
            <v>ゲイボルグ</v>
          </cell>
          <cell r="D948" t="str">
            <v>各属性相性良3・黄・R551</v>
          </cell>
          <cell r="E948" t="str">
            <v>執行者</v>
          </cell>
          <cell r="F948" t="str">
            <v>格好いい</v>
          </cell>
          <cell r="G948" t="str">
            <v>男性</v>
          </cell>
          <cell r="H948" t="str">
            <v>green</v>
          </cell>
          <cell r="I948">
            <v>5</v>
          </cell>
          <cell r="J948" t="str">
            <v>DropWizSSS</v>
          </cell>
          <cell r="K948" t="str">
            <v>attack</v>
          </cell>
          <cell r="L948" t="str">
            <v>攻撃タイプ</v>
          </cell>
          <cell r="M948" t="str">
            <v>weapon</v>
          </cell>
          <cell r="N948" t="str">
            <v>ウェポン</v>
          </cell>
          <cell r="O948" t="str">
            <v>none</v>
          </cell>
          <cell r="P948" t="str">
            <v>種族なし</v>
          </cell>
          <cell r="Q948" t="str">
            <v>アタッカー</v>
          </cell>
          <cell r="R948">
            <v>3</v>
          </cell>
          <cell r="S948" t="str">
            <v>NULL</v>
          </cell>
          <cell r="T948" t="str">
            <v>normal</v>
          </cell>
          <cell r="U948" t="str">
            <v>NULL</v>
          </cell>
          <cell r="V948" t="str">
            <v>NULL</v>
          </cell>
          <cell r="W948" t="str">
            <v>NULL</v>
          </cell>
        </row>
        <row r="949">
          <cell r="A949">
            <v>948</v>
          </cell>
          <cell r="B949" t="str">
            <v>ja</v>
          </cell>
          <cell r="C949" t="str">
            <v>裂雷の必撃鏃 ゲイボルグ</v>
          </cell>
          <cell r="D949" t="str">
            <v>各属性相性良3・黄・R552</v>
          </cell>
          <cell r="E949" t="str">
            <v>執行者</v>
          </cell>
          <cell r="F949" t="str">
            <v>格好いい</v>
          </cell>
          <cell r="G949" t="str">
            <v>男性</v>
          </cell>
          <cell r="H949" t="str">
            <v>green</v>
          </cell>
          <cell r="I949">
            <v>6</v>
          </cell>
          <cell r="J949" t="str">
            <v>DropWizSSS</v>
          </cell>
          <cell r="K949" t="str">
            <v>attack</v>
          </cell>
          <cell r="L949" t="str">
            <v>攻撃タイプ</v>
          </cell>
          <cell r="M949" t="str">
            <v>weapon</v>
          </cell>
          <cell r="N949" t="str">
            <v>ウェポン</v>
          </cell>
          <cell r="O949" t="str">
            <v>none</v>
          </cell>
          <cell r="P949" t="str">
            <v>種族なし</v>
          </cell>
          <cell r="Q949" t="str">
            <v>アタッカー</v>
          </cell>
          <cell r="R949">
            <v>3</v>
          </cell>
          <cell r="S949" t="str">
            <v>NULL</v>
          </cell>
          <cell r="T949" t="str">
            <v>normal</v>
          </cell>
          <cell r="U949" t="str">
            <v>NULL</v>
          </cell>
          <cell r="V949" t="str">
            <v>NULL</v>
          </cell>
          <cell r="W949" t="str">
            <v>NULL</v>
          </cell>
        </row>
        <row r="950">
          <cell r="A950">
            <v>949</v>
          </cell>
          <cell r="B950" t="str">
            <v>ja</v>
          </cell>
          <cell r="C950" t="str">
            <v>トライデント</v>
          </cell>
          <cell r="D950" t="str">
            <v>各属性相性良3・黄・R553</v>
          </cell>
          <cell r="E950" t="str">
            <v>執行者</v>
          </cell>
          <cell r="F950" t="str">
            <v>格好いい</v>
          </cell>
          <cell r="G950" t="str">
            <v>男性</v>
          </cell>
          <cell r="H950" t="str">
            <v>blue</v>
          </cell>
          <cell r="I950">
            <v>5</v>
          </cell>
          <cell r="J950" t="str">
            <v>DropWizSSS</v>
          </cell>
          <cell r="K950" t="str">
            <v>balance</v>
          </cell>
          <cell r="L950" t="str">
            <v>バランスタイプ</v>
          </cell>
          <cell r="M950" t="str">
            <v>weapon</v>
          </cell>
          <cell r="N950" t="str">
            <v>ウェポン</v>
          </cell>
          <cell r="O950" t="str">
            <v>none</v>
          </cell>
          <cell r="P950" t="str">
            <v>種族なし</v>
          </cell>
          <cell r="Q950" t="str">
            <v>アタッカー</v>
          </cell>
          <cell r="R950">
            <v>3</v>
          </cell>
          <cell r="S950" t="str">
            <v>NULL</v>
          </cell>
          <cell r="T950" t="str">
            <v>normal</v>
          </cell>
          <cell r="U950" t="str">
            <v>NULL</v>
          </cell>
          <cell r="V950" t="str">
            <v>NULL</v>
          </cell>
          <cell r="W950" t="str">
            <v>NULL</v>
          </cell>
        </row>
        <row r="951">
          <cell r="A951">
            <v>950</v>
          </cell>
          <cell r="B951" t="str">
            <v>ja</v>
          </cell>
          <cell r="C951" t="str">
            <v>海洪操る三叉戟 トライデント</v>
          </cell>
          <cell r="D951" t="str">
            <v>各属性相性良3・黄・R554</v>
          </cell>
          <cell r="E951" t="str">
            <v>執行者</v>
          </cell>
          <cell r="F951" t="str">
            <v>格好いい</v>
          </cell>
          <cell r="G951" t="str">
            <v>男性</v>
          </cell>
          <cell r="H951" t="str">
            <v>blue</v>
          </cell>
          <cell r="I951">
            <v>6</v>
          </cell>
          <cell r="J951" t="str">
            <v>DropWizSSS</v>
          </cell>
          <cell r="K951" t="str">
            <v>balance</v>
          </cell>
          <cell r="L951" t="str">
            <v>バランスタイプ</v>
          </cell>
          <cell r="M951" t="str">
            <v>weapon</v>
          </cell>
          <cell r="N951" t="str">
            <v>ウェポン</v>
          </cell>
          <cell r="O951" t="str">
            <v>none</v>
          </cell>
          <cell r="P951" t="str">
            <v>種族なし</v>
          </cell>
          <cell r="Q951" t="str">
            <v>アタッカー</v>
          </cell>
          <cell r="R951">
            <v>3</v>
          </cell>
          <cell r="S951" t="str">
            <v>NULL</v>
          </cell>
          <cell r="T951" t="str">
            <v>normal</v>
          </cell>
          <cell r="U951" t="str">
            <v>NULL</v>
          </cell>
          <cell r="V951" t="str">
            <v>NULL</v>
          </cell>
          <cell r="W951" t="str">
            <v>NULL</v>
          </cell>
        </row>
        <row r="952">
          <cell r="A952">
            <v>951</v>
          </cell>
          <cell r="B952" t="str">
            <v>ja</v>
          </cell>
          <cell r="C952" t="str">
            <v>グングニル</v>
          </cell>
          <cell r="D952" t="str">
            <v>各属性相性良3・黄・R555</v>
          </cell>
          <cell r="E952" t="str">
            <v>執行者</v>
          </cell>
          <cell r="F952" t="str">
            <v>格好いい</v>
          </cell>
          <cell r="G952" t="str">
            <v>男性</v>
          </cell>
          <cell r="H952" t="str">
            <v>yellow</v>
          </cell>
          <cell r="I952">
            <v>5</v>
          </cell>
          <cell r="J952" t="str">
            <v>DropWizSSS</v>
          </cell>
          <cell r="K952" t="str">
            <v>attack</v>
          </cell>
          <cell r="L952" t="str">
            <v>攻撃タイプ</v>
          </cell>
          <cell r="M952" t="str">
            <v>weapon</v>
          </cell>
          <cell r="N952" t="str">
            <v>ウェポン</v>
          </cell>
          <cell r="O952" t="str">
            <v>none</v>
          </cell>
          <cell r="P952" t="str">
            <v>種族なし</v>
          </cell>
          <cell r="Q952" t="str">
            <v>アタッカー</v>
          </cell>
          <cell r="R952">
            <v>3</v>
          </cell>
          <cell r="S952" t="str">
            <v>NULL</v>
          </cell>
          <cell r="T952" t="str">
            <v>normal</v>
          </cell>
          <cell r="U952" t="str">
            <v>NULL</v>
          </cell>
          <cell r="V952" t="str">
            <v>NULL</v>
          </cell>
          <cell r="W952" t="str">
            <v>NULL</v>
          </cell>
        </row>
        <row r="953">
          <cell r="A953">
            <v>952</v>
          </cell>
          <cell r="B953" t="str">
            <v>ja</v>
          </cell>
          <cell r="C953" t="str">
            <v>勝臨の機鋭槍 グングニル</v>
          </cell>
          <cell r="D953" t="str">
            <v>各属性相性良3・黄・R556</v>
          </cell>
          <cell r="E953" t="str">
            <v>執行者</v>
          </cell>
          <cell r="F953" t="str">
            <v>格好いい</v>
          </cell>
          <cell r="G953" t="str">
            <v>男性</v>
          </cell>
          <cell r="H953" t="str">
            <v>yellow</v>
          </cell>
          <cell r="I953">
            <v>6</v>
          </cell>
          <cell r="J953" t="str">
            <v>DropWizSSS</v>
          </cell>
          <cell r="K953" t="str">
            <v>attack</v>
          </cell>
          <cell r="L953" t="str">
            <v>攻撃タイプ</v>
          </cell>
          <cell r="M953" t="str">
            <v>weapon</v>
          </cell>
          <cell r="N953" t="str">
            <v>ウェポン</v>
          </cell>
          <cell r="O953" t="str">
            <v>none</v>
          </cell>
          <cell r="P953" t="str">
            <v>種族なし</v>
          </cell>
          <cell r="Q953" t="str">
            <v>アタッカー</v>
          </cell>
          <cell r="R953">
            <v>3</v>
          </cell>
          <cell r="S953" t="str">
            <v>NULL</v>
          </cell>
          <cell r="T953" t="str">
            <v>normal</v>
          </cell>
          <cell r="U953" t="str">
            <v>NULL</v>
          </cell>
          <cell r="V953" t="str">
            <v>NULL</v>
          </cell>
          <cell r="W953" t="str">
            <v>NULL</v>
          </cell>
        </row>
        <row r="954">
          <cell r="A954">
            <v>953</v>
          </cell>
          <cell r="B954" t="str">
            <v>ja</v>
          </cell>
          <cell r="C954" t="str">
            <v>ハイゼンベルク</v>
          </cell>
          <cell r="D954" t="str">
            <v>各属性相性良3・黄・R557</v>
          </cell>
          <cell r="E954" t="str">
            <v>執行者</v>
          </cell>
          <cell r="F954" t="str">
            <v>格好いい</v>
          </cell>
          <cell r="G954" t="str">
            <v>男性</v>
          </cell>
          <cell r="H954" t="str">
            <v>green</v>
          </cell>
          <cell r="I954">
            <v>5</v>
          </cell>
          <cell r="J954" t="str">
            <v>PremiumSSS</v>
          </cell>
          <cell r="K954" t="str">
            <v>attack</v>
          </cell>
          <cell r="L954" t="str">
            <v>攻撃タイプ</v>
          </cell>
          <cell r="M954" t="str">
            <v>academia</v>
          </cell>
          <cell r="N954" t="str">
            <v>アカデミア</v>
          </cell>
          <cell r="O954" t="str">
            <v>machine</v>
          </cell>
          <cell r="P954" t="str">
            <v>マシン</v>
          </cell>
          <cell r="Q954" t="str">
            <v>アタッカー</v>
          </cell>
          <cell r="R954">
            <v>3</v>
          </cell>
          <cell r="S954" t="str">
            <v>NULL</v>
          </cell>
          <cell r="T954" t="str">
            <v>normal</v>
          </cell>
          <cell r="U954" t="str">
            <v>NULL</v>
          </cell>
          <cell r="V954" t="str">
            <v>NULL</v>
          </cell>
          <cell r="W954" t="str">
            <v>NULL</v>
          </cell>
        </row>
        <row r="955">
          <cell r="A955">
            <v>954</v>
          </cell>
          <cell r="B955" t="str">
            <v>ja</v>
          </cell>
          <cell r="C955" t="str">
            <v>不確の量熔者 ハイゼンベルク</v>
          </cell>
          <cell r="D955" t="str">
            <v>各属性相性良3・黄・R558</v>
          </cell>
          <cell r="E955" t="str">
            <v>執行者</v>
          </cell>
          <cell r="F955" t="str">
            <v>格好いい</v>
          </cell>
          <cell r="G955" t="str">
            <v>男性</v>
          </cell>
          <cell r="H955" t="str">
            <v>green</v>
          </cell>
          <cell r="I955">
            <v>6</v>
          </cell>
          <cell r="J955" t="str">
            <v>PremiumSSS</v>
          </cell>
          <cell r="K955" t="str">
            <v>attack</v>
          </cell>
          <cell r="L955" t="str">
            <v>攻撃タイプ</v>
          </cell>
          <cell r="M955" t="str">
            <v>academia</v>
          </cell>
          <cell r="N955" t="str">
            <v>アカデミア</v>
          </cell>
          <cell r="O955" t="str">
            <v>machine</v>
          </cell>
          <cell r="P955" t="str">
            <v>マシン</v>
          </cell>
          <cell r="Q955" t="str">
            <v>アタッカー</v>
          </cell>
          <cell r="R955">
            <v>3</v>
          </cell>
          <cell r="S955" t="str">
            <v>NULL</v>
          </cell>
          <cell r="T955" t="str">
            <v>normal</v>
          </cell>
          <cell r="U955" t="str">
            <v>NULL</v>
          </cell>
          <cell r="V955" t="str">
            <v>NULL</v>
          </cell>
          <cell r="W955" t="str">
            <v>NULL</v>
          </cell>
        </row>
        <row r="956">
          <cell r="A956">
            <v>955</v>
          </cell>
          <cell r="B956" t="str">
            <v>ja</v>
          </cell>
          <cell r="C956" t="str">
            <v>マクローリン</v>
          </cell>
          <cell r="D956" t="str">
            <v>各属性相性良3・黄・R559</v>
          </cell>
          <cell r="E956" t="str">
            <v>執行者</v>
          </cell>
          <cell r="F956" t="str">
            <v>格好いい</v>
          </cell>
          <cell r="G956" t="str">
            <v>男性</v>
          </cell>
          <cell r="H956" t="str">
            <v>red</v>
          </cell>
          <cell r="I956">
            <v>5</v>
          </cell>
          <cell r="J956" t="str">
            <v>PremiumSSS</v>
          </cell>
          <cell r="K956" t="str">
            <v>technical</v>
          </cell>
          <cell r="L956" t="str">
            <v>テクニカルタイプ</v>
          </cell>
          <cell r="M956" t="str">
            <v>academia</v>
          </cell>
          <cell r="N956" t="str">
            <v>アカデミア</v>
          </cell>
          <cell r="O956" t="str">
            <v>animal</v>
          </cell>
          <cell r="P956" t="str">
            <v>アニマル</v>
          </cell>
          <cell r="Q956" t="str">
            <v>アタッカー</v>
          </cell>
          <cell r="R956">
            <v>3</v>
          </cell>
          <cell r="S956" t="str">
            <v>NULL</v>
          </cell>
          <cell r="T956" t="str">
            <v>normal</v>
          </cell>
          <cell r="U956" t="str">
            <v>NULL</v>
          </cell>
          <cell r="V956" t="str">
            <v>NULL</v>
          </cell>
          <cell r="W956" t="str">
            <v>NULL</v>
          </cell>
        </row>
        <row r="957">
          <cell r="A957">
            <v>956</v>
          </cell>
          <cell r="B957" t="str">
            <v>ja</v>
          </cell>
          <cell r="C957" t="str">
            <v>導環の崇論 マクローリン</v>
          </cell>
          <cell r="D957" t="str">
            <v>各属性相性良3・黄・R560</v>
          </cell>
          <cell r="E957" t="str">
            <v>執行者</v>
          </cell>
          <cell r="F957" t="str">
            <v>格好いい</v>
          </cell>
          <cell r="G957" t="str">
            <v>男性</v>
          </cell>
          <cell r="H957" t="str">
            <v>red</v>
          </cell>
          <cell r="I957">
            <v>6</v>
          </cell>
          <cell r="J957" t="str">
            <v>PremiumSSS</v>
          </cell>
          <cell r="K957" t="str">
            <v>technical</v>
          </cell>
          <cell r="L957" t="str">
            <v>テクニカルタイプ</v>
          </cell>
          <cell r="M957" t="str">
            <v>academia</v>
          </cell>
          <cell r="N957" t="str">
            <v>アカデミア</v>
          </cell>
          <cell r="O957" t="str">
            <v>animal</v>
          </cell>
          <cell r="P957" t="str">
            <v>アニマル</v>
          </cell>
          <cell r="Q957" t="str">
            <v>アタッカー</v>
          </cell>
          <cell r="R957">
            <v>3</v>
          </cell>
          <cell r="S957" t="str">
            <v>NULL</v>
          </cell>
          <cell r="T957" t="str">
            <v>normal</v>
          </cell>
          <cell r="U957" t="str">
            <v>NULL</v>
          </cell>
          <cell r="V957" t="str">
            <v>NULL</v>
          </cell>
          <cell r="W957" t="str">
            <v>NULL</v>
          </cell>
        </row>
        <row r="958">
          <cell r="A958">
            <v>957</v>
          </cell>
          <cell r="B958" t="str">
            <v>ja</v>
          </cell>
          <cell r="C958" t="str">
            <v>浮環の流律論 マクローリン</v>
          </cell>
          <cell r="D958" t="str">
            <v>各属性相性良3・黄・R561</v>
          </cell>
          <cell r="E958" t="str">
            <v>執行者</v>
          </cell>
          <cell r="F958" t="str">
            <v>格好いい</v>
          </cell>
          <cell r="G958" t="str">
            <v>男性</v>
          </cell>
          <cell r="H958" t="str">
            <v>red</v>
          </cell>
          <cell r="I958">
            <v>6</v>
          </cell>
          <cell r="J958" t="str">
            <v>PremiumSSS</v>
          </cell>
          <cell r="K958" t="str">
            <v>hp</v>
          </cell>
          <cell r="L958" t="str">
            <v>体力タイプ</v>
          </cell>
          <cell r="M958" t="str">
            <v>academia</v>
          </cell>
          <cell r="N958" t="str">
            <v>アカデミア</v>
          </cell>
          <cell r="O958" t="str">
            <v>animal</v>
          </cell>
          <cell r="P958" t="str">
            <v>アニマル</v>
          </cell>
          <cell r="Q958" t="str">
            <v>アタッカー</v>
          </cell>
          <cell r="R958">
            <v>3</v>
          </cell>
          <cell r="S958" t="str">
            <v>NULL</v>
          </cell>
          <cell r="T958" t="str">
            <v>super</v>
          </cell>
          <cell r="U958" t="str">
            <v>NULL</v>
          </cell>
          <cell r="V958" t="str">
            <v>NULL</v>
          </cell>
          <cell r="W958" t="str">
            <v>NULL</v>
          </cell>
        </row>
        <row r="959">
          <cell r="A959">
            <v>958</v>
          </cell>
          <cell r="B959" t="str">
            <v>ja</v>
          </cell>
          <cell r="C959" t="str">
            <v>ド・モルガン</v>
          </cell>
          <cell r="D959" t="str">
            <v>各属性相性良3・黄・R562</v>
          </cell>
          <cell r="E959" t="str">
            <v>執行者</v>
          </cell>
          <cell r="F959" t="str">
            <v>格好いい</v>
          </cell>
          <cell r="G959" t="str">
            <v>男性</v>
          </cell>
          <cell r="H959" t="str">
            <v>green</v>
          </cell>
          <cell r="I959">
            <v>5</v>
          </cell>
          <cell r="J959" t="str">
            <v>PremiumSSS</v>
          </cell>
          <cell r="K959" t="str">
            <v>balance</v>
          </cell>
          <cell r="L959" t="str">
            <v>バランスタイプ</v>
          </cell>
          <cell r="M959" t="str">
            <v>academia</v>
          </cell>
          <cell r="N959" t="str">
            <v>アカデミア</v>
          </cell>
          <cell r="O959" t="str">
            <v>animal</v>
          </cell>
          <cell r="P959" t="str">
            <v>アニマル</v>
          </cell>
          <cell r="Q959" t="str">
            <v>アタッカー</v>
          </cell>
          <cell r="R959">
            <v>3</v>
          </cell>
          <cell r="S959" t="str">
            <v>NULL</v>
          </cell>
          <cell r="T959" t="str">
            <v>normal</v>
          </cell>
          <cell r="U959" t="str">
            <v>NULL</v>
          </cell>
          <cell r="V959" t="str">
            <v>NULL</v>
          </cell>
          <cell r="W959" t="str">
            <v>NULL</v>
          </cell>
        </row>
        <row r="960">
          <cell r="A960">
            <v>959</v>
          </cell>
          <cell r="B960" t="str">
            <v>ja</v>
          </cell>
          <cell r="C960" t="str">
            <v>双世の論和 ド・モルガン</v>
          </cell>
          <cell r="D960" t="str">
            <v>各属性相性良3・黄・R563</v>
          </cell>
          <cell r="E960" t="str">
            <v>執行者</v>
          </cell>
          <cell r="F960" t="str">
            <v>格好いい</v>
          </cell>
          <cell r="G960" t="str">
            <v>男性</v>
          </cell>
          <cell r="H960" t="str">
            <v>green</v>
          </cell>
          <cell r="I960">
            <v>6</v>
          </cell>
          <cell r="J960" t="str">
            <v>PremiumSSS</v>
          </cell>
          <cell r="K960" t="str">
            <v>balance</v>
          </cell>
          <cell r="L960" t="str">
            <v>バランスタイプ</v>
          </cell>
          <cell r="M960" t="str">
            <v>academia</v>
          </cell>
          <cell r="N960" t="str">
            <v>アカデミア</v>
          </cell>
          <cell r="O960" t="str">
            <v>animal</v>
          </cell>
          <cell r="P960" t="str">
            <v>アニマル</v>
          </cell>
          <cell r="Q960" t="str">
            <v>アタッカー</v>
          </cell>
          <cell r="R960">
            <v>3</v>
          </cell>
          <cell r="S960" t="str">
            <v>NULL</v>
          </cell>
          <cell r="T960" t="str">
            <v>normal</v>
          </cell>
          <cell r="U960" t="str">
            <v>NULL</v>
          </cell>
          <cell r="V960" t="str">
            <v>NULL</v>
          </cell>
          <cell r="W960" t="str">
            <v>NULL</v>
          </cell>
        </row>
        <row r="961">
          <cell r="A961">
            <v>960</v>
          </cell>
          <cell r="B961" t="str">
            <v>ja</v>
          </cell>
          <cell r="C961" t="str">
            <v>双対する真偽者 ド・モルガン</v>
          </cell>
          <cell r="D961" t="str">
            <v>各属性相性良3・黄・R564</v>
          </cell>
          <cell r="E961" t="str">
            <v>執行者</v>
          </cell>
          <cell r="F961" t="str">
            <v>格好いい</v>
          </cell>
          <cell r="G961" t="str">
            <v>男性</v>
          </cell>
          <cell r="H961" t="str">
            <v>green</v>
          </cell>
          <cell r="I961">
            <v>6</v>
          </cell>
          <cell r="J961" t="str">
            <v>PremiumSSS</v>
          </cell>
          <cell r="K961" t="str">
            <v>heal</v>
          </cell>
          <cell r="L961" t="str">
            <v>回復タイプ</v>
          </cell>
          <cell r="M961" t="str">
            <v>academia</v>
          </cell>
          <cell r="N961" t="str">
            <v>アカデミア</v>
          </cell>
          <cell r="O961" t="str">
            <v>animal</v>
          </cell>
          <cell r="P961" t="str">
            <v>アニマル</v>
          </cell>
          <cell r="Q961" t="str">
            <v>アタッカー</v>
          </cell>
          <cell r="R961">
            <v>3</v>
          </cell>
          <cell r="S961" t="str">
            <v>NULL</v>
          </cell>
          <cell r="T961" t="str">
            <v>super</v>
          </cell>
          <cell r="U961" t="str">
            <v>NULL</v>
          </cell>
          <cell r="V961" t="str">
            <v>NULL</v>
          </cell>
          <cell r="W961" t="str">
            <v>NULL</v>
          </cell>
        </row>
        <row r="962">
          <cell r="A962">
            <v>961</v>
          </cell>
          <cell r="B962" t="str">
            <v>ja</v>
          </cell>
          <cell r="C962" t="str">
            <v>狂奏・混業剣 ガレス</v>
          </cell>
          <cell r="D962" t="str">
            <v>各属性相性良3・黄・R565</v>
          </cell>
          <cell r="E962" t="str">
            <v>執行者</v>
          </cell>
          <cell r="F962" t="str">
            <v>格好いい</v>
          </cell>
          <cell r="G962" t="str">
            <v>男性</v>
          </cell>
          <cell r="H962" t="str">
            <v>green</v>
          </cell>
          <cell r="I962">
            <v>6</v>
          </cell>
          <cell r="J962" t="str">
            <v>DropWizS</v>
          </cell>
          <cell r="K962" t="str">
            <v>technical</v>
          </cell>
          <cell r="L962" t="str">
            <v>テクニカルタイプ</v>
          </cell>
          <cell r="M962" t="str">
            <v>human</v>
          </cell>
          <cell r="N962" t="str">
            <v>ヒューマン</v>
          </cell>
          <cell r="O962" t="str">
            <v>none</v>
          </cell>
          <cell r="P962" t="str">
            <v>種族なし</v>
          </cell>
          <cell r="Q962" t="str">
            <v>アタッカー</v>
          </cell>
          <cell r="R962">
            <v>3</v>
          </cell>
          <cell r="S962" t="str">
            <v>NULL</v>
          </cell>
          <cell r="T962" t="str">
            <v>normal</v>
          </cell>
          <cell r="U962" t="str">
            <v>NULL</v>
          </cell>
          <cell r="V962" t="str">
            <v>NULL</v>
          </cell>
          <cell r="W962" t="str">
            <v>NULL</v>
          </cell>
        </row>
        <row r="963">
          <cell r="A963">
            <v>962</v>
          </cell>
          <cell r="B963" t="str">
            <v>ja</v>
          </cell>
          <cell r="C963" t="str">
            <v>酩酊する大宴龍 ヤマタノオロチ</v>
          </cell>
          <cell r="D963" t="str">
            <v>各属性相性良3・黄・R566</v>
          </cell>
          <cell r="E963" t="str">
            <v>執行者</v>
          </cell>
          <cell r="F963" t="str">
            <v>格好いい</v>
          </cell>
          <cell r="G963" t="str">
            <v>男性</v>
          </cell>
          <cell r="H963" t="str">
            <v>green</v>
          </cell>
          <cell r="I963">
            <v>6</v>
          </cell>
          <cell r="J963" t="str">
            <v>PremiumSS</v>
          </cell>
          <cell r="K963" t="str">
            <v>hp</v>
          </cell>
          <cell r="L963" t="str">
            <v>体力タイプ</v>
          </cell>
          <cell r="M963" t="str">
            <v>dragon</v>
          </cell>
          <cell r="N963" t="str">
            <v>ドラゴン</v>
          </cell>
          <cell r="O963" t="str">
            <v>none</v>
          </cell>
          <cell r="P963" t="str">
            <v>種族なし</v>
          </cell>
          <cell r="Q963" t="str">
            <v>アタッカー</v>
          </cell>
          <cell r="R963">
            <v>3</v>
          </cell>
          <cell r="S963" t="str">
            <v>NULL</v>
          </cell>
          <cell r="T963" t="str">
            <v>normal</v>
          </cell>
          <cell r="U963" t="str">
            <v>NULL</v>
          </cell>
          <cell r="V963" t="str">
            <v>NULL</v>
          </cell>
          <cell r="W963" t="str">
            <v>NULL</v>
          </cell>
        </row>
        <row r="964">
          <cell r="A964">
            <v>963</v>
          </cell>
          <cell r="B964" t="str">
            <v>ja</v>
          </cell>
          <cell r="C964" t="str">
            <v>天蛇の閃皇貴魔 アスタロト</v>
          </cell>
          <cell r="D964" t="str">
            <v>各属性相性良3・黄・R567</v>
          </cell>
          <cell r="E964" t="str">
            <v>執行者</v>
          </cell>
          <cell r="F964" t="str">
            <v>格好いい</v>
          </cell>
          <cell r="G964" t="str">
            <v>男性</v>
          </cell>
          <cell r="H964" t="str">
            <v>yellow</v>
          </cell>
          <cell r="I964">
            <v>6</v>
          </cell>
          <cell r="J964" t="str">
            <v>PremiumSS</v>
          </cell>
          <cell r="K964" t="str">
            <v>attack</v>
          </cell>
          <cell r="L964" t="str">
            <v>攻撃タイプ</v>
          </cell>
          <cell r="M964" t="str">
            <v>god</v>
          </cell>
          <cell r="N964" t="str">
            <v>ゴッド</v>
          </cell>
          <cell r="O964" t="str">
            <v>none</v>
          </cell>
          <cell r="P964" t="str">
            <v>種族なし</v>
          </cell>
          <cell r="Q964" t="str">
            <v>アタッカー</v>
          </cell>
          <cell r="R964">
            <v>3</v>
          </cell>
          <cell r="S964" t="str">
            <v>NULL</v>
          </cell>
          <cell r="T964" t="str">
            <v>normal</v>
          </cell>
          <cell r="U964" t="str">
            <v>NULL</v>
          </cell>
          <cell r="V964" t="str">
            <v>NULL</v>
          </cell>
          <cell r="W964" t="str">
            <v>NULL</v>
          </cell>
        </row>
        <row r="965">
          <cell r="A965">
            <v>964</v>
          </cell>
          <cell r="B965" t="str">
            <v>ja</v>
          </cell>
          <cell r="C965" t="str">
            <v>海破雨散の海龍 リヴァイアサン</v>
          </cell>
          <cell r="D965" t="str">
            <v>各属性相性良3・黄・R568</v>
          </cell>
          <cell r="E965" t="str">
            <v>執行者</v>
          </cell>
          <cell r="F965" t="str">
            <v>格好いい</v>
          </cell>
          <cell r="G965" t="str">
            <v>男性</v>
          </cell>
          <cell r="H965" t="str">
            <v>blue</v>
          </cell>
          <cell r="I965">
            <v>6</v>
          </cell>
          <cell r="J965" t="str">
            <v>PremiumSS</v>
          </cell>
          <cell r="K965" t="str">
            <v>balance</v>
          </cell>
          <cell r="L965" t="str">
            <v>バランスタイプ</v>
          </cell>
          <cell r="M965" t="str">
            <v>dragon</v>
          </cell>
          <cell r="N965" t="str">
            <v>ドラゴン</v>
          </cell>
          <cell r="O965" t="str">
            <v>none</v>
          </cell>
          <cell r="P965" t="str">
            <v>種族なし</v>
          </cell>
          <cell r="Q965" t="str">
            <v>アタッカー</v>
          </cell>
          <cell r="R965">
            <v>3</v>
          </cell>
          <cell r="S965" t="str">
            <v>NULL</v>
          </cell>
          <cell r="T965" t="str">
            <v>normal</v>
          </cell>
          <cell r="U965" t="str">
            <v>NULL</v>
          </cell>
          <cell r="V965" t="str">
            <v>NULL</v>
          </cell>
          <cell r="W965" t="str">
            <v>NULL</v>
          </cell>
        </row>
        <row r="966">
          <cell r="A966">
            <v>965</v>
          </cell>
          <cell r="B966" t="str">
            <v>ja</v>
          </cell>
          <cell r="C966" t="str">
            <v>穿熱の緋龍王 キング・ドライグ</v>
          </cell>
          <cell r="D966" t="str">
            <v>各属性相性良3・黄・R569</v>
          </cell>
          <cell r="E966" t="str">
            <v>執行者</v>
          </cell>
          <cell r="F966" t="str">
            <v>格好いい</v>
          </cell>
          <cell r="G966" t="str">
            <v>男性</v>
          </cell>
          <cell r="H966" t="str">
            <v>red</v>
          </cell>
          <cell r="I966">
            <v>6</v>
          </cell>
          <cell r="J966" t="str">
            <v>PremiumSS</v>
          </cell>
          <cell r="K966" t="str">
            <v>attack</v>
          </cell>
          <cell r="L966" t="str">
            <v>攻撃タイプ</v>
          </cell>
          <cell r="M966" t="str">
            <v>dragon</v>
          </cell>
          <cell r="N966" t="str">
            <v>ドラゴン</v>
          </cell>
          <cell r="O966" t="str">
            <v>none</v>
          </cell>
          <cell r="P966" t="str">
            <v>種族なし</v>
          </cell>
          <cell r="Q966" t="str">
            <v>アタッカー</v>
          </cell>
          <cell r="R966">
            <v>3</v>
          </cell>
          <cell r="S966" t="str">
            <v>NULL</v>
          </cell>
          <cell r="T966" t="str">
            <v>normal</v>
          </cell>
          <cell r="U966" t="str">
            <v>NULL</v>
          </cell>
          <cell r="V966" t="str">
            <v>NULL</v>
          </cell>
          <cell r="W966" t="str">
            <v>NULL</v>
          </cell>
        </row>
        <row r="967">
          <cell r="A967">
            <v>966</v>
          </cell>
          <cell r="B967" t="str">
            <v>ja</v>
          </cell>
          <cell r="C967" t="str">
            <v>麗嵐の颯愛志士 土方歳三</v>
          </cell>
          <cell r="D967" t="str">
            <v>各属性相性良3・黄・R570</v>
          </cell>
          <cell r="E967" t="str">
            <v>執行者</v>
          </cell>
          <cell r="F967" t="str">
            <v>格好いい</v>
          </cell>
          <cell r="G967" t="str">
            <v>男性</v>
          </cell>
          <cell r="H967" t="str">
            <v>green</v>
          </cell>
          <cell r="I967">
            <v>6</v>
          </cell>
          <cell r="J967" t="str">
            <v>PremiumSS</v>
          </cell>
          <cell r="K967" t="str">
            <v>attack</v>
          </cell>
          <cell r="L967" t="str">
            <v>攻撃タイプ</v>
          </cell>
          <cell r="M967" t="str">
            <v>human</v>
          </cell>
          <cell r="N967" t="str">
            <v>ヒューマン</v>
          </cell>
          <cell r="O967" t="str">
            <v>samurai</v>
          </cell>
          <cell r="P967" t="str">
            <v>サムライ</v>
          </cell>
          <cell r="Q967" t="str">
            <v>アタッカー</v>
          </cell>
          <cell r="R967">
            <v>3</v>
          </cell>
          <cell r="S967" t="str">
            <v>NULL</v>
          </cell>
          <cell r="T967" t="str">
            <v>normal</v>
          </cell>
          <cell r="U967" t="str">
            <v>NULL</v>
          </cell>
          <cell r="V967" t="str">
            <v>NULL</v>
          </cell>
          <cell r="W967" t="str">
            <v>NULL</v>
          </cell>
        </row>
        <row r="968">
          <cell r="A968">
            <v>967</v>
          </cell>
          <cell r="B968" t="str">
            <v>ja</v>
          </cell>
          <cell r="C968" t="str">
            <v>討滅の凶妖志士 斎藤一</v>
          </cell>
          <cell r="D968" t="str">
            <v>各属性相性良3・黄・R571</v>
          </cell>
          <cell r="E968" t="str">
            <v>執行者</v>
          </cell>
          <cell r="F968" t="str">
            <v>格好いい</v>
          </cell>
          <cell r="G968" t="str">
            <v>男性</v>
          </cell>
          <cell r="H968" t="str">
            <v>yellow</v>
          </cell>
          <cell r="I968">
            <v>6</v>
          </cell>
          <cell r="J968" t="str">
            <v>PremiumSS</v>
          </cell>
          <cell r="K968" t="str">
            <v>technical</v>
          </cell>
          <cell r="L968" t="str">
            <v>テクニカルタイプ</v>
          </cell>
          <cell r="M968" t="str">
            <v>human</v>
          </cell>
          <cell r="N968" t="str">
            <v>ヒューマン</v>
          </cell>
          <cell r="O968" t="str">
            <v>samurai</v>
          </cell>
          <cell r="P968" t="str">
            <v>サムライ</v>
          </cell>
          <cell r="Q968" t="str">
            <v>アタッカー</v>
          </cell>
          <cell r="R968">
            <v>3</v>
          </cell>
          <cell r="S968" t="str">
            <v>NULL</v>
          </cell>
          <cell r="T968" t="str">
            <v>normal</v>
          </cell>
          <cell r="U968" t="str">
            <v>NULL</v>
          </cell>
          <cell r="V968" t="str">
            <v>NULL</v>
          </cell>
          <cell r="W968" t="str">
            <v>NULL</v>
          </cell>
        </row>
        <row r="969">
          <cell r="A969">
            <v>968</v>
          </cell>
          <cell r="B969" t="str">
            <v>ja</v>
          </cell>
          <cell r="C969" t="str">
            <v>夢謀の愚幻者 フール</v>
          </cell>
          <cell r="D969" t="str">
            <v>各属性相性良3・黄・R572</v>
          </cell>
          <cell r="E969" t="str">
            <v>執行者</v>
          </cell>
          <cell r="F969" t="str">
            <v>格好いい</v>
          </cell>
          <cell r="G969" t="str">
            <v>男性</v>
          </cell>
          <cell r="H969" t="str">
            <v>blue</v>
          </cell>
          <cell r="I969">
            <v>6</v>
          </cell>
          <cell r="J969" t="str">
            <v>PremiumSS</v>
          </cell>
          <cell r="K969" t="str">
            <v>technical</v>
          </cell>
          <cell r="L969" t="str">
            <v>テクニカルタイプ</v>
          </cell>
          <cell r="M969" t="str">
            <v>god</v>
          </cell>
          <cell r="N969" t="str">
            <v>ゴッド</v>
          </cell>
          <cell r="O969" t="str">
            <v>none</v>
          </cell>
          <cell r="P969" t="str">
            <v>種族なし</v>
          </cell>
          <cell r="Q969" t="str">
            <v>アタッカー</v>
          </cell>
          <cell r="R969">
            <v>3</v>
          </cell>
          <cell r="S969" t="str">
            <v>NULL</v>
          </cell>
          <cell r="T969" t="str">
            <v>normal</v>
          </cell>
          <cell r="U969" t="str">
            <v>NULL</v>
          </cell>
          <cell r="V969" t="str">
            <v>NULL</v>
          </cell>
          <cell r="W969" t="str">
            <v>NULL</v>
          </cell>
        </row>
        <row r="970">
          <cell r="A970">
            <v>969</v>
          </cell>
          <cell r="B970" t="str">
            <v>ja</v>
          </cell>
          <cell r="C970" t="str">
            <v>超排撃の焔砲巨神 ユミル</v>
          </cell>
          <cell r="D970" t="str">
            <v>各属性相性良3・黄・R573</v>
          </cell>
          <cell r="E970" t="str">
            <v>執行者</v>
          </cell>
          <cell r="F970" t="str">
            <v>格好いい</v>
          </cell>
          <cell r="G970" t="str">
            <v>男性</v>
          </cell>
          <cell r="H970" t="str">
            <v>red</v>
          </cell>
          <cell r="I970">
            <v>6</v>
          </cell>
          <cell r="J970" t="str">
            <v>PremiumSS</v>
          </cell>
          <cell r="K970" t="str">
            <v>hp</v>
          </cell>
          <cell r="L970" t="str">
            <v>体力タイプ</v>
          </cell>
          <cell r="M970" t="str">
            <v>machine</v>
          </cell>
          <cell r="N970" t="str">
            <v>マシン</v>
          </cell>
          <cell r="O970" t="str">
            <v>none</v>
          </cell>
          <cell r="P970" t="str">
            <v>種族なし</v>
          </cell>
          <cell r="Q970" t="str">
            <v>アタッカー</v>
          </cell>
          <cell r="R970">
            <v>3</v>
          </cell>
          <cell r="S970" t="str">
            <v>NULL</v>
          </cell>
          <cell r="T970" t="str">
            <v>normal</v>
          </cell>
          <cell r="U970" t="str">
            <v>NULL</v>
          </cell>
          <cell r="V970" t="str">
            <v>NULL</v>
          </cell>
          <cell r="W970" t="str">
            <v>NULL</v>
          </cell>
        </row>
        <row r="971">
          <cell r="A971">
            <v>970</v>
          </cell>
          <cell r="B971" t="str">
            <v>ja</v>
          </cell>
          <cell r="C971" t="str">
            <v>目醒の鋏牙 ラプンツェル</v>
          </cell>
          <cell r="D971" t="str">
            <v>各属性相性良3・黄・R574</v>
          </cell>
          <cell r="E971" t="str">
            <v>執行者</v>
          </cell>
          <cell r="F971" t="str">
            <v>格好いい</v>
          </cell>
          <cell r="G971" t="str">
            <v>男性</v>
          </cell>
          <cell r="H971" t="str">
            <v>yellow</v>
          </cell>
          <cell r="I971">
            <v>6</v>
          </cell>
          <cell r="J971" t="str">
            <v>PremiumSS</v>
          </cell>
          <cell r="K971" t="str">
            <v>balance</v>
          </cell>
          <cell r="L971" t="str">
            <v>バランスタイプ</v>
          </cell>
          <cell r="M971" t="str">
            <v>human</v>
          </cell>
          <cell r="N971" t="str">
            <v>ヒューマン</v>
          </cell>
          <cell r="O971" t="str">
            <v>none</v>
          </cell>
          <cell r="P971" t="str">
            <v>種族なし</v>
          </cell>
          <cell r="Q971" t="str">
            <v>アタッカー</v>
          </cell>
          <cell r="R971">
            <v>3</v>
          </cell>
          <cell r="S971" t="str">
            <v>NULL</v>
          </cell>
          <cell r="T971" t="str">
            <v>normal</v>
          </cell>
          <cell r="U971" t="str">
            <v>NULL</v>
          </cell>
          <cell r="V971" t="str">
            <v>NULL</v>
          </cell>
          <cell r="W971" t="str">
            <v>NULL</v>
          </cell>
        </row>
        <row r="972">
          <cell r="A972">
            <v>971</v>
          </cell>
          <cell r="B972" t="str">
            <v>ja</v>
          </cell>
          <cell r="C972" t="str">
            <v>機獅蛮勇 ブレイブリー・ライオン</v>
          </cell>
          <cell r="D972" t="str">
            <v>各属性相性良3・黄・R575</v>
          </cell>
          <cell r="E972" t="str">
            <v>執行者</v>
          </cell>
          <cell r="F972" t="str">
            <v>格好いい</v>
          </cell>
          <cell r="G972" t="str">
            <v>男性</v>
          </cell>
          <cell r="H972" t="str">
            <v>yellow</v>
          </cell>
          <cell r="I972">
            <v>6</v>
          </cell>
          <cell r="J972" t="str">
            <v>PremiumSS</v>
          </cell>
          <cell r="K972" t="str">
            <v>hp</v>
          </cell>
          <cell r="L972" t="str">
            <v>体力タイプ</v>
          </cell>
          <cell r="M972" t="str">
            <v>animal</v>
          </cell>
          <cell r="N972" t="str">
            <v>アニマル</v>
          </cell>
          <cell r="O972" t="str">
            <v>god</v>
          </cell>
          <cell r="P972" t="str">
            <v>ゴッド</v>
          </cell>
          <cell r="Q972" t="str">
            <v>アタッカー</v>
          </cell>
          <cell r="R972">
            <v>3</v>
          </cell>
          <cell r="S972" t="str">
            <v>NULL</v>
          </cell>
          <cell r="T972" t="str">
            <v>normal</v>
          </cell>
          <cell r="U972" t="str">
            <v>NULL</v>
          </cell>
          <cell r="V972" t="str">
            <v>NULL</v>
          </cell>
          <cell r="W972" t="str">
            <v>NULL</v>
          </cell>
        </row>
        <row r="973">
          <cell r="A973">
            <v>972</v>
          </cell>
          <cell r="B973" t="str">
            <v>ja</v>
          </cell>
          <cell r="C973" t="str">
            <v>コーシー</v>
          </cell>
          <cell r="D973" t="str">
            <v>各属性相性良3・黄・R576</v>
          </cell>
          <cell r="E973" t="str">
            <v>執行者</v>
          </cell>
          <cell r="F973" t="str">
            <v>格好いい</v>
          </cell>
          <cell r="G973" t="str">
            <v>男性</v>
          </cell>
          <cell r="H973" t="str">
            <v>red</v>
          </cell>
          <cell r="I973">
            <v>5</v>
          </cell>
          <cell r="J973" t="str">
            <v>PremiumSSS</v>
          </cell>
          <cell r="K973" t="str">
            <v>attack</v>
          </cell>
          <cell r="L973" t="str">
            <v>攻撃タイプ</v>
          </cell>
          <cell r="M973" t="str">
            <v>academia</v>
          </cell>
          <cell r="N973" t="str">
            <v>アカデミア</v>
          </cell>
          <cell r="O973" t="str">
            <v>unknown</v>
          </cell>
          <cell r="P973" t="str">
            <v>Unknown</v>
          </cell>
          <cell r="Q973" t="str">
            <v>アタッカー</v>
          </cell>
          <cell r="R973">
            <v>3</v>
          </cell>
          <cell r="S973" t="str">
            <v>NULL</v>
          </cell>
          <cell r="T973" t="str">
            <v>normal</v>
          </cell>
          <cell r="U973" t="str">
            <v>NULL</v>
          </cell>
          <cell r="V973" t="str">
            <v>NULL</v>
          </cell>
          <cell r="W973" t="str">
            <v>NULL</v>
          </cell>
        </row>
        <row r="974">
          <cell r="A974">
            <v>973</v>
          </cell>
          <cell r="B974" t="str">
            <v>ja</v>
          </cell>
          <cell r="C974" t="str">
            <v>幻蜜なる怪跡 コーシー</v>
          </cell>
          <cell r="D974" t="str">
            <v>各属性相性良3・黄・R577</v>
          </cell>
          <cell r="E974" t="str">
            <v>執行者</v>
          </cell>
          <cell r="F974" t="str">
            <v>格好いい</v>
          </cell>
          <cell r="G974" t="str">
            <v>男性</v>
          </cell>
          <cell r="H974" t="str">
            <v>red</v>
          </cell>
          <cell r="I974">
            <v>6</v>
          </cell>
          <cell r="J974" t="str">
            <v>PremiumSSS</v>
          </cell>
          <cell r="K974" t="str">
            <v>attack</v>
          </cell>
          <cell r="L974" t="str">
            <v>攻撃タイプ</v>
          </cell>
          <cell r="M974" t="str">
            <v>academia</v>
          </cell>
          <cell r="N974" t="str">
            <v>アカデミア</v>
          </cell>
          <cell r="O974" t="str">
            <v>unknown</v>
          </cell>
          <cell r="P974" t="str">
            <v>Unknown</v>
          </cell>
          <cell r="Q974" t="str">
            <v>アタッカー</v>
          </cell>
          <cell r="R974">
            <v>3</v>
          </cell>
          <cell r="S974" t="str">
            <v>NULL</v>
          </cell>
          <cell r="T974" t="str">
            <v>normal</v>
          </cell>
          <cell r="U974" t="str">
            <v>NULL</v>
          </cell>
          <cell r="V974" t="str">
            <v>NULL</v>
          </cell>
          <cell r="W974" t="str">
            <v>NULL</v>
          </cell>
        </row>
        <row r="975">
          <cell r="A975">
            <v>974</v>
          </cell>
          <cell r="B975" t="str">
            <v>ja</v>
          </cell>
          <cell r="C975" t="str">
            <v>ブール</v>
          </cell>
          <cell r="D975" t="str">
            <v>各属性相性良3・黄・R578</v>
          </cell>
          <cell r="E975" t="str">
            <v>執行者</v>
          </cell>
          <cell r="F975" t="str">
            <v>格好いい</v>
          </cell>
          <cell r="G975" t="str">
            <v>男性</v>
          </cell>
          <cell r="H975" t="str">
            <v>blue</v>
          </cell>
          <cell r="I975">
            <v>5</v>
          </cell>
          <cell r="J975" t="str">
            <v>PremiumSSS</v>
          </cell>
          <cell r="K975" t="str">
            <v>balance</v>
          </cell>
          <cell r="L975" t="str">
            <v>バランスタイプ</v>
          </cell>
          <cell r="M975" t="str">
            <v>academia</v>
          </cell>
          <cell r="N975" t="str">
            <v>アカデミア</v>
          </cell>
          <cell r="O975" t="str">
            <v>none</v>
          </cell>
          <cell r="P975" t="str">
            <v>種族なし</v>
          </cell>
          <cell r="Q975" t="str">
            <v>アタッカー</v>
          </cell>
          <cell r="R975">
            <v>3</v>
          </cell>
          <cell r="S975" t="str">
            <v>NULL</v>
          </cell>
          <cell r="T975" t="str">
            <v>normal</v>
          </cell>
          <cell r="U975" t="str">
            <v>NULL</v>
          </cell>
          <cell r="V975" t="str">
            <v>NULL</v>
          </cell>
          <cell r="W975" t="str">
            <v>NULL</v>
          </cell>
        </row>
        <row r="976">
          <cell r="A976">
            <v>975</v>
          </cell>
          <cell r="B976" t="str">
            <v>ja</v>
          </cell>
          <cell r="C976" t="str">
            <v>綺号を巡る輝翼 ブール</v>
          </cell>
          <cell r="D976" t="str">
            <v>各属性相性良3・黄・R579</v>
          </cell>
          <cell r="E976" t="str">
            <v>執行者</v>
          </cell>
          <cell r="F976" t="str">
            <v>格好いい</v>
          </cell>
          <cell r="G976" t="str">
            <v>男性</v>
          </cell>
          <cell r="H976" t="str">
            <v>blue</v>
          </cell>
          <cell r="I976">
            <v>6</v>
          </cell>
          <cell r="J976" t="str">
            <v>PremiumSSS</v>
          </cell>
          <cell r="K976" t="str">
            <v>balance</v>
          </cell>
          <cell r="L976" t="str">
            <v>バランスタイプ</v>
          </cell>
          <cell r="M976" t="str">
            <v>academia</v>
          </cell>
          <cell r="N976" t="str">
            <v>アカデミア</v>
          </cell>
          <cell r="O976" t="str">
            <v>none</v>
          </cell>
          <cell r="P976" t="str">
            <v>種族なし</v>
          </cell>
          <cell r="Q976" t="str">
            <v>アタッカー</v>
          </cell>
          <cell r="R976">
            <v>3</v>
          </cell>
          <cell r="S976" t="str">
            <v>NULL</v>
          </cell>
          <cell r="T976" t="str">
            <v>normal</v>
          </cell>
          <cell r="U976" t="str">
            <v>NULL</v>
          </cell>
          <cell r="V976" t="str">
            <v>NULL</v>
          </cell>
          <cell r="W976" t="str">
            <v>NULL</v>
          </cell>
        </row>
        <row r="977">
          <cell r="A977">
            <v>976</v>
          </cell>
          <cell r="B977" t="str">
            <v>ja</v>
          </cell>
          <cell r="C977" t="str">
            <v>ウザリーマン</v>
          </cell>
          <cell r="D977" t="str">
            <v>各属性相性良3・黄・R483</v>
          </cell>
          <cell r="E977" t="str">
            <v>執行者</v>
          </cell>
          <cell r="F977" t="str">
            <v>格好いい</v>
          </cell>
          <cell r="G977" t="str">
            <v>男性</v>
          </cell>
          <cell r="H977" t="str">
            <v>red</v>
          </cell>
          <cell r="I977">
            <v>3</v>
          </cell>
          <cell r="J977" t="str">
            <v>Drop2N</v>
          </cell>
          <cell r="K977" t="str">
            <v>technical</v>
          </cell>
          <cell r="L977" t="str">
            <v>テクニカルタイプ</v>
          </cell>
          <cell r="M977" t="str">
            <v>unknown</v>
          </cell>
          <cell r="N977" t="str">
            <v>Unknown</v>
          </cell>
          <cell r="O977" t="str">
            <v>human</v>
          </cell>
          <cell r="P977" t="str">
            <v>ヒューマン</v>
          </cell>
          <cell r="Q977" t="str">
            <v>アタッカー</v>
          </cell>
          <cell r="R977">
            <v>3</v>
          </cell>
          <cell r="S977" t="str">
            <v>enemy_only</v>
          </cell>
          <cell r="T977" t="str">
            <v>normal</v>
          </cell>
          <cell r="U977" t="str">
            <v>NULL</v>
          </cell>
          <cell r="V977" t="str">
            <v>NULL</v>
          </cell>
          <cell r="W977" t="str">
            <v>NULL</v>
          </cell>
        </row>
        <row r="978">
          <cell r="A978">
            <v>977</v>
          </cell>
          <cell r="B978" t="str">
            <v>ja</v>
          </cell>
          <cell r="C978" t="str">
            <v>リヴァイ お掃除ver</v>
          </cell>
          <cell r="D978" t="str">
            <v>リヴァイ お掃除ver.</v>
          </cell>
          <cell r="E978" t="str">
            <v>執行者</v>
          </cell>
          <cell r="F978" t="str">
            <v>格好いい</v>
          </cell>
          <cell r="G978" t="str">
            <v>男性</v>
          </cell>
          <cell r="H978" t="str">
            <v>blue</v>
          </cell>
          <cell r="I978">
            <v>4</v>
          </cell>
          <cell r="J978" t="str">
            <v>Drop2N</v>
          </cell>
          <cell r="K978" t="str">
            <v>balance</v>
          </cell>
          <cell r="L978" t="str">
            <v>バランスタイプ</v>
          </cell>
          <cell r="M978" t="str">
            <v>human</v>
          </cell>
          <cell r="N978" t="str">
            <v>ヒューマン</v>
          </cell>
          <cell r="O978" t="str">
            <v>none</v>
          </cell>
          <cell r="P978" t="str">
            <v>種族なし</v>
          </cell>
          <cell r="Q978" t="str">
            <v>アタッカー</v>
          </cell>
          <cell r="R978">
            <v>3</v>
          </cell>
          <cell r="S978" t="str">
            <v>NULL</v>
          </cell>
          <cell r="T978" t="str">
            <v>normal</v>
          </cell>
          <cell r="U978" t="str">
            <v>NULL</v>
          </cell>
          <cell r="V978" t="str">
            <v>NULL</v>
          </cell>
          <cell r="W978" t="str">
            <v>NULL</v>
          </cell>
        </row>
        <row r="979">
          <cell r="A979">
            <v>978</v>
          </cell>
          <cell r="B979" t="str">
            <v>ja</v>
          </cell>
          <cell r="C979" t="str">
            <v>潔癖の掃討 リヴァイ お掃除ver</v>
          </cell>
          <cell r="D979" t="str">
            <v>リヴァイ お掃除ver.</v>
          </cell>
          <cell r="E979" t="str">
            <v>執行者</v>
          </cell>
          <cell r="F979" t="str">
            <v>格好いい</v>
          </cell>
          <cell r="G979" t="str">
            <v>男性</v>
          </cell>
          <cell r="H979" t="str">
            <v>blue</v>
          </cell>
          <cell r="I979">
            <v>5</v>
          </cell>
          <cell r="J979" t="str">
            <v>Drop2N</v>
          </cell>
          <cell r="K979" t="str">
            <v>balance</v>
          </cell>
          <cell r="L979" t="str">
            <v>バランスタイプ</v>
          </cell>
          <cell r="M979" t="str">
            <v>human</v>
          </cell>
          <cell r="N979" t="str">
            <v>ヒューマン</v>
          </cell>
          <cell r="O979" t="str">
            <v>none</v>
          </cell>
          <cell r="P979" t="str">
            <v>種族なし</v>
          </cell>
          <cell r="Q979" t="str">
            <v>アタッカー</v>
          </cell>
          <cell r="R979">
            <v>3</v>
          </cell>
          <cell r="S979" t="str">
            <v>NULL</v>
          </cell>
          <cell r="T979" t="str">
            <v>normal</v>
          </cell>
          <cell r="U979" t="str">
            <v>NULL</v>
          </cell>
          <cell r="V979" t="str">
            <v>NULL</v>
          </cell>
          <cell r="W979" t="str">
            <v>NULL</v>
          </cell>
        </row>
        <row r="980">
          <cell r="A980">
            <v>979</v>
          </cell>
          <cell r="B980" t="str">
            <v>ja</v>
          </cell>
          <cell r="C980" t="str">
            <v>超大型巨人</v>
          </cell>
          <cell r="D980" t="str">
            <v>超大型巨人</v>
          </cell>
          <cell r="E980" t="str">
            <v>執行者</v>
          </cell>
          <cell r="F980" t="str">
            <v>格好いい</v>
          </cell>
          <cell r="G980" t="str">
            <v>男性</v>
          </cell>
          <cell r="H980" t="str">
            <v>red</v>
          </cell>
          <cell r="I980">
            <v>5</v>
          </cell>
          <cell r="J980" t="str">
            <v>DropWizS</v>
          </cell>
          <cell r="K980" t="str">
            <v>hp</v>
          </cell>
          <cell r="L980" t="str">
            <v>体力タイプ</v>
          </cell>
          <cell r="M980" t="str">
            <v>unknown</v>
          </cell>
          <cell r="N980" t="str">
            <v>Unknown</v>
          </cell>
          <cell r="O980" t="str">
            <v>none</v>
          </cell>
          <cell r="P980" t="str">
            <v>種族なし</v>
          </cell>
          <cell r="Q980" t="str">
            <v>アタッカー</v>
          </cell>
          <cell r="R980">
            <v>3</v>
          </cell>
          <cell r="S980" t="str">
            <v>NULL</v>
          </cell>
          <cell r="T980" t="str">
            <v>normal</v>
          </cell>
          <cell r="U980" t="str">
            <v>NULL</v>
          </cell>
          <cell r="V980" t="str">
            <v>NULL</v>
          </cell>
          <cell r="W980" t="str">
            <v>NULL</v>
          </cell>
        </row>
        <row r="981">
          <cell r="A981">
            <v>980</v>
          </cell>
          <cell r="B981" t="str">
            <v>ja</v>
          </cell>
          <cell r="C981" t="str">
            <v>猛熱の災厄 超大型巨人</v>
          </cell>
          <cell r="D981" t="str">
            <v>超大型巨人</v>
          </cell>
          <cell r="E981" t="str">
            <v>執行者</v>
          </cell>
          <cell r="F981" t="str">
            <v>格好いい</v>
          </cell>
          <cell r="G981" t="str">
            <v>男性</v>
          </cell>
          <cell r="H981" t="str">
            <v>red</v>
          </cell>
          <cell r="I981">
            <v>6</v>
          </cell>
          <cell r="J981" t="str">
            <v>DropWizS</v>
          </cell>
          <cell r="K981" t="str">
            <v>hp</v>
          </cell>
          <cell r="L981" t="str">
            <v>体力タイプ</v>
          </cell>
          <cell r="M981" t="str">
            <v>unknown</v>
          </cell>
          <cell r="N981" t="str">
            <v>Unknown</v>
          </cell>
          <cell r="O981" t="str">
            <v>none</v>
          </cell>
          <cell r="P981" t="str">
            <v>種族なし</v>
          </cell>
          <cell r="Q981" t="str">
            <v>アタッカー</v>
          </cell>
          <cell r="R981">
            <v>3</v>
          </cell>
          <cell r="S981" t="str">
            <v>NULL</v>
          </cell>
          <cell r="T981" t="str">
            <v>normal</v>
          </cell>
          <cell r="U981" t="str">
            <v>NULL</v>
          </cell>
          <cell r="V981" t="str">
            <v>NULL</v>
          </cell>
          <cell r="W981" t="str">
            <v>NULL</v>
          </cell>
        </row>
        <row r="982">
          <cell r="A982">
            <v>981</v>
          </cell>
          <cell r="B982" t="str">
            <v>ja</v>
          </cell>
          <cell r="C982" t="str">
            <v>女型の巨人</v>
          </cell>
          <cell r="D982" t="str">
            <v>女型の巨人</v>
          </cell>
          <cell r="E982" t="str">
            <v>執行者</v>
          </cell>
          <cell r="F982" t="str">
            <v>格好いい</v>
          </cell>
          <cell r="G982" t="str">
            <v>男性</v>
          </cell>
          <cell r="H982" t="str">
            <v>green</v>
          </cell>
          <cell r="I982">
            <v>4</v>
          </cell>
          <cell r="J982" t="str">
            <v>Drop2N</v>
          </cell>
          <cell r="K982" t="str">
            <v>balance</v>
          </cell>
          <cell r="L982" t="str">
            <v>バランスタイプ</v>
          </cell>
          <cell r="M982" t="str">
            <v>unknown</v>
          </cell>
          <cell r="N982" t="str">
            <v>Unknown</v>
          </cell>
          <cell r="O982" t="str">
            <v>none</v>
          </cell>
          <cell r="P982" t="str">
            <v>種族なし</v>
          </cell>
          <cell r="Q982" t="str">
            <v>アタッカー</v>
          </cell>
          <cell r="R982">
            <v>3</v>
          </cell>
          <cell r="S982" t="str">
            <v>NULL</v>
          </cell>
          <cell r="T982" t="str">
            <v>normal</v>
          </cell>
          <cell r="U982" t="str">
            <v>NULL</v>
          </cell>
          <cell r="V982" t="str">
            <v>NULL</v>
          </cell>
          <cell r="W982" t="str">
            <v>NULL</v>
          </cell>
        </row>
        <row r="983">
          <cell r="A983">
            <v>982</v>
          </cell>
          <cell r="B983" t="str">
            <v>ja</v>
          </cell>
          <cell r="C983" t="str">
            <v>柔靭なる剛脚 女型の巨人</v>
          </cell>
          <cell r="D983" t="str">
            <v>女型の巨人</v>
          </cell>
          <cell r="E983" t="str">
            <v>執行者</v>
          </cell>
          <cell r="F983" t="str">
            <v>格好いい</v>
          </cell>
          <cell r="G983" t="str">
            <v>男性</v>
          </cell>
          <cell r="H983" t="str">
            <v>green</v>
          </cell>
          <cell r="I983">
            <v>5</v>
          </cell>
          <cell r="J983" t="str">
            <v>Drop2N</v>
          </cell>
          <cell r="K983" t="str">
            <v>balance</v>
          </cell>
          <cell r="L983" t="str">
            <v>バランスタイプ</v>
          </cell>
          <cell r="M983" t="str">
            <v>unknown</v>
          </cell>
          <cell r="N983" t="str">
            <v>Unknown</v>
          </cell>
          <cell r="O983" t="str">
            <v>none</v>
          </cell>
          <cell r="P983" t="str">
            <v>種族なし</v>
          </cell>
          <cell r="Q983" t="str">
            <v>アタッカー</v>
          </cell>
          <cell r="R983">
            <v>3</v>
          </cell>
          <cell r="S983" t="str">
            <v>NULL</v>
          </cell>
          <cell r="T983" t="str">
            <v>normal</v>
          </cell>
          <cell r="U983" t="str">
            <v>NULL</v>
          </cell>
          <cell r="V983" t="str">
            <v>NULL</v>
          </cell>
          <cell r="W983" t="str">
            <v>NULL</v>
          </cell>
        </row>
        <row r="984">
          <cell r="A984">
            <v>983</v>
          </cell>
          <cell r="B984" t="str">
            <v>ja</v>
          </cell>
          <cell r="C984" t="str">
            <v>鎧の巨人</v>
          </cell>
          <cell r="D984" t="str">
            <v>鎧の巨人</v>
          </cell>
          <cell r="E984" t="str">
            <v>執行者</v>
          </cell>
          <cell r="F984" t="str">
            <v>格好いい</v>
          </cell>
          <cell r="G984" t="str">
            <v>男性</v>
          </cell>
          <cell r="H984" t="str">
            <v>yellow</v>
          </cell>
          <cell r="I984">
            <v>4</v>
          </cell>
          <cell r="J984" t="str">
            <v>Drop2N</v>
          </cell>
          <cell r="K984" t="str">
            <v>attack</v>
          </cell>
          <cell r="L984" t="str">
            <v>攻撃タイプ</v>
          </cell>
          <cell r="M984" t="str">
            <v>unknown</v>
          </cell>
          <cell r="N984" t="str">
            <v>Unknown</v>
          </cell>
          <cell r="O984" t="str">
            <v>none</v>
          </cell>
          <cell r="P984" t="str">
            <v>種族なし</v>
          </cell>
          <cell r="Q984" t="str">
            <v>アタッカー</v>
          </cell>
          <cell r="R984">
            <v>3</v>
          </cell>
          <cell r="S984" t="str">
            <v>NULL</v>
          </cell>
          <cell r="T984" t="str">
            <v>normal</v>
          </cell>
          <cell r="U984" t="str">
            <v>NULL</v>
          </cell>
          <cell r="V984" t="str">
            <v>NULL</v>
          </cell>
          <cell r="W984" t="str">
            <v>NULL</v>
          </cell>
        </row>
        <row r="985">
          <cell r="A985">
            <v>984</v>
          </cell>
          <cell r="B985" t="str">
            <v>ja</v>
          </cell>
          <cell r="C985" t="str">
            <v>破壁の剛弾 鎧の巨人</v>
          </cell>
          <cell r="D985" t="str">
            <v>鎧の巨人</v>
          </cell>
          <cell r="E985" t="str">
            <v>執行者</v>
          </cell>
          <cell r="F985" t="str">
            <v>格好いい</v>
          </cell>
          <cell r="G985" t="str">
            <v>男性</v>
          </cell>
          <cell r="H985" t="str">
            <v>yellow</v>
          </cell>
          <cell r="I985">
            <v>5</v>
          </cell>
          <cell r="J985" t="str">
            <v>Drop2N</v>
          </cell>
          <cell r="K985" t="str">
            <v>attack</v>
          </cell>
          <cell r="L985" t="str">
            <v>攻撃タイプ</v>
          </cell>
          <cell r="M985" t="str">
            <v>unknown</v>
          </cell>
          <cell r="N985" t="str">
            <v>Unknown</v>
          </cell>
          <cell r="O985" t="str">
            <v>none</v>
          </cell>
          <cell r="P985" t="str">
            <v>種族なし</v>
          </cell>
          <cell r="Q985" t="str">
            <v>アタッカー</v>
          </cell>
          <cell r="R985">
            <v>3</v>
          </cell>
          <cell r="S985" t="str">
            <v>NULL</v>
          </cell>
          <cell r="T985" t="str">
            <v>normal</v>
          </cell>
          <cell r="U985" t="str">
            <v>NULL</v>
          </cell>
          <cell r="V985" t="str">
            <v>NULL</v>
          </cell>
          <cell r="W985" t="str">
            <v>NULL</v>
          </cell>
        </row>
        <row r="986">
          <cell r="A986">
            <v>985</v>
          </cell>
          <cell r="B986" t="str">
            <v>ja</v>
          </cell>
          <cell r="C986" t="str">
            <v>エレン</v>
          </cell>
          <cell r="D986" t="str">
            <v>エレン・イェーガー</v>
          </cell>
          <cell r="E986" t="str">
            <v>執行者</v>
          </cell>
          <cell r="F986" t="str">
            <v>格好いい</v>
          </cell>
          <cell r="G986" t="str">
            <v>男性</v>
          </cell>
          <cell r="H986" t="str">
            <v>red</v>
          </cell>
          <cell r="I986">
            <v>5</v>
          </cell>
          <cell r="J986" t="str">
            <v>PremiumSS</v>
          </cell>
          <cell r="K986" t="str">
            <v>balance</v>
          </cell>
          <cell r="L986" t="str">
            <v>バランスタイプ</v>
          </cell>
          <cell r="M986" t="str">
            <v>human</v>
          </cell>
          <cell r="N986" t="str">
            <v>ヒューマン</v>
          </cell>
          <cell r="O986" t="str">
            <v>machine</v>
          </cell>
          <cell r="P986" t="str">
            <v>マシン</v>
          </cell>
          <cell r="Q986" t="str">
            <v>アタッカー</v>
          </cell>
          <cell r="R986">
            <v>3</v>
          </cell>
          <cell r="S986" t="str">
            <v>NULL</v>
          </cell>
          <cell r="T986" t="str">
            <v>normal</v>
          </cell>
          <cell r="U986" t="str">
            <v>NULL</v>
          </cell>
          <cell r="V986" t="str">
            <v>NULL</v>
          </cell>
          <cell r="W986" t="str">
            <v>NULL</v>
          </cell>
        </row>
        <row r="987">
          <cell r="A987">
            <v>986</v>
          </cell>
          <cell r="B987" t="str">
            <v>ja</v>
          </cell>
          <cell r="C987" t="str">
            <v>復讐の誓約 エレン</v>
          </cell>
          <cell r="D987" t="str">
            <v>エレン・イェーガー（人間）</v>
          </cell>
          <cell r="E987" t="str">
            <v>執行者</v>
          </cell>
          <cell r="F987" t="str">
            <v>格好いい</v>
          </cell>
          <cell r="G987" t="str">
            <v>男性</v>
          </cell>
          <cell r="H987" t="str">
            <v>red</v>
          </cell>
          <cell r="I987">
            <v>6</v>
          </cell>
          <cell r="J987" t="str">
            <v>PremiumSS</v>
          </cell>
          <cell r="K987" t="str">
            <v>balance</v>
          </cell>
          <cell r="L987" t="str">
            <v>バランスタイプ</v>
          </cell>
          <cell r="M987" t="str">
            <v>human</v>
          </cell>
          <cell r="N987" t="str">
            <v>ヒューマン</v>
          </cell>
          <cell r="O987" t="str">
            <v>machine</v>
          </cell>
          <cell r="P987" t="str">
            <v>マシン</v>
          </cell>
          <cell r="Q987" t="str">
            <v>アタッカー</v>
          </cell>
          <cell r="R987">
            <v>3</v>
          </cell>
          <cell r="S987" t="str">
            <v>NULL</v>
          </cell>
          <cell r="T987" t="str">
            <v>normal</v>
          </cell>
          <cell r="U987" t="str">
            <v>NULL</v>
          </cell>
          <cell r="V987" t="str">
            <v>NULL</v>
          </cell>
          <cell r="W987" t="str">
            <v>NULL</v>
          </cell>
        </row>
        <row r="988">
          <cell r="A988">
            <v>987</v>
          </cell>
          <cell r="B988" t="str">
            <v>ja</v>
          </cell>
          <cell r="C988" t="str">
            <v>撃壊の眼煌 エレン巨人</v>
          </cell>
          <cell r="D988" t="str">
            <v>エレン・イェーガー（巨人）</v>
          </cell>
          <cell r="E988" t="str">
            <v>執行者</v>
          </cell>
          <cell r="F988" t="str">
            <v>格好いい</v>
          </cell>
          <cell r="G988" t="str">
            <v>男性</v>
          </cell>
          <cell r="H988" t="str">
            <v>blue</v>
          </cell>
          <cell r="I988">
            <v>6</v>
          </cell>
          <cell r="J988" t="str">
            <v>PremiumSS</v>
          </cell>
          <cell r="K988" t="str">
            <v>attack</v>
          </cell>
          <cell r="L988" t="str">
            <v>攻撃タイプ</v>
          </cell>
          <cell r="M988" t="str">
            <v>unknown</v>
          </cell>
          <cell r="N988" t="str">
            <v>Unknown</v>
          </cell>
          <cell r="O988" t="str">
            <v>none</v>
          </cell>
          <cell r="P988" t="str">
            <v>種族なし</v>
          </cell>
          <cell r="Q988" t="str">
            <v>アタッカー</v>
          </cell>
          <cell r="R988">
            <v>3</v>
          </cell>
          <cell r="S988" t="str">
            <v>NULL</v>
          </cell>
          <cell r="T988" t="str">
            <v>normal</v>
          </cell>
          <cell r="U988" t="str">
            <v>NULL</v>
          </cell>
          <cell r="V988" t="str">
            <v>NULL</v>
          </cell>
          <cell r="W988" t="str">
            <v>NULL</v>
          </cell>
        </row>
        <row r="989">
          <cell r="A989">
            <v>988</v>
          </cell>
          <cell r="B989" t="str">
            <v>ja</v>
          </cell>
          <cell r="C989" t="str">
            <v>ミカサ</v>
          </cell>
          <cell r="D989" t="str">
            <v>ミカサ・アッカーマン</v>
          </cell>
          <cell r="E989" t="str">
            <v>執行者</v>
          </cell>
          <cell r="F989" t="str">
            <v>格好いい</v>
          </cell>
          <cell r="G989" t="str">
            <v>男性</v>
          </cell>
          <cell r="H989" t="str">
            <v>red</v>
          </cell>
          <cell r="I989">
            <v>5</v>
          </cell>
          <cell r="J989" t="str">
            <v>PremiumSS</v>
          </cell>
          <cell r="K989" t="str">
            <v>attack</v>
          </cell>
          <cell r="L989" t="str">
            <v>攻撃タイプ</v>
          </cell>
          <cell r="M989" t="str">
            <v>human</v>
          </cell>
          <cell r="N989" t="str">
            <v>ヒューマン</v>
          </cell>
          <cell r="O989" t="str">
            <v>machine</v>
          </cell>
          <cell r="P989" t="str">
            <v>マシン</v>
          </cell>
          <cell r="Q989" t="str">
            <v>アタッカー</v>
          </cell>
          <cell r="R989">
            <v>3</v>
          </cell>
          <cell r="S989" t="str">
            <v>NULL</v>
          </cell>
          <cell r="T989" t="str">
            <v>normal</v>
          </cell>
          <cell r="U989" t="str">
            <v>NULL</v>
          </cell>
          <cell r="V989" t="str">
            <v>NULL</v>
          </cell>
          <cell r="W989" t="str">
            <v>NULL</v>
          </cell>
        </row>
        <row r="990">
          <cell r="A990">
            <v>989</v>
          </cell>
          <cell r="B990" t="str">
            <v>ja</v>
          </cell>
          <cell r="C990" t="str">
            <v>稀代の逸材 ミカサ</v>
          </cell>
          <cell r="D990" t="str">
            <v>ミカサ・アッカーマン</v>
          </cell>
          <cell r="E990" t="str">
            <v>執行者</v>
          </cell>
          <cell r="F990" t="str">
            <v>格好いい</v>
          </cell>
          <cell r="G990" t="str">
            <v>男性</v>
          </cell>
          <cell r="H990" t="str">
            <v>red</v>
          </cell>
          <cell r="I990">
            <v>6</v>
          </cell>
          <cell r="J990" t="str">
            <v>PremiumSS</v>
          </cell>
          <cell r="K990" t="str">
            <v>attack</v>
          </cell>
          <cell r="L990" t="str">
            <v>攻撃タイプ</v>
          </cell>
          <cell r="M990" t="str">
            <v>human</v>
          </cell>
          <cell r="N990" t="str">
            <v>ヒューマン</v>
          </cell>
          <cell r="O990" t="str">
            <v>machine</v>
          </cell>
          <cell r="P990" t="str">
            <v>マシン</v>
          </cell>
          <cell r="Q990" t="str">
            <v>アタッカー</v>
          </cell>
          <cell r="R990">
            <v>3</v>
          </cell>
          <cell r="S990" t="str">
            <v>NULL</v>
          </cell>
          <cell r="T990" t="str">
            <v>normal</v>
          </cell>
          <cell r="U990" t="str">
            <v>NULL</v>
          </cell>
          <cell r="V990" t="str">
            <v>NULL</v>
          </cell>
          <cell r="W990" t="str">
            <v>NULL</v>
          </cell>
        </row>
        <row r="991">
          <cell r="A991">
            <v>990</v>
          </cell>
          <cell r="B991" t="str">
            <v>ja</v>
          </cell>
          <cell r="C991" t="str">
            <v>エルヴィン</v>
          </cell>
          <cell r="D991" t="str">
            <v>エルヴィン・スミス</v>
          </cell>
          <cell r="E991" t="str">
            <v>執行者</v>
          </cell>
          <cell r="F991" t="str">
            <v>格好いい</v>
          </cell>
          <cell r="G991" t="str">
            <v>男性</v>
          </cell>
          <cell r="H991" t="str">
            <v>red</v>
          </cell>
          <cell r="I991">
            <v>4</v>
          </cell>
          <cell r="J991" t="str">
            <v>PremiumS</v>
          </cell>
          <cell r="K991" t="str">
            <v>balance</v>
          </cell>
          <cell r="L991" t="str">
            <v>バランスタイプ</v>
          </cell>
          <cell r="M991" t="str">
            <v>human</v>
          </cell>
          <cell r="N991" t="str">
            <v>ヒューマン</v>
          </cell>
          <cell r="O991" t="str">
            <v>machine</v>
          </cell>
          <cell r="P991" t="str">
            <v>マシン</v>
          </cell>
          <cell r="Q991" t="str">
            <v>アタッカー</v>
          </cell>
          <cell r="R991">
            <v>3</v>
          </cell>
          <cell r="S991" t="str">
            <v>NULL</v>
          </cell>
          <cell r="T991" t="str">
            <v>normal</v>
          </cell>
          <cell r="U991" t="str">
            <v>NULL</v>
          </cell>
          <cell r="V991" t="str">
            <v>NULL</v>
          </cell>
          <cell r="W991" t="str">
            <v>NULL</v>
          </cell>
        </row>
        <row r="992">
          <cell r="A992">
            <v>991</v>
          </cell>
          <cell r="B992" t="str">
            <v>ja</v>
          </cell>
          <cell r="C992" t="str">
            <v>反撃の核心 エルヴィン</v>
          </cell>
          <cell r="D992" t="str">
            <v>エルヴィン・スミス</v>
          </cell>
          <cell r="E992" t="str">
            <v>執行者</v>
          </cell>
          <cell r="F992" t="str">
            <v>格好いい</v>
          </cell>
          <cell r="G992" t="str">
            <v>男性</v>
          </cell>
          <cell r="H992" t="str">
            <v>red</v>
          </cell>
          <cell r="I992">
            <v>5</v>
          </cell>
          <cell r="J992" t="str">
            <v>PremiumS</v>
          </cell>
          <cell r="K992" t="str">
            <v>balance</v>
          </cell>
          <cell r="L992" t="str">
            <v>バランスタイプ</v>
          </cell>
          <cell r="M992" t="str">
            <v>human</v>
          </cell>
          <cell r="N992" t="str">
            <v>ヒューマン</v>
          </cell>
          <cell r="O992" t="str">
            <v>machine</v>
          </cell>
          <cell r="P992" t="str">
            <v>マシン</v>
          </cell>
          <cell r="Q992" t="str">
            <v>アタッカー</v>
          </cell>
          <cell r="R992">
            <v>3</v>
          </cell>
          <cell r="S992" t="str">
            <v>NULL</v>
          </cell>
          <cell r="T992" t="str">
            <v>normal</v>
          </cell>
          <cell r="U992" t="str">
            <v>NULL</v>
          </cell>
          <cell r="V992" t="str">
            <v>NULL</v>
          </cell>
          <cell r="W992" t="str">
            <v>NULL</v>
          </cell>
        </row>
        <row r="993">
          <cell r="A993">
            <v>992</v>
          </cell>
          <cell r="B993" t="str">
            <v>ja</v>
          </cell>
          <cell r="C993" t="str">
            <v>ハンジ</v>
          </cell>
          <cell r="D993" t="str">
            <v>ハンジ・ゾエ</v>
          </cell>
          <cell r="E993" t="str">
            <v>執行者</v>
          </cell>
          <cell r="F993" t="str">
            <v>格好いい</v>
          </cell>
          <cell r="G993" t="str">
            <v>男性</v>
          </cell>
          <cell r="H993" t="str">
            <v>green</v>
          </cell>
          <cell r="I993">
            <v>4</v>
          </cell>
          <cell r="J993" t="str">
            <v>PremiumS</v>
          </cell>
          <cell r="K993" t="str">
            <v>technical</v>
          </cell>
          <cell r="L993" t="str">
            <v>テクニカルタイプ</v>
          </cell>
          <cell r="M993" t="str">
            <v>human</v>
          </cell>
          <cell r="N993" t="str">
            <v>ヒューマン</v>
          </cell>
          <cell r="O993" t="str">
            <v>machine</v>
          </cell>
          <cell r="P993" t="str">
            <v>マシン</v>
          </cell>
          <cell r="Q993" t="str">
            <v>アタッカー</v>
          </cell>
          <cell r="R993">
            <v>3</v>
          </cell>
          <cell r="S993" t="str">
            <v>NULL</v>
          </cell>
          <cell r="T993" t="str">
            <v>normal</v>
          </cell>
          <cell r="U993" t="str">
            <v>NULL</v>
          </cell>
          <cell r="V993" t="str">
            <v>NULL</v>
          </cell>
          <cell r="W993" t="str">
            <v>NULL</v>
          </cell>
        </row>
        <row r="994">
          <cell r="A994">
            <v>993</v>
          </cell>
          <cell r="B994" t="str">
            <v>ja</v>
          </cell>
          <cell r="C994" t="str">
            <v>巨躯への執着 ハンジ</v>
          </cell>
          <cell r="D994" t="str">
            <v>ハンジ・ゾエ</v>
          </cell>
          <cell r="E994" t="str">
            <v>執行者</v>
          </cell>
          <cell r="F994" t="str">
            <v>格好いい</v>
          </cell>
          <cell r="G994" t="str">
            <v>男性</v>
          </cell>
          <cell r="H994" t="str">
            <v>green</v>
          </cell>
          <cell r="I994">
            <v>5</v>
          </cell>
          <cell r="J994" t="str">
            <v>PremiumS</v>
          </cell>
          <cell r="K994" t="str">
            <v>technical</v>
          </cell>
          <cell r="L994" t="str">
            <v>テクニカルタイプ</v>
          </cell>
          <cell r="M994" t="str">
            <v>human</v>
          </cell>
          <cell r="N994" t="str">
            <v>ヒューマン</v>
          </cell>
          <cell r="O994" t="str">
            <v>machine</v>
          </cell>
          <cell r="P994" t="str">
            <v>マシン</v>
          </cell>
          <cell r="Q994" t="str">
            <v>アタッカー</v>
          </cell>
          <cell r="R994">
            <v>3</v>
          </cell>
          <cell r="S994" t="str">
            <v>NULL</v>
          </cell>
          <cell r="T994" t="str">
            <v>normal</v>
          </cell>
          <cell r="U994" t="str">
            <v>NULL</v>
          </cell>
          <cell r="V994" t="str">
            <v>NULL</v>
          </cell>
          <cell r="W994" t="str">
            <v>NULL</v>
          </cell>
        </row>
        <row r="995">
          <cell r="A995">
            <v>994</v>
          </cell>
          <cell r="B995" t="str">
            <v>ja</v>
          </cell>
          <cell r="C995" t="str">
            <v>アルミン</v>
          </cell>
          <cell r="D995" t="str">
            <v>アルミン・アルレルト</v>
          </cell>
          <cell r="E995" t="str">
            <v>執行者</v>
          </cell>
          <cell r="F995" t="str">
            <v>格好いい</v>
          </cell>
          <cell r="G995" t="str">
            <v>男性</v>
          </cell>
          <cell r="H995" t="str">
            <v>green</v>
          </cell>
          <cell r="I995">
            <v>4</v>
          </cell>
          <cell r="J995" t="str">
            <v>PremiumS</v>
          </cell>
          <cell r="K995" t="str">
            <v>balance</v>
          </cell>
          <cell r="L995" t="str">
            <v>バランスタイプ</v>
          </cell>
          <cell r="M995" t="str">
            <v>human</v>
          </cell>
          <cell r="N995" t="str">
            <v>ヒューマン</v>
          </cell>
          <cell r="O995" t="str">
            <v>machine</v>
          </cell>
          <cell r="P995" t="str">
            <v>マシン</v>
          </cell>
          <cell r="Q995" t="str">
            <v>アタッカー</v>
          </cell>
          <cell r="R995">
            <v>3</v>
          </cell>
          <cell r="S995" t="str">
            <v>NULL</v>
          </cell>
          <cell r="T995" t="str">
            <v>normal</v>
          </cell>
          <cell r="U995" t="str">
            <v>NULL</v>
          </cell>
          <cell r="V995" t="str">
            <v>NULL</v>
          </cell>
          <cell r="W995" t="str">
            <v>NULL</v>
          </cell>
        </row>
        <row r="996">
          <cell r="A996">
            <v>995</v>
          </cell>
          <cell r="B996" t="str">
            <v>ja</v>
          </cell>
          <cell r="C996" t="str">
            <v>疾駆する閃略 アルミン</v>
          </cell>
          <cell r="D996" t="str">
            <v>アルミン・アルレルト</v>
          </cell>
          <cell r="E996" t="str">
            <v>執行者</v>
          </cell>
          <cell r="F996" t="str">
            <v>格好いい</v>
          </cell>
          <cell r="G996" t="str">
            <v>男性</v>
          </cell>
          <cell r="H996" t="str">
            <v>green</v>
          </cell>
          <cell r="I996">
            <v>5</v>
          </cell>
          <cell r="J996" t="str">
            <v>PremiumS</v>
          </cell>
          <cell r="K996" t="str">
            <v>balance</v>
          </cell>
          <cell r="L996" t="str">
            <v>バランスタイプ</v>
          </cell>
          <cell r="M996" t="str">
            <v>human</v>
          </cell>
          <cell r="N996" t="str">
            <v>ヒューマン</v>
          </cell>
          <cell r="O996" t="str">
            <v>machine</v>
          </cell>
          <cell r="P996" t="str">
            <v>マシン</v>
          </cell>
          <cell r="Q996" t="str">
            <v>アタッカー</v>
          </cell>
          <cell r="R996">
            <v>3</v>
          </cell>
          <cell r="S996" t="str">
            <v>NULL</v>
          </cell>
          <cell r="T996" t="str">
            <v>normal</v>
          </cell>
          <cell r="U996" t="str">
            <v>NULL</v>
          </cell>
          <cell r="V996" t="str">
            <v>NULL</v>
          </cell>
          <cell r="W996" t="str">
            <v>NULL</v>
          </cell>
        </row>
        <row r="997">
          <cell r="A997">
            <v>996</v>
          </cell>
          <cell r="B997" t="str">
            <v>ja</v>
          </cell>
          <cell r="C997" t="str">
            <v>リヴァイ</v>
          </cell>
          <cell r="D997" t="str">
            <v>リヴァイ</v>
          </cell>
          <cell r="E997" t="str">
            <v>執行者</v>
          </cell>
          <cell r="F997" t="str">
            <v>格好いい</v>
          </cell>
          <cell r="G997" t="str">
            <v>男性</v>
          </cell>
          <cell r="H997" t="str">
            <v>blue</v>
          </cell>
          <cell r="I997">
            <v>5</v>
          </cell>
          <cell r="J997" t="str">
            <v>PremiumSS</v>
          </cell>
          <cell r="K997" t="str">
            <v>attack</v>
          </cell>
          <cell r="L997" t="str">
            <v>攻撃タイプ</v>
          </cell>
          <cell r="M997" t="str">
            <v>human</v>
          </cell>
          <cell r="N997" t="str">
            <v>ヒューマン</v>
          </cell>
          <cell r="O997" t="str">
            <v>machine</v>
          </cell>
          <cell r="P997" t="str">
            <v>マシン</v>
          </cell>
          <cell r="Q997" t="str">
            <v>アタッカー</v>
          </cell>
          <cell r="R997">
            <v>3</v>
          </cell>
          <cell r="S997" t="str">
            <v>NULL</v>
          </cell>
          <cell r="T997" t="str">
            <v>normal</v>
          </cell>
          <cell r="U997" t="str">
            <v>NULL</v>
          </cell>
          <cell r="V997" t="str">
            <v>NULL</v>
          </cell>
          <cell r="W997" t="str">
            <v>NULL</v>
          </cell>
        </row>
        <row r="998">
          <cell r="A998">
            <v>997</v>
          </cell>
          <cell r="B998" t="str">
            <v>ja</v>
          </cell>
          <cell r="C998" t="str">
            <v>人類最強 リヴァイ</v>
          </cell>
          <cell r="D998" t="str">
            <v>リヴァイ</v>
          </cell>
          <cell r="E998" t="str">
            <v>執行者</v>
          </cell>
          <cell r="F998" t="str">
            <v>格好いい</v>
          </cell>
          <cell r="G998" t="str">
            <v>男性</v>
          </cell>
          <cell r="H998" t="str">
            <v>blue</v>
          </cell>
          <cell r="I998">
            <v>6</v>
          </cell>
          <cell r="J998" t="str">
            <v>PremiumSS</v>
          </cell>
          <cell r="K998" t="str">
            <v>attack</v>
          </cell>
          <cell r="L998" t="str">
            <v>攻撃タイプ</v>
          </cell>
          <cell r="M998" t="str">
            <v>human</v>
          </cell>
          <cell r="N998" t="str">
            <v>ヒューマン</v>
          </cell>
          <cell r="O998" t="str">
            <v>machine</v>
          </cell>
          <cell r="P998" t="str">
            <v>マシン</v>
          </cell>
          <cell r="Q998" t="str">
            <v>アタッカー</v>
          </cell>
          <cell r="R998">
            <v>3</v>
          </cell>
          <cell r="S998" t="str">
            <v>NULL</v>
          </cell>
          <cell r="T998" t="str">
            <v>normal</v>
          </cell>
          <cell r="U998" t="str">
            <v>NULL</v>
          </cell>
          <cell r="V998" t="str">
            <v>NULL</v>
          </cell>
          <cell r="W998" t="str">
            <v>NULL</v>
          </cell>
        </row>
        <row r="999">
          <cell r="A999">
            <v>998</v>
          </cell>
          <cell r="B999" t="str">
            <v>ja</v>
          </cell>
          <cell r="C999" t="str">
            <v>サシャ</v>
          </cell>
          <cell r="D999" t="str">
            <v>サシャ・ブラウス</v>
          </cell>
          <cell r="E999" t="str">
            <v>執行者</v>
          </cell>
          <cell r="F999" t="str">
            <v>格好いい</v>
          </cell>
          <cell r="G999" t="str">
            <v>男性</v>
          </cell>
          <cell r="H999" t="str">
            <v>blue</v>
          </cell>
          <cell r="I999">
            <v>4</v>
          </cell>
          <cell r="J999" t="str">
            <v>PremiumS</v>
          </cell>
          <cell r="K999" t="str">
            <v>hp</v>
          </cell>
          <cell r="L999" t="str">
            <v>体力タイプ</v>
          </cell>
          <cell r="M999" t="str">
            <v>human</v>
          </cell>
          <cell r="N999" t="str">
            <v>ヒューマン</v>
          </cell>
          <cell r="O999" t="str">
            <v>machine</v>
          </cell>
          <cell r="P999" t="str">
            <v>マシン</v>
          </cell>
          <cell r="Q999" t="str">
            <v>アタッカー</v>
          </cell>
          <cell r="R999">
            <v>3</v>
          </cell>
          <cell r="S999" t="str">
            <v>NULL</v>
          </cell>
          <cell r="T999" t="str">
            <v>normal</v>
          </cell>
          <cell r="U999" t="str">
            <v>NULL</v>
          </cell>
          <cell r="V999" t="str">
            <v>NULL</v>
          </cell>
          <cell r="W999" t="str">
            <v>NULL</v>
          </cell>
        </row>
        <row r="1000">
          <cell r="A1000">
            <v>999</v>
          </cell>
          <cell r="B1000" t="str">
            <v>ja</v>
          </cell>
          <cell r="C1000" t="str">
            <v>無尽蔵の食猟 サシャ</v>
          </cell>
          <cell r="D1000" t="str">
            <v>サシャ・ブラウス</v>
          </cell>
          <cell r="E1000" t="str">
            <v>執行者</v>
          </cell>
          <cell r="F1000" t="str">
            <v>格好いい</v>
          </cell>
          <cell r="G1000" t="str">
            <v>男性</v>
          </cell>
          <cell r="H1000" t="str">
            <v>blue</v>
          </cell>
          <cell r="I1000">
            <v>5</v>
          </cell>
          <cell r="J1000" t="str">
            <v>PremiumS</v>
          </cell>
          <cell r="K1000" t="str">
            <v>hp</v>
          </cell>
          <cell r="L1000" t="str">
            <v>体力タイプ</v>
          </cell>
          <cell r="M1000" t="str">
            <v>human</v>
          </cell>
          <cell r="N1000" t="str">
            <v>ヒューマン</v>
          </cell>
          <cell r="O1000" t="str">
            <v>machine</v>
          </cell>
          <cell r="P1000" t="str">
            <v>マシン</v>
          </cell>
          <cell r="Q1000" t="str">
            <v>アタッカー</v>
          </cell>
          <cell r="R1000">
            <v>3</v>
          </cell>
          <cell r="S1000" t="str">
            <v>NULL</v>
          </cell>
          <cell r="T1000" t="str">
            <v>normal</v>
          </cell>
          <cell r="U1000" t="str">
            <v>NULL</v>
          </cell>
          <cell r="V1000" t="str">
            <v>NULL</v>
          </cell>
          <cell r="W1000" t="str">
            <v>NULL</v>
          </cell>
        </row>
        <row r="1001">
          <cell r="A1001">
            <v>1000</v>
          </cell>
          <cell r="B1001" t="str">
            <v>ja</v>
          </cell>
          <cell r="C1001" t="str">
            <v>クリスタ</v>
          </cell>
          <cell r="D1001" t="str">
            <v>クリスタ・レンズ</v>
          </cell>
          <cell r="E1001" t="str">
            <v>執行者</v>
          </cell>
          <cell r="F1001" t="str">
            <v>格好いい</v>
          </cell>
          <cell r="G1001" t="str">
            <v>男性</v>
          </cell>
          <cell r="H1001" t="str">
            <v>yellow</v>
          </cell>
          <cell r="I1001">
            <v>4</v>
          </cell>
          <cell r="J1001" t="str">
            <v>PremiumS</v>
          </cell>
          <cell r="K1001" t="str">
            <v>heal</v>
          </cell>
          <cell r="L1001" t="str">
            <v>回復タイプ</v>
          </cell>
          <cell r="M1001" t="str">
            <v>human</v>
          </cell>
          <cell r="N1001" t="str">
            <v>ヒューマン</v>
          </cell>
          <cell r="O1001" t="str">
            <v>machine</v>
          </cell>
          <cell r="P1001" t="str">
            <v>マシン</v>
          </cell>
          <cell r="Q1001" t="str">
            <v>アタッカー</v>
          </cell>
          <cell r="R1001">
            <v>3</v>
          </cell>
          <cell r="S1001" t="str">
            <v>NULL</v>
          </cell>
          <cell r="T1001" t="str">
            <v>normal</v>
          </cell>
          <cell r="U1001" t="str">
            <v>NULL</v>
          </cell>
          <cell r="V1001" t="str">
            <v>NULL</v>
          </cell>
          <cell r="W1001" t="str">
            <v>NULL</v>
          </cell>
        </row>
        <row r="1002">
          <cell r="A1002">
            <v>1001</v>
          </cell>
          <cell r="B1002" t="str">
            <v>ja</v>
          </cell>
          <cell r="C1002" t="str">
            <v>細愛の女神 クリスタ</v>
          </cell>
          <cell r="D1002" t="str">
            <v>クリスタ・レンズ</v>
          </cell>
          <cell r="E1002" t="str">
            <v>執行者</v>
          </cell>
          <cell r="F1002" t="str">
            <v>格好いい</v>
          </cell>
          <cell r="G1002" t="str">
            <v>男性</v>
          </cell>
          <cell r="H1002" t="str">
            <v>yellow</v>
          </cell>
          <cell r="I1002">
            <v>5</v>
          </cell>
          <cell r="J1002" t="str">
            <v>PremiumS</v>
          </cell>
          <cell r="K1002" t="str">
            <v>heal</v>
          </cell>
          <cell r="L1002" t="str">
            <v>回復タイプ</v>
          </cell>
          <cell r="M1002" t="str">
            <v>human</v>
          </cell>
          <cell r="N1002" t="str">
            <v>ヒューマン</v>
          </cell>
          <cell r="O1002" t="str">
            <v>machine</v>
          </cell>
          <cell r="P1002" t="str">
            <v>マシン</v>
          </cell>
          <cell r="Q1002" t="str">
            <v>アタッカー</v>
          </cell>
          <cell r="R1002">
            <v>3</v>
          </cell>
          <cell r="S1002" t="str">
            <v>NULL</v>
          </cell>
          <cell r="T1002" t="str">
            <v>normal</v>
          </cell>
          <cell r="U1002" t="str">
            <v>NULL</v>
          </cell>
          <cell r="V1002" t="str">
            <v>NULL</v>
          </cell>
          <cell r="W1002" t="str">
            <v>NULL</v>
          </cell>
        </row>
        <row r="1003">
          <cell r="A1003">
            <v>1002</v>
          </cell>
          <cell r="B1003" t="str">
            <v>ja</v>
          </cell>
          <cell r="C1003" t="str">
            <v>ジャン</v>
          </cell>
          <cell r="D1003" t="str">
            <v>ジャン・キルシュタイン</v>
          </cell>
          <cell r="E1003" t="str">
            <v>執行者</v>
          </cell>
          <cell r="F1003" t="str">
            <v>格好いい</v>
          </cell>
          <cell r="G1003" t="str">
            <v>男性</v>
          </cell>
          <cell r="H1003" t="str">
            <v>yellow</v>
          </cell>
          <cell r="I1003">
            <v>4</v>
          </cell>
          <cell r="J1003" t="str">
            <v>PremiumS</v>
          </cell>
          <cell r="K1003" t="str">
            <v>balance</v>
          </cell>
          <cell r="L1003" t="str">
            <v>バランスタイプ</v>
          </cell>
          <cell r="M1003" t="str">
            <v>human</v>
          </cell>
          <cell r="N1003" t="str">
            <v>ヒューマン</v>
          </cell>
          <cell r="O1003" t="str">
            <v>machine</v>
          </cell>
          <cell r="P1003" t="str">
            <v>マシン</v>
          </cell>
          <cell r="Q1003" t="str">
            <v>アタッカー</v>
          </cell>
          <cell r="R1003">
            <v>3</v>
          </cell>
          <cell r="S1003" t="str">
            <v>NULL</v>
          </cell>
          <cell r="T1003" t="str">
            <v>normal</v>
          </cell>
          <cell r="U1003" t="str">
            <v>NULL</v>
          </cell>
          <cell r="V1003" t="str">
            <v>NULL</v>
          </cell>
          <cell r="W1003" t="str">
            <v>NULL</v>
          </cell>
        </row>
        <row r="1004">
          <cell r="A1004">
            <v>1003</v>
          </cell>
          <cell r="B1004" t="str">
            <v>ja</v>
          </cell>
          <cell r="C1004" t="str">
            <v>真義の勇抱 ジャン</v>
          </cell>
          <cell r="D1004" t="str">
            <v>ジャン・キルシュタイン</v>
          </cell>
          <cell r="E1004" t="str">
            <v>執行者</v>
          </cell>
          <cell r="F1004" t="str">
            <v>格好いい</v>
          </cell>
          <cell r="G1004" t="str">
            <v>男性</v>
          </cell>
          <cell r="H1004" t="str">
            <v>yellow</v>
          </cell>
          <cell r="I1004">
            <v>5</v>
          </cell>
          <cell r="J1004" t="str">
            <v>PremiumS</v>
          </cell>
          <cell r="K1004" t="str">
            <v>balance</v>
          </cell>
          <cell r="L1004" t="str">
            <v>バランスタイプ</v>
          </cell>
          <cell r="M1004" t="str">
            <v>human</v>
          </cell>
          <cell r="N1004" t="str">
            <v>ヒューマン</v>
          </cell>
          <cell r="O1004" t="str">
            <v>machine</v>
          </cell>
          <cell r="P1004" t="str">
            <v>マシン</v>
          </cell>
          <cell r="Q1004" t="str">
            <v>アタッカー</v>
          </cell>
          <cell r="R1004">
            <v>3</v>
          </cell>
          <cell r="S1004" t="str">
            <v>NULL</v>
          </cell>
          <cell r="T1004" t="str">
            <v>normal</v>
          </cell>
          <cell r="U1004" t="str">
            <v>NULL</v>
          </cell>
          <cell r="V1004" t="str">
            <v>NULL</v>
          </cell>
          <cell r="W1004" t="str">
            <v>NULL</v>
          </cell>
        </row>
        <row r="1005">
          <cell r="A1005">
            <v>1004</v>
          </cell>
          <cell r="B1005" t="str">
            <v>ja</v>
          </cell>
          <cell r="C1005" t="str">
            <v>アメミット</v>
          </cell>
          <cell r="D1005" t="str">
            <v>アメミット</v>
          </cell>
          <cell r="E1005" t="str">
            <v>執行者</v>
          </cell>
          <cell r="F1005" t="str">
            <v>格好いい</v>
          </cell>
          <cell r="G1005" t="str">
            <v>男性</v>
          </cell>
          <cell r="H1005" t="str">
            <v>blue</v>
          </cell>
          <cell r="I1005">
            <v>4</v>
          </cell>
          <cell r="J1005" t="str">
            <v>Drop2N</v>
          </cell>
          <cell r="K1005" t="str">
            <v>attack</v>
          </cell>
          <cell r="L1005" t="str">
            <v>攻撃タイプ</v>
          </cell>
          <cell r="M1005" t="str">
            <v>animal</v>
          </cell>
          <cell r="N1005" t="str">
            <v>アニマル</v>
          </cell>
          <cell r="O1005" t="str">
            <v>none</v>
          </cell>
          <cell r="P1005" t="str">
            <v>種族なし</v>
          </cell>
          <cell r="Q1005" t="str">
            <v>アタッカー</v>
          </cell>
          <cell r="R1005">
            <v>3</v>
          </cell>
          <cell r="S1005" t="str">
            <v>NULL</v>
          </cell>
          <cell r="T1005" t="str">
            <v>normal</v>
          </cell>
          <cell r="U1005" t="str">
            <v>NULL</v>
          </cell>
          <cell r="V1005" t="str">
            <v>NULL</v>
          </cell>
          <cell r="W1005" t="str">
            <v>NULL</v>
          </cell>
        </row>
        <row r="1006">
          <cell r="A1006">
            <v>1005</v>
          </cell>
          <cell r="B1006" t="str">
            <v>ja</v>
          </cell>
          <cell r="C1006" t="str">
            <v>恐牙なる魂喰獣 アメミット</v>
          </cell>
          <cell r="D1006" t="str">
            <v>アメミット</v>
          </cell>
          <cell r="E1006" t="str">
            <v>執行者</v>
          </cell>
          <cell r="F1006" t="str">
            <v>格好いい</v>
          </cell>
          <cell r="G1006" t="str">
            <v>男性</v>
          </cell>
          <cell r="H1006" t="str">
            <v>blue</v>
          </cell>
          <cell r="I1006">
            <v>5</v>
          </cell>
          <cell r="J1006" t="str">
            <v>Drop2N</v>
          </cell>
          <cell r="K1006" t="str">
            <v>attack</v>
          </cell>
          <cell r="L1006" t="str">
            <v>攻撃タイプ</v>
          </cell>
          <cell r="M1006" t="str">
            <v>animal</v>
          </cell>
          <cell r="N1006" t="str">
            <v>アニマル</v>
          </cell>
          <cell r="O1006" t="str">
            <v>none</v>
          </cell>
          <cell r="P1006" t="str">
            <v>種族なし</v>
          </cell>
          <cell r="Q1006" t="str">
            <v>アタッカー</v>
          </cell>
          <cell r="R1006">
            <v>3</v>
          </cell>
          <cell r="S1006" t="str">
            <v>NULL</v>
          </cell>
          <cell r="T1006" t="str">
            <v>normal</v>
          </cell>
          <cell r="U1006" t="str">
            <v>NULL</v>
          </cell>
          <cell r="V1006" t="str">
            <v>NULL</v>
          </cell>
          <cell r="W1006" t="str">
            <v>NULL</v>
          </cell>
        </row>
        <row r="1007">
          <cell r="A1007">
            <v>1006</v>
          </cell>
          <cell r="B1007" t="str">
            <v>ja</v>
          </cell>
          <cell r="C1007" t="str">
            <v>セルケト</v>
          </cell>
          <cell r="D1007" t="str">
            <v>セルケト</v>
          </cell>
          <cell r="E1007" t="str">
            <v>執行者</v>
          </cell>
          <cell r="F1007" t="str">
            <v>格好いい</v>
          </cell>
          <cell r="G1007" t="str">
            <v>男性</v>
          </cell>
          <cell r="H1007" t="str">
            <v>red</v>
          </cell>
          <cell r="I1007">
            <v>4</v>
          </cell>
          <cell r="J1007" t="str">
            <v>Drop2N</v>
          </cell>
          <cell r="K1007" t="str">
            <v>heal</v>
          </cell>
          <cell r="L1007" t="str">
            <v>回復タイプ</v>
          </cell>
          <cell r="M1007" t="str">
            <v>god</v>
          </cell>
          <cell r="N1007" t="str">
            <v>ゴッド</v>
          </cell>
          <cell r="O1007" t="str">
            <v>animal</v>
          </cell>
          <cell r="P1007" t="str">
            <v>アニマル</v>
          </cell>
          <cell r="Q1007" t="str">
            <v>アタッカー</v>
          </cell>
          <cell r="R1007">
            <v>3</v>
          </cell>
          <cell r="S1007" t="str">
            <v>NULL</v>
          </cell>
          <cell r="T1007" t="str">
            <v>normal</v>
          </cell>
          <cell r="U1007" t="str">
            <v>NULL</v>
          </cell>
          <cell r="V1007" t="str">
            <v>NULL</v>
          </cell>
          <cell r="W1007" t="str">
            <v>NULL</v>
          </cell>
        </row>
        <row r="1008">
          <cell r="A1008">
            <v>1007</v>
          </cell>
          <cell r="B1008" t="str">
            <v>ja</v>
          </cell>
          <cell r="C1008" t="str">
            <v>癒命の守蠍神 セルケト</v>
          </cell>
          <cell r="D1008" t="str">
            <v>セルケト</v>
          </cell>
          <cell r="E1008" t="str">
            <v>執行者</v>
          </cell>
          <cell r="F1008" t="str">
            <v>格好いい</v>
          </cell>
          <cell r="G1008" t="str">
            <v>男性</v>
          </cell>
          <cell r="H1008" t="str">
            <v>red</v>
          </cell>
          <cell r="I1008">
            <v>5</v>
          </cell>
          <cell r="J1008" t="str">
            <v>Drop2N</v>
          </cell>
          <cell r="K1008" t="str">
            <v>heal</v>
          </cell>
          <cell r="L1008" t="str">
            <v>回復タイプ</v>
          </cell>
          <cell r="M1008" t="str">
            <v>god</v>
          </cell>
          <cell r="N1008" t="str">
            <v>ゴッド</v>
          </cell>
          <cell r="O1008" t="str">
            <v>animal</v>
          </cell>
          <cell r="P1008" t="str">
            <v>アニマル</v>
          </cell>
          <cell r="Q1008" t="str">
            <v>アタッカー</v>
          </cell>
          <cell r="R1008">
            <v>3</v>
          </cell>
          <cell r="S1008" t="str">
            <v>NULL</v>
          </cell>
          <cell r="T1008" t="str">
            <v>normal</v>
          </cell>
          <cell r="U1008" t="str">
            <v>NULL</v>
          </cell>
          <cell r="V1008" t="str">
            <v>NULL</v>
          </cell>
          <cell r="W1008" t="str">
            <v>NULL</v>
          </cell>
        </row>
        <row r="1009">
          <cell r="A1009">
            <v>1008</v>
          </cell>
          <cell r="B1009" t="str">
            <v>ja</v>
          </cell>
          <cell r="C1009" t="str">
            <v>オシリス</v>
          </cell>
          <cell r="D1009" t="str">
            <v>オシリス</v>
          </cell>
          <cell r="E1009" t="str">
            <v>執行者</v>
          </cell>
          <cell r="F1009" t="str">
            <v>格好いい</v>
          </cell>
          <cell r="G1009" t="str">
            <v>男性</v>
          </cell>
          <cell r="H1009" t="str">
            <v>green</v>
          </cell>
          <cell r="I1009">
            <v>5</v>
          </cell>
          <cell r="J1009" t="str">
            <v>DropWizS</v>
          </cell>
          <cell r="K1009" t="str">
            <v>attack</v>
          </cell>
          <cell r="L1009" t="str">
            <v>攻撃タイプ</v>
          </cell>
          <cell r="M1009" t="str">
            <v>god</v>
          </cell>
          <cell r="N1009" t="str">
            <v>ゴッド</v>
          </cell>
          <cell r="O1009" t="str">
            <v>unknown</v>
          </cell>
          <cell r="P1009" t="str">
            <v>Unknown</v>
          </cell>
          <cell r="Q1009" t="str">
            <v>アタッカー</v>
          </cell>
          <cell r="R1009">
            <v>3</v>
          </cell>
          <cell r="S1009" t="str">
            <v>NULL</v>
          </cell>
          <cell r="T1009" t="str">
            <v>normal</v>
          </cell>
          <cell r="U1009" t="str">
            <v>NULL</v>
          </cell>
          <cell r="V1009" t="str">
            <v>NULL</v>
          </cell>
          <cell r="W1009" t="str">
            <v>NULL</v>
          </cell>
        </row>
        <row r="1010">
          <cell r="A1010">
            <v>1009</v>
          </cell>
          <cell r="B1010" t="str">
            <v>ja</v>
          </cell>
          <cell r="C1010" t="str">
            <v>再醒の冥皇神 オシリス</v>
          </cell>
          <cell r="D1010" t="str">
            <v>オシリス</v>
          </cell>
          <cell r="E1010" t="str">
            <v>執行者</v>
          </cell>
          <cell r="F1010" t="str">
            <v>格好いい</v>
          </cell>
          <cell r="G1010" t="str">
            <v>男性</v>
          </cell>
          <cell r="H1010" t="str">
            <v>green</v>
          </cell>
          <cell r="I1010">
            <v>6</v>
          </cell>
          <cell r="J1010" t="str">
            <v>DropWizS</v>
          </cell>
          <cell r="K1010" t="str">
            <v>attack</v>
          </cell>
          <cell r="L1010" t="str">
            <v>攻撃タイプ</v>
          </cell>
          <cell r="M1010" t="str">
            <v>god</v>
          </cell>
          <cell r="N1010" t="str">
            <v>ゴッド</v>
          </cell>
          <cell r="O1010" t="str">
            <v>unknown</v>
          </cell>
          <cell r="P1010" t="str">
            <v>Unknown</v>
          </cell>
          <cell r="Q1010" t="str">
            <v>アタッカー</v>
          </cell>
          <cell r="R1010">
            <v>3</v>
          </cell>
          <cell r="S1010" t="str">
            <v>NULL</v>
          </cell>
          <cell r="T1010" t="str">
            <v>normal</v>
          </cell>
          <cell r="U1010" t="str">
            <v>NULL</v>
          </cell>
          <cell r="V1010" t="str">
            <v>NULL</v>
          </cell>
          <cell r="W1010" t="str">
            <v>NULL</v>
          </cell>
        </row>
        <row r="1011">
          <cell r="A1011">
            <v>1010</v>
          </cell>
          <cell r="B1011" t="str">
            <v>ja</v>
          </cell>
          <cell r="C1011" t="str">
            <v>セト</v>
          </cell>
          <cell r="D1011" t="str">
            <v>セト</v>
          </cell>
          <cell r="E1011" t="str">
            <v>執行者</v>
          </cell>
          <cell r="F1011" t="str">
            <v>格好いい</v>
          </cell>
          <cell r="G1011" t="str">
            <v>男性</v>
          </cell>
          <cell r="H1011" t="str">
            <v>blue</v>
          </cell>
          <cell r="I1011">
            <v>5</v>
          </cell>
          <cell r="J1011" t="str">
            <v>DropWizSS</v>
          </cell>
          <cell r="K1011" t="str">
            <v>technical</v>
          </cell>
          <cell r="L1011" t="str">
            <v>テクニカルタイプ</v>
          </cell>
          <cell r="M1011" t="str">
            <v>god</v>
          </cell>
          <cell r="N1011" t="str">
            <v>ゴッド</v>
          </cell>
          <cell r="O1011" t="str">
            <v>unknown</v>
          </cell>
          <cell r="P1011" t="str">
            <v>Unknown</v>
          </cell>
          <cell r="Q1011" t="str">
            <v>アタッカー</v>
          </cell>
          <cell r="R1011">
            <v>3</v>
          </cell>
          <cell r="S1011" t="str">
            <v>NULL</v>
          </cell>
          <cell r="T1011" t="str">
            <v>normal</v>
          </cell>
          <cell r="U1011" t="str">
            <v>NULL</v>
          </cell>
          <cell r="V1011" t="str">
            <v>NULL</v>
          </cell>
          <cell r="W1011" t="str">
            <v>NULL</v>
          </cell>
        </row>
        <row r="1012">
          <cell r="A1012">
            <v>1011</v>
          </cell>
          <cell r="B1012" t="str">
            <v>ja</v>
          </cell>
          <cell r="C1012" t="str">
            <v>偉獰なる荒嵐神 セト</v>
          </cell>
          <cell r="D1012" t="str">
            <v>セト</v>
          </cell>
          <cell r="E1012" t="str">
            <v>執行者</v>
          </cell>
          <cell r="F1012" t="str">
            <v>格好いい</v>
          </cell>
          <cell r="G1012" t="str">
            <v>男性</v>
          </cell>
          <cell r="H1012" t="str">
            <v>blue</v>
          </cell>
          <cell r="I1012">
            <v>6</v>
          </cell>
          <cell r="J1012" t="str">
            <v>DropWizSS</v>
          </cell>
          <cell r="K1012" t="str">
            <v>technical</v>
          </cell>
          <cell r="L1012" t="str">
            <v>テクニカルタイプ</v>
          </cell>
          <cell r="M1012" t="str">
            <v>god</v>
          </cell>
          <cell r="N1012" t="str">
            <v>ゴッド</v>
          </cell>
          <cell r="O1012" t="str">
            <v>unknown</v>
          </cell>
          <cell r="P1012" t="str">
            <v>Unknown</v>
          </cell>
          <cell r="Q1012" t="str">
            <v>アタッカー</v>
          </cell>
          <cell r="R1012">
            <v>3</v>
          </cell>
          <cell r="S1012" t="str">
            <v>NULL</v>
          </cell>
          <cell r="T1012" t="str">
            <v>normal</v>
          </cell>
          <cell r="U1012" t="str">
            <v>NULL</v>
          </cell>
          <cell r="V1012" t="str">
            <v>NULL</v>
          </cell>
          <cell r="W1012" t="str">
            <v>NULL</v>
          </cell>
        </row>
        <row r="1013">
          <cell r="A1013">
            <v>1012</v>
          </cell>
          <cell r="B1013" t="str">
            <v>ja</v>
          </cell>
          <cell r="C1013" t="str">
            <v>ラー</v>
          </cell>
          <cell r="D1013" t="str">
            <v>ラー</v>
          </cell>
          <cell r="E1013" t="str">
            <v>執行者</v>
          </cell>
          <cell r="F1013" t="str">
            <v>格好いい</v>
          </cell>
          <cell r="G1013" t="str">
            <v>男性</v>
          </cell>
          <cell r="H1013" t="str">
            <v>red</v>
          </cell>
          <cell r="I1013">
            <v>5</v>
          </cell>
          <cell r="J1013" t="str">
            <v>PremiumSS</v>
          </cell>
          <cell r="K1013" t="str">
            <v>balance</v>
          </cell>
          <cell r="L1013" t="str">
            <v>バランスタイプ</v>
          </cell>
          <cell r="M1013" t="str">
            <v>god</v>
          </cell>
          <cell r="N1013" t="str">
            <v>ゴッド</v>
          </cell>
          <cell r="O1013" t="str">
            <v>animal</v>
          </cell>
          <cell r="P1013" t="str">
            <v>アニマル</v>
          </cell>
          <cell r="Q1013" t="str">
            <v>アタッカー</v>
          </cell>
          <cell r="R1013">
            <v>3</v>
          </cell>
          <cell r="S1013" t="str">
            <v>NULL</v>
          </cell>
          <cell r="T1013" t="str">
            <v>normal</v>
          </cell>
          <cell r="U1013" t="str">
            <v>NULL</v>
          </cell>
          <cell r="V1013" t="str">
            <v>NULL</v>
          </cell>
          <cell r="W1013" t="str">
            <v>NULL</v>
          </cell>
        </row>
        <row r="1014">
          <cell r="A1014">
            <v>1013</v>
          </cell>
          <cell r="B1014" t="str">
            <v>ja</v>
          </cell>
          <cell r="C1014" t="str">
            <v>聖陽昇る緋洸神 ラー</v>
          </cell>
          <cell r="D1014" t="str">
            <v>ラー</v>
          </cell>
          <cell r="E1014" t="str">
            <v>執行者</v>
          </cell>
          <cell r="F1014" t="str">
            <v>格好いい</v>
          </cell>
          <cell r="G1014" t="str">
            <v>男性</v>
          </cell>
          <cell r="H1014" t="str">
            <v>red</v>
          </cell>
          <cell r="I1014">
            <v>6</v>
          </cell>
          <cell r="J1014" t="str">
            <v>PremiumSS</v>
          </cell>
          <cell r="K1014" t="str">
            <v>balance</v>
          </cell>
          <cell r="L1014" t="str">
            <v>バランスタイプ</v>
          </cell>
          <cell r="M1014" t="str">
            <v>god</v>
          </cell>
          <cell r="N1014" t="str">
            <v>ゴッド</v>
          </cell>
          <cell r="O1014" t="str">
            <v>animal</v>
          </cell>
          <cell r="P1014" t="str">
            <v>アニマル</v>
          </cell>
          <cell r="Q1014" t="str">
            <v>アタッカー</v>
          </cell>
          <cell r="R1014">
            <v>3</v>
          </cell>
          <cell r="S1014" t="str">
            <v>NULL</v>
          </cell>
          <cell r="T1014" t="str">
            <v>normal</v>
          </cell>
          <cell r="U1014" t="str">
            <v>NULL</v>
          </cell>
          <cell r="V1014" t="str">
            <v>NULL</v>
          </cell>
          <cell r="W1014" t="str">
            <v>NULL</v>
          </cell>
        </row>
        <row r="1015">
          <cell r="A1015">
            <v>1014</v>
          </cell>
          <cell r="B1015" t="str">
            <v>ja</v>
          </cell>
          <cell r="C1015" t="str">
            <v>イシス</v>
          </cell>
          <cell r="D1015" t="str">
            <v>イシス</v>
          </cell>
          <cell r="E1015" t="str">
            <v>執行者</v>
          </cell>
          <cell r="F1015" t="str">
            <v>格好いい</v>
          </cell>
          <cell r="G1015" t="str">
            <v>男性</v>
          </cell>
          <cell r="H1015" t="str">
            <v>green</v>
          </cell>
          <cell r="I1015">
            <v>5</v>
          </cell>
          <cell r="J1015" t="str">
            <v>PremiumSS</v>
          </cell>
          <cell r="K1015" t="str">
            <v>hp</v>
          </cell>
          <cell r="L1015" t="str">
            <v>体力タイプ</v>
          </cell>
          <cell r="M1015" t="str">
            <v>god</v>
          </cell>
          <cell r="N1015" t="str">
            <v>ゴッド</v>
          </cell>
          <cell r="O1015" t="str">
            <v>animal</v>
          </cell>
          <cell r="P1015" t="str">
            <v>アニマル</v>
          </cell>
          <cell r="Q1015" t="str">
            <v>アタッカー</v>
          </cell>
          <cell r="R1015">
            <v>3</v>
          </cell>
          <cell r="S1015" t="str">
            <v>NULL</v>
          </cell>
          <cell r="T1015" t="str">
            <v>normal</v>
          </cell>
          <cell r="U1015" t="str">
            <v>NULL</v>
          </cell>
          <cell r="V1015" t="str">
            <v>NULL</v>
          </cell>
          <cell r="W1015" t="str">
            <v>NULL</v>
          </cell>
        </row>
        <row r="1016">
          <cell r="A1016">
            <v>1015</v>
          </cell>
          <cell r="B1016" t="str">
            <v>ja</v>
          </cell>
          <cell r="C1016" t="str">
            <v>繁翠なる蘇聖神 イシス</v>
          </cell>
          <cell r="D1016" t="str">
            <v>イシス</v>
          </cell>
          <cell r="E1016" t="str">
            <v>執行者</v>
          </cell>
          <cell r="F1016" t="str">
            <v>格好いい</v>
          </cell>
          <cell r="G1016" t="str">
            <v>男性</v>
          </cell>
          <cell r="H1016" t="str">
            <v>green</v>
          </cell>
          <cell r="I1016">
            <v>6</v>
          </cell>
          <cell r="J1016" t="str">
            <v>PremiumSS</v>
          </cell>
          <cell r="K1016" t="str">
            <v>hp</v>
          </cell>
          <cell r="L1016" t="str">
            <v>体力タイプ</v>
          </cell>
          <cell r="M1016" t="str">
            <v>god</v>
          </cell>
          <cell r="N1016" t="str">
            <v>ゴッド</v>
          </cell>
          <cell r="O1016" t="str">
            <v>animal</v>
          </cell>
          <cell r="P1016" t="str">
            <v>アニマル</v>
          </cell>
          <cell r="Q1016" t="str">
            <v>アタッカー</v>
          </cell>
          <cell r="R1016">
            <v>3</v>
          </cell>
          <cell r="S1016" t="str">
            <v>NULL</v>
          </cell>
          <cell r="T1016" t="str">
            <v>normal</v>
          </cell>
          <cell r="U1016" t="str">
            <v>NULL</v>
          </cell>
          <cell r="V1016" t="str">
            <v>NULL</v>
          </cell>
          <cell r="W1016" t="str">
            <v>NULL</v>
          </cell>
        </row>
        <row r="1017">
          <cell r="A1017">
            <v>1016</v>
          </cell>
          <cell r="B1017" t="str">
            <v>ja</v>
          </cell>
          <cell r="C1017" t="str">
            <v>ハトホル</v>
          </cell>
          <cell r="D1017" t="str">
            <v>ハトホル</v>
          </cell>
          <cell r="E1017" t="str">
            <v>執行者</v>
          </cell>
          <cell r="F1017" t="str">
            <v>格好いい</v>
          </cell>
          <cell r="G1017" t="str">
            <v>男性</v>
          </cell>
          <cell r="H1017" t="str">
            <v>blue</v>
          </cell>
          <cell r="I1017">
            <v>4</v>
          </cell>
          <cell r="J1017" t="str">
            <v>PremiumS</v>
          </cell>
          <cell r="K1017" t="str">
            <v>heal</v>
          </cell>
          <cell r="L1017" t="str">
            <v>回復タイプ</v>
          </cell>
          <cell r="M1017" t="str">
            <v>god</v>
          </cell>
          <cell r="N1017" t="str">
            <v>ゴッド</v>
          </cell>
          <cell r="O1017" t="str">
            <v>animal</v>
          </cell>
          <cell r="P1017" t="str">
            <v>アニマル</v>
          </cell>
          <cell r="Q1017" t="str">
            <v>アタッカー</v>
          </cell>
          <cell r="R1017">
            <v>3</v>
          </cell>
          <cell r="S1017" t="str">
            <v>NULL</v>
          </cell>
          <cell r="T1017" t="str">
            <v>normal</v>
          </cell>
          <cell r="U1017" t="str">
            <v>NULL</v>
          </cell>
          <cell r="V1017" t="str">
            <v>NULL</v>
          </cell>
          <cell r="W1017" t="str">
            <v>NULL</v>
          </cell>
        </row>
        <row r="1018">
          <cell r="A1018">
            <v>1017</v>
          </cell>
          <cell r="B1018" t="str">
            <v>ja</v>
          </cell>
          <cell r="C1018" t="str">
            <v>命瞳の慈母神 ハトホル</v>
          </cell>
          <cell r="D1018" t="str">
            <v>ハトホル</v>
          </cell>
          <cell r="E1018" t="str">
            <v>執行者</v>
          </cell>
          <cell r="F1018" t="str">
            <v>格好いい</v>
          </cell>
          <cell r="G1018" t="str">
            <v>男性</v>
          </cell>
          <cell r="H1018" t="str">
            <v>blue</v>
          </cell>
          <cell r="I1018">
            <v>5</v>
          </cell>
          <cell r="J1018" t="str">
            <v>PremiumS</v>
          </cell>
          <cell r="K1018" t="str">
            <v>heal</v>
          </cell>
          <cell r="L1018" t="str">
            <v>回復タイプ</v>
          </cell>
          <cell r="M1018" t="str">
            <v>god</v>
          </cell>
          <cell r="N1018" t="str">
            <v>ゴッド</v>
          </cell>
          <cell r="O1018" t="str">
            <v>animal</v>
          </cell>
          <cell r="P1018" t="str">
            <v>アニマル</v>
          </cell>
          <cell r="Q1018" t="str">
            <v>アタッカー</v>
          </cell>
          <cell r="R1018">
            <v>3</v>
          </cell>
          <cell r="S1018" t="str">
            <v>NULL</v>
          </cell>
          <cell r="T1018" t="str">
            <v>normal</v>
          </cell>
          <cell r="U1018" t="str">
            <v>NULL</v>
          </cell>
          <cell r="V1018" t="str">
            <v>NULL</v>
          </cell>
          <cell r="W1018" t="str">
            <v>NULL</v>
          </cell>
        </row>
        <row r="1019">
          <cell r="A1019">
            <v>1018</v>
          </cell>
          <cell r="B1019" t="str">
            <v>ja</v>
          </cell>
          <cell r="C1019" t="str">
            <v>バステト</v>
          </cell>
          <cell r="D1019" t="str">
            <v>バステト</v>
          </cell>
          <cell r="E1019" t="str">
            <v>執行者</v>
          </cell>
          <cell r="F1019" t="str">
            <v>格好いい</v>
          </cell>
          <cell r="G1019" t="str">
            <v>男性</v>
          </cell>
          <cell r="H1019" t="str">
            <v>yellow</v>
          </cell>
          <cell r="I1019">
            <v>5</v>
          </cell>
          <cell r="J1019" t="str">
            <v>PremiumSS</v>
          </cell>
          <cell r="K1019" t="str">
            <v>attack</v>
          </cell>
          <cell r="L1019" t="str">
            <v>攻撃タイプ</v>
          </cell>
          <cell r="M1019" t="str">
            <v>god</v>
          </cell>
          <cell r="N1019" t="str">
            <v>ゴッド</v>
          </cell>
          <cell r="O1019" t="str">
            <v>animal</v>
          </cell>
          <cell r="P1019" t="str">
            <v>アニマル</v>
          </cell>
          <cell r="Q1019" t="str">
            <v>アタッカー</v>
          </cell>
          <cell r="R1019">
            <v>3</v>
          </cell>
          <cell r="S1019" t="str">
            <v>NULL</v>
          </cell>
          <cell r="T1019" t="str">
            <v>normal</v>
          </cell>
          <cell r="U1019" t="str">
            <v>NULL</v>
          </cell>
          <cell r="V1019" t="str">
            <v>NULL</v>
          </cell>
          <cell r="W1019" t="str">
            <v>NULL</v>
          </cell>
        </row>
        <row r="1020">
          <cell r="A1020">
            <v>1019</v>
          </cell>
          <cell r="B1020" t="str">
            <v>ja</v>
          </cell>
          <cell r="C1020" t="str">
            <v>愛鈴鳴る寵猫神 バステト</v>
          </cell>
          <cell r="D1020" t="str">
            <v>バステト</v>
          </cell>
          <cell r="E1020" t="str">
            <v>執行者</v>
          </cell>
          <cell r="F1020" t="str">
            <v>格好いい</v>
          </cell>
          <cell r="G1020" t="str">
            <v>男性</v>
          </cell>
          <cell r="H1020" t="str">
            <v>yellow</v>
          </cell>
          <cell r="I1020">
            <v>6</v>
          </cell>
          <cell r="J1020" t="str">
            <v>PremiumSS</v>
          </cell>
          <cell r="K1020" t="str">
            <v>attack</v>
          </cell>
          <cell r="L1020" t="str">
            <v>攻撃タイプ</v>
          </cell>
          <cell r="M1020" t="str">
            <v>god</v>
          </cell>
          <cell r="N1020" t="str">
            <v>ゴッド</v>
          </cell>
          <cell r="O1020" t="str">
            <v>animal</v>
          </cell>
          <cell r="P1020" t="str">
            <v>アニマル</v>
          </cell>
          <cell r="Q1020" t="str">
            <v>アタッカー</v>
          </cell>
          <cell r="R1020">
            <v>3</v>
          </cell>
          <cell r="S1020" t="str">
            <v>NULL</v>
          </cell>
          <cell r="T1020" t="str">
            <v>normal</v>
          </cell>
          <cell r="U1020" t="str">
            <v>NULL</v>
          </cell>
          <cell r="V1020" t="str">
            <v>NULL</v>
          </cell>
          <cell r="W1020" t="str">
            <v>NULL</v>
          </cell>
        </row>
        <row r="1021">
          <cell r="A1021">
            <v>1020</v>
          </cell>
          <cell r="B1021" t="str">
            <v>ja</v>
          </cell>
          <cell r="C1021" t="str">
            <v>静御前</v>
          </cell>
          <cell r="D1021" t="str">
            <v>静御前</v>
          </cell>
          <cell r="E1021" t="str">
            <v>執行者</v>
          </cell>
          <cell r="F1021" t="str">
            <v>格好いい</v>
          </cell>
          <cell r="G1021" t="str">
            <v>男性</v>
          </cell>
          <cell r="H1021" t="str">
            <v>red</v>
          </cell>
          <cell r="I1021">
            <v>4</v>
          </cell>
          <cell r="J1021" t="str">
            <v>Drop2N</v>
          </cell>
          <cell r="K1021" t="str">
            <v>technical</v>
          </cell>
          <cell r="L1021" t="str">
            <v>テクニカルタイプ</v>
          </cell>
          <cell r="M1021" t="str">
            <v>human</v>
          </cell>
          <cell r="N1021" t="str">
            <v>ヒューマン</v>
          </cell>
          <cell r="O1021" t="str">
            <v>none</v>
          </cell>
          <cell r="P1021" t="str">
            <v>種族なし</v>
          </cell>
          <cell r="Q1021" t="str">
            <v>アタッカー</v>
          </cell>
          <cell r="R1021">
            <v>3</v>
          </cell>
          <cell r="S1021" t="str">
            <v>NULL</v>
          </cell>
          <cell r="T1021" t="str">
            <v>normal</v>
          </cell>
          <cell r="U1021" t="str">
            <v>NULL</v>
          </cell>
          <cell r="V1021" t="str">
            <v>NULL</v>
          </cell>
          <cell r="W1021" t="str">
            <v>NULL</v>
          </cell>
        </row>
        <row r="1022">
          <cell r="A1022">
            <v>1021</v>
          </cell>
          <cell r="B1022" t="str">
            <v>ja</v>
          </cell>
          <cell r="C1022" t="str">
            <v>焔耀の舞姫 静御前</v>
          </cell>
          <cell r="D1022" t="str">
            <v>静御前</v>
          </cell>
          <cell r="E1022" t="str">
            <v>執行者</v>
          </cell>
          <cell r="F1022" t="str">
            <v>格好いい</v>
          </cell>
          <cell r="G1022" t="str">
            <v>男性</v>
          </cell>
          <cell r="H1022" t="str">
            <v>red</v>
          </cell>
          <cell r="I1022">
            <v>5</v>
          </cell>
          <cell r="J1022" t="str">
            <v>Drop2N</v>
          </cell>
          <cell r="K1022" t="str">
            <v>technical</v>
          </cell>
          <cell r="L1022" t="str">
            <v>テクニカルタイプ</v>
          </cell>
          <cell r="M1022" t="str">
            <v>human</v>
          </cell>
          <cell r="N1022" t="str">
            <v>ヒューマン</v>
          </cell>
          <cell r="O1022" t="str">
            <v>none</v>
          </cell>
          <cell r="P1022" t="str">
            <v>種族なし</v>
          </cell>
          <cell r="Q1022" t="str">
            <v>アタッカー</v>
          </cell>
          <cell r="R1022">
            <v>3</v>
          </cell>
          <cell r="S1022" t="str">
            <v>NULL</v>
          </cell>
          <cell r="T1022" t="str">
            <v>normal</v>
          </cell>
          <cell r="U1022" t="str">
            <v>NULL</v>
          </cell>
          <cell r="V1022" t="str">
            <v>NULL</v>
          </cell>
          <cell r="W1022" t="str">
            <v>NULL</v>
          </cell>
        </row>
        <row r="1023">
          <cell r="A1023">
            <v>1022</v>
          </cell>
          <cell r="B1023" t="str">
            <v>ja</v>
          </cell>
          <cell r="C1023" t="str">
            <v>那須与一</v>
          </cell>
          <cell r="D1023" t="str">
            <v>那須与一</v>
          </cell>
          <cell r="E1023" t="str">
            <v>執行者</v>
          </cell>
          <cell r="F1023" t="str">
            <v>格好いい</v>
          </cell>
          <cell r="G1023" t="str">
            <v>男性</v>
          </cell>
          <cell r="H1023" t="str">
            <v>green</v>
          </cell>
          <cell r="I1023">
            <v>4</v>
          </cell>
          <cell r="J1023" t="str">
            <v>Drop2N</v>
          </cell>
          <cell r="K1023" t="str">
            <v>technical</v>
          </cell>
          <cell r="L1023" t="str">
            <v>テクニカルタイプ</v>
          </cell>
          <cell r="M1023" t="str">
            <v>human</v>
          </cell>
          <cell r="N1023" t="str">
            <v>ヒューマン</v>
          </cell>
          <cell r="O1023" t="str">
            <v>samurai</v>
          </cell>
          <cell r="P1023" t="str">
            <v>サムライ</v>
          </cell>
          <cell r="Q1023" t="str">
            <v>アタッカー</v>
          </cell>
          <cell r="R1023">
            <v>3</v>
          </cell>
          <cell r="S1023" t="str">
            <v>NULL</v>
          </cell>
          <cell r="T1023" t="str">
            <v>normal</v>
          </cell>
          <cell r="U1023" t="str">
            <v>NULL</v>
          </cell>
          <cell r="V1023" t="str">
            <v>NULL</v>
          </cell>
          <cell r="W1023" t="str">
            <v>NULL</v>
          </cell>
        </row>
        <row r="1024">
          <cell r="A1024">
            <v>1023</v>
          </cell>
          <cell r="B1024" t="str">
            <v>ja</v>
          </cell>
          <cell r="C1024" t="str">
            <v>心射抜く投擲者 那須与一</v>
          </cell>
          <cell r="D1024" t="str">
            <v>那須与一</v>
          </cell>
          <cell r="E1024" t="str">
            <v>執行者</v>
          </cell>
          <cell r="F1024" t="str">
            <v>格好いい</v>
          </cell>
          <cell r="G1024" t="str">
            <v>男性</v>
          </cell>
          <cell r="H1024" t="str">
            <v>green</v>
          </cell>
          <cell r="I1024">
            <v>5</v>
          </cell>
          <cell r="J1024" t="str">
            <v>Drop2N</v>
          </cell>
          <cell r="K1024" t="str">
            <v>technical</v>
          </cell>
          <cell r="L1024" t="str">
            <v>テクニカルタイプ</v>
          </cell>
          <cell r="M1024" t="str">
            <v>human</v>
          </cell>
          <cell r="N1024" t="str">
            <v>ヒューマン</v>
          </cell>
          <cell r="O1024" t="str">
            <v>samurai</v>
          </cell>
          <cell r="P1024" t="str">
            <v>サムライ</v>
          </cell>
          <cell r="Q1024" t="str">
            <v>アタッカー</v>
          </cell>
          <cell r="R1024">
            <v>3</v>
          </cell>
          <cell r="S1024" t="str">
            <v>NULL</v>
          </cell>
          <cell r="T1024" t="str">
            <v>normal</v>
          </cell>
          <cell r="U1024" t="str">
            <v>NULL</v>
          </cell>
          <cell r="V1024" t="str">
            <v>NULL</v>
          </cell>
          <cell r="W1024" t="str">
            <v>NULL</v>
          </cell>
        </row>
        <row r="1025">
          <cell r="A1025">
            <v>1024</v>
          </cell>
          <cell r="B1025" t="str">
            <v>ja</v>
          </cell>
          <cell r="C1025" t="str">
            <v>武蔵坊弁慶</v>
          </cell>
          <cell r="D1025" t="str">
            <v>武蔵坊弁慶</v>
          </cell>
          <cell r="E1025" t="str">
            <v>執行者</v>
          </cell>
          <cell r="F1025" t="str">
            <v>格好いい</v>
          </cell>
          <cell r="G1025" t="str">
            <v>男性</v>
          </cell>
          <cell r="H1025" t="str">
            <v>yellow</v>
          </cell>
          <cell r="I1025">
            <v>5</v>
          </cell>
          <cell r="J1025" t="str">
            <v>DropWizS</v>
          </cell>
          <cell r="K1025" t="str">
            <v>attack</v>
          </cell>
          <cell r="L1025" t="str">
            <v>攻撃タイプ</v>
          </cell>
          <cell r="M1025" t="str">
            <v>human</v>
          </cell>
          <cell r="N1025" t="str">
            <v>ヒューマン</v>
          </cell>
          <cell r="O1025" t="str">
            <v>samurai</v>
          </cell>
          <cell r="P1025" t="str">
            <v>サムライ</v>
          </cell>
          <cell r="Q1025" t="str">
            <v>アタッカー</v>
          </cell>
          <cell r="R1025">
            <v>3</v>
          </cell>
          <cell r="S1025" t="str">
            <v>NULL</v>
          </cell>
          <cell r="T1025" t="str">
            <v>normal</v>
          </cell>
          <cell r="U1025" t="str">
            <v>NULL</v>
          </cell>
          <cell r="V1025" t="str">
            <v>NULL</v>
          </cell>
          <cell r="W1025" t="str">
            <v>NULL</v>
          </cell>
        </row>
        <row r="1026">
          <cell r="A1026">
            <v>1025</v>
          </cell>
          <cell r="B1026" t="str">
            <v>ja</v>
          </cell>
          <cell r="C1026" t="str">
            <v>多重撃の荒法師 武蔵坊弁慶</v>
          </cell>
          <cell r="D1026" t="str">
            <v>武蔵坊弁慶</v>
          </cell>
          <cell r="E1026" t="str">
            <v>執行者</v>
          </cell>
          <cell r="F1026" t="str">
            <v>格好いい</v>
          </cell>
          <cell r="G1026" t="str">
            <v>男性</v>
          </cell>
          <cell r="H1026" t="str">
            <v>yellow</v>
          </cell>
          <cell r="I1026">
            <v>6</v>
          </cell>
          <cell r="J1026" t="str">
            <v>DropWizS</v>
          </cell>
          <cell r="K1026" t="str">
            <v>attack</v>
          </cell>
          <cell r="L1026" t="str">
            <v>攻撃タイプ</v>
          </cell>
          <cell r="M1026" t="str">
            <v>human</v>
          </cell>
          <cell r="N1026" t="str">
            <v>ヒューマン</v>
          </cell>
          <cell r="O1026" t="str">
            <v>samurai</v>
          </cell>
          <cell r="P1026" t="str">
            <v>サムライ</v>
          </cell>
          <cell r="Q1026" t="str">
            <v>アタッカー</v>
          </cell>
          <cell r="R1026">
            <v>3</v>
          </cell>
          <cell r="S1026" t="str">
            <v>NULL</v>
          </cell>
          <cell r="T1026" t="str">
            <v>normal</v>
          </cell>
          <cell r="U1026" t="str">
            <v>NULL</v>
          </cell>
          <cell r="V1026" t="str">
            <v>NULL</v>
          </cell>
          <cell r="W1026" t="str">
            <v>NULL</v>
          </cell>
        </row>
        <row r="1027">
          <cell r="A1027">
            <v>1026</v>
          </cell>
          <cell r="B1027" t="str">
            <v>ja</v>
          </cell>
          <cell r="C1027" t="str">
            <v>蝉丸</v>
          </cell>
          <cell r="D1027" t="str">
            <v>蝉丸</v>
          </cell>
          <cell r="E1027" t="str">
            <v>執行者</v>
          </cell>
          <cell r="F1027" t="str">
            <v>格好いい</v>
          </cell>
          <cell r="G1027" t="str">
            <v>男性</v>
          </cell>
          <cell r="H1027" t="str">
            <v>red</v>
          </cell>
          <cell r="I1027">
            <v>4</v>
          </cell>
          <cell r="J1027" t="str">
            <v>PremiumS</v>
          </cell>
          <cell r="K1027" t="str">
            <v>attack</v>
          </cell>
          <cell r="L1027" t="str">
            <v>攻撃タイプ</v>
          </cell>
          <cell r="M1027" t="str">
            <v>human</v>
          </cell>
          <cell r="N1027" t="str">
            <v>ヒューマン</v>
          </cell>
          <cell r="O1027" t="str">
            <v>none</v>
          </cell>
          <cell r="P1027" t="str">
            <v>種族なし</v>
          </cell>
          <cell r="Q1027" t="str">
            <v>アタッカー</v>
          </cell>
          <cell r="R1027">
            <v>3</v>
          </cell>
          <cell r="S1027" t="str">
            <v>NULL</v>
          </cell>
          <cell r="T1027" t="str">
            <v>normal</v>
          </cell>
          <cell r="U1027" t="str">
            <v>NULL</v>
          </cell>
          <cell r="V1027" t="str">
            <v>NULL</v>
          </cell>
          <cell r="W1027" t="str">
            <v>NULL</v>
          </cell>
        </row>
        <row r="1028">
          <cell r="A1028">
            <v>1027</v>
          </cell>
          <cell r="B1028" t="str">
            <v>ja</v>
          </cell>
          <cell r="C1028" t="str">
            <v>弾丸多重奏 蝉丸</v>
          </cell>
          <cell r="D1028" t="str">
            <v>蝉丸</v>
          </cell>
          <cell r="E1028" t="str">
            <v>執行者</v>
          </cell>
          <cell r="F1028" t="str">
            <v>格好いい</v>
          </cell>
          <cell r="G1028" t="str">
            <v>男性</v>
          </cell>
          <cell r="H1028" t="str">
            <v>red</v>
          </cell>
          <cell r="I1028">
            <v>5</v>
          </cell>
          <cell r="J1028" t="str">
            <v>PremiumS</v>
          </cell>
          <cell r="K1028" t="str">
            <v>attack</v>
          </cell>
          <cell r="L1028" t="str">
            <v>攻撃タイプ</v>
          </cell>
          <cell r="M1028" t="str">
            <v>human</v>
          </cell>
          <cell r="N1028" t="str">
            <v>ヒューマン</v>
          </cell>
          <cell r="O1028" t="str">
            <v>none</v>
          </cell>
          <cell r="P1028" t="str">
            <v>種族なし</v>
          </cell>
          <cell r="Q1028" t="str">
            <v>アタッカー</v>
          </cell>
          <cell r="R1028">
            <v>3</v>
          </cell>
          <cell r="S1028" t="str">
            <v>NULL</v>
          </cell>
          <cell r="T1028" t="str">
            <v>normal</v>
          </cell>
          <cell r="U1028" t="str">
            <v>NULL</v>
          </cell>
          <cell r="V1028" t="str">
            <v>NULL</v>
          </cell>
          <cell r="W1028" t="str">
            <v>NULL</v>
          </cell>
        </row>
        <row r="1029">
          <cell r="A1029">
            <v>1028</v>
          </cell>
          <cell r="B1029" t="str">
            <v>ja</v>
          </cell>
          <cell r="C1029" t="str">
            <v>牛若丸</v>
          </cell>
          <cell r="D1029" t="str">
            <v>源義経（牛若丸）</v>
          </cell>
          <cell r="E1029" t="str">
            <v>執行者</v>
          </cell>
          <cell r="F1029" t="str">
            <v>格好いい</v>
          </cell>
          <cell r="G1029" t="str">
            <v>男性</v>
          </cell>
          <cell r="H1029" t="str">
            <v>green</v>
          </cell>
          <cell r="I1029">
            <v>5</v>
          </cell>
          <cell r="J1029" t="str">
            <v>PremiumSS</v>
          </cell>
          <cell r="K1029" t="str">
            <v>balance</v>
          </cell>
          <cell r="L1029" t="str">
            <v>バランスタイプ</v>
          </cell>
          <cell r="M1029" t="str">
            <v>human</v>
          </cell>
          <cell r="N1029" t="str">
            <v>ヒューマン</v>
          </cell>
          <cell r="O1029" t="str">
            <v>samurai</v>
          </cell>
          <cell r="P1029" t="str">
            <v>サムライ</v>
          </cell>
          <cell r="Q1029" t="str">
            <v>アタッカー</v>
          </cell>
          <cell r="R1029">
            <v>3</v>
          </cell>
          <cell r="S1029" t="str">
            <v>NULL</v>
          </cell>
          <cell r="T1029" t="str">
            <v>normal</v>
          </cell>
          <cell r="U1029" t="str">
            <v>NULL</v>
          </cell>
          <cell r="V1029" t="str">
            <v>NULL</v>
          </cell>
          <cell r="W1029" t="str">
            <v>NULL</v>
          </cell>
        </row>
        <row r="1030">
          <cell r="A1030">
            <v>1029</v>
          </cell>
          <cell r="B1030" t="str">
            <v>ja</v>
          </cell>
          <cell r="C1030" t="str">
            <v>天賦の軍才 牛若丸</v>
          </cell>
          <cell r="D1030" t="str">
            <v>源義経（牛若丸）</v>
          </cell>
          <cell r="E1030" t="str">
            <v>執行者</v>
          </cell>
          <cell r="F1030" t="str">
            <v>格好いい</v>
          </cell>
          <cell r="G1030" t="str">
            <v>男性</v>
          </cell>
          <cell r="H1030" t="str">
            <v>green</v>
          </cell>
          <cell r="I1030">
            <v>6</v>
          </cell>
          <cell r="J1030" t="str">
            <v>PremiumSS</v>
          </cell>
          <cell r="K1030" t="str">
            <v>balance</v>
          </cell>
          <cell r="L1030" t="str">
            <v>バランスタイプ</v>
          </cell>
          <cell r="M1030" t="str">
            <v>human</v>
          </cell>
          <cell r="N1030" t="str">
            <v>ヒューマン</v>
          </cell>
          <cell r="O1030" t="str">
            <v>samurai</v>
          </cell>
          <cell r="P1030" t="str">
            <v>サムライ</v>
          </cell>
          <cell r="Q1030" t="str">
            <v>アタッカー</v>
          </cell>
          <cell r="R1030">
            <v>3</v>
          </cell>
          <cell r="S1030" t="str">
            <v>NULL</v>
          </cell>
          <cell r="T1030" t="str">
            <v>normal</v>
          </cell>
          <cell r="U1030" t="str">
            <v>NULL</v>
          </cell>
          <cell r="V1030" t="str">
            <v>NULL</v>
          </cell>
          <cell r="W1030" t="str">
            <v>NULL</v>
          </cell>
        </row>
        <row r="1031">
          <cell r="A1031">
            <v>1030</v>
          </cell>
          <cell r="B1031" t="str">
            <v>ja</v>
          </cell>
          <cell r="C1031" t="str">
            <v>百戦錬磨のカリスマ 源義経</v>
          </cell>
          <cell r="D1031" t="str">
            <v>源義経（牛若丸）_分岐覚醒</v>
          </cell>
          <cell r="E1031" t="str">
            <v>執行者</v>
          </cell>
          <cell r="F1031" t="str">
            <v>格好いい</v>
          </cell>
          <cell r="G1031" t="str">
            <v>男性</v>
          </cell>
          <cell r="H1031" t="str">
            <v>green</v>
          </cell>
          <cell r="I1031">
            <v>6</v>
          </cell>
          <cell r="J1031" t="str">
            <v>PremiumSS</v>
          </cell>
          <cell r="K1031" t="str">
            <v>balance</v>
          </cell>
          <cell r="L1031" t="str">
            <v>バランスタイプ</v>
          </cell>
          <cell r="M1031" t="str">
            <v>human</v>
          </cell>
          <cell r="N1031" t="str">
            <v>ヒューマン</v>
          </cell>
          <cell r="O1031" t="str">
            <v>samurai</v>
          </cell>
          <cell r="P1031" t="str">
            <v>サムライ</v>
          </cell>
          <cell r="Q1031" t="str">
            <v>アタッカー</v>
          </cell>
          <cell r="R1031">
            <v>1</v>
          </cell>
          <cell r="S1031" t="str">
            <v>NULL</v>
          </cell>
          <cell r="T1031" t="str">
            <v>normal</v>
          </cell>
          <cell r="U1031" t="str">
            <v>NULL</v>
          </cell>
          <cell r="V1031" t="str">
            <v>NULL</v>
          </cell>
          <cell r="W1031" t="str">
            <v>NULL</v>
          </cell>
        </row>
        <row r="1032">
          <cell r="A1032">
            <v>1031</v>
          </cell>
          <cell r="B1032" t="str">
            <v>ja</v>
          </cell>
          <cell r="C1032" t="str">
            <v>紫式部</v>
          </cell>
          <cell r="D1032" t="str">
            <v>紫式部</v>
          </cell>
          <cell r="E1032" t="str">
            <v>執行者</v>
          </cell>
          <cell r="F1032" t="str">
            <v>格好いい</v>
          </cell>
          <cell r="G1032" t="str">
            <v>男性</v>
          </cell>
          <cell r="H1032" t="str">
            <v>blue</v>
          </cell>
          <cell r="I1032">
            <v>5</v>
          </cell>
          <cell r="J1032" t="str">
            <v>PremiumSS</v>
          </cell>
          <cell r="K1032" t="str">
            <v>technical</v>
          </cell>
          <cell r="L1032" t="str">
            <v>テクニカルタイプ</v>
          </cell>
          <cell r="M1032" t="str">
            <v>human</v>
          </cell>
          <cell r="N1032" t="str">
            <v>ヒューマン</v>
          </cell>
          <cell r="O1032" t="str">
            <v>none</v>
          </cell>
          <cell r="P1032" t="str">
            <v>種族なし</v>
          </cell>
          <cell r="Q1032" t="str">
            <v>アタッカー</v>
          </cell>
          <cell r="R1032">
            <v>3</v>
          </cell>
          <cell r="S1032" t="str">
            <v>NULL</v>
          </cell>
          <cell r="T1032" t="str">
            <v>normal</v>
          </cell>
          <cell r="U1032" t="str">
            <v>NULL</v>
          </cell>
          <cell r="V1032" t="str">
            <v>NULL</v>
          </cell>
          <cell r="W1032" t="str">
            <v>NULL</v>
          </cell>
        </row>
        <row r="1033">
          <cell r="A1033">
            <v>1032</v>
          </cell>
          <cell r="B1033" t="str">
            <v>ja</v>
          </cell>
          <cell r="C1033" t="str">
            <v>彩気煥発の創作人 紫式部</v>
          </cell>
          <cell r="D1033" t="str">
            <v>紫式部</v>
          </cell>
          <cell r="E1033" t="str">
            <v>執行者</v>
          </cell>
          <cell r="F1033" t="str">
            <v>格好いい</v>
          </cell>
          <cell r="G1033" t="str">
            <v>男性</v>
          </cell>
          <cell r="H1033" t="str">
            <v>blue</v>
          </cell>
          <cell r="I1033">
            <v>6</v>
          </cell>
          <cell r="J1033" t="str">
            <v>PremiumSS</v>
          </cell>
          <cell r="K1033" t="str">
            <v>technical</v>
          </cell>
          <cell r="L1033" t="str">
            <v>テクニカルタイプ</v>
          </cell>
          <cell r="M1033" t="str">
            <v>human</v>
          </cell>
          <cell r="N1033" t="str">
            <v>ヒューマン</v>
          </cell>
          <cell r="O1033" t="str">
            <v>none</v>
          </cell>
          <cell r="P1033" t="str">
            <v>種族なし</v>
          </cell>
          <cell r="Q1033" t="str">
            <v>アタッカー</v>
          </cell>
          <cell r="R1033">
            <v>3</v>
          </cell>
          <cell r="S1033" t="str">
            <v>NULL</v>
          </cell>
          <cell r="T1033" t="str">
            <v>normal</v>
          </cell>
          <cell r="U1033" t="str">
            <v>NULL</v>
          </cell>
          <cell r="V1033" t="str">
            <v>NULL</v>
          </cell>
          <cell r="W1033" t="str">
            <v>NULL</v>
          </cell>
        </row>
        <row r="1034">
          <cell r="A1034">
            <v>1033</v>
          </cell>
          <cell r="B1034" t="str">
            <v>ja</v>
          </cell>
          <cell r="C1034" t="str">
            <v>清少納言</v>
          </cell>
          <cell r="D1034" t="str">
            <v>清少納言</v>
          </cell>
          <cell r="E1034" t="str">
            <v>執行者</v>
          </cell>
          <cell r="F1034" t="str">
            <v>格好いい</v>
          </cell>
          <cell r="G1034" t="str">
            <v>男性</v>
          </cell>
          <cell r="H1034" t="str">
            <v>yellow</v>
          </cell>
          <cell r="I1034">
            <v>5</v>
          </cell>
          <cell r="J1034" t="str">
            <v>PremiumSS</v>
          </cell>
          <cell r="K1034" t="str">
            <v>heal</v>
          </cell>
          <cell r="L1034" t="str">
            <v>回復タイプ</v>
          </cell>
          <cell r="M1034" t="str">
            <v>human</v>
          </cell>
          <cell r="N1034" t="str">
            <v>ヒューマン</v>
          </cell>
          <cell r="O1034" t="str">
            <v>none</v>
          </cell>
          <cell r="P1034" t="str">
            <v>種族なし</v>
          </cell>
          <cell r="Q1034" t="str">
            <v>アタッカー</v>
          </cell>
          <cell r="R1034">
            <v>3</v>
          </cell>
          <cell r="S1034" t="str">
            <v>NULL</v>
          </cell>
          <cell r="T1034" t="str">
            <v>normal</v>
          </cell>
          <cell r="U1034" t="str">
            <v>NULL</v>
          </cell>
          <cell r="V1034" t="str">
            <v>NULL</v>
          </cell>
          <cell r="W1034" t="str">
            <v>NULL</v>
          </cell>
        </row>
        <row r="1035">
          <cell r="A1035">
            <v>1034</v>
          </cell>
          <cell r="B1035" t="str">
            <v>ja</v>
          </cell>
          <cell r="C1035" t="str">
            <v>爛漫なる随筆家 清少納言</v>
          </cell>
          <cell r="D1035" t="str">
            <v>清少納言</v>
          </cell>
          <cell r="E1035" t="str">
            <v>執行者</v>
          </cell>
          <cell r="F1035" t="str">
            <v>格好いい</v>
          </cell>
          <cell r="G1035" t="str">
            <v>男性</v>
          </cell>
          <cell r="H1035" t="str">
            <v>yellow</v>
          </cell>
          <cell r="I1035">
            <v>6</v>
          </cell>
          <cell r="J1035" t="str">
            <v>PremiumSS</v>
          </cell>
          <cell r="K1035" t="str">
            <v>heal</v>
          </cell>
          <cell r="L1035" t="str">
            <v>回復タイプ</v>
          </cell>
          <cell r="M1035" t="str">
            <v>human</v>
          </cell>
          <cell r="N1035" t="str">
            <v>ヒューマン</v>
          </cell>
          <cell r="O1035" t="str">
            <v>none</v>
          </cell>
          <cell r="P1035" t="str">
            <v>種族なし</v>
          </cell>
          <cell r="Q1035" t="str">
            <v>アタッカー</v>
          </cell>
          <cell r="R1035">
            <v>3</v>
          </cell>
          <cell r="S1035" t="str">
            <v>NULL</v>
          </cell>
          <cell r="T1035" t="str">
            <v>normal</v>
          </cell>
          <cell r="U1035" t="str">
            <v>NULL</v>
          </cell>
          <cell r="V1035" t="str">
            <v>NULL</v>
          </cell>
          <cell r="W1035" t="str">
            <v>NULL</v>
          </cell>
        </row>
        <row r="1036">
          <cell r="A1036">
            <v>1035</v>
          </cell>
          <cell r="B1036" t="str">
            <v>ja</v>
          </cell>
          <cell r="C1036" t="str">
            <v>スカルズ</v>
          </cell>
          <cell r="D1036" t="str">
            <v>ラプラス</v>
          </cell>
          <cell r="E1036" t="str">
            <v>執行者</v>
          </cell>
          <cell r="F1036" t="str">
            <v>格好いい</v>
          </cell>
          <cell r="G1036" t="str">
            <v>男性</v>
          </cell>
          <cell r="H1036" t="str">
            <v>green</v>
          </cell>
          <cell r="I1036">
            <v>5</v>
          </cell>
          <cell r="J1036" t="str">
            <v>DropWizS</v>
          </cell>
          <cell r="K1036" t="str">
            <v>hp</v>
          </cell>
          <cell r="L1036" t="str">
            <v>体力タイプ</v>
          </cell>
          <cell r="M1036" t="str">
            <v>animal</v>
          </cell>
          <cell r="N1036" t="str">
            <v>アニマル</v>
          </cell>
          <cell r="O1036" t="str">
            <v>unknown</v>
          </cell>
          <cell r="P1036" t="str">
            <v>Unknown</v>
          </cell>
          <cell r="Q1036" t="str">
            <v>アタッカー</v>
          </cell>
          <cell r="R1036">
            <v>3</v>
          </cell>
          <cell r="S1036" t="str">
            <v>NULL</v>
          </cell>
          <cell r="T1036" t="str">
            <v>normal</v>
          </cell>
          <cell r="U1036" t="str">
            <v>NULL</v>
          </cell>
          <cell r="V1036" t="str">
            <v>NULL</v>
          </cell>
          <cell r="W1036" t="str">
            <v>NULL</v>
          </cell>
        </row>
        <row r="1037">
          <cell r="A1037">
            <v>1036</v>
          </cell>
          <cell r="B1037" t="str">
            <v>ja</v>
          </cell>
          <cell r="C1037" t="str">
            <v>復讐の形骸 スカルズ</v>
          </cell>
          <cell r="D1037" t="str">
            <v>ラプラス</v>
          </cell>
          <cell r="E1037" t="str">
            <v>執行者</v>
          </cell>
          <cell r="F1037" t="str">
            <v>格好いい</v>
          </cell>
          <cell r="G1037" t="str">
            <v>男性</v>
          </cell>
          <cell r="H1037" t="str">
            <v>green</v>
          </cell>
          <cell r="I1037">
            <v>6</v>
          </cell>
          <cell r="J1037" t="str">
            <v>DropWizS</v>
          </cell>
          <cell r="K1037" t="str">
            <v>hp</v>
          </cell>
          <cell r="L1037" t="str">
            <v>体力タイプ</v>
          </cell>
          <cell r="M1037" t="str">
            <v>animal</v>
          </cell>
          <cell r="N1037" t="str">
            <v>アニマル</v>
          </cell>
          <cell r="O1037" t="str">
            <v>unknown</v>
          </cell>
          <cell r="P1037" t="str">
            <v>Unknown</v>
          </cell>
          <cell r="Q1037" t="str">
            <v>アタッカー</v>
          </cell>
          <cell r="R1037">
            <v>3</v>
          </cell>
          <cell r="S1037" t="str">
            <v>NULL</v>
          </cell>
          <cell r="T1037" t="str">
            <v>normal</v>
          </cell>
          <cell r="U1037" t="str">
            <v>NULL</v>
          </cell>
          <cell r="V1037" t="str">
            <v>NULL</v>
          </cell>
          <cell r="W1037" t="str">
            <v>NULL</v>
          </cell>
        </row>
        <row r="1038">
          <cell r="A1038">
            <v>1037</v>
          </cell>
          <cell r="B1038" t="str">
            <v>ja</v>
          </cell>
          <cell r="C1038" t="str">
            <v>ミューズ</v>
          </cell>
          <cell r="D1038" t="str">
            <v>ミューズ</v>
          </cell>
          <cell r="E1038" t="str">
            <v>執行者</v>
          </cell>
          <cell r="F1038" t="str">
            <v>格好いい</v>
          </cell>
          <cell r="G1038" t="str">
            <v>男性</v>
          </cell>
          <cell r="H1038" t="str">
            <v>yellow</v>
          </cell>
          <cell r="I1038">
            <v>5</v>
          </cell>
          <cell r="J1038" t="str">
            <v>Drop2N</v>
          </cell>
          <cell r="K1038" t="str">
            <v>balance</v>
          </cell>
          <cell r="L1038" t="str">
            <v>バランスタイプ</v>
          </cell>
          <cell r="M1038" t="str">
            <v>unknown</v>
          </cell>
          <cell r="N1038" t="str">
            <v>Unknown</v>
          </cell>
          <cell r="O1038" t="str">
            <v>none</v>
          </cell>
          <cell r="P1038" t="str">
            <v>種族なし</v>
          </cell>
          <cell r="Q1038" t="str">
            <v>アタッカー</v>
          </cell>
          <cell r="R1038">
            <v>3</v>
          </cell>
          <cell r="S1038" t="str">
            <v>NULL</v>
          </cell>
          <cell r="T1038" t="str">
            <v>normal</v>
          </cell>
          <cell r="U1038" t="str">
            <v>NULL</v>
          </cell>
          <cell r="V1038" t="str">
            <v>NULL</v>
          </cell>
          <cell r="W1038" t="str">
            <v>NULL</v>
          </cell>
        </row>
        <row r="1039">
          <cell r="A1039">
            <v>1038</v>
          </cell>
          <cell r="B1039" t="str">
            <v>ja</v>
          </cell>
          <cell r="C1039" t="str">
            <v>歌音届ける楽愛神 ミューズ</v>
          </cell>
          <cell r="D1039" t="str">
            <v>ミューズ</v>
          </cell>
          <cell r="E1039" t="str">
            <v>執行者</v>
          </cell>
          <cell r="F1039" t="str">
            <v>格好いい</v>
          </cell>
          <cell r="G1039" t="str">
            <v>男性</v>
          </cell>
          <cell r="H1039" t="str">
            <v>yellow</v>
          </cell>
          <cell r="I1039">
            <v>6</v>
          </cell>
          <cell r="J1039" t="str">
            <v>Drop2N</v>
          </cell>
          <cell r="K1039" t="str">
            <v>balance</v>
          </cell>
          <cell r="L1039" t="str">
            <v>バランスタイプ</v>
          </cell>
          <cell r="M1039" t="str">
            <v>unknown</v>
          </cell>
          <cell r="N1039" t="str">
            <v>Unknown</v>
          </cell>
          <cell r="O1039" t="str">
            <v>none</v>
          </cell>
          <cell r="P1039" t="str">
            <v>種族なし</v>
          </cell>
          <cell r="Q1039" t="str">
            <v>アタッカー</v>
          </cell>
          <cell r="R1039">
            <v>3</v>
          </cell>
          <cell r="S1039" t="str">
            <v>NULL</v>
          </cell>
          <cell r="T1039" t="str">
            <v>normal</v>
          </cell>
          <cell r="U1039" t="str">
            <v>NULL</v>
          </cell>
          <cell r="V1039" t="str">
            <v>NULL</v>
          </cell>
          <cell r="W1039" t="str">
            <v>NULL</v>
          </cell>
        </row>
        <row r="1040">
          <cell r="A1040">
            <v>1039</v>
          </cell>
          <cell r="B1040" t="str">
            <v>ja</v>
          </cell>
          <cell r="C1040" t="str">
            <v>ディラック</v>
          </cell>
          <cell r="D1040" t="str">
            <v>ディラック</v>
          </cell>
          <cell r="E1040" t="str">
            <v>執行者</v>
          </cell>
          <cell r="F1040" t="str">
            <v>格好いい</v>
          </cell>
          <cell r="G1040" t="str">
            <v>男性</v>
          </cell>
          <cell r="H1040" t="str">
            <v>blue</v>
          </cell>
          <cell r="I1040">
            <v>5</v>
          </cell>
          <cell r="J1040" t="str">
            <v>PremiumSSS</v>
          </cell>
          <cell r="K1040" t="str">
            <v>technical</v>
          </cell>
          <cell r="L1040" t="str">
            <v>テクニカルタイプ</v>
          </cell>
          <cell r="M1040" t="str">
            <v>academia</v>
          </cell>
          <cell r="N1040" t="str">
            <v>アカデミア</v>
          </cell>
          <cell r="O1040" t="str">
            <v>unknown</v>
          </cell>
          <cell r="P1040" t="str">
            <v>Unknown</v>
          </cell>
          <cell r="Q1040" t="str">
            <v>アタッカー</v>
          </cell>
          <cell r="R1040">
            <v>3</v>
          </cell>
          <cell r="S1040" t="str">
            <v>NULL</v>
          </cell>
          <cell r="T1040" t="str">
            <v>normal</v>
          </cell>
          <cell r="U1040" t="str">
            <v>NULL</v>
          </cell>
          <cell r="V1040" t="str">
            <v>NULL</v>
          </cell>
          <cell r="W1040" t="str">
            <v>NULL</v>
          </cell>
        </row>
        <row r="1041">
          <cell r="A1041">
            <v>1040</v>
          </cell>
          <cell r="B1041" t="str">
            <v>ja</v>
          </cell>
          <cell r="C1041" t="str">
            <v>蒼流の電磁団 ディラック</v>
          </cell>
          <cell r="D1041" t="str">
            <v>ディラック</v>
          </cell>
          <cell r="E1041" t="str">
            <v>執行者</v>
          </cell>
          <cell r="F1041" t="str">
            <v>格好いい</v>
          </cell>
          <cell r="G1041" t="str">
            <v>男性</v>
          </cell>
          <cell r="H1041" t="str">
            <v>blue</v>
          </cell>
          <cell r="I1041">
            <v>6</v>
          </cell>
          <cell r="J1041" t="str">
            <v>PremiumSSS</v>
          </cell>
          <cell r="K1041" t="str">
            <v>technical</v>
          </cell>
          <cell r="L1041" t="str">
            <v>テクニカルタイプ</v>
          </cell>
          <cell r="M1041" t="str">
            <v>academia</v>
          </cell>
          <cell r="N1041" t="str">
            <v>アカデミア</v>
          </cell>
          <cell r="O1041" t="str">
            <v>unknown</v>
          </cell>
          <cell r="P1041" t="str">
            <v>Unknown</v>
          </cell>
          <cell r="Q1041" t="str">
            <v>アタッカー</v>
          </cell>
          <cell r="R1041">
            <v>3</v>
          </cell>
          <cell r="S1041" t="str">
            <v>NULL</v>
          </cell>
          <cell r="T1041" t="str">
            <v>normal</v>
          </cell>
          <cell r="U1041" t="str">
            <v>NULL</v>
          </cell>
          <cell r="V1041" t="str">
            <v>NULL</v>
          </cell>
          <cell r="W1041" t="str">
            <v>NULL</v>
          </cell>
        </row>
        <row r="1042">
          <cell r="A1042">
            <v>1041</v>
          </cell>
          <cell r="B1042" t="str">
            <v>ja</v>
          </cell>
          <cell r="C1042" t="str">
            <v>織姫</v>
          </cell>
          <cell r="D1042" t="str">
            <v>織姫(ベガ)</v>
          </cell>
          <cell r="E1042" t="str">
            <v>執行者</v>
          </cell>
          <cell r="F1042" t="str">
            <v>格好いい</v>
          </cell>
          <cell r="G1042" t="str">
            <v>男性</v>
          </cell>
          <cell r="H1042" t="str">
            <v>red</v>
          </cell>
          <cell r="I1042">
            <v>5</v>
          </cell>
          <cell r="J1042" t="str">
            <v>PremiumSS</v>
          </cell>
          <cell r="K1042" t="str">
            <v>attack</v>
          </cell>
          <cell r="L1042" t="str">
            <v>攻撃タイプ</v>
          </cell>
          <cell r="M1042" t="str">
            <v>god</v>
          </cell>
          <cell r="N1042" t="str">
            <v>ゴッド</v>
          </cell>
          <cell r="O1042" t="str">
            <v>none</v>
          </cell>
          <cell r="P1042" t="str">
            <v>種族なし</v>
          </cell>
          <cell r="Q1042" t="str">
            <v>アタッカー</v>
          </cell>
          <cell r="R1042">
            <v>3</v>
          </cell>
          <cell r="S1042" t="str">
            <v>NULL</v>
          </cell>
          <cell r="T1042" t="str">
            <v>normal</v>
          </cell>
          <cell r="U1042" t="str">
            <v>NULL</v>
          </cell>
          <cell r="V1042" t="str">
            <v>NULL</v>
          </cell>
          <cell r="W1042" t="str">
            <v>NULL</v>
          </cell>
        </row>
        <row r="1043">
          <cell r="A1043">
            <v>1042</v>
          </cell>
          <cell r="B1043" t="str">
            <v>ja</v>
          </cell>
          <cell r="C1043" t="str">
            <v>希紡の天帝姫 織姫</v>
          </cell>
          <cell r="D1043" t="str">
            <v>織姫(ベガ)</v>
          </cell>
          <cell r="E1043" t="str">
            <v>執行者</v>
          </cell>
          <cell r="F1043" t="str">
            <v>格好いい</v>
          </cell>
          <cell r="G1043" t="str">
            <v>男性</v>
          </cell>
          <cell r="H1043" t="str">
            <v>red</v>
          </cell>
          <cell r="I1043">
            <v>6</v>
          </cell>
          <cell r="J1043" t="str">
            <v>PremiumSS</v>
          </cell>
          <cell r="K1043" t="str">
            <v>attack</v>
          </cell>
          <cell r="L1043" t="str">
            <v>攻撃タイプ</v>
          </cell>
          <cell r="M1043" t="str">
            <v>god</v>
          </cell>
          <cell r="N1043" t="str">
            <v>ゴッド</v>
          </cell>
          <cell r="O1043" t="str">
            <v>none</v>
          </cell>
          <cell r="P1043" t="str">
            <v>種族なし</v>
          </cell>
          <cell r="Q1043" t="str">
            <v>アタッカー</v>
          </cell>
          <cell r="R1043">
            <v>3</v>
          </cell>
          <cell r="S1043" t="str">
            <v>NULL</v>
          </cell>
          <cell r="T1043" t="str">
            <v>normal</v>
          </cell>
          <cell r="U1043" t="str">
            <v>NULL</v>
          </cell>
          <cell r="V1043" t="str">
            <v>NULL</v>
          </cell>
          <cell r="W1043" t="str">
            <v>NULL</v>
          </cell>
        </row>
        <row r="1044">
          <cell r="A1044">
            <v>1043</v>
          </cell>
          <cell r="B1044" t="str">
            <v>ja</v>
          </cell>
          <cell r="C1044" t="str">
            <v>彦星</v>
          </cell>
          <cell r="D1044" t="str">
            <v>彦星(アルタイル)</v>
          </cell>
          <cell r="E1044" t="str">
            <v>執行者</v>
          </cell>
          <cell r="F1044" t="str">
            <v>格好いい</v>
          </cell>
          <cell r="G1044" t="str">
            <v>男性</v>
          </cell>
          <cell r="H1044" t="str">
            <v>green</v>
          </cell>
          <cell r="I1044">
            <v>5</v>
          </cell>
          <cell r="J1044" t="str">
            <v>DropWizS</v>
          </cell>
          <cell r="K1044" t="str">
            <v>technical</v>
          </cell>
          <cell r="L1044" t="str">
            <v>テクニカルタイプ</v>
          </cell>
          <cell r="M1044" t="str">
            <v>god</v>
          </cell>
          <cell r="N1044" t="str">
            <v>ゴッド</v>
          </cell>
          <cell r="O1044" t="str">
            <v>none</v>
          </cell>
          <cell r="P1044" t="str">
            <v>種族なし</v>
          </cell>
          <cell r="Q1044" t="str">
            <v>アタッカー</v>
          </cell>
          <cell r="R1044">
            <v>3</v>
          </cell>
          <cell r="S1044" t="str">
            <v>NULL</v>
          </cell>
          <cell r="T1044" t="str">
            <v>normal</v>
          </cell>
          <cell r="U1044" t="str">
            <v>NULL</v>
          </cell>
          <cell r="V1044" t="str">
            <v>NULL</v>
          </cell>
          <cell r="W1044" t="str">
            <v>NULL</v>
          </cell>
        </row>
        <row r="1045">
          <cell r="A1045">
            <v>1044</v>
          </cell>
          <cell r="B1045" t="str">
            <v>ja</v>
          </cell>
          <cell r="C1045" t="str">
            <v>恋狩の色星主  彦星</v>
          </cell>
          <cell r="D1045" t="str">
            <v>彦星(アルタイル)</v>
          </cell>
          <cell r="E1045" t="str">
            <v>執行者</v>
          </cell>
          <cell r="F1045" t="str">
            <v>格好いい</v>
          </cell>
          <cell r="G1045" t="str">
            <v>男性</v>
          </cell>
          <cell r="H1045" t="str">
            <v>green</v>
          </cell>
          <cell r="I1045">
            <v>6</v>
          </cell>
          <cell r="J1045" t="str">
            <v>DropWizS</v>
          </cell>
          <cell r="K1045" t="str">
            <v>technical</v>
          </cell>
          <cell r="L1045" t="str">
            <v>テクニカルタイプ</v>
          </cell>
          <cell r="M1045" t="str">
            <v>god</v>
          </cell>
          <cell r="N1045" t="str">
            <v>ゴッド</v>
          </cell>
          <cell r="O1045" t="str">
            <v>none</v>
          </cell>
          <cell r="P1045" t="str">
            <v>種族なし</v>
          </cell>
          <cell r="Q1045" t="str">
            <v>アタッカー</v>
          </cell>
          <cell r="R1045">
            <v>3</v>
          </cell>
          <cell r="S1045" t="str">
            <v>NULL</v>
          </cell>
          <cell r="T1045" t="str">
            <v>normal</v>
          </cell>
          <cell r="U1045" t="str">
            <v>NULL</v>
          </cell>
          <cell r="V1045" t="str">
            <v>NULL</v>
          </cell>
          <cell r="W1045" t="str">
            <v>NULL</v>
          </cell>
        </row>
        <row r="1046">
          <cell r="A1046">
            <v>1045</v>
          </cell>
          <cell r="B1046" t="str">
            <v>ja</v>
          </cell>
          <cell r="C1046" t="str">
            <v>漂解の海原 シュレディンガー</v>
          </cell>
          <cell r="D1046" t="str">
            <v>シュレディンガー_水着</v>
          </cell>
          <cell r="E1046" t="str">
            <v>執行者</v>
          </cell>
          <cell r="F1046" t="str">
            <v>格好いい</v>
          </cell>
          <cell r="G1046" t="str">
            <v>男性</v>
          </cell>
          <cell r="H1046" t="str">
            <v>blue</v>
          </cell>
          <cell r="I1046">
            <v>6</v>
          </cell>
          <cell r="J1046" t="str">
            <v>PremiumSSS</v>
          </cell>
          <cell r="K1046" t="str">
            <v>balance</v>
          </cell>
          <cell r="L1046" t="str">
            <v>バランスタイプ</v>
          </cell>
          <cell r="M1046" t="str">
            <v>academia</v>
          </cell>
          <cell r="N1046" t="str">
            <v>アカデミア</v>
          </cell>
          <cell r="O1046" t="str">
            <v>animal</v>
          </cell>
          <cell r="P1046" t="str">
            <v>アニマル</v>
          </cell>
          <cell r="Q1046" t="str">
            <v>アタッカー</v>
          </cell>
          <cell r="R1046">
            <v>3</v>
          </cell>
          <cell r="S1046" t="str">
            <v>NULL</v>
          </cell>
          <cell r="T1046" t="str">
            <v>normal</v>
          </cell>
          <cell r="U1046" t="str">
            <v>NULL</v>
          </cell>
          <cell r="V1046" t="str">
            <v>NULL</v>
          </cell>
          <cell r="W1046" t="str">
            <v>NULL</v>
          </cell>
        </row>
        <row r="1047">
          <cell r="A1047">
            <v>1046</v>
          </cell>
          <cell r="B1047" t="str">
            <v>ja</v>
          </cell>
          <cell r="C1047" t="str">
            <v>涼求の炎狼 フェンリル</v>
          </cell>
          <cell r="D1047" t="str">
            <v>フェンリル_水着</v>
          </cell>
          <cell r="E1047" t="str">
            <v>執行者</v>
          </cell>
          <cell r="F1047" t="str">
            <v>格好いい</v>
          </cell>
          <cell r="G1047" t="str">
            <v>男性</v>
          </cell>
          <cell r="H1047" t="str">
            <v>blue</v>
          </cell>
          <cell r="I1047">
            <v>5</v>
          </cell>
          <cell r="J1047" t="str">
            <v>PremiumS</v>
          </cell>
          <cell r="K1047" t="str">
            <v>attack</v>
          </cell>
          <cell r="L1047" t="str">
            <v>攻撃タイプ</v>
          </cell>
          <cell r="M1047" t="str">
            <v>animal</v>
          </cell>
          <cell r="N1047" t="str">
            <v>アニマル</v>
          </cell>
          <cell r="O1047" t="str">
            <v>none</v>
          </cell>
          <cell r="P1047" t="str">
            <v>種族なし</v>
          </cell>
          <cell r="Q1047" t="str">
            <v>アタッカー</v>
          </cell>
          <cell r="R1047">
            <v>3</v>
          </cell>
          <cell r="S1047" t="str">
            <v>NULL</v>
          </cell>
          <cell r="T1047" t="str">
            <v>normal</v>
          </cell>
          <cell r="U1047" t="str">
            <v>NULL</v>
          </cell>
          <cell r="V1047" t="str">
            <v>NULL</v>
          </cell>
          <cell r="W1047" t="str">
            <v>NULL</v>
          </cell>
        </row>
        <row r="1048">
          <cell r="A1048">
            <v>1047</v>
          </cell>
          <cell r="B1048" t="str">
            <v>ja</v>
          </cell>
          <cell r="C1048" t="str">
            <v>波浪の夏閃 オイラー</v>
          </cell>
          <cell r="D1048" t="str">
            <v>オイラー_水着</v>
          </cell>
          <cell r="E1048" t="str">
            <v>執行者</v>
          </cell>
          <cell r="F1048" t="str">
            <v>格好いい</v>
          </cell>
          <cell r="G1048" t="str">
            <v>男性</v>
          </cell>
          <cell r="H1048" t="str">
            <v>blue</v>
          </cell>
          <cell r="I1048">
            <v>6</v>
          </cell>
          <cell r="J1048" t="str">
            <v>PremiumSSS</v>
          </cell>
          <cell r="K1048" t="str">
            <v>balance</v>
          </cell>
          <cell r="L1048" t="str">
            <v>バランスタイプ</v>
          </cell>
          <cell r="M1048" t="str">
            <v>academia</v>
          </cell>
          <cell r="N1048" t="str">
            <v>アカデミア</v>
          </cell>
          <cell r="O1048" t="str">
            <v>human</v>
          </cell>
          <cell r="P1048" t="str">
            <v>ヒューマン</v>
          </cell>
          <cell r="Q1048" t="str">
            <v>アタッカー</v>
          </cell>
          <cell r="R1048">
            <v>3</v>
          </cell>
          <cell r="S1048" t="str">
            <v>NULL</v>
          </cell>
          <cell r="T1048" t="str">
            <v>normal</v>
          </cell>
          <cell r="U1048" t="str">
            <v>NULL</v>
          </cell>
          <cell r="V1048" t="str">
            <v>NULL</v>
          </cell>
          <cell r="W1048" t="str">
            <v>NULL</v>
          </cell>
        </row>
        <row r="1049">
          <cell r="A1049">
            <v>1048</v>
          </cell>
          <cell r="B1049" t="str">
            <v>ja</v>
          </cell>
          <cell r="C1049" t="str">
            <v>砂上の城主竜 ケツァクアトル</v>
          </cell>
          <cell r="D1049" t="str">
            <v>ケツァクアトル_水着</v>
          </cell>
          <cell r="E1049" t="str">
            <v>執行者</v>
          </cell>
          <cell r="F1049" t="str">
            <v>格好いい</v>
          </cell>
          <cell r="G1049" t="str">
            <v>男性</v>
          </cell>
          <cell r="H1049" t="str">
            <v>blue</v>
          </cell>
          <cell r="I1049">
            <v>5</v>
          </cell>
          <cell r="J1049" t="str">
            <v>PremiumS</v>
          </cell>
          <cell r="K1049" t="str">
            <v>hp</v>
          </cell>
          <cell r="L1049" t="str">
            <v>体力タイプ</v>
          </cell>
          <cell r="M1049" t="str">
            <v>dragon</v>
          </cell>
          <cell r="N1049" t="str">
            <v>ドラゴン</v>
          </cell>
          <cell r="O1049" t="str">
            <v>none</v>
          </cell>
          <cell r="P1049" t="str">
            <v>種族なし</v>
          </cell>
          <cell r="Q1049" t="str">
            <v>アタッカー</v>
          </cell>
          <cell r="R1049">
            <v>3</v>
          </cell>
          <cell r="S1049" t="str">
            <v>NULL</v>
          </cell>
          <cell r="T1049" t="str">
            <v>normal</v>
          </cell>
          <cell r="U1049" t="str">
            <v>NULL</v>
          </cell>
          <cell r="V1049" t="str">
            <v>NULL</v>
          </cell>
          <cell r="W1049" t="str">
            <v>NULL</v>
          </cell>
        </row>
        <row r="1050">
          <cell r="A1050">
            <v>1049</v>
          </cell>
          <cell r="B1050" t="str">
            <v>ja</v>
          </cell>
          <cell r="C1050" t="str">
            <v>深秘の水宙 メビウス</v>
          </cell>
          <cell r="D1050" t="str">
            <v>メビウス_水着</v>
          </cell>
          <cell r="E1050" t="str">
            <v>執行者</v>
          </cell>
          <cell r="F1050" t="str">
            <v>格好いい</v>
          </cell>
          <cell r="G1050" t="str">
            <v>男性</v>
          </cell>
          <cell r="H1050" t="str">
            <v>blue</v>
          </cell>
          <cell r="I1050">
            <v>6</v>
          </cell>
          <cell r="J1050" t="str">
            <v>PremiumSSS</v>
          </cell>
          <cell r="K1050" t="str">
            <v>balance</v>
          </cell>
          <cell r="L1050" t="str">
            <v>バランスタイプ</v>
          </cell>
          <cell r="M1050" t="str">
            <v>academia</v>
          </cell>
          <cell r="N1050" t="str">
            <v>アカデミア</v>
          </cell>
          <cell r="O1050" t="str">
            <v>machine</v>
          </cell>
          <cell r="P1050" t="str">
            <v>マシン</v>
          </cell>
          <cell r="Q1050" t="str">
            <v>アタッカー</v>
          </cell>
          <cell r="R1050">
            <v>3</v>
          </cell>
          <cell r="S1050" t="str">
            <v>NULL</v>
          </cell>
          <cell r="T1050" t="str">
            <v>normal</v>
          </cell>
          <cell r="U1050" t="str">
            <v>NULL</v>
          </cell>
          <cell r="V1050" t="str">
            <v>NULL</v>
          </cell>
          <cell r="W1050" t="str">
            <v>NULL</v>
          </cell>
        </row>
        <row r="1051">
          <cell r="A1051">
            <v>1050</v>
          </cell>
          <cell r="B1051" t="str">
            <v>ja</v>
          </cell>
          <cell r="C1051" t="str">
            <v>廻遊の水獣宰相 ルキフグス</v>
          </cell>
          <cell r="D1051" t="str">
            <v>ルキフグス_水着</v>
          </cell>
          <cell r="E1051" t="str">
            <v>執行者</v>
          </cell>
          <cell r="F1051" t="str">
            <v>格好いい</v>
          </cell>
          <cell r="G1051" t="str">
            <v>男性</v>
          </cell>
          <cell r="H1051" t="str">
            <v>blue</v>
          </cell>
          <cell r="I1051">
            <v>5</v>
          </cell>
          <cell r="J1051" t="str">
            <v>PremiumS</v>
          </cell>
          <cell r="K1051" t="str">
            <v>balance</v>
          </cell>
          <cell r="L1051" t="str">
            <v>バランスタイプ</v>
          </cell>
          <cell r="M1051" t="str">
            <v>god</v>
          </cell>
          <cell r="N1051" t="str">
            <v>ゴッド</v>
          </cell>
          <cell r="O1051" t="str">
            <v>none</v>
          </cell>
          <cell r="P1051" t="str">
            <v>種族なし</v>
          </cell>
          <cell r="Q1051" t="str">
            <v>アタッカー</v>
          </cell>
          <cell r="R1051">
            <v>3</v>
          </cell>
          <cell r="S1051" t="str">
            <v>NULL</v>
          </cell>
          <cell r="T1051" t="str">
            <v>normal</v>
          </cell>
          <cell r="U1051" t="str">
            <v>NULL</v>
          </cell>
          <cell r="V1051" t="str">
            <v>NULL</v>
          </cell>
          <cell r="W1051" t="str">
            <v>NULL</v>
          </cell>
        </row>
        <row r="1052">
          <cell r="A1052">
            <v>1051</v>
          </cell>
          <cell r="B1052" t="str">
            <v>ja</v>
          </cell>
          <cell r="C1052" t="str">
            <v>嬌電の飛沫 ファラデー</v>
          </cell>
          <cell r="D1052" t="str">
            <v>ファラデー_水着</v>
          </cell>
          <cell r="E1052" t="str">
            <v>執行者</v>
          </cell>
          <cell r="F1052" t="str">
            <v>格好いい</v>
          </cell>
          <cell r="G1052" t="str">
            <v>男性</v>
          </cell>
          <cell r="H1052" t="str">
            <v>blue</v>
          </cell>
          <cell r="I1052">
            <v>6</v>
          </cell>
          <cell r="J1052" t="str">
            <v>PremiumSSS</v>
          </cell>
          <cell r="K1052" t="str">
            <v>balance</v>
          </cell>
          <cell r="L1052" t="str">
            <v>バランスタイプ</v>
          </cell>
          <cell r="M1052" t="str">
            <v>academia</v>
          </cell>
          <cell r="N1052" t="str">
            <v>アカデミア</v>
          </cell>
          <cell r="O1052" t="str">
            <v>human</v>
          </cell>
          <cell r="P1052" t="str">
            <v>ヒューマン</v>
          </cell>
          <cell r="Q1052" t="str">
            <v>アタッカー</v>
          </cell>
          <cell r="R1052">
            <v>3</v>
          </cell>
          <cell r="S1052" t="str">
            <v>NULL</v>
          </cell>
          <cell r="T1052" t="str">
            <v>normal</v>
          </cell>
          <cell r="U1052" t="str">
            <v>NULL</v>
          </cell>
          <cell r="V1052" t="str">
            <v>NULL</v>
          </cell>
          <cell r="W1052" t="str">
            <v>NULL</v>
          </cell>
        </row>
        <row r="1053">
          <cell r="A1053">
            <v>1052</v>
          </cell>
          <cell r="B1053" t="str">
            <v>ja</v>
          </cell>
          <cell r="C1053" t="str">
            <v>戯魚群の潜光 バルドル</v>
          </cell>
          <cell r="D1053" t="str">
            <v>バルドル_水着</v>
          </cell>
          <cell r="E1053" t="str">
            <v>執行者</v>
          </cell>
          <cell r="F1053" t="str">
            <v>格好いい</v>
          </cell>
          <cell r="G1053" t="str">
            <v>男性</v>
          </cell>
          <cell r="H1053" t="str">
            <v>blue</v>
          </cell>
          <cell r="I1053">
            <v>5</v>
          </cell>
          <cell r="J1053" t="str">
            <v>PremiumS</v>
          </cell>
          <cell r="K1053" t="str">
            <v>heal</v>
          </cell>
          <cell r="L1053" t="str">
            <v>回復タイプ</v>
          </cell>
          <cell r="M1053" t="str">
            <v>god</v>
          </cell>
          <cell r="N1053" t="str">
            <v>ゴッド</v>
          </cell>
          <cell r="O1053" t="str">
            <v>none</v>
          </cell>
          <cell r="P1053" t="str">
            <v>種族なし</v>
          </cell>
          <cell r="Q1053" t="str">
            <v>アタッカー</v>
          </cell>
          <cell r="R1053">
            <v>3</v>
          </cell>
          <cell r="S1053" t="str">
            <v>NULL</v>
          </cell>
          <cell r="T1053" t="str">
            <v>normal</v>
          </cell>
          <cell r="U1053" t="str">
            <v>NULL</v>
          </cell>
          <cell r="V1053" t="str">
            <v>NULL</v>
          </cell>
          <cell r="W1053" t="str">
            <v>NULL</v>
          </cell>
        </row>
        <row r="1054">
          <cell r="A1054">
            <v>1053</v>
          </cell>
          <cell r="B1054" t="str">
            <v>ja</v>
          </cell>
          <cell r="C1054" t="str">
            <v>常夏の眩獣 麒麟</v>
          </cell>
          <cell r="D1054" t="str">
            <v>麒麟_水着</v>
          </cell>
          <cell r="E1054" t="str">
            <v>執行者</v>
          </cell>
          <cell r="F1054" t="str">
            <v>格好いい</v>
          </cell>
          <cell r="G1054" t="str">
            <v>男性</v>
          </cell>
          <cell r="H1054" t="str">
            <v>red</v>
          </cell>
          <cell r="I1054">
            <v>5</v>
          </cell>
          <cell r="J1054" t="str">
            <v>DropWizS</v>
          </cell>
          <cell r="K1054" t="str">
            <v>balance</v>
          </cell>
          <cell r="L1054" t="str">
            <v>バランスタイプ</v>
          </cell>
          <cell r="M1054" t="str">
            <v>god</v>
          </cell>
          <cell r="N1054" t="str">
            <v>ゴッド</v>
          </cell>
          <cell r="O1054" t="str">
            <v>none</v>
          </cell>
          <cell r="P1054" t="str">
            <v>種族なし</v>
          </cell>
          <cell r="Q1054" t="str">
            <v>アタッカー</v>
          </cell>
          <cell r="R1054">
            <v>3</v>
          </cell>
          <cell r="S1054" t="str">
            <v>NULL</v>
          </cell>
          <cell r="T1054" t="str">
            <v>normal</v>
          </cell>
          <cell r="U1054" t="str">
            <v>NULL</v>
          </cell>
          <cell r="V1054" t="str">
            <v>NULL</v>
          </cell>
          <cell r="W1054" t="str">
            <v>NULL</v>
          </cell>
        </row>
        <row r="1055">
          <cell r="A1055">
            <v>1054</v>
          </cell>
          <cell r="B1055" t="str">
            <v>ja</v>
          </cell>
          <cell r="C1055" t="str">
            <v>炎陽の臨海 麒麟</v>
          </cell>
          <cell r="D1055" t="str">
            <v>麒麟_水着</v>
          </cell>
          <cell r="E1055" t="str">
            <v>執行者</v>
          </cell>
          <cell r="F1055" t="str">
            <v>格好いい</v>
          </cell>
          <cell r="G1055" t="str">
            <v>男性</v>
          </cell>
          <cell r="H1055" t="str">
            <v>red</v>
          </cell>
          <cell r="I1055">
            <v>6</v>
          </cell>
          <cell r="J1055" t="str">
            <v>DropWizS</v>
          </cell>
          <cell r="K1055" t="str">
            <v>balance</v>
          </cell>
          <cell r="L1055" t="str">
            <v>バランスタイプ</v>
          </cell>
          <cell r="M1055" t="str">
            <v>god</v>
          </cell>
          <cell r="N1055" t="str">
            <v>ゴッド</v>
          </cell>
          <cell r="O1055" t="str">
            <v>none</v>
          </cell>
          <cell r="P1055" t="str">
            <v>種族なし</v>
          </cell>
          <cell r="Q1055" t="str">
            <v>アタッカー</v>
          </cell>
          <cell r="R1055">
            <v>3</v>
          </cell>
          <cell r="S1055" t="str">
            <v>NULL</v>
          </cell>
          <cell r="T1055" t="str">
            <v>normal</v>
          </cell>
          <cell r="U1055" t="str">
            <v>NULL</v>
          </cell>
          <cell r="V1055" t="str">
            <v>NULL</v>
          </cell>
          <cell r="W1055" t="str">
            <v>NULL</v>
          </cell>
        </row>
        <row r="1056">
          <cell r="A1056">
            <v>1055</v>
          </cell>
          <cell r="B1056" t="str">
            <v>ja</v>
          </cell>
          <cell r="C1056" t="str">
            <v>豪焔の轟暴聖 ベリアル</v>
          </cell>
          <cell r="D1056" t="str">
            <v>ベリアル_分岐</v>
          </cell>
          <cell r="E1056" t="str">
            <v>執行者</v>
          </cell>
          <cell r="F1056" t="str">
            <v>格好いい</v>
          </cell>
          <cell r="G1056" t="str">
            <v>男性</v>
          </cell>
          <cell r="H1056" t="str">
            <v>red</v>
          </cell>
          <cell r="I1056">
            <v>6</v>
          </cell>
          <cell r="J1056" t="str">
            <v>PremiumS</v>
          </cell>
          <cell r="K1056" t="str">
            <v>attack</v>
          </cell>
          <cell r="L1056" t="str">
            <v>攻撃タイプ</v>
          </cell>
          <cell r="M1056" t="str">
            <v>demon</v>
          </cell>
          <cell r="N1056" t="str">
            <v>デーモン</v>
          </cell>
          <cell r="O1056" t="str">
            <v>none</v>
          </cell>
          <cell r="P1056" t="str">
            <v>種族なし</v>
          </cell>
          <cell r="Q1056" t="str">
            <v>アタッカー</v>
          </cell>
          <cell r="R1056">
            <v>3</v>
          </cell>
          <cell r="S1056" t="str">
            <v>NULL</v>
          </cell>
          <cell r="T1056" t="str">
            <v>super</v>
          </cell>
          <cell r="U1056" t="str">
            <v>NULL</v>
          </cell>
          <cell r="V1056" t="str">
            <v>NULL</v>
          </cell>
          <cell r="W1056" t="str">
            <v>NULL</v>
          </cell>
        </row>
        <row r="1057">
          <cell r="A1057">
            <v>1056</v>
          </cell>
          <cell r="B1057" t="str">
            <v>ja</v>
          </cell>
          <cell r="C1057" t="str">
            <v>神解の預欺皇 オセ</v>
          </cell>
          <cell r="D1057" t="str">
            <v>オセ_分岐</v>
          </cell>
          <cell r="E1057" t="str">
            <v>執行者</v>
          </cell>
          <cell r="F1057" t="str">
            <v>格好いい</v>
          </cell>
          <cell r="G1057" t="str">
            <v>男性</v>
          </cell>
          <cell r="H1057" t="str">
            <v>green</v>
          </cell>
          <cell r="I1057">
            <v>6</v>
          </cell>
          <cell r="J1057" t="str">
            <v>PremiumS</v>
          </cell>
          <cell r="K1057" t="str">
            <v>attack</v>
          </cell>
          <cell r="L1057" t="str">
            <v>攻撃タイプ</v>
          </cell>
          <cell r="M1057" t="str">
            <v>demon</v>
          </cell>
          <cell r="N1057" t="str">
            <v>デーモン</v>
          </cell>
          <cell r="O1057" t="str">
            <v>none</v>
          </cell>
          <cell r="P1057" t="str">
            <v>種族なし</v>
          </cell>
          <cell r="Q1057" t="str">
            <v>アタッカー</v>
          </cell>
          <cell r="R1057">
            <v>3</v>
          </cell>
          <cell r="S1057" t="str">
            <v>NULL</v>
          </cell>
          <cell r="T1057" t="str">
            <v>super</v>
          </cell>
          <cell r="U1057" t="str">
            <v>NULL</v>
          </cell>
          <cell r="V1057" t="str">
            <v>NULL</v>
          </cell>
          <cell r="W1057" t="str">
            <v>NULL</v>
          </cell>
        </row>
        <row r="1058">
          <cell r="A1058">
            <v>1057</v>
          </cell>
          <cell r="B1058" t="str">
            <v>ja</v>
          </cell>
          <cell r="C1058" t="str">
            <v>疑愛の永遠公爵 フォルネウス</v>
          </cell>
          <cell r="D1058" t="str">
            <v>フォルネウス_分岐</v>
          </cell>
          <cell r="E1058" t="str">
            <v>執行者</v>
          </cell>
          <cell r="F1058" t="str">
            <v>格好いい</v>
          </cell>
          <cell r="G1058" t="str">
            <v>男性</v>
          </cell>
          <cell r="H1058" t="str">
            <v>blue</v>
          </cell>
          <cell r="I1058">
            <v>6</v>
          </cell>
          <cell r="J1058" t="str">
            <v>PremiumS</v>
          </cell>
          <cell r="K1058" t="str">
            <v>attack</v>
          </cell>
          <cell r="L1058" t="str">
            <v>攻撃タイプ</v>
          </cell>
          <cell r="M1058" t="str">
            <v>demon</v>
          </cell>
          <cell r="N1058" t="str">
            <v>デーモン</v>
          </cell>
          <cell r="O1058" t="str">
            <v>none</v>
          </cell>
          <cell r="P1058" t="str">
            <v>種族なし</v>
          </cell>
          <cell r="Q1058" t="str">
            <v>アタッカー</v>
          </cell>
          <cell r="R1058">
            <v>3</v>
          </cell>
          <cell r="S1058" t="str">
            <v>NULL</v>
          </cell>
          <cell r="T1058" t="str">
            <v>super</v>
          </cell>
          <cell r="U1058" t="str">
            <v>NULL</v>
          </cell>
          <cell r="V1058" t="str">
            <v>NULL</v>
          </cell>
          <cell r="W1058" t="str">
            <v>NULL</v>
          </cell>
        </row>
        <row r="1059">
          <cell r="A1059">
            <v>1058</v>
          </cell>
          <cell r="B1059" t="str">
            <v>ja</v>
          </cell>
          <cell r="C1059" t="str">
            <v>黄泉守誘の命神母 イザナミ</v>
          </cell>
          <cell r="D1059" t="str">
            <v>イザナミ_分岐</v>
          </cell>
          <cell r="E1059" t="str">
            <v>執行者</v>
          </cell>
          <cell r="F1059" t="str">
            <v>格好いい</v>
          </cell>
          <cell r="G1059" t="str">
            <v>男性</v>
          </cell>
          <cell r="H1059" t="str">
            <v>yellow</v>
          </cell>
          <cell r="I1059">
            <v>6</v>
          </cell>
          <cell r="J1059" t="str">
            <v>PremiumS</v>
          </cell>
          <cell r="K1059" t="str">
            <v>attack</v>
          </cell>
          <cell r="L1059" t="str">
            <v>攻撃タイプ</v>
          </cell>
          <cell r="M1059" t="str">
            <v>god</v>
          </cell>
          <cell r="N1059" t="str">
            <v>ゴッド</v>
          </cell>
          <cell r="O1059" t="str">
            <v>none</v>
          </cell>
          <cell r="P1059" t="str">
            <v>種族なし</v>
          </cell>
          <cell r="Q1059" t="str">
            <v>アタッカー</v>
          </cell>
          <cell r="R1059">
            <v>3</v>
          </cell>
          <cell r="S1059" t="str">
            <v>NULL</v>
          </cell>
          <cell r="T1059" t="str">
            <v>super</v>
          </cell>
          <cell r="U1059" t="str">
            <v>NULL</v>
          </cell>
          <cell r="V1059" t="str">
            <v>NULL</v>
          </cell>
          <cell r="W1059" t="str">
            <v>NULL</v>
          </cell>
        </row>
        <row r="1060">
          <cell r="A1060">
            <v>1059</v>
          </cell>
          <cell r="B1060" t="str">
            <v>ja</v>
          </cell>
          <cell r="C1060" t="str">
            <v>パズズ</v>
          </cell>
          <cell r="D1060" t="str">
            <v>イザナミ_分岐</v>
          </cell>
          <cell r="E1060" t="str">
            <v>執行者</v>
          </cell>
          <cell r="F1060" t="str">
            <v>格好いい</v>
          </cell>
          <cell r="G1060" t="str">
            <v>男性</v>
          </cell>
          <cell r="H1060" t="str">
            <v>green</v>
          </cell>
          <cell r="I1060">
            <v>4</v>
          </cell>
          <cell r="J1060" t="str">
            <v>Drop2N</v>
          </cell>
          <cell r="K1060" t="str">
            <v>balance</v>
          </cell>
          <cell r="L1060" t="str">
            <v>バランスタイプ</v>
          </cell>
          <cell r="M1060" t="str">
            <v>god</v>
          </cell>
          <cell r="N1060" t="str">
            <v>ゴッド</v>
          </cell>
          <cell r="O1060" t="str">
            <v>animal</v>
          </cell>
          <cell r="P1060" t="str">
            <v>アニマル</v>
          </cell>
          <cell r="Q1060" t="str">
            <v>アタッカー</v>
          </cell>
          <cell r="R1060">
            <v>3</v>
          </cell>
          <cell r="S1060" t="str">
            <v>NULL</v>
          </cell>
          <cell r="T1060" t="str">
            <v>nomal</v>
          </cell>
          <cell r="U1060" t="str">
            <v>NULL</v>
          </cell>
          <cell r="V1060" t="str">
            <v>NULL</v>
          </cell>
          <cell r="W1060" t="str">
            <v>NULL</v>
          </cell>
        </row>
        <row r="1061">
          <cell r="A1061">
            <v>1060</v>
          </cell>
          <cell r="B1061" t="str">
            <v>ja</v>
          </cell>
          <cell r="C1061" t="str">
            <v>熱扇風の幼魔 パズズ</v>
          </cell>
          <cell r="D1061" t="str">
            <v>イザナミ_分岐</v>
          </cell>
          <cell r="E1061" t="str">
            <v>執行者</v>
          </cell>
          <cell r="F1061" t="str">
            <v>格好いい</v>
          </cell>
          <cell r="G1061" t="str">
            <v>男性</v>
          </cell>
          <cell r="H1061" t="str">
            <v>green</v>
          </cell>
          <cell r="I1061">
            <v>5</v>
          </cell>
          <cell r="J1061" t="str">
            <v>Drop2N</v>
          </cell>
          <cell r="K1061" t="str">
            <v>balance</v>
          </cell>
          <cell r="L1061" t="str">
            <v>バランスタイプ</v>
          </cell>
          <cell r="M1061" t="str">
            <v>god</v>
          </cell>
          <cell r="N1061" t="str">
            <v>ゴッド</v>
          </cell>
          <cell r="O1061" t="str">
            <v>animal</v>
          </cell>
          <cell r="P1061" t="str">
            <v>アニマル</v>
          </cell>
          <cell r="Q1061" t="str">
            <v>アタッカー</v>
          </cell>
          <cell r="R1061">
            <v>3</v>
          </cell>
          <cell r="S1061" t="str">
            <v>NULL</v>
          </cell>
          <cell r="T1061" t="str">
            <v>nomal</v>
          </cell>
          <cell r="U1061" t="str">
            <v>NULL</v>
          </cell>
          <cell r="V1061" t="str">
            <v>NULL</v>
          </cell>
          <cell r="W1061" t="str">
            <v>NULL</v>
          </cell>
        </row>
        <row r="1062">
          <cell r="A1062">
            <v>1061</v>
          </cell>
          <cell r="B1062" t="str">
            <v>ja</v>
          </cell>
          <cell r="C1062" t="str">
            <v>フンババ</v>
          </cell>
          <cell r="D1062" t="str">
            <v>イザナミ_分岐</v>
          </cell>
          <cell r="E1062" t="str">
            <v>執行者</v>
          </cell>
          <cell r="F1062" t="str">
            <v>格好いい</v>
          </cell>
          <cell r="G1062" t="str">
            <v>男性</v>
          </cell>
          <cell r="H1062" t="str">
            <v>yellow</v>
          </cell>
          <cell r="I1062">
            <v>4</v>
          </cell>
          <cell r="J1062" t="str">
            <v>Drop2N</v>
          </cell>
          <cell r="K1062" t="str">
            <v>hp</v>
          </cell>
          <cell r="L1062" t="str">
            <v>体力タイプ</v>
          </cell>
          <cell r="M1062" t="str">
            <v>animal</v>
          </cell>
          <cell r="N1062" t="str">
            <v>アニマル</v>
          </cell>
          <cell r="O1062" t="str">
            <v>machine</v>
          </cell>
          <cell r="P1062" t="str">
            <v>マシン</v>
          </cell>
          <cell r="Q1062" t="str">
            <v>アタッカー</v>
          </cell>
          <cell r="R1062">
            <v>3</v>
          </cell>
          <cell r="S1062" t="str">
            <v>NULL</v>
          </cell>
          <cell r="T1062" t="str">
            <v>nomal</v>
          </cell>
          <cell r="U1062" t="str">
            <v>NULL</v>
          </cell>
          <cell r="V1062" t="str">
            <v>NULL</v>
          </cell>
          <cell r="W1062" t="str">
            <v>NULL</v>
          </cell>
        </row>
        <row r="1063">
          <cell r="A1063">
            <v>1062</v>
          </cell>
          <cell r="B1063" t="str">
            <v>ja</v>
          </cell>
          <cell r="C1063" t="str">
            <v>停止不能の蛮躯 フンババ</v>
          </cell>
          <cell r="D1063" t="str">
            <v>イザナミ_分岐</v>
          </cell>
          <cell r="E1063" t="str">
            <v>執行者</v>
          </cell>
          <cell r="F1063" t="str">
            <v>格好いい</v>
          </cell>
          <cell r="G1063" t="str">
            <v>男性</v>
          </cell>
          <cell r="H1063" t="str">
            <v>yellow</v>
          </cell>
          <cell r="I1063">
            <v>5</v>
          </cell>
          <cell r="J1063" t="str">
            <v>Drop2N</v>
          </cell>
          <cell r="K1063" t="str">
            <v>hp</v>
          </cell>
          <cell r="L1063" t="str">
            <v>体力タイプ</v>
          </cell>
          <cell r="M1063" t="str">
            <v>animal</v>
          </cell>
          <cell r="N1063" t="str">
            <v>アニマル</v>
          </cell>
          <cell r="O1063" t="str">
            <v>machine</v>
          </cell>
          <cell r="P1063" t="str">
            <v>マシン</v>
          </cell>
          <cell r="Q1063" t="str">
            <v>アタッカー</v>
          </cell>
          <cell r="R1063">
            <v>3</v>
          </cell>
          <cell r="S1063" t="str">
            <v>NULL</v>
          </cell>
          <cell r="T1063" t="str">
            <v>nomal</v>
          </cell>
          <cell r="U1063" t="str">
            <v>NULL</v>
          </cell>
          <cell r="V1063" t="str">
            <v>NULL</v>
          </cell>
          <cell r="W1063" t="str">
            <v>NULL</v>
          </cell>
        </row>
        <row r="1064">
          <cell r="A1064">
            <v>1063</v>
          </cell>
          <cell r="B1064" t="str">
            <v>ja</v>
          </cell>
          <cell r="C1064" t="str">
            <v>ティアマト</v>
          </cell>
          <cell r="D1064" t="str">
            <v>イザナミ_分岐</v>
          </cell>
          <cell r="E1064" t="str">
            <v>執行者</v>
          </cell>
          <cell r="F1064" t="str">
            <v>格好いい</v>
          </cell>
          <cell r="G1064" t="str">
            <v>男性</v>
          </cell>
          <cell r="H1064" t="str">
            <v>blue</v>
          </cell>
          <cell r="I1064">
            <v>5</v>
          </cell>
          <cell r="J1064" t="str">
            <v>DropWizS</v>
          </cell>
          <cell r="K1064" t="str">
            <v>technical</v>
          </cell>
          <cell r="L1064" t="str">
            <v>テクニカルタイプ</v>
          </cell>
          <cell r="M1064" t="str">
            <v>god</v>
          </cell>
          <cell r="N1064" t="str">
            <v>ゴッド</v>
          </cell>
          <cell r="O1064" t="str">
            <v>dragon</v>
          </cell>
          <cell r="P1064" t="str">
            <v>ドラゴン</v>
          </cell>
          <cell r="Q1064" t="str">
            <v>アタッカー</v>
          </cell>
          <cell r="R1064">
            <v>3</v>
          </cell>
          <cell r="S1064" t="str">
            <v>NULL</v>
          </cell>
          <cell r="T1064" t="str">
            <v>nomal</v>
          </cell>
          <cell r="U1064" t="str">
            <v>NULL</v>
          </cell>
          <cell r="V1064" t="str">
            <v>NULL</v>
          </cell>
          <cell r="W1064" t="str">
            <v>NULL</v>
          </cell>
        </row>
        <row r="1065">
          <cell r="A1065">
            <v>1064</v>
          </cell>
          <cell r="B1065" t="str">
            <v>ja</v>
          </cell>
          <cell r="C1065" t="str">
            <v>混沌の猛飛沫 ティアマト</v>
          </cell>
          <cell r="D1065" t="str">
            <v>イザナミ_分岐</v>
          </cell>
          <cell r="E1065" t="str">
            <v>執行者</v>
          </cell>
          <cell r="F1065" t="str">
            <v>格好いい</v>
          </cell>
          <cell r="G1065" t="str">
            <v>男性</v>
          </cell>
          <cell r="H1065" t="str">
            <v>blue</v>
          </cell>
          <cell r="I1065">
            <v>6</v>
          </cell>
          <cell r="J1065" t="str">
            <v>DropWizS</v>
          </cell>
          <cell r="K1065" t="str">
            <v>technical</v>
          </cell>
          <cell r="L1065" t="str">
            <v>テクニカルタイプ</v>
          </cell>
          <cell r="M1065" t="str">
            <v>god</v>
          </cell>
          <cell r="N1065" t="str">
            <v>ゴッド</v>
          </cell>
          <cell r="O1065" t="str">
            <v>dragon</v>
          </cell>
          <cell r="P1065" t="str">
            <v>ドラゴン</v>
          </cell>
          <cell r="Q1065" t="str">
            <v>アタッカー</v>
          </cell>
          <cell r="R1065">
            <v>3</v>
          </cell>
          <cell r="S1065" t="str">
            <v>NULL</v>
          </cell>
          <cell r="T1065" t="str">
            <v>nomal</v>
          </cell>
          <cell r="U1065" t="str">
            <v>NULL</v>
          </cell>
          <cell r="V1065" t="str">
            <v>NULL</v>
          </cell>
          <cell r="W1065" t="str">
            <v>NULL</v>
          </cell>
        </row>
        <row r="1066">
          <cell r="A1066">
            <v>1065</v>
          </cell>
          <cell r="B1066" t="str">
            <v>ja</v>
          </cell>
          <cell r="C1066" t="str">
            <v>ギルガメッシュ</v>
          </cell>
          <cell r="D1066" t="str">
            <v>イザナミ_分岐</v>
          </cell>
          <cell r="E1066" t="str">
            <v>執行者</v>
          </cell>
          <cell r="F1066" t="str">
            <v>格好いい</v>
          </cell>
          <cell r="G1066" t="str">
            <v>男性</v>
          </cell>
          <cell r="H1066" t="str">
            <v>red</v>
          </cell>
          <cell r="I1066">
            <v>5</v>
          </cell>
          <cell r="J1066" t="str">
            <v>DropWizSS</v>
          </cell>
          <cell r="K1066" t="str">
            <v>attack</v>
          </cell>
          <cell r="L1066" t="str">
            <v>攻撃タイプ</v>
          </cell>
          <cell r="M1066" t="str">
            <v>god</v>
          </cell>
          <cell r="N1066" t="str">
            <v>ゴッド</v>
          </cell>
          <cell r="O1066" t="str">
            <v>human</v>
          </cell>
          <cell r="P1066" t="str">
            <v>ヒューマン</v>
          </cell>
          <cell r="Q1066" t="str">
            <v>アタッカー</v>
          </cell>
          <cell r="R1066">
            <v>3</v>
          </cell>
          <cell r="S1066" t="str">
            <v>NULL</v>
          </cell>
          <cell r="T1066" t="str">
            <v>nomal</v>
          </cell>
          <cell r="U1066" t="str">
            <v>NULL</v>
          </cell>
          <cell r="V1066" t="str">
            <v>NULL</v>
          </cell>
          <cell r="W1066" t="str">
            <v>NULL</v>
          </cell>
        </row>
        <row r="1067">
          <cell r="A1067">
            <v>1066</v>
          </cell>
          <cell r="B1067" t="str">
            <v>ja</v>
          </cell>
          <cell r="C1067" t="str">
            <v>放縦の序獅子 ギルガメッシュ</v>
          </cell>
          <cell r="D1067" t="str">
            <v>イザナミ_分岐</v>
          </cell>
          <cell r="E1067" t="str">
            <v>執行者</v>
          </cell>
          <cell r="F1067" t="str">
            <v>格好いい</v>
          </cell>
          <cell r="G1067" t="str">
            <v>男性</v>
          </cell>
          <cell r="H1067" t="str">
            <v>red</v>
          </cell>
          <cell r="I1067">
            <v>6</v>
          </cell>
          <cell r="J1067" t="str">
            <v>DropWizSS</v>
          </cell>
          <cell r="K1067" t="str">
            <v>attack</v>
          </cell>
          <cell r="L1067" t="str">
            <v>攻撃タイプ</v>
          </cell>
          <cell r="M1067" t="str">
            <v>god</v>
          </cell>
          <cell r="N1067" t="str">
            <v>ゴッド</v>
          </cell>
          <cell r="O1067" t="str">
            <v>human</v>
          </cell>
          <cell r="P1067" t="str">
            <v>ヒューマン</v>
          </cell>
          <cell r="Q1067" t="str">
            <v>アタッカー</v>
          </cell>
          <cell r="R1067">
            <v>3</v>
          </cell>
          <cell r="S1067" t="str">
            <v>NULL</v>
          </cell>
          <cell r="T1067" t="str">
            <v>nomal</v>
          </cell>
          <cell r="U1067" t="str">
            <v>NULL</v>
          </cell>
          <cell r="V1067" t="str">
            <v>NULL</v>
          </cell>
          <cell r="W1067" t="str">
            <v>NULL</v>
          </cell>
        </row>
        <row r="1068">
          <cell r="A1068">
            <v>1067</v>
          </cell>
          <cell r="B1068" t="str">
            <v>ja</v>
          </cell>
          <cell r="C1068" t="str">
            <v>ウシュムガル</v>
          </cell>
          <cell r="D1068" t="str">
            <v>イザナミ_分岐</v>
          </cell>
          <cell r="E1068" t="str">
            <v>執行者</v>
          </cell>
          <cell r="F1068" t="str">
            <v>格好いい</v>
          </cell>
          <cell r="G1068" t="str">
            <v>男性</v>
          </cell>
          <cell r="H1068" t="str">
            <v>red</v>
          </cell>
          <cell r="I1068">
            <v>4</v>
          </cell>
          <cell r="J1068" t="str">
            <v>PremiumS</v>
          </cell>
          <cell r="K1068" t="str">
            <v>balance</v>
          </cell>
          <cell r="L1068" t="str">
            <v>バランスタイプ</v>
          </cell>
          <cell r="M1068" t="str">
            <v>dragon</v>
          </cell>
          <cell r="N1068" t="str">
            <v>ドラゴン</v>
          </cell>
          <cell r="O1068" t="str">
            <v>animal</v>
          </cell>
          <cell r="P1068" t="str">
            <v>アニマル</v>
          </cell>
          <cell r="Q1068" t="str">
            <v>アタッカー</v>
          </cell>
          <cell r="R1068">
            <v>3</v>
          </cell>
          <cell r="S1068" t="str">
            <v>NULL</v>
          </cell>
          <cell r="T1068" t="str">
            <v>nomal</v>
          </cell>
          <cell r="U1068" t="str">
            <v>NULL</v>
          </cell>
          <cell r="V1068" t="str">
            <v>NULL</v>
          </cell>
          <cell r="W1068" t="str">
            <v>NULL</v>
          </cell>
        </row>
        <row r="1069">
          <cell r="A1069">
            <v>1068</v>
          </cell>
          <cell r="B1069" t="str">
            <v>ja</v>
          </cell>
          <cell r="C1069" t="str">
            <v>想母の羽龍 ウシュムガル</v>
          </cell>
          <cell r="D1069" t="str">
            <v>イザナミ_分岐</v>
          </cell>
          <cell r="E1069" t="str">
            <v>執行者</v>
          </cell>
          <cell r="F1069" t="str">
            <v>格好いい</v>
          </cell>
          <cell r="G1069" t="str">
            <v>男性</v>
          </cell>
          <cell r="H1069" t="str">
            <v>red</v>
          </cell>
          <cell r="I1069">
            <v>5</v>
          </cell>
          <cell r="J1069" t="str">
            <v>PremiumS</v>
          </cell>
          <cell r="K1069" t="str">
            <v>balance</v>
          </cell>
          <cell r="L1069" t="str">
            <v>バランスタイプ</v>
          </cell>
          <cell r="M1069" t="str">
            <v>dragon</v>
          </cell>
          <cell r="N1069" t="str">
            <v>ドラゴン</v>
          </cell>
          <cell r="O1069" t="str">
            <v>animal</v>
          </cell>
          <cell r="P1069" t="str">
            <v>アニマル</v>
          </cell>
          <cell r="Q1069" t="str">
            <v>アタッカー</v>
          </cell>
          <cell r="R1069">
            <v>3</v>
          </cell>
          <cell r="S1069" t="str">
            <v>NULL</v>
          </cell>
          <cell r="T1069" t="str">
            <v>nomal</v>
          </cell>
          <cell r="U1069" t="str">
            <v>NULL</v>
          </cell>
          <cell r="V1069" t="str">
            <v>NULL</v>
          </cell>
          <cell r="W1069" t="str">
            <v>NULL</v>
          </cell>
        </row>
        <row r="1070">
          <cell r="A1070">
            <v>1069</v>
          </cell>
          <cell r="B1070" t="str">
            <v>ja</v>
          </cell>
          <cell r="C1070" t="str">
            <v>イシュタル</v>
          </cell>
          <cell r="D1070" t="str">
            <v>イザナミ_分岐</v>
          </cell>
          <cell r="E1070" t="str">
            <v>執行者</v>
          </cell>
          <cell r="F1070" t="str">
            <v>格好いい</v>
          </cell>
          <cell r="G1070" t="str">
            <v>男性</v>
          </cell>
          <cell r="H1070" t="str">
            <v>green</v>
          </cell>
          <cell r="I1070">
            <v>5</v>
          </cell>
          <cell r="J1070" t="str">
            <v>PremiumSS</v>
          </cell>
          <cell r="K1070" t="str">
            <v>technical</v>
          </cell>
          <cell r="L1070" t="str">
            <v>テクニカルタイプ</v>
          </cell>
          <cell r="M1070" t="str">
            <v>god</v>
          </cell>
          <cell r="N1070" t="str">
            <v>ゴッド</v>
          </cell>
          <cell r="O1070" t="str">
            <v>none</v>
          </cell>
          <cell r="P1070" t="str">
            <v>種族なし</v>
          </cell>
          <cell r="Q1070" t="str">
            <v>アタッカー</v>
          </cell>
          <cell r="R1070">
            <v>3</v>
          </cell>
          <cell r="S1070" t="str">
            <v>NULL</v>
          </cell>
          <cell r="T1070" t="str">
            <v>nomal</v>
          </cell>
          <cell r="U1070" t="str">
            <v>NULL</v>
          </cell>
          <cell r="V1070" t="str">
            <v>NULL</v>
          </cell>
          <cell r="W1070" t="str">
            <v>NULL</v>
          </cell>
        </row>
        <row r="1071">
          <cell r="A1071">
            <v>1070</v>
          </cell>
          <cell r="B1071" t="str">
            <v>ja</v>
          </cell>
          <cell r="C1071" t="str">
            <v>駆脳する造愛 イシュタル</v>
          </cell>
          <cell r="D1071" t="str">
            <v>イザナミ_分岐</v>
          </cell>
          <cell r="E1071" t="str">
            <v>執行者</v>
          </cell>
          <cell r="F1071" t="str">
            <v>格好いい</v>
          </cell>
          <cell r="G1071" t="str">
            <v>男性</v>
          </cell>
          <cell r="H1071" t="str">
            <v>green</v>
          </cell>
          <cell r="I1071">
            <v>6</v>
          </cell>
          <cell r="J1071" t="str">
            <v>PremiumSS</v>
          </cell>
          <cell r="K1071" t="str">
            <v>technical</v>
          </cell>
          <cell r="L1071" t="str">
            <v>テクニカルタイプ</v>
          </cell>
          <cell r="M1071" t="str">
            <v>god</v>
          </cell>
          <cell r="N1071" t="str">
            <v>ゴッド</v>
          </cell>
          <cell r="O1071" t="str">
            <v>none</v>
          </cell>
          <cell r="P1071" t="str">
            <v>種族なし</v>
          </cell>
          <cell r="Q1071" t="str">
            <v>アタッカー</v>
          </cell>
          <cell r="R1071">
            <v>3</v>
          </cell>
          <cell r="S1071" t="str">
            <v>NULL</v>
          </cell>
          <cell r="T1071" t="str">
            <v>nomal</v>
          </cell>
          <cell r="U1071" t="str">
            <v>NULL</v>
          </cell>
          <cell r="V1071" t="str">
            <v>NULL</v>
          </cell>
          <cell r="W1071" t="str">
            <v>NULL</v>
          </cell>
        </row>
        <row r="1072">
          <cell r="A1072">
            <v>1071</v>
          </cell>
          <cell r="B1072" t="str">
            <v>ja</v>
          </cell>
          <cell r="C1072" t="str">
            <v>イシュタル_分岐覚醒</v>
          </cell>
          <cell r="D1072" t="str">
            <v>イザナミ_分岐</v>
          </cell>
          <cell r="E1072" t="str">
            <v>執行者</v>
          </cell>
          <cell r="F1072" t="str">
            <v>格好いい</v>
          </cell>
          <cell r="G1072" t="str">
            <v>男性</v>
          </cell>
          <cell r="H1072" t="str">
            <v>green</v>
          </cell>
          <cell r="I1072">
            <v>6</v>
          </cell>
          <cell r="J1072" t="str">
            <v>PremiumSS</v>
          </cell>
          <cell r="K1072" t="str">
            <v>attack</v>
          </cell>
          <cell r="L1072" t="str">
            <v>攻撃タイプ</v>
          </cell>
          <cell r="M1072" t="str">
            <v>god</v>
          </cell>
          <cell r="N1072" t="str">
            <v>ゴッド</v>
          </cell>
          <cell r="O1072" t="str">
            <v>none</v>
          </cell>
          <cell r="P1072" t="str">
            <v>種族なし</v>
          </cell>
          <cell r="Q1072" t="str">
            <v>アタッカー</v>
          </cell>
          <cell r="R1072">
            <v>1</v>
          </cell>
          <cell r="S1072" t="str">
            <v>NULL</v>
          </cell>
          <cell r="T1072" t="str">
            <v>nomal</v>
          </cell>
          <cell r="U1072" t="str">
            <v>NULL</v>
          </cell>
          <cell r="V1072" t="str">
            <v>NULL</v>
          </cell>
          <cell r="W1072" t="str">
            <v>NULL</v>
          </cell>
        </row>
        <row r="1073">
          <cell r="A1073">
            <v>1072</v>
          </cell>
          <cell r="B1073" t="str">
            <v>ja</v>
          </cell>
          <cell r="C1073" t="str">
            <v>エンキドゥ</v>
          </cell>
          <cell r="D1073" t="str">
            <v>イザナミ_分岐</v>
          </cell>
          <cell r="E1073" t="str">
            <v>執行者</v>
          </cell>
          <cell r="F1073" t="str">
            <v>格好いい</v>
          </cell>
          <cell r="G1073" t="str">
            <v>男性</v>
          </cell>
          <cell r="H1073" t="str">
            <v>blue</v>
          </cell>
          <cell r="I1073">
            <v>5</v>
          </cell>
          <cell r="J1073" t="str">
            <v>PremiumSSw</v>
          </cell>
          <cell r="K1073" t="str">
            <v>attack</v>
          </cell>
          <cell r="L1073" t="str">
            <v>攻撃タイプ</v>
          </cell>
          <cell r="M1073" t="str">
            <v>human</v>
          </cell>
          <cell r="N1073" t="str">
            <v>ヒューマン</v>
          </cell>
          <cell r="O1073" t="str">
            <v>animal</v>
          </cell>
          <cell r="P1073" t="str">
            <v>アニマル</v>
          </cell>
          <cell r="Q1073" t="str">
            <v>アタッカー</v>
          </cell>
          <cell r="R1073">
            <v>3</v>
          </cell>
          <cell r="S1073" t="str">
            <v>NULL</v>
          </cell>
          <cell r="T1073" t="str">
            <v>nomal</v>
          </cell>
          <cell r="U1073" t="str">
            <v>NULL</v>
          </cell>
          <cell r="V1073" t="str">
            <v>NULL</v>
          </cell>
          <cell r="W1073" t="str">
            <v>NULL</v>
          </cell>
        </row>
        <row r="1074">
          <cell r="A1074">
            <v>1073</v>
          </cell>
          <cell r="B1074" t="str">
            <v>ja</v>
          </cell>
          <cell r="C1074" t="str">
            <v>静穏なる獣勇 エンキドゥ</v>
          </cell>
          <cell r="D1074" t="str">
            <v>イザナミ_分岐</v>
          </cell>
          <cell r="E1074" t="str">
            <v>執行者</v>
          </cell>
          <cell r="F1074" t="str">
            <v>格好いい</v>
          </cell>
          <cell r="G1074" t="str">
            <v>男性</v>
          </cell>
          <cell r="H1074" t="str">
            <v>blue</v>
          </cell>
          <cell r="I1074">
            <v>6</v>
          </cell>
          <cell r="J1074" t="str">
            <v>PremiumSSw</v>
          </cell>
          <cell r="K1074" t="str">
            <v>attack</v>
          </cell>
          <cell r="L1074" t="str">
            <v>攻撃タイプ</v>
          </cell>
          <cell r="M1074" t="str">
            <v>human</v>
          </cell>
          <cell r="N1074" t="str">
            <v>ヒューマン</v>
          </cell>
          <cell r="O1074" t="str">
            <v>animal</v>
          </cell>
          <cell r="P1074" t="str">
            <v>アニマル</v>
          </cell>
          <cell r="Q1074" t="str">
            <v>アタッカー</v>
          </cell>
          <cell r="R1074">
            <v>3</v>
          </cell>
          <cell r="S1074" t="str">
            <v>NULL</v>
          </cell>
          <cell r="T1074" t="str">
            <v>nomal</v>
          </cell>
          <cell r="U1074" t="str">
            <v>NULL</v>
          </cell>
          <cell r="V1074" t="str">
            <v>NULL</v>
          </cell>
          <cell r="W1074" t="str">
            <v>NULL</v>
          </cell>
        </row>
        <row r="1075">
          <cell r="A1075">
            <v>1074</v>
          </cell>
          <cell r="B1075" t="str">
            <v>ja</v>
          </cell>
          <cell r="C1075" t="str">
            <v>マルドゥク</v>
          </cell>
          <cell r="D1075" t="str">
            <v>イザナミ_分岐</v>
          </cell>
          <cell r="E1075" t="str">
            <v>執行者</v>
          </cell>
          <cell r="F1075" t="str">
            <v>格好いい</v>
          </cell>
          <cell r="G1075" t="str">
            <v>男性</v>
          </cell>
          <cell r="H1075" t="str">
            <v>yellow</v>
          </cell>
          <cell r="I1075">
            <v>5</v>
          </cell>
          <cell r="J1075" t="str">
            <v>PremiumSS</v>
          </cell>
          <cell r="K1075" t="str">
            <v>technical</v>
          </cell>
          <cell r="L1075" t="str">
            <v>テクニカルタイプ</v>
          </cell>
          <cell r="M1075" t="str">
            <v>god</v>
          </cell>
          <cell r="N1075" t="str">
            <v>ゴッド</v>
          </cell>
          <cell r="O1075" t="str">
            <v>none</v>
          </cell>
          <cell r="P1075" t="str">
            <v>種族なし</v>
          </cell>
          <cell r="Q1075" t="str">
            <v>アタッカー</v>
          </cell>
          <cell r="R1075">
            <v>3</v>
          </cell>
          <cell r="S1075" t="str">
            <v>NULL</v>
          </cell>
          <cell r="T1075" t="str">
            <v>nomal</v>
          </cell>
          <cell r="U1075" t="str">
            <v>NULL</v>
          </cell>
          <cell r="V1075" t="str">
            <v>NULL</v>
          </cell>
          <cell r="W1075" t="str">
            <v>NULL</v>
          </cell>
        </row>
        <row r="1076">
          <cell r="A1076">
            <v>1075</v>
          </cell>
          <cell r="B1076" t="str">
            <v>ja</v>
          </cell>
          <cell r="C1076" t="str">
            <v>虚塔の神王 マルドゥク</v>
          </cell>
          <cell r="D1076" t="str">
            <v>イザナミ_分岐</v>
          </cell>
          <cell r="E1076" t="str">
            <v>執行者</v>
          </cell>
          <cell r="F1076" t="str">
            <v>格好いい</v>
          </cell>
          <cell r="G1076" t="str">
            <v>男性</v>
          </cell>
          <cell r="H1076" t="str">
            <v>yellow</v>
          </cell>
          <cell r="I1076">
            <v>6</v>
          </cell>
          <cell r="J1076" t="str">
            <v>PremiumSS</v>
          </cell>
          <cell r="K1076" t="str">
            <v>technical</v>
          </cell>
          <cell r="L1076" t="str">
            <v>テクニカルタイプ</v>
          </cell>
          <cell r="M1076" t="str">
            <v>god</v>
          </cell>
          <cell r="N1076" t="str">
            <v>ゴッド</v>
          </cell>
          <cell r="O1076" t="str">
            <v>none</v>
          </cell>
          <cell r="P1076" t="str">
            <v>種族なし</v>
          </cell>
          <cell r="Q1076" t="str">
            <v>アタッカー</v>
          </cell>
          <cell r="R1076">
            <v>3</v>
          </cell>
          <cell r="S1076" t="str">
            <v>NULL</v>
          </cell>
          <cell r="T1076" t="str">
            <v>nomal</v>
          </cell>
          <cell r="U1076" t="str">
            <v>NULL</v>
          </cell>
          <cell r="V1076" t="str">
            <v>NULL</v>
          </cell>
          <cell r="W1076" t="str">
            <v>NULL</v>
          </cell>
        </row>
        <row r="1077">
          <cell r="A1077">
            <v>1076</v>
          </cell>
          <cell r="B1077" t="str">
            <v>ja</v>
          </cell>
          <cell r="C1077" t="str">
            <v>パレート</v>
          </cell>
          <cell r="D1077" t="str">
            <v>イザナミ_分岐</v>
          </cell>
          <cell r="E1077" t="str">
            <v>執行者</v>
          </cell>
          <cell r="F1077" t="str">
            <v>格好いい</v>
          </cell>
          <cell r="G1077" t="str">
            <v>男性</v>
          </cell>
          <cell r="H1077" t="str">
            <v>green</v>
          </cell>
          <cell r="I1077">
            <v>5</v>
          </cell>
          <cell r="J1077" t="str">
            <v>PremiumSSS</v>
          </cell>
          <cell r="K1077" t="str">
            <v>balance</v>
          </cell>
          <cell r="L1077" t="str">
            <v>バランスタイプ</v>
          </cell>
          <cell r="M1077" t="str">
            <v>academia</v>
          </cell>
          <cell r="N1077" t="str">
            <v>アカデミア</v>
          </cell>
          <cell r="O1077" t="str">
            <v>unknown</v>
          </cell>
          <cell r="P1077" t="str">
            <v>Unknown</v>
          </cell>
          <cell r="Q1077" t="str">
            <v>アタッカー</v>
          </cell>
          <cell r="R1077">
            <v>3</v>
          </cell>
          <cell r="S1077" t="str">
            <v>NULL</v>
          </cell>
          <cell r="T1077" t="str">
            <v>normal</v>
          </cell>
          <cell r="U1077" t="str">
            <v>NULL</v>
          </cell>
          <cell r="V1077" t="str">
            <v>NULL</v>
          </cell>
          <cell r="W1077" t="str">
            <v>NULL</v>
          </cell>
        </row>
        <row r="1078">
          <cell r="A1078">
            <v>1077</v>
          </cell>
          <cell r="B1078" t="str">
            <v>ja</v>
          </cell>
          <cell r="C1078" t="str">
            <v>彩適な幸詠隊 パレート</v>
          </cell>
          <cell r="D1078" t="str">
            <v>イザナミ_分岐</v>
          </cell>
          <cell r="E1078" t="str">
            <v>執行者</v>
          </cell>
          <cell r="F1078" t="str">
            <v>格好いい</v>
          </cell>
          <cell r="G1078" t="str">
            <v>男性</v>
          </cell>
          <cell r="H1078" t="str">
            <v>green</v>
          </cell>
          <cell r="I1078">
            <v>6</v>
          </cell>
          <cell r="J1078" t="str">
            <v>PremiumSSS</v>
          </cell>
          <cell r="K1078" t="str">
            <v>balance</v>
          </cell>
          <cell r="L1078" t="str">
            <v>バランスタイプ</v>
          </cell>
          <cell r="M1078" t="str">
            <v>academia</v>
          </cell>
          <cell r="N1078" t="str">
            <v>アカデミア</v>
          </cell>
          <cell r="O1078" t="str">
            <v>unknown</v>
          </cell>
          <cell r="P1078" t="str">
            <v>Unknown</v>
          </cell>
          <cell r="Q1078" t="str">
            <v>アタッカー</v>
          </cell>
          <cell r="R1078">
            <v>3</v>
          </cell>
          <cell r="S1078" t="str">
            <v>NULL</v>
          </cell>
          <cell r="T1078" t="str">
            <v>normal</v>
          </cell>
          <cell r="U1078" t="str">
            <v>NULL</v>
          </cell>
          <cell r="V1078" t="str">
            <v>NULL</v>
          </cell>
          <cell r="W1078" t="str">
            <v>NULL</v>
          </cell>
        </row>
        <row r="1079">
          <cell r="A1079">
            <v>1078</v>
          </cell>
          <cell r="B1079" t="str">
            <v>ja</v>
          </cell>
          <cell r="C1079" t="str">
            <v>合奏の飛論理 パレート</v>
          </cell>
          <cell r="D1079" t="str">
            <v>イザナミ_分岐</v>
          </cell>
          <cell r="E1079" t="str">
            <v>執行者</v>
          </cell>
          <cell r="F1079" t="str">
            <v>格好いい</v>
          </cell>
          <cell r="G1079" t="str">
            <v>男性</v>
          </cell>
          <cell r="H1079" t="str">
            <v>green</v>
          </cell>
          <cell r="I1079">
            <v>6</v>
          </cell>
          <cell r="J1079" t="str">
            <v>PremiumSSS</v>
          </cell>
          <cell r="K1079" t="str">
            <v>balance</v>
          </cell>
          <cell r="L1079" t="str">
            <v>バランスタイプ</v>
          </cell>
          <cell r="M1079" t="str">
            <v>academia</v>
          </cell>
          <cell r="N1079" t="str">
            <v>アカデミア</v>
          </cell>
          <cell r="O1079" t="str">
            <v>fantasy</v>
          </cell>
          <cell r="P1079" t="str">
            <v>ファンタジー</v>
          </cell>
          <cell r="Q1079" t="str">
            <v>アタッカー</v>
          </cell>
          <cell r="R1079">
            <v>3</v>
          </cell>
          <cell r="S1079" t="str">
            <v>NULL</v>
          </cell>
          <cell r="T1079" t="str">
            <v>super</v>
          </cell>
          <cell r="U1079" t="str">
            <v>NULL</v>
          </cell>
          <cell r="V1079" t="str">
            <v>NULL</v>
          </cell>
          <cell r="W1079" t="str">
            <v>NULL</v>
          </cell>
        </row>
        <row r="1080">
          <cell r="A1080">
            <v>1079</v>
          </cell>
          <cell r="B1080" t="str">
            <v>ja</v>
          </cell>
          <cell r="C1080" t="str">
            <v>炎のアニバーサリーダック</v>
          </cell>
          <cell r="D1080" t="str">
            <v>未定</v>
          </cell>
          <cell r="E1080" t="str">
            <v>アリス</v>
          </cell>
          <cell r="F1080" t="str">
            <v>世界観</v>
          </cell>
          <cell r="G1080" t="str">
            <v>不明</v>
          </cell>
          <cell r="H1080" t="str">
            <v>red</v>
          </cell>
          <cell r="I1080">
            <v>6</v>
          </cell>
          <cell r="J1080" t="str">
            <v>Material</v>
          </cell>
          <cell r="K1080" t="str">
            <v>exp</v>
          </cell>
          <cell r="L1080" t="str">
            <v>強化素材タイプ</v>
          </cell>
          <cell r="M1080" t="str">
            <v>unknown</v>
          </cell>
          <cell r="N1080" t="str">
            <v>Unknown</v>
          </cell>
          <cell r="O1080" t="str">
            <v>none</v>
          </cell>
          <cell r="P1080" t="str">
            <v>種族なし</v>
          </cell>
          <cell r="Q1080" t="str">
            <v>強化素材</v>
          </cell>
          <cell r="R1080">
            <v>3</v>
          </cell>
          <cell r="S1080" t="str">
            <v>NULL</v>
          </cell>
          <cell r="T1080" t="str">
            <v>nomal</v>
          </cell>
          <cell r="U1080" t="str">
            <v>NULL</v>
          </cell>
          <cell r="V1080" t="str">
            <v>NULL</v>
          </cell>
          <cell r="W1080" t="str">
            <v>NULL</v>
          </cell>
        </row>
        <row r="1081">
          <cell r="A1081">
            <v>1080</v>
          </cell>
          <cell r="B1081" t="str">
            <v>ja</v>
          </cell>
          <cell r="C1081" t="str">
            <v>森のアニバーサリーダック</v>
          </cell>
          <cell r="D1081" t="str">
            <v>未定</v>
          </cell>
          <cell r="E1081" t="str">
            <v>アリス</v>
          </cell>
          <cell r="F1081" t="str">
            <v>世界観</v>
          </cell>
          <cell r="G1081" t="str">
            <v>不明</v>
          </cell>
          <cell r="H1081" t="str">
            <v>green</v>
          </cell>
          <cell r="I1081">
            <v>6</v>
          </cell>
          <cell r="J1081" t="str">
            <v>Material</v>
          </cell>
          <cell r="K1081" t="str">
            <v>exp</v>
          </cell>
          <cell r="L1081" t="str">
            <v>強化素材タイプ</v>
          </cell>
          <cell r="M1081" t="str">
            <v>unknown</v>
          </cell>
          <cell r="N1081" t="str">
            <v>Unknown</v>
          </cell>
          <cell r="O1081" t="str">
            <v>none</v>
          </cell>
          <cell r="P1081" t="str">
            <v>種族なし</v>
          </cell>
          <cell r="Q1081" t="str">
            <v>強化素材</v>
          </cell>
          <cell r="R1081">
            <v>3</v>
          </cell>
          <cell r="S1081" t="str">
            <v>NULL</v>
          </cell>
          <cell r="T1081" t="str">
            <v>nomal</v>
          </cell>
          <cell r="U1081" t="str">
            <v>NULL</v>
          </cell>
          <cell r="V1081" t="str">
            <v>NULL</v>
          </cell>
          <cell r="W1081" t="str">
            <v>NULL</v>
          </cell>
        </row>
        <row r="1082">
          <cell r="A1082">
            <v>1081</v>
          </cell>
          <cell r="B1082" t="str">
            <v>ja</v>
          </cell>
          <cell r="C1082" t="str">
            <v>水のアニバーサリーダック</v>
          </cell>
          <cell r="D1082" t="str">
            <v>未定</v>
          </cell>
          <cell r="E1082" t="str">
            <v>アリス</v>
          </cell>
          <cell r="F1082" t="str">
            <v>世界観</v>
          </cell>
          <cell r="G1082" t="str">
            <v>不明</v>
          </cell>
          <cell r="H1082" t="str">
            <v>blue</v>
          </cell>
          <cell r="I1082">
            <v>6</v>
          </cell>
          <cell r="J1082" t="str">
            <v>Material</v>
          </cell>
          <cell r="K1082" t="str">
            <v>exp</v>
          </cell>
          <cell r="L1082" t="str">
            <v>強化素材タイプ</v>
          </cell>
          <cell r="M1082" t="str">
            <v>unknown</v>
          </cell>
          <cell r="N1082" t="str">
            <v>Unknown</v>
          </cell>
          <cell r="O1082" t="str">
            <v>none</v>
          </cell>
          <cell r="P1082" t="str">
            <v>種族なし</v>
          </cell>
          <cell r="Q1082" t="str">
            <v>強化素材</v>
          </cell>
          <cell r="R1082">
            <v>3</v>
          </cell>
          <cell r="S1082" t="str">
            <v>NULL</v>
          </cell>
          <cell r="T1082" t="str">
            <v>nomal</v>
          </cell>
          <cell r="U1082" t="str">
            <v>NULL</v>
          </cell>
          <cell r="V1082" t="str">
            <v>NULL</v>
          </cell>
          <cell r="W1082" t="str">
            <v>NULL</v>
          </cell>
        </row>
        <row r="1083">
          <cell r="A1083">
            <v>1082</v>
          </cell>
          <cell r="B1083" t="str">
            <v>ja</v>
          </cell>
          <cell r="C1083" t="str">
            <v>雷のアニバーサリーダック</v>
          </cell>
          <cell r="D1083" t="str">
            <v>未定</v>
          </cell>
          <cell r="E1083" t="str">
            <v>アリス</v>
          </cell>
          <cell r="F1083" t="str">
            <v>世界観</v>
          </cell>
          <cell r="G1083" t="str">
            <v>不明</v>
          </cell>
          <cell r="H1083" t="str">
            <v>yellow</v>
          </cell>
          <cell r="I1083">
            <v>6</v>
          </cell>
          <cell r="J1083" t="str">
            <v>Material</v>
          </cell>
          <cell r="K1083" t="str">
            <v>exp</v>
          </cell>
          <cell r="L1083" t="str">
            <v>強化素材タイプ</v>
          </cell>
          <cell r="M1083" t="str">
            <v>unknown</v>
          </cell>
          <cell r="N1083" t="str">
            <v>Unknown</v>
          </cell>
          <cell r="O1083" t="str">
            <v>none</v>
          </cell>
          <cell r="P1083" t="str">
            <v>種族なし</v>
          </cell>
          <cell r="Q1083" t="str">
            <v>強化素材</v>
          </cell>
          <cell r="R1083">
            <v>3</v>
          </cell>
          <cell r="S1083" t="str">
            <v>NULL</v>
          </cell>
          <cell r="T1083" t="str">
            <v>normal</v>
          </cell>
          <cell r="U1083" t="str">
            <v>NULL</v>
          </cell>
          <cell r="V1083" t="str">
            <v>NULL</v>
          </cell>
          <cell r="W1083" t="str">
            <v>NULL</v>
          </cell>
        </row>
        <row r="1084">
          <cell r="A1084">
            <v>1083</v>
          </cell>
          <cell r="B1084" t="str">
            <v>ja</v>
          </cell>
          <cell r="C1084" t="str">
            <v>マジシャン</v>
          </cell>
          <cell r="D1084" t="str">
            <v>未定</v>
          </cell>
          <cell r="E1084" t="str">
            <v>アリス</v>
          </cell>
          <cell r="F1084" t="str">
            <v>世界観</v>
          </cell>
          <cell r="G1084" t="str">
            <v>不明</v>
          </cell>
          <cell r="H1084" t="str">
            <v>yellow</v>
          </cell>
          <cell r="I1084">
            <v>5</v>
          </cell>
          <cell r="J1084" t="str">
            <v>PremiumSSS</v>
          </cell>
          <cell r="K1084" t="str">
            <v>technical</v>
          </cell>
          <cell r="L1084" t="str">
            <v>テクニカルタイプ</v>
          </cell>
          <cell r="M1084" t="str">
            <v>god</v>
          </cell>
          <cell r="N1084" t="str">
            <v>ゴッド</v>
          </cell>
          <cell r="O1084" t="str">
            <v>unknown</v>
          </cell>
          <cell r="P1084" t="str">
            <v>Unknown</v>
          </cell>
          <cell r="Q1084" t="str">
            <v>アタッカー</v>
          </cell>
          <cell r="R1084">
            <v>3</v>
          </cell>
          <cell r="S1084" t="str">
            <v>NULL</v>
          </cell>
          <cell r="T1084" t="str">
            <v>normal</v>
          </cell>
          <cell r="U1084" t="str">
            <v>NULL</v>
          </cell>
          <cell r="V1084" t="str">
            <v>NULL</v>
          </cell>
          <cell r="W1084" t="str">
            <v>NULL</v>
          </cell>
        </row>
        <row r="1085">
          <cell r="A1085">
            <v>1084</v>
          </cell>
          <cell r="B1085" t="str">
            <v>ja</v>
          </cell>
          <cell r="C1085" t="str">
            <v>驚創する術想師  マジシャン</v>
          </cell>
          <cell r="D1085" t="str">
            <v>未定</v>
          </cell>
          <cell r="E1085" t="str">
            <v>アリス</v>
          </cell>
          <cell r="F1085" t="str">
            <v>世界観</v>
          </cell>
          <cell r="G1085" t="str">
            <v>不明</v>
          </cell>
          <cell r="H1085" t="str">
            <v>yellow</v>
          </cell>
          <cell r="I1085">
            <v>6</v>
          </cell>
          <cell r="J1085" t="str">
            <v>PremiumSSS</v>
          </cell>
          <cell r="K1085" t="str">
            <v>technical</v>
          </cell>
          <cell r="L1085" t="str">
            <v>テクニカルタイプ</v>
          </cell>
          <cell r="M1085" t="str">
            <v>god</v>
          </cell>
          <cell r="N1085" t="str">
            <v>ゴッド</v>
          </cell>
          <cell r="O1085" t="str">
            <v>unknown</v>
          </cell>
          <cell r="P1085" t="str">
            <v>Unknown</v>
          </cell>
          <cell r="Q1085" t="str">
            <v>アタッカー</v>
          </cell>
          <cell r="R1085">
            <v>3</v>
          </cell>
          <cell r="S1085" t="str">
            <v>NULL</v>
          </cell>
          <cell r="T1085" t="str">
            <v>normal</v>
          </cell>
          <cell r="U1085" t="str">
            <v>NULL</v>
          </cell>
          <cell r="V1085" t="str">
            <v>NULL</v>
          </cell>
          <cell r="W1085" t="str">
            <v>NULL</v>
          </cell>
        </row>
        <row r="1086">
          <cell r="A1086">
            <v>1085</v>
          </cell>
          <cell r="B1086" t="str">
            <v>ja</v>
          </cell>
          <cell r="C1086" t="str">
            <v>ルメートル</v>
          </cell>
          <cell r="D1086" t="str">
            <v>未定</v>
          </cell>
          <cell r="E1086" t="str">
            <v>アリス</v>
          </cell>
          <cell r="F1086" t="str">
            <v>世界観</v>
          </cell>
          <cell r="G1086" t="str">
            <v>不明</v>
          </cell>
          <cell r="H1086" t="str">
            <v>green</v>
          </cell>
          <cell r="I1086">
            <v>5</v>
          </cell>
          <cell r="J1086" t="str">
            <v>PremiumSSS</v>
          </cell>
          <cell r="K1086" t="str">
            <v>technical</v>
          </cell>
          <cell r="L1086" t="str">
            <v>テクニカルタイプ</v>
          </cell>
          <cell r="M1086" t="str">
            <v>academia</v>
          </cell>
          <cell r="N1086" t="str">
            <v>アカデミア</v>
          </cell>
          <cell r="O1086" t="str">
            <v>none</v>
          </cell>
          <cell r="P1086" t="str">
            <v>種族なし</v>
          </cell>
          <cell r="Q1086" t="str">
            <v>アタッカー</v>
          </cell>
          <cell r="R1086">
            <v>3</v>
          </cell>
          <cell r="S1086" t="str">
            <v>NULL</v>
          </cell>
          <cell r="T1086" t="str">
            <v>normal</v>
          </cell>
          <cell r="U1086" t="str">
            <v>NULL</v>
          </cell>
          <cell r="V1086" t="str">
            <v>NULL</v>
          </cell>
          <cell r="W1086" t="str">
            <v>NULL</v>
          </cell>
        </row>
        <row r="1087">
          <cell r="A1087">
            <v>1086</v>
          </cell>
          <cell r="B1087" t="str">
            <v>ja</v>
          </cell>
          <cell r="C1087" t="str">
            <v>宇宙の線術家 ルメートル</v>
          </cell>
          <cell r="D1087" t="str">
            <v>未定</v>
          </cell>
          <cell r="E1087" t="str">
            <v>アリス</v>
          </cell>
          <cell r="F1087" t="str">
            <v>世界観</v>
          </cell>
          <cell r="G1087" t="str">
            <v>不明</v>
          </cell>
          <cell r="H1087" t="str">
            <v>green</v>
          </cell>
          <cell r="I1087">
            <v>6</v>
          </cell>
          <cell r="J1087" t="str">
            <v>PremiumSSS</v>
          </cell>
          <cell r="K1087" t="str">
            <v>technical</v>
          </cell>
          <cell r="L1087" t="str">
            <v>テクニカルタイプ</v>
          </cell>
          <cell r="M1087" t="str">
            <v>academia</v>
          </cell>
          <cell r="N1087" t="str">
            <v>アカデミア</v>
          </cell>
          <cell r="O1087" t="str">
            <v>none</v>
          </cell>
          <cell r="P1087" t="str">
            <v>種族なし</v>
          </cell>
          <cell r="Q1087" t="str">
            <v>アタッカー</v>
          </cell>
          <cell r="R1087">
            <v>3</v>
          </cell>
          <cell r="S1087" t="str">
            <v>NULL</v>
          </cell>
          <cell r="T1087" t="str">
            <v>normal</v>
          </cell>
          <cell r="U1087" t="str">
            <v>NULL</v>
          </cell>
          <cell r="V1087" t="str">
            <v>NULL</v>
          </cell>
          <cell r="W1087" t="str">
            <v>NULL</v>
          </cell>
        </row>
        <row r="1088">
          <cell r="A1088">
            <v>1087</v>
          </cell>
          <cell r="B1088" t="str">
            <v>ja</v>
          </cell>
          <cell r="C1088" t="str">
            <v>宇宙線の神業師 ルメートル</v>
          </cell>
          <cell r="D1088" t="str">
            <v>未定</v>
          </cell>
          <cell r="E1088" t="str">
            <v>アリス</v>
          </cell>
          <cell r="F1088" t="str">
            <v>世界観</v>
          </cell>
          <cell r="G1088" t="str">
            <v>不明</v>
          </cell>
          <cell r="H1088" t="str">
            <v>green</v>
          </cell>
          <cell r="I1088">
            <v>6</v>
          </cell>
          <cell r="J1088" t="str">
            <v>PremiumSSS</v>
          </cell>
          <cell r="K1088" t="str">
            <v>balance</v>
          </cell>
          <cell r="L1088" t="str">
            <v>バランスタイプ</v>
          </cell>
          <cell r="M1088" t="str">
            <v>academia</v>
          </cell>
          <cell r="N1088" t="str">
            <v>アカデミア</v>
          </cell>
          <cell r="O1088" t="str">
            <v>none</v>
          </cell>
          <cell r="P1088" t="str">
            <v>種族なし</v>
          </cell>
          <cell r="Q1088" t="str">
            <v>アタッカー</v>
          </cell>
          <cell r="R1088">
            <v>3</v>
          </cell>
          <cell r="S1088" t="str">
            <v>NULL</v>
          </cell>
          <cell r="T1088" t="str">
            <v>super</v>
          </cell>
          <cell r="U1088" t="str">
            <v>NULL</v>
          </cell>
          <cell r="V1088" t="str">
            <v>NULL</v>
          </cell>
          <cell r="W1088" t="str">
            <v>NULL</v>
          </cell>
        </row>
        <row r="1089">
          <cell r="A1089">
            <v>1088</v>
          </cell>
          <cell r="B1089" t="str">
            <v>ja</v>
          </cell>
          <cell r="C1089" t="str">
            <v>ミケランジェロ</v>
          </cell>
          <cell r="D1089" t="str">
            <v>未定</v>
          </cell>
          <cell r="E1089" t="str">
            <v>アリス</v>
          </cell>
          <cell r="F1089" t="str">
            <v>世界観</v>
          </cell>
          <cell r="G1089" t="str">
            <v>不明</v>
          </cell>
          <cell r="H1089" t="str">
            <v>green</v>
          </cell>
          <cell r="I1089">
            <v>5</v>
          </cell>
          <cell r="J1089" t="str">
            <v>DropWizS</v>
          </cell>
          <cell r="K1089" t="str">
            <v>technical</v>
          </cell>
          <cell r="L1089" t="str">
            <v>テクニカルタイプ</v>
          </cell>
          <cell r="M1089" t="str">
            <v>unknown</v>
          </cell>
          <cell r="N1089" t="str">
            <v>Unknown</v>
          </cell>
          <cell r="O1089" t="str">
            <v>none</v>
          </cell>
          <cell r="P1089" t="str">
            <v>種族なし</v>
          </cell>
          <cell r="Q1089" t="str">
            <v>アタッカー</v>
          </cell>
          <cell r="R1089">
            <v>3</v>
          </cell>
          <cell r="S1089" t="str">
            <v>NULL</v>
          </cell>
          <cell r="T1089" t="str">
            <v>normal</v>
          </cell>
          <cell r="U1089" t="str">
            <v>NULL</v>
          </cell>
          <cell r="V1089" t="str">
            <v>NULL</v>
          </cell>
          <cell r="W1089" t="str">
            <v>NULL</v>
          </cell>
        </row>
        <row r="1090">
          <cell r="A1090">
            <v>1089</v>
          </cell>
          <cell r="B1090" t="str">
            <v>ja</v>
          </cell>
          <cell r="C1090" t="str">
            <v>破壊の発誕 ミケランジェロ</v>
          </cell>
          <cell r="D1090" t="str">
            <v>未定</v>
          </cell>
          <cell r="E1090" t="str">
            <v>アリス</v>
          </cell>
          <cell r="F1090" t="str">
            <v>世界観</v>
          </cell>
          <cell r="G1090" t="str">
            <v>不明</v>
          </cell>
          <cell r="H1090" t="str">
            <v>green</v>
          </cell>
          <cell r="I1090">
            <v>6</v>
          </cell>
          <cell r="J1090" t="str">
            <v>DropWizS</v>
          </cell>
          <cell r="K1090" t="str">
            <v>technical</v>
          </cell>
          <cell r="L1090" t="str">
            <v>テクニカルタイプ</v>
          </cell>
          <cell r="M1090" t="str">
            <v>unknown</v>
          </cell>
          <cell r="N1090" t="str">
            <v>Unknown</v>
          </cell>
          <cell r="O1090" t="str">
            <v>none</v>
          </cell>
          <cell r="P1090" t="str">
            <v>種族なし</v>
          </cell>
          <cell r="Q1090" t="str">
            <v>アタッカー</v>
          </cell>
          <cell r="R1090">
            <v>3</v>
          </cell>
          <cell r="S1090" t="str">
            <v>NULL</v>
          </cell>
          <cell r="T1090" t="str">
            <v>normal</v>
          </cell>
          <cell r="U1090" t="str">
            <v>NULL</v>
          </cell>
          <cell r="V1090" t="str">
            <v>NULL</v>
          </cell>
          <cell r="W1090" t="str">
            <v>NULL</v>
          </cell>
        </row>
        <row r="1091">
          <cell r="A1091">
            <v>1090</v>
          </cell>
          <cell r="B1091" t="str">
            <v>ja</v>
          </cell>
          <cell r="C1091" t="str">
            <v>ラプラス</v>
          </cell>
          <cell r="D1091" t="str">
            <v>未定</v>
          </cell>
          <cell r="E1091" t="str">
            <v>アリス</v>
          </cell>
          <cell r="F1091" t="str">
            <v>世界観</v>
          </cell>
          <cell r="G1091" t="str">
            <v>不明</v>
          </cell>
          <cell r="H1091" t="str">
            <v>yellow</v>
          </cell>
          <cell r="I1091">
            <v>5</v>
          </cell>
          <cell r="J1091" t="str">
            <v>PremiumSSS</v>
          </cell>
          <cell r="K1091" t="str">
            <v>attack</v>
          </cell>
          <cell r="L1091" t="str">
            <v>攻撃タイプ</v>
          </cell>
          <cell r="M1091" t="str">
            <v>academia</v>
          </cell>
          <cell r="N1091" t="str">
            <v>アカデミア</v>
          </cell>
          <cell r="O1091" t="str">
            <v>demon</v>
          </cell>
          <cell r="P1091" t="str">
            <v>デーモン</v>
          </cell>
          <cell r="Q1091" t="str">
            <v>アタッカー</v>
          </cell>
          <cell r="R1091">
            <v>3</v>
          </cell>
          <cell r="S1091" t="str">
            <v>NULL</v>
          </cell>
          <cell r="T1091" t="str">
            <v>normal</v>
          </cell>
          <cell r="U1091" t="str">
            <v>NULL</v>
          </cell>
          <cell r="V1091" t="str">
            <v>NULL</v>
          </cell>
          <cell r="W1091" t="str">
            <v>NULL</v>
          </cell>
        </row>
        <row r="1092">
          <cell r="A1092">
            <v>1091</v>
          </cell>
          <cell r="B1092" t="str">
            <v>ja</v>
          </cell>
          <cell r="C1092" t="str">
            <v>予眼する魔姫 ラプラス</v>
          </cell>
          <cell r="D1092" t="str">
            <v>未定</v>
          </cell>
          <cell r="E1092" t="str">
            <v>アリス</v>
          </cell>
          <cell r="F1092" t="str">
            <v>世界観</v>
          </cell>
          <cell r="G1092" t="str">
            <v>不明</v>
          </cell>
          <cell r="H1092" t="str">
            <v>yellow</v>
          </cell>
          <cell r="I1092">
            <v>6</v>
          </cell>
          <cell r="J1092" t="str">
            <v>PremiumSSS</v>
          </cell>
          <cell r="K1092" t="str">
            <v>attack</v>
          </cell>
          <cell r="L1092" t="str">
            <v>攻撃タイプ</v>
          </cell>
          <cell r="M1092" t="str">
            <v>academia</v>
          </cell>
          <cell r="N1092" t="str">
            <v>アカデミア</v>
          </cell>
          <cell r="O1092" t="str">
            <v>demon</v>
          </cell>
          <cell r="P1092" t="str">
            <v>デーモン</v>
          </cell>
          <cell r="Q1092" t="str">
            <v>アタッカー</v>
          </cell>
          <cell r="R1092">
            <v>3</v>
          </cell>
          <cell r="S1092" t="str">
            <v>NULL</v>
          </cell>
          <cell r="T1092" t="str">
            <v>normal</v>
          </cell>
          <cell r="U1092" t="str">
            <v>NULL</v>
          </cell>
          <cell r="V1092" t="str">
            <v>NULL</v>
          </cell>
          <cell r="W1092" t="str">
            <v>NULL</v>
          </cell>
        </row>
        <row r="1093">
          <cell r="A1093">
            <v>1092</v>
          </cell>
          <cell r="B1093" t="str">
            <v>ja</v>
          </cell>
          <cell r="C1093" t="str">
            <v>究護の戦王子 レイヴン</v>
          </cell>
          <cell r="D1093" t="str">
            <v>未定</v>
          </cell>
          <cell r="E1093" t="str">
            <v>アリス</v>
          </cell>
          <cell r="F1093" t="str">
            <v>世界観</v>
          </cell>
          <cell r="G1093" t="str">
            <v>不明</v>
          </cell>
          <cell r="H1093" t="str">
            <v>green</v>
          </cell>
          <cell r="I1093">
            <v>6</v>
          </cell>
          <cell r="J1093" t="str">
            <v>PremiumSS</v>
          </cell>
          <cell r="K1093" t="str">
            <v>attack</v>
          </cell>
          <cell r="L1093" t="str">
            <v>攻撃タイプ</v>
          </cell>
          <cell r="M1093" t="str">
            <v>human</v>
          </cell>
          <cell r="N1093" t="str">
            <v>ヒューマン</v>
          </cell>
          <cell r="O1093" t="str">
            <v>none</v>
          </cell>
          <cell r="P1093" t="str">
            <v>種族なし</v>
          </cell>
          <cell r="Q1093" t="str">
            <v>アタッカー</v>
          </cell>
          <cell r="R1093">
            <v>3</v>
          </cell>
          <cell r="S1093" t="str">
            <v>NULL</v>
          </cell>
          <cell r="T1093" t="str">
            <v>normal</v>
          </cell>
          <cell r="U1093" t="str">
            <v>NULL</v>
          </cell>
          <cell r="V1093" t="str">
            <v>NULL</v>
          </cell>
          <cell r="W1093" t="str">
            <v>NULL</v>
          </cell>
        </row>
        <row r="1094">
          <cell r="A1094">
            <v>1093</v>
          </cell>
          <cell r="B1094" t="str">
            <v>ja</v>
          </cell>
          <cell r="C1094" t="str">
            <v>未定</v>
          </cell>
          <cell r="D1094" t="str">
            <v>未定</v>
          </cell>
          <cell r="E1094" t="str">
            <v>アリス</v>
          </cell>
          <cell r="F1094" t="str">
            <v>世界観</v>
          </cell>
          <cell r="G1094" t="str">
            <v>不明</v>
          </cell>
          <cell r="H1094" t="str">
            <v>yellow</v>
          </cell>
          <cell r="I1094">
            <v>6</v>
          </cell>
          <cell r="J1094" t="str">
            <v>DropWizS</v>
          </cell>
          <cell r="K1094" t="str">
            <v>attack</v>
          </cell>
          <cell r="L1094" t="str">
            <v>攻撃タイプ</v>
          </cell>
          <cell r="M1094" t="str">
            <v>unknown</v>
          </cell>
          <cell r="N1094" t="str">
            <v>Unknown</v>
          </cell>
          <cell r="O1094" t="str">
            <v>none</v>
          </cell>
          <cell r="P1094" t="str">
            <v>種族なし</v>
          </cell>
          <cell r="Q1094" t="str">
            <v>アタッカー</v>
          </cell>
          <cell r="R1094">
            <v>1</v>
          </cell>
          <cell r="S1094" t="str">
            <v>NULL</v>
          </cell>
          <cell r="T1094" t="str">
            <v>normal</v>
          </cell>
          <cell r="U1094" t="str">
            <v>NULL</v>
          </cell>
          <cell r="V1094" t="str">
            <v>NULL</v>
          </cell>
          <cell r="W1094" t="str">
            <v>NULL</v>
          </cell>
        </row>
        <row r="1095">
          <cell r="A1095">
            <v>1094</v>
          </cell>
          <cell r="B1095" t="str">
            <v>ja</v>
          </cell>
          <cell r="C1095" t="str">
            <v>メルクシャ</v>
          </cell>
          <cell r="D1095" t="str">
            <v>未定</v>
          </cell>
          <cell r="E1095" t="str">
            <v>アリス</v>
          </cell>
          <cell r="F1095" t="str">
            <v>世界観</v>
          </cell>
          <cell r="G1095" t="str">
            <v>不明</v>
          </cell>
          <cell r="H1095" t="str">
            <v>blue</v>
          </cell>
          <cell r="I1095">
            <v>4</v>
          </cell>
          <cell r="J1095" t="str">
            <v>Drop2N</v>
          </cell>
          <cell r="K1095" t="str">
            <v>technical</v>
          </cell>
          <cell r="L1095" t="str">
            <v>テクニカルタイプ</v>
          </cell>
          <cell r="M1095" t="str">
            <v>animal</v>
          </cell>
          <cell r="N1095" t="str">
            <v>アニマル</v>
          </cell>
          <cell r="O1095" t="str">
            <v>unknown</v>
          </cell>
          <cell r="P1095" t="str">
            <v>Unknown</v>
          </cell>
          <cell r="Q1095" t="str">
            <v>アタッカー</v>
          </cell>
          <cell r="R1095">
            <v>3</v>
          </cell>
          <cell r="S1095" t="str">
            <v>NULL</v>
          </cell>
          <cell r="T1095" t="str">
            <v>normal</v>
          </cell>
          <cell r="U1095" t="str">
            <v>NULL</v>
          </cell>
          <cell r="V1095" t="str">
            <v>NULL</v>
          </cell>
          <cell r="W1095" t="str">
            <v>NULL</v>
          </cell>
        </row>
        <row r="1096">
          <cell r="A1096">
            <v>1095</v>
          </cell>
          <cell r="B1096" t="str">
            <v>ja</v>
          </cell>
          <cell r="C1096" t="str">
            <v>誓愛の絵花 メルクシャ</v>
          </cell>
          <cell r="D1096" t="str">
            <v>未定</v>
          </cell>
          <cell r="E1096" t="str">
            <v>アリス</v>
          </cell>
          <cell r="F1096" t="str">
            <v>世界観</v>
          </cell>
          <cell r="G1096" t="str">
            <v>不明</v>
          </cell>
          <cell r="H1096" t="str">
            <v>blue</v>
          </cell>
          <cell r="I1096">
            <v>5</v>
          </cell>
          <cell r="J1096" t="str">
            <v>Drop2N</v>
          </cell>
          <cell r="K1096" t="str">
            <v>technical</v>
          </cell>
          <cell r="L1096" t="str">
            <v>テクニカルタイプ</v>
          </cell>
          <cell r="M1096" t="str">
            <v>animal</v>
          </cell>
          <cell r="N1096" t="str">
            <v>アニマル</v>
          </cell>
          <cell r="O1096" t="str">
            <v>unknown</v>
          </cell>
          <cell r="P1096" t="str">
            <v>Unknown</v>
          </cell>
          <cell r="Q1096" t="str">
            <v>アタッカー</v>
          </cell>
          <cell r="R1096">
            <v>3</v>
          </cell>
          <cell r="S1096" t="str">
            <v>NULL</v>
          </cell>
          <cell r="T1096" t="str">
            <v>normal</v>
          </cell>
          <cell r="U1096" t="str">
            <v>NULL</v>
          </cell>
          <cell r="V1096" t="str">
            <v>NULL</v>
          </cell>
          <cell r="W1096" t="str">
            <v>NULL</v>
          </cell>
        </row>
        <row r="1097">
          <cell r="A1097">
            <v>1096</v>
          </cell>
          <cell r="B1097" t="str">
            <v>ja</v>
          </cell>
          <cell r="C1097" t="str">
            <v>ジャ・リダルサ</v>
          </cell>
          <cell r="D1097" t="str">
            <v>未定</v>
          </cell>
          <cell r="E1097" t="str">
            <v>アリス</v>
          </cell>
          <cell r="F1097" t="str">
            <v>世界観</v>
          </cell>
          <cell r="G1097" t="str">
            <v>不明</v>
          </cell>
          <cell r="H1097" t="str">
            <v>red</v>
          </cell>
          <cell r="I1097">
            <v>4</v>
          </cell>
          <cell r="J1097" t="str">
            <v>Drop2N</v>
          </cell>
          <cell r="K1097" t="str">
            <v>technical</v>
          </cell>
          <cell r="L1097" t="str">
            <v>テクニカルタイプ</v>
          </cell>
          <cell r="M1097" t="str">
            <v>unknown</v>
          </cell>
          <cell r="N1097" t="str">
            <v>Unknown</v>
          </cell>
          <cell r="O1097" t="str">
            <v>none</v>
          </cell>
          <cell r="P1097" t="str">
            <v>種族なし</v>
          </cell>
          <cell r="Q1097" t="str">
            <v>アタッカー</v>
          </cell>
          <cell r="R1097">
            <v>3</v>
          </cell>
          <cell r="S1097" t="str">
            <v>NULL</v>
          </cell>
          <cell r="T1097" t="str">
            <v>normal</v>
          </cell>
          <cell r="U1097" t="str">
            <v>NULL</v>
          </cell>
          <cell r="V1097" t="str">
            <v>NULL</v>
          </cell>
          <cell r="W1097" t="str">
            <v>NULL</v>
          </cell>
        </row>
        <row r="1098">
          <cell r="A1098">
            <v>1097</v>
          </cell>
          <cell r="B1098" t="str">
            <v>ja</v>
          </cell>
          <cell r="C1098" t="str">
            <v>超現実才奇 ジャ・リダルサ</v>
          </cell>
          <cell r="D1098" t="str">
            <v>未定</v>
          </cell>
          <cell r="E1098" t="str">
            <v>アリス</v>
          </cell>
          <cell r="F1098" t="str">
            <v>世界観</v>
          </cell>
          <cell r="G1098" t="str">
            <v>不明</v>
          </cell>
          <cell r="H1098" t="str">
            <v>red</v>
          </cell>
          <cell r="I1098">
            <v>5</v>
          </cell>
          <cell r="J1098" t="str">
            <v>Drop2N</v>
          </cell>
          <cell r="K1098" t="str">
            <v>technical</v>
          </cell>
          <cell r="L1098" t="str">
            <v>テクニカルタイプ</v>
          </cell>
          <cell r="M1098" t="str">
            <v>unknown</v>
          </cell>
          <cell r="N1098" t="str">
            <v>Unknown</v>
          </cell>
          <cell r="O1098" t="str">
            <v>none</v>
          </cell>
          <cell r="P1098" t="str">
            <v>種族なし</v>
          </cell>
          <cell r="Q1098" t="str">
            <v>アタッカー</v>
          </cell>
          <cell r="R1098">
            <v>3</v>
          </cell>
          <cell r="S1098" t="str">
            <v>NULL</v>
          </cell>
          <cell r="T1098" t="str">
            <v>normal</v>
          </cell>
          <cell r="U1098" t="str">
            <v>NULL</v>
          </cell>
          <cell r="V1098" t="str">
            <v>NULL</v>
          </cell>
          <cell r="W1098" t="str">
            <v>NULL</v>
          </cell>
        </row>
        <row r="1099">
          <cell r="A1099">
            <v>1098</v>
          </cell>
          <cell r="B1099" t="str">
            <v>ja</v>
          </cell>
          <cell r="C1099" t="str">
            <v>ルピカ</v>
          </cell>
          <cell r="D1099" t="str">
            <v>未定</v>
          </cell>
          <cell r="E1099" t="str">
            <v>アリス</v>
          </cell>
          <cell r="F1099" t="str">
            <v>世界観</v>
          </cell>
          <cell r="G1099" t="str">
            <v>不明</v>
          </cell>
          <cell r="H1099" t="str">
            <v>yellow</v>
          </cell>
          <cell r="I1099">
            <v>5</v>
          </cell>
          <cell r="J1099" t="str">
            <v>DropWizS</v>
          </cell>
          <cell r="K1099" t="str">
            <v>technical</v>
          </cell>
          <cell r="L1099" t="str">
            <v>テクニカルタイプ</v>
          </cell>
          <cell r="M1099" t="str">
            <v>human</v>
          </cell>
          <cell r="N1099" t="str">
            <v>ヒューマン</v>
          </cell>
          <cell r="O1099" t="str">
            <v>unknown</v>
          </cell>
          <cell r="P1099" t="str">
            <v>Unknown</v>
          </cell>
          <cell r="Q1099" t="str">
            <v>アタッカー</v>
          </cell>
          <cell r="R1099">
            <v>3</v>
          </cell>
          <cell r="S1099" t="str">
            <v>NULL</v>
          </cell>
          <cell r="T1099" t="str">
            <v>normal</v>
          </cell>
          <cell r="U1099" t="str">
            <v>NULL</v>
          </cell>
          <cell r="V1099" t="str">
            <v>NULL</v>
          </cell>
          <cell r="W1099" t="str">
            <v>NULL</v>
          </cell>
        </row>
        <row r="1100">
          <cell r="A1100">
            <v>1099</v>
          </cell>
          <cell r="B1100" t="str">
            <v>ja</v>
          </cell>
          <cell r="C1100" t="str">
            <v>破築の連創 ルピカ</v>
          </cell>
          <cell r="D1100" t="str">
            <v>未定</v>
          </cell>
          <cell r="E1100" t="str">
            <v>アリス</v>
          </cell>
          <cell r="F1100" t="str">
            <v>世界観</v>
          </cell>
          <cell r="G1100" t="str">
            <v>不明</v>
          </cell>
          <cell r="H1100" t="str">
            <v>yellow</v>
          </cell>
          <cell r="I1100">
            <v>6</v>
          </cell>
          <cell r="J1100" t="str">
            <v>DropWizS</v>
          </cell>
          <cell r="K1100" t="str">
            <v>technical</v>
          </cell>
          <cell r="L1100" t="str">
            <v>テクニカルタイプ</v>
          </cell>
          <cell r="M1100" t="str">
            <v>human</v>
          </cell>
          <cell r="N1100" t="str">
            <v>ヒューマン</v>
          </cell>
          <cell r="O1100" t="str">
            <v>unknown</v>
          </cell>
          <cell r="P1100" t="str">
            <v>Unknown</v>
          </cell>
          <cell r="Q1100" t="str">
            <v>アタッカー</v>
          </cell>
          <cell r="R1100">
            <v>3</v>
          </cell>
          <cell r="S1100" t="str">
            <v>NULL</v>
          </cell>
          <cell r="T1100" t="str">
            <v>normal</v>
          </cell>
          <cell r="U1100" t="str">
            <v>NULL</v>
          </cell>
          <cell r="V1100" t="str">
            <v>NULL</v>
          </cell>
          <cell r="W1100" t="str">
            <v>NULL</v>
          </cell>
        </row>
        <row r="1101">
          <cell r="A1101">
            <v>1100</v>
          </cell>
          <cell r="B1101" t="str">
            <v>ja</v>
          </cell>
          <cell r="C1101" t="str">
            <v>北斎</v>
          </cell>
          <cell r="D1101" t="str">
            <v>未定</v>
          </cell>
          <cell r="E1101" t="str">
            <v>アリス</v>
          </cell>
          <cell r="F1101" t="str">
            <v>世界観</v>
          </cell>
          <cell r="G1101" t="str">
            <v>不明</v>
          </cell>
          <cell r="H1101" t="str">
            <v>red</v>
          </cell>
          <cell r="I1101">
            <v>5</v>
          </cell>
          <cell r="J1101" t="str">
            <v>PremiumSS</v>
          </cell>
          <cell r="K1101" t="str">
            <v>attack</v>
          </cell>
          <cell r="L1101" t="str">
            <v>攻撃タイプ</v>
          </cell>
          <cell r="M1101" t="str">
            <v>human</v>
          </cell>
          <cell r="N1101" t="str">
            <v>ヒューマン</v>
          </cell>
          <cell r="O1101" t="str">
            <v>samurai</v>
          </cell>
          <cell r="P1101" t="str">
            <v>サムライ</v>
          </cell>
          <cell r="Q1101" t="str">
            <v>アタッカー</v>
          </cell>
          <cell r="R1101">
            <v>3</v>
          </cell>
          <cell r="S1101" t="str">
            <v>NULL</v>
          </cell>
          <cell r="T1101" t="str">
            <v>normal</v>
          </cell>
          <cell r="U1101" t="str">
            <v>NULL</v>
          </cell>
          <cell r="V1101" t="str">
            <v>NULL</v>
          </cell>
          <cell r="W1101" t="str">
            <v>NULL</v>
          </cell>
        </row>
        <row r="1102">
          <cell r="A1102">
            <v>1101</v>
          </cell>
          <cell r="B1102" t="str">
            <v>ja</v>
          </cell>
          <cell r="C1102" t="str">
            <v>浮世万物の筆刻者 北斎</v>
          </cell>
          <cell r="D1102" t="str">
            <v>未定</v>
          </cell>
          <cell r="E1102" t="str">
            <v>アリス</v>
          </cell>
          <cell r="F1102" t="str">
            <v>世界観</v>
          </cell>
          <cell r="G1102" t="str">
            <v>不明</v>
          </cell>
          <cell r="H1102" t="str">
            <v>red</v>
          </cell>
          <cell r="I1102">
            <v>6</v>
          </cell>
          <cell r="J1102" t="str">
            <v>PremiumSS</v>
          </cell>
          <cell r="K1102" t="str">
            <v>attack</v>
          </cell>
          <cell r="L1102" t="str">
            <v>攻撃タイプ</v>
          </cell>
          <cell r="M1102" t="str">
            <v>human</v>
          </cell>
          <cell r="N1102" t="str">
            <v>ヒューマン</v>
          </cell>
          <cell r="O1102" t="str">
            <v>samurai</v>
          </cell>
          <cell r="P1102" t="str">
            <v>サムライ</v>
          </cell>
          <cell r="Q1102" t="str">
            <v>アタッカー</v>
          </cell>
          <cell r="R1102">
            <v>3</v>
          </cell>
          <cell r="S1102" t="str">
            <v>NULL</v>
          </cell>
          <cell r="T1102" t="str">
            <v>normal</v>
          </cell>
          <cell r="U1102" t="str">
            <v>NULL</v>
          </cell>
          <cell r="V1102" t="str">
            <v>NULL</v>
          </cell>
          <cell r="W1102" t="str">
            <v>NULL</v>
          </cell>
        </row>
        <row r="1103">
          <cell r="A1103">
            <v>1102</v>
          </cell>
          <cell r="B1103" t="str">
            <v>ja</v>
          </cell>
          <cell r="C1103" t="str">
            <v>ドガ</v>
          </cell>
          <cell r="D1103" t="str">
            <v>未定</v>
          </cell>
          <cell r="E1103" t="str">
            <v>アリス</v>
          </cell>
          <cell r="F1103" t="str">
            <v>世界観</v>
          </cell>
          <cell r="G1103" t="str">
            <v>不明</v>
          </cell>
          <cell r="H1103" t="str">
            <v>green</v>
          </cell>
          <cell r="I1103">
            <v>5</v>
          </cell>
          <cell r="J1103" t="str">
            <v>PremiumSSw</v>
          </cell>
          <cell r="K1103" t="str">
            <v>balance</v>
          </cell>
          <cell r="L1103" t="str">
            <v>バランスタイプ</v>
          </cell>
          <cell r="M1103" t="str">
            <v>animal</v>
          </cell>
          <cell r="N1103" t="str">
            <v>アニマル</v>
          </cell>
          <cell r="O1103" t="str">
            <v>none</v>
          </cell>
          <cell r="P1103" t="str">
            <v>種族なし</v>
          </cell>
          <cell r="Q1103" t="str">
            <v>アタッカー</v>
          </cell>
          <cell r="R1103">
            <v>3</v>
          </cell>
          <cell r="S1103" t="str">
            <v>NULL</v>
          </cell>
          <cell r="T1103" t="str">
            <v>normal</v>
          </cell>
          <cell r="U1103" t="str">
            <v>NULL</v>
          </cell>
          <cell r="V1103" t="str">
            <v>NULL</v>
          </cell>
          <cell r="W1103" t="str">
            <v>NULL</v>
          </cell>
        </row>
        <row r="1104">
          <cell r="A1104">
            <v>1103</v>
          </cell>
          <cell r="B1104" t="str">
            <v>ja</v>
          </cell>
          <cell r="C1104" t="str">
            <v>舞台裏の鼠展 ドガ</v>
          </cell>
          <cell r="D1104" t="str">
            <v>未定</v>
          </cell>
          <cell r="E1104" t="str">
            <v>アリス</v>
          </cell>
          <cell r="F1104" t="str">
            <v>世界観</v>
          </cell>
          <cell r="G1104" t="str">
            <v>不明</v>
          </cell>
          <cell r="H1104" t="str">
            <v>green</v>
          </cell>
          <cell r="I1104">
            <v>6</v>
          </cell>
          <cell r="J1104" t="str">
            <v>PremiumSSw</v>
          </cell>
          <cell r="K1104" t="str">
            <v>balance</v>
          </cell>
          <cell r="L1104" t="str">
            <v>バランスタイプ</v>
          </cell>
          <cell r="M1104" t="str">
            <v>animal</v>
          </cell>
          <cell r="N1104" t="str">
            <v>アニマル</v>
          </cell>
          <cell r="O1104" t="str">
            <v>none</v>
          </cell>
          <cell r="P1104" t="str">
            <v>種族なし</v>
          </cell>
          <cell r="Q1104" t="str">
            <v>アタッカー</v>
          </cell>
          <cell r="R1104">
            <v>3</v>
          </cell>
          <cell r="S1104" t="str">
            <v>NULL</v>
          </cell>
          <cell r="T1104" t="str">
            <v>normal</v>
          </cell>
          <cell r="U1104" t="str">
            <v>NULL</v>
          </cell>
          <cell r="V1104" t="str">
            <v>NULL</v>
          </cell>
          <cell r="W1104" t="str">
            <v>NULL</v>
          </cell>
        </row>
        <row r="1105">
          <cell r="A1105">
            <v>1104</v>
          </cell>
          <cell r="B1105" t="str">
            <v>ja</v>
          </cell>
          <cell r="C1105" t="str">
            <v>クリムト</v>
          </cell>
          <cell r="D1105" t="str">
            <v>未定</v>
          </cell>
          <cell r="E1105" t="str">
            <v>アリス</v>
          </cell>
          <cell r="F1105" t="str">
            <v>世界観</v>
          </cell>
          <cell r="G1105" t="str">
            <v>不明</v>
          </cell>
          <cell r="H1105" t="str">
            <v>blue</v>
          </cell>
          <cell r="I1105">
            <v>4</v>
          </cell>
          <cell r="J1105" t="str">
            <v>PremiumS</v>
          </cell>
          <cell r="K1105" t="str">
            <v>technical</v>
          </cell>
          <cell r="L1105" t="str">
            <v>テクニカルタイプ</v>
          </cell>
          <cell r="M1105" t="str">
            <v>human</v>
          </cell>
          <cell r="N1105" t="str">
            <v>ヒューマン</v>
          </cell>
          <cell r="O1105" t="str">
            <v>unknown</v>
          </cell>
          <cell r="P1105" t="str">
            <v>Unknown</v>
          </cell>
          <cell r="Q1105" t="str">
            <v>アタッカー</v>
          </cell>
          <cell r="R1105">
            <v>3</v>
          </cell>
          <cell r="S1105" t="str">
            <v>NULL</v>
          </cell>
          <cell r="T1105" t="str">
            <v>normal</v>
          </cell>
          <cell r="U1105" t="str">
            <v>NULL</v>
          </cell>
          <cell r="V1105" t="str">
            <v>NULL</v>
          </cell>
          <cell r="W1105" t="str">
            <v>NULL</v>
          </cell>
        </row>
        <row r="1106">
          <cell r="A1106">
            <v>1105</v>
          </cell>
          <cell r="B1106" t="str">
            <v>ja</v>
          </cell>
          <cell r="C1106" t="str">
            <v>甘美なる背徳 クリムト</v>
          </cell>
          <cell r="D1106" t="str">
            <v>未定</v>
          </cell>
          <cell r="E1106" t="str">
            <v>アリス</v>
          </cell>
          <cell r="F1106" t="str">
            <v>世界観</v>
          </cell>
          <cell r="G1106" t="str">
            <v>不明</v>
          </cell>
          <cell r="H1106" t="str">
            <v>blue</v>
          </cell>
          <cell r="I1106">
            <v>5</v>
          </cell>
          <cell r="J1106" t="str">
            <v>PremiumS</v>
          </cell>
          <cell r="K1106" t="str">
            <v>technical</v>
          </cell>
          <cell r="L1106" t="str">
            <v>テクニカルタイプ</v>
          </cell>
          <cell r="M1106" t="str">
            <v>human</v>
          </cell>
          <cell r="N1106" t="str">
            <v>ヒューマン</v>
          </cell>
          <cell r="O1106" t="str">
            <v>unknown</v>
          </cell>
          <cell r="P1106" t="str">
            <v>Unknown</v>
          </cell>
          <cell r="Q1106" t="str">
            <v>アタッカー</v>
          </cell>
          <cell r="R1106">
            <v>3</v>
          </cell>
          <cell r="S1106" t="str">
            <v>NULL</v>
          </cell>
          <cell r="T1106" t="str">
            <v>normal</v>
          </cell>
          <cell r="U1106" t="str">
            <v>NULL</v>
          </cell>
          <cell r="V1106" t="str">
            <v>NULL</v>
          </cell>
          <cell r="W1106" t="str">
            <v>NULL</v>
          </cell>
        </row>
        <row r="1107">
          <cell r="A1107">
            <v>1106</v>
          </cell>
          <cell r="B1107" t="str">
            <v>ja</v>
          </cell>
          <cell r="C1107" t="str">
            <v>ラファエロ</v>
          </cell>
          <cell r="D1107" t="str">
            <v>未定</v>
          </cell>
          <cell r="E1107" t="str">
            <v>アリス</v>
          </cell>
          <cell r="F1107" t="str">
            <v>世界観</v>
          </cell>
          <cell r="G1107" t="str">
            <v>不明</v>
          </cell>
          <cell r="H1107" t="str">
            <v>yellow</v>
          </cell>
          <cell r="I1107">
            <v>5</v>
          </cell>
          <cell r="J1107" t="str">
            <v>PremiumSS</v>
          </cell>
          <cell r="K1107" t="str">
            <v>attack</v>
          </cell>
          <cell r="L1107" t="str">
            <v>攻撃タイプ</v>
          </cell>
          <cell r="M1107" t="str">
            <v>human</v>
          </cell>
          <cell r="N1107" t="str">
            <v>ヒューマン</v>
          </cell>
          <cell r="O1107" t="str">
            <v>god</v>
          </cell>
          <cell r="P1107" t="str">
            <v>ゴッド</v>
          </cell>
          <cell r="Q1107" t="str">
            <v>アタッカー</v>
          </cell>
          <cell r="R1107">
            <v>3</v>
          </cell>
          <cell r="S1107" t="str">
            <v>NULL</v>
          </cell>
          <cell r="T1107" t="str">
            <v>super</v>
          </cell>
          <cell r="U1107" t="str">
            <v>NULL</v>
          </cell>
          <cell r="V1107" t="str">
            <v>NULL</v>
          </cell>
          <cell r="W1107" t="str">
            <v>NULL</v>
          </cell>
        </row>
        <row r="1108">
          <cell r="A1108">
            <v>1107</v>
          </cell>
          <cell r="B1108" t="str">
            <v>ja</v>
          </cell>
          <cell r="C1108" t="str">
            <v>天浄の鮮風 ラファエロ</v>
          </cell>
          <cell r="D1108" t="str">
            <v>未定</v>
          </cell>
          <cell r="E1108" t="str">
            <v>アリス</v>
          </cell>
          <cell r="F1108" t="str">
            <v>世界観</v>
          </cell>
          <cell r="G1108" t="str">
            <v>不明</v>
          </cell>
          <cell r="H1108" t="str">
            <v>yellow</v>
          </cell>
          <cell r="I1108">
            <v>6</v>
          </cell>
          <cell r="J1108" t="str">
            <v>PremiumSS</v>
          </cell>
          <cell r="K1108" t="str">
            <v>attack</v>
          </cell>
          <cell r="L1108" t="str">
            <v>攻撃タイプ</v>
          </cell>
          <cell r="M1108" t="str">
            <v>human</v>
          </cell>
          <cell r="N1108" t="str">
            <v>ヒューマン</v>
          </cell>
          <cell r="O1108" t="str">
            <v>god</v>
          </cell>
          <cell r="P1108" t="str">
            <v>ゴッド</v>
          </cell>
          <cell r="Q1108" t="str">
            <v>アタッカー</v>
          </cell>
          <cell r="R1108">
            <v>3</v>
          </cell>
          <cell r="S1108" t="str">
            <v>NULL</v>
          </cell>
          <cell r="T1108" t="str">
            <v>normal</v>
          </cell>
          <cell r="U1108" t="str">
            <v>NULL</v>
          </cell>
          <cell r="V1108" t="str">
            <v>NULL</v>
          </cell>
          <cell r="W1108" t="str">
            <v>NULL</v>
          </cell>
        </row>
        <row r="1109">
          <cell r="A1109">
            <v>1108</v>
          </cell>
          <cell r="B1109" t="str">
            <v>ja</v>
          </cell>
          <cell r="C1109" t="str">
            <v>交鏡の光波 フレネル</v>
          </cell>
          <cell r="D1109" t="str">
            <v>未定</v>
          </cell>
          <cell r="E1109" t="str">
            <v>アリス</v>
          </cell>
          <cell r="F1109" t="str">
            <v>世界観</v>
          </cell>
          <cell r="G1109" t="str">
            <v>不明</v>
          </cell>
          <cell r="H1109" t="str">
            <v>yellow</v>
          </cell>
          <cell r="I1109">
            <v>6</v>
          </cell>
          <cell r="J1109" t="str">
            <v>PremiumSSS</v>
          </cell>
          <cell r="K1109" t="str">
            <v>attack</v>
          </cell>
          <cell r="L1109" t="str">
            <v>攻撃タイプ</v>
          </cell>
          <cell r="M1109" t="str">
            <v>academia</v>
          </cell>
          <cell r="N1109" t="str">
            <v>アカデミア</v>
          </cell>
          <cell r="O1109" t="str">
            <v>machine</v>
          </cell>
          <cell r="P1109" t="str">
            <v>マシン</v>
          </cell>
          <cell r="Q1109" t="str">
            <v>アタッカー</v>
          </cell>
          <cell r="R1109">
            <v>3</v>
          </cell>
          <cell r="S1109" t="str">
            <v>NULL</v>
          </cell>
          <cell r="T1109" t="str">
            <v>normal</v>
          </cell>
          <cell r="U1109" t="str">
            <v>NULL</v>
          </cell>
          <cell r="V1109" t="str">
            <v>NULL</v>
          </cell>
          <cell r="W1109" t="str">
            <v>NULL</v>
          </cell>
        </row>
        <row r="1110">
          <cell r="A1110">
            <v>1109</v>
          </cell>
          <cell r="B1110" t="str">
            <v>ja</v>
          </cell>
          <cell r="C1110" t="str">
            <v>セキ</v>
          </cell>
          <cell r="D1110" t="str">
            <v>未定</v>
          </cell>
          <cell r="E1110" t="str">
            <v>アリス</v>
          </cell>
          <cell r="F1110" t="str">
            <v>世界観</v>
          </cell>
          <cell r="G1110" t="str">
            <v>不明</v>
          </cell>
          <cell r="H1110" t="str">
            <v>red</v>
          </cell>
          <cell r="I1110">
            <v>5</v>
          </cell>
          <cell r="J1110" t="str">
            <v>PremiumSSS</v>
          </cell>
          <cell r="K1110" t="str">
            <v>technical</v>
          </cell>
          <cell r="L1110" t="str">
            <v>テクニカルタイプ</v>
          </cell>
          <cell r="M1110" t="str">
            <v>academia</v>
          </cell>
          <cell r="N1110" t="str">
            <v>アカデミア</v>
          </cell>
          <cell r="O1110" t="str">
            <v>samurai</v>
          </cell>
          <cell r="P1110" t="str">
            <v>サムライ</v>
          </cell>
          <cell r="Q1110" t="str">
            <v>アタッカー</v>
          </cell>
          <cell r="R1110">
            <v>3</v>
          </cell>
          <cell r="S1110" t="str">
            <v>NULL</v>
          </cell>
          <cell r="T1110" t="str">
            <v>normal</v>
          </cell>
          <cell r="U1110" t="str">
            <v>NULL</v>
          </cell>
          <cell r="V1110" t="str">
            <v>NULL</v>
          </cell>
          <cell r="W1110" t="str">
            <v>NULL</v>
          </cell>
        </row>
        <row r="1111">
          <cell r="A1111">
            <v>1110</v>
          </cell>
          <cell r="B1111" t="str">
            <v>ja</v>
          </cell>
          <cell r="C1111" t="str">
            <v>天竄の炎斬式 セキ</v>
          </cell>
          <cell r="D1111" t="str">
            <v>未定</v>
          </cell>
          <cell r="E1111" t="str">
            <v>アリス</v>
          </cell>
          <cell r="F1111" t="str">
            <v>世界観</v>
          </cell>
          <cell r="G1111" t="str">
            <v>不明</v>
          </cell>
          <cell r="H1111" t="str">
            <v>red</v>
          </cell>
          <cell r="I1111">
            <v>6</v>
          </cell>
          <cell r="J1111" t="str">
            <v>PremiumSSS</v>
          </cell>
          <cell r="K1111" t="str">
            <v>technical</v>
          </cell>
          <cell r="L1111" t="str">
            <v>テクニカルタイプ</v>
          </cell>
          <cell r="M1111" t="str">
            <v>academia</v>
          </cell>
          <cell r="N1111" t="str">
            <v>アカデミア</v>
          </cell>
          <cell r="O1111" t="str">
            <v>samurai</v>
          </cell>
          <cell r="P1111" t="str">
            <v>サムライ</v>
          </cell>
          <cell r="Q1111" t="str">
            <v>アタッカー</v>
          </cell>
          <cell r="R1111">
            <v>3</v>
          </cell>
          <cell r="S1111" t="str">
            <v>NULL</v>
          </cell>
          <cell r="T1111" t="str">
            <v>normal</v>
          </cell>
          <cell r="U1111" t="str">
            <v>NULL</v>
          </cell>
          <cell r="V1111" t="str">
            <v>NULL</v>
          </cell>
          <cell r="W1111" t="str">
            <v>NULL</v>
          </cell>
        </row>
        <row r="1112">
          <cell r="A1112">
            <v>1111</v>
          </cell>
          <cell r="B1112" t="str">
            <v>ja</v>
          </cell>
          <cell r="C1112" t="str">
            <v>ウィグナー</v>
          </cell>
          <cell r="D1112" t="str">
            <v>未定</v>
          </cell>
          <cell r="E1112" t="str">
            <v>アリス</v>
          </cell>
          <cell r="F1112" t="str">
            <v>世界観</v>
          </cell>
          <cell r="G1112" t="str">
            <v>不明</v>
          </cell>
          <cell r="H1112" t="str">
            <v>blue</v>
          </cell>
          <cell r="I1112">
            <v>5</v>
          </cell>
          <cell r="J1112" t="str">
            <v>PremiumSSS</v>
          </cell>
          <cell r="K1112" t="str">
            <v>attack</v>
          </cell>
          <cell r="L1112" t="str">
            <v>攻撃タイプ</v>
          </cell>
          <cell r="M1112" t="str">
            <v>academia</v>
          </cell>
          <cell r="N1112" t="str">
            <v>アカデミア</v>
          </cell>
          <cell r="O1112" t="str">
            <v>animal</v>
          </cell>
          <cell r="P1112" t="str">
            <v>アニマル</v>
          </cell>
          <cell r="Q1112" t="str">
            <v>アタッカー</v>
          </cell>
          <cell r="R1112">
            <v>3</v>
          </cell>
          <cell r="S1112" t="str">
            <v>NULL</v>
          </cell>
          <cell r="T1112" t="str">
            <v>normal</v>
          </cell>
          <cell r="U1112" t="str">
            <v>NULL</v>
          </cell>
          <cell r="V1112" t="str">
            <v>NULL</v>
          </cell>
          <cell r="W1112" t="str">
            <v>NULL</v>
          </cell>
        </row>
        <row r="1113">
          <cell r="A1113">
            <v>1112</v>
          </cell>
          <cell r="B1113" t="str">
            <v>ja</v>
          </cell>
          <cell r="C1113" t="str">
            <v>正統なる傑晶 ウィグナー</v>
          </cell>
          <cell r="D1113" t="str">
            <v>未定</v>
          </cell>
          <cell r="E1113" t="str">
            <v>アリス</v>
          </cell>
          <cell r="F1113" t="str">
            <v>世界観</v>
          </cell>
          <cell r="G1113" t="str">
            <v>不明</v>
          </cell>
          <cell r="H1113" t="str">
            <v>blue</v>
          </cell>
          <cell r="I1113">
            <v>6</v>
          </cell>
          <cell r="J1113" t="str">
            <v>PremiumSSS</v>
          </cell>
          <cell r="K1113" t="str">
            <v>attack</v>
          </cell>
          <cell r="L1113" t="str">
            <v>攻撃タイプ</v>
          </cell>
          <cell r="M1113" t="str">
            <v>academia</v>
          </cell>
          <cell r="N1113" t="str">
            <v>アカデミア</v>
          </cell>
          <cell r="O1113" t="str">
            <v>animal</v>
          </cell>
          <cell r="P1113" t="str">
            <v>アニマル</v>
          </cell>
          <cell r="Q1113" t="str">
            <v>アタッカー</v>
          </cell>
          <cell r="R1113">
            <v>3</v>
          </cell>
          <cell r="S1113" t="str">
            <v>NULL</v>
          </cell>
          <cell r="T1113" t="str">
            <v>normal</v>
          </cell>
          <cell r="U1113" t="str">
            <v>NULL</v>
          </cell>
          <cell r="V1113" t="str">
            <v>NULL</v>
          </cell>
          <cell r="W1113" t="str">
            <v>NULL</v>
          </cell>
        </row>
        <row r="1114">
          <cell r="A1114">
            <v>1113</v>
          </cell>
          <cell r="B1114" t="str">
            <v>ja</v>
          </cell>
          <cell r="C1114" t="str">
            <v>聖結たる輝晶獣 ウィグナー</v>
          </cell>
          <cell r="D1114" t="str">
            <v>未定</v>
          </cell>
          <cell r="E1114" t="str">
            <v>アリス</v>
          </cell>
          <cell r="F1114" t="str">
            <v>世界観</v>
          </cell>
          <cell r="G1114" t="str">
            <v>不明</v>
          </cell>
          <cell r="H1114" t="str">
            <v>blue</v>
          </cell>
          <cell r="I1114">
            <v>6</v>
          </cell>
          <cell r="J1114" t="str">
            <v>PremiumSSS</v>
          </cell>
          <cell r="K1114" t="str">
            <v>balance</v>
          </cell>
          <cell r="L1114" t="str">
            <v>バランスタイプ</v>
          </cell>
          <cell r="M1114" t="str">
            <v>academia</v>
          </cell>
          <cell r="N1114" t="str">
            <v>アカデミア</v>
          </cell>
          <cell r="O1114" t="str">
            <v>animal</v>
          </cell>
          <cell r="P1114" t="str">
            <v>アニマル</v>
          </cell>
          <cell r="Q1114" t="str">
            <v>アタッカー</v>
          </cell>
          <cell r="R1114">
            <v>3</v>
          </cell>
          <cell r="S1114" t="str">
            <v>NULL</v>
          </cell>
          <cell r="T1114" t="str">
            <v>super</v>
          </cell>
          <cell r="U1114" t="str">
            <v>NULL</v>
          </cell>
          <cell r="V1114" t="str">
            <v>NULL</v>
          </cell>
          <cell r="W1114" t="str">
            <v>NULL</v>
          </cell>
        </row>
        <row r="1115">
          <cell r="A1115">
            <v>1114</v>
          </cell>
          <cell r="B1115" t="str">
            <v>ja</v>
          </cell>
          <cell r="C1115" t="str">
            <v>ボナンザ</v>
          </cell>
          <cell r="D1115" t="str">
            <v>未定</v>
          </cell>
          <cell r="E1115" t="str">
            <v>アリス</v>
          </cell>
          <cell r="F1115" t="str">
            <v>世界観</v>
          </cell>
          <cell r="G1115" t="str">
            <v>不明</v>
          </cell>
          <cell r="H1115" t="str">
            <v>green</v>
          </cell>
          <cell r="I1115">
            <v>5</v>
          </cell>
          <cell r="J1115" t="str">
            <v>DropWizSSS</v>
          </cell>
          <cell r="K1115" t="str">
            <v>technical</v>
          </cell>
          <cell r="L1115" t="str">
            <v>テクニカルタイプ</v>
          </cell>
          <cell r="M1115" t="str">
            <v>queen</v>
          </cell>
          <cell r="N1115" t="str">
            <v>QUEEN</v>
          </cell>
          <cell r="O1115" t="str">
            <v>unknown</v>
          </cell>
          <cell r="P1115" t="str">
            <v>Unknown</v>
          </cell>
          <cell r="Q1115" t="str">
            <v>アタッカー</v>
          </cell>
          <cell r="R1115">
            <v>3</v>
          </cell>
          <cell r="S1115" t="str">
            <v>NULL</v>
          </cell>
          <cell r="T1115" t="str">
            <v>normal</v>
          </cell>
          <cell r="U1115" t="str">
            <v>NULL</v>
          </cell>
          <cell r="V1115" t="str">
            <v>NULL</v>
          </cell>
          <cell r="W1115" t="str">
            <v>NULL</v>
          </cell>
        </row>
        <row r="1116">
          <cell r="A1116">
            <v>1115</v>
          </cell>
          <cell r="B1116" t="str">
            <v>ja</v>
          </cell>
          <cell r="C1116" t="str">
            <v>アヴァルシアの女王 ボナンザ</v>
          </cell>
          <cell r="D1116" t="str">
            <v>未定</v>
          </cell>
          <cell r="E1116" t="str">
            <v>アリス</v>
          </cell>
          <cell r="F1116" t="str">
            <v>世界観</v>
          </cell>
          <cell r="G1116" t="str">
            <v>不明</v>
          </cell>
          <cell r="H1116" t="str">
            <v>green</v>
          </cell>
          <cell r="I1116">
            <v>6</v>
          </cell>
          <cell r="J1116" t="str">
            <v>DropWizSSS</v>
          </cell>
          <cell r="K1116" t="str">
            <v>technical</v>
          </cell>
          <cell r="L1116" t="str">
            <v>テクニカルタイプ</v>
          </cell>
          <cell r="M1116" t="str">
            <v>queen</v>
          </cell>
          <cell r="N1116" t="str">
            <v>QUEEN</v>
          </cell>
          <cell r="O1116" t="str">
            <v>unknown</v>
          </cell>
          <cell r="P1116" t="str">
            <v>Unknown</v>
          </cell>
          <cell r="Q1116" t="str">
            <v>アタッカー</v>
          </cell>
          <cell r="R1116">
            <v>3</v>
          </cell>
          <cell r="S1116" t="str">
            <v>NULL</v>
          </cell>
          <cell r="T1116" t="str">
            <v>normal</v>
          </cell>
          <cell r="U1116" t="str">
            <v>NULL</v>
          </cell>
          <cell r="V1116" t="str">
            <v>NULL</v>
          </cell>
          <cell r="W1116" t="str">
            <v>NULL</v>
          </cell>
        </row>
        <row r="1117">
          <cell r="A1117">
            <v>1116</v>
          </cell>
          <cell r="B1117" t="str">
            <v>ja</v>
          </cell>
          <cell r="C1117" t="str">
            <v>天檄総氏神 アマテラス</v>
          </cell>
          <cell r="D1117" t="str">
            <v>未定</v>
          </cell>
          <cell r="E1117" t="str">
            <v>アリス</v>
          </cell>
          <cell r="F1117" t="str">
            <v>世界観</v>
          </cell>
          <cell r="G1117" t="str">
            <v>不明</v>
          </cell>
          <cell r="H1117" t="str">
            <v>red</v>
          </cell>
          <cell r="I1117">
            <v>6</v>
          </cell>
          <cell r="J1117" t="str">
            <v>DropWizS</v>
          </cell>
          <cell r="K1117" t="str">
            <v>attack</v>
          </cell>
          <cell r="L1117" t="str">
            <v>攻撃タイプ</v>
          </cell>
          <cell r="M1117" t="str">
            <v>god</v>
          </cell>
          <cell r="N1117" t="str">
            <v>ゴッド</v>
          </cell>
          <cell r="O1117" t="str">
            <v>none</v>
          </cell>
          <cell r="P1117" t="str">
            <v>種族なし</v>
          </cell>
          <cell r="Q1117" t="str">
            <v>強化素材</v>
          </cell>
          <cell r="R1117">
            <v>3</v>
          </cell>
          <cell r="S1117" t="str">
            <v>NULL</v>
          </cell>
          <cell r="T1117" t="str">
            <v>super</v>
          </cell>
          <cell r="U1117" t="str">
            <v>NULL</v>
          </cell>
          <cell r="V1117" t="str">
            <v>NULL</v>
          </cell>
          <cell r="W1117" t="str">
            <v>NULL</v>
          </cell>
        </row>
        <row r="1118">
          <cell r="A1118">
            <v>1117</v>
          </cell>
          <cell r="B1118" t="str">
            <v>ja</v>
          </cell>
          <cell r="C1118" t="str">
            <v>凶天慟地の覇腕 アザゼル</v>
          </cell>
          <cell r="D1118" t="str">
            <v>未定</v>
          </cell>
          <cell r="E1118" t="str">
            <v>アリス</v>
          </cell>
          <cell r="F1118" t="str">
            <v>世界観</v>
          </cell>
          <cell r="G1118" t="str">
            <v>不明</v>
          </cell>
          <cell r="H1118" t="str">
            <v>green</v>
          </cell>
          <cell r="I1118">
            <v>6</v>
          </cell>
          <cell r="J1118" t="str">
            <v>DropWizS</v>
          </cell>
          <cell r="K1118" t="str">
            <v>technical</v>
          </cell>
          <cell r="L1118" t="str">
            <v>テクニカルタイプ</v>
          </cell>
          <cell r="M1118" t="str">
            <v>demon</v>
          </cell>
          <cell r="N1118" t="str">
            <v>デーモン</v>
          </cell>
          <cell r="O1118" t="str">
            <v>none</v>
          </cell>
          <cell r="P1118" t="str">
            <v>種族なし</v>
          </cell>
          <cell r="Q1118" t="str">
            <v>強化素材</v>
          </cell>
          <cell r="R1118">
            <v>3</v>
          </cell>
          <cell r="S1118" t="str">
            <v>NULL</v>
          </cell>
          <cell r="T1118" t="str">
            <v>super</v>
          </cell>
          <cell r="U1118" t="str">
            <v>NULL</v>
          </cell>
          <cell r="V1118" t="str">
            <v>NULL</v>
          </cell>
          <cell r="W1118" t="str">
            <v>NULL</v>
          </cell>
        </row>
        <row r="1119">
          <cell r="A1119">
            <v>1118</v>
          </cell>
          <cell r="B1119" t="str">
            <v>ja</v>
          </cell>
          <cell r="C1119" t="str">
            <v>超過速路の閃導者 ジャンヌ</v>
          </cell>
          <cell r="D1119" t="str">
            <v>未定</v>
          </cell>
          <cell r="E1119" t="str">
            <v>アリス</v>
          </cell>
          <cell r="F1119" t="str">
            <v>世界観</v>
          </cell>
          <cell r="G1119" t="str">
            <v>不明</v>
          </cell>
          <cell r="H1119" t="str">
            <v>blue</v>
          </cell>
          <cell r="I1119">
            <v>6</v>
          </cell>
          <cell r="J1119" t="str">
            <v>DropWizS</v>
          </cell>
          <cell r="K1119" t="str">
            <v>heal</v>
          </cell>
          <cell r="L1119" t="str">
            <v>回復タイプ</v>
          </cell>
          <cell r="M1119" t="str">
            <v>human</v>
          </cell>
          <cell r="N1119" t="str">
            <v>ヒューマン</v>
          </cell>
          <cell r="O1119" t="str">
            <v>hero</v>
          </cell>
          <cell r="P1119" t="str">
            <v>ヒーロー</v>
          </cell>
          <cell r="Q1119" t="str">
            <v>強化素材</v>
          </cell>
          <cell r="R1119">
            <v>3</v>
          </cell>
          <cell r="S1119" t="str">
            <v>NULL</v>
          </cell>
          <cell r="T1119" t="str">
            <v>super</v>
          </cell>
          <cell r="U1119" t="str">
            <v>NULL</v>
          </cell>
          <cell r="V1119" t="str">
            <v>NULL</v>
          </cell>
          <cell r="W1119" t="str">
            <v>NULL</v>
          </cell>
        </row>
        <row r="1120">
          <cell r="A1120">
            <v>1119</v>
          </cell>
          <cell r="B1120" t="str">
            <v>ja</v>
          </cell>
          <cell r="C1120" t="str">
            <v>刹・廻天一流 宮本武蔵</v>
          </cell>
          <cell r="D1120" t="str">
            <v>未定</v>
          </cell>
          <cell r="E1120" t="str">
            <v>アリス</v>
          </cell>
          <cell r="F1120" t="str">
            <v>世界観</v>
          </cell>
          <cell r="G1120" t="str">
            <v>不明</v>
          </cell>
          <cell r="H1120" t="str">
            <v>yellow</v>
          </cell>
          <cell r="I1120">
            <v>6</v>
          </cell>
          <cell r="J1120" t="str">
            <v>DropWizS</v>
          </cell>
          <cell r="K1120" t="str">
            <v>attack</v>
          </cell>
          <cell r="L1120" t="str">
            <v>攻撃タイプ</v>
          </cell>
          <cell r="M1120" t="str">
            <v>human</v>
          </cell>
          <cell r="N1120" t="str">
            <v>ヒューマン</v>
          </cell>
          <cell r="O1120" t="str">
            <v>samurai</v>
          </cell>
          <cell r="P1120" t="str">
            <v>サムライ</v>
          </cell>
          <cell r="Q1120" t="str">
            <v>強化素材</v>
          </cell>
          <cell r="R1120">
            <v>3</v>
          </cell>
          <cell r="S1120" t="str">
            <v>NULL</v>
          </cell>
          <cell r="T1120" t="str">
            <v>super</v>
          </cell>
          <cell r="U1120" t="str">
            <v>NULL</v>
          </cell>
          <cell r="V1120" t="str">
            <v>NULL</v>
          </cell>
          <cell r="W1120" t="str">
            <v>NULL</v>
          </cell>
        </row>
        <row r="1121">
          <cell r="A1121">
            <v>1120</v>
          </cell>
          <cell r="B1121" t="str">
            <v>ja</v>
          </cell>
          <cell r="C1121" t="str">
            <v>四聖猛煌の皇獣 麒麟</v>
          </cell>
          <cell r="D1121" t="str">
            <v>未定</v>
          </cell>
          <cell r="E1121" t="str">
            <v>アリス</v>
          </cell>
          <cell r="F1121" t="str">
            <v>世界観</v>
          </cell>
          <cell r="G1121" t="str">
            <v>不明</v>
          </cell>
          <cell r="H1121" t="str">
            <v>yellow</v>
          </cell>
          <cell r="I1121">
            <v>6</v>
          </cell>
          <cell r="J1121" t="str">
            <v>DropWizSS</v>
          </cell>
          <cell r="K1121" t="str">
            <v>attack</v>
          </cell>
          <cell r="L1121" t="str">
            <v>攻撃タイプ</v>
          </cell>
          <cell r="M1121" t="str">
            <v>god</v>
          </cell>
          <cell r="N1121" t="str">
            <v>ゴッド</v>
          </cell>
          <cell r="O1121" t="str">
            <v>none</v>
          </cell>
          <cell r="P1121" t="str">
            <v>種族なし</v>
          </cell>
          <cell r="Q1121" t="str">
            <v>強化素材</v>
          </cell>
          <cell r="R1121">
            <v>3</v>
          </cell>
          <cell r="S1121" t="str">
            <v>NULL</v>
          </cell>
          <cell r="T1121" t="str">
            <v>super</v>
          </cell>
          <cell r="U1121" t="str">
            <v>NULL</v>
          </cell>
          <cell r="V1121" t="str">
            <v>NULL</v>
          </cell>
          <cell r="W1121" t="str">
            <v>NULL</v>
          </cell>
        </row>
        <row r="1122">
          <cell r="A1122">
            <v>1121</v>
          </cell>
          <cell r="B1122" t="str">
            <v>ja</v>
          </cell>
          <cell r="C1122" t="str">
            <v>逆燦の機閃刃 オイラー</v>
          </cell>
          <cell r="D1122" t="str">
            <v>未定</v>
          </cell>
          <cell r="E1122" t="str">
            <v>アリス</v>
          </cell>
          <cell r="F1122" t="str">
            <v>世界観</v>
          </cell>
          <cell r="G1122" t="str">
            <v>不明</v>
          </cell>
          <cell r="H1122" t="str">
            <v>green</v>
          </cell>
          <cell r="I1122">
            <v>6</v>
          </cell>
          <cell r="J1122" t="str">
            <v>PremiumSSS</v>
          </cell>
          <cell r="K1122" t="str">
            <v>balance</v>
          </cell>
          <cell r="L1122" t="str">
            <v>バランスタイプ</v>
          </cell>
          <cell r="M1122" t="str">
            <v>academia</v>
          </cell>
          <cell r="N1122" t="str">
            <v>アカデミア</v>
          </cell>
          <cell r="O1122" t="str">
            <v>none</v>
          </cell>
          <cell r="P1122" t="str">
            <v>種族なし</v>
          </cell>
          <cell r="Q1122" t="str">
            <v>強化素材</v>
          </cell>
          <cell r="R1122">
            <v>3</v>
          </cell>
          <cell r="S1122" t="str">
            <v>NULL</v>
          </cell>
          <cell r="T1122" t="str">
            <v>super</v>
          </cell>
          <cell r="U1122" t="str">
            <v>NULL</v>
          </cell>
          <cell r="V1122" t="str">
            <v>NULL</v>
          </cell>
          <cell r="W1122" t="str">
            <v>NULL</v>
          </cell>
        </row>
        <row r="1123">
          <cell r="A1123">
            <v>1122</v>
          </cell>
          <cell r="B1123" t="str">
            <v>ja</v>
          </cell>
          <cell r="C1123" t="str">
            <v>不可能性の現翼 メビウス</v>
          </cell>
          <cell r="D1123" t="str">
            <v>未定</v>
          </cell>
          <cell r="E1123" t="str">
            <v>アリス</v>
          </cell>
          <cell r="F1123" t="str">
            <v>世界観</v>
          </cell>
          <cell r="G1123" t="str">
            <v>不明</v>
          </cell>
          <cell r="H1123" t="str">
            <v>blue</v>
          </cell>
          <cell r="I1123">
            <v>6</v>
          </cell>
          <cell r="J1123" t="str">
            <v>PremiumSSS</v>
          </cell>
          <cell r="K1123" t="str">
            <v>balance</v>
          </cell>
          <cell r="L1123" t="str">
            <v>バランスタイプ</v>
          </cell>
          <cell r="M1123" t="str">
            <v>academia</v>
          </cell>
          <cell r="N1123" t="str">
            <v>アカデミア</v>
          </cell>
          <cell r="O1123" t="str">
            <v>machine</v>
          </cell>
          <cell r="P1123" t="str">
            <v>マシン</v>
          </cell>
          <cell r="Q1123" t="str">
            <v>強化素材</v>
          </cell>
          <cell r="R1123">
            <v>3</v>
          </cell>
          <cell r="S1123" t="str">
            <v>NULL</v>
          </cell>
          <cell r="T1123" t="str">
            <v>super</v>
          </cell>
          <cell r="U1123" t="str">
            <v>NULL</v>
          </cell>
          <cell r="V1123" t="str">
            <v>NULL</v>
          </cell>
          <cell r="W1123" t="str">
            <v>NULL</v>
          </cell>
        </row>
        <row r="1124">
          <cell r="A1124">
            <v>1123</v>
          </cell>
          <cell r="B1124" t="str">
            <v>ja</v>
          </cell>
          <cell r="C1124" t="str">
            <v>舞降りし綺鏡羽 ブール</v>
          </cell>
          <cell r="D1124" t="str">
            <v>未定</v>
          </cell>
          <cell r="E1124" t="str">
            <v>アリス</v>
          </cell>
          <cell r="F1124" t="str">
            <v>世界観</v>
          </cell>
          <cell r="G1124" t="str">
            <v>不明</v>
          </cell>
          <cell r="H1124" t="str">
            <v>blue</v>
          </cell>
          <cell r="I1124">
            <v>6</v>
          </cell>
          <cell r="J1124" t="str">
            <v>PremiumSSS</v>
          </cell>
          <cell r="K1124" t="str">
            <v>balance</v>
          </cell>
          <cell r="L1124" t="str">
            <v>バランスタイプ</v>
          </cell>
          <cell r="M1124" t="str">
            <v>academia</v>
          </cell>
          <cell r="N1124" t="str">
            <v>アカデミア</v>
          </cell>
          <cell r="O1124" t="str">
            <v>none</v>
          </cell>
          <cell r="P1124" t="str">
            <v>種族なし</v>
          </cell>
          <cell r="Q1124" t="str">
            <v>強化素材</v>
          </cell>
          <cell r="R1124">
            <v>3</v>
          </cell>
          <cell r="S1124" t="str">
            <v>NULL</v>
          </cell>
          <cell r="T1124" t="str">
            <v>super</v>
          </cell>
          <cell r="U1124" t="str">
            <v>NULL</v>
          </cell>
          <cell r="V1124" t="str">
            <v>NULL</v>
          </cell>
          <cell r="W1124" t="str">
            <v>NULL</v>
          </cell>
        </row>
        <row r="1125">
          <cell r="A1125">
            <v>1124</v>
          </cell>
          <cell r="B1125" t="str">
            <v>ja</v>
          </cell>
          <cell r="C1125" t="str">
            <v>超絶界析 ラグランジュ</v>
          </cell>
          <cell r="D1125" t="str">
            <v>未定</v>
          </cell>
          <cell r="E1125" t="str">
            <v>アリス</v>
          </cell>
          <cell r="F1125" t="str">
            <v>世界観</v>
          </cell>
          <cell r="G1125" t="str">
            <v>不明</v>
          </cell>
          <cell r="H1125" t="str">
            <v>red</v>
          </cell>
          <cell r="I1125">
            <v>6</v>
          </cell>
          <cell r="J1125" t="str">
            <v>PremiumSSS</v>
          </cell>
          <cell r="K1125" t="str">
            <v>technical</v>
          </cell>
          <cell r="L1125" t="str">
            <v>テクニカルタイプ</v>
          </cell>
          <cell r="M1125" t="str">
            <v>academia</v>
          </cell>
          <cell r="N1125" t="str">
            <v>アカデミア</v>
          </cell>
          <cell r="O1125" t="str">
            <v>none</v>
          </cell>
          <cell r="P1125" t="str">
            <v>種族なし</v>
          </cell>
          <cell r="Q1125" t="str">
            <v>強化素材</v>
          </cell>
          <cell r="R1125">
            <v>3</v>
          </cell>
          <cell r="S1125" t="str">
            <v>NULL</v>
          </cell>
          <cell r="T1125" t="str">
            <v>super</v>
          </cell>
          <cell r="U1125" t="str">
            <v>NULL</v>
          </cell>
          <cell r="V1125" t="str">
            <v>NULL</v>
          </cell>
          <cell r="W1125" t="str">
            <v>NULL</v>
          </cell>
        </row>
        <row r="1126">
          <cell r="A1126">
            <v>1125</v>
          </cell>
          <cell r="B1126" t="str">
            <v>ja</v>
          </cell>
          <cell r="C1126" t="str">
            <v>累々たる世解 シュレディンガー</v>
          </cell>
          <cell r="D1126" t="str">
            <v>未定</v>
          </cell>
          <cell r="E1126" t="str">
            <v>アリス</v>
          </cell>
          <cell r="F1126" t="str">
            <v>世界観</v>
          </cell>
          <cell r="G1126" t="str">
            <v>不明</v>
          </cell>
          <cell r="H1126" t="str">
            <v>red</v>
          </cell>
          <cell r="I1126">
            <v>6</v>
          </cell>
          <cell r="J1126" t="str">
            <v>PremiumSSS</v>
          </cell>
          <cell r="K1126" t="str">
            <v>technical</v>
          </cell>
          <cell r="L1126" t="str">
            <v>テクニカルタイプ</v>
          </cell>
          <cell r="M1126" t="str">
            <v>academia</v>
          </cell>
          <cell r="N1126" t="str">
            <v>アカデミア</v>
          </cell>
          <cell r="O1126" t="str">
            <v>animal</v>
          </cell>
          <cell r="P1126" t="str">
            <v>アニマル</v>
          </cell>
          <cell r="Q1126" t="str">
            <v>強化素材</v>
          </cell>
          <cell r="R1126">
            <v>3</v>
          </cell>
          <cell r="S1126" t="str">
            <v>NULL</v>
          </cell>
          <cell r="T1126" t="str">
            <v>super</v>
          </cell>
          <cell r="U1126" t="str">
            <v>NULL</v>
          </cell>
          <cell r="V1126" t="str">
            <v>NULL</v>
          </cell>
          <cell r="W1126" t="str">
            <v>NULL</v>
          </cell>
        </row>
        <row r="1127">
          <cell r="A1127">
            <v>1126</v>
          </cell>
          <cell r="B1127" t="str">
            <v>ja</v>
          </cell>
          <cell r="C1127" t="str">
            <v>最終焉算の鋼砲 チューリング</v>
          </cell>
          <cell r="D1127" t="str">
            <v>未定</v>
          </cell>
          <cell r="E1127" t="str">
            <v>アリス</v>
          </cell>
          <cell r="F1127" t="str">
            <v>世界観</v>
          </cell>
          <cell r="G1127" t="str">
            <v>不明</v>
          </cell>
          <cell r="H1127" t="str">
            <v>green</v>
          </cell>
          <cell r="I1127">
            <v>6</v>
          </cell>
          <cell r="J1127" t="str">
            <v>PremiumSSS</v>
          </cell>
          <cell r="K1127" t="str">
            <v>hp</v>
          </cell>
          <cell r="L1127" t="str">
            <v>体力タイプ</v>
          </cell>
          <cell r="M1127" t="str">
            <v>academia</v>
          </cell>
          <cell r="N1127" t="str">
            <v>アカデミア</v>
          </cell>
          <cell r="O1127" t="str">
            <v>machine</v>
          </cell>
          <cell r="P1127" t="str">
            <v>マシン</v>
          </cell>
          <cell r="Q1127" t="str">
            <v>アタッカー</v>
          </cell>
          <cell r="R1127">
            <v>3</v>
          </cell>
          <cell r="S1127" t="str">
            <v>NULL</v>
          </cell>
          <cell r="T1127" t="str">
            <v>super</v>
          </cell>
          <cell r="U1127" t="str">
            <v>NULL</v>
          </cell>
          <cell r="V1127" t="str">
            <v>NULL</v>
          </cell>
          <cell r="W1127" t="str">
            <v>NULL</v>
          </cell>
        </row>
        <row r="1128">
          <cell r="A1128">
            <v>1127</v>
          </cell>
          <cell r="B1128" t="str">
            <v>ja</v>
          </cell>
          <cell r="C1128" t="str">
            <v>真蒼導く対偶 ヘンペル</v>
          </cell>
          <cell r="D1128" t="str">
            <v>未定</v>
          </cell>
          <cell r="E1128" t="str">
            <v>アリス</v>
          </cell>
          <cell r="F1128" t="str">
            <v>世界観</v>
          </cell>
          <cell r="G1128" t="str">
            <v>不明</v>
          </cell>
          <cell r="H1128" t="str">
            <v>blue</v>
          </cell>
          <cell r="I1128">
            <v>6</v>
          </cell>
          <cell r="J1128" t="str">
            <v>PremiumSSS</v>
          </cell>
          <cell r="K1128" t="str">
            <v>attack</v>
          </cell>
          <cell r="L1128" t="str">
            <v>攻撃タイプ</v>
          </cell>
          <cell r="M1128" t="str">
            <v>academia</v>
          </cell>
          <cell r="N1128" t="str">
            <v>アカデミア</v>
          </cell>
          <cell r="O1128" t="str">
            <v>animal</v>
          </cell>
          <cell r="P1128" t="str">
            <v>アニマル</v>
          </cell>
          <cell r="Q1128" t="str">
            <v>アタッカー</v>
          </cell>
          <cell r="R1128">
            <v>3</v>
          </cell>
          <cell r="S1128" t="str">
            <v>NULL</v>
          </cell>
          <cell r="T1128" t="str">
            <v>super</v>
          </cell>
          <cell r="U1128" t="str">
            <v>NULL</v>
          </cell>
          <cell r="V1128" t="str">
            <v>NULL</v>
          </cell>
          <cell r="W1128" t="str">
            <v>NULL</v>
          </cell>
        </row>
        <row r="1129">
          <cell r="A1129">
            <v>1128</v>
          </cell>
          <cell r="B1129" t="str">
            <v>ja</v>
          </cell>
          <cell r="C1129" t="str">
            <v>宇宙天紡の星明 ハップル</v>
          </cell>
          <cell r="D1129" t="str">
            <v>未定</v>
          </cell>
          <cell r="E1129" t="str">
            <v>アリス</v>
          </cell>
          <cell r="F1129" t="str">
            <v>世界観</v>
          </cell>
          <cell r="G1129" t="str">
            <v>不明</v>
          </cell>
          <cell r="H1129" t="str">
            <v>yellow</v>
          </cell>
          <cell r="I1129">
            <v>6</v>
          </cell>
          <cell r="J1129" t="str">
            <v>PremiumSSS</v>
          </cell>
          <cell r="K1129" t="str">
            <v>technical</v>
          </cell>
          <cell r="L1129" t="str">
            <v>テクニカルタイプ</v>
          </cell>
          <cell r="M1129" t="str">
            <v>academia</v>
          </cell>
          <cell r="N1129" t="str">
            <v>アカデミア</v>
          </cell>
          <cell r="O1129" t="str">
            <v>none</v>
          </cell>
          <cell r="P1129" t="str">
            <v>種族なし</v>
          </cell>
          <cell r="Q1129" t="str">
            <v>アタッカー</v>
          </cell>
          <cell r="R1129">
            <v>3</v>
          </cell>
          <cell r="S1129" t="str">
            <v>NULL</v>
          </cell>
          <cell r="T1129" t="str">
            <v>super</v>
          </cell>
          <cell r="U1129" t="str">
            <v>NULL</v>
          </cell>
          <cell r="V1129" t="str">
            <v>NULL</v>
          </cell>
          <cell r="W1129" t="str">
            <v>NULL</v>
          </cell>
        </row>
        <row r="1130">
          <cell r="A1130">
            <v>1129</v>
          </cell>
          <cell r="B1130" t="str">
            <v>ja</v>
          </cell>
          <cell r="C1130" t="str">
            <v>赤兎馬</v>
          </cell>
          <cell r="D1130" t="str">
            <v>未定</v>
          </cell>
          <cell r="E1130" t="str">
            <v>アリス</v>
          </cell>
          <cell r="F1130" t="str">
            <v>世界観</v>
          </cell>
          <cell r="G1130" t="str">
            <v>不明</v>
          </cell>
          <cell r="H1130" t="str">
            <v>red</v>
          </cell>
          <cell r="I1130">
            <v>4</v>
          </cell>
          <cell r="J1130" t="str">
            <v>Drop2N</v>
          </cell>
          <cell r="K1130" t="str">
            <v>attack</v>
          </cell>
          <cell r="L1130" t="str">
            <v>攻撃タイプ</v>
          </cell>
          <cell r="M1130" t="str">
            <v>animal</v>
          </cell>
          <cell r="N1130" t="str">
            <v>アニマル</v>
          </cell>
          <cell r="O1130" t="str">
            <v>none</v>
          </cell>
          <cell r="P1130" t="str">
            <v>種族なし</v>
          </cell>
          <cell r="Q1130" t="str">
            <v>アタッカー</v>
          </cell>
          <cell r="R1130">
            <v>3</v>
          </cell>
          <cell r="S1130" t="str">
            <v>NULL</v>
          </cell>
          <cell r="T1130" t="str">
            <v>normal</v>
          </cell>
          <cell r="U1130" t="str">
            <v>NULL</v>
          </cell>
          <cell r="V1130" t="str">
            <v>NULL</v>
          </cell>
          <cell r="W1130" t="str">
            <v>NULL</v>
          </cell>
        </row>
        <row r="1131">
          <cell r="A1131">
            <v>1130</v>
          </cell>
          <cell r="B1131" t="str">
            <v>ja</v>
          </cell>
          <cell r="C1131" t="str">
            <v>紅鋼の疾躁獣 赤兎馬</v>
          </cell>
          <cell r="D1131" t="str">
            <v>未定</v>
          </cell>
          <cell r="E1131" t="str">
            <v>アリス</v>
          </cell>
          <cell r="F1131" t="str">
            <v>世界観</v>
          </cell>
          <cell r="G1131" t="str">
            <v>不明</v>
          </cell>
          <cell r="H1131" t="str">
            <v>red</v>
          </cell>
          <cell r="I1131">
            <v>5</v>
          </cell>
          <cell r="J1131" t="str">
            <v>Drop2N</v>
          </cell>
          <cell r="K1131" t="str">
            <v>attack</v>
          </cell>
          <cell r="L1131" t="str">
            <v>攻撃タイプ</v>
          </cell>
          <cell r="M1131" t="str">
            <v>animal</v>
          </cell>
          <cell r="N1131" t="str">
            <v>アニマル</v>
          </cell>
          <cell r="O1131" t="str">
            <v>none</v>
          </cell>
          <cell r="P1131" t="str">
            <v>種族なし</v>
          </cell>
          <cell r="Q1131" t="str">
            <v>アタッカー</v>
          </cell>
          <cell r="R1131">
            <v>3</v>
          </cell>
          <cell r="S1131" t="str">
            <v>NULL</v>
          </cell>
          <cell r="T1131" t="str">
            <v>normal</v>
          </cell>
          <cell r="U1131" t="str">
            <v>NULL</v>
          </cell>
          <cell r="V1131" t="str">
            <v>NULL</v>
          </cell>
          <cell r="W1131" t="str">
            <v>NULL</v>
          </cell>
        </row>
        <row r="1132">
          <cell r="A1132">
            <v>1131</v>
          </cell>
          <cell r="B1132" t="str">
            <v>ja</v>
          </cell>
          <cell r="C1132" t="str">
            <v>董卓</v>
          </cell>
          <cell r="D1132" t="str">
            <v>未定</v>
          </cell>
          <cell r="E1132" t="str">
            <v>アリス</v>
          </cell>
          <cell r="F1132" t="str">
            <v>世界観</v>
          </cell>
          <cell r="G1132" t="str">
            <v>不明</v>
          </cell>
          <cell r="H1132" t="str">
            <v>green</v>
          </cell>
          <cell r="I1132">
            <v>5</v>
          </cell>
          <cell r="J1132" t="str">
            <v>DropWizS</v>
          </cell>
          <cell r="K1132" t="str">
            <v>hp</v>
          </cell>
          <cell r="L1132" t="str">
            <v>体力タイプ</v>
          </cell>
          <cell r="M1132" t="str">
            <v>samurai</v>
          </cell>
          <cell r="N1132" t="str">
            <v>サムライ</v>
          </cell>
          <cell r="O1132" t="str">
            <v>human</v>
          </cell>
          <cell r="P1132" t="str">
            <v>ヒューマン</v>
          </cell>
          <cell r="Q1132" t="str">
            <v>アタッカー</v>
          </cell>
          <cell r="R1132">
            <v>3</v>
          </cell>
          <cell r="S1132" t="str">
            <v>NULL</v>
          </cell>
          <cell r="T1132" t="str">
            <v>normal</v>
          </cell>
          <cell r="U1132" t="str">
            <v>NULL</v>
          </cell>
          <cell r="V1132" t="str">
            <v>NULL</v>
          </cell>
          <cell r="W1132" t="str">
            <v>NULL</v>
          </cell>
        </row>
        <row r="1133">
          <cell r="A1133">
            <v>1132</v>
          </cell>
          <cell r="B1133" t="str">
            <v>ja</v>
          </cell>
          <cell r="C1133" t="str">
            <v>偏執なる狂騒君 董卓</v>
          </cell>
          <cell r="D1133" t="str">
            <v>未定</v>
          </cell>
          <cell r="E1133" t="str">
            <v>アリス</v>
          </cell>
          <cell r="F1133" t="str">
            <v>世界観</v>
          </cell>
          <cell r="G1133" t="str">
            <v>不明</v>
          </cell>
          <cell r="H1133" t="str">
            <v>green</v>
          </cell>
          <cell r="I1133">
            <v>6</v>
          </cell>
          <cell r="J1133" t="str">
            <v>DropWizS</v>
          </cell>
          <cell r="K1133" t="str">
            <v>hp</v>
          </cell>
          <cell r="L1133" t="str">
            <v>体力タイプ</v>
          </cell>
          <cell r="M1133" t="str">
            <v>samurai</v>
          </cell>
          <cell r="N1133" t="str">
            <v>サムライ</v>
          </cell>
          <cell r="O1133" t="str">
            <v>human</v>
          </cell>
          <cell r="P1133" t="str">
            <v>ヒューマン</v>
          </cell>
          <cell r="Q1133" t="str">
            <v>アタッカー</v>
          </cell>
          <cell r="R1133">
            <v>3</v>
          </cell>
          <cell r="S1133" t="str">
            <v>NULL</v>
          </cell>
          <cell r="T1133" t="str">
            <v>normal</v>
          </cell>
          <cell r="U1133" t="str">
            <v>NULL</v>
          </cell>
          <cell r="V1133" t="str">
            <v>NULL</v>
          </cell>
          <cell r="W1133" t="str">
            <v>NULL</v>
          </cell>
        </row>
        <row r="1134">
          <cell r="A1134">
            <v>1133</v>
          </cell>
          <cell r="B1134" t="str">
            <v>ja</v>
          </cell>
          <cell r="C1134" t="str">
            <v>貂蝉</v>
          </cell>
          <cell r="D1134" t="str">
            <v>未定</v>
          </cell>
          <cell r="E1134" t="str">
            <v>アリス</v>
          </cell>
          <cell r="F1134" t="str">
            <v>世界観</v>
          </cell>
          <cell r="G1134" t="str">
            <v>不明</v>
          </cell>
          <cell r="H1134" t="str">
            <v>yellow</v>
          </cell>
          <cell r="I1134">
            <v>5</v>
          </cell>
          <cell r="J1134" t="str">
            <v>DropWizS</v>
          </cell>
          <cell r="K1134" t="str">
            <v>technical</v>
          </cell>
          <cell r="L1134" t="str">
            <v>テクニカルタイプ</v>
          </cell>
          <cell r="M1134" t="str">
            <v>samurai</v>
          </cell>
          <cell r="N1134" t="str">
            <v>サムライ</v>
          </cell>
          <cell r="O1134" t="str">
            <v>human</v>
          </cell>
          <cell r="P1134" t="str">
            <v>ヒューマン</v>
          </cell>
          <cell r="Q1134" t="str">
            <v>アタッカー</v>
          </cell>
          <cell r="R1134">
            <v>3</v>
          </cell>
          <cell r="S1134" t="str">
            <v>NULL</v>
          </cell>
          <cell r="T1134" t="str">
            <v>normal</v>
          </cell>
          <cell r="U1134" t="str">
            <v>NULL</v>
          </cell>
          <cell r="V1134" t="str">
            <v>NULL</v>
          </cell>
          <cell r="W1134" t="str">
            <v>NULL</v>
          </cell>
        </row>
        <row r="1135">
          <cell r="A1135">
            <v>1134</v>
          </cell>
          <cell r="B1135" t="str">
            <v>ja</v>
          </cell>
          <cell r="C1135" t="str">
            <v>月隠れの美麗酔 貂蝉</v>
          </cell>
          <cell r="D1135" t="str">
            <v>未定</v>
          </cell>
          <cell r="E1135" t="str">
            <v>アリス</v>
          </cell>
          <cell r="F1135" t="str">
            <v>世界観</v>
          </cell>
          <cell r="G1135" t="str">
            <v>不明</v>
          </cell>
          <cell r="H1135" t="str">
            <v>yellow</v>
          </cell>
          <cell r="I1135">
            <v>6</v>
          </cell>
          <cell r="J1135" t="str">
            <v>DropWizS</v>
          </cell>
          <cell r="K1135" t="str">
            <v>technical</v>
          </cell>
          <cell r="L1135" t="str">
            <v>テクニカルタイプ</v>
          </cell>
          <cell r="M1135" t="str">
            <v>samurai</v>
          </cell>
          <cell r="N1135" t="str">
            <v>サムライ</v>
          </cell>
          <cell r="O1135" t="str">
            <v>human</v>
          </cell>
          <cell r="P1135" t="str">
            <v>ヒューマン</v>
          </cell>
          <cell r="Q1135" t="str">
            <v>アタッカー</v>
          </cell>
          <cell r="R1135">
            <v>3</v>
          </cell>
          <cell r="S1135" t="str">
            <v>NULL</v>
          </cell>
          <cell r="T1135" t="str">
            <v>normal</v>
          </cell>
          <cell r="U1135" t="str">
            <v>NULL</v>
          </cell>
          <cell r="V1135" t="str">
            <v>NULL</v>
          </cell>
          <cell r="W1135" t="str">
            <v>NULL</v>
          </cell>
        </row>
        <row r="1136">
          <cell r="A1136">
            <v>1135</v>
          </cell>
          <cell r="B1136" t="str">
            <v>ja</v>
          </cell>
          <cell r="C1136" t="str">
            <v>呂布</v>
          </cell>
          <cell r="D1136" t="str">
            <v>未定</v>
          </cell>
          <cell r="E1136" t="str">
            <v>アリス</v>
          </cell>
          <cell r="F1136" t="str">
            <v>世界観</v>
          </cell>
          <cell r="G1136" t="str">
            <v>不明</v>
          </cell>
          <cell r="H1136" t="str">
            <v>green</v>
          </cell>
          <cell r="I1136">
            <v>5</v>
          </cell>
          <cell r="J1136" t="str">
            <v>DropWizSS</v>
          </cell>
          <cell r="K1136" t="str">
            <v>attack</v>
          </cell>
          <cell r="L1136" t="str">
            <v>攻撃タイプ</v>
          </cell>
          <cell r="M1136" t="str">
            <v>samurai</v>
          </cell>
          <cell r="N1136" t="str">
            <v>サムライ</v>
          </cell>
          <cell r="O1136" t="str">
            <v>human</v>
          </cell>
          <cell r="P1136" t="str">
            <v>ヒューマン</v>
          </cell>
          <cell r="Q1136" t="str">
            <v>アタッカー</v>
          </cell>
          <cell r="R1136">
            <v>3</v>
          </cell>
          <cell r="S1136" t="str">
            <v>NULL</v>
          </cell>
          <cell r="T1136" t="str">
            <v>normal</v>
          </cell>
          <cell r="U1136" t="str">
            <v>NULL</v>
          </cell>
          <cell r="V1136" t="str">
            <v>NULL</v>
          </cell>
          <cell r="W1136" t="str">
            <v>NULL</v>
          </cell>
        </row>
        <row r="1137">
          <cell r="A1137">
            <v>1136</v>
          </cell>
          <cell r="B1137" t="str">
            <v>ja</v>
          </cell>
          <cell r="C1137" t="str">
            <v>豪拳烈創の激将 呂布</v>
          </cell>
          <cell r="D1137" t="str">
            <v>未定</v>
          </cell>
          <cell r="E1137" t="str">
            <v>アリス</v>
          </cell>
          <cell r="F1137" t="str">
            <v>世界観</v>
          </cell>
          <cell r="G1137" t="str">
            <v>不明</v>
          </cell>
          <cell r="H1137" t="str">
            <v>green</v>
          </cell>
          <cell r="I1137">
            <v>6</v>
          </cell>
          <cell r="J1137" t="str">
            <v>DropWizSS</v>
          </cell>
          <cell r="K1137" t="str">
            <v>attack</v>
          </cell>
          <cell r="L1137" t="str">
            <v>攻撃タイプ</v>
          </cell>
          <cell r="M1137" t="str">
            <v>samurai</v>
          </cell>
          <cell r="N1137" t="str">
            <v>サムライ</v>
          </cell>
          <cell r="O1137" t="str">
            <v>human</v>
          </cell>
          <cell r="P1137" t="str">
            <v>ヒューマン</v>
          </cell>
          <cell r="Q1137" t="str">
            <v>アタッカー</v>
          </cell>
          <cell r="R1137">
            <v>3</v>
          </cell>
          <cell r="S1137" t="str">
            <v>NULL</v>
          </cell>
          <cell r="T1137" t="str">
            <v>normal</v>
          </cell>
          <cell r="U1137" t="str">
            <v>NULL</v>
          </cell>
          <cell r="V1137" t="str">
            <v>NULL</v>
          </cell>
          <cell r="W1137" t="str">
            <v>NULL</v>
          </cell>
        </row>
        <row r="1138">
          <cell r="A1138">
            <v>1137</v>
          </cell>
          <cell r="B1138" t="str">
            <v>ja</v>
          </cell>
          <cell r="C1138" t="str">
            <v>諸葛亮</v>
          </cell>
          <cell r="D1138" t="str">
            <v>未定</v>
          </cell>
          <cell r="E1138" t="str">
            <v>アリス</v>
          </cell>
          <cell r="F1138" t="str">
            <v>世界観</v>
          </cell>
          <cell r="G1138" t="str">
            <v>不明</v>
          </cell>
          <cell r="H1138" t="str">
            <v>red</v>
          </cell>
          <cell r="I1138">
            <v>5</v>
          </cell>
          <cell r="J1138" t="str">
            <v>PremiumSSw</v>
          </cell>
          <cell r="K1138" t="str">
            <v>technical</v>
          </cell>
          <cell r="L1138" t="str">
            <v>テクニカルタイプ</v>
          </cell>
          <cell r="M1138" t="str">
            <v>samurai</v>
          </cell>
          <cell r="N1138" t="str">
            <v>サムライ</v>
          </cell>
          <cell r="O1138" t="str">
            <v>human</v>
          </cell>
          <cell r="P1138" t="str">
            <v>ヒューマン</v>
          </cell>
          <cell r="Q1138" t="str">
            <v>アタッカー</v>
          </cell>
          <cell r="R1138">
            <v>3</v>
          </cell>
          <cell r="S1138" t="str">
            <v>NULL</v>
          </cell>
          <cell r="T1138" t="str">
            <v>normal</v>
          </cell>
          <cell r="U1138" t="str">
            <v>NULL</v>
          </cell>
          <cell r="V1138" t="str">
            <v>NULL</v>
          </cell>
          <cell r="W1138" t="str">
            <v>NULL</v>
          </cell>
        </row>
        <row r="1139">
          <cell r="A1139">
            <v>1138</v>
          </cell>
          <cell r="B1139" t="str">
            <v>ja</v>
          </cell>
          <cell r="C1139" t="str">
            <v>神算鬼謀の宰相 諸葛亮</v>
          </cell>
          <cell r="D1139" t="str">
            <v>未定</v>
          </cell>
          <cell r="E1139" t="str">
            <v>アリス</v>
          </cell>
          <cell r="F1139" t="str">
            <v>世界観</v>
          </cell>
          <cell r="G1139" t="str">
            <v>不明</v>
          </cell>
          <cell r="H1139" t="str">
            <v>red</v>
          </cell>
          <cell r="I1139">
            <v>6</v>
          </cell>
          <cell r="J1139" t="str">
            <v>PremiumSSw</v>
          </cell>
          <cell r="K1139" t="str">
            <v>technical</v>
          </cell>
          <cell r="L1139" t="str">
            <v>テクニカルタイプ</v>
          </cell>
          <cell r="M1139" t="str">
            <v>samurai</v>
          </cell>
          <cell r="N1139" t="str">
            <v>サムライ</v>
          </cell>
          <cell r="O1139" t="str">
            <v>human</v>
          </cell>
          <cell r="P1139" t="str">
            <v>ヒューマン</v>
          </cell>
          <cell r="Q1139" t="str">
            <v>アタッカー</v>
          </cell>
          <cell r="R1139">
            <v>3</v>
          </cell>
          <cell r="S1139" t="str">
            <v>NULL</v>
          </cell>
          <cell r="T1139" t="str">
            <v>normal</v>
          </cell>
          <cell r="U1139" t="str">
            <v>NULL</v>
          </cell>
          <cell r="V1139" t="str">
            <v>NULL</v>
          </cell>
          <cell r="W1139" t="str">
            <v>NULL</v>
          </cell>
        </row>
        <row r="1140">
          <cell r="A1140">
            <v>1139</v>
          </cell>
          <cell r="B1140" t="str">
            <v>ja</v>
          </cell>
          <cell r="C1140" t="str">
            <v>趙雲</v>
          </cell>
          <cell r="D1140" t="str">
            <v>未定</v>
          </cell>
          <cell r="E1140" t="str">
            <v>アリス</v>
          </cell>
          <cell r="F1140" t="str">
            <v>世界観</v>
          </cell>
          <cell r="G1140" t="str">
            <v>不明</v>
          </cell>
          <cell r="H1140" t="str">
            <v>green</v>
          </cell>
          <cell r="I1140">
            <v>5</v>
          </cell>
          <cell r="J1140" t="str">
            <v>PremiumSS</v>
          </cell>
          <cell r="K1140" t="str">
            <v>balance</v>
          </cell>
          <cell r="L1140" t="str">
            <v>バランスタイプ</v>
          </cell>
          <cell r="M1140" t="str">
            <v>samurai</v>
          </cell>
          <cell r="N1140" t="str">
            <v>サムライ</v>
          </cell>
          <cell r="O1140" t="str">
            <v>human</v>
          </cell>
          <cell r="P1140" t="str">
            <v>ヒューマン</v>
          </cell>
          <cell r="Q1140" t="str">
            <v>アタッカー</v>
          </cell>
          <cell r="R1140">
            <v>3</v>
          </cell>
          <cell r="S1140" t="str">
            <v>NULL</v>
          </cell>
          <cell r="T1140" t="str">
            <v>normal</v>
          </cell>
          <cell r="U1140" t="str">
            <v>NULL</v>
          </cell>
          <cell r="V1140" t="str">
            <v>NULL</v>
          </cell>
          <cell r="W1140" t="str">
            <v>NULL</v>
          </cell>
        </row>
        <row r="1141">
          <cell r="A1141">
            <v>1140</v>
          </cell>
          <cell r="B1141" t="str">
            <v>ja</v>
          </cell>
          <cell r="C1141" t="str">
            <v>綱紀粛正の傑璧 趙雲</v>
          </cell>
          <cell r="D1141" t="str">
            <v>未定</v>
          </cell>
          <cell r="E1141" t="str">
            <v>アリス</v>
          </cell>
          <cell r="F1141" t="str">
            <v>世界観</v>
          </cell>
          <cell r="G1141" t="str">
            <v>不明</v>
          </cell>
          <cell r="H1141" t="str">
            <v>green</v>
          </cell>
          <cell r="I1141">
            <v>6</v>
          </cell>
          <cell r="J1141" t="str">
            <v>PremiumSS</v>
          </cell>
          <cell r="K1141" t="str">
            <v>balance</v>
          </cell>
          <cell r="L1141" t="str">
            <v>バランスタイプ</v>
          </cell>
          <cell r="M1141" t="str">
            <v>samurai</v>
          </cell>
          <cell r="N1141" t="str">
            <v>サムライ</v>
          </cell>
          <cell r="O1141" t="str">
            <v>human</v>
          </cell>
          <cell r="P1141" t="str">
            <v>ヒューマン</v>
          </cell>
          <cell r="Q1141" t="str">
            <v>アタッカー</v>
          </cell>
          <cell r="R1141">
            <v>3</v>
          </cell>
          <cell r="S1141" t="str">
            <v>NULL</v>
          </cell>
          <cell r="T1141" t="str">
            <v>normal</v>
          </cell>
          <cell r="U1141" t="str">
            <v>NULL</v>
          </cell>
          <cell r="V1141" t="str">
            <v>NULL</v>
          </cell>
          <cell r="W1141" t="str">
            <v>NULL</v>
          </cell>
        </row>
        <row r="1142">
          <cell r="A1142">
            <v>1141</v>
          </cell>
          <cell r="B1142" t="str">
            <v>ja</v>
          </cell>
          <cell r="C1142" t="str">
            <v>月英</v>
          </cell>
          <cell r="D1142" t="str">
            <v>未定</v>
          </cell>
          <cell r="E1142" t="str">
            <v>アリス</v>
          </cell>
          <cell r="F1142" t="str">
            <v>世界観</v>
          </cell>
          <cell r="G1142" t="str">
            <v>不明</v>
          </cell>
          <cell r="H1142" t="str">
            <v>blue</v>
          </cell>
          <cell r="I1142">
            <v>5</v>
          </cell>
          <cell r="J1142" t="str">
            <v>PremiumSS</v>
          </cell>
          <cell r="K1142" t="str">
            <v>balance</v>
          </cell>
          <cell r="L1142" t="str">
            <v>バランスタイプ</v>
          </cell>
          <cell r="M1142" t="str">
            <v>human</v>
          </cell>
          <cell r="N1142" t="str">
            <v>ヒューマン</v>
          </cell>
          <cell r="O1142" t="str">
            <v>machine</v>
          </cell>
          <cell r="P1142" t="str">
            <v>マシン</v>
          </cell>
          <cell r="Q1142" t="str">
            <v>アタッカー</v>
          </cell>
          <cell r="R1142">
            <v>3</v>
          </cell>
          <cell r="S1142" t="str">
            <v>NULL</v>
          </cell>
          <cell r="T1142" t="str">
            <v>normal</v>
          </cell>
          <cell r="U1142" t="str">
            <v>NULL</v>
          </cell>
          <cell r="V1142" t="str">
            <v>NULL</v>
          </cell>
          <cell r="W1142" t="str">
            <v>NULL</v>
          </cell>
        </row>
        <row r="1143">
          <cell r="A1143">
            <v>1142</v>
          </cell>
          <cell r="B1143" t="str">
            <v>ja</v>
          </cell>
          <cell r="C1143" t="str">
            <v>蒼明な機鋼士 月英</v>
          </cell>
          <cell r="D1143" t="str">
            <v>未定</v>
          </cell>
          <cell r="E1143" t="str">
            <v>アリス</v>
          </cell>
          <cell r="F1143" t="str">
            <v>世界観</v>
          </cell>
          <cell r="G1143" t="str">
            <v>不明</v>
          </cell>
          <cell r="H1143" t="str">
            <v>blue</v>
          </cell>
          <cell r="I1143">
            <v>6</v>
          </cell>
          <cell r="J1143" t="str">
            <v>PremiumSS</v>
          </cell>
          <cell r="K1143" t="str">
            <v>balance</v>
          </cell>
          <cell r="L1143" t="str">
            <v>バランスタイプ</v>
          </cell>
          <cell r="M1143" t="str">
            <v>human</v>
          </cell>
          <cell r="N1143" t="str">
            <v>ヒューマン</v>
          </cell>
          <cell r="O1143" t="str">
            <v>machine</v>
          </cell>
          <cell r="P1143" t="str">
            <v>マシン</v>
          </cell>
          <cell r="Q1143" t="str">
            <v>アタッカー</v>
          </cell>
          <cell r="R1143">
            <v>3</v>
          </cell>
          <cell r="S1143" t="str">
            <v>NULL</v>
          </cell>
          <cell r="T1143" t="str">
            <v>normal</v>
          </cell>
          <cell r="U1143" t="str">
            <v>NULL</v>
          </cell>
          <cell r="V1143" t="str">
            <v>NULL</v>
          </cell>
          <cell r="W1143" t="str">
            <v>NULL</v>
          </cell>
        </row>
        <row r="1144">
          <cell r="A1144">
            <v>1143</v>
          </cell>
          <cell r="B1144" t="str">
            <v>ja</v>
          </cell>
          <cell r="C1144" t="str">
            <v>黄忠</v>
          </cell>
          <cell r="D1144" t="str">
            <v>未定</v>
          </cell>
          <cell r="E1144" t="str">
            <v>アリス</v>
          </cell>
          <cell r="F1144" t="str">
            <v>世界観</v>
          </cell>
          <cell r="G1144" t="str">
            <v>不明</v>
          </cell>
          <cell r="H1144" t="str">
            <v>yellow</v>
          </cell>
          <cell r="I1144">
            <v>4</v>
          </cell>
          <cell r="J1144" t="str">
            <v>PremiumS</v>
          </cell>
          <cell r="K1144" t="str">
            <v>technical</v>
          </cell>
          <cell r="L1144" t="str">
            <v>テクニカルタイプ</v>
          </cell>
          <cell r="M1144" t="str">
            <v>samurai</v>
          </cell>
          <cell r="N1144" t="str">
            <v>サムライ</v>
          </cell>
          <cell r="O1144" t="str">
            <v>human</v>
          </cell>
          <cell r="P1144" t="str">
            <v>ヒューマン</v>
          </cell>
          <cell r="Q1144" t="str">
            <v>アタッカー</v>
          </cell>
          <cell r="R1144">
            <v>3</v>
          </cell>
          <cell r="S1144" t="str">
            <v>NULL</v>
          </cell>
          <cell r="T1144" t="str">
            <v>normal</v>
          </cell>
          <cell r="U1144" t="str">
            <v>NULL</v>
          </cell>
          <cell r="V1144" t="str">
            <v>NULL</v>
          </cell>
          <cell r="W1144" t="str">
            <v>NULL</v>
          </cell>
        </row>
        <row r="1145">
          <cell r="A1145">
            <v>1144</v>
          </cell>
          <cell r="B1145" t="str">
            <v>ja</v>
          </cell>
          <cell r="C1145" t="str">
            <v>白星を射る老将 黄忠</v>
          </cell>
          <cell r="D1145" t="str">
            <v>未定</v>
          </cell>
          <cell r="E1145" t="str">
            <v>アリス</v>
          </cell>
          <cell r="F1145" t="str">
            <v>世界観</v>
          </cell>
          <cell r="G1145" t="str">
            <v>不明</v>
          </cell>
          <cell r="H1145" t="str">
            <v>yellow</v>
          </cell>
          <cell r="I1145">
            <v>5</v>
          </cell>
          <cell r="J1145" t="str">
            <v>PremiumS</v>
          </cell>
          <cell r="K1145" t="str">
            <v>technical</v>
          </cell>
          <cell r="L1145" t="str">
            <v>テクニカルタイプ</v>
          </cell>
          <cell r="M1145" t="str">
            <v>samurai</v>
          </cell>
          <cell r="N1145" t="str">
            <v>サムライ</v>
          </cell>
          <cell r="O1145" t="str">
            <v>human</v>
          </cell>
          <cell r="P1145" t="str">
            <v>ヒューマン</v>
          </cell>
          <cell r="Q1145" t="str">
            <v>アタッカー</v>
          </cell>
          <cell r="R1145">
            <v>3</v>
          </cell>
          <cell r="S1145" t="str">
            <v>NULL</v>
          </cell>
          <cell r="T1145" t="str">
            <v>normal</v>
          </cell>
          <cell r="U1145" t="str">
            <v>NULL</v>
          </cell>
          <cell r="V1145" t="str">
            <v>NULL</v>
          </cell>
          <cell r="W1145" t="str">
            <v>NULL</v>
          </cell>
        </row>
        <row r="1146">
          <cell r="A1146">
            <v>1145</v>
          </cell>
          <cell r="B1146" t="str">
            <v>ja</v>
          </cell>
          <cell r="C1146" t="str">
            <v>ヴリトラ</v>
          </cell>
          <cell r="D1146" t="str">
            <v>未定</v>
          </cell>
          <cell r="E1146" t="str">
            <v>アリス</v>
          </cell>
          <cell r="F1146" t="str">
            <v>世界観</v>
          </cell>
          <cell r="G1146" t="str">
            <v>不明</v>
          </cell>
          <cell r="H1146" t="str">
            <v>yellow</v>
          </cell>
          <cell r="I1146">
            <v>4</v>
          </cell>
          <cell r="J1146" t="str">
            <v>Drop2N</v>
          </cell>
          <cell r="K1146" t="str">
            <v>hp</v>
          </cell>
          <cell r="L1146" t="str">
            <v>体力タイプ</v>
          </cell>
          <cell r="M1146" t="str">
            <v>dragon</v>
          </cell>
          <cell r="N1146" t="str">
            <v>ドラゴン</v>
          </cell>
          <cell r="O1146" t="str">
            <v>none</v>
          </cell>
          <cell r="P1146" t="str">
            <v>種族なし</v>
          </cell>
          <cell r="Q1146" t="str">
            <v>アタッカー</v>
          </cell>
          <cell r="R1146">
            <v>3</v>
          </cell>
          <cell r="S1146" t="str">
            <v>NULL</v>
          </cell>
          <cell r="T1146" t="str">
            <v>normal</v>
          </cell>
          <cell r="U1146" t="str">
            <v>NULL</v>
          </cell>
          <cell r="V1146" t="str">
            <v>NULL</v>
          </cell>
          <cell r="W1146" t="str">
            <v>NULL</v>
          </cell>
        </row>
        <row r="1147">
          <cell r="A1147">
            <v>1146</v>
          </cell>
          <cell r="B1147" t="str">
            <v>ja</v>
          </cell>
          <cell r="C1147" t="str">
            <v>宙覆す破魃竜 ヴリトラ</v>
          </cell>
          <cell r="D1147" t="str">
            <v>未定</v>
          </cell>
          <cell r="E1147" t="str">
            <v>アリス</v>
          </cell>
          <cell r="F1147" t="str">
            <v>世界観</v>
          </cell>
          <cell r="G1147" t="str">
            <v>不明</v>
          </cell>
          <cell r="H1147" t="str">
            <v>yellow</v>
          </cell>
          <cell r="I1147">
            <v>5</v>
          </cell>
          <cell r="J1147" t="str">
            <v>Drop2N</v>
          </cell>
          <cell r="K1147" t="str">
            <v>hp</v>
          </cell>
          <cell r="L1147" t="str">
            <v>体力タイプ</v>
          </cell>
          <cell r="M1147" t="str">
            <v>dragon</v>
          </cell>
          <cell r="N1147" t="str">
            <v>ドラゴン</v>
          </cell>
          <cell r="O1147" t="str">
            <v>none</v>
          </cell>
          <cell r="P1147" t="str">
            <v>種族なし</v>
          </cell>
          <cell r="Q1147" t="str">
            <v>アタッカー</v>
          </cell>
          <cell r="R1147">
            <v>3</v>
          </cell>
          <cell r="S1147" t="str">
            <v>NULL</v>
          </cell>
          <cell r="T1147" t="str">
            <v>normal</v>
          </cell>
          <cell r="U1147" t="str">
            <v>NULL</v>
          </cell>
          <cell r="V1147" t="str">
            <v>NULL</v>
          </cell>
          <cell r="W1147" t="str">
            <v>NULL</v>
          </cell>
        </row>
        <row r="1148">
          <cell r="A1148">
            <v>1147</v>
          </cell>
          <cell r="B1148" t="str">
            <v>ja</v>
          </cell>
          <cell r="C1148" t="str">
            <v>カーリー</v>
          </cell>
          <cell r="D1148" t="str">
            <v>未定</v>
          </cell>
          <cell r="E1148" t="str">
            <v>アリス</v>
          </cell>
          <cell r="F1148" t="str">
            <v>世界観</v>
          </cell>
          <cell r="G1148" t="str">
            <v>不明</v>
          </cell>
          <cell r="H1148" t="str">
            <v>red</v>
          </cell>
          <cell r="I1148">
            <v>5</v>
          </cell>
          <cell r="J1148" t="str">
            <v>DropWizS</v>
          </cell>
          <cell r="K1148" t="str">
            <v>technical</v>
          </cell>
          <cell r="L1148" t="str">
            <v>テクニカルタイプ</v>
          </cell>
          <cell r="M1148" t="str">
            <v>god</v>
          </cell>
          <cell r="N1148" t="str">
            <v>ゴッド</v>
          </cell>
          <cell r="O1148" t="str">
            <v>demon</v>
          </cell>
          <cell r="P1148" t="str">
            <v>デーモン</v>
          </cell>
          <cell r="Q1148" t="str">
            <v>アタッカー</v>
          </cell>
          <cell r="R1148">
            <v>3</v>
          </cell>
          <cell r="S1148" t="str">
            <v>NULL</v>
          </cell>
          <cell r="T1148" t="str">
            <v>normal</v>
          </cell>
          <cell r="U1148" t="str">
            <v>NULL</v>
          </cell>
          <cell r="V1148" t="str">
            <v>NULL</v>
          </cell>
          <cell r="W1148" t="str">
            <v>NULL</v>
          </cell>
        </row>
        <row r="1149">
          <cell r="A1149">
            <v>1148</v>
          </cell>
          <cell r="B1149" t="str">
            <v>ja</v>
          </cell>
          <cell r="C1149" t="str">
            <v>嫉神の黎き滅意 カーリー</v>
          </cell>
          <cell r="D1149" t="str">
            <v>未定</v>
          </cell>
          <cell r="E1149" t="str">
            <v>アリス</v>
          </cell>
          <cell r="F1149" t="str">
            <v>世界観</v>
          </cell>
          <cell r="G1149" t="str">
            <v>不明</v>
          </cell>
          <cell r="H1149" t="str">
            <v>red</v>
          </cell>
          <cell r="I1149">
            <v>6</v>
          </cell>
          <cell r="J1149" t="str">
            <v>DropWizS</v>
          </cell>
          <cell r="K1149" t="str">
            <v>technical</v>
          </cell>
          <cell r="L1149" t="str">
            <v>テクニカルタイプ</v>
          </cell>
          <cell r="M1149" t="str">
            <v>god</v>
          </cell>
          <cell r="N1149" t="str">
            <v>ゴッド</v>
          </cell>
          <cell r="O1149" t="str">
            <v>demon</v>
          </cell>
          <cell r="P1149" t="str">
            <v>デーモン</v>
          </cell>
          <cell r="Q1149" t="str">
            <v>アタッカー</v>
          </cell>
          <cell r="R1149">
            <v>3</v>
          </cell>
          <cell r="S1149" t="str">
            <v>NULL</v>
          </cell>
          <cell r="T1149" t="str">
            <v>normal</v>
          </cell>
          <cell r="U1149" t="str">
            <v>NULL</v>
          </cell>
          <cell r="V1149" t="str">
            <v>NULL</v>
          </cell>
          <cell r="W1149" t="str">
            <v>NULL</v>
          </cell>
        </row>
        <row r="1150">
          <cell r="A1150">
            <v>1149</v>
          </cell>
          <cell r="B1150" t="str">
            <v>ja</v>
          </cell>
          <cell r="C1150" t="str">
            <v>ブラフマー</v>
          </cell>
          <cell r="D1150" t="str">
            <v>未定</v>
          </cell>
          <cell r="E1150" t="str">
            <v>アリス</v>
          </cell>
          <cell r="F1150" t="str">
            <v>世界観</v>
          </cell>
          <cell r="G1150" t="str">
            <v>不明</v>
          </cell>
          <cell r="H1150" t="str">
            <v>blue</v>
          </cell>
          <cell r="I1150">
            <v>5</v>
          </cell>
          <cell r="J1150" t="str">
            <v>DropWizS</v>
          </cell>
          <cell r="K1150" t="str">
            <v>technical</v>
          </cell>
          <cell r="L1150" t="str">
            <v>テクニカルタイプ</v>
          </cell>
          <cell r="M1150" t="str">
            <v>god</v>
          </cell>
          <cell r="N1150" t="str">
            <v>ゴッド</v>
          </cell>
          <cell r="O1150" t="str">
            <v>none</v>
          </cell>
          <cell r="P1150" t="str">
            <v>種族なし</v>
          </cell>
          <cell r="Q1150" t="str">
            <v>アタッカー</v>
          </cell>
          <cell r="R1150">
            <v>3</v>
          </cell>
          <cell r="S1150" t="str">
            <v>NULL</v>
          </cell>
          <cell r="T1150" t="str">
            <v>normal</v>
          </cell>
          <cell r="U1150" t="str">
            <v>NULL</v>
          </cell>
          <cell r="V1150" t="str">
            <v>NULL</v>
          </cell>
          <cell r="W1150" t="str">
            <v>NULL</v>
          </cell>
        </row>
        <row r="1151">
          <cell r="A1151">
            <v>1150</v>
          </cell>
          <cell r="B1151" t="str">
            <v>ja</v>
          </cell>
          <cell r="C1151" t="str">
            <v>封智の元創神 ブラフマー</v>
          </cell>
          <cell r="D1151" t="str">
            <v>未定</v>
          </cell>
          <cell r="E1151" t="str">
            <v>アリス</v>
          </cell>
          <cell r="F1151" t="str">
            <v>世界観</v>
          </cell>
          <cell r="G1151" t="str">
            <v>不明</v>
          </cell>
          <cell r="H1151" t="str">
            <v>blue</v>
          </cell>
          <cell r="I1151">
            <v>6</v>
          </cell>
          <cell r="J1151" t="str">
            <v>DropWizS</v>
          </cell>
          <cell r="K1151" t="str">
            <v>technical</v>
          </cell>
          <cell r="L1151" t="str">
            <v>テクニカルタイプ</v>
          </cell>
          <cell r="M1151" t="str">
            <v>god</v>
          </cell>
          <cell r="N1151" t="str">
            <v>ゴッド</v>
          </cell>
          <cell r="O1151" t="str">
            <v>none</v>
          </cell>
          <cell r="P1151" t="str">
            <v>種族なし</v>
          </cell>
          <cell r="Q1151" t="str">
            <v>アタッカー</v>
          </cell>
          <cell r="R1151">
            <v>3</v>
          </cell>
          <cell r="S1151" t="str">
            <v>NULL</v>
          </cell>
          <cell r="T1151" t="str">
            <v>normal</v>
          </cell>
          <cell r="U1151" t="str">
            <v>NULL</v>
          </cell>
          <cell r="V1151" t="str">
            <v>NULL</v>
          </cell>
          <cell r="W1151" t="str">
            <v>NULL</v>
          </cell>
        </row>
        <row r="1152">
          <cell r="A1152">
            <v>1151</v>
          </cell>
          <cell r="B1152" t="str">
            <v>ja</v>
          </cell>
          <cell r="C1152" t="str">
            <v>ガネーシャ</v>
          </cell>
          <cell r="D1152" t="str">
            <v>未定</v>
          </cell>
          <cell r="E1152" t="str">
            <v>アリス</v>
          </cell>
          <cell r="F1152" t="str">
            <v>世界観</v>
          </cell>
          <cell r="G1152" t="str">
            <v>不明</v>
          </cell>
          <cell r="H1152" t="str">
            <v>red</v>
          </cell>
          <cell r="I1152">
            <v>4</v>
          </cell>
          <cell r="J1152" t="str">
            <v>PremiumS</v>
          </cell>
          <cell r="K1152" t="str">
            <v>heal</v>
          </cell>
          <cell r="L1152" t="str">
            <v>回復タイプ</v>
          </cell>
          <cell r="M1152" t="str">
            <v>god</v>
          </cell>
          <cell r="N1152" t="str">
            <v>ゴッド</v>
          </cell>
          <cell r="O1152" t="str">
            <v>animal</v>
          </cell>
          <cell r="P1152" t="str">
            <v>アニマル</v>
          </cell>
          <cell r="Q1152" t="str">
            <v>アタッカー</v>
          </cell>
          <cell r="R1152">
            <v>3</v>
          </cell>
          <cell r="S1152" t="str">
            <v>NULL</v>
          </cell>
          <cell r="T1152" t="str">
            <v>normal</v>
          </cell>
          <cell r="U1152" t="str">
            <v>NULL</v>
          </cell>
          <cell r="V1152" t="str">
            <v>NULL</v>
          </cell>
          <cell r="W1152" t="str">
            <v>NULL</v>
          </cell>
        </row>
        <row r="1153">
          <cell r="A1153">
            <v>1152</v>
          </cell>
          <cell r="B1153" t="str">
            <v>ja</v>
          </cell>
          <cell r="C1153" t="str">
            <v>衆知の富益神 ガネーシャ</v>
          </cell>
          <cell r="D1153" t="str">
            <v>未定</v>
          </cell>
          <cell r="E1153" t="str">
            <v>アリス</v>
          </cell>
          <cell r="F1153" t="str">
            <v>世界観</v>
          </cell>
          <cell r="G1153" t="str">
            <v>不明</v>
          </cell>
          <cell r="H1153" t="str">
            <v>red</v>
          </cell>
          <cell r="I1153">
            <v>5</v>
          </cell>
          <cell r="J1153" t="str">
            <v>PremiumS</v>
          </cell>
          <cell r="K1153" t="str">
            <v>heal</v>
          </cell>
          <cell r="L1153" t="str">
            <v>回復タイプ</v>
          </cell>
          <cell r="M1153" t="str">
            <v>god</v>
          </cell>
          <cell r="N1153" t="str">
            <v>ゴッド</v>
          </cell>
          <cell r="O1153" t="str">
            <v>animal</v>
          </cell>
          <cell r="P1153" t="str">
            <v>アニマル</v>
          </cell>
          <cell r="Q1153" t="str">
            <v>アタッカー</v>
          </cell>
          <cell r="R1153">
            <v>3</v>
          </cell>
          <cell r="S1153" t="str">
            <v>NULL</v>
          </cell>
          <cell r="T1153" t="str">
            <v>normal</v>
          </cell>
          <cell r="U1153" t="str">
            <v>NULL</v>
          </cell>
          <cell r="V1153" t="str">
            <v>NULL</v>
          </cell>
          <cell r="W1153" t="str">
            <v>NULL</v>
          </cell>
        </row>
        <row r="1154">
          <cell r="A1154">
            <v>1153</v>
          </cell>
          <cell r="B1154" t="str">
            <v>ja</v>
          </cell>
          <cell r="C1154" t="str">
            <v>ラクシュミー</v>
          </cell>
          <cell r="D1154" t="str">
            <v>未定</v>
          </cell>
          <cell r="E1154" t="str">
            <v>アリス</v>
          </cell>
          <cell r="F1154" t="str">
            <v>世界観</v>
          </cell>
          <cell r="G1154" t="str">
            <v>不明</v>
          </cell>
          <cell r="H1154" t="str">
            <v>green</v>
          </cell>
          <cell r="I1154">
            <v>5</v>
          </cell>
          <cell r="J1154" t="str">
            <v>PremiumSSw</v>
          </cell>
          <cell r="K1154" t="str">
            <v>hp</v>
          </cell>
          <cell r="L1154" t="str">
            <v>体力タイプ</v>
          </cell>
          <cell r="M1154" t="str">
            <v>god</v>
          </cell>
          <cell r="N1154" t="str">
            <v>ゴッド</v>
          </cell>
          <cell r="O1154" t="str">
            <v>none</v>
          </cell>
          <cell r="P1154" t="str">
            <v>種族なし</v>
          </cell>
          <cell r="Q1154" t="str">
            <v>アタッカー</v>
          </cell>
          <cell r="R1154">
            <v>3</v>
          </cell>
          <cell r="S1154" t="str">
            <v>NULL</v>
          </cell>
          <cell r="T1154" t="str">
            <v>normal</v>
          </cell>
          <cell r="U1154" t="str">
            <v>NULL</v>
          </cell>
          <cell r="V1154" t="str">
            <v>NULL</v>
          </cell>
          <cell r="W1154" t="str">
            <v>NULL</v>
          </cell>
        </row>
        <row r="1155">
          <cell r="A1155">
            <v>1154</v>
          </cell>
          <cell r="B1155" t="str">
            <v>ja</v>
          </cell>
          <cell r="C1155" t="str">
            <v>幸吹の蓮華粧 ラクシュミー</v>
          </cell>
          <cell r="D1155" t="str">
            <v>未定</v>
          </cell>
          <cell r="E1155" t="str">
            <v>アリス</v>
          </cell>
          <cell r="F1155" t="str">
            <v>世界観</v>
          </cell>
          <cell r="G1155" t="str">
            <v>不明</v>
          </cell>
          <cell r="H1155" t="str">
            <v>green</v>
          </cell>
          <cell r="I1155">
            <v>6</v>
          </cell>
          <cell r="J1155" t="str">
            <v>PremiumSSw</v>
          </cell>
          <cell r="K1155" t="str">
            <v>hp</v>
          </cell>
          <cell r="L1155" t="str">
            <v>体力タイプ</v>
          </cell>
          <cell r="M1155" t="str">
            <v>god</v>
          </cell>
          <cell r="N1155" t="str">
            <v>ゴッド</v>
          </cell>
          <cell r="O1155" t="str">
            <v>none</v>
          </cell>
          <cell r="P1155" t="str">
            <v>種族なし</v>
          </cell>
          <cell r="Q1155" t="str">
            <v>アタッカー</v>
          </cell>
          <cell r="R1155">
            <v>3</v>
          </cell>
          <cell r="S1155" t="str">
            <v>NULL</v>
          </cell>
          <cell r="T1155" t="str">
            <v>normal</v>
          </cell>
          <cell r="U1155" t="str">
            <v>NULL</v>
          </cell>
          <cell r="V1155" t="str">
            <v>NULL</v>
          </cell>
          <cell r="W1155" t="str">
            <v>NULL</v>
          </cell>
        </row>
        <row r="1156">
          <cell r="A1156">
            <v>1155</v>
          </cell>
          <cell r="B1156" t="str">
            <v>ja</v>
          </cell>
          <cell r="C1156" t="str">
            <v>ドゥルガー</v>
          </cell>
          <cell r="D1156" t="str">
            <v>未定</v>
          </cell>
          <cell r="E1156" t="str">
            <v>アリス</v>
          </cell>
          <cell r="F1156" t="str">
            <v>世界観</v>
          </cell>
          <cell r="G1156" t="str">
            <v>不明</v>
          </cell>
          <cell r="H1156" t="str">
            <v>blue</v>
          </cell>
          <cell r="I1156">
            <v>5</v>
          </cell>
          <cell r="J1156" t="str">
            <v>PremiumSS</v>
          </cell>
          <cell r="K1156" t="str">
            <v>balance</v>
          </cell>
          <cell r="L1156" t="str">
            <v>バランスタイプ</v>
          </cell>
          <cell r="M1156" t="str">
            <v>god</v>
          </cell>
          <cell r="N1156" t="str">
            <v>ゴッド</v>
          </cell>
          <cell r="O1156" t="str">
            <v>none</v>
          </cell>
          <cell r="P1156" t="str">
            <v>種族なし</v>
          </cell>
          <cell r="Q1156" t="str">
            <v>アタッカー</v>
          </cell>
          <cell r="R1156">
            <v>3</v>
          </cell>
          <cell r="S1156" t="str">
            <v>NULL</v>
          </cell>
          <cell r="T1156" t="str">
            <v>normal</v>
          </cell>
          <cell r="U1156" t="str">
            <v>NULL</v>
          </cell>
          <cell r="V1156" t="str">
            <v>NULL</v>
          </cell>
          <cell r="W1156" t="str">
            <v>NULL</v>
          </cell>
        </row>
        <row r="1157">
          <cell r="A1157">
            <v>1156</v>
          </cell>
          <cell r="B1157" t="str">
            <v>ja</v>
          </cell>
          <cell r="C1157" t="str">
            <v>麗逆の武操神 ドゥルガー</v>
          </cell>
          <cell r="D1157" t="str">
            <v>未定</v>
          </cell>
          <cell r="E1157" t="str">
            <v>アリス</v>
          </cell>
          <cell r="F1157" t="str">
            <v>世界観</v>
          </cell>
          <cell r="G1157" t="str">
            <v>不明</v>
          </cell>
          <cell r="H1157" t="str">
            <v>blue</v>
          </cell>
          <cell r="I1157">
            <v>6</v>
          </cell>
          <cell r="J1157" t="str">
            <v>PremiumSS</v>
          </cell>
          <cell r="K1157" t="str">
            <v>balance</v>
          </cell>
          <cell r="L1157" t="str">
            <v>バランスタイプ</v>
          </cell>
          <cell r="M1157" t="str">
            <v>god</v>
          </cell>
          <cell r="N1157" t="str">
            <v>ゴッド</v>
          </cell>
          <cell r="O1157" t="str">
            <v>none</v>
          </cell>
          <cell r="P1157" t="str">
            <v>種族なし</v>
          </cell>
          <cell r="Q1157" t="str">
            <v>アタッカー</v>
          </cell>
          <cell r="R1157">
            <v>3</v>
          </cell>
          <cell r="S1157" t="str">
            <v>NULL</v>
          </cell>
          <cell r="T1157" t="str">
            <v>normal</v>
          </cell>
          <cell r="U1157" t="str">
            <v>NULL</v>
          </cell>
          <cell r="V1157" t="str">
            <v>NULL</v>
          </cell>
          <cell r="W1157" t="str">
            <v>NULL</v>
          </cell>
        </row>
        <row r="1158">
          <cell r="A1158">
            <v>1157</v>
          </cell>
          <cell r="B1158" t="str">
            <v>ja</v>
          </cell>
          <cell r="C1158" t="str">
            <v>インドラ</v>
          </cell>
          <cell r="D1158" t="str">
            <v>未定</v>
          </cell>
          <cell r="E1158" t="str">
            <v>アリス</v>
          </cell>
          <cell r="F1158" t="str">
            <v>世界観</v>
          </cell>
          <cell r="G1158" t="str">
            <v>不明</v>
          </cell>
          <cell r="H1158" t="str">
            <v>yellow</v>
          </cell>
          <cell r="I1158">
            <v>5</v>
          </cell>
          <cell r="J1158" t="str">
            <v>PremiumSS</v>
          </cell>
          <cell r="K1158" t="str">
            <v>attack</v>
          </cell>
          <cell r="L1158" t="str">
            <v>攻撃タイプ</v>
          </cell>
          <cell r="M1158" t="str">
            <v>god</v>
          </cell>
          <cell r="N1158" t="str">
            <v>ゴッド</v>
          </cell>
          <cell r="O1158" t="str">
            <v>machine</v>
          </cell>
          <cell r="P1158" t="str">
            <v>マシン</v>
          </cell>
          <cell r="Q1158" t="str">
            <v>アタッカー</v>
          </cell>
          <cell r="R1158">
            <v>3</v>
          </cell>
          <cell r="S1158" t="str">
            <v>NULL</v>
          </cell>
          <cell r="T1158" t="str">
            <v>normal</v>
          </cell>
          <cell r="U1158" t="str">
            <v>NULL</v>
          </cell>
          <cell r="V1158" t="str">
            <v>NULL</v>
          </cell>
          <cell r="W1158" t="str">
            <v>NULL</v>
          </cell>
        </row>
        <row r="1159">
          <cell r="A1159">
            <v>1158</v>
          </cell>
          <cell r="B1159" t="str">
            <v>ja</v>
          </cell>
          <cell r="C1159" t="str">
            <v>天英の雷霆神 インドラ</v>
          </cell>
          <cell r="D1159" t="str">
            <v>未定</v>
          </cell>
          <cell r="E1159" t="str">
            <v>アリス</v>
          </cell>
          <cell r="F1159" t="str">
            <v>世界観</v>
          </cell>
          <cell r="G1159" t="str">
            <v>不明</v>
          </cell>
          <cell r="H1159" t="str">
            <v>yellow</v>
          </cell>
          <cell r="I1159">
            <v>6</v>
          </cell>
          <cell r="J1159" t="str">
            <v>PremiumSS</v>
          </cell>
          <cell r="K1159" t="str">
            <v>attack</v>
          </cell>
          <cell r="L1159" t="str">
            <v>攻撃タイプ</v>
          </cell>
          <cell r="M1159" t="str">
            <v>god</v>
          </cell>
          <cell r="N1159" t="str">
            <v>ゴッド</v>
          </cell>
          <cell r="O1159" t="str">
            <v>machine</v>
          </cell>
          <cell r="P1159" t="str">
            <v>マシン</v>
          </cell>
          <cell r="Q1159" t="str">
            <v>アタッカー</v>
          </cell>
          <cell r="R1159">
            <v>3</v>
          </cell>
          <cell r="S1159" t="str">
            <v>NULL</v>
          </cell>
          <cell r="T1159" t="str">
            <v>normal</v>
          </cell>
          <cell r="U1159" t="str">
            <v>NULL</v>
          </cell>
          <cell r="V1159" t="str">
            <v>NULL</v>
          </cell>
          <cell r="W1159" t="str">
            <v>NULL</v>
          </cell>
        </row>
        <row r="1160">
          <cell r="A1160">
            <v>1159</v>
          </cell>
          <cell r="B1160" t="str">
            <v>ja</v>
          </cell>
          <cell r="C1160" t="str">
            <v>ガロア</v>
          </cell>
          <cell r="D1160" t="str">
            <v>未定</v>
          </cell>
          <cell r="E1160" t="str">
            <v>アリス</v>
          </cell>
          <cell r="F1160" t="str">
            <v>世界観</v>
          </cell>
          <cell r="G1160" t="str">
            <v>不明</v>
          </cell>
          <cell r="H1160" t="str">
            <v>green</v>
          </cell>
          <cell r="I1160">
            <v>5</v>
          </cell>
          <cell r="J1160" t="str">
            <v>PremiumSSS</v>
          </cell>
          <cell r="K1160" t="str">
            <v>attack</v>
          </cell>
          <cell r="L1160" t="str">
            <v>攻撃タイプ</v>
          </cell>
          <cell r="M1160" t="str">
            <v>academia</v>
          </cell>
          <cell r="N1160" t="str">
            <v>アカデミア</v>
          </cell>
          <cell r="O1160" t="str">
            <v>none</v>
          </cell>
          <cell r="P1160" t="str">
            <v>種族なし</v>
          </cell>
          <cell r="Q1160" t="str">
            <v>アタッカー</v>
          </cell>
          <cell r="R1160">
            <v>3</v>
          </cell>
          <cell r="S1160" t="str">
            <v>NULL</v>
          </cell>
          <cell r="T1160" t="str">
            <v>normal</v>
          </cell>
          <cell r="U1160" t="str">
            <v>NULL</v>
          </cell>
          <cell r="V1160" t="str">
            <v>NULL</v>
          </cell>
          <cell r="W1160" t="str">
            <v>NULL</v>
          </cell>
        </row>
        <row r="1161">
          <cell r="A1161">
            <v>1160</v>
          </cell>
          <cell r="B1161" t="str">
            <v>ja</v>
          </cell>
          <cell r="C1161" t="str">
            <v>拡命の大群論 ガロア</v>
          </cell>
          <cell r="D1161" t="str">
            <v>未定</v>
          </cell>
          <cell r="E1161" t="str">
            <v>アリス</v>
          </cell>
          <cell r="F1161" t="str">
            <v>世界観</v>
          </cell>
          <cell r="G1161" t="str">
            <v>不明</v>
          </cell>
          <cell r="H1161" t="str">
            <v>green</v>
          </cell>
          <cell r="I1161">
            <v>6</v>
          </cell>
          <cell r="J1161" t="str">
            <v>PremiumSSS</v>
          </cell>
          <cell r="K1161" t="str">
            <v>attack</v>
          </cell>
          <cell r="L1161" t="str">
            <v>攻撃タイプ</v>
          </cell>
          <cell r="M1161" t="str">
            <v>academia</v>
          </cell>
          <cell r="N1161" t="str">
            <v>アカデミア</v>
          </cell>
          <cell r="O1161" t="str">
            <v>none</v>
          </cell>
          <cell r="P1161" t="str">
            <v>種族なし</v>
          </cell>
          <cell r="Q1161" t="str">
            <v>アタッカー</v>
          </cell>
          <cell r="R1161">
            <v>3</v>
          </cell>
          <cell r="S1161" t="str">
            <v>NULL</v>
          </cell>
          <cell r="T1161" t="str">
            <v>normal</v>
          </cell>
          <cell r="U1161" t="str">
            <v>NULL</v>
          </cell>
          <cell r="V1161" t="str">
            <v>NULL</v>
          </cell>
          <cell r="W1161" t="str">
            <v>NULL</v>
          </cell>
        </row>
        <row r="1162">
          <cell r="A1162">
            <v>1161</v>
          </cell>
          <cell r="B1162" t="str">
            <v>ja</v>
          </cell>
          <cell r="C1162" t="str">
            <v>ヒルベルト</v>
          </cell>
          <cell r="D1162" t="str">
            <v>未定</v>
          </cell>
          <cell r="E1162" t="str">
            <v>アリス</v>
          </cell>
          <cell r="F1162" t="str">
            <v>世界観</v>
          </cell>
          <cell r="G1162" t="str">
            <v>不明</v>
          </cell>
          <cell r="H1162" t="str">
            <v>yellow</v>
          </cell>
          <cell r="I1162">
            <v>5</v>
          </cell>
          <cell r="J1162" t="str">
            <v>PremiumSSS</v>
          </cell>
          <cell r="K1162" t="str">
            <v>attack</v>
          </cell>
          <cell r="L1162" t="str">
            <v>攻撃タイプ</v>
          </cell>
          <cell r="M1162" t="str">
            <v>academia</v>
          </cell>
          <cell r="N1162" t="str">
            <v>アカデミア</v>
          </cell>
          <cell r="O1162" t="str">
            <v>unknown</v>
          </cell>
          <cell r="P1162" t="str">
            <v>Unknown</v>
          </cell>
          <cell r="Q1162" t="str">
            <v>アタッカー</v>
          </cell>
          <cell r="R1162">
            <v>3</v>
          </cell>
          <cell r="S1162" t="str">
            <v>NULL</v>
          </cell>
          <cell r="T1162" t="str">
            <v>normal</v>
          </cell>
          <cell r="U1162" t="str">
            <v>NULL</v>
          </cell>
          <cell r="V1162" t="str">
            <v>NULL</v>
          </cell>
          <cell r="W1162" t="str">
            <v>NULL</v>
          </cell>
        </row>
        <row r="1163">
          <cell r="A1163">
            <v>1162</v>
          </cell>
          <cell r="B1163" t="str">
            <v>ja</v>
          </cell>
          <cell r="C1163" t="str">
            <v>夢験次元の抽唱 ヒルベルト</v>
          </cell>
          <cell r="D1163" t="str">
            <v>未定</v>
          </cell>
          <cell r="E1163" t="str">
            <v>アリス</v>
          </cell>
          <cell r="F1163" t="str">
            <v>世界観</v>
          </cell>
          <cell r="G1163" t="str">
            <v>不明</v>
          </cell>
          <cell r="H1163" t="str">
            <v>yellow</v>
          </cell>
          <cell r="I1163">
            <v>6</v>
          </cell>
          <cell r="J1163" t="str">
            <v>PremiumSSS</v>
          </cell>
          <cell r="K1163" t="str">
            <v>attack</v>
          </cell>
          <cell r="L1163" t="str">
            <v>攻撃タイプ</v>
          </cell>
          <cell r="M1163" t="str">
            <v>academia</v>
          </cell>
          <cell r="N1163" t="str">
            <v>アカデミア</v>
          </cell>
          <cell r="O1163" t="str">
            <v>unknown</v>
          </cell>
          <cell r="P1163" t="str">
            <v>Unknown</v>
          </cell>
          <cell r="Q1163" t="str">
            <v>アタッカー</v>
          </cell>
          <cell r="R1163">
            <v>3</v>
          </cell>
          <cell r="S1163" t="str">
            <v>NULL</v>
          </cell>
          <cell r="T1163" t="str">
            <v>normal</v>
          </cell>
          <cell r="U1163" t="str">
            <v>NULL</v>
          </cell>
          <cell r="V1163" t="str">
            <v>NULL</v>
          </cell>
          <cell r="W1163" t="str">
            <v>NULL</v>
          </cell>
        </row>
        <row r="1164">
          <cell r="A1164">
            <v>1163</v>
          </cell>
          <cell r="B1164" t="str">
            <v>ja</v>
          </cell>
          <cell r="C1164" t="str">
            <v>命題唱鳴計画 ヒルベルト</v>
          </cell>
          <cell r="D1164" t="str">
            <v>未定</v>
          </cell>
          <cell r="E1164" t="str">
            <v>アリス</v>
          </cell>
          <cell r="F1164" t="str">
            <v>世界観</v>
          </cell>
          <cell r="G1164" t="str">
            <v>不明</v>
          </cell>
          <cell r="H1164" t="str">
            <v>yellow</v>
          </cell>
          <cell r="I1164">
            <v>6</v>
          </cell>
          <cell r="J1164" t="str">
            <v>PremiumSSS</v>
          </cell>
          <cell r="K1164" t="str">
            <v>attack</v>
          </cell>
          <cell r="L1164" t="str">
            <v>攻撃タイプ</v>
          </cell>
          <cell r="M1164" t="str">
            <v>academia</v>
          </cell>
          <cell r="N1164" t="str">
            <v>アカデミア</v>
          </cell>
          <cell r="O1164" t="str">
            <v>unknown</v>
          </cell>
          <cell r="P1164" t="str">
            <v>Unknown</v>
          </cell>
          <cell r="Q1164" t="str">
            <v>アタッカー</v>
          </cell>
          <cell r="R1164">
            <v>3</v>
          </cell>
          <cell r="S1164" t="str">
            <v>NULL</v>
          </cell>
          <cell r="T1164" t="str">
            <v>super</v>
          </cell>
          <cell r="U1164" t="str">
            <v>NULL</v>
          </cell>
          <cell r="V1164" t="str">
            <v>NULL</v>
          </cell>
          <cell r="W1164" t="str">
            <v>NULL</v>
          </cell>
        </row>
        <row r="1165">
          <cell r="A1165">
            <v>1164</v>
          </cell>
          <cell r="B1165" t="str">
            <v>ja</v>
          </cell>
          <cell r="C1165" t="str">
            <v>ガンバンテイン</v>
          </cell>
          <cell r="D1165" t="str">
            <v>未定</v>
          </cell>
          <cell r="E1165" t="str">
            <v>アリス</v>
          </cell>
          <cell r="F1165" t="str">
            <v>世界観</v>
          </cell>
          <cell r="G1165" t="str">
            <v>不明</v>
          </cell>
          <cell r="H1165" t="str">
            <v>red</v>
          </cell>
          <cell r="I1165">
            <v>5</v>
          </cell>
          <cell r="J1165" t="str">
            <v>DropWizSSS</v>
          </cell>
          <cell r="K1165" t="str">
            <v>heal</v>
          </cell>
          <cell r="L1165" t="str">
            <v>回復タイプ</v>
          </cell>
          <cell r="M1165" t="str">
            <v>weapon</v>
          </cell>
          <cell r="N1165" t="str">
            <v>ウェポン</v>
          </cell>
          <cell r="O1165" t="str">
            <v>none</v>
          </cell>
          <cell r="P1165" t="str">
            <v>種族なし</v>
          </cell>
          <cell r="Q1165" t="str">
            <v>アタッカー</v>
          </cell>
          <cell r="R1165">
            <v>3</v>
          </cell>
          <cell r="S1165" t="str">
            <v>NULL</v>
          </cell>
          <cell r="T1165" t="str">
            <v>normal</v>
          </cell>
          <cell r="U1165" t="str">
            <v>NULL</v>
          </cell>
          <cell r="V1165" t="str">
            <v>NULL</v>
          </cell>
          <cell r="W1165" t="str">
            <v>NULL</v>
          </cell>
        </row>
        <row r="1166">
          <cell r="A1166">
            <v>1165</v>
          </cell>
          <cell r="B1166" t="str">
            <v>ja</v>
          </cell>
          <cell r="C1166" t="str">
            <v>夢香華の耀杖 ガンバンテイン</v>
          </cell>
          <cell r="D1166" t="str">
            <v>未定</v>
          </cell>
          <cell r="E1166" t="str">
            <v>アリス</v>
          </cell>
          <cell r="F1166" t="str">
            <v>世界観</v>
          </cell>
          <cell r="G1166" t="str">
            <v>不明</v>
          </cell>
          <cell r="H1166" t="str">
            <v>red</v>
          </cell>
          <cell r="I1166">
            <v>6</v>
          </cell>
          <cell r="J1166" t="str">
            <v>DropWizSSS</v>
          </cell>
          <cell r="K1166" t="str">
            <v>heal</v>
          </cell>
          <cell r="L1166" t="str">
            <v>回復タイプ</v>
          </cell>
          <cell r="M1166" t="str">
            <v>weapon</v>
          </cell>
          <cell r="N1166" t="str">
            <v>ウェポン</v>
          </cell>
          <cell r="O1166" t="str">
            <v>none</v>
          </cell>
          <cell r="P1166" t="str">
            <v>種族なし</v>
          </cell>
          <cell r="Q1166" t="str">
            <v>アタッカー</v>
          </cell>
          <cell r="R1166">
            <v>3</v>
          </cell>
          <cell r="S1166" t="str">
            <v>NULL</v>
          </cell>
          <cell r="T1166" t="str">
            <v>normal</v>
          </cell>
          <cell r="U1166" t="str">
            <v>NULL</v>
          </cell>
          <cell r="V1166" t="str">
            <v>NULL</v>
          </cell>
          <cell r="W1166" t="str">
            <v>NULL</v>
          </cell>
        </row>
        <row r="1167">
          <cell r="A1167">
            <v>1166</v>
          </cell>
          <cell r="B1167" t="str">
            <v>ja</v>
          </cell>
          <cell r="C1167" t="str">
            <v>降魔宝杖</v>
          </cell>
          <cell r="D1167" t="str">
            <v>未定</v>
          </cell>
          <cell r="E1167" t="str">
            <v>アリス</v>
          </cell>
          <cell r="F1167" t="str">
            <v>世界観</v>
          </cell>
          <cell r="G1167" t="str">
            <v>不明</v>
          </cell>
          <cell r="H1167" t="str">
            <v>blue</v>
          </cell>
          <cell r="I1167">
            <v>5</v>
          </cell>
          <cell r="J1167" t="str">
            <v>DropWizSSS</v>
          </cell>
          <cell r="K1167" t="str">
            <v>attack</v>
          </cell>
          <cell r="L1167" t="str">
            <v>攻撃タイプ</v>
          </cell>
          <cell r="M1167" t="str">
            <v>weapon</v>
          </cell>
          <cell r="N1167" t="str">
            <v>ウェポン</v>
          </cell>
          <cell r="O1167" t="str">
            <v>unknown</v>
          </cell>
          <cell r="P1167" t="str">
            <v>Unknown</v>
          </cell>
          <cell r="Q1167" t="str">
            <v>アタッカー</v>
          </cell>
          <cell r="R1167">
            <v>3</v>
          </cell>
          <cell r="S1167" t="str">
            <v>NULL</v>
          </cell>
          <cell r="T1167" t="str">
            <v>normal</v>
          </cell>
          <cell r="U1167" t="str">
            <v>NULL</v>
          </cell>
          <cell r="V1167" t="str">
            <v>NULL</v>
          </cell>
          <cell r="W1167" t="str">
            <v>NULL</v>
          </cell>
        </row>
        <row r="1168">
          <cell r="A1168">
            <v>1167</v>
          </cell>
          <cell r="B1168" t="str">
            <v>ja</v>
          </cell>
          <cell r="C1168" t="str">
            <v>月河の黄金器 降魔宝杖</v>
          </cell>
          <cell r="D1168" t="str">
            <v>未定</v>
          </cell>
          <cell r="E1168" t="str">
            <v>アリス</v>
          </cell>
          <cell r="F1168" t="str">
            <v>世界観</v>
          </cell>
          <cell r="G1168" t="str">
            <v>不明</v>
          </cell>
          <cell r="H1168" t="str">
            <v>blue</v>
          </cell>
          <cell r="I1168">
            <v>6</v>
          </cell>
          <cell r="J1168" t="str">
            <v>DropWizSSS</v>
          </cell>
          <cell r="K1168" t="str">
            <v>attack</v>
          </cell>
          <cell r="L1168" t="str">
            <v>攻撃タイプ</v>
          </cell>
          <cell r="M1168" t="str">
            <v>weapon</v>
          </cell>
          <cell r="N1168" t="str">
            <v>ウェポン</v>
          </cell>
          <cell r="O1168" t="str">
            <v>unknown</v>
          </cell>
          <cell r="P1168" t="str">
            <v>Unknown</v>
          </cell>
          <cell r="Q1168" t="str">
            <v>アタッカー</v>
          </cell>
          <cell r="R1168">
            <v>3</v>
          </cell>
          <cell r="S1168" t="str">
            <v>NULL</v>
          </cell>
          <cell r="T1168" t="str">
            <v>normal</v>
          </cell>
          <cell r="U1168" t="str">
            <v>NULL</v>
          </cell>
          <cell r="V1168" t="str">
            <v>NULL</v>
          </cell>
          <cell r="W1168" t="str">
            <v>NULL</v>
          </cell>
        </row>
        <row r="1169">
          <cell r="A1169">
            <v>1168</v>
          </cell>
          <cell r="B1169" t="str">
            <v>ja</v>
          </cell>
          <cell r="C1169" t="str">
            <v>カドゥケウス</v>
          </cell>
          <cell r="D1169" t="str">
            <v>未定</v>
          </cell>
          <cell r="E1169" t="str">
            <v>アリス</v>
          </cell>
          <cell r="F1169" t="str">
            <v>世界観</v>
          </cell>
          <cell r="G1169" t="str">
            <v>不明</v>
          </cell>
          <cell r="H1169" t="str">
            <v>yellow</v>
          </cell>
          <cell r="I1169">
            <v>5</v>
          </cell>
          <cell r="J1169" t="str">
            <v>DropWizSSS</v>
          </cell>
          <cell r="K1169" t="str">
            <v>technical</v>
          </cell>
          <cell r="L1169" t="str">
            <v>テクニカルタイプ</v>
          </cell>
          <cell r="M1169" t="str">
            <v>weapon</v>
          </cell>
          <cell r="N1169" t="str">
            <v>ウェポン</v>
          </cell>
          <cell r="O1169" t="str">
            <v>none</v>
          </cell>
          <cell r="P1169" t="str">
            <v>種族なし</v>
          </cell>
          <cell r="Q1169" t="str">
            <v>アタッカー</v>
          </cell>
          <cell r="R1169">
            <v>3</v>
          </cell>
          <cell r="S1169" t="str">
            <v>NULL</v>
          </cell>
          <cell r="T1169" t="str">
            <v>normal</v>
          </cell>
          <cell r="U1169" t="str">
            <v>NULL</v>
          </cell>
          <cell r="V1169" t="str">
            <v>NULL</v>
          </cell>
          <cell r="W1169" t="str">
            <v>NULL</v>
          </cell>
        </row>
        <row r="1170">
          <cell r="A1170">
            <v>1169</v>
          </cell>
          <cell r="B1170" t="str">
            <v>ja</v>
          </cell>
          <cell r="C1170" t="str">
            <v>睡醒の令杖 カドゥケウス</v>
          </cell>
          <cell r="D1170" t="str">
            <v>未定</v>
          </cell>
          <cell r="E1170" t="str">
            <v>アリス</v>
          </cell>
          <cell r="F1170" t="str">
            <v>世界観</v>
          </cell>
          <cell r="G1170" t="str">
            <v>不明</v>
          </cell>
          <cell r="H1170" t="str">
            <v>yellow</v>
          </cell>
          <cell r="I1170">
            <v>6</v>
          </cell>
          <cell r="J1170" t="str">
            <v>DropWizSSS</v>
          </cell>
          <cell r="K1170" t="str">
            <v>technical</v>
          </cell>
          <cell r="L1170" t="str">
            <v>テクニカルタイプ</v>
          </cell>
          <cell r="M1170" t="str">
            <v>weapon</v>
          </cell>
          <cell r="N1170" t="str">
            <v>ウェポン</v>
          </cell>
          <cell r="O1170" t="str">
            <v>god</v>
          </cell>
          <cell r="P1170" t="str">
            <v>ゴッド</v>
          </cell>
          <cell r="Q1170" t="str">
            <v>アタッカー</v>
          </cell>
          <cell r="R1170">
            <v>3</v>
          </cell>
          <cell r="S1170" t="str">
            <v>NULL</v>
          </cell>
          <cell r="T1170" t="str">
            <v>normal</v>
          </cell>
          <cell r="U1170" t="str">
            <v>NULL</v>
          </cell>
          <cell r="V1170" t="str">
            <v>NULL</v>
          </cell>
          <cell r="W1170" t="str">
            <v>NULL</v>
          </cell>
        </row>
        <row r="1171">
          <cell r="A1171">
            <v>1170</v>
          </cell>
          <cell r="B1171" t="str">
            <v>ja</v>
          </cell>
          <cell r="C1171" t="str">
            <v>極彩龍筆 ヘイウェイ</v>
          </cell>
          <cell r="D1171" t="str">
            <v>未定</v>
          </cell>
          <cell r="E1171" t="str">
            <v>アリス</v>
          </cell>
          <cell r="F1171" t="str">
            <v>世界観</v>
          </cell>
          <cell r="G1171" t="str">
            <v>不明</v>
          </cell>
          <cell r="H1171" t="str">
            <v>red</v>
          </cell>
          <cell r="I1171">
            <v>6</v>
          </cell>
          <cell r="J1171" t="str">
            <v>PremiumSSS</v>
          </cell>
          <cell r="K1171" t="str">
            <v>technical</v>
          </cell>
          <cell r="L1171" t="str">
            <v>テクニカルタイプ</v>
          </cell>
          <cell r="M1171" t="str">
            <v>dragon</v>
          </cell>
          <cell r="N1171" t="str">
            <v>ドラゴン</v>
          </cell>
          <cell r="O1171" t="str">
            <v>unknown</v>
          </cell>
          <cell r="P1171" t="str">
            <v>Unknown</v>
          </cell>
          <cell r="Q1171" t="str">
            <v>アタッカー</v>
          </cell>
          <cell r="R1171">
            <v>3</v>
          </cell>
          <cell r="S1171" t="str">
            <v>NULL</v>
          </cell>
          <cell r="T1171" t="str">
            <v>super</v>
          </cell>
          <cell r="U1171" t="str">
            <v>NULL</v>
          </cell>
          <cell r="V1171" t="str">
            <v>NULL</v>
          </cell>
          <cell r="W1171" t="str">
            <v>NULL</v>
          </cell>
        </row>
        <row r="1172">
          <cell r="A1172">
            <v>1171</v>
          </cell>
          <cell r="B1172" t="str">
            <v>ja</v>
          </cell>
          <cell r="C1172" t="str">
            <v>解匣する交率 ポアソン</v>
          </cell>
          <cell r="D1172" t="str">
            <v>未定</v>
          </cell>
          <cell r="E1172" t="str">
            <v>アリス</v>
          </cell>
          <cell r="F1172" t="str">
            <v>世界観</v>
          </cell>
          <cell r="G1172" t="str">
            <v>不明</v>
          </cell>
          <cell r="H1172" t="str">
            <v>green</v>
          </cell>
          <cell r="I1172">
            <v>6</v>
          </cell>
          <cell r="J1172" t="str">
            <v>PremiumSSS</v>
          </cell>
          <cell r="K1172" t="str">
            <v>balance</v>
          </cell>
          <cell r="L1172" t="str">
            <v>バランスタイプ</v>
          </cell>
          <cell r="M1172" t="str">
            <v>academia</v>
          </cell>
          <cell r="N1172" t="str">
            <v>アカデミア</v>
          </cell>
          <cell r="O1172" t="str">
            <v>none</v>
          </cell>
          <cell r="P1172" t="str">
            <v>種族なし</v>
          </cell>
          <cell r="Q1172" t="str">
            <v>アタッカー</v>
          </cell>
          <cell r="R1172">
            <v>3</v>
          </cell>
          <cell r="S1172" t="str">
            <v>NULL</v>
          </cell>
          <cell r="T1172" t="str">
            <v>super</v>
          </cell>
          <cell r="U1172" t="str">
            <v>NULL</v>
          </cell>
          <cell r="V1172" t="str">
            <v>NULL</v>
          </cell>
          <cell r="W1172" t="str">
            <v>NULL</v>
          </cell>
        </row>
        <row r="1173">
          <cell r="A1173">
            <v>1172</v>
          </cell>
          <cell r="B1173" t="str">
            <v>ja</v>
          </cell>
          <cell r="C1173" t="str">
            <v>極限解析の讃嬢 クロネッカー</v>
          </cell>
          <cell r="D1173" t="str">
            <v>未定</v>
          </cell>
          <cell r="E1173" t="str">
            <v>アリス</v>
          </cell>
          <cell r="F1173" t="str">
            <v>世界観</v>
          </cell>
          <cell r="G1173" t="str">
            <v>不明</v>
          </cell>
          <cell r="H1173" t="str">
            <v>yellow</v>
          </cell>
          <cell r="I1173">
            <v>6</v>
          </cell>
          <cell r="J1173" t="str">
            <v>PremiumSSS</v>
          </cell>
          <cell r="K1173" t="str">
            <v>balance</v>
          </cell>
          <cell r="L1173" t="str">
            <v>バランスタイプ</v>
          </cell>
          <cell r="M1173" t="str">
            <v>academia</v>
          </cell>
          <cell r="N1173" t="str">
            <v>アカデミア</v>
          </cell>
          <cell r="O1173" t="str">
            <v>human</v>
          </cell>
          <cell r="P1173" t="str">
            <v>ヒューマン</v>
          </cell>
          <cell r="Q1173" t="str">
            <v>アタッカー</v>
          </cell>
          <cell r="R1173">
            <v>3</v>
          </cell>
          <cell r="S1173" t="str">
            <v>NULL</v>
          </cell>
          <cell r="T1173" t="str">
            <v>super</v>
          </cell>
          <cell r="U1173" t="str">
            <v>NULL</v>
          </cell>
          <cell r="V1173" t="str">
            <v>NULL</v>
          </cell>
          <cell r="W1173" t="str">
            <v>NULL</v>
          </cell>
        </row>
        <row r="1174">
          <cell r="A1174">
            <v>1173</v>
          </cell>
          <cell r="B1174" t="str">
            <v>ja</v>
          </cell>
          <cell r="C1174" t="str">
            <v>愛を咲かせる春羽妖精 ファータ</v>
          </cell>
          <cell r="D1174" t="str">
            <v>未定</v>
          </cell>
          <cell r="E1174" t="str">
            <v>アリス</v>
          </cell>
          <cell r="F1174" t="str">
            <v>世界観</v>
          </cell>
          <cell r="G1174" t="str">
            <v>不明</v>
          </cell>
          <cell r="H1174" t="str">
            <v>green</v>
          </cell>
          <cell r="I1174">
            <v>6</v>
          </cell>
          <cell r="J1174" t="str">
            <v>PremiumS</v>
          </cell>
          <cell r="K1174" t="str">
            <v>heal</v>
          </cell>
          <cell r="L1174" t="str">
            <v>回復タイプ</v>
          </cell>
          <cell r="M1174" t="str">
            <v>unknown</v>
          </cell>
          <cell r="N1174" t="str">
            <v>Unknown</v>
          </cell>
          <cell r="O1174" t="str">
            <v>none</v>
          </cell>
          <cell r="P1174" t="str">
            <v>種族なし</v>
          </cell>
          <cell r="Q1174" t="str">
            <v>アタッカー</v>
          </cell>
          <cell r="R1174">
            <v>3</v>
          </cell>
          <cell r="S1174" t="str">
            <v>NULL</v>
          </cell>
          <cell r="T1174" t="str">
            <v>normal</v>
          </cell>
          <cell r="U1174" t="str">
            <v>NULL</v>
          </cell>
          <cell r="V1174" t="str">
            <v>NULL</v>
          </cell>
          <cell r="W1174" t="str">
            <v>NULL</v>
          </cell>
        </row>
        <row r="1175">
          <cell r="A1175">
            <v>1174</v>
          </cell>
          <cell r="B1175" t="str">
            <v>ja</v>
          </cell>
          <cell r="C1175" t="str">
            <v>護翼の望詠光 バルドル</v>
          </cell>
          <cell r="D1175" t="str">
            <v>未定</v>
          </cell>
          <cell r="E1175" t="str">
            <v>アリス</v>
          </cell>
          <cell r="F1175" t="str">
            <v>世界観</v>
          </cell>
          <cell r="G1175" t="str">
            <v>不明</v>
          </cell>
          <cell r="H1175" t="str">
            <v>yellow</v>
          </cell>
          <cell r="I1175">
            <v>6</v>
          </cell>
          <cell r="J1175" t="str">
            <v>PremiumS</v>
          </cell>
          <cell r="K1175" t="str">
            <v>heal</v>
          </cell>
          <cell r="L1175" t="str">
            <v>回復タイプ</v>
          </cell>
          <cell r="M1175" t="str">
            <v>god</v>
          </cell>
          <cell r="N1175" t="str">
            <v>ゴッド</v>
          </cell>
          <cell r="O1175" t="str">
            <v>none</v>
          </cell>
          <cell r="P1175" t="str">
            <v>種族なし</v>
          </cell>
          <cell r="Q1175" t="str">
            <v>アタッカー</v>
          </cell>
          <cell r="R1175">
            <v>3</v>
          </cell>
          <cell r="S1175" t="str">
            <v>NULL</v>
          </cell>
          <cell r="T1175" t="str">
            <v>normal</v>
          </cell>
          <cell r="U1175" t="str">
            <v>NULL</v>
          </cell>
          <cell r="V1175" t="str">
            <v>NULL</v>
          </cell>
          <cell r="W1175" t="str">
            <v>NULL</v>
          </cell>
        </row>
        <row r="1176">
          <cell r="A1176">
            <v>1175</v>
          </cell>
          <cell r="B1176" t="str">
            <v>ja</v>
          </cell>
          <cell r="C1176" t="str">
            <v>蘇尊の誓聖義 アーサー</v>
          </cell>
          <cell r="D1176" t="str">
            <v>未定</v>
          </cell>
          <cell r="E1176" t="str">
            <v>アリス</v>
          </cell>
          <cell r="F1176" t="str">
            <v>世界観</v>
          </cell>
          <cell r="G1176" t="str">
            <v>不明</v>
          </cell>
          <cell r="H1176" t="str">
            <v>red</v>
          </cell>
          <cell r="I1176">
            <v>6</v>
          </cell>
          <cell r="J1176" t="str">
            <v>DropWizS</v>
          </cell>
          <cell r="K1176" t="str">
            <v>balance</v>
          </cell>
          <cell r="L1176" t="str">
            <v>バランスタイプ</v>
          </cell>
          <cell r="M1176" t="str">
            <v>human</v>
          </cell>
          <cell r="N1176" t="str">
            <v>ヒューマン</v>
          </cell>
          <cell r="O1176" t="str">
            <v>none</v>
          </cell>
          <cell r="P1176" t="str">
            <v>種族なし</v>
          </cell>
          <cell r="Q1176" t="str">
            <v>アタッカー</v>
          </cell>
          <cell r="R1176">
            <v>3</v>
          </cell>
          <cell r="S1176" t="str">
            <v>NULL</v>
          </cell>
          <cell r="T1176" t="str">
            <v>super</v>
          </cell>
          <cell r="U1176" t="str">
            <v>NULL</v>
          </cell>
          <cell r="V1176" t="str">
            <v>NULL</v>
          </cell>
          <cell r="W1176" t="str">
            <v>NULL</v>
          </cell>
        </row>
        <row r="1177">
          <cell r="A1177">
            <v>1176</v>
          </cell>
          <cell r="B1177" t="str">
            <v>ja</v>
          </cell>
          <cell r="C1177" t="str">
            <v>夢二夢斬の遊猟 フロイト</v>
          </cell>
          <cell r="D1177" t="str">
            <v>未定</v>
          </cell>
          <cell r="E1177" t="str">
            <v>アリス</v>
          </cell>
          <cell r="F1177" t="str">
            <v>世界観</v>
          </cell>
          <cell r="G1177" t="str">
            <v>不明</v>
          </cell>
          <cell r="H1177" t="str">
            <v>red</v>
          </cell>
          <cell r="I1177">
            <v>6</v>
          </cell>
          <cell r="J1177" t="str">
            <v>PremiumSSS</v>
          </cell>
          <cell r="K1177" t="str">
            <v>balance</v>
          </cell>
          <cell r="L1177" t="str">
            <v>バランスタイプ</v>
          </cell>
          <cell r="M1177" t="str">
            <v>academia</v>
          </cell>
          <cell r="N1177" t="str">
            <v>アカデミア</v>
          </cell>
          <cell r="O1177" t="str">
            <v>machine</v>
          </cell>
          <cell r="P1177" t="str">
            <v>マシン</v>
          </cell>
          <cell r="Q1177" t="str">
            <v>アタッカー</v>
          </cell>
          <cell r="R1177">
            <v>3</v>
          </cell>
          <cell r="S1177" t="str">
            <v>NULL</v>
          </cell>
          <cell r="T1177" t="str">
            <v>super</v>
          </cell>
          <cell r="U1177" t="str">
            <v>NULL</v>
          </cell>
          <cell r="V1177" t="str">
            <v>NULL</v>
          </cell>
          <cell r="W1177" t="str">
            <v>NULL</v>
          </cell>
        </row>
        <row r="1178">
          <cell r="A1178">
            <v>1177</v>
          </cell>
          <cell r="B1178" t="str">
            <v>ja</v>
          </cell>
          <cell r="C1178" t="str">
            <v>虚閃を弄する豪輪 オズ</v>
          </cell>
          <cell r="D1178" t="str">
            <v>未定</v>
          </cell>
          <cell r="E1178" t="str">
            <v>アリス</v>
          </cell>
          <cell r="F1178" t="str">
            <v>世界観</v>
          </cell>
          <cell r="G1178" t="str">
            <v>不明</v>
          </cell>
          <cell r="H1178" t="str">
            <v>green</v>
          </cell>
          <cell r="I1178">
            <v>6</v>
          </cell>
          <cell r="J1178" t="str">
            <v>DropWizS</v>
          </cell>
          <cell r="K1178" t="str">
            <v>balance</v>
          </cell>
          <cell r="L1178" t="str">
            <v>バランスタイプ</v>
          </cell>
          <cell r="M1178" t="str">
            <v>human</v>
          </cell>
          <cell r="N1178" t="str">
            <v>ヒューマン</v>
          </cell>
          <cell r="O1178" t="str">
            <v>none</v>
          </cell>
          <cell r="P1178" t="str">
            <v>種族なし</v>
          </cell>
          <cell r="Q1178" t="str">
            <v>アタッカー</v>
          </cell>
          <cell r="R1178">
            <v>3</v>
          </cell>
          <cell r="S1178" t="str">
            <v>NULL</v>
          </cell>
          <cell r="T1178" t="str">
            <v>super</v>
          </cell>
          <cell r="U1178" t="str">
            <v>NULL</v>
          </cell>
          <cell r="V1178" t="str">
            <v>NULL</v>
          </cell>
          <cell r="W1178" t="str">
            <v>NULL</v>
          </cell>
        </row>
        <row r="1179">
          <cell r="A1179">
            <v>1178</v>
          </cell>
          <cell r="B1179" t="str">
            <v>ja</v>
          </cell>
          <cell r="C1179" t="str">
            <v>大蒐集総力戦 グリム</v>
          </cell>
          <cell r="D1179" t="str">
            <v>未定</v>
          </cell>
          <cell r="E1179" t="str">
            <v>アリス</v>
          </cell>
          <cell r="F1179" t="str">
            <v>世界観</v>
          </cell>
          <cell r="G1179" t="str">
            <v>不明</v>
          </cell>
          <cell r="H1179" t="str">
            <v>green</v>
          </cell>
          <cell r="I1179">
            <v>6</v>
          </cell>
          <cell r="J1179" t="str">
            <v>DropWizS</v>
          </cell>
          <cell r="K1179" t="str">
            <v>attack</v>
          </cell>
          <cell r="L1179" t="str">
            <v>攻撃タイプ</v>
          </cell>
          <cell r="M1179" t="str">
            <v>unknown</v>
          </cell>
          <cell r="N1179" t="str">
            <v>Unknown</v>
          </cell>
          <cell r="O1179" t="str">
            <v>fantasy</v>
          </cell>
          <cell r="P1179" t="str">
            <v>ファンタジー</v>
          </cell>
          <cell r="Q1179" t="str">
            <v>アタッカー</v>
          </cell>
          <cell r="R1179">
            <v>3</v>
          </cell>
          <cell r="S1179" t="str">
            <v>NULL</v>
          </cell>
          <cell r="T1179" t="str">
            <v>super</v>
          </cell>
          <cell r="U1179" t="str">
            <v>NULL</v>
          </cell>
          <cell r="V1179" t="str">
            <v>NULL</v>
          </cell>
          <cell r="W1179" t="str">
            <v>NULL</v>
          </cell>
        </row>
        <row r="1180">
          <cell r="A1180">
            <v>1179</v>
          </cell>
          <cell r="B1180" t="str">
            <v>ja</v>
          </cell>
          <cell r="C1180" t="str">
            <v>厳核なる巨大炉 ハイゼンベルク</v>
          </cell>
          <cell r="D1180" t="str">
            <v>各属性相性良3・黄・R558</v>
          </cell>
          <cell r="E1180" t="str">
            <v>執行者</v>
          </cell>
          <cell r="F1180" t="str">
            <v>格好いい</v>
          </cell>
          <cell r="G1180" t="str">
            <v>男性</v>
          </cell>
          <cell r="H1180" t="str">
            <v>green</v>
          </cell>
          <cell r="I1180">
            <v>6</v>
          </cell>
          <cell r="J1180" t="str">
            <v>PremiumSSS</v>
          </cell>
          <cell r="K1180" t="str">
            <v>attack</v>
          </cell>
          <cell r="L1180" t="str">
            <v>攻撃タイプ</v>
          </cell>
          <cell r="M1180" t="str">
            <v>academia</v>
          </cell>
          <cell r="N1180" t="str">
            <v>アカデミア</v>
          </cell>
          <cell r="O1180" t="str">
            <v>machine</v>
          </cell>
          <cell r="P1180" t="str">
            <v>マシン</v>
          </cell>
          <cell r="Q1180" t="str">
            <v>アタッカー</v>
          </cell>
          <cell r="R1180">
            <v>3</v>
          </cell>
          <cell r="S1180" t="str">
            <v>NULL</v>
          </cell>
          <cell r="T1180" t="str">
            <v>super</v>
          </cell>
          <cell r="U1180" t="str">
            <v>NULL</v>
          </cell>
          <cell r="V1180" t="str">
            <v>NULL</v>
          </cell>
          <cell r="W1180" t="str">
            <v>NULL</v>
          </cell>
        </row>
        <row r="1181">
          <cell r="A1181">
            <v>1180</v>
          </cell>
          <cell r="B1181" t="str">
            <v>ja</v>
          </cell>
          <cell r="C1181" t="str">
            <v>毅戦たる蒼機神 オーディン</v>
          </cell>
          <cell r="D1181" t="str">
            <v>各属性相性良3・黄・R558</v>
          </cell>
          <cell r="E1181" t="str">
            <v>執行者</v>
          </cell>
          <cell r="F1181" t="str">
            <v>格好いい</v>
          </cell>
          <cell r="G1181" t="str">
            <v>男性</v>
          </cell>
          <cell r="H1181" t="str">
            <v>blue</v>
          </cell>
          <cell r="I1181">
            <v>6</v>
          </cell>
          <cell r="J1181" t="str">
            <v>DropWizSS</v>
          </cell>
          <cell r="K1181" t="str">
            <v>hp</v>
          </cell>
          <cell r="L1181" t="str">
            <v>体力タイプ</v>
          </cell>
          <cell r="M1181" t="str">
            <v>machine</v>
          </cell>
          <cell r="N1181" t="str">
            <v>マシン</v>
          </cell>
          <cell r="O1181" t="str">
            <v>god</v>
          </cell>
          <cell r="P1181" t="str">
            <v>ゴッド</v>
          </cell>
          <cell r="Q1181" t="str">
            <v>アタッカー</v>
          </cell>
          <cell r="R1181">
            <v>3</v>
          </cell>
          <cell r="S1181" t="str">
            <v>NULL</v>
          </cell>
          <cell r="T1181" t="str">
            <v>super</v>
          </cell>
          <cell r="U1181" t="str">
            <v>NULL</v>
          </cell>
          <cell r="V1181" t="str">
            <v>NULL</v>
          </cell>
          <cell r="W1181" t="str">
            <v>NULL</v>
          </cell>
        </row>
        <row r="1182">
          <cell r="A1182">
            <v>1181</v>
          </cell>
          <cell r="B1182" t="str">
            <v>ja</v>
          </cell>
          <cell r="C1182" t="str">
            <v>永存の究極論 ユークリッド</v>
          </cell>
          <cell r="D1182" t="str">
            <v>超覚醒ハーシェル</v>
          </cell>
          <cell r="E1182" t="str">
            <v>アリス</v>
          </cell>
          <cell r="F1182" t="str">
            <v>世界観</v>
          </cell>
          <cell r="G1182" t="str">
            <v>不明</v>
          </cell>
          <cell r="H1182" t="str">
            <v>blue</v>
          </cell>
          <cell r="I1182">
            <v>6</v>
          </cell>
          <cell r="J1182" t="str">
            <v>PremiumSSS</v>
          </cell>
          <cell r="K1182" t="str">
            <v>balance</v>
          </cell>
          <cell r="L1182" t="str">
            <v>バランスタイプ</v>
          </cell>
          <cell r="M1182" t="str">
            <v>academia</v>
          </cell>
          <cell r="N1182" t="str">
            <v>アカデミア</v>
          </cell>
          <cell r="O1182" t="str">
            <v>machine</v>
          </cell>
          <cell r="P1182" t="str">
            <v>マシン</v>
          </cell>
          <cell r="Q1182" t="str">
            <v>アタッカー</v>
          </cell>
          <cell r="R1182">
            <v>3</v>
          </cell>
          <cell r="S1182" t="str">
            <v>NULL</v>
          </cell>
          <cell r="T1182" t="str">
            <v>super</v>
          </cell>
          <cell r="U1182" t="str">
            <v>NULL</v>
          </cell>
          <cell r="V1182" t="str">
            <v>NULL</v>
          </cell>
          <cell r="W1182" t="str">
            <v>NULL</v>
          </cell>
        </row>
        <row r="1183">
          <cell r="A1183">
            <v>1182</v>
          </cell>
          <cell r="B1183" t="str">
            <v>ja</v>
          </cell>
          <cell r="C1183" t="str">
            <v>黄金螺旋の閃鋼機 フィボナッチ</v>
          </cell>
          <cell r="D1183" t="str">
            <v>超覚醒ハーシェル</v>
          </cell>
          <cell r="E1183" t="str">
            <v>アリス</v>
          </cell>
          <cell r="F1183" t="str">
            <v>世界観</v>
          </cell>
          <cell r="G1183" t="str">
            <v>不明</v>
          </cell>
          <cell r="H1183" t="str">
            <v>blue</v>
          </cell>
          <cell r="I1183">
            <v>6</v>
          </cell>
          <cell r="J1183" t="str">
            <v>PremiumSSS</v>
          </cell>
          <cell r="K1183" t="str">
            <v>balance</v>
          </cell>
          <cell r="L1183" t="str">
            <v>バランスタイプ</v>
          </cell>
          <cell r="M1183" t="str">
            <v>academia</v>
          </cell>
          <cell r="N1183" t="str">
            <v>アカデミア</v>
          </cell>
          <cell r="O1183" t="str">
            <v>none</v>
          </cell>
          <cell r="P1183" t="str">
            <v>種族なし</v>
          </cell>
          <cell r="Q1183" t="str">
            <v>アタッカー</v>
          </cell>
          <cell r="R1183">
            <v>3</v>
          </cell>
          <cell r="S1183" t="str">
            <v>NULL</v>
          </cell>
          <cell r="T1183" t="str">
            <v>super</v>
          </cell>
          <cell r="U1183" t="str">
            <v>NULL</v>
          </cell>
          <cell r="V1183" t="str">
            <v>NULL</v>
          </cell>
          <cell r="W1183" t="str">
            <v>NULL</v>
          </cell>
        </row>
        <row r="1184">
          <cell r="A1184">
            <v>1183</v>
          </cell>
          <cell r="B1184" t="str">
            <v>ja</v>
          </cell>
          <cell r="C1184" t="str">
            <v>世憚の悪害 Gスター・チルドレン</v>
          </cell>
          <cell r="D1184" t="str">
            <v>超覚醒ハーシェル</v>
          </cell>
          <cell r="E1184" t="str">
            <v>アリス</v>
          </cell>
          <cell r="F1184" t="str">
            <v>世界観</v>
          </cell>
          <cell r="G1184" t="str">
            <v>不明</v>
          </cell>
          <cell r="H1184" t="str">
            <v>yellow</v>
          </cell>
          <cell r="I1184">
            <v>6</v>
          </cell>
          <cell r="J1184" t="str">
            <v>DropWizS</v>
          </cell>
          <cell r="K1184" t="str">
            <v>hp</v>
          </cell>
          <cell r="L1184" t="str">
            <v>体力タイプ</v>
          </cell>
          <cell r="M1184" t="str">
            <v>unknown</v>
          </cell>
          <cell r="N1184" t="str">
            <v>Unknown</v>
          </cell>
          <cell r="O1184" t="str">
            <v>fantasy</v>
          </cell>
          <cell r="P1184" t="str">
            <v>ファンタジー</v>
          </cell>
          <cell r="Q1184" t="str">
            <v>アタッカー</v>
          </cell>
          <cell r="R1184">
            <v>3</v>
          </cell>
          <cell r="S1184" t="str">
            <v>NULL</v>
          </cell>
          <cell r="T1184" t="str">
            <v>super</v>
          </cell>
          <cell r="U1184" t="str">
            <v>NULL</v>
          </cell>
          <cell r="V1184" t="str">
            <v>NULL</v>
          </cell>
          <cell r="W1184" t="str">
            <v>NULL</v>
          </cell>
        </row>
        <row r="1185">
          <cell r="A1185">
            <v>1184</v>
          </cell>
          <cell r="B1185" t="str">
            <v>ja</v>
          </cell>
          <cell r="C1185" t="str">
            <v>電装の烙雷芯 ファラデー</v>
          </cell>
          <cell r="D1185" t="str">
            <v>超覚醒ハーシェル</v>
          </cell>
          <cell r="E1185" t="str">
            <v>アリス</v>
          </cell>
          <cell r="F1185" t="str">
            <v>世界観</v>
          </cell>
          <cell r="G1185" t="str">
            <v>不明</v>
          </cell>
          <cell r="H1185" t="str">
            <v>yellow</v>
          </cell>
          <cell r="I1185">
            <v>6</v>
          </cell>
          <cell r="J1185" t="str">
            <v>PremiumSSS</v>
          </cell>
          <cell r="K1185" t="str">
            <v>attack</v>
          </cell>
          <cell r="L1185" t="str">
            <v>攻撃タイプ</v>
          </cell>
          <cell r="M1185" t="str">
            <v>academia</v>
          </cell>
          <cell r="N1185" t="str">
            <v>アカデミア</v>
          </cell>
          <cell r="O1185" t="str">
            <v>none</v>
          </cell>
          <cell r="P1185" t="str">
            <v>種族なし</v>
          </cell>
          <cell r="Q1185" t="str">
            <v>アタッカー</v>
          </cell>
          <cell r="R1185">
            <v>3</v>
          </cell>
          <cell r="S1185" t="str">
            <v>NULL</v>
          </cell>
          <cell r="T1185" t="str">
            <v>super</v>
          </cell>
          <cell r="U1185" t="str">
            <v>NULL</v>
          </cell>
          <cell r="V1185" t="str">
            <v>NULL</v>
          </cell>
          <cell r="W1185" t="str">
            <v>NULL</v>
          </cell>
        </row>
        <row r="1186">
          <cell r="A1186">
            <v>1185</v>
          </cell>
          <cell r="B1186" t="str">
            <v>ja</v>
          </cell>
          <cell r="C1186" t="str">
            <v>兆銀河団の星観者 ハーシェル</v>
          </cell>
          <cell r="D1186" t="str">
            <v>超覚醒ハーシェル</v>
          </cell>
          <cell r="E1186" t="str">
            <v>アリス</v>
          </cell>
          <cell r="F1186" t="str">
            <v>世界観</v>
          </cell>
          <cell r="G1186" t="str">
            <v>不明</v>
          </cell>
          <cell r="H1186" t="str">
            <v>yellow</v>
          </cell>
          <cell r="I1186">
            <v>6</v>
          </cell>
          <cell r="J1186" t="str">
            <v>PremiumSSS</v>
          </cell>
          <cell r="K1186" t="str">
            <v>heal</v>
          </cell>
          <cell r="L1186" t="str">
            <v>回復タイプ</v>
          </cell>
          <cell r="M1186" t="str">
            <v>academia</v>
          </cell>
          <cell r="N1186" t="str">
            <v>アカデミア</v>
          </cell>
          <cell r="O1186" t="str">
            <v>animal</v>
          </cell>
          <cell r="P1186" t="str">
            <v>アニマル</v>
          </cell>
          <cell r="Q1186" t="str">
            <v>アタッカー</v>
          </cell>
          <cell r="R1186">
            <v>3</v>
          </cell>
          <cell r="S1186" t="str">
            <v>NULL</v>
          </cell>
          <cell r="T1186" t="str">
            <v>super</v>
          </cell>
          <cell r="U1186" t="str">
            <v>NULL</v>
          </cell>
          <cell r="V1186" t="str">
            <v>NULL</v>
          </cell>
          <cell r="W1186" t="str">
            <v>NULL</v>
          </cell>
        </row>
        <row r="1187">
          <cell r="A1187">
            <v>1186</v>
          </cell>
          <cell r="B1187" t="str">
            <v>ja</v>
          </cell>
          <cell r="C1187" t="str">
            <v>超疾の最理者 フェルマー</v>
          </cell>
          <cell r="H1187" t="str">
            <v>yellow</v>
          </cell>
          <cell r="I1187">
            <v>6</v>
          </cell>
          <cell r="J1187" t="str">
            <v>PremiumSSS</v>
          </cell>
          <cell r="K1187" t="str">
            <v>balance</v>
          </cell>
          <cell r="L1187" t="str">
            <v>バランスタイプ</v>
          </cell>
          <cell r="M1187" t="str">
            <v>academia</v>
          </cell>
          <cell r="N1187" t="str">
            <v>アカデミア</v>
          </cell>
          <cell r="O1187" t="str">
            <v>machine</v>
          </cell>
          <cell r="P1187" t="str">
            <v>マシン</v>
          </cell>
          <cell r="R1187">
            <v>3</v>
          </cell>
          <cell r="S1187" t="str">
            <v>NULL</v>
          </cell>
          <cell r="T1187" t="str">
            <v>super</v>
          </cell>
          <cell r="U1187" t="str">
            <v>NULL</v>
          </cell>
          <cell r="V1187" t="str">
            <v>NULL</v>
          </cell>
          <cell r="W1187" t="str">
            <v>NULL</v>
          </cell>
        </row>
        <row r="1188">
          <cell r="A1188">
            <v>1187</v>
          </cell>
          <cell r="B1188" t="str">
            <v>ja</v>
          </cell>
          <cell r="C1188" t="str">
            <v>ハッピーハロウィン ポチ</v>
          </cell>
          <cell r="H1188" t="str">
            <v>red</v>
          </cell>
          <cell r="I1188">
            <v>1</v>
          </cell>
          <cell r="J1188" t="str">
            <v>Drop1T</v>
          </cell>
          <cell r="K1188" t="str">
            <v>heal</v>
          </cell>
          <cell r="L1188" t="str">
            <v>回復タイプ</v>
          </cell>
          <cell r="M1188" t="str">
            <v>unknown</v>
          </cell>
          <cell r="N1188" t="str">
            <v>Unknown</v>
          </cell>
          <cell r="O1188" t="str">
            <v>demon</v>
          </cell>
          <cell r="P1188" t="str">
            <v>デーモン</v>
          </cell>
          <cell r="R1188">
            <v>3</v>
          </cell>
          <cell r="S1188" t="str">
            <v>NULL</v>
          </cell>
          <cell r="T1188" t="str">
            <v>nomal</v>
          </cell>
          <cell r="U1188" t="str">
            <v>NULL</v>
          </cell>
          <cell r="V1188" t="str">
            <v>NULL</v>
          </cell>
          <cell r="W1188" t="str">
            <v>NULL</v>
          </cell>
        </row>
        <row r="1189">
          <cell r="A1189">
            <v>1188</v>
          </cell>
          <cell r="B1189" t="str">
            <v>ja</v>
          </cell>
          <cell r="C1189" t="str">
            <v>ハッピーハロウィン ジョー</v>
          </cell>
          <cell r="H1189" t="str">
            <v>green</v>
          </cell>
          <cell r="I1189">
            <v>1</v>
          </cell>
          <cell r="J1189" t="str">
            <v>Drop1T</v>
          </cell>
          <cell r="K1189" t="str">
            <v>balance</v>
          </cell>
          <cell r="L1189" t="str">
            <v>バランスタイプ</v>
          </cell>
          <cell r="M1189" t="str">
            <v>unknown</v>
          </cell>
          <cell r="N1189" t="str">
            <v>Unknown</v>
          </cell>
          <cell r="O1189" t="str">
            <v>demon</v>
          </cell>
          <cell r="P1189" t="str">
            <v>デーモン</v>
          </cell>
          <cell r="R1189">
            <v>3</v>
          </cell>
          <cell r="S1189" t="str">
            <v>NULL</v>
          </cell>
          <cell r="T1189" t="str">
            <v>nomal</v>
          </cell>
          <cell r="U1189" t="str">
            <v>NULL</v>
          </cell>
          <cell r="V1189" t="str">
            <v>NULL</v>
          </cell>
          <cell r="W1189" t="str">
            <v>NULL</v>
          </cell>
        </row>
        <row r="1190">
          <cell r="A1190">
            <v>1189</v>
          </cell>
          <cell r="B1190" t="str">
            <v>ja</v>
          </cell>
          <cell r="C1190" t="str">
            <v>ハッピーハロウィン ジェリー</v>
          </cell>
          <cell r="H1190" t="str">
            <v>blue</v>
          </cell>
          <cell r="I1190">
            <v>1</v>
          </cell>
          <cell r="J1190" t="str">
            <v>Drop1T</v>
          </cell>
          <cell r="K1190" t="str">
            <v>attack</v>
          </cell>
          <cell r="L1190" t="str">
            <v>攻撃タイプ</v>
          </cell>
          <cell r="M1190" t="str">
            <v>unknown</v>
          </cell>
          <cell r="N1190" t="str">
            <v>Unknown</v>
          </cell>
          <cell r="O1190" t="str">
            <v>demon</v>
          </cell>
          <cell r="P1190" t="str">
            <v>デーモン</v>
          </cell>
          <cell r="R1190">
            <v>3</v>
          </cell>
          <cell r="S1190" t="str">
            <v>NULL</v>
          </cell>
          <cell r="T1190" t="str">
            <v>nomal</v>
          </cell>
          <cell r="U1190" t="str">
            <v>NULL</v>
          </cell>
          <cell r="V1190" t="str">
            <v>NULL</v>
          </cell>
          <cell r="W1190" t="str">
            <v>NULL</v>
          </cell>
        </row>
        <row r="1191">
          <cell r="A1191">
            <v>1190</v>
          </cell>
          <cell r="B1191" t="str">
            <v>ja</v>
          </cell>
          <cell r="C1191" t="str">
            <v>ハッピーハロウィン エレキポット</v>
          </cell>
          <cell r="H1191" t="str">
            <v>yellow</v>
          </cell>
          <cell r="I1191">
            <v>1</v>
          </cell>
          <cell r="J1191" t="str">
            <v>Drop1T</v>
          </cell>
          <cell r="K1191" t="str">
            <v>attack</v>
          </cell>
          <cell r="L1191" t="str">
            <v>攻撃タイプ</v>
          </cell>
          <cell r="M1191" t="str">
            <v>unknown</v>
          </cell>
          <cell r="N1191" t="str">
            <v>Unknown</v>
          </cell>
          <cell r="O1191" t="str">
            <v>demon</v>
          </cell>
          <cell r="P1191" t="str">
            <v>デーモン</v>
          </cell>
          <cell r="R1191">
            <v>3</v>
          </cell>
          <cell r="S1191" t="str">
            <v>NULL</v>
          </cell>
          <cell r="T1191" t="str">
            <v>nomal</v>
          </cell>
          <cell r="U1191" t="str">
            <v>NULL</v>
          </cell>
          <cell r="V1191" t="str">
            <v>NULL</v>
          </cell>
          <cell r="W1191" t="str">
            <v>NULL</v>
          </cell>
        </row>
        <row r="1192">
          <cell r="A1192">
            <v>1191</v>
          </cell>
          <cell r="B1192" t="str">
            <v>ja</v>
          </cell>
          <cell r="C1192" t="str">
            <v>ドルチェ</v>
          </cell>
          <cell r="D1192" t="str">
            <v>未定</v>
          </cell>
          <cell r="E1192" t="str">
            <v>アリス</v>
          </cell>
          <cell r="F1192" t="str">
            <v>世界観</v>
          </cell>
          <cell r="G1192" t="str">
            <v>不明</v>
          </cell>
          <cell r="H1192" t="str">
            <v>yellow</v>
          </cell>
          <cell r="I1192">
            <v>5</v>
          </cell>
          <cell r="J1192" t="str">
            <v>DropWizS</v>
          </cell>
          <cell r="K1192" t="str">
            <v>technical</v>
          </cell>
          <cell r="L1192" t="str">
            <v>テクニカルタイプ</v>
          </cell>
          <cell r="M1192" t="str">
            <v>unknown</v>
          </cell>
          <cell r="N1192" t="str">
            <v>Unknown</v>
          </cell>
          <cell r="O1192" t="str">
            <v>demon</v>
          </cell>
          <cell r="P1192" t="str">
            <v>デーモン</v>
          </cell>
          <cell r="Q1192" t="str">
            <v>アタッカー</v>
          </cell>
          <cell r="R1192">
            <v>3</v>
          </cell>
          <cell r="S1192" t="str">
            <v>NULL</v>
          </cell>
          <cell r="T1192" t="str">
            <v>normal</v>
          </cell>
          <cell r="U1192" t="str">
            <v>NULL</v>
          </cell>
          <cell r="V1192" t="str">
            <v>NULL</v>
          </cell>
          <cell r="W1192" t="str">
            <v>NULL</v>
          </cell>
        </row>
        <row r="1193">
          <cell r="A1193">
            <v>1192</v>
          </cell>
          <cell r="B1193" t="str">
            <v>ja</v>
          </cell>
          <cell r="C1193" t="str">
            <v>徹宵悪戯の甘美魔 ドルチェ</v>
          </cell>
          <cell r="D1193" t="str">
            <v>未定</v>
          </cell>
          <cell r="E1193" t="str">
            <v>アリス</v>
          </cell>
          <cell r="F1193" t="str">
            <v>世界観</v>
          </cell>
          <cell r="G1193" t="str">
            <v>不明</v>
          </cell>
          <cell r="H1193" t="str">
            <v>yellow</v>
          </cell>
          <cell r="I1193">
            <v>6</v>
          </cell>
          <cell r="J1193" t="str">
            <v>DropWizS</v>
          </cell>
          <cell r="K1193" t="str">
            <v>balance</v>
          </cell>
          <cell r="L1193" t="str">
            <v>バランスタイプ</v>
          </cell>
          <cell r="M1193" t="str">
            <v>unknown</v>
          </cell>
          <cell r="N1193" t="str">
            <v>Unknown</v>
          </cell>
          <cell r="O1193" t="str">
            <v>demon</v>
          </cell>
          <cell r="P1193" t="str">
            <v>デーモン</v>
          </cell>
          <cell r="Q1193" t="str">
            <v>アタッカー</v>
          </cell>
          <cell r="R1193">
            <v>3</v>
          </cell>
          <cell r="S1193" t="str">
            <v>NULL</v>
          </cell>
          <cell r="T1193" t="str">
            <v>normal</v>
          </cell>
          <cell r="U1193" t="str">
            <v>NULL</v>
          </cell>
          <cell r="V1193" t="str">
            <v>NULL</v>
          </cell>
          <cell r="W1193" t="str">
            <v>NULL</v>
          </cell>
        </row>
        <row r="1194">
          <cell r="A1194">
            <v>1193</v>
          </cell>
          <cell r="B1194" t="str">
            <v>ja</v>
          </cell>
          <cell r="C1194" t="str">
            <v>血飢なる夜想卿 ランスロット</v>
          </cell>
          <cell r="D1194" t="str">
            <v>未定</v>
          </cell>
          <cell r="E1194" t="str">
            <v>アリス</v>
          </cell>
          <cell r="F1194" t="str">
            <v>世界観</v>
          </cell>
          <cell r="G1194" t="str">
            <v>不明</v>
          </cell>
          <cell r="H1194" t="str">
            <v>red</v>
          </cell>
          <cell r="I1194">
            <v>6</v>
          </cell>
          <cell r="J1194" t="str">
            <v>PremiumSS</v>
          </cell>
          <cell r="K1194" t="str">
            <v>attack</v>
          </cell>
          <cell r="L1194" t="str">
            <v>攻撃タイプ</v>
          </cell>
          <cell r="M1194" t="str">
            <v>human</v>
          </cell>
          <cell r="N1194" t="str">
            <v>ヒューマン</v>
          </cell>
          <cell r="O1194" t="str">
            <v>demon</v>
          </cell>
          <cell r="P1194" t="str">
            <v>デーモン</v>
          </cell>
          <cell r="Q1194" t="str">
            <v>アタッカー</v>
          </cell>
          <cell r="R1194">
            <v>3</v>
          </cell>
          <cell r="S1194" t="str">
            <v>NULL</v>
          </cell>
          <cell r="T1194" t="str">
            <v>normal</v>
          </cell>
          <cell r="U1194" t="str">
            <v>NULL</v>
          </cell>
          <cell r="V1194" t="str">
            <v>NULL</v>
          </cell>
          <cell r="W1194" t="str">
            <v>NULL</v>
          </cell>
        </row>
        <row r="1195">
          <cell r="A1195">
            <v>1194</v>
          </cell>
          <cell r="B1195" t="str">
            <v>ja</v>
          </cell>
          <cell r="C1195" t="str">
            <v>ハーヴェスト</v>
          </cell>
          <cell r="D1195" t="str">
            <v>未定</v>
          </cell>
          <cell r="E1195" t="str">
            <v>アリス</v>
          </cell>
          <cell r="F1195" t="str">
            <v>世界観</v>
          </cell>
          <cell r="G1195" t="str">
            <v>不明</v>
          </cell>
          <cell r="H1195" t="str">
            <v>green</v>
          </cell>
          <cell r="I1195">
            <v>5</v>
          </cell>
          <cell r="J1195" t="str">
            <v>PremiumSS</v>
          </cell>
          <cell r="K1195" t="str">
            <v>balance</v>
          </cell>
          <cell r="L1195" t="str">
            <v>バランスタイプ</v>
          </cell>
          <cell r="M1195" t="str">
            <v>unknown</v>
          </cell>
          <cell r="N1195" t="str">
            <v>Unknown</v>
          </cell>
          <cell r="O1195" t="str">
            <v>demon</v>
          </cell>
          <cell r="P1195" t="str">
            <v>デーモン</v>
          </cell>
          <cell r="Q1195" t="str">
            <v>アタッカー</v>
          </cell>
          <cell r="R1195">
            <v>3</v>
          </cell>
          <cell r="S1195" t="str">
            <v>NULL</v>
          </cell>
          <cell r="T1195" t="str">
            <v>normal</v>
          </cell>
          <cell r="U1195" t="str">
            <v>NULL</v>
          </cell>
          <cell r="V1195" t="str">
            <v>NULL</v>
          </cell>
          <cell r="W1195" t="str">
            <v>NULL</v>
          </cell>
        </row>
        <row r="1196">
          <cell r="A1196">
            <v>1195</v>
          </cell>
          <cell r="B1196" t="str">
            <v>ja</v>
          </cell>
          <cell r="C1196" t="str">
            <v>賑夜の幼魔 ハーヴェスト</v>
          </cell>
          <cell r="D1196" t="str">
            <v>未定</v>
          </cell>
          <cell r="E1196" t="str">
            <v>アリス</v>
          </cell>
          <cell r="F1196" t="str">
            <v>世界観</v>
          </cell>
          <cell r="G1196" t="str">
            <v>不明</v>
          </cell>
          <cell r="H1196" t="str">
            <v>green</v>
          </cell>
          <cell r="I1196">
            <v>6</v>
          </cell>
          <cell r="J1196" t="str">
            <v>PremiumSS</v>
          </cell>
          <cell r="K1196" t="str">
            <v>balance</v>
          </cell>
          <cell r="L1196" t="str">
            <v>バランスタイプ</v>
          </cell>
          <cell r="M1196" t="str">
            <v>unknown</v>
          </cell>
          <cell r="N1196" t="str">
            <v>Unknown</v>
          </cell>
          <cell r="O1196" t="str">
            <v>demon</v>
          </cell>
          <cell r="P1196" t="str">
            <v>デーモン</v>
          </cell>
          <cell r="Q1196" t="str">
            <v>アタッカー</v>
          </cell>
          <cell r="R1196">
            <v>3</v>
          </cell>
          <cell r="S1196" t="str">
            <v>NULL</v>
          </cell>
          <cell r="T1196" t="str">
            <v>normal</v>
          </cell>
          <cell r="U1196" t="str">
            <v>NULL</v>
          </cell>
          <cell r="V1196" t="str">
            <v>NULL</v>
          </cell>
          <cell r="W1196" t="str">
            <v>NULL</v>
          </cell>
        </row>
        <row r="1197">
          <cell r="A1197">
            <v>1196</v>
          </cell>
          <cell r="B1197" t="str">
            <v>ja</v>
          </cell>
          <cell r="C1197" t="str">
            <v>華装の闇鋏 ラプンツェル</v>
          </cell>
          <cell r="D1197" t="str">
            <v>各属性相性良3・黄・R558</v>
          </cell>
          <cell r="E1197" t="str">
            <v>執行者</v>
          </cell>
          <cell r="F1197" t="str">
            <v>格好いい</v>
          </cell>
          <cell r="G1197" t="str">
            <v>男性</v>
          </cell>
          <cell r="H1197" t="str">
            <v>green</v>
          </cell>
          <cell r="I1197">
            <v>6</v>
          </cell>
          <cell r="J1197" t="str">
            <v>PremiumSS</v>
          </cell>
          <cell r="K1197" t="str">
            <v>balance</v>
          </cell>
          <cell r="L1197" t="str">
            <v>バランスタイプ</v>
          </cell>
          <cell r="M1197" t="str">
            <v>human</v>
          </cell>
          <cell r="N1197" t="str">
            <v>ヒューマン</v>
          </cell>
          <cell r="O1197" t="str">
            <v>demon</v>
          </cell>
          <cell r="P1197" t="str">
            <v>デーモン</v>
          </cell>
          <cell r="Q1197" t="str">
            <v>アタッカー</v>
          </cell>
          <cell r="R1197">
            <v>3</v>
          </cell>
          <cell r="S1197" t="str">
            <v>NULL</v>
          </cell>
          <cell r="T1197" t="str">
            <v>normal</v>
          </cell>
          <cell r="U1197" t="str">
            <v>NULL</v>
          </cell>
          <cell r="V1197" t="str">
            <v>NULL</v>
          </cell>
          <cell r="W1197" t="str">
            <v>NULL</v>
          </cell>
        </row>
        <row r="1198">
          <cell r="A1198">
            <v>1197</v>
          </cell>
          <cell r="B1198" t="str">
            <v>ja</v>
          </cell>
          <cell r="C1198" t="str">
            <v>冥装の闇黒魔 バフォメット</v>
          </cell>
          <cell r="D1198" t="str">
            <v>超覚醒ハーシェル</v>
          </cell>
          <cell r="E1198" t="str">
            <v>アリス</v>
          </cell>
          <cell r="F1198" t="str">
            <v>世界観</v>
          </cell>
          <cell r="G1198" t="str">
            <v>不明</v>
          </cell>
          <cell r="H1198" t="str">
            <v>green</v>
          </cell>
          <cell r="I1198">
            <v>5</v>
          </cell>
          <cell r="J1198" t="str">
            <v>PremiumS</v>
          </cell>
          <cell r="K1198" t="str">
            <v>attack</v>
          </cell>
          <cell r="L1198" t="str">
            <v>攻撃タイプ</v>
          </cell>
          <cell r="M1198" t="str">
            <v>demon</v>
          </cell>
          <cell r="N1198" t="str">
            <v>デーモン</v>
          </cell>
          <cell r="O1198" t="str">
            <v>none</v>
          </cell>
          <cell r="P1198" t="str">
            <v>種族なし</v>
          </cell>
          <cell r="Q1198" t="str">
            <v>アタッカー</v>
          </cell>
          <cell r="R1198">
            <v>3</v>
          </cell>
          <cell r="S1198" t="str">
            <v>NULL</v>
          </cell>
          <cell r="T1198" t="str">
            <v>normal</v>
          </cell>
          <cell r="U1198" t="str">
            <v>NULL</v>
          </cell>
          <cell r="V1198" t="str">
            <v>NULL</v>
          </cell>
          <cell r="W1198" t="str">
            <v>NULL</v>
          </cell>
        </row>
        <row r="1199">
          <cell r="A1199">
            <v>1198</v>
          </cell>
          <cell r="B1199" t="str">
            <v>ja</v>
          </cell>
          <cell r="C1199" t="str">
            <v>幽縛の霊線 ピノキオ</v>
          </cell>
          <cell r="D1199" t="str">
            <v>超覚醒ハーシェル</v>
          </cell>
          <cell r="E1199" t="str">
            <v>アリス</v>
          </cell>
          <cell r="F1199" t="str">
            <v>世界観</v>
          </cell>
          <cell r="G1199" t="str">
            <v>不明</v>
          </cell>
          <cell r="H1199" t="str">
            <v>blue</v>
          </cell>
          <cell r="I1199">
            <v>5</v>
          </cell>
          <cell r="J1199" t="str">
            <v>PremiumS</v>
          </cell>
          <cell r="K1199" t="str">
            <v>technical</v>
          </cell>
          <cell r="L1199" t="str">
            <v>テクニカルタイプ</v>
          </cell>
          <cell r="M1199" t="str">
            <v>machine</v>
          </cell>
          <cell r="N1199" t="str">
            <v>マシン</v>
          </cell>
          <cell r="O1199" t="str">
            <v>demon</v>
          </cell>
          <cell r="P1199" t="str">
            <v>デーモン</v>
          </cell>
          <cell r="Q1199" t="str">
            <v>アタッカー</v>
          </cell>
          <cell r="R1199">
            <v>3</v>
          </cell>
          <cell r="S1199" t="str">
            <v>NULL</v>
          </cell>
          <cell r="T1199" t="str">
            <v>normal</v>
          </cell>
          <cell r="U1199" t="str">
            <v>NULL</v>
          </cell>
          <cell r="V1199" t="str">
            <v>NULL</v>
          </cell>
          <cell r="W1199" t="str">
            <v>NULL</v>
          </cell>
        </row>
        <row r="1200">
          <cell r="A1200">
            <v>1199</v>
          </cell>
          <cell r="B1200" t="str">
            <v>ja</v>
          </cell>
          <cell r="C1200" t="str">
            <v>看装の巡回者 ケルベロス</v>
          </cell>
          <cell r="D1200" t="str">
            <v>超覚醒ハーシェル</v>
          </cell>
          <cell r="E1200" t="str">
            <v>アリス</v>
          </cell>
          <cell r="F1200" t="str">
            <v>世界観</v>
          </cell>
          <cell r="G1200" t="str">
            <v>不明</v>
          </cell>
          <cell r="H1200" t="str">
            <v>yellow</v>
          </cell>
          <cell r="I1200">
            <v>5</v>
          </cell>
          <cell r="J1200" t="str">
            <v>PremiumS</v>
          </cell>
          <cell r="K1200" t="str">
            <v>heal</v>
          </cell>
          <cell r="L1200" t="str">
            <v>回復タイプ</v>
          </cell>
          <cell r="M1200" t="str">
            <v>animal</v>
          </cell>
          <cell r="N1200" t="str">
            <v>アニマル</v>
          </cell>
          <cell r="O1200" t="str">
            <v>demon</v>
          </cell>
          <cell r="P1200" t="str">
            <v>デーモン</v>
          </cell>
          <cell r="Q1200" t="str">
            <v>アタッカー</v>
          </cell>
          <cell r="R1200">
            <v>3</v>
          </cell>
          <cell r="S1200" t="str">
            <v>NULL</v>
          </cell>
          <cell r="T1200" t="str">
            <v>normal</v>
          </cell>
          <cell r="U1200" t="str">
            <v>NULL</v>
          </cell>
          <cell r="V1200" t="str">
            <v>NULL</v>
          </cell>
          <cell r="W1200" t="str">
            <v>NULL</v>
          </cell>
        </row>
        <row r="1201">
          <cell r="A1201">
            <v>1200</v>
          </cell>
          <cell r="B1201" t="str">
            <v>ja</v>
          </cell>
          <cell r="C1201" t="str">
            <v>サイクロプス</v>
          </cell>
          <cell r="H1201" t="str">
            <v>blue</v>
          </cell>
          <cell r="I1201">
            <v>4</v>
          </cell>
          <cell r="J1201" t="str">
            <v>Drop2N</v>
          </cell>
          <cell r="K1201" t="str">
            <v>technical</v>
          </cell>
          <cell r="L1201" t="str">
            <v>テクニカルタイプ</v>
          </cell>
          <cell r="M1201" t="str">
            <v>unknown</v>
          </cell>
          <cell r="N1201" t="str">
            <v>Unknown</v>
          </cell>
          <cell r="O1201" t="str">
            <v>none</v>
          </cell>
          <cell r="P1201" t="str">
            <v>種族なし</v>
          </cell>
          <cell r="R1201">
            <v>3</v>
          </cell>
          <cell r="S1201" t="str">
            <v>NULL</v>
          </cell>
          <cell r="T1201" t="str">
            <v>normal</v>
          </cell>
          <cell r="U1201" t="str">
            <v>NULL</v>
          </cell>
          <cell r="V1201" t="str">
            <v>NULL</v>
          </cell>
          <cell r="W1201" t="str">
            <v>NULL</v>
          </cell>
        </row>
        <row r="1202">
          <cell r="A1202">
            <v>1201</v>
          </cell>
          <cell r="B1202" t="str">
            <v>ja</v>
          </cell>
          <cell r="C1202" t="str">
            <v>器装の眼囚徒 サイクロプス</v>
          </cell>
          <cell r="H1202" t="str">
            <v>blue</v>
          </cell>
          <cell r="I1202">
            <v>5</v>
          </cell>
          <cell r="J1202" t="str">
            <v>Drop2N</v>
          </cell>
          <cell r="K1202" t="str">
            <v>technical</v>
          </cell>
          <cell r="L1202" t="str">
            <v>テクニカルタイプ</v>
          </cell>
          <cell r="M1202" t="str">
            <v>unknown</v>
          </cell>
          <cell r="N1202" t="str">
            <v>Unknown</v>
          </cell>
          <cell r="O1202" t="str">
            <v>none</v>
          </cell>
          <cell r="P1202" t="str">
            <v>種族なし</v>
          </cell>
          <cell r="R1202">
            <v>3</v>
          </cell>
          <cell r="S1202" t="str">
            <v>NULL</v>
          </cell>
          <cell r="T1202" t="str">
            <v>normal</v>
          </cell>
          <cell r="U1202" t="str">
            <v>NULL</v>
          </cell>
          <cell r="V1202" t="str">
            <v>NULL</v>
          </cell>
          <cell r="W1202" t="str">
            <v>NULL</v>
          </cell>
        </row>
        <row r="1203">
          <cell r="A1203">
            <v>1202</v>
          </cell>
          <cell r="B1203" t="str">
            <v>ja</v>
          </cell>
          <cell r="C1203" t="str">
            <v>ウラヌス</v>
          </cell>
          <cell r="H1203" t="str">
            <v>red</v>
          </cell>
          <cell r="I1203">
            <v>5</v>
          </cell>
          <cell r="J1203" t="str">
            <v>DropWizS</v>
          </cell>
          <cell r="K1203" t="str">
            <v>technical</v>
          </cell>
          <cell r="L1203" t="str">
            <v>テクニカルタイプ</v>
          </cell>
          <cell r="M1203" t="str">
            <v>god</v>
          </cell>
          <cell r="N1203" t="str">
            <v>ゴッド</v>
          </cell>
          <cell r="O1203" t="str">
            <v>unknown</v>
          </cell>
          <cell r="P1203" t="str">
            <v>Unknown</v>
          </cell>
          <cell r="R1203">
            <v>3</v>
          </cell>
          <cell r="S1203" t="str">
            <v>NULL</v>
          </cell>
          <cell r="T1203" t="str">
            <v>normal</v>
          </cell>
          <cell r="U1203" t="str">
            <v>NULL</v>
          </cell>
          <cell r="V1203" t="str">
            <v>NULL</v>
          </cell>
          <cell r="W1203" t="str">
            <v>NULL</v>
          </cell>
        </row>
        <row r="1204">
          <cell r="A1204">
            <v>1203</v>
          </cell>
          <cell r="B1204" t="str">
            <v>ja</v>
          </cell>
          <cell r="C1204" t="str">
            <v>掌星の原天神 ウラヌス</v>
          </cell>
          <cell r="H1204" t="str">
            <v>red</v>
          </cell>
          <cell r="I1204">
            <v>6</v>
          </cell>
          <cell r="J1204" t="str">
            <v>DropWizS</v>
          </cell>
          <cell r="K1204" t="str">
            <v>technical</v>
          </cell>
          <cell r="L1204" t="str">
            <v>テクニカルタイプ</v>
          </cell>
          <cell r="M1204" t="str">
            <v>god</v>
          </cell>
          <cell r="N1204" t="str">
            <v>ゴッド</v>
          </cell>
          <cell r="O1204" t="str">
            <v>unknown</v>
          </cell>
          <cell r="P1204" t="str">
            <v>Unknown</v>
          </cell>
          <cell r="R1204">
            <v>3</v>
          </cell>
          <cell r="S1204" t="str">
            <v>NULL</v>
          </cell>
          <cell r="T1204" t="str">
            <v>normal</v>
          </cell>
          <cell r="U1204" t="str">
            <v>NULL</v>
          </cell>
          <cell r="V1204" t="str">
            <v>NULL</v>
          </cell>
          <cell r="W1204" t="str">
            <v>NULL</v>
          </cell>
        </row>
        <row r="1205">
          <cell r="A1205">
            <v>1204</v>
          </cell>
          <cell r="B1205" t="str">
            <v>ja</v>
          </cell>
          <cell r="C1205" t="str">
            <v>デルピュネー</v>
          </cell>
          <cell r="H1205" t="str">
            <v>green</v>
          </cell>
          <cell r="I1205">
            <v>5</v>
          </cell>
          <cell r="J1205" t="str">
            <v>DropWizS</v>
          </cell>
          <cell r="K1205" t="str">
            <v>attack</v>
          </cell>
          <cell r="L1205" t="str">
            <v>攻撃タイプ</v>
          </cell>
          <cell r="M1205" t="str">
            <v>god</v>
          </cell>
          <cell r="N1205" t="str">
            <v>ゴッド</v>
          </cell>
          <cell r="O1205" t="str">
            <v>dragon</v>
          </cell>
          <cell r="P1205" t="str">
            <v>ドラゴン</v>
          </cell>
          <cell r="R1205">
            <v>3</v>
          </cell>
          <cell r="S1205" t="str">
            <v>NULL</v>
          </cell>
          <cell r="T1205" t="str">
            <v>normal</v>
          </cell>
          <cell r="U1205" t="str">
            <v>NULL</v>
          </cell>
          <cell r="V1205" t="str">
            <v>NULL</v>
          </cell>
          <cell r="W1205" t="str">
            <v>NULL</v>
          </cell>
        </row>
        <row r="1206">
          <cell r="A1206">
            <v>1205</v>
          </cell>
          <cell r="B1206" t="str">
            <v>ja</v>
          </cell>
          <cell r="C1206" t="str">
            <v>襲奪の竜鱗姫 デルピュネー</v>
          </cell>
          <cell r="H1206" t="str">
            <v>green</v>
          </cell>
          <cell r="I1206">
            <v>6</v>
          </cell>
          <cell r="J1206" t="str">
            <v>DropWizS</v>
          </cell>
          <cell r="K1206" t="str">
            <v>attack</v>
          </cell>
          <cell r="L1206" t="str">
            <v>攻撃タイプ</v>
          </cell>
          <cell r="M1206" t="str">
            <v>god</v>
          </cell>
          <cell r="N1206" t="str">
            <v>ゴッド</v>
          </cell>
          <cell r="O1206" t="str">
            <v>dragon</v>
          </cell>
          <cell r="P1206" t="str">
            <v>ドラゴン</v>
          </cell>
          <cell r="R1206">
            <v>3</v>
          </cell>
          <cell r="S1206" t="str">
            <v>NULL</v>
          </cell>
          <cell r="T1206" t="str">
            <v>normal</v>
          </cell>
          <cell r="U1206" t="str">
            <v>NULL</v>
          </cell>
          <cell r="V1206" t="str">
            <v>NULL</v>
          </cell>
          <cell r="W1206" t="str">
            <v>NULL</v>
          </cell>
        </row>
        <row r="1207">
          <cell r="A1207">
            <v>1206</v>
          </cell>
          <cell r="B1207" t="str">
            <v>ja</v>
          </cell>
          <cell r="C1207" t="str">
            <v>ヘラ</v>
          </cell>
          <cell r="H1207" t="str">
            <v>yellow</v>
          </cell>
          <cell r="I1207">
            <v>5</v>
          </cell>
          <cell r="J1207" t="str">
            <v>DropWizSS</v>
          </cell>
          <cell r="K1207" t="str">
            <v>technical</v>
          </cell>
          <cell r="L1207" t="str">
            <v>テクニカルタイプ</v>
          </cell>
          <cell r="M1207" t="str">
            <v>god</v>
          </cell>
          <cell r="N1207" t="str">
            <v>ゴッド</v>
          </cell>
          <cell r="O1207" t="str">
            <v>none</v>
          </cell>
          <cell r="P1207" t="str">
            <v>種族なし</v>
          </cell>
          <cell r="R1207">
            <v>3</v>
          </cell>
          <cell r="S1207" t="str">
            <v>NULL</v>
          </cell>
          <cell r="T1207" t="str">
            <v>normal</v>
          </cell>
          <cell r="U1207" t="str">
            <v>NULL</v>
          </cell>
          <cell r="V1207" t="str">
            <v>NULL</v>
          </cell>
          <cell r="W1207" t="str">
            <v>NULL</v>
          </cell>
        </row>
        <row r="1208">
          <cell r="A1208">
            <v>1207</v>
          </cell>
          <cell r="B1208" t="str">
            <v>ja</v>
          </cell>
          <cell r="C1208" t="str">
            <v>典麗なる悋気神 ヘラ</v>
          </cell>
          <cell r="H1208" t="str">
            <v>yellow</v>
          </cell>
          <cell r="I1208">
            <v>6</v>
          </cell>
          <cell r="J1208" t="str">
            <v>DropWizSS</v>
          </cell>
          <cell r="K1208" t="str">
            <v>technical</v>
          </cell>
          <cell r="L1208" t="str">
            <v>テクニカルタイプ</v>
          </cell>
          <cell r="M1208" t="str">
            <v>god</v>
          </cell>
          <cell r="N1208" t="str">
            <v>ゴッド</v>
          </cell>
          <cell r="O1208" t="str">
            <v>none</v>
          </cell>
          <cell r="P1208" t="str">
            <v>種族なし</v>
          </cell>
          <cell r="R1208">
            <v>3</v>
          </cell>
          <cell r="S1208" t="str">
            <v>NULL</v>
          </cell>
          <cell r="T1208" t="str">
            <v>normal</v>
          </cell>
          <cell r="U1208" t="str">
            <v>NULL</v>
          </cell>
          <cell r="V1208" t="str">
            <v>NULL</v>
          </cell>
          <cell r="W1208" t="str">
            <v>NULL</v>
          </cell>
        </row>
        <row r="1209">
          <cell r="A1209">
            <v>1208</v>
          </cell>
          <cell r="B1209" t="str">
            <v>ja</v>
          </cell>
          <cell r="C1209" t="str">
            <v>ネメシス</v>
          </cell>
          <cell r="H1209" t="str">
            <v>red</v>
          </cell>
          <cell r="I1209">
            <v>5</v>
          </cell>
          <cell r="J1209" t="str">
            <v>PremiumSS</v>
          </cell>
          <cell r="K1209" t="str">
            <v>hp</v>
          </cell>
          <cell r="L1209" t="str">
            <v>体力タイプ</v>
          </cell>
          <cell r="M1209" t="str">
            <v>god</v>
          </cell>
          <cell r="N1209" t="str">
            <v>ゴッド</v>
          </cell>
          <cell r="O1209" t="str">
            <v>animal</v>
          </cell>
          <cell r="P1209" t="str">
            <v>アニマル</v>
          </cell>
          <cell r="R1209">
            <v>3</v>
          </cell>
          <cell r="S1209" t="str">
            <v>NULL</v>
          </cell>
          <cell r="T1209" t="str">
            <v>normal</v>
          </cell>
          <cell r="U1209" t="str">
            <v>NULL</v>
          </cell>
          <cell r="V1209" t="str">
            <v>NULL</v>
          </cell>
          <cell r="W1209" t="str">
            <v>NULL</v>
          </cell>
        </row>
        <row r="1210">
          <cell r="A1210">
            <v>1209</v>
          </cell>
          <cell r="B1210" t="str">
            <v>ja</v>
          </cell>
          <cell r="C1210" t="str">
            <v>刹那の過罰神 ネメシス</v>
          </cell>
          <cell r="H1210" t="str">
            <v>red</v>
          </cell>
          <cell r="I1210">
            <v>6</v>
          </cell>
          <cell r="J1210" t="str">
            <v>PremiumSS</v>
          </cell>
          <cell r="K1210" t="str">
            <v>hp</v>
          </cell>
          <cell r="L1210" t="str">
            <v>体力タイプ</v>
          </cell>
          <cell r="M1210" t="str">
            <v>god</v>
          </cell>
          <cell r="N1210" t="str">
            <v>ゴッド</v>
          </cell>
          <cell r="O1210" t="str">
            <v>animal</v>
          </cell>
          <cell r="P1210" t="str">
            <v>アニマル</v>
          </cell>
          <cell r="R1210">
            <v>3</v>
          </cell>
          <cell r="S1210" t="str">
            <v>NULL</v>
          </cell>
          <cell r="T1210" t="str">
            <v>normal</v>
          </cell>
          <cell r="U1210" t="str">
            <v>NULL</v>
          </cell>
          <cell r="V1210" t="str">
            <v>NULL</v>
          </cell>
          <cell r="W1210" t="str">
            <v>NULL</v>
          </cell>
        </row>
        <row r="1211">
          <cell r="A1211">
            <v>1210</v>
          </cell>
          <cell r="B1211" t="str">
            <v>ja</v>
          </cell>
          <cell r="C1211" t="str">
            <v>ケンタウロス</v>
          </cell>
          <cell r="H1211" t="str">
            <v>green</v>
          </cell>
          <cell r="I1211">
            <v>4</v>
          </cell>
          <cell r="J1211" t="str">
            <v>PremiumS</v>
          </cell>
          <cell r="K1211" t="str">
            <v>attack</v>
          </cell>
          <cell r="L1211" t="str">
            <v>攻撃タイプ</v>
          </cell>
          <cell r="M1211" t="str">
            <v>god</v>
          </cell>
          <cell r="N1211" t="str">
            <v>ゴッド</v>
          </cell>
          <cell r="O1211" t="str">
            <v>none</v>
          </cell>
          <cell r="P1211" t="str">
            <v>種族なし</v>
          </cell>
          <cell r="R1211">
            <v>3</v>
          </cell>
          <cell r="S1211" t="str">
            <v>NULL</v>
          </cell>
          <cell r="T1211" t="str">
            <v>normal</v>
          </cell>
          <cell r="U1211" t="str">
            <v>NULL</v>
          </cell>
          <cell r="V1211" t="str">
            <v>NULL</v>
          </cell>
          <cell r="W1211" t="str">
            <v>NULL</v>
          </cell>
        </row>
        <row r="1212">
          <cell r="A1212">
            <v>1211</v>
          </cell>
          <cell r="B1212" t="str">
            <v>ja</v>
          </cell>
          <cell r="C1212" t="str">
            <v>奏駆の翻騎 ケンタウロス</v>
          </cell>
          <cell r="H1212" t="str">
            <v>green</v>
          </cell>
          <cell r="I1212">
            <v>5</v>
          </cell>
          <cell r="J1212" t="str">
            <v>PremiumS</v>
          </cell>
          <cell r="K1212" t="str">
            <v>attack</v>
          </cell>
          <cell r="L1212" t="str">
            <v>攻撃タイプ</v>
          </cell>
          <cell r="M1212" t="str">
            <v>god</v>
          </cell>
          <cell r="N1212" t="str">
            <v>ゴッド</v>
          </cell>
          <cell r="O1212" t="str">
            <v>none</v>
          </cell>
          <cell r="P1212" t="str">
            <v>種族なし</v>
          </cell>
          <cell r="R1212">
            <v>3</v>
          </cell>
          <cell r="S1212" t="str">
            <v>NULL</v>
          </cell>
          <cell r="T1212" t="str">
            <v>normal</v>
          </cell>
          <cell r="U1212" t="str">
            <v>NULL</v>
          </cell>
          <cell r="V1212" t="str">
            <v>NULL</v>
          </cell>
          <cell r="W1212" t="str">
            <v>NULL</v>
          </cell>
        </row>
        <row r="1213">
          <cell r="A1213">
            <v>1212</v>
          </cell>
          <cell r="B1213" t="str">
            <v>ja</v>
          </cell>
          <cell r="C1213" t="str">
            <v>クロノス</v>
          </cell>
          <cell r="H1213" t="str">
            <v>blue</v>
          </cell>
          <cell r="I1213">
            <v>5</v>
          </cell>
          <cell r="J1213" t="str">
            <v>PremiumSS</v>
          </cell>
          <cell r="K1213" t="str">
            <v>technical</v>
          </cell>
          <cell r="L1213" t="str">
            <v>テクニカルタイプ</v>
          </cell>
          <cell r="M1213" t="str">
            <v>god</v>
          </cell>
          <cell r="N1213" t="str">
            <v>ゴッド</v>
          </cell>
          <cell r="O1213" t="str">
            <v>unknown</v>
          </cell>
          <cell r="P1213" t="str">
            <v>Unknown</v>
          </cell>
          <cell r="R1213">
            <v>3</v>
          </cell>
          <cell r="S1213" t="str">
            <v>NULL</v>
          </cell>
          <cell r="T1213" t="str">
            <v>normal</v>
          </cell>
          <cell r="U1213" t="str">
            <v>NULL</v>
          </cell>
          <cell r="V1213" t="str">
            <v>NULL</v>
          </cell>
          <cell r="W1213" t="str">
            <v>NULL</v>
          </cell>
        </row>
        <row r="1214">
          <cell r="A1214">
            <v>1213</v>
          </cell>
          <cell r="B1214" t="str">
            <v>ja</v>
          </cell>
          <cell r="C1214" t="str">
            <v>能洪の永地神 クロノス</v>
          </cell>
          <cell r="H1214" t="str">
            <v>blue</v>
          </cell>
          <cell r="I1214">
            <v>6</v>
          </cell>
          <cell r="J1214" t="str">
            <v>PremiumSS</v>
          </cell>
          <cell r="K1214" t="str">
            <v>technical</v>
          </cell>
          <cell r="L1214" t="str">
            <v>テクニカルタイプ</v>
          </cell>
          <cell r="M1214" t="str">
            <v>god</v>
          </cell>
          <cell r="N1214" t="str">
            <v>ゴッド</v>
          </cell>
          <cell r="O1214" t="str">
            <v>unknown</v>
          </cell>
          <cell r="P1214" t="str">
            <v>Unknown</v>
          </cell>
          <cell r="R1214">
            <v>3</v>
          </cell>
          <cell r="S1214" t="str">
            <v>NULL</v>
          </cell>
          <cell r="T1214" t="str">
            <v>normal</v>
          </cell>
          <cell r="U1214" t="str">
            <v>NULL</v>
          </cell>
          <cell r="V1214" t="str">
            <v>NULL</v>
          </cell>
          <cell r="W1214" t="str">
            <v>NULL</v>
          </cell>
        </row>
        <row r="1215">
          <cell r="A1215">
            <v>1214</v>
          </cell>
          <cell r="B1215" t="str">
            <v>ja</v>
          </cell>
          <cell r="C1215" t="str">
            <v>アルテミス</v>
          </cell>
          <cell r="H1215" t="str">
            <v>yellow</v>
          </cell>
          <cell r="I1215">
            <v>5</v>
          </cell>
          <cell r="J1215" t="str">
            <v>PremiumSSw</v>
          </cell>
          <cell r="K1215" t="str">
            <v>balance</v>
          </cell>
          <cell r="L1215" t="str">
            <v>バランスタイプ</v>
          </cell>
          <cell r="M1215" t="str">
            <v>god</v>
          </cell>
          <cell r="N1215" t="str">
            <v>ゴッド</v>
          </cell>
          <cell r="O1215" t="str">
            <v>animal</v>
          </cell>
          <cell r="P1215" t="str">
            <v>アニマル</v>
          </cell>
          <cell r="R1215">
            <v>3</v>
          </cell>
          <cell r="S1215" t="str">
            <v>NULL</v>
          </cell>
          <cell r="T1215" t="str">
            <v>normal</v>
          </cell>
          <cell r="U1215" t="str">
            <v>NULL</v>
          </cell>
          <cell r="V1215" t="str">
            <v>NULL</v>
          </cell>
          <cell r="W1215" t="str">
            <v>NULL</v>
          </cell>
        </row>
        <row r="1216">
          <cell r="A1216">
            <v>1215</v>
          </cell>
          <cell r="B1216" t="str">
            <v>ja</v>
          </cell>
          <cell r="C1216" t="str">
            <v>穿潮の雷月神 アルテミス</v>
          </cell>
          <cell r="H1216" t="str">
            <v>yellow</v>
          </cell>
          <cell r="I1216">
            <v>6</v>
          </cell>
          <cell r="J1216" t="str">
            <v>PremiumSSw</v>
          </cell>
          <cell r="K1216" t="str">
            <v>balance</v>
          </cell>
          <cell r="L1216" t="str">
            <v>バランスタイプ</v>
          </cell>
          <cell r="M1216" t="str">
            <v>god</v>
          </cell>
          <cell r="N1216" t="str">
            <v>ゴッド</v>
          </cell>
          <cell r="O1216" t="str">
            <v>animal</v>
          </cell>
          <cell r="P1216" t="str">
            <v>アニマル</v>
          </cell>
          <cell r="R1216">
            <v>3</v>
          </cell>
          <cell r="S1216" t="str">
            <v>NULL</v>
          </cell>
          <cell r="T1216" t="str">
            <v>normal</v>
          </cell>
          <cell r="U1216" t="str">
            <v>NULL</v>
          </cell>
          <cell r="V1216" t="str">
            <v>NULL</v>
          </cell>
          <cell r="W1216" t="str">
            <v>NULL</v>
          </cell>
        </row>
        <row r="1217">
          <cell r="A1217">
            <v>1216</v>
          </cell>
          <cell r="B1217" t="str">
            <v>ja</v>
          </cell>
          <cell r="C1217" t="str">
            <v>梶井基次郎</v>
          </cell>
          <cell r="H1217" t="str">
            <v>green</v>
          </cell>
          <cell r="I1217">
            <v>4</v>
          </cell>
          <cell r="J1217" t="str">
            <v>Drop2N</v>
          </cell>
          <cell r="K1217" t="str">
            <v>attack</v>
          </cell>
          <cell r="L1217" t="str">
            <v>攻撃タイプ</v>
          </cell>
          <cell r="M1217" t="str">
            <v>human</v>
          </cell>
          <cell r="N1217" t="str">
            <v>ヒューマン</v>
          </cell>
          <cell r="O1217" t="str">
            <v>none</v>
          </cell>
          <cell r="P1217" t="str">
            <v>種族なし</v>
          </cell>
          <cell r="R1217">
            <v>3</v>
          </cell>
          <cell r="S1217" t="str">
            <v>NULL</v>
          </cell>
          <cell r="T1217" t="str">
            <v>normal</v>
          </cell>
          <cell r="U1217" t="str">
            <v>NULL</v>
          </cell>
          <cell r="V1217" t="str">
            <v>NULL</v>
          </cell>
          <cell r="W1217" t="str">
            <v>NULL</v>
          </cell>
        </row>
        <row r="1218">
          <cell r="A1218">
            <v>1217</v>
          </cell>
          <cell r="B1218" t="str">
            <v>ja</v>
          </cell>
          <cell r="C1218" t="str">
            <v>鮮彩の鬱情 梶井基次郎</v>
          </cell>
          <cell r="H1218" t="str">
            <v>green</v>
          </cell>
          <cell r="I1218">
            <v>5</v>
          </cell>
          <cell r="J1218" t="str">
            <v>Drop2N</v>
          </cell>
          <cell r="K1218" t="str">
            <v>attack</v>
          </cell>
          <cell r="L1218" t="str">
            <v>攻撃タイプ</v>
          </cell>
          <cell r="M1218" t="str">
            <v>human</v>
          </cell>
          <cell r="N1218" t="str">
            <v>ヒューマン</v>
          </cell>
          <cell r="O1218" t="str">
            <v>none</v>
          </cell>
          <cell r="P1218" t="str">
            <v>種族なし</v>
          </cell>
          <cell r="R1218">
            <v>3</v>
          </cell>
          <cell r="S1218" t="str">
            <v>NULL</v>
          </cell>
          <cell r="T1218" t="str">
            <v>normal</v>
          </cell>
          <cell r="U1218" t="str">
            <v>NULL</v>
          </cell>
          <cell r="V1218" t="str">
            <v>NULL</v>
          </cell>
          <cell r="W1218" t="str">
            <v>NULL</v>
          </cell>
        </row>
        <row r="1219">
          <cell r="A1219">
            <v>1218</v>
          </cell>
          <cell r="B1219" t="str">
            <v>ja</v>
          </cell>
          <cell r="C1219" t="str">
            <v>太宰治</v>
          </cell>
          <cell r="H1219" t="str">
            <v>blue</v>
          </cell>
          <cell r="I1219">
            <v>5</v>
          </cell>
          <cell r="J1219" t="str">
            <v>DropWizS</v>
          </cell>
          <cell r="K1219" t="str">
            <v>hp</v>
          </cell>
          <cell r="L1219" t="str">
            <v>体力タイプ</v>
          </cell>
          <cell r="M1219" t="str">
            <v>human</v>
          </cell>
          <cell r="N1219" t="str">
            <v>ヒューマン</v>
          </cell>
          <cell r="O1219" t="str">
            <v>unknown</v>
          </cell>
          <cell r="P1219" t="str">
            <v>Unknown</v>
          </cell>
          <cell r="R1219">
            <v>3</v>
          </cell>
          <cell r="S1219" t="str">
            <v>NULL</v>
          </cell>
          <cell r="T1219" t="str">
            <v>normal</v>
          </cell>
          <cell r="U1219" t="str">
            <v>NULL</v>
          </cell>
          <cell r="V1219" t="str">
            <v>NULL</v>
          </cell>
          <cell r="W1219" t="str">
            <v>NULL</v>
          </cell>
        </row>
        <row r="1220">
          <cell r="A1220">
            <v>1219</v>
          </cell>
          <cell r="B1220" t="str">
            <v>ja</v>
          </cell>
          <cell r="C1220" t="str">
            <v>世絶の失格者 太宰治</v>
          </cell>
          <cell r="H1220" t="str">
            <v>blue</v>
          </cell>
          <cell r="I1220">
            <v>6</v>
          </cell>
          <cell r="J1220" t="str">
            <v>DropWizS</v>
          </cell>
          <cell r="K1220" t="str">
            <v>hp</v>
          </cell>
          <cell r="L1220" t="str">
            <v>体力タイプ</v>
          </cell>
          <cell r="M1220" t="str">
            <v>human</v>
          </cell>
          <cell r="N1220" t="str">
            <v>ヒューマン</v>
          </cell>
          <cell r="O1220" t="str">
            <v>unknown</v>
          </cell>
          <cell r="P1220" t="str">
            <v>Unknown</v>
          </cell>
          <cell r="R1220">
            <v>3</v>
          </cell>
          <cell r="S1220" t="str">
            <v>NULL</v>
          </cell>
          <cell r="T1220" t="str">
            <v>normal</v>
          </cell>
          <cell r="U1220" t="str">
            <v>NULL</v>
          </cell>
          <cell r="V1220" t="str">
            <v>NULL</v>
          </cell>
          <cell r="W1220" t="str">
            <v>NULL</v>
          </cell>
        </row>
        <row r="1221">
          <cell r="A1221">
            <v>1220</v>
          </cell>
          <cell r="B1221" t="str">
            <v>ja</v>
          </cell>
          <cell r="C1221" t="str">
            <v>シェイクスピア</v>
          </cell>
          <cell r="H1221" t="str">
            <v>yellow</v>
          </cell>
          <cell r="I1221">
            <v>5</v>
          </cell>
          <cell r="J1221" t="str">
            <v>DropWizS</v>
          </cell>
          <cell r="K1221" t="str">
            <v>balance</v>
          </cell>
          <cell r="L1221" t="str">
            <v>バランスタイプ</v>
          </cell>
          <cell r="M1221" t="str">
            <v>human</v>
          </cell>
          <cell r="N1221" t="str">
            <v>ヒューマン</v>
          </cell>
          <cell r="O1221" t="str">
            <v>none</v>
          </cell>
          <cell r="P1221" t="str">
            <v>種族なし</v>
          </cell>
          <cell r="R1221">
            <v>3</v>
          </cell>
          <cell r="S1221" t="str">
            <v>NULL</v>
          </cell>
          <cell r="T1221" t="str">
            <v>normal</v>
          </cell>
          <cell r="U1221" t="str">
            <v>NULL</v>
          </cell>
          <cell r="V1221" t="str">
            <v>NULL</v>
          </cell>
          <cell r="W1221" t="str">
            <v>NULL</v>
          </cell>
        </row>
        <row r="1222">
          <cell r="A1222">
            <v>1221</v>
          </cell>
          <cell r="B1222" t="str">
            <v>ja</v>
          </cell>
          <cell r="C1222" t="str">
            <v>命愛の恋劇家 シェイクスピア</v>
          </cell>
          <cell r="H1222" t="str">
            <v>yellow</v>
          </cell>
          <cell r="I1222">
            <v>6</v>
          </cell>
          <cell r="J1222" t="str">
            <v>DropWizS</v>
          </cell>
          <cell r="K1222" t="str">
            <v>balance</v>
          </cell>
          <cell r="L1222" t="str">
            <v>バランスタイプ</v>
          </cell>
          <cell r="M1222" t="str">
            <v>human</v>
          </cell>
          <cell r="N1222" t="str">
            <v>ヒューマン</v>
          </cell>
          <cell r="O1222" t="str">
            <v>none</v>
          </cell>
          <cell r="P1222" t="str">
            <v>種族なし</v>
          </cell>
          <cell r="R1222">
            <v>3</v>
          </cell>
          <cell r="S1222" t="str">
            <v>NULL</v>
          </cell>
          <cell r="T1222" t="str">
            <v>normal</v>
          </cell>
          <cell r="U1222" t="str">
            <v>NULL</v>
          </cell>
          <cell r="V1222" t="str">
            <v>NULL</v>
          </cell>
          <cell r="W1222" t="str">
            <v>NULL</v>
          </cell>
        </row>
        <row r="1223">
          <cell r="A1223">
            <v>1222</v>
          </cell>
          <cell r="B1223" t="str">
            <v>ja</v>
          </cell>
          <cell r="C1223" t="str">
            <v>カフカ</v>
          </cell>
          <cell r="H1223" t="str">
            <v>blue</v>
          </cell>
          <cell r="I1223">
            <v>5</v>
          </cell>
          <cell r="J1223" t="str">
            <v>DropWizSS</v>
          </cell>
          <cell r="K1223" t="str">
            <v>technical</v>
          </cell>
          <cell r="L1223" t="str">
            <v>テクニカルタイプ</v>
          </cell>
          <cell r="M1223" t="str">
            <v>human</v>
          </cell>
          <cell r="N1223" t="str">
            <v>ヒューマン</v>
          </cell>
          <cell r="O1223" t="str">
            <v>unknown</v>
          </cell>
          <cell r="P1223" t="str">
            <v>Unknown</v>
          </cell>
          <cell r="R1223">
            <v>3</v>
          </cell>
          <cell r="S1223" t="str">
            <v>NULL</v>
          </cell>
          <cell r="T1223" t="str">
            <v>normal</v>
          </cell>
          <cell r="U1223" t="str">
            <v>NULL</v>
          </cell>
          <cell r="V1223" t="str">
            <v>NULL</v>
          </cell>
          <cell r="W1223" t="str">
            <v>NULL</v>
          </cell>
        </row>
        <row r="1224">
          <cell r="A1224">
            <v>1223</v>
          </cell>
          <cell r="B1224" t="str">
            <v>ja</v>
          </cell>
          <cell r="C1224" t="str">
            <v>凌蛾の変身 カフカ</v>
          </cell>
          <cell r="H1224" t="str">
            <v>blue</v>
          </cell>
          <cell r="I1224">
            <v>6</v>
          </cell>
          <cell r="J1224" t="str">
            <v>DropWizSS</v>
          </cell>
          <cell r="K1224" t="str">
            <v>technical</v>
          </cell>
          <cell r="L1224" t="str">
            <v>テクニカルタイプ</v>
          </cell>
          <cell r="M1224" t="str">
            <v>human</v>
          </cell>
          <cell r="N1224" t="str">
            <v>ヒューマン</v>
          </cell>
          <cell r="O1224" t="str">
            <v>unknown</v>
          </cell>
          <cell r="P1224" t="str">
            <v>Unknown</v>
          </cell>
          <cell r="R1224">
            <v>3</v>
          </cell>
          <cell r="S1224" t="str">
            <v>NULL</v>
          </cell>
          <cell r="T1224" t="str">
            <v>normal</v>
          </cell>
          <cell r="U1224" t="str">
            <v>NULL</v>
          </cell>
          <cell r="V1224" t="str">
            <v>NULL</v>
          </cell>
          <cell r="W1224" t="str">
            <v>NULL</v>
          </cell>
        </row>
        <row r="1225">
          <cell r="A1225">
            <v>1224</v>
          </cell>
          <cell r="B1225" t="str">
            <v>ja</v>
          </cell>
          <cell r="C1225" t="str">
            <v>セルバンテス</v>
          </cell>
          <cell r="H1225" t="str">
            <v>red</v>
          </cell>
          <cell r="I1225">
            <v>4</v>
          </cell>
          <cell r="J1225" t="str">
            <v>PremiumS</v>
          </cell>
          <cell r="K1225" t="str">
            <v>attack</v>
          </cell>
          <cell r="L1225" t="str">
            <v>攻撃タイプ</v>
          </cell>
          <cell r="M1225" t="str">
            <v>human</v>
          </cell>
          <cell r="N1225" t="str">
            <v>ヒューマン</v>
          </cell>
          <cell r="O1225" t="str">
            <v>none</v>
          </cell>
          <cell r="P1225" t="str">
            <v>種族なし</v>
          </cell>
          <cell r="R1225">
            <v>3</v>
          </cell>
          <cell r="S1225" t="str">
            <v>NULL</v>
          </cell>
          <cell r="T1225" t="str">
            <v>normal</v>
          </cell>
          <cell r="U1225" t="str">
            <v>NULL</v>
          </cell>
          <cell r="V1225" t="str">
            <v>NULL</v>
          </cell>
          <cell r="W1225" t="str">
            <v>NULL</v>
          </cell>
        </row>
        <row r="1226">
          <cell r="A1226">
            <v>1225</v>
          </cell>
          <cell r="B1226" t="str">
            <v>ja</v>
          </cell>
          <cell r="C1226" t="str">
            <v>優柔なる風断者 セルバンテス</v>
          </cell>
          <cell r="H1226" t="str">
            <v>red</v>
          </cell>
          <cell r="I1226">
            <v>5</v>
          </cell>
          <cell r="J1226" t="str">
            <v>PremiumS</v>
          </cell>
          <cell r="K1226" t="str">
            <v>attack</v>
          </cell>
          <cell r="L1226" t="str">
            <v>攻撃タイプ</v>
          </cell>
          <cell r="M1226" t="str">
            <v>human</v>
          </cell>
          <cell r="N1226" t="str">
            <v>ヒューマン</v>
          </cell>
          <cell r="O1226" t="str">
            <v>none</v>
          </cell>
          <cell r="P1226" t="str">
            <v>種族なし</v>
          </cell>
          <cell r="R1226">
            <v>3</v>
          </cell>
          <cell r="S1226" t="str">
            <v>NULL</v>
          </cell>
          <cell r="T1226" t="str">
            <v>normal</v>
          </cell>
          <cell r="U1226" t="str">
            <v>NULL</v>
          </cell>
          <cell r="V1226" t="str">
            <v>NULL</v>
          </cell>
          <cell r="W1226" t="str">
            <v>NULL</v>
          </cell>
        </row>
        <row r="1227">
          <cell r="A1227">
            <v>1226</v>
          </cell>
          <cell r="B1227" t="str">
            <v>ja</v>
          </cell>
          <cell r="C1227" t="str">
            <v>トルストイ</v>
          </cell>
          <cell r="H1227" t="str">
            <v>green</v>
          </cell>
          <cell r="I1227">
            <v>5</v>
          </cell>
          <cell r="J1227" t="str">
            <v>PremiumSS</v>
          </cell>
          <cell r="K1227" t="str">
            <v>attack</v>
          </cell>
          <cell r="L1227" t="str">
            <v>攻撃タイプ</v>
          </cell>
          <cell r="M1227" t="str">
            <v>human</v>
          </cell>
          <cell r="N1227" t="str">
            <v>ヒューマン</v>
          </cell>
          <cell r="O1227" t="str">
            <v>machine</v>
          </cell>
          <cell r="P1227" t="str">
            <v>マシン</v>
          </cell>
          <cell r="R1227">
            <v>3</v>
          </cell>
          <cell r="S1227" t="str">
            <v>NULL</v>
          </cell>
          <cell r="T1227" t="str">
            <v>normal</v>
          </cell>
          <cell r="U1227" t="str">
            <v>NULL</v>
          </cell>
          <cell r="V1227" t="str">
            <v>NULL</v>
          </cell>
          <cell r="W1227" t="str">
            <v>NULL</v>
          </cell>
        </row>
        <row r="1228">
          <cell r="A1228">
            <v>1227</v>
          </cell>
          <cell r="B1228" t="str">
            <v>ja</v>
          </cell>
          <cell r="C1228" t="str">
            <v>欲望の占猟者 トルストイ</v>
          </cell>
          <cell r="H1228" t="str">
            <v>green</v>
          </cell>
          <cell r="I1228">
            <v>6</v>
          </cell>
          <cell r="J1228" t="str">
            <v>PremiumSS</v>
          </cell>
          <cell r="K1228" t="str">
            <v>attack</v>
          </cell>
          <cell r="L1228" t="str">
            <v>攻撃タイプ</v>
          </cell>
          <cell r="M1228" t="str">
            <v>human</v>
          </cell>
          <cell r="N1228" t="str">
            <v>ヒューマン</v>
          </cell>
          <cell r="O1228" t="str">
            <v>machine</v>
          </cell>
          <cell r="P1228" t="str">
            <v>マシン</v>
          </cell>
          <cell r="R1228">
            <v>3</v>
          </cell>
          <cell r="S1228" t="str">
            <v>NULL</v>
          </cell>
          <cell r="T1228" t="str">
            <v>normal</v>
          </cell>
          <cell r="U1228" t="str">
            <v>NULL</v>
          </cell>
          <cell r="V1228" t="str">
            <v>NULL</v>
          </cell>
          <cell r="W1228" t="str">
            <v>NULL</v>
          </cell>
        </row>
        <row r="1229">
          <cell r="A1229">
            <v>1228</v>
          </cell>
          <cell r="B1229" t="str">
            <v>ja</v>
          </cell>
          <cell r="C1229" t="str">
            <v>芥川龍之介</v>
          </cell>
          <cell r="H1229" t="str">
            <v>blue</v>
          </cell>
          <cell r="I1229">
            <v>5</v>
          </cell>
          <cell r="J1229" t="str">
            <v>PremiumSSw</v>
          </cell>
          <cell r="K1229" t="str">
            <v>attack</v>
          </cell>
          <cell r="L1229" t="str">
            <v>攻撃タイプ</v>
          </cell>
          <cell r="M1229" t="str">
            <v>human</v>
          </cell>
          <cell r="N1229" t="str">
            <v>ヒューマン</v>
          </cell>
          <cell r="O1229" t="str">
            <v>unknown</v>
          </cell>
          <cell r="P1229" t="str">
            <v>Unknown</v>
          </cell>
          <cell r="R1229">
            <v>3</v>
          </cell>
          <cell r="S1229" t="str">
            <v>NULL</v>
          </cell>
          <cell r="T1229" t="str">
            <v>normal</v>
          </cell>
          <cell r="U1229" t="str">
            <v>NULL</v>
          </cell>
          <cell r="V1229" t="str">
            <v>NULL</v>
          </cell>
          <cell r="W1229" t="str">
            <v>NULL</v>
          </cell>
        </row>
        <row r="1230">
          <cell r="A1230">
            <v>1229</v>
          </cell>
          <cell r="B1230" t="str">
            <v>ja</v>
          </cell>
          <cell r="C1230" t="str">
            <v>羅生の鬼我 芥川龍之介</v>
          </cell>
          <cell r="H1230" t="str">
            <v>blue</v>
          </cell>
          <cell r="I1230">
            <v>6</v>
          </cell>
          <cell r="J1230" t="str">
            <v>PremiumSSw</v>
          </cell>
          <cell r="K1230" t="str">
            <v>attack</v>
          </cell>
          <cell r="L1230" t="str">
            <v>攻撃タイプ</v>
          </cell>
          <cell r="M1230" t="str">
            <v>human</v>
          </cell>
          <cell r="N1230" t="str">
            <v>ヒューマン</v>
          </cell>
          <cell r="O1230" t="str">
            <v>unknown</v>
          </cell>
          <cell r="P1230" t="str">
            <v>Unknown</v>
          </cell>
          <cell r="R1230">
            <v>3</v>
          </cell>
          <cell r="S1230" t="str">
            <v>NULL</v>
          </cell>
          <cell r="T1230" t="str">
            <v>normal</v>
          </cell>
          <cell r="U1230" t="str">
            <v>NULL</v>
          </cell>
          <cell r="V1230" t="str">
            <v>NULL</v>
          </cell>
          <cell r="W1230" t="str">
            <v>NULL</v>
          </cell>
        </row>
        <row r="1231">
          <cell r="A1231">
            <v>1230</v>
          </cell>
          <cell r="B1231" t="str">
            <v>ja</v>
          </cell>
          <cell r="C1231" t="str">
            <v>夏目漱石</v>
          </cell>
          <cell r="H1231" t="str">
            <v>yellow</v>
          </cell>
          <cell r="I1231">
            <v>5</v>
          </cell>
          <cell r="J1231" t="str">
            <v>PremiumSS</v>
          </cell>
          <cell r="K1231" t="str">
            <v>heal</v>
          </cell>
          <cell r="L1231" t="str">
            <v>回復タイプ</v>
          </cell>
          <cell r="M1231" t="str">
            <v>animal</v>
          </cell>
          <cell r="N1231" t="str">
            <v>アニマル</v>
          </cell>
          <cell r="O1231" t="str">
            <v>none</v>
          </cell>
          <cell r="P1231" t="str">
            <v>種族なし</v>
          </cell>
          <cell r="R1231">
            <v>3</v>
          </cell>
          <cell r="S1231" t="str">
            <v>NULL</v>
          </cell>
          <cell r="T1231" t="str">
            <v>normal</v>
          </cell>
          <cell r="U1231" t="str">
            <v>NULL</v>
          </cell>
          <cell r="V1231" t="str">
            <v>NULL</v>
          </cell>
          <cell r="W1231" t="str">
            <v>NULL</v>
          </cell>
        </row>
        <row r="1232">
          <cell r="A1232">
            <v>1231</v>
          </cell>
          <cell r="B1232" t="str">
            <v>ja</v>
          </cell>
          <cell r="C1232" t="str">
            <v>思索する愛猫 夏目漱石</v>
          </cell>
          <cell r="H1232" t="str">
            <v>yellow</v>
          </cell>
          <cell r="I1232">
            <v>6</v>
          </cell>
          <cell r="J1232" t="str">
            <v>PremiumSS</v>
          </cell>
          <cell r="K1232" t="str">
            <v>heal</v>
          </cell>
          <cell r="L1232" t="str">
            <v>回復タイプ</v>
          </cell>
          <cell r="M1232" t="str">
            <v>animal</v>
          </cell>
          <cell r="N1232" t="str">
            <v>アニマル</v>
          </cell>
          <cell r="O1232" t="str">
            <v>none</v>
          </cell>
          <cell r="P1232" t="str">
            <v>種族なし</v>
          </cell>
          <cell r="R1232">
            <v>3</v>
          </cell>
          <cell r="S1232" t="str">
            <v>NULL</v>
          </cell>
          <cell r="T1232" t="str">
            <v>normal</v>
          </cell>
          <cell r="U1232" t="str">
            <v>NULL</v>
          </cell>
          <cell r="V1232" t="str">
            <v>NULL</v>
          </cell>
          <cell r="W1232" t="str">
            <v>NULL</v>
          </cell>
        </row>
        <row r="1233">
          <cell r="A1233">
            <v>1232</v>
          </cell>
          <cell r="B1233" t="str">
            <v>ja</v>
          </cell>
          <cell r="C1233" t="str">
            <v>ケプラー</v>
          </cell>
          <cell r="H1233" t="str">
            <v>yellow</v>
          </cell>
          <cell r="I1233">
            <v>5</v>
          </cell>
          <cell r="J1233" t="str">
            <v>PremiumSSS</v>
          </cell>
          <cell r="K1233" t="str">
            <v>attack</v>
          </cell>
          <cell r="L1233" t="str">
            <v>攻撃タイプ</v>
          </cell>
          <cell r="M1233" t="str">
            <v>academia</v>
          </cell>
          <cell r="N1233" t="str">
            <v>アカデミア</v>
          </cell>
          <cell r="O1233" t="str">
            <v>unknown</v>
          </cell>
          <cell r="P1233" t="str">
            <v>Unknown</v>
          </cell>
          <cell r="R1233">
            <v>3</v>
          </cell>
          <cell r="S1233" t="str">
            <v>NULL</v>
          </cell>
          <cell r="T1233" t="str">
            <v>normal</v>
          </cell>
          <cell r="U1233" t="str">
            <v>NULL</v>
          </cell>
          <cell r="V1233" t="str">
            <v>NULL</v>
          </cell>
          <cell r="W1233" t="str">
            <v>NULL</v>
          </cell>
        </row>
        <row r="1234">
          <cell r="A1234">
            <v>1233</v>
          </cell>
          <cell r="B1234" t="str">
            <v>ja</v>
          </cell>
          <cell r="C1234" t="str">
            <v>天体の大砲速 ケプラー</v>
          </cell>
          <cell r="H1234" t="str">
            <v>yellow</v>
          </cell>
          <cell r="I1234">
            <v>6</v>
          </cell>
          <cell r="J1234" t="str">
            <v>PremiumSSS</v>
          </cell>
          <cell r="K1234" t="str">
            <v>attack</v>
          </cell>
          <cell r="L1234" t="str">
            <v>攻撃タイプ</v>
          </cell>
          <cell r="M1234" t="str">
            <v>academia</v>
          </cell>
          <cell r="N1234" t="str">
            <v>アカデミア</v>
          </cell>
          <cell r="O1234" t="str">
            <v>unknown</v>
          </cell>
          <cell r="P1234" t="str">
            <v>Unknown</v>
          </cell>
          <cell r="R1234">
            <v>3</v>
          </cell>
          <cell r="S1234" t="str">
            <v>NULL</v>
          </cell>
          <cell r="T1234" t="str">
            <v>normal</v>
          </cell>
          <cell r="U1234" t="str">
            <v>NULL</v>
          </cell>
          <cell r="V1234" t="str">
            <v>NULL</v>
          </cell>
          <cell r="W1234" t="str">
            <v>NULL</v>
          </cell>
        </row>
        <row r="1235">
          <cell r="A1235">
            <v>1234</v>
          </cell>
          <cell r="B1235" t="str">
            <v>ja</v>
          </cell>
          <cell r="C1235" t="str">
            <v>ボーア</v>
          </cell>
          <cell r="H1235" t="str">
            <v>red</v>
          </cell>
          <cell r="I1235">
            <v>5</v>
          </cell>
          <cell r="J1235" t="str">
            <v>PremiumSSS</v>
          </cell>
          <cell r="K1235" t="str">
            <v>attack</v>
          </cell>
          <cell r="L1235" t="str">
            <v>攻撃タイプ</v>
          </cell>
          <cell r="M1235" t="str">
            <v>academia</v>
          </cell>
          <cell r="N1235" t="str">
            <v>アカデミア</v>
          </cell>
          <cell r="O1235" t="str">
            <v>human</v>
          </cell>
          <cell r="P1235" t="str">
            <v>ヒューマン</v>
          </cell>
          <cell r="R1235">
            <v>3</v>
          </cell>
          <cell r="S1235" t="str">
            <v>NULL</v>
          </cell>
          <cell r="T1235" t="str">
            <v>normal</v>
          </cell>
          <cell r="U1235" t="str">
            <v>NULL</v>
          </cell>
          <cell r="V1235" t="str">
            <v>NULL</v>
          </cell>
          <cell r="W1235" t="str">
            <v>NULL</v>
          </cell>
        </row>
        <row r="1236">
          <cell r="A1236">
            <v>1235</v>
          </cell>
          <cell r="B1236" t="str">
            <v>ja</v>
          </cell>
          <cell r="C1236" t="str">
            <v>哲壁の育護者 ボーア</v>
          </cell>
          <cell r="H1236" t="str">
            <v>red</v>
          </cell>
          <cell r="I1236">
            <v>6</v>
          </cell>
          <cell r="J1236" t="str">
            <v>PremiumSSS</v>
          </cell>
          <cell r="K1236" t="str">
            <v>attack</v>
          </cell>
          <cell r="L1236" t="str">
            <v>攻撃タイプ</v>
          </cell>
          <cell r="M1236" t="str">
            <v>academia</v>
          </cell>
          <cell r="N1236" t="str">
            <v>アカデミア</v>
          </cell>
          <cell r="O1236" t="str">
            <v>human</v>
          </cell>
          <cell r="P1236" t="str">
            <v>ヒューマン</v>
          </cell>
          <cell r="R1236">
            <v>3</v>
          </cell>
          <cell r="S1236" t="str">
            <v>NULL</v>
          </cell>
          <cell r="T1236" t="str">
            <v>normal</v>
          </cell>
          <cell r="U1236" t="str">
            <v>NULL</v>
          </cell>
          <cell r="V1236" t="str">
            <v>NULL</v>
          </cell>
          <cell r="W1236" t="str">
            <v>NULL</v>
          </cell>
        </row>
        <row r="1237">
          <cell r="A1237">
            <v>1236</v>
          </cell>
          <cell r="B1237" t="str">
            <v>ja</v>
          </cell>
          <cell r="C1237" t="str">
            <v>千利休</v>
          </cell>
          <cell r="H1237" t="str">
            <v>yellow</v>
          </cell>
          <cell r="I1237">
            <v>4</v>
          </cell>
          <cell r="J1237" t="str">
            <v>Drop2N</v>
          </cell>
          <cell r="K1237" t="str">
            <v>balance</v>
          </cell>
          <cell r="L1237" t="str">
            <v>バランスタイプ</v>
          </cell>
          <cell r="M1237" t="str">
            <v>unknown</v>
          </cell>
          <cell r="N1237" t="str">
            <v>Unknown</v>
          </cell>
          <cell r="O1237" t="str">
            <v>none</v>
          </cell>
          <cell r="P1237" t="str">
            <v>種族なし</v>
          </cell>
          <cell r="R1237">
            <v>3</v>
          </cell>
          <cell r="S1237" t="str">
            <v>NULL</v>
          </cell>
          <cell r="T1237" t="str">
            <v>normal</v>
          </cell>
          <cell r="U1237" t="str">
            <v>NULL</v>
          </cell>
          <cell r="V1237" t="str">
            <v>NULL</v>
          </cell>
          <cell r="W1237" t="str">
            <v>NULL</v>
          </cell>
        </row>
        <row r="1238">
          <cell r="A1238">
            <v>1237</v>
          </cell>
          <cell r="B1238" t="str">
            <v>ja</v>
          </cell>
          <cell r="C1238" t="str">
            <v>夢茶の目付役 千利休</v>
          </cell>
          <cell r="H1238" t="str">
            <v>yellow</v>
          </cell>
          <cell r="I1238">
            <v>5</v>
          </cell>
          <cell r="J1238" t="str">
            <v>Drop2N</v>
          </cell>
          <cell r="K1238" t="str">
            <v>balance</v>
          </cell>
          <cell r="L1238" t="str">
            <v>バランスタイプ</v>
          </cell>
          <cell r="M1238" t="str">
            <v>unknown</v>
          </cell>
          <cell r="N1238" t="str">
            <v>Unknown</v>
          </cell>
          <cell r="O1238" t="str">
            <v>none</v>
          </cell>
          <cell r="P1238" t="str">
            <v>種族なし</v>
          </cell>
          <cell r="R1238">
            <v>3</v>
          </cell>
          <cell r="S1238" t="str">
            <v>NULL</v>
          </cell>
          <cell r="T1238" t="str">
            <v>normal</v>
          </cell>
          <cell r="U1238" t="str">
            <v>NULL</v>
          </cell>
          <cell r="V1238" t="str">
            <v>NULL</v>
          </cell>
          <cell r="W1238" t="str">
            <v>NULL</v>
          </cell>
        </row>
        <row r="1239">
          <cell r="A1239">
            <v>1238</v>
          </cell>
          <cell r="B1239" t="str">
            <v>ja</v>
          </cell>
          <cell r="C1239" t="str">
            <v>服部半蔵</v>
          </cell>
          <cell r="H1239" t="str">
            <v>green</v>
          </cell>
          <cell r="I1239">
            <v>5</v>
          </cell>
          <cell r="J1239" t="str">
            <v>DropWizS</v>
          </cell>
          <cell r="K1239" t="str">
            <v>attack</v>
          </cell>
          <cell r="L1239" t="str">
            <v>攻撃タイプ</v>
          </cell>
          <cell r="M1239" t="str">
            <v>unknown</v>
          </cell>
          <cell r="N1239" t="str">
            <v>Unknown</v>
          </cell>
          <cell r="O1239" t="str">
            <v>none</v>
          </cell>
          <cell r="P1239" t="str">
            <v>種族なし</v>
          </cell>
          <cell r="R1239">
            <v>3</v>
          </cell>
          <cell r="S1239" t="str">
            <v>NULL</v>
          </cell>
          <cell r="T1239" t="str">
            <v>normal</v>
          </cell>
          <cell r="U1239" t="str">
            <v>NULL</v>
          </cell>
          <cell r="V1239" t="str">
            <v>NULL</v>
          </cell>
          <cell r="W1239" t="str">
            <v>NULL</v>
          </cell>
        </row>
        <row r="1240">
          <cell r="A1240">
            <v>1239</v>
          </cell>
          <cell r="B1240" t="str">
            <v>ja</v>
          </cell>
          <cell r="C1240" t="str">
            <v>音無の機密忍 服部半蔵</v>
          </cell>
          <cell r="H1240" t="str">
            <v>green</v>
          </cell>
          <cell r="I1240">
            <v>6</v>
          </cell>
          <cell r="J1240" t="str">
            <v>DropWizS</v>
          </cell>
          <cell r="K1240" t="str">
            <v>attack</v>
          </cell>
          <cell r="L1240" t="str">
            <v>攻撃タイプ</v>
          </cell>
          <cell r="M1240" t="str">
            <v>unknown</v>
          </cell>
          <cell r="N1240" t="str">
            <v>Unknown</v>
          </cell>
          <cell r="O1240" t="str">
            <v>none</v>
          </cell>
          <cell r="P1240" t="str">
            <v>種族なし</v>
          </cell>
          <cell r="R1240">
            <v>3</v>
          </cell>
          <cell r="S1240" t="str">
            <v>NULL</v>
          </cell>
          <cell r="T1240" t="str">
            <v>normal</v>
          </cell>
          <cell r="U1240" t="str">
            <v>NULL</v>
          </cell>
          <cell r="V1240" t="str">
            <v>NULL</v>
          </cell>
          <cell r="W1240" t="str">
            <v>NULL</v>
          </cell>
        </row>
        <row r="1241">
          <cell r="A1241">
            <v>1240</v>
          </cell>
          <cell r="B1241" t="str">
            <v>ja</v>
          </cell>
          <cell r="C1241" t="str">
            <v>竹中半兵衛</v>
          </cell>
          <cell r="H1241" t="str">
            <v>blue</v>
          </cell>
          <cell r="I1241">
            <v>5</v>
          </cell>
          <cell r="J1241" t="str">
            <v>DropWizS</v>
          </cell>
          <cell r="K1241" t="str">
            <v>hp</v>
          </cell>
          <cell r="L1241" t="str">
            <v>体力タイプ</v>
          </cell>
          <cell r="M1241" t="str">
            <v>human</v>
          </cell>
          <cell r="N1241" t="str">
            <v>ヒューマン</v>
          </cell>
          <cell r="O1241" t="str">
            <v>samurai</v>
          </cell>
          <cell r="P1241" t="str">
            <v>サムライ</v>
          </cell>
          <cell r="R1241">
            <v>3</v>
          </cell>
          <cell r="S1241" t="str">
            <v>NULL</v>
          </cell>
          <cell r="T1241" t="str">
            <v>normal</v>
          </cell>
          <cell r="U1241" t="str">
            <v>NULL</v>
          </cell>
          <cell r="V1241" t="str">
            <v>NULL</v>
          </cell>
          <cell r="W1241" t="str">
            <v>NULL</v>
          </cell>
        </row>
        <row r="1242">
          <cell r="A1242">
            <v>1241</v>
          </cell>
          <cell r="B1242" t="str">
            <v>ja</v>
          </cell>
          <cell r="C1242" t="str">
            <v>巧妙なる嬢舌 竹中半兵衛</v>
          </cell>
          <cell r="H1242" t="str">
            <v>blue</v>
          </cell>
          <cell r="I1242">
            <v>6</v>
          </cell>
          <cell r="J1242" t="str">
            <v>DropWizS</v>
          </cell>
          <cell r="K1242" t="str">
            <v>hp</v>
          </cell>
          <cell r="L1242" t="str">
            <v>体力タイプ</v>
          </cell>
          <cell r="M1242" t="str">
            <v>human</v>
          </cell>
          <cell r="N1242" t="str">
            <v>ヒューマン</v>
          </cell>
          <cell r="O1242" t="str">
            <v>samurai</v>
          </cell>
          <cell r="P1242" t="str">
            <v>サムライ</v>
          </cell>
          <cell r="R1242">
            <v>3</v>
          </cell>
          <cell r="S1242" t="str">
            <v>NULL</v>
          </cell>
          <cell r="T1242" t="str">
            <v>normal</v>
          </cell>
          <cell r="U1242" t="str">
            <v>NULL</v>
          </cell>
          <cell r="V1242" t="str">
            <v>NULL</v>
          </cell>
          <cell r="W1242" t="str">
            <v>NULL</v>
          </cell>
        </row>
        <row r="1243">
          <cell r="A1243">
            <v>1242</v>
          </cell>
          <cell r="B1243" t="str">
            <v>ja</v>
          </cell>
          <cell r="C1243" t="str">
            <v>豊臣秀吉</v>
          </cell>
          <cell r="H1243" t="str">
            <v>red</v>
          </cell>
          <cell r="I1243">
            <v>5</v>
          </cell>
          <cell r="J1243" t="str">
            <v>DropWizSS</v>
          </cell>
          <cell r="K1243" t="str">
            <v>balance</v>
          </cell>
          <cell r="L1243" t="str">
            <v>バランスタイプ</v>
          </cell>
          <cell r="M1243" t="str">
            <v>human</v>
          </cell>
          <cell r="N1243" t="str">
            <v>ヒューマン</v>
          </cell>
          <cell r="O1243" t="str">
            <v>samurai</v>
          </cell>
          <cell r="P1243" t="str">
            <v>サムライ</v>
          </cell>
          <cell r="R1243">
            <v>3</v>
          </cell>
          <cell r="S1243" t="str">
            <v>NULL</v>
          </cell>
          <cell r="T1243" t="str">
            <v>normal</v>
          </cell>
          <cell r="U1243" t="str">
            <v>NULL</v>
          </cell>
          <cell r="V1243" t="str">
            <v>NULL</v>
          </cell>
          <cell r="W1243" t="str">
            <v>NULL</v>
          </cell>
        </row>
        <row r="1244">
          <cell r="A1244">
            <v>1243</v>
          </cell>
          <cell r="B1244" t="str">
            <v>ja</v>
          </cell>
          <cell r="C1244" t="str">
            <v>新世覇の昇竜 豊臣秀吉</v>
          </cell>
          <cell r="H1244" t="str">
            <v>red</v>
          </cell>
          <cell r="I1244">
            <v>6</v>
          </cell>
          <cell r="J1244" t="str">
            <v>DropWizSS</v>
          </cell>
          <cell r="K1244" t="str">
            <v>balance</v>
          </cell>
          <cell r="L1244" t="str">
            <v>バランスタイプ</v>
          </cell>
          <cell r="M1244" t="str">
            <v>human</v>
          </cell>
          <cell r="N1244" t="str">
            <v>ヒューマン</v>
          </cell>
          <cell r="O1244" t="str">
            <v>samurai</v>
          </cell>
          <cell r="P1244" t="str">
            <v>サムライ</v>
          </cell>
          <cell r="R1244">
            <v>3</v>
          </cell>
          <cell r="S1244" t="str">
            <v>NULL</v>
          </cell>
          <cell r="T1244" t="str">
            <v>normal</v>
          </cell>
          <cell r="U1244" t="str">
            <v>NULL</v>
          </cell>
          <cell r="V1244" t="str">
            <v>NULL</v>
          </cell>
          <cell r="W1244" t="str">
            <v>NULL</v>
          </cell>
        </row>
        <row r="1245">
          <cell r="A1245">
            <v>1244</v>
          </cell>
          <cell r="B1245" t="str">
            <v>ja</v>
          </cell>
          <cell r="C1245" t="str">
            <v>猿飛佐助</v>
          </cell>
          <cell r="H1245" t="str">
            <v>red</v>
          </cell>
          <cell r="I1245">
            <v>5</v>
          </cell>
          <cell r="J1245" t="str">
            <v>PremiumSS</v>
          </cell>
          <cell r="K1245" t="str">
            <v>attack</v>
          </cell>
          <cell r="L1245" t="str">
            <v>攻撃タイプ</v>
          </cell>
          <cell r="M1245" t="str">
            <v>human</v>
          </cell>
          <cell r="N1245" t="str">
            <v>ヒューマン</v>
          </cell>
          <cell r="O1245" t="str">
            <v>none</v>
          </cell>
          <cell r="P1245" t="str">
            <v>種族なし</v>
          </cell>
          <cell r="R1245">
            <v>3</v>
          </cell>
          <cell r="S1245" t="str">
            <v>NULL</v>
          </cell>
          <cell r="T1245" t="str">
            <v>normal</v>
          </cell>
          <cell r="U1245" t="str">
            <v>NULL</v>
          </cell>
          <cell r="V1245" t="str">
            <v>NULL</v>
          </cell>
          <cell r="W1245" t="str">
            <v>NULL</v>
          </cell>
        </row>
        <row r="1246">
          <cell r="A1246">
            <v>1245</v>
          </cell>
          <cell r="B1246" t="str">
            <v>ja</v>
          </cell>
          <cell r="C1246" t="str">
            <v>甲火の特殊忍 猿飛佐助</v>
          </cell>
          <cell r="H1246" t="str">
            <v>red</v>
          </cell>
          <cell r="I1246">
            <v>6</v>
          </cell>
          <cell r="J1246" t="str">
            <v>PremiumSS</v>
          </cell>
          <cell r="K1246" t="str">
            <v>attack</v>
          </cell>
          <cell r="L1246" t="str">
            <v>攻撃タイプ</v>
          </cell>
          <cell r="M1246" t="str">
            <v>human</v>
          </cell>
          <cell r="N1246" t="str">
            <v>ヒューマン</v>
          </cell>
          <cell r="O1246" t="str">
            <v>none</v>
          </cell>
          <cell r="P1246" t="str">
            <v>種族なし</v>
          </cell>
          <cell r="R1246">
            <v>3</v>
          </cell>
          <cell r="S1246" t="str">
            <v>NULL</v>
          </cell>
          <cell r="T1246" t="str">
            <v>normal</v>
          </cell>
          <cell r="U1246" t="str">
            <v>NULL</v>
          </cell>
          <cell r="V1246" t="str">
            <v>NULL</v>
          </cell>
          <cell r="W1246" t="str">
            <v>NULL</v>
          </cell>
        </row>
        <row r="1247">
          <cell r="A1247">
            <v>1246</v>
          </cell>
          <cell r="B1247" t="str">
            <v>ja</v>
          </cell>
          <cell r="C1247" t="str">
            <v>望月千代女</v>
          </cell>
          <cell r="H1247" t="str">
            <v>green</v>
          </cell>
          <cell r="I1247">
            <v>5</v>
          </cell>
          <cell r="J1247" t="str">
            <v>PremiumSS</v>
          </cell>
          <cell r="K1247" t="str">
            <v>heal</v>
          </cell>
          <cell r="L1247" t="str">
            <v>回復タイプ</v>
          </cell>
          <cell r="M1247" t="str">
            <v>human</v>
          </cell>
          <cell r="N1247" t="str">
            <v>ヒューマン</v>
          </cell>
          <cell r="O1247" t="str">
            <v>none</v>
          </cell>
          <cell r="P1247" t="str">
            <v>種族なし</v>
          </cell>
          <cell r="R1247">
            <v>3</v>
          </cell>
          <cell r="S1247" t="str">
            <v>NULL</v>
          </cell>
          <cell r="T1247" t="str">
            <v>normal</v>
          </cell>
          <cell r="U1247" t="str">
            <v>NULL</v>
          </cell>
          <cell r="V1247" t="str">
            <v>NULL</v>
          </cell>
          <cell r="W1247" t="str">
            <v>NULL</v>
          </cell>
        </row>
        <row r="1248">
          <cell r="A1248">
            <v>1247</v>
          </cell>
          <cell r="B1248" t="str">
            <v>ja</v>
          </cell>
          <cell r="C1248" t="str">
            <v>潜情のくノ一 望月千代女</v>
          </cell>
          <cell r="H1248" t="str">
            <v>green</v>
          </cell>
          <cell r="I1248">
            <v>6</v>
          </cell>
          <cell r="J1248" t="str">
            <v>PremiumSS</v>
          </cell>
          <cell r="K1248" t="str">
            <v>heal</v>
          </cell>
          <cell r="L1248" t="str">
            <v>回復タイプ</v>
          </cell>
          <cell r="M1248" t="str">
            <v>human</v>
          </cell>
          <cell r="N1248" t="str">
            <v>ヒューマン</v>
          </cell>
          <cell r="O1248" t="str">
            <v>none</v>
          </cell>
          <cell r="P1248" t="str">
            <v>種族なし</v>
          </cell>
          <cell r="R1248">
            <v>3</v>
          </cell>
          <cell r="S1248" t="str">
            <v>NULL</v>
          </cell>
          <cell r="T1248" t="str">
            <v>normal</v>
          </cell>
          <cell r="U1248" t="str">
            <v>NULL</v>
          </cell>
          <cell r="V1248" t="str">
            <v>NULL</v>
          </cell>
          <cell r="W1248" t="str">
            <v>NULL</v>
          </cell>
        </row>
        <row r="1249">
          <cell r="A1249">
            <v>1248</v>
          </cell>
          <cell r="B1249" t="str">
            <v>ja</v>
          </cell>
          <cell r="C1249" t="str">
            <v>寧々</v>
          </cell>
          <cell r="H1249" t="str">
            <v>blue</v>
          </cell>
          <cell r="I1249">
            <v>4</v>
          </cell>
          <cell r="J1249" t="str">
            <v>PremiumS</v>
          </cell>
          <cell r="K1249" t="str">
            <v>heal</v>
          </cell>
          <cell r="L1249" t="str">
            <v>回復タイプ</v>
          </cell>
          <cell r="M1249" t="str">
            <v>human</v>
          </cell>
          <cell r="N1249" t="str">
            <v>ヒューマン</v>
          </cell>
          <cell r="O1249" t="str">
            <v>none</v>
          </cell>
          <cell r="P1249" t="str">
            <v>種族なし</v>
          </cell>
          <cell r="R1249">
            <v>3</v>
          </cell>
          <cell r="S1249" t="str">
            <v>NULL</v>
          </cell>
          <cell r="T1249" t="str">
            <v>normal</v>
          </cell>
          <cell r="U1249" t="str">
            <v>NULL</v>
          </cell>
          <cell r="V1249" t="str">
            <v>NULL</v>
          </cell>
          <cell r="W1249" t="str">
            <v>NULL</v>
          </cell>
        </row>
        <row r="1250">
          <cell r="A1250">
            <v>1249</v>
          </cell>
          <cell r="B1250" t="str">
            <v>ja</v>
          </cell>
          <cell r="C1250" t="str">
            <v>君臨する姐御様 寧々</v>
          </cell>
          <cell r="H1250" t="str">
            <v>blue</v>
          </cell>
          <cell r="I1250">
            <v>5</v>
          </cell>
          <cell r="J1250" t="str">
            <v>PremiumS</v>
          </cell>
          <cell r="K1250" t="str">
            <v>heal</v>
          </cell>
          <cell r="L1250" t="str">
            <v>回復タイプ</v>
          </cell>
          <cell r="M1250" t="str">
            <v>human</v>
          </cell>
          <cell r="N1250" t="str">
            <v>ヒューマン</v>
          </cell>
          <cell r="O1250" t="str">
            <v>none</v>
          </cell>
          <cell r="P1250" t="str">
            <v>種族なし</v>
          </cell>
          <cell r="R1250">
            <v>3</v>
          </cell>
          <cell r="S1250" t="str">
            <v>NULL</v>
          </cell>
          <cell r="T1250" t="str">
            <v>normal</v>
          </cell>
          <cell r="U1250" t="str">
            <v>NULL</v>
          </cell>
          <cell r="V1250" t="str">
            <v>NULL</v>
          </cell>
          <cell r="W1250" t="str">
            <v>NULL</v>
          </cell>
        </row>
        <row r="1251">
          <cell r="A1251">
            <v>1250</v>
          </cell>
          <cell r="B1251" t="str">
            <v>ja</v>
          </cell>
          <cell r="C1251" t="str">
            <v>真田幸村</v>
          </cell>
          <cell r="H1251" t="str">
            <v>yellow</v>
          </cell>
          <cell r="I1251">
            <v>5</v>
          </cell>
          <cell r="J1251" t="str">
            <v>PremiumSSw</v>
          </cell>
          <cell r="K1251" t="str">
            <v>attack</v>
          </cell>
          <cell r="L1251" t="str">
            <v>攻撃タイプ</v>
          </cell>
          <cell r="M1251" t="str">
            <v>human</v>
          </cell>
          <cell r="N1251" t="str">
            <v>ヒューマン</v>
          </cell>
          <cell r="O1251" t="str">
            <v>samurai</v>
          </cell>
          <cell r="P1251" t="str">
            <v>サムライ</v>
          </cell>
          <cell r="R1251">
            <v>3</v>
          </cell>
          <cell r="S1251" t="str">
            <v>NULL</v>
          </cell>
          <cell r="T1251" t="str">
            <v>normal</v>
          </cell>
          <cell r="U1251" t="str">
            <v>NULL</v>
          </cell>
          <cell r="V1251" t="str">
            <v>NULL</v>
          </cell>
          <cell r="W1251" t="str">
            <v>NULL</v>
          </cell>
        </row>
        <row r="1252">
          <cell r="A1252">
            <v>1251</v>
          </cell>
          <cell r="B1252" t="str">
            <v>ja</v>
          </cell>
          <cell r="C1252" t="str">
            <v>錯槍の英勇 真田幸村</v>
          </cell>
          <cell r="H1252" t="str">
            <v>yellow</v>
          </cell>
          <cell r="I1252">
            <v>6</v>
          </cell>
          <cell r="J1252" t="str">
            <v>PremiumSSw</v>
          </cell>
          <cell r="K1252" t="str">
            <v>attack</v>
          </cell>
          <cell r="L1252" t="str">
            <v>攻撃タイプ</v>
          </cell>
          <cell r="M1252" t="str">
            <v>human</v>
          </cell>
          <cell r="N1252" t="str">
            <v>ヒューマン</v>
          </cell>
          <cell r="O1252" t="str">
            <v>samurai</v>
          </cell>
          <cell r="P1252" t="str">
            <v>サムライ</v>
          </cell>
          <cell r="R1252">
            <v>3</v>
          </cell>
          <cell r="S1252" t="str">
            <v>NULL</v>
          </cell>
          <cell r="T1252" t="str">
            <v>normal</v>
          </cell>
          <cell r="U1252" t="str">
            <v>NULL</v>
          </cell>
          <cell r="V1252" t="str">
            <v>NULL</v>
          </cell>
          <cell r="W1252" t="str">
            <v>NULL</v>
          </cell>
        </row>
        <row r="1253">
          <cell r="A1253">
            <v>1252</v>
          </cell>
          <cell r="B1253" t="str">
            <v>ja</v>
          </cell>
          <cell r="C1253" t="str">
            <v>ギャラルホルン</v>
          </cell>
          <cell r="H1253" t="str">
            <v>blue</v>
          </cell>
          <cell r="I1253">
            <v>4</v>
          </cell>
          <cell r="J1253" t="str">
            <v>Drop2N</v>
          </cell>
          <cell r="K1253" t="str">
            <v>balance</v>
          </cell>
          <cell r="L1253" t="str">
            <v>バランスタイプ</v>
          </cell>
          <cell r="M1253" t="str">
            <v>god</v>
          </cell>
          <cell r="N1253" t="str">
            <v>ゴッド</v>
          </cell>
          <cell r="O1253" t="str">
            <v>none</v>
          </cell>
          <cell r="P1253" t="str">
            <v>種族なし</v>
          </cell>
          <cell r="R1253">
            <v>3</v>
          </cell>
          <cell r="S1253" t="str">
            <v>NULL</v>
          </cell>
          <cell r="T1253" t="str">
            <v>normal</v>
          </cell>
          <cell r="U1253" t="str">
            <v>NULL</v>
          </cell>
          <cell r="V1253" t="str">
            <v>NULL</v>
          </cell>
          <cell r="W1253" t="str">
            <v>NULL</v>
          </cell>
        </row>
        <row r="1254">
          <cell r="A1254">
            <v>1253</v>
          </cell>
          <cell r="B1254" t="str">
            <v>ja</v>
          </cell>
          <cell r="C1254" t="str">
            <v>吹聴する廃徊者 ギャラルホルン</v>
          </cell>
          <cell r="H1254" t="str">
            <v>blue</v>
          </cell>
          <cell r="I1254">
            <v>5</v>
          </cell>
          <cell r="J1254" t="str">
            <v>Drop2N</v>
          </cell>
          <cell r="K1254" t="str">
            <v>balance</v>
          </cell>
          <cell r="L1254" t="str">
            <v>バランスタイプ</v>
          </cell>
          <cell r="M1254" t="str">
            <v>god</v>
          </cell>
          <cell r="N1254" t="str">
            <v>ゴッド</v>
          </cell>
          <cell r="O1254" t="str">
            <v>none</v>
          </cell>
          <cell r="P1254" t="str">
            <v>種族なし</v>
          </cell>
          <cell r="R1254">
            <v>3</v>
          </cell>
          <cell r="S1254" t="str">
            <v>NULL</v>
          </cell>
          <cell r="T1254" t="str">
            <v>normal</v>
          </cell>
          <cell r="U1254" t="str">
            <v>NULL</v>
          </cell>
          <cell r="V1254" t="str">
            <v>NULL</v>
          </cell>
          <cell r="W1254" t="str">
            <v>NULL</v>
          </cell>
        </row>
        <row r="1255">
          <cell r="A1255">
            <v>1254</v>
          </cell>
          <cell r="B1255" t="str">
            <v>ja</v>
          </cell>
          <cell r="C1255" t="str">
            <v>スリュム</v>
          </cell>
          <cell r="H1255" t="str">
            <v>green</v>
          </cell>
          <cell r="I1255">
            <v>5</v>
          </cell>
          <cell r="J1255" t="str">
            <v>DropWizS</v>
          </cell>
          <cell r="K1255" t="str">
            <v>balance</v>
          </cell>
          <cell r="L1255" t="str">
            <v>バランスタイプ</v>
          </cell>
          <cell r="M1255" t="str">
            <v>unknown</v>
          </cell>
          <cell r="N1255" t="str">
            <v>Unknown</v>
          </cell>
          <cell r="O1255" t="str">
            <v>demon</v>
          </cell>
          <cell r="P1255" t="str">
            <v>デーモン</v>
          </cell>
          <cell r="R1255">
            <v>1</v>
          </cell>
          <cell r="S1255" t="str">
            <v>NULL</v>
          </cell>
          <cell r="T1255" t="str">
            <v>normal</v>
          </cell>
          <cell r="U1255" t="str">
            <v>NULL</v>
          </cell>
          <cell r="V1255" t="str">
            <v>NULL</v>
          </cell>
          <cell r="W1255" t="str">
            <v>NULL</v>
          </cell>
        </row>
        <row r="1256">
          <cell r="A1256">
            <v>1255</v>
          </cell>
          <cell r="B1256" t="str">
            <v>ja</v>
          </cell>
          <cell r="C1256" t="str">
            <v>驕奢の神犯 スリュム</v>
          </cell>
          <cell r="H1256" t="str">
            <v>green</v>
          </cell>
          <cell r="I1256">
            <v>6</v>
          </cell>
          <cell r="J1256" t="str">
            <v>DropWizS</v>
          </cell>
          <cell r="K1256" t="str">
            <v>balance</v>
          </cell>
          <cell r="L1256" t="str">
            <v>バランスタイプ</v>
          </cell>
          <cell r="M1256" t="str">
            <v>unknown</v>
          </cell>
          <cell r="N1256" t="str">
            <v>Unknown</v>
          </cell>
          <cell r="O1256" t="str">
            <v>demon</v>
          </cell>
          <cell r="P1256" t="str">
            <v>デーモン</v>
          </cell>
          <cell r="R1256">
            <v>1</v>
          </cell>
          <cell r="S1256" t="str">
            <v>NULL</v>
          </cell>
          <cell r="T1256" t="str">
            <v>normal</v>
          </cell>
          <cell r="U1256" t="str">
            <v>NULL</v>
          </cell>
          <cell r="V1256" t="str">
            <v>NULL</v>
          </cell>
          <cell r="W1256" t="str">
            <v>NULL</v>
          </cell>
        </row>
        <row r="1257">
          <cell r="A1257">
            <v>1256</v>
          </cell>
          <cell r="B1257" t="str">
            <v>ja</v>
          </cell>
          <cell r="C1257" t="str">
            <v>ヘル</v>
          </cell>
          <cell r="H1257" t="str">
            <v>yellow</v>
          </cell>
          <cell r="I1257">
            <v>5</v>
          </cell>
          <cell r="J1257" t="str">
            <v>DropWizS</v>
          </cell>
          <cell r="K1257" t="str">
            <v>heal</v>
          </cell>
          <cell r="L1257" t="str">
            <v>回復タイプ</v>
          </cell>
          <cell r="M1257" t="str">
            <v>god</v>
          </cell>
          <cell r="N1257" t="str">
            <v>ゴッド</v>
          </cell>
          <cell r="O1257" t="str">
            <v>demon</v>
          </cell>
          <cell r="P1257" t="str">
            <v>デーモン</v>
          </cell>
          <cell r="R1257">
            <v>3</v>
          </cell>
          <cell r="S1257" t="str">
            <v>NULL</v>
          </cell>
          <cell r="T1257" t="str">
            <v>normal</v>
          </cell>
          <cell r="U1257" t="str">
            <v>NULL</v>
          </cell>
          <cell r="V1257" t="str">
            <v>NULL</v>
          </cell>
          <cell r="W1257" t="str">
            <v>NULL</v>
          </cell>
        </row>
        <row r="1258">
          <cell r="A1258">
            <v>1257</v>
          </cell>
          <cell r="B1258" t="str">
            <v>ja</v>
          </cell>
          <cell r="C1258" t="str">
            <v>危能の幼魔神 ヘル</v>
          </cell>
          <cell r="H1258" t="str">
            <v>yellow</v>
          </cell>
          <cell r="I1258">
            <v>6</v>
          </cell>
          <cell r="J1258" t="str">
            <v>DropWizS</v>
          </cell>
          <cell r="K1258" t="str">
            <v>heal</v>
          </cell>
          <cell r="L1258" t="str">
            <v>回復タイプ</v>
          </cell>
          <cell r="M1258" t="str">
            <v>god</v>
          </cell>
          <cell r="N1258" t="str">
            <v>ゴッド</v>
          </cell>
          <cell r="O1258" t="str">
            <v>demon</v>
          </cell>
          <cell r="P1258" t="str">
            <v>デーモン</v>
          </cell>
          <cell r="R1258">
            <v>3</v>
          </cell>
          <cell r="S1258" t="str">
            <v>NULL</v>
          </cell>
          <cell r="T1258" t="str">
            <v>normal</v>
          </cell>
          <cell r="U1258" t="str">
            <v>NULL</v>
          </cell>
          <cell r="V1258" t="str">
            <v>NULL</v>
          </cell>
          <cell r="W1258" t="str">
            <v>NULL</v>
          </cell>
        </row>
        <row r="1259">
          <cell r="A1259">
            <v>1258</v>
          </cell>
          <cell r="B1259" t="str">
            <v>ja</v>
          </cell>
          <cell r="C1259" t="str">
            <v>ロキ</v>
          </cell>
          <cell r="H1259" t="str">
            <v>green</v>
          </cell>
          <cell r="I1259">
            <v>5</v>
          </cell>
          <cell r="J1259" t="str">
            <v>DropWizSS</v>
          </cell>
          <cell r="K1259" t="str">
            <v>balance</v>
          </cell>
          <cell r="L1259" t="str">
            <v>バランスタイプ</v>
          </cell>
          <cell r="M1259" t="str">
            <v>god</v>
          </cell>
          <cell r="N1259" t="str">
            <v>ゴッド</v>
          </cell>
          <cell r="O1259" t="str">
            <v>demon</v>
          </cell>
          <cell r="P1259" t="str">
            <v>デーモン</v>
          </cell>
          <cell r="R1259">
            <v>3</v>
          </cell>
          <cell r="S1259" t="str">
            <v>NULL</v>
          </cell>
          <cell r="T1259" t="str">
            <v>normal</v>
          </cell>
          <cell r="U1259" t="str">
            <v>NULL</v>
          </cell>
          <cell r="V1259" t="str">
            <v>NULL</v>
          </cell>
          <cell r="W1259" t="str">
            <v>NULL</v>
          </cell>
        </row>
        <row r="1260">
          <cell r="A1260">
            <v>1259</v>
          </cell>
          <cell r="B1260" t="str">
            <v>ja</v>
          </cell>
          <cell r="C1260" t="str">
            <v>崩世を叫ぶ悪戯 ロキ</v>
          </cell>
          <cell r="H1260" t="str">
            <v>green</v>
          </cell>
          <cell r="I1260">
            <v>6</v>
          </cell>
          <cell r="J1260" t="str">
            <v>DropWizSS</v>
          </cell>
          <cell r="K1260" t="str">
            <v>balance</v>
          </cell>
          <cell r="L1260" t="str">
            <v>バランスタイプ</v>
          </cell>
          <cell r="M1260" t="str">
            <v>god</v>
          </cell>
          <cell r="N1260" t="str">
            <v>ゴッド</v>
          </cell>
          <cell r="O1260" t="str">
            <v>demon</v>
          </cell>
          <cell r="P1260" t="str">
            <v>デーモン</v>
          </cell>
          <cell r="R1260">
            <v>3</v>
          </cell>
          <cell r="S1260" t="str">
            <v>NULL</v>
          </cell>
          <cell r="T1260" t="str">
            <v>normal</v>
          </cell>
          <cell r="U1260" t="str">
            <v>NULL</v>
          </cell>
          <cell r="V1260" t="str">
            <v>NULL</v>
          </cell>
          <cell r="W1260" t="str">
            <v>NULL</v>
          </cell>
        </row>
        <row r="1261">
          <cell r="A1261">
            <v>1260</v>
          </cell>
          <cell r="B1261" t="str">
            <v>ja</v>
          </cell>
          <cell r="C1261" t="str">
            <v>トール</v>
          </cell>
          <cell r="H1261" t="str">
            <v>red</v>
          </cell>
          <cell r="I1261">
            <v>5</v>
          </cell>
          <cell r="J1261" t="str">
            <v>PremiumSS</v>
          </cell>
          <cell r="K1261" t="str">
            <v>balance</v>
          </cell>
          <cell r="L1261" t="str">
            <v>バランスタイプ</v>
          </cell>
          <cell r="M1261" t="str">
            <v>god</v>
          </cell>
          <cell r="N1261" t="str">
            <v>ゴッド</v>
          </cell>
          <cell r="O1261" t="str">
            <v>none</v>
          </cell>
          <cell r="P1261" t="str">
            <v>種族なし</v>
          </cell>
          <cell r="R1261">
            <v>3</v>
          </cell>
          <cell r="S1261" t="str">
            <v>NULL</v>
          </cell>
          <cell r="T1261" t="str">
            <v>normal</v>
          </cell>
          <cell r="U1261" t="str">
            <v>NULL</v>
          </cell>
          <cell r="V1261" t="str">
            <v>NULL</v>
          </cell>
          <cell r="W1261" t="str">
            <v>NULL</v>
          </cell>
        </row>
        <row r="1262">
          <cell r="A1262">
            <v>1261</v>
          </cell>
          <cell r="B1262" t="str">
            <v>ja</v>
          </cell>
          <cell r="C1262" t="str">
            <v>燃雷の鎚撃 トール</v>
          </cell>
          <cell r="H1262" t="str">
            <v>red</v>
          </cell>
          <cell r="I1262">
            <v>6</v>
          </cell>
          <cell r="J1262" t="str">
            <v>PremiumSS</v>
          </cell>
          <cell r="K1262" t="str">
            <v>balance</v>
          </cell>
          <cell r="L1262" t="str">
            <v>バランスタイプ</v>
          </cell>
          <cell r="M1262" t="str">
            <v>god</v>
          </cell>
          <cell r="N1262" t="str">
            <v>ゴッド</v>
          </cell>
          <cell r="O1262" t="str">
            <v>none</v>
          </cell>
          <cell r="P1262" t="str">
            <v>種族なし</v>
          </cell>
          <cell r="R1262">
            <v>3</v>
          </cell>
          <cell r="S1262" t="str">
            <v>NULL</v>
          </cell>
          <cell r="T1262" t="str">
            <v>normal</v>
          </cell>
          <cell r="U1262" t="str">
            <v>NULL</v>
          </cell>
          <cell r="V1262" t="str">
            <v>NULL</v>
          </cell>
          <cell r="W1262" t="str">
            <v>NULL</v>
          </cell>
        </row>
        <row r="1263">
          <cell r="A1263">
            <v>1262</v>
          </cell>
          <cell r="B1263" t="str">
            <v>ja</v>
          </cell>
          <cell r="C1263" t="str">
            <v>イズン</v>
          </cell>
          <cell r="H1263" t="str">
            <v>green</v>
          </cell>
          <cell r="I1263">
            <v>5</v>
          </cell>
          <cell r="J1263" t="str">
            <v>PremiumSSw</v>
          </cell>
          <cell r="K1263" t="str">
            <v>heal</v>
          </cell>
          <cell r="L1263" t="str">
            <v>回復タイプ</v>
          </cell>
          <cell r="M1263" t="str">
            <v>god</v>
          </cell>
          <cell r="N1263" t="str">
            <v>ゴッド</v>
          </cell>
          <cell r="O1263" t="str">
            <v>none</v>
          </cell>
          <cell r="P1263" t="str">
            <v>種族なし</v>
          </cell>
          <cell r="R1263">
            <v>3</v>
          </cell>
          <cell r="S1263" t="str">
            <v>NULL</v>
          </cell>
          <cell r="T1263" t="str">
            <v>normal</v>
          </cell>
          <cell r="U1263" t="str">
            <v>NULL</v>
          </cell>
          <cell r="V1263" t="str">
            <v>NULL</v>
          </cell>
          <cell r="W1263" t="str">
            <v>NULL</v>
          </cell>
        </row>
        <row r="1264">
          <cell r="A1264">
            <v>1263</v>
          </cell>
          <cell r="B1264" t="str">
            <v>ja</v>
          </cell>
          <cell r="C1264" t="str">
            <v>純朴なる檻理人 イズン</v>
          </cell>
          <cell r="H1264" t="str">
            <v>green</v>
          </cell>
          <cell r="I1264">
            <v>6</v>
          </cell>
          <cell r="J1264" t="str">
            <v>PremiumSSw</v>
          </cell>
          <cell r="K1264" t="str">
            <v>heal</v>
          </cell>
          <cell r="L1264" t="str">
            <v>回復タイプ</v>
          </cell>
          <cell r="M1264" t="str">
            <v>god</v>
          </cell>
          <cell r="N1264" t="str">
            <v>ゴッド</v>
          </cell>
          <cell r="O1264" t="str">
            <v>none</v>
          </cell>
          <cell r="P1264" t="str">
            <v>種族なし</v>
          </cell>
          <cell r="R1264">
            <v>3</v>
          </cell>
          <cell r="S1264" t="str">
            <v>NULL</v>
          </cell>
          <cell r="T1264" t="str">
            <v>normal</v>
          </cell>
          <cell r="U1264" t="str">
            <v>NULL</v>
          </cell>
          <cell r="V1264" t="str">
            <v>NULL</v>
          </cell>
          <cell r="W1264" t="str">
            <v>NULL</v>
          </cell>
        </row>
        <row r="1265">
          <cell r="A1265">
            <v>1264</v>
          </cell>
          <cell r="B1265" t="str">
            <v>ja</v>
          </cell>
          <cell r="C1265" t="str">
            <v>ウルズ</v>
          </cell>
          <cell r="H1265" t="str">
            <v>blue</v>
          </cell>
          <cell r="I1265">
            <v>5</v>
          </cell>
          <cell r="J1265" t="str">
            <v>PremiumSS</v>
          </cell>
          <cell r="K1265" t="str">
            <v>heal</v>
          </cell>
          <cell r="L1265" t="str">
            <v>回復タイプ</v>
          </cell>
          <cell r="M1265" t="str">
            <v>god</v>
          </cell>
          <cell r="N1265" t="str">
            <v>ゴッド</v>
          </cell>
          <cell r="O1265" t="str">
            <v>demon</v>
          </cell>
          <cell r="P1265" t="str">
            <v>デーモン</v>
          </cell>
          <cell r="R1265">
            <v>3</v>
          </cell>
          <cell r="S1265" t="str">
            <v>NULL</v>
          </cell>
          <cell r="T1265" t="str">
            <v>normal</v>
          </cell>
          <cell r="U1265" t="str">
            <v>NULL</v>
          </cell>
          <cell r="V1265" t="str">
            <v>NULL</v>
          </cell>
          <cell r="W1265" t="str">
            <v>NULL</v>
          </cell>
        </row>
        <row r="1266">
          <cell r="A1266">
            <v>1265</v>
          </cell>
          <cell r="B1266" t="str">
            <v>ja</v>
          </cell>
          <cell r="C1266" t="str">
            <v>静観する世限者 ウルズ</v>
          </cell>
          <cell r="H1266" t="str">
            <v>blue</v>
          </cell>
          <cell r="I1266">
            <v>6</v>
          </cell>
          <cell r="J1266" t="str">
            <v>PremiumSS</v>
          </cell>
          <cell r="K1266" t="str">
            <v>heal</v>
          </cell>
          <cell r="L1266" t="str">
            <v>回復タイプ</v>
          </cell>
          <cell r="M1266" t="str">
            <v>god</v>
          </cell>
          <cell r="N1266" t="str">
            <v>ゴッド</v>
          </cell>
          <cell r="O1266" t="str">
            <v>demon</v>
          </cell>
          <cell r="P1266" t="str">
            <v>デーモン</v>
          </cell>
          <cell r="R1266">
            <v>3</v>
          </cell>
          <cell r="S1266" t="str">
            <v>NULL</v>
          </cell>
          <cell r="T1266" t="str">
            <v>normal</v>
          </cell>
          <cell r="U1266" t="str">
            <v>NULL</v>
          </cell>
          <cell r="V1266" t="str">
            <v>NULL</v>
          </cell>
          <cell r="W1266" t="str">
            <v>NULL</v>
          </cell>
        </row>
        <row r="1267">
          <cell r="A1267">
            <v>1266</v>
          </cell>
          <cell r="B1267" t="str">
            <v>ja</v>
          </cell>
          <cell r="C1267" t="str">
            <v>ガルム</v>
          </cell>
          <cell r="H1267" t="str">
            <v>yellow</v>
          </cell>
          <cell r="I1267">
            <v>4</v>
          </cell>
          <cell r="J1267" t="str">
            <v>PremiumS</v>
          </cell>
          <cell r="K1267" t="str">
            <v>hp</v>
          </cell>
          <cell r="L1267" t="str">
            <v>体力タイプ</v>
          </cell>
          <cell r="M1267" t="str">
            <v>god</v>
          </cell>
          <cell r="N1267" t="str">
            <v>ゴッド</v>
          </cell>
          <cell r="O1267" t="str">
            <v>animal</v>
          </cell>
          <cell r="P1267" t="str">
            <v>アニマル</v>
          </cell>
          <cell r="R1267">
            <v>3</v>
          </cell>
          <cell r="S1267" t="str">
            <v>NULL</v>
          </cell>
          <cell r="T1267" t="str">
            <v>normal</v>
          </cell>
          <cell r="U1267" t="str">
            <v>NULL</v>
          </cell>
          <cell r="V1267" t="str">
            <v>NULL</v>
          </cell>
          <cell r="W1267" t="str">
            <v>NULL</v>
          </cell>
        </row>
        <row r="1268">
          <cell r="A1268">
            <v>1267</v>
          </cell>
          <cell r="B1268" t="str">
            <v>ja</v>
          </cell>
          <cell r="C1268" t="str">
            <v>不遜の冥番犬 ガルム</v>
          </cell>
          <cell r="H1268" t="str">
            <v>yellow</v>
          </cell>
          <cell r="I1268">
            <v>5</v>
          </cell>
          <cell r="J1268" t="str">
            <v>PremiumS</v>
          </cell>
          <cell r="K1268" t="str">
            <v>hp</v>
          </cell>
          <cell r="L1268" t="str">
            <v>体力タイプ</v>
          </cell>
          <cell r="M1268" t="str">
            <v>god</v>
          </cell>
          <cell r="N1268" t="str">
            <v>ゴッド</v>
          </cell>
          <cell r="O1268" t="str">
            <v>animal</v>
          </cell>
          <cell r="P1268" t="str">
            <v>アニマル</v>
          </cell>
          <cell r="R1268">
            <v>3</v>
          </cell>
          <cell r="S1268" t="str">
            <v>NULL</v>
          </cell>
          <cell r="T1268" t="str">
            <v>normal</v>
          </cell>
          <cell r="U1268" t="str">
            <v>NULL</v>
          </cell>
          <cell r="V1268" t="str">
            <v>NULL</v>
          </cell>
          <cell r="W1268" t="str">
            <v>NULL</v>
          </cell>
        </row>
        <row r="1269">
          <cell r="A1269">
            <v>1268</v>
          </cell>
          <cell r="B1269" t="str">
            <v>ja</v>
          </cell>
          <cell r="C1269" t="str">
            <v>ローズ</v>
          </cell>
          <cell r="H1269" t="str">
            <v>red</v>
          </cell>
          <cell r="I1269">
            <v>5</v>
          </cell>
          <cell r="J1269" t="str">
            <v>DropWizSSS</v>
          </cell>
          <cell r="K1269" t="str">
            <v>attack</v>
          </cell>
          <cell r="L1269" t="str">
            <v>攻撃タイプ</v>
          </cell>
          <cell r="M1269" t="str">
            <v>queen</v>
          </cell>
          <cell r="N1269" t="str">
            <v>QUEEN</v>
          </cell>
          <cell r="O1269" t="str">
            <v>demon</v>
          </cell>
          <cell r="P1269" t="str">
            <v>デーモン</v>
          </cell>
          <cell r="R1269">
            <v>3</v>
          </cell>
          <cell r="S1269" t="str">
            <v>NULL</v>
          </cell>
          <cell r="T1269" t="str">
            <v>normal</v>
          </cell>
          <cell r="U1269" t="str">
            <v>NULL</v>
          </cell>
          <cell r="V1269" t="str">
            <v>NULL</v>
          </cell>
          <cell r="W1269" t="str">
            <v>NULL</v>
          </cell>
        </row>
        <row r="1270">
          <cell r="A1270">
            <v>1269</v>
          </cell>
          <cell r="B1270" t="str">
            <v>ja</v>
          </cell>
          <cell r="C1270" t="str">
            <v>エルフラムの女王 ローズ</v>
          </cell>
          <cell r="H1270" t="str">
            <v>red</v>
          </cell>
          <cell r="I1270">
            <v>6</v>
          </cell>
          <cell r="J1270" t="str">
            <v>DropWizSSS</v>
          </cell>
          <cell r="K1270" t="str">
            <v>attack</v>
          </cell>
          <cell r="L1270" t="str">
            <v>攻撃タイプ</v>
          </cell>
          <cell r="M1270" t="str">
            <v>queen</v>
          </cell>
          <cell r="N1270" t="str">
            <v>QUEEN</v>
          </cell>
          <cell r="O1270" t="str">
            <v>demon</v>
          </cell>
          <cell r="P1270" t="str">
            <v>デーモン</v>
          </cell>
          <cell r="R1270">
            <v>3</v>
          </cell>
          <cell r="S1270" t="str">
            <v>NULL</v>
          </cell>
          <cell r="T1270" t="str">
            <v>normal</v>
          </cell>
          <cell r="U1270" t="str">
            <v>NULL</v>
          </cell>
          <cell r="V1270" t="str">
            <v>NULL</v>
          </cell>
          <cell r="W1270" t="str">
            <v>NULL</v>
          </cell>
        </row>
        <row r="1271">
          <cell r="A1271">
            <v>1270</v>
          </cell>
          <cell r="B1271" t="str">
            <v>ja</v>
          </cell>
          <cell r="C1271" t="str">
            <v>コードレッド超覚醒</v>
          </cell>
          <cell r="H1271" t="str">
            <v>red</v>
          </cell>
          <cell r="I1271">
            <v>6</v>
          </cell>
          <cell r="J1271" t="str">
            <v>PremiumSSS</v>
          </cell>
          <cell r="K1271" t="str">
            <v>attack</v>
          </cell>
          <cell r="L1271" t="str">
            <v>攻撃タイプ</v>
          </cell>
          <cell r="M1271" t="str">
            <v>queen</v>
          </cell>
          <cell r="N1271" t="str">
            <v>QUEEN</v>
          </cell>
          <cell r="O1271" t="str">
            <v>none</v>
          </cell>
          <cell r="P1271" t="str">
            <v>種族なし</v>
          </cell>
          <cell r="R1271">
            <v>1</v>
          </cell>
          <cell r="S1271" t="str">
            <v>NULL</v>
          </cell>
          <cell r="T1271" t="str">
            <v>super</v>
          </cell>
          <cell r="U1271" t="str">
            <v>NULL</v>
          </cell>
          <cell r="V1271" t="str">
            <v>NULL</v>
          </cell>
          <cell r="W1271" t="str">
            <v>NULL</v>
          </cell>
        </row>
        <row r="1272">
          <cell r="A1272">
            <v>1271</v>
          </cell>
          <cell r="B1272" t="str">
            <v>ja</v>
          </cell>
          <cell r="C1272" t="str">
            <v>ローズ(旧)</v>
          </cell>
          <cell r="H1272" t="str">
            <v>red</v>
          </cell>
          <cell r="I1272">
            <v>5</v>
          </cell>
          <cell r="J1272" t="str">
            <v>DropWizSSS</v>
          </cell>
          <cell r="K1272" t="str">
            <v>attack</v>
          </cell>
          <cell r="L1272" t="str">
            <v>攻撃タイプ</v>
          </cell>
          <cell r="M1272" t="str">
            <v>queen</v>
          </cell>
          <cell r="N1272" t="str">
            <v>QUEEN</v>
          </cell>
          <cell r="O1272" t="str">
            <v>demon</v>
          </cell>
          <cell r="P1272" t="str">
            <v>デーモン</v>
          </cell>
          <cell r="R1272">
            <v>1</v>
          </cell>
          <cell r="S1272" t="str">
            <v>NULL</v>
          </cell>
          <cell r="T1272" t="str">
            <v>normal</v>
          </cell>
          <cell r="U1272" t="str">
            <v>NULL</v>
          </cell>
          <cell r="V1272" t="str">
            <v>NULL</v>
          </cell>
          <cell r="W1272" t="str">
            <v>NULL</v>
          </cell>
        </row>
        <row r="1273">
          <cell r="A1273">
            <v>1272</v>
          </cell>
          <cell r="B1273" t="str">
            <v>ja</v>
          </cell>
          <cell r="C1273" t="str">
            <v>エルフラムの女王 ローズ(旧)</v>
          </cell>
          <cell r="H1273" t="str">
            <v>red</v>
          </cell>
          <cell r="I1273">
            <v>6</v>
          </cell>
          <cell r="J1273" t="str">
            <v>DropWizSSS</v>
          </cell>
          <cell r="K1273" t="str">
            <v>attack</v>
          </cell>
          <cell r="L1273" t="str">
            <v>攻撃タイプ</v>
          </cell>
          <cell r="M1273" t="str">
            <v>queen</v>
          </cell>
          <cell r="N1273" t="str">
            <v>QUEEN</v>
          </cell>
          <cell r="O1273" t="str">
            <v>demon</v>
          </cell>
          <cell r="P1273" t="str">
            <v>デーモン</v>
          </cell>
          <cell r="R1273">
            <v>1</v>
          </cell>
          <cell r="S1273" t="str">
            <v>NULL</v>
          </cell>
          <cell r="T1273" t="str">
            <v>normal</v>
          </cell>
          <cell r="U1273" t="str">
            <v>NULL</v>
          </cell>
          <cell r="V1273" t="str">
            <v>NULL</v>
          </cell>
          <cell r="W1273" t="str">
            <v>NULL</v>
          </cell>
        </row>
        <row r="1274">
          <cell r="A1274">
            <v>1273</v>
          </cell>
          <cell r="B1274" t="str">
            <v>ja</v>
          </cell>
          <cell r="C1274" t="str">
            <v>炎影纏う征討者 織田信長</v>
          </cell>
          <cell r="H1274" t="str">
            <v>red</v>
          </cell>
          <cell r="I1274">
            <v>6</v>
          </cell>
          <cell r="J1274" t="str">
            <v>DropWizSS</v>
          </cell>
          <cell r="K1274" t="str">
            <v>balance</v>
          </cell>
          <cell r="L1274" t="str">
            <v>バランスタイプ</v>
          </cell>
          <cell r="M1274" t="str">
            <v>human</v>
          </cell>
          <cell r="N1274" t="str">
            <v>ヒューマン</v>
          </cell>
          <cell r="O1274" t="str">
            <v>samurai</v>
          </cell>
          <cell r="P1274" t="str">
            <v>サムライ</v>
          </cell>
          <cell r="R1274">
            <v>3</v>
          </cell>
          <cell r="S1274" t="str">
            <v>NULL</v>
          </cell>
          <cell r="T1274" t="str">
            <v>super</v>
          </cell>
          <cell r="U1274" t="str">
            <v>NULL</v>
          </cell>
          <cell r="V1274" t="str">
            <v>NULL</v>
          </cell>
          <cell r="W1274" t="str">
            <v>NULL</v>
          </cell>
        </row>
        <row r="1275">
          <cell r="A1275">
            <v>1274</v>
          </cell>
          <cell r="B1275" t="str">
            <v>ja</v>
          </cell>
          <cell r="C1275" t="str">
            <v>神雪と戯れる聖母 マリア</v>
          </cell>
          <cell r="H1275" t="str">
            <v>blue</v>
          </cell>
          <cell r="I1275">
            <v>6</v>
          </cell>
          <cell r="J1275" t="str">
            <v>PremiumSS</v>
          </cell>
          <cell r="K1275" t="str">
            <v>heal</v>
          </cell>
          <cell r="L1275" t="str">
            <v>回復タイプ</v>
          </cell>
          <cell r="M1275" t="str">
            <v>human</v>
          </cell>
          <cell r="N1275" t="str">
            <v>ヒューマン</v>
          </cell>
          <cell r="O1275" t="str">
            <v>none</v>
          </cell>
          <cell r="P1275" t="str">
            <v>種族なし</v>
          </cell>
          <cell r="R1275">
            <v>3</v>
          </cell>
          <cell r="S1275" t="str">
            <v>NULL</v>
          </cell>
          <cell r="T1275" t="str">
            <v>normal</v>
          </cell>
          <cell r="U1275" t="str">
            <v>NULL</v>
          </cell>
          <cell r="V1275" t="str">
            <v>NULL</v>
          </cell>
          <cell r="W1275" t="str">
            <v>NULL</v>
          </cell>
        </row>
        <row r="1276">
          <cell r="A1276">
            <v>1275</v>
          </cell>
          <cell r="B1276" t="str">
            <v>ja</v>
          </cell>
          <cell r="C1276" t="str">
            <v>聖進の贈炎 クリスマス・ベリアル</v>
          </cell>
          <cell r="H1276" t="str">
            <v>red</v>
          </cell>
          <cell r="I1276">
            <v>6</v>
          </cell>
          <cell r="J1276" t="str">
            <v>PremiumS</v>
          </cell>
          <cell r="K1276" t="str">
            <v>attack</v>
          </cell>
          <cell r="L1276" t="str">
            <v>攻撃タイプ</v>
          </cell>
          <cell r="M1276" t="str">
            <v>god</v>
          </cell>
          <cell r="N1276" t="str">
            <v>ゴッド</v>
          </cell>
          <cell r="O1276" t="str">
            <v>none</v>
          </cell>
          <cell r="P1276" t="str">
            <v>種族なし</v>
          </cell>
          <cell r="R1276">
            <v>3</v>
          </cell>
          <cell r="S1276" t="str">
            <v>NULL</v>
          </cell>
          <cell r="T1276" t="str">
            <v>normal</v>
          </cell>
          <cell r="U1276" t="str">
            <v>NULL</v>
          </cell>
          <cell r="V1276" t="str">
            <v>NULL</v>
          </cell>
          <cell r="W1276" t="str">
            <v>NULL</v>
          </cell>
        </row>
        <row r="1277">
          <cell r="A1277">
            <v>1276</v>
          </cell>
          <cell r="B1277" t="str">
            <v>ja</v>
          </cell>
          <cell r="C1277" t="str">
            <v>聖宴の主彩 サンタクロース・オセ</v>
          </cell>
          <cell r="H1277" t="str">
            <v>green</v>
          </cell>
          <cell r="I1277">
            <v>6</v>
          </cell>
          <cell r="J1277" t="str">
            <v>PremiumS</v>
          </cell>
          <cell r="K1277" t="str">
            <v>attack</v>
          </cell>
          <cell r="L1277" t="str">
            <v>攻撃タイプ</v>
          </cell>
          <cell r="M1277" t="str">
            <v>god</v>
          </cell>
          <cell r="N1277" t="str">
            <v>ゴッド</v>
          </cell>
          <cell r="O1277" t="str">
            <v>none</v>
          </cell>
          <cell r="P1277" t="str">
            <v>種族なし</v>
          </cell>
          <cell r="R1277">
            <v>3</v>
          </cell>
          <cell r="S1277" t="str">
            <v>NULL</v>
          </cell>
          <cell r="T1277" t="str">
            <v>normal</v>
          </cell>
          <cell r="U1277" t="str">
            <v>NULL</v>
          </cell>
          <cell r="V1277" t="str">
            <v>NULL</v>
          </cell>
          <cell r="W1277" t="str">
            <v>NULL</v>
          </cell>
        </row>
        <row r="1278">
          <cell r="A1278">
            <v>1277</v>
          </cell>
          <cell r="B1278" t="str">
            <v>ja</v>
          </cell>
          <cell r="C1278" t="str">
            <v>彩鈴鳴らす聖天使 ミカエル・イヴ</v>
          </cell>
          <cell r="H1278" t="str">
            <v>yellow</v>
          </cell>
          <cell r="I1278">
            <v>6</v>
          </cell>
          <cell r="J1278" t="str">
            <v>PremiumS</v>
          </cell>
          <cell r="K1278" t="str">
            <v>attack</v>
          </cell>
          <cell r="L1278" t="str">
            <v>攻撃タイプ</v>
          </cell>
          <cell r="M1278" t="str">
            <v>god</v>
          </cell>
          <cell r="N1278" t="str">
            <v>ゴッド</v>
          </cell>
          <cell r="O1278" t="str">
            <v>machine</v>
          </cell>
          <cell r="P1278" t="str">
            <v>マシン</v>
          </cell>
          <cell r="R1278">
            <v>3</v>
          </cell>
          <cell r="S1278" t="str">
            <v>NULL</v>
          </cell>
          <cell r="T1278" t="str">
            <v>normal</v>
          </cell>
          <cell r="U1278" t="str">
            <v>NULL</v>
          </cell>
          <cell r="V1278" t="str">
            <v>NULL</v>
          </cell>
          <cell r="W1278" t="str">
            <v>NULL</v>
          </cell>
        </row>
        <row r="1279">
          <cell r="A1279">
            <v>1278</v>
          </cell>
          <cell r="B1279" t="str">
            <v>ja</v>
          </cell>
          <cell r="C1279" t="str">
            <v>ラチカ</v>
          </cell>
          <cell r="H1279" t="str">
            <v>yellow</v>
          </cell>
          <cell r="I1279">
            <v>5</v>
          </cell>
          <cell r="J1279" t="str">
            <v>PremiumSS</v>
          </cell>
          <cell r="K1279" t="str">
            <v>hp</v>
          </cell>
          <cell r="L1279" t="str">
            <v>体力タイプ</v>
          </cell>
          <cell r="M1279" t="str">
            <v>unknown</v>
          </cell>
          <cell r="N1279" t="str">
            <v>Unknown</v>
          </cell>
          <cell r="O1279" t="str">
            <v>hero</v>
          </cell>
          <cell r="P1279" t="str">
            <v>ヒーロー</v>
          </cell>
          <cell r="R1279">
            <v>3</v>
          </cell>
          <cell r="S1279" t="str">
            <v>NULL</v>
          </cell>
          <cell r="T1279" t="str">
            <v>normal</v>
          </cell>
          <cell r="U1279" t="str">
            <v>NULL</v>
          </cell>
          <cell r="V1279" t="str">
            <v>NULL</v>
          </cell>
          <cell r="W1279" t="str">
            <v>NULL</v>
          </cell>
        </row>
        <row r="1280">
          <cell r="A1280">
            <v>1279</v>
          </cell>
          <cell r="B1280" t="str">
            <v>ja</v>
          </cell>
          <cell r="C1280" t="str">
            <v>霜聖の雪姫 ラチカ</v>
          </cell>
          <cell r="H1280" t="str">
            <v>yellow</v>
          </cell>
          <cell r="I1280">
            <v>6</v>
          </cell>
          <cell r="J1280" t="str">
            <v>PremiumSS</v>
          </cell>
          <cell r="K1280" t="str">
            <v>hp</v>
          </cell>
          <cell r="L1280" t="str">
            <v>体力タイプ</v>
          </cell>
          <cell r="M1280" t="str">
            <v>unknown</v>
          </cell>
          <cell r="N1280" t="str">
            <v>Unknown</v>
          </cell>
          <cell r="O1280" t="str">
            <v>hero</v>
          </cell>
          <cell r="P1280" t="str">
            <v>ヒーロー</v>
          </cell>
          <cell r="R1280">
            <v>3</v>
          </cell>
          <cell r="S1280" t="str">
            <v>NULL</v>
          </cell>
          <cell r="T1280" t="str">
            <v>normal</v>
          </cell>
          <cell r="U1280" t="str">
            <v>NULL</v>
          </cell>
          <cell r="V1280" t="str">
            <v>NULL</v>
          </cell>
          <cell r="W1280" t="str">
            <v>NULL</v>
          </cell>
        </row>
        <row r="1281">
          <cell r="A1281">
            <v>1280</v>
          </cell>
          <cell r="B1281" t="str">
            <v>ja</v>
          </cell>
          <cell r="C1281" t="str">
            <v>聖装の始祖帝 クリスマス卑弥呼</v>
          </cell>
          <cell r="H1281" t="str">
            <v>blue</v>
          </cell>
          <cell r="I1281">
            <v>5</v>
          </cell>
          <cell r="J1281" t="str">
            <v>PremiumS</v>
          </cell>
          <cell r="K1281" t="str">
            <v>balance</v>
          </cell>
          <cell r="L1281" t="str">
            <v>バランスタイプ</v>
          </cell>
          <cell r="M1281" t="str">
            <v>human</v>
          </cell>
          <cell r="N1281" t="str">
            <v>ヒューマン</v>
          </cell>
          <cell r="O1281" t="str">
            <v>none</v>
          </cell>
          <cell r="P1281" t="str">
            <v>種族なし</v>
          </cell>
          <cell r="R1281">
            <v>3</v>
          </cell>
          <cell r="S1281" t="str">
            <v>NULL</v>
          </cell>
          <cell r="T1281" t="str">
            <v>normal</v>
          </cell>
          <cell r="U1281" t="str">
            <v>NULL</v>
          </cell>
          <cell r="V1281" t="str">
            <v>NULL</v>
          </cell>
          <cell r="W1281" t="str">
            <v>NULL</v>
          </cell>
        </row>
        <row r="1282">
          <cell r="A1282">
            <v>1281</v>
          </cell>
          <cell r="B1282" t="str">
            <v>ja</v>
          </cell>
          <cell r="C1282" t="str">
            <v>愛贈の白魔 ノエル・エスタブ</v>
          </cell>
          <cell r="H1282" t="str">
            <v>green</v>
          </cell>
          <cell r="I1282">
            <v>5</v>
          </cell>
          <cell r="J1282" t="str">
            <v>PremiumS</v>
          </cell>
          <cell r="K1282" t="str">
            <v>attack</v>
          </cell>
          <cell r="L1282" t="str">
            <v>攻撃タイプ</v>
          </cell>
          <cell r="M1282" t="str">
            <v>human</v>
          </cell>
          <cell r="N1282" t="str">
            <v>ヒューマン</v>
          </cell>
          <cell r="O1282" t="str">
            <v>animal</v>
          </cell>
          <cell r="P1282" t="str">
            <v>アニマル</v>
          </cell>
          <cell r="R1282">
            <v>3</v>
          </cell>
          <cell r="S1282" t="str">
            <v>NULL</v>
          </cell>
          <cell r="T1282" t="str">
            <v>normal</v>
          </cell>
          <cell r="U1282" t="str">
            <v>NULL</v>
          </cell>
          <cell r="V1282" t="str">
            <v>NULL</v>
          </cell>
          <cell r="W1282" t="str">
            <v>NULL</v>
          </cell>
        </row>
        <row r="1283">
          <cell r="A1283">
            <v>1282</v>
          </cell>
          <cell r="B1283" t="str">
            <v>ja</v>
          </cell>
          <cell r="C1283" t="str">
            <v>ポーラとダニー</v>
          </cell>
          <cell r="H1283" t="str">
            <v>red</v>
          </cell>
          <cell r="I1283">
            <v>5</v>
          </cell>
          <cell r="J1283" t="str">
            <v>DropWizS</v>
          </cell>
          <cell r="K1283" t="str">
            <v>balance</v>
          </cell>
          <cell r="L1283" t="str">
            <v>バランスタイプ</v>
          </cell>
          <cell r="M1283" t="str">
            <v>unknown</v>
          </cell>
          <cell r="N1283" t="str">
            <v>Unknown</v>
          </cell>
          <cell r="O1283" t="str">
            <v>none</v>
          </cell>
          <cell r="P1283" t="str">
            <v>種族なし</v>
          </cell>
          <cell r="R1283">
            <v>3</v>
          </cell>
          <cell r="S1283" t="str">
            <v>NULL</v>
          </cell>
          <cell r="T1283" t="str">
            <v>normal</v>
          </cell>
          <cell r="U1283" t="str">
            <v>NULL</v>
          </cell>
          <cell r="V1283" t="str">
            <v>NULL</v>
          </cell>
          <cell r="W1283" t="str">
            <v>NULL</v>
          </cell>
        </row>
        <row r="1284">
          <cell r="A1284">
            <v>1283</v>
          </cell>
          <cell r="B1284" t="str">
            <v>ja</v>
          </cell>
          <cell r="C1284" t="str">
            <v>連極の機関砲 ポーラとダニー</v>
          </cell>
          <cell r="H1284" t="str">
            <v>red</v>
          </cell>
          <cell r="I1284">
            <v>6</v>
          </cell>
          <cell r="J1284" t="str">
            <v>DropWizS</v>
          </cell>
          <cell r="K1284" t="str">
            <v>balance</v>
          </cell>
          <cell r="L1284" t="str">
            <v>バランスタイプ</v>
          </cell>
          <cell r="M1284" t="str">
            <v>unknown</v>
          </cell>
          <cell r="N1284" t="str">
            <v>Unknown</v>
          </cell>
          <cell r="O1284" t="str">
            <v>none</v>
          </cell>
          <cell r="P1284" t="str">
            <v>種族なし</v>
          </cell>
          <cell r="R1284">
            <v>3</v>
          </cell>
          <cell r="S1284" t="str">
            <v>NULL</v>
          </cell>
          <cell r="T1284" t="str">
            <v>normal</v>
          </cell>
          <cell r="U1284" t="str">
            <v>NULL</v>
          </cell>
          <cell r="V1284" t="str">
            <v>NULL</v>
          </cell>
          <cell r="W1284" t="str">
            <v>NULL</v>
          </cell>
        </row>
        <row r="1285">
          <cell r="A1285">
            <v>1284</v>
          </cell>
          <cell r="B1285" t="str">
            <v>ja</v>
          </cell>
          <cell r="C1285" t="str">
            <v>マシン・シュプール</v>
          </cell>
          <cell r="H1285" t="str">
            <v>blue</v>
          </cell>
          <cell r="I1285">
            <v>5</v>
          </cell>
          <cell r="J1285" t="str">
            <v>DropWizS</v>
          </cell>
          <cell r="K1285" t="str">
            <v>hp</v>
          </cell>
          <cell r="L1285" t="str">
            <v>体力タイプ</v>
          </cell>
          <cell r="M1285" t="str">
            <v>unknown</v>
          </cell>
          <cell r="N1285" t="str">
            <v>Unknown</v>
          </cell>
          <cell r="O1285" t="str">
            <v>human</v>
          </cell>
          <cell r="P1285" t="str">
            <v>ヒューマン</v>
          </cell>
          <cell r="R1285">
            <v>3</v>
          </cell>
          <cell r="S1285" t="str">
            <v>NULL</v>
          </cell>
          <cell r="T1285" t="str">
            <v>normal</v>
          </cell>
          <cell r="U1285" t="str">
            <v>NULL</v>
          </cell>
          <cell r="V1285" t="str">
            <v>NULL</v>
          </cell>
          <cell r="W1285" t="str">
            <v>NULL</v>
          </cell>
        </row>
        <row r="1286">
          <cell r="A1286">
            <v>1285</v>
          </cell>
          <cell r="B1286" t="str">
            <v>ja</v>
          </cell>
          <cell r="C1286" t="str">
            <v>災氷の魔導 シュプール</v>
          </cell>
          <cell r="H1286" t="str">
            <v>blue</v>
          </cell>
          <cell r="I1286">
            <v>6</v>
          </cell>
          <cell r="J1286" t="str">
            <v>DropWizS</v>
          </cell>
          <cell r="K1286" t="str">
            <v>hp</v>
          </cell>
          <cell r="L1286" t="str">
            <v>体力タイプ</v>
          </cell>
          <cell r="M1286" t="str">
            <v>unknown</v>
          </cell>
          <cell r="N1286" t="str">
            <v>Unknown</v>
          </cell>
          <cell r="O1286" t="str">
            <v>human</v>
          </cell>
          <cell r="P1286" t="str">
            <v>ヒューマン</v>
          </cell>
          <cell r="R1286">
            <v>3</v>
          </cell>
          <cell r="S1286" t="str">
            <v>NULL</v>
          </cell>
          <cell r="T1286" t="str">
            <v>normal</v>
          </cell>
          <cell r="U1286" t="str">
            <v>NULL</v>
          </cell>
          <cell r="V1286" t="str">
            <v>NULL</v>
          </cell>
          <cell r="W1286" t="str">
            <v>NULL</v>
          </cell>
        </row>
        <row r="1287">
          <cell r="A1287">
            <v>1286</v>
          </cell>
          <cell r="B1287" t="str">
            <v>ja</v>
          </cell>
          <cell r="C1287" t="str">
            <v>ニコラ</v>
          </cell>
          <cell r="H1287" t="str">
            <v>yellow</v>
          </cell>
          <cell r="I1287">
            <v>5</v>
          </cell>
          <cell r="J1287" t="str">
            <v>PremiumSSS</v>
          </cell>
          <cell r="K1287" t="str">
            <v>hp</v>
          </cell>
          <cell r="L1287" t="str">
            <v>体力タイプ</v>
          </cell>
          <cell r="M1287" t="str">
            <v>human</v>
          </cell>
          <cell r="N1287" t="str">
            <v>ヒューマン</v>
          </cell>
          <cell r="O1287" t="str">
            <v>none</v>
          </cell>
          <cell r="P1287" t="str">
            <v>種族なし</v>
          </cell>
          <cell r="R1287">
            <v>3</v>
          </cell>
          <cell r="S1287" t="str">
            <v>NULL</v>
          </cell>
          <cell r="T1287" t="str">
            <v>normal</v>
          </cell>
          <cell r="U1287" t="str">
            <v>NULL</v>
          </cell>
          <cell r="V1287" t="str">
            <v>NULL</v>
          </cell>
          <cell r="W1287" t="str">
            <v>NULL</v>
          </cell>
        </row>
        <row r="1288">
          <cell r="A1288">
            <v>1287</v>
          </cell>
          <cell r="B1288" t="str">
            <v>ja</v>
          </cell>
          <cell r="C1288" t="str">
            <v>奇蹟呼ぶ聖砲 ニコラ</v>
          </cell>
          <cell r="H1288" t="str">
            <v>yellow</v>
          </cell>
          <cell r="I1288">
            <v>6</v>
          </cell>
          <cell r="J1288" t="str">
            <v>PremiumSSS</v>
          </cell>
          <cell r="K1288" t="str">
            <v>hp</v>
          </cell>
          <cell r="L1288" t="str">
            <v>体力タイプ</v>
          </cell>
          <cell r="M1288" t="str">
            <v>human</v>
          </cell>
          <cell r="N1288" t="str">
            <v>ヒューマン</v>
          </cell>
          <cell r="O1288" t="str">
            <v>none</v>
          </cell>
          <cell r="P1288" t="str">
            <v>種族なし</v>
          </cell>
          <cell r="R1288">
            <v>3</v>
          </cell>
          <cell r="S1288" t="str">
            <v>NULL</v>
          </cell>
          <cell r="T1288" t="str">
            <v>normal</v>
          </cell>
          <cell r="U1288" t="str">
            <v>NULL</v>
          </cell>
          <cell r="V1288" t="str">
            <v>NULL</v>
          </cell>
          <cell r="W1288" t="str">
            <v>NULL</v>
          </cell>
        </row>
        <row r="1289">
          <cell r="A1289">
            <v>1288</v>
          </cell>
          <cell r="B1289" t="str">
            <v>ja</v>
          </cell>
          <cell r="C1289" t="str">
            <v>聖伝の大主教 セント・ニコラ</v>
          </cell>
          <cell r="H1289" t="str">
            <v>yellow</v>
          </cell>
          <cell r="I1289">
            <v>6</v>
          </cell>
          <cell r="J1289" t="str">
            <v>PremiumSSS</v>
          </cell>
          <cell r="K1289" t="str">
            <v>hp</v>
          </cell>
          <cell r="L1289" t="str">
            <v>体力タイプ</v>
          </cell>
          <cell r="M1289" t="str">
            <v>human</v>
          </cell>
          <cell r="N1289" t="str">
            <v>ヒューマン</v>
          </cell>
          <cell r="O1289" t="str">
            <v>none</v>
          </cell>
          <cell r="P1289" t="str">
            <v>種族なし</v>
          </cell>
          <cell r="R1289">
            <v>3</v>
          </cell>
          <cell r="S1289" t="str">
            <v>NULL</v>
          </cell>
          <cell r="T1289" t="str">
            <v>super</v>
          </cell>
          <cell r="U1289" t="str">
            <v>NULL</v>
          </cell>
          <cell r="V1289" t="str">
            <v>NULL</v>
          </cell>
          <cell r="W1289" t="str">
            <v>NULL</v>
          </cell>
        </row>
        <row r="1290">
          <cell r="A1290">
            <v>1289</v>
          </cell>
          <cell r="B1290" t="str">
            <v>ja</v>
          </cell>
          <cell r="C1290" t="str">
            <v>聖封の褒装 ベルベット</v>
          </cell>
          <cell r="H1290" t="str">
            <v>blue</v>
          </cell>
          <cell r="I1290">
            <v>6</v>
          </cell>
          <cell r="J1290" t="str">
            <v>DropWizSSS</v>
          </cell>
          <cell r="K1290" t="str">
            <v>balance</v>
          </cell>
          <cell r="L1290" t="str">
            <v>バランスタイプ</v>
          </cell>
          <cell r="M1290" t="str">
            <v>unknown</v>
          </cell>
          <cell r="N1290" t="str">
            <v>Unknown</v>
          </cell>
          <cell r="O1290" t="str">
            <v>none</v>
          </cell>
          <cell r="P1290" t="str">
            <v>種族なし</v>
          </cell>
          <cell r="R1290">
            <v>3</v>
          </cell>
          <cell r="S1290" t="str">
            <v>NULL</v>
          </cell>
          <cell r="T1290" t="str">
            <v>normal</v>
          </cell>
          <cell r="U1290" t="str">
            <v>NULL</v>
          </cell>
          <cell r="V1290" t="str">
            <v>NULL</v>
          </cell>
          <cell r="W1290" t="str">
            <v>NULL</v>
          </cell>
        </row>
        <row r="1291">
          <cell r="A1291">
            <v>1290</v>
          </cell>
          <cell r="B1291" t="str">
            <v>ja</v>
          </cell>
          <cell r="C1291" t="str">
            <v>想飾の響鐘 リンジー</v>
          </cell>
          <cell r="H1291" t="str">
            <v>blue</v>
          </cell>
          <cell r="I1291">
            <v>6</v>
          </cell>
          <cell r="J1291" t="str">
            <v>DropWizSSS</v>
          </cell>
          <cell r="K1291" t="str">
            <v>attack</v>
          </cell>
          <cell r="L1291" t="str">
            <v>攻撃タイプ</v>
          </cell>
          <cell r="M1291" t="str">
            <v>unknown</v>
          </cell>
          <cell r="N1291" t="str">
            <v>Unknown</v>
          </cell>
          <cell r="O1291" t="str">
            <v>none</v>
          </cell>
          <cell r="P1291" t="str">
            <v>種族なし</v>
          </cell>
          <cell r="R1291">
            <v>3</v>
          </cell>
          <cell r="S1291" t="str">
            <v>NULL</v>
          </cell>
          <cell r="T1291" t="str">
            <v>normal</v>
          </cell>
          <cell r="U1291" t="str">
            <v>NULL</v>
          </cell>
          <cell r="V1291" t="str">
            <v>NULL</v>
          </cell>
          <cell r="W1291" t="str">
            <v>NULL</v>
          </cell>
        </row>
        <row r="1292">
          <cell r="A1292">
            <v>1291</v>
          </cell>
          <cell r="B1292" t="str">
            <v>ja</v>
          </cell>
          <cell r="C1292" t="str">
            <v>望雅の煌明鹿剣 勘兵衛</v>
          </cell>
          <cell r="H1292" t="str">
            <v>yellow</v>
          </cell>
          <cell r="I1292">
            <v>5</v>
          </cell>
          <cell r="J1292" t="str">
            <v>DropWizS</v>
          </cell>
          <cell r="K1292" t="str">
            <v>technical</v>
          </cell>
          <cell r="L1292" t="str">
            <v>テクニカルタイプ</v>
          </cell>
          <cell r="M1292" t="str">
            <v>animal</v>
          </cell>
          <cell r="N1292" t="str">
            <v>アニマル</v>
          </cell>
          <cell r="O1292" t="str">
            <v>none</v>
          </cell>
          <cell r="P1292" t="str">
            <v>種族なし</v>
          </cell>
          <cell r="R1292">
            <v>3</v>
          </cell>
          <cell r="S1292" t="str">
            <v>NULL</v>
          </cell>
          <cell r="T1292" t="str">
            <v>normal</v>
          </cell>
          <cell r="U1292" t="str">
            <v>NULL</v>
          </cell>
          <cell r="V1292" t="str">
            <v>NULL</v>
          </cell>
          <cell r="W1292" t="str">
            <v>NULL</v>
          </cell>
        </row>
        <row r="1293">
          <cell r="A1293">
            <v>1292</v>
          </cell>
          <cell r="B1293" t="str">
            <v>ja</v>
          </cell>
          <cell r="C1293" t="str">
            <v>風光明媚の雅鹿剣 勘兵衛</v>
          </cell>
          <cell r="H1293" t="str">
            <v>yellow</v>
          </cell>
          <cell r="I1293">
            <v>6</v>
          </cell>
          <cell r="J1293" t="str">
            <v>DropWizS</v>
          </cell>
          <cell r="K1293" t="str">
            <v>technical</v>
          </cell>
          <cell r="L1293" t="str">
            <v>テクニカルタイプ</v>
          </cell>
          <cell r="M1293" t="str">
            <v>animal</v>
          </cell>
          <cell r="N1293" t="str">
            <v>アニマル</v>
          </cell>
          <cell r="O1293" t="str">
            <v>none</v>
          </cell>
          <cell r="P1293" t="str">
            <v>種族なし</v>
          </cell>
          <cell r="R1293">
            <v>3</v>
          </cell>
          <cell r="S1293" t="str">
            <v>NULL</v>
          </cell>
          <cell r="T1293" t="str">
            <v>normal</v>
          </cell>
          <cell r="U1293" t="str">
            <v>NULL</v>
          </cell>
          <cell r="V1293" t="str">
            <v>NULL</v>
          </cell>
          <cell r="W1293" t="str">
            <v>NULL</v>
          </cell>
        </row>
        <row r="1294">
          <cell r="A1294">
            <v>1293</v>
          </cell>
          <cell r="B1294" t="str">
            <v>ja</v>
          </cell>
          <cell r="C1294" t="str">
            <v>トトリ</v>
          </cell>
          <cell r="H1294" t="str">
            <v>red</v>
          </cell>
          <cell r="I1294">
            <v>5</v>
          </cell>
          <cell r="J1294" t="str">
            <v>DropWizS</v>
          </cell>
          <cell r="K1294" t="str">
            <v>balance</v>
          </cell>
          <cell r="L1294" t="str">
            <v>バランスタイプ</v>
          </cell>
          <cell r="M1294" t="str">
            <v>animal</v>
          </cell>
          <cell r="N1294" t="str">
            <v>アニマル</v>
          </cell>
          <cell r="O1294" t="str">
            <v>god</v>
          </cell>
          <cell r="P1294" t="str">
            <v>ゴッド</v>
          </cell>
          <cell r="R1294">
            <v>3</v>
          </cell>
          <cell r="S1294" t="str">
            <v>NULL</v>
          </cell>
          <cell r="T1294" t="str">
            <v>normal</v>
          </cell>
          <cell r="U1294" t="str">
            <v>NULL</v>
          </cell>
          <cell r="V1294" t="str">
            <v>NULL</v>
          </cell>
          <cell r="W1294" t="str">
            <v>NULL</v>
          </cell>
        </row>
        <row r="1295">
          <cell r="A1295">
            <v>1294</v>
          </cell>
          <cell r="B1295" t="str">
            <v>ja</v>
          </cell>
          <cell r="C1295" t="str">
            <v>酉賀なる初飛翔 トトリ</v>
          </cell>
          <cell r="H1295" t="str">
            <v>red</v>
          </cell>
          <cell r="I1295">
            <v>6</v>
          </cell>
          <cell r="J1295" t="str">
            <v>DropWizS</v>
          </cell>
          <cell r="K1295" t="str">
            <v>balance</v>
          </cell>
          <cell r="L1295" t="str">
            <v>バランスタイプ</v>
          </cell>
          <cell r="M1295" t="str">
            <v>animal</v>
          </cell>
          <cell r="N1295" t="str">
            <v>アニマル</v>
          </cell>
          <cell r="O1295" t="str">
            <v>god</v>
          </cell>
          <cell r="P1295" t="str">
            <v>ゴッド</v>
          </cell>
          <cell r="R1295">
            <v>3</v>
          </cell>
          <cell r="S1295" t="str">
            <v>NULL</v>
          </cell>
          <cell r="T1295" t="str">
            <v>normal</v>
          </cell>
          <cell r="U1295" t="str">
            <v>NULL</v>
          </cell>
          <cell r="V1295" t="str">
            <v>NULL</v>
          </cell>
          <cell r="W1295" t="str">
            <v>NULL</v>
          </cell>
        </row>
        <row r="1296">
          <cell r="A1296">
            <v>1295</v>
          </cell>
          <cell r="B1296" t="str">
            <v>ja</v>
          </cell>
          <cell r="C1296" t="str">
            <v>星空の舞奏 ラビット・ユキネ</v>
          </cell>
          <cell r="H1296" t="str">
            <v>blue</v>
          </cell>
          <cell r="I1296">
            <v>5</v>
          </cell>
          <cell r="J1296" t="str">
            <v>DropWizS</v>
          </cell>
          <cell r="K1296" t="str">
            <v>balance</v>
          </cell>
          <cell r="L1296" t="str">
            <v>バランスタイプ</v>
          </cell>
          <cell r="M1296" t="str">
            <v>unknown</v>
          </cell>
          <cell r="N1296" t="str">
            <v>Unknown</v>
          </cell>
          <cell r="O1296" t="str">
            <v>none</v>
          </cell>
          <cell r="P1296" t="str">
            <v>種族なし</v>
          </cell>
          <cell r="R1296">
            <v>3</v>
          </cell>
          <cell r="S1296" t="str">
            <v>NULL</v>
          </cell>
          <cell r="T1296" t="str">
            <v>normal</v>
          </cell>
          <cell r="U1296" t="str">
            <v>NULL</v>
          </cell>
          <cell r="V1296" t="str">
            <v>NULL</v>
          </cell>
          <cell r="W1296" t="str">
            <v>NULL</v>
          </cell>
        </row>
        <row r="1297">
          <cell r="A1297">
            <v>1296</v>
          </cell>
          <cell r="B1297" t="str">
            <v>ja</v>
          </cell>
          <cell r="C1297" t="str">
            <v>星々駆ける乱奏 ラビット・ユキネ</v>
          </cell>
          <cell r="H1297" t="str">
            <v>blue</v>
          </cell>
          <cell r="I1297">
            <v>6</v>
          </cell>
          <cell r="J1297" t="str">
            <v>DropWizS</v>
          </cell>
          <cell r="K1297" t="str">
            <v>balance</v>
          </cell>
          <cell r="L1297" t="str">
            <v>バランスタイプ</v>
          </cell>
          <cell r="M1297" t="str">
            <v>unknown</v>
          </cell>
          <cell r="N1297" t="str">
            <v>Unknown</v>
          </cell>
          <cell r="O1297" t="str">
            <v>none</v>
          </cell>
          <cell r="P1297" t="str">
            <v>種族なし</v>
          </cell>
          <cell r="R1297">
            <v>3</v>
          </cell>
          <cell r="S1297" t="str">
            <v>NULL</v>
          </cell>
          <cell r="T1297" t="str">
            <v>normal</v>
          </cell>
          <cell r="U1297" t="str">
            <v>NULL</v>
          </cell>
          <cell r="V1297" t="str">
            <v>NULL</v>
          </cell>
          <cell r="W1297" t="str">
            <v>NULL</v>
          </cell>
        </row>
        <row r="1298">
          <cell r="A1298">
            <v>1297</v>
          </cell>
          <cell r="B1298" t="str">
            <v>ja</v>
          </cell>
          <cell r="C1298" t="str">
            <v>雪ミク2017</v>
          </cell>
          <cell r="H1298" t="str">
            <v>green</v>
          </cell>
          <cell r="I1298">
            <v>5</v>
          </cell>
          <cell r="J1298" t="str">
            <v>DropWizS</v>
          </cell>
          <cell r="K1298" t="str">
            <v>heal</v>
          </cell>
          <cell r="L1298" t="str">
            <v>回復タイプ</v>
          </cell>
          <cell r="M1298" t="str">
            <v>unknown</v>
          </cell>
          <cell r="N1298" t="str">
            <v>Unknown</v>
          </cell>
          <cell r="O1298" t="str">
            <v>none</v>
          </cell>
          <cell r="P1298" t="str">
            <v>種族なし</v>
          </cell>
          <cell r="R1298">
            <v>3</v>
          </cell>
          <cell r="S1298" t="str">
            <v>NULL</v>
          </cell>
          <cell r="T1298" t="str">
            <v>normal</v>
          </cell>
          <cell r="U1298" t="str">
            <v>NULL</v>
          </cell>
          <cell r="V1298" t="str">
            <v>NULL</v>
          </cell>
          <cell r="W1298" t="str">
            <v>NULL</v>
          </cell>
        </row>
        <row r="1299">
          <cell r="A1299">
            <v>1298</v>
          </cell>
          <cell r="B1299" t="str">
            <v>ja</v>
          </cell>
          <cell r="C1299" t="str">
            <v>星空の歌姫 雪ミク2017</v>
          </cell>
          <cell r="H1299" t="str">
            <v>green</v>
          </cell>
          <cell r="I1299">
            <v>6</v>
          </cell>
          <cell r="J1299" t="str">
            <v>DropWizS</v>
          </cell>
          <cell r="K1299" t="str">
            <v>heal</v>
          </cell>
          <cell r="L1299" t="str">
            <v>回復タイプ</v>
          </cell>
          <cell r="M1299" t="str">
            <v>unknown</v>
          </cell>
          <cell r="N1299" t="str">
            <v>Unknown</v>
          </cell>
          <cell r="O1299" t="str">
            <v>none</v>
          </cell>
          <cell r="P1299" t="str">
            <v>種族なし</v>
          </cell>
          <cell r="R1299">
            <v>3</v>
          </cell>
          <cell r="S1299" t="str">
            <v>NULL</v>
          </cell>
          <cell r="T1299" t="str">
            <v>normal</v>
          </cell>
          <cell r="U1299" t="str">
            <v>NULL</v>
          </cell>
          <cell r="V1299" t="str">
            <v>NULL</v>
          </cell>
          <cell r="W1299" t="str">
            <v>NULL</v>
          </cell>
        </row>
        <row r="1300">
          <cell r="A1300">
            <v>1299</v>
          </cell>
          <cell r="B1300" t="str">
            <v>ja</v>
          </cell>
          <cell r="C1300" t="str">
            <v>覚世の楽聖姫 初音ミクV3</v>
          </cell>
          <cell r="H1300" t="str">
            <v>yellow</v>
          </cell>
          <cell r="I1300">
            <v>6</v>
          </cell>
          <cell r="J1300" t="str">
            <v>DropWizS</v>
          </cell>
          <cell r="K1300" t="str">
            <v>balance</v>
          </cell>
          <cell r="L1300" t="str">
            <v>バランスタイプ</v>
          </cell>
          <cell r="M1300" t="str">
            <v>unknown</v>
          </cell>
          <cell r="N1300" t="str">
            <v>Unknown</v>
          </cell>
          <cell r="O1300" t="str">
            <v>none</v>
          </cell>
          <cell r="P1300" t="str">
            <v>種族なし</v>
          </cell>
          <cell r="R1300">
            <v>3</v>
          </cell>
          <cell r="S1300" t="str">
            <v>NULL</v>
          </cell>
          <cell r="T1300" t="str">
            <v>normal</v>
          </cell>
          <cell r="U1300" t="str">
            <v>NULL</v>
          </cell>
          <cell r="V1300" t="str">
            <v>NULL</v>
          </cell>
          <cell r="W1300" t="str">
            <v>NULL</v>
          </cell>
        </row>
        <row r="1301">
          <cell r="A1301">
            <v>1300</v>
          </cell>
          <cell r="B1301" t="str">
            <v>ja</v>
          </cell>
          <cell r="C1301" t="str">
            <v>歌装の彩唱 紫式部</v>
          </cell>
          <cell r="H1301" t="str">
            <v>green</v>
          </cell>
          <cell r="I1301">
            <v>5</v>
          </cell>
          <cell r="J1301" t="str">
            <v>DropWizS</v>
          </cell>
          <cell r="K1301" t="str">
            <v>technical</v>
          </cell>
          <cell r="L1301" t="str">
            <v>テクニカルタイプ</v>
          </cell>
          <cell r="M1301" t="str">
            <v>unknown</v>
          </cell>
          <cell r="N1301" t="str">
            <v>Unknown</v>
          </cell>
          <cell r="O1301" t="str">
            <v>none</v>
          </cell>
          <cell r="P1301" t="str">
            <v>種族なし</v>
          </cell>
          <cell r="R1301">
            <v>3</v>
          </cell>
          <cell r="S1301" t="str">
            <v>NULL</v>
          </cell>
          <cell r="T1301" t="str">
            <v>normal</v>
          </cell>
          <cell r="U1301" t="str">
            <v>NULL</v>
          </cell>
          <cell r="V1301" t="str">
            <v>NULL</v>
          </cell>
          <cell r="W1301" t="str">
            <v>NULL</v>
          </cell>
        </row>
        <row r="1302">
          <cell r="A1302">
            <v>1301</v>
          </cell>
          <cell r="B1302" t="str">
            <v>ja</v>
          </cell>
          <cell r="C1302" t="str">
            <v>歌装の萌響女 紫式部</v>
          </cell>
          <cell r="H1302" t="str">
            <v>green</v>
          </cell>
          <cell r="I1302">
            <v>6</v>
          </cell>
          <cell r="J1302" t="str">
            <v>DropWizS</v>
          </cell>
          <cell r="K1302" t="str">
            <v>technical</v>
          </cell>
          <cell r="L1302" t="str">
            <v>テクニカルタイプ</v>
          </cell>
          <cell r="M1302" t="str">
            <v>unknown</v>
          </cell>
          <cell r="N1302" t="str">
            <v>Unknown</v>
          </cell>
          <cell r="O1302" t="str">
            <v>none</v>
          </cell>
          <cell r="P1302" t="str">
            <v>種族なし</v>
          </cell>
          <cell r="R1302">
            <v>3</v>
          </cell>
          <cell r="S1302" t="str">
            <v>NULL</v>
          </cell>
          <cell r="T1302" t="str">
            <v>normal</v>
          </cell>
          <cell r="U1302" t="str">
            <v>NULL</v>
          </cell>
          <cell r="V1302" t="str">
            <v>NULL</v>
          </cell>
          <cell r="W1302" t="str">
            <v>NULL</v>
          </cell>
        </row>
        <row r="1303">
          <cell r="A1303">
            <v>1302</v>
          </cell>
          <cell r="B1303" t="str">
            <v>ja</v>
          </cell>
          <cell r="C1303" t="str">
            <v>超天突符 イナバ</v>
          </cell>
          <cell r="H1303" t="str">
            <v>yellow</v>
          </cell>
          <cell r="I1303">
            <v>5</v>
          </cell>
          <cell r="J1303" t="str">
            <v>DropWizS</v>
          </cell>
          <cell r="K1303" t="str">
            <v>balance</v>
          </cell>
          <cell r="L1303" t="str">
            <v>バランスタイプ</v>
          </cell>
          <cell r="M1303" t="str">
            <v>unknown</v>
          </cell>
          <cell r="N1303" t="str">
            <v>Unknown</v>
          </cell>
          <cell r="O1303" t="str">
            <v>none</v>
          </cell>
          <cell r="P1303" t="str">
            <v>種族なし</v>
          </cell>
          <cell r="R1303">
            <v>3</v>
          </cell>
          <cell r="S1303" t="str">
            <v>NULL</v>
          </cell>
          <cell r="T1303" t="str">
            <v>normal</v>
          </cell>
          <cell r="U1303" t="str">
            <v>NULL</v>
          </cell>
          <cell r="V1303" t="str">
            <v>NULL</v>
          </cell>
          <cell r="W1303" t="str">
            <v>NULL</v>
          </cell>
        </row>
        <row r="1304">
          <cell r="A1304">
            <v>1303</v>
          </cell>
          <cell r="B1304" t="str">
            <v>ja</v>
          </cell>
          <cell r="C1304" t="str">
            <v>転調･超天突符 イナバ</v>
          </cell>
          <cell r="H1304" t="str">
            <v>yellow</v>
          </cell>
          <cell r="I1304">
            <v>6</v>
          </cell>
          <cell r="J1304" t="str">
            <v>DropWizS</v>
          </cell>
          <cell r="K1304" t="str">
            <v>balance</v>
          </cell>
          <cell r="L1304" t="str">
            <v>バランスタイプ</v>
          </cell>
          <cell r="M1304" t="str">
            <v>unknown</v>
          </cell>
          <cell r="N1304" t="str">
            <v>Unknown</v>
          </cell>
          <cell r="O1304" t="str">
            <v>none</v>
          </cell>
          <cell r="P1304" t="str">
            <v>種族なし</v>
          </cell>
          <cell r="R1304">
            <v>3</v>
          </cell>
          <cell r="S1304" t="str">
            <v>NULL</v>
          </cell>
          <cell r="T1304" t="str">
            <v>normal</v>
          </cell>
          <cell r="U1304" t="str">
            <v>NULL</v>
          </cell>
          <cell r="V1304" t="str">
            <v>NULL</v>
          </cell>
          <cell r="W1304" t="str">
            <v>NULL</v>
          </cell>
        </row>
        <row r="1305">
          <cell r="A1305">
            <v>1304</v>
          </cell>
          <cell r="B1305" t="str">
            <v>ja</v>
          </cell>
          <cell r="C1305" t="str">
            <v>演鼠の響笛音 ハーメルン</v>
          </cell>
          <cell r="H1305" t="str">
            <v>blue</v>
          </cell>
          <cell r="I1305">
            <v>5</v>
          </cell>
          <cell r="J1305" t="str">
            <v>DropWizS</v>
          </cell>
          <cell r="K1305" t="str">
            <v>technical</v>
          </cell>
          <cell r="L1305" t="str">
            <v>テクニカルタイプ</v>
          </cell>
          <cell r="M1305" t="str">
            <v>unknown</v>
          </cell>
          <cell r="N1305" t="str">
            <v>Unknown</v>
          </cell>
          <cell r="O1305" t="str">
            <v>none</v>
          </cell>
          <cell r="P1305" t="str">
            <v>種族なし</v>
          </cell>
          <cell r="R1305">
            <v>3</v>
          </cell>
          <cell r="S1305" t="str">
            <v>NULL</v>
          </cell>
          <cell r="T1305" t="str">
            <v>normal</v>
          </cell>
          <cell r="U1305" t="str">
            <v>NULL</v>
          </cell>
          <cell r="V1305" t="str">
            <v>NULL</v>
          </cell>
          <cell r="W1305" t="str">
            <v>NULL</v>
          </cell>
        </row>
        <row r="1306">
          <cell r="A1306">
            <v>1305</v>
          </cell>
          <cell r="B1306" t="str">
            <v>ja</v>
          </cell>
          <cell r="C1306" t="str">
            <v>響界廻る睡鼠楽 ハーメルン</v>
          </cell>
          <cell r="H1306" t="str">
            <v>blue</v>
          </cell>
          <cell r="I1306">
            <v>6</v>
          </cell>
          <cell r="J1306" t="str">
            <v>DropWizS</v>
          </cell>
          <cell r="K1306" t="str">
            <v>technical</v>
          </cell>
          <cell r="L1306" t="str">
            <v>テクニカルタイプ</v>
          </cell>
          <cell r="M1306" t="str">
            <v>unknown</v>
          </cell>
          <cell r="N1306" t="str">
            <v>Unknown</v>
          </cell>
          <cell r="O1306" t="str">
            <v>none</v>
          </cell>
          <cell r="P1306" t="str">
            <v>種族なし</v>
          </cell>
          <cell r="R1306">
            <v>3</v>
          </cell>
          <cell r="S1306" t="str">
            <v>NULL</v>
          </cell>
          <cell r="T1306" t="str">
            <v>normal</v>
          </cell>
          <cell r="U1306" t="str">
            <v>NULL</v>
          </cell>
          <cell r="V1306" t="str">
            <v>NULL</v>
          </cell>
          <cell r="W1306" t="str">
            <v>NULL</v>
          </cell>
        </row>
        <row r="1307">
          <cell r="A1307">
            <v>1306</v>
          </cell>
          <cell r="B1307" t="str">
            <v>ja</v>
          </cell>
          <cell r="C1307" t="str">
            <v>玉響の唱天 ルシファー</v>
          </cell>
          <cell r="H1307" t="str">
            <v>yellow</v>
          </cell>
          <cell r="I1307">
            <v>5</v>
          </cell>
          <cell r="J1307" t="str">
            <v>DropWizSS</v>
          </cell>
          <cell r="K1307" t="str">
            <v>attack</v>
          </cell>
          <cell r="L1307" t="str">
            <v>攻撃タイプ</v>
          </cell>
          <cell r="M1307" t="str">
            <v>unknown</v>
          </cell>
          <cell r="N1307" t="str">
            <v>Unknown</v>
          </cell>
          <cell r="O1307" t="str">
            <v>none</v>
          </cell>
          <cell r="P1307" t="str">
            <v>種族なし</v>
          </cell>
          <cell r="R1307">
            <v>3</v>
          </cell>
          <cell r="S1307" t="str">
            <v>NULL</v>
          </cell>
          <cell r="T1307" t="str">
            <v>normal</v>
          </cell>
          <cell r="U1307" t="str">
            <v>NULL</v>
          </cell>
          <cell r="V1307" t="str">
            <v>NULL</v>
          </cell>
          <cell r="W1307" t="str">
            <v>NULL</v>
          </cell>
        </row>
        <row r="1308">
          <cell r="A1308">
            <v>1307</v>
          </cell>
          <cell r="B1308" t="str">
            <v>ja</v>
          </cell>
          <cell r="C1308" t="str">
            <v>彩翼の唱天史 ルシファー</v>
          </cell>
          <cell r="H1308" t="str">
            <v>yellow</v>
          </cell>
          <cell r="I1308">
            <v>6</v>
          </cell>
          <cell r="J1308" t="str">
            <v>DropWizSS</v>
          </cell>
          <cell r="K1308" t="str">
            <v>attack</v>
          </cell>
          <cell r="L1308" t="str">
            <v>攻撃タイプ</v>
          </cell>
          <cell r="M1308" t="str">
            <v>unknown</v>
          </cell>
          <cell r="N1308" t="str">
            <v>Unknown</v>
          </cell>
          <cell r="O1308" t="str">
            <v>none</v>
          </cell>
          <cell r="P1308" t="str">
            <v>種族なし</v>
          </cell>
          <cell r="R1308">
            <v>3</v>
          </cell>
          <cell r="S1308" t="str">
            <v>NULL</v>
          </cell>
          <cell r="T1308" t="str">
            <v>normal</v>
          </cell>
          <cell r="U1308" t="str">
            <v>NULL</v>
          </cell>
          <cell r="V1308" t="str">
            <v>NULL</v>
          </cell>
          <cell r="W1308" t="str">
            <v>NULL</v>
          </cell>
        </row>
        <row r="1309">
          <cell r="A1309">
            <v>1308</v>
          </cell>
          <cell r="B1309" t="str">
            <v>ja</v>
          </cell>
          <cell r="C1309" t="str">
            <v>革鳴の響奏撃 初音ミク</v>
          </cell>
          <cell r="H1309" t="str">
            <v>green</v>
          </cell>
          <cell r="I1309">
            <v>6</v>
          </cell>
          <cell r="J1309" t="str">
            <v>PremiumSSS</v>
          </cell>
          <cell r="K1309" t="str">
            <v>balance</v>
          </cell>
          <cell r="L1309" t="str">
            <v>バランスタイプ</v>
          </cell>
          <cell r="M1309" t="str">
            <v>unknown</v>
          </cell>
          <cell r="N1309" t="str">
            <v>Unknown</v>
          </cell>
          <cell r="O1309" t="str">
            <v>none</v>
          </cell>
          <cell r="P1309" t="str">
            <v>種族なし</v>
          </cell>
          <cell r="R1309">
            <v>3</v>
          </cell>
          <cell r="S1309" t="str">
            <v>NULL</v>
          </cell>
          <cell r="T1309" t="str">
            <v>normal</v>
          </cell>
          <cell r="U1309" t="str">
            <v>NULL</v>
          </cell>
          <cell r="V1309" t="str">
            <v>NULL</v>
          </cell>
          <cell r="W1309" t="str">
            <v>NULL</v>
          </cell>
        </row>
        <row r="1310">
          <cell r="A1310">
            <v>1309</v>
          </cell>
          <cell r="B1310" t="str">
            <v>ja</v>
          </cell>
          <cell r="C1310" t="str">
            <v>虹彩の美唱姫 初音ミク・アペンド</v>
          </cell>
          <cell r="H1310" t="str">
            <v>green</v>
          </cell>
          <cell r="I1310">
            <v>6</v>
          </cell>
          <cell r="J1310" t="str">
            <v>PremiumSSS</v>
          </cell>
          <cell r="K1310" t="str">
            <v>technical</v>
          </cell>
          <cell r="L1310" t="str">
            <v>テクニカルタイプ</v>
          </cell>
          <cell r="M1310" t="str">
            <v>unknown</v>
          </cell>
          <cell r="N1310" t="str">
            <v>Unknown</v>
          </cell>
          <cell r="O1310" t="str">
            <v>none</v>
          </cell>
          <cell r="P1310" t="str">
            <v>種族なし</v>
          </cell>
          <cell r="R1310">
            <v>3</v>
          </cell>
          <cell r="S1310" t="str">
            <v>NULL</v>
          </cell>
          <cell r="T1310" t="str">
            <v>normal</v>
          </cell>
          <cell r="U1310" t="str">
            <v>NULL</v>
          </cell>
          <cell r="V1310" t="str">
            <v>NULL</v>
          </cell>
          <cell r="W1310" t="str">
            <v>NULL</v>
          </cell>
        </row>
        <row r="1311">
          <cell r="A1311">
            <v>1310</v>
          </cell>
          <cell r="B1311" t="str">
            <v>ja</v>
          </cell>
          <cell r="C1311" t="str">
            <v>聖律する歌姫 初音ミク・アペンド</v>
          </cell>
          <cell r="H1311" t="str">
            <v>green</v>
          </cell>
          <cell r="I1311">
            <v>6</v>
          </cell>
          <cell r="J1311" t="str">
            <v>PremiumSSS</v>
          </cell>
          <cell r="K1311" t="str">
            <v>attack</v>
          </cell>
          <cell r="L1311" t="str">
            <v>攻撃タイプ</v>
          </cell>
          <cell r="M1311" t="str">
            <v>unknown</v>
          </cell>
          <cell r="N1311" t="str">
            <v>Unknown</v>
          </cell>
          <cell r="O1311" t="str">
            <v>none</v>
          </cell>
          <cell r="P1311" t="str">
            <v>種族なし</v>
          </cell>
          <cell r="R1311">
            <v>3</v>
          </cell>
          <cell r="S1311" t="str">
            <v>NULL</v>
          </cell>
          <cell r="T1311" t="str">
            <v>super</v>
          </cell>
          <cell r="U1311" t="str">
            <v>NULL</v>
          </cell>
          <cell r="V1311" t="str">
            <v>NULL</v>
          </cell>
          <cell r="W1311" t="str">
            <v>NULL</v>
          </cell>
        </row>
        <row r="1312">
          <cell r="A1312">
            <v>1311</v>
          </cell>
          <cell r="B1312" t="str">
            <v>ja</v>
          </cell>
          <cell r="C1312" t="str">
            <v>輪音する大反響 鏡音リン</v>
          </cell>
          <cell r="H1312" t="str">
            <v>yellow</v>
          </cell>
          <cell r="I1312">
            <v>6</v>
          </cell>
          <cell r="J1312" t="str">
            <v>PremiumSS</v>
          </cell>
          <cell r="K1312" t="str">
            <v>balance</v>
          </cell>
          <cell r="L1312" t="str">
            <v>バランスタイプ</v>
          </cell>
          <cell r="M1312" t="str">
            <v>unknown</v>
          </cell>
          <cell r="N1312" t="str">
            <v>Unknown</v>
          </cell>
          <cell r="O1312" t="str">
            <v>none</v>
          </cell>
          <cell r="P1312" t="str">
            <v>種族なし</v>
          </cell>
          <cell r="R1312">
            <v>3</v>
          </cell>
          <cell r="S1312" t="str">
            <v>NULL</v>
          </cell>
          <cell r="T1312" t="str">
            <v>normal</v>
          </cell>
          <cell r="U1312" t="str">
            <v>NULL</v>
          </cell>
          <cell r="V1312" t="str">
            <v>NULL</v>
          </cell>
          <cell r="W1312" t="str">
            <v>NULL</v>
          </cell>
        </row>
        <row r="1313">
          <cell r="A1313">
            <v>1312</v>
          </cell>
          <cell r="B1313" t="str">
            <v>ja</v>
          </cell>
          <cell r="C1313" t="str">
            <v>連譜する大残響 鏡音レン</v>
          </cell>
          <cell r="H1313" t="str">
            <v>yellow</v>
          </cell>
          <cell r="I1313">
            <v>6</v>
          </cell>
          <cell r="J1313" t="str">
            <v>PremiumSS</v>
          </cell>
          <cell r="K1313" t="str">
            <v>heal</v>
          </cell>
          <cell r="L1313" t="str">
            <v>回復タイプ</v>
          </cell>
          <cell r="M1313" t="str">
            <v>unknown</v>
          </cell>
          <cell r="N1313" t="str">
            <v>Unknown</v>
          </cell>
          <cell r="O1313" t="str">
            <v>none</v>
          </cell>
          <cell r="P1313" t="str">
            <v>種族なし</v>
          </cell>
          <cell r="R1313">
            <v>3</v>
          </cell>
          <cell r="S1313" t="str">
            <v>NULL</v>
          </cell>
          <cell r="T1313" t="str">
            <v>normal</v>
          </cell>
          <cell r="U1313" t="str">
            <v>NULL</v>
          </cell>
          <cell r="V1313" t="str">
            <v>NULL</v>
          </cell>
          <cell r="W1313" t="str">
            <v>NULL</v>
          </cell>
        </row>
        <row r="1314">
          <cell r="A1314">
            <v>1313</v>
          </cell>
          <cell r="B1314" t="str">
            <v>ja</v>
          </cell>
          <cell r="C1314" t="str">
            <v>旋律する音廻 巡音ルカ</v>
          </cell>
          <cell r="H1314" t="str">
            <v>red</v>
          </cell>
          <cell r="I1314">
            <v>5</v>
          </cell>
          <cell r="J1314" t="str">
            <v>PremiumS</v>
          </cell>
          <cell r="K1314" t="str">
            <v>attack</v>
          </cell>
          <cell r="L1314" t="str">
            <v>攻撃タイプ</v>
          </cell>
          <cell r="M1314" t="str">
            <v>unknown</v>
          </cell>
          <cell r="N1314" t="str">
            <v>Unknown</v>
          </cell>
          <cell r="O1314" t="str">
            <v>none</v>
          </cell>
          <cell r="P1314" t="str">
            <v>種族なし</v>
          </cell>
          <cell r="R1314">
            <v>3</v>
          </cell>
          <cell r="S1314" t="str">
            <v>NULL</v>
          </cell>
          <cell r="T1314" t="str">
            <v>normal</v>
          </cell>
          <cell r="U1314" t="str">
            <v>NULL</v>
          </cell>
          <cell r="V1314" t="str">
            <v>NULL</v>
          </cell>
          <cell r="W1314" t="str">
            <v>NULL</v>
          </cell>
        </row>
        <row r="1315">
          <cell r="A1315">
            <v>1314</v>
          </cell>
          <cell r="B1315" t="str">
            <v>ja</v>
          </cell>
          <cell r="C1315" t="str">
            <v>救声の唱動 MEIKO</v>
          </cell>
          <cell r="H1315" t="str">
            <v>red</v>
          </cell>
          <cell r="I1315">
            <v>5</v>
          </cell>
          <cell r="J1315" t="str">
            <v>PremiumS</v>
          </cell>
          <cell r="K1315" t="str">
            <v>hp</v>
          </cell>
          <cell r="L1315" t="str">
            <v>体力タイプ</v>
          </cell>
          <cell r="M1315" t="str">
            <v>unknown</v>
          </cell>
          <cell r="N1315" t="str">
            <v>Unknown</v>
          </cell>
          <cell r="O1315" t="str">
            <v>none</v>
          </cell>
          <cell r="P1315" t="str">
            <v>種族なし</v>
          </cell>
          <cell r="R1315">
            <v>3</v>
          </cell>
          <cell r="S1315" t="str">
            <v>NULL</v>
          </cell>
          <cell r="T1315" t="str">
            <v>normal</v>
          </cell>
          <cell r="U1315" t="str">
            <v>NULL</v>
          </cell>
          <cell r="V1315" t="str">
            <v>NULL</v>
          </cell>
          <cell r="W1315" t="str">
            <v>NULL</v>
          </cell>
        </row>
        <row r="1316">
          <cell r="A1316">
            <v>1315</v>
          </cell>
          <cell r="B1316" t="str">
            <v>ja</v>
          </cell>
          <cell r="C1316" t="str">
            <v>快響の楽唱歌 KAITO</v>
          </cell>
          <cell r="H1316" t="str">
            <v>blue</v>
          </cell>
          <cell r="I1316">
            <v>5</v>
          </cell>
          <cell r="J1316" t="str">
            <v>PremiumS</v>
          </cell>
          <cell r="K1316" t="str">
            <v>technical</v>
          </cell>
          <cell r="L1316" t="str">
            <v>テクニカルタイプ</v>
          </cell>
          <cell r="M1316" t="str">
            <v>unknown</v>
          </cell>
          <cell r="N1316" t="str">
            <v>Unknown</v>
          </cell>
          <cell r="O1316" t="str">
            <v>none</v>
          </cell>
          <cell r="P1316" t="str">
            <v>種族なし</v>
          </cell>
          <cell r="R1316">
            <v>3</v>
          </cell>
          <cell r="S1316" t="str">
            <v>NULL</v>
          </cell>
          <cell r="T1316" t="str">
            <v>normal</v>
          </cell>
          <cell r="U1316" t="str">
            <v>NULL</v>
          </cell>
          <cell r="V1316" t="str">
            <v>NULL</v>
          </cell>
          <cell r="W1316" t="str">
            <v>NULL</v>
          </cell>
        </row>
        <row r="1317">
          <cell r="A1317">
            <v>1316</v>
          </cell>
          <cell r="B1317" t="str">
            <v>ja</v>
          </cell>
          <cell r="C1317" t="str">
            <v>初音ミクV4X</v>
          </cell>
          <cell r="H1317" t="str">
            <v>green</v>
          </cell>
          <cell r="I1317">
            <v>5</v>
          </cell>
          <cell r="J1317" t="str">
            <v>PremiumSSS</v>
          </cell>
          <cell r="K1317" t="str">
            <v>balance</v>
          </cell>
          <cell r="L1317" t="str">
            <v>バランスタイプ</v>
          </cell>
          <cell r="M1317" t="str">
            <v>unknown</v>
          </cell>
          <cell r="N1317" t="str">
            <v>Unknown</v>
          </cell>
          <cell r="O1317" t="str">
            <v>none</v>
          </cell>
          <cell r="P1317" t="str">
            <v>種族なし</v>
          </cell>
          <cell r="R1317">
            <v>3</v>
          </cell>
          <cell r="S1317" t="str">
            <v>NULL</v>
          </cell>
          <cell r="T1317" t="str">
            <v>normal</v>
          </cell>
          <cell r="U1317" t="str">
            <v>NULL</v>
          </cell>
          <cell r="V1317" t="str">
            <v>NULL</v>
          </cell>
          <cell r="W1317" t="str">
            <v>NULL</v>
          </cell>
        </row>
        <row r="1318">
          <cell r="A1318">
            <v>1317</v>
          </cell>
          <cell r="B1318" t="str">
            <v>ja</v>
          </cell>
          <cell r="C1318" t="str">
            <v>進歌する声域 初音ミクV4X</v>
          </cell>
          <cell r="H1318" t="str">
            <v>green</v>
          </cell>
          <cell r="I1318">
            <v>6</v>
          </cell>
          <cell r="J1318" t="str">
            <v>PremiumSSS</v>
          </cell>
          <cell r="K1318" t="str">
            <v>balance</v>
          </cell>
          <cell r="L1318" t="str">
            <v>バランスタイプ</v>
          </cell>
          <cell r="M1318" t="str">
            <v>unknown</v>
          </cell>
          <cell r="N1318" t="str">
            <v>Unknown</v>
          </cell>
          <cell r="O1318" t="str">
            <v>none</v>
          </cell>
          <cell r="P1318" t="str">
            <v>種族なし</v>
          </cell>
          <cell r="R1318">
            <v>3</v>
          </cell>
          <cell r="S1318" t="str">
            <v>NULL</v>
          </cell>
          <cell r="T1318" t="str">
            <v>normal</v>
          </cell>
          <cell r="U1318" t="str">
            <v>NULL</v>
          </cell>
          <cell r="V1318" t="str">
            <v>NULL</v>
          </cell>
          <cell r="W1318" t="str">
            <v>NULL</v>
          </cell>
        </row>
        <row r="1319">
          <cell r="A1319">
            <v>1318</v>
          </cell>
          <cell r="B1319" t="str">
            <v>ja</v>
          </cell>
          <cell r="C1319" t="str">
            <v>鏡音リンV4X</v>
          </cell>
          <cell r="H1319" t="str">
            <v>yellow</v>
          </cell>
          <cell r="I1319">
            <v>5</v>
          </cell>
          <cell r="J1319" t="str">
            <v>PremiumSS</v>
          </cell>
          <cell r="K1319" t="str">
            <v>heal</v>
          </cell>
          <cell r="L1319" t="str">
            <v>回復タイプ</v>
          </cell>
          <cell r="M1319" t="str">
            <v>unknown</v>
          </cell>
          <cell r="N1319" t="str">
            <v>Unknown</v>
          </cell>
          <cell r="O1319" t="str">
            <v>none</v>
          </cell>
          <cell r="P1319" t="str">
            <v>種族なし</v>
          </cell>
          <cell r="R1319">
            <v>3</v>
          </cell>
          <cell r="S1319" t="str">
            <v>NULL</v>
          </cell>
          <cell r="T1319" t="str">
            <v>normal</v>
          </cell>
          <cell r="U1319" t="str">
            <v>NULL</v>
          </cell>
          <cell r="V1319" t="str">
            <v>NULL</v>
          </cell>
          <cell r="W1319" t="str">
            <v>NULL</v>
          </cell>
        </row>
        <row r="1320">
          <cell r="A1320">
            <v>1319</v>
          </cell>
          <cell r="B1320" t="str">
            <v>ja</v>
          </cell>
          <cell r="C1320" t="str">
            <v>甘恋の激唱歌 鏡音リンV4X</v>
          </cell>
          <cell r="H1320" t="str">
            <v>yellow</v>
          </cell>
          <cell r="I1320">
            <v>6</v>
          </cell>
          <cell r="J1320" t="str">
            <v>PremiumSS</v>
          </cell>
          <cell r="K1320" t="str">
            <v>heal</v>
          </cell>
          <cell r="L1320" t="str">
            <v>回復タイプ</v>
          </cell>
          <cell r="M1320" t="str">
            <v>unknown</v>
          </cell>
          <cell r="N1320" t="str">
            <v>Unknown</v>
          </cell>
          <cell r="O1320" t="str">
            <v>none</v>
          </cell>
          <cell r="P1320" t="str">
            <v>種族なし</v>
          </cell>
          <cell r="R1320">
            <v>3</v>
          </cell>
          <cell r="S1320" t="str">
            <v>NULL</v>
          </cell>
          <cell r="T1320" t="str">
            <v>normal</v>
          </cell>
          <cell r="U1320" t="str">
            <v>NULL</v>
          </cell>
          <cell r="V1320" t="str">
            <v>NULL</v>
          </cell>
          <cell r="W1320" t="str">
            <v>NULL</v>
          </cell>
        </row>
        <row r="1321">
          <cell r="A1321">
            <v>1320</v>
          </cell>
          <cell r="B1321" t="str">
            <v>ja</v>
          </cell>
          <cell r="C1321" t="str">
            <v>鏡音レンV4X</v>
          </cell>
          <cell r="H1321" t="str">
            <v>yellow</v>
          </cell>
          <cell r="I1321">
            <v>5</v>
          </cell>
          <cell r="J1321" t="str">
            <v>PremiumSS</v>
          </cell>
          <cell r="K1321" t="str">
            <v>balance</v>
          </cell>
          <cell r="L1321" t="str">
            <v>バランスタイプ</v>
          </cell>
          <cell r="M1321" t="str">
            <v>unknown</v>
          </cell>
          <cell r="N1321" t="str">
            <v>Unknown</v>
          </cell>
          <cell r="O1321" t="str">
            <v>none</v>
          </cell>
          <cell r="P1321" t="str">
            <v>種族なし</v>
          </cell>
          <cell r="R1321">
            <v>3</v>
          </cell>
          <cell r="S1321" t="str">
            <v>NULL</v>
          </cell>
          <cell r="T1321" t="str">
            <v>normal</v>
          </cell>
          <cell r="U1321" t="str">
            <v>NULL</v>
          </cell>
          <cell r="V1321" t="str">
            <v>NULL</v>
          </cell>
          <cell r="W1321" t="str">
            <v>NULL</v>
          </cell>
        </row>
        <row r="1322">
          <cell r="A1322">
            <v>1321</v>
          </cell>
          <cell r="B1322" t="str">
            <v>ja</v>
          </cell>
          <cell r="C1322" t="str">
            <v>純凛の柔唱歌 鏡音レンV4X</v>
          </cell>
          <cell r="H1322" t="str">
            <v>yellow</v>
          </cell>
          <cell r="I1322">
            <v>6</v>
          </cell>
          <cell r="J1322" t="str">
            <v>PremiumSS</v>
          </cell>
          <cell r="K1322" t="str">
            <v>balance</v>
          </cell>
          <cell r="L1322" t="str">
            <v>バランスタイプ</v>
          </cell>
          <cell r="M1322" t="str">
            <v>unknown</v>
          </cell>
          <cell r="N1322" t="str">
            <v>Unknown</v>
          </cell>
          <cell r="O1322" t="str">
            <v>none</v>
          </cell>
          <cell r="P1322" t="str">
            <v>種族なし</v>
          </cell>
          <cell r="R1322">
            <v>3</v>
          </cell>
          <cell r="S1322" t="str">
            <v>NULL</v>
          </cell>
          <cell r="T1322" t="str">
            <v>normal</v>
          </cell>
          <cell r="U1322" t="str">
            <v>NULL</v>
          </cell>
          <cell r="V1322" t="str">
            <v>NULL</v>
          </cell>
          <cell r="W1322" t="str">
            <v>NULL</v>
          </cell>
        </row>
        <row r="1323">
          <cell r="A1323">
            <v>1322</v>
          </cell>
          <cell r="B1323" t="str">
            <v>ja</v>
          </cell>
          <cell r="C1323" t="str">
            <v>巡音ルカV4X</v>
          </cell>
          <cell r="H1323" t="str">
            <v>red</v>
          </cell>
          <cell r="I1323">
            <v>5</v>
          </cell>
          <cell r="J1323" t="str">
            <v>PremiumSS</v>
          </cell>
          <cell r="K1323" t="str">
            <v>balance</v>
          </cell>
          <cell r="L1323" t="str">
            <v>バランスタイプ</v>
          </cell>
          <cell r="M1323" t="str">
            <v>unknown</v>
          </cell>
          <cell r="N1323" t="str">
            <v>Unknown</v>
          </cell>
          <cell r="O1323" t="str">
            <v>none</v>
          </cell>
          <cell r="P1323" t="str">
            <v>種族なし</v>
          </cell>
          <cell r="R1323">
            <v>3</v>
          </cell>
          <cell r="S1323" t="str">
            <v>NULL</v>
          </cell>
          <cell r="T1323" t="str">
            <v>normal</v>
          </cell>
          <cell r="U1323" t="str">
            <v>NULL</v>
          </cell>
          <cell r="V1323" t="str">
            <v>NULL</v>
          </cell>
          <cell r="W1323" t="str">
            <v>NULL</v>
          </cell>
        </row>
        <row r="1324">
          <cell r="A1324">
            <v>1323</v>
          </cell>
          <cell r="B1324" t="str">
            <v>ja</v>
          </cell>
          <cell r="C1324" t="str">
            <v>吐鳴する響惹 巡音ルカV4X</v>
          </cell>
          <cell r="H1324" t="str">
            <v>red</v>
          </cell>
          <cell r="I1324">
            <v>6</v>
          </cell>
          <cell r="J1324" t="str">
            <v>PremiumSS</v>
          </cell>
          <cell r="K1324" t="str">
            <v>balance</v>
          </cell>
          <cell r="L1324" t="str">
            <v>バランスタイプ</v>
          </cell>
          <cell r="M1324" t="str">
            <v>unknown</v>
          </cell>
          <cell r="N1324" t="str">
            <v>Unknown</v>
          </cell>
          <cell r="O1324" t="str">
            <v>none</v>
          </cell>
          <cell r="P1324" t="str">
            <v>種族なし</v>
          </cell>
          <cell r="R1324">
            <v>3</v>
          </cell>
          <cell r="S1324" t="str">
            <v>NULL</v>
          </cell>
          <cell r="T1324" t="str">
            <v>normal</v>
          </cell>
          <cell r="U1324" t="str">
            <v>NULL</v>
          </cell>
          <cell r="V1324" t="str">
            <v>NULL</v>
          </cell>
          <cell r="W1324" t="str">
            <v>NULL</v>
          </cell>
        </row>
        <row r="1325">
          <cell r="A1325">
            <v>1324</v>
          </cell>
          <cell r="B1325" t="str">
            <v>ja</v>
          </cell>
          <cell r="C1325" t="str">
            <v>アウリ</v>
          </cell>
          <cell r="H1325" t="str">
            <v>green</v>
          </cell>
          <cell r="I1325">
            <v>4</v>
          </cell>
          <cell r="J1325" t="str">
            <v>Drop2N</v>
          </cell>
          <cell r="K1325" t="str">
            <v>balance</v>
          </cell>
          <cell r="L1325" t="str">
            <v>バランスタイプ</v>
          </cell>
          <cell r="M1325" t="str">
            <v>animal</v>
          </cell>
          <cell r="N1325" t="str">
            <v>アニマル</v>
          </cell>
          <cell r="O1325" t="str">
            <v>unknown</v>
          </cell>
          <cell r="P1325" t="str">
            <v>Unknown</v>
          </cell>
          <cell r="R1325">
            <v>3</v>
          </cell>
          <cell r="S1325" t="str">
            <v>NULL</v>
          </cell>
          <cell r="T1325" t="str">
            <v>normal</v>
          </cell>
          <cell r="U1325" t="str">
            <v>NULL</v>
          </cell>
          <cell r="V1325" t="str">
            <v>NULL</v>
          </cell>
          <cell r="W1325" t="str">
            <v>NULL</v>
          </cell>
        </row>
        <row r="1326">
          <cell r="A1326">
            <v>1325</v>
          </cell>
          <cell r="B1326" t="str">
            <v>ja</v>
          </cell>
          <cell r="C1326" t="str">
            <v>阿吽の神護犬 アウリ</v>
          </cell>
          <cell r="H1326" t="str">
            <v>green</v>
          </cell>
          <cell r="I1326">
            <v>5</v>
          </cell>
          <cell r="J1326" t="str">
            <v>Drop2N</v>
          </cell>
          <cell r="K1326" t="str">
            <v>balance</v>
          </cell>
          <cell r="L1326" t="str">
            <v>バランスタイプ</v>
          </cell>
          <cell r="M1326" t="str">
            <v>animal</v>
          </cell>
          <cell r="N1326" t="str">
            <v>アニマル</v>
          </cell>
          <cell r="O1326" t="str">
            <v>unknown</v>
          </cell>
          <cell r="P1326" t="str">
            <v>Unknown</v>
          </cell>
          <cell r="R1326">
            <v>3</v>
          </cell>
          <cell r="S1326" t="str">
            <v>NULL</v>
          </cell>
          <cell r="T1326" t="str">
            <v>normal</v>
          </cell>
          <cell r="U1326" t="str">
            <v>NULL</v>
          </cell>
          <cell r="V1326" t="str">
            <v>NULL</v>
          </cell>
          <cell r="W1326" t="str">
            <v>NULL</v>
          </cell>
        </row>
        <row r="1327">
          <cell r="A1327">
            <v>1326</v>
          </cell>
          <cell r="B1327" t="str">
            <v>ja</v>
          </cell>
          <cell r="C1327" t="str">
            <v>ワカヒルメ</v>
          </cell>
          <cell r="H1327" t="str">
            <v>green</v>
          </cell>
          <cell r="I1327">
            <v>5</v>
          </cell>
          <cell r="J1327" t="str">
            <v>DropWizS</v>
          </cell>
          <cell r="K1327" t="str">
            <v>hp</v>
          </cell>
          <cell r="L1327" t="str">
            <v>体力タイプ</v>
          </cell>
          <cell r="M1327" t="str">
            <v>god</v>
          </cell>
          <cell r="N1327" t="str">
            <v>ゴッド</v>
          </cell>
          <cell r="O1327" t="str">
            <v>none</v>
          </cell>
          <cell r="P1327" t="str">
            <v>種族なし</v>
          </cell>
          <cell r="R1327">
            <v>3</v>
          </cell>
          <cell r="S1327" t="str">
            <v>NULL</v>
          </cell>
          <cell r="T1327" t="str">
            <v>normal</v>
          </cell>
          <cell r="U1327" t="str">
            <v>NULL</v>
          </cell>
          <cell r="V1327" t="str">
            <v>NULL</v>
          </cell>
          <cell r="W1327" t="str">
            <v>NULL</v>
          </cell>
        </row>
        <row r="1328">
          <cell r="A1328">
            <v>1327</v>
          </cell>
          <cell r="B1328" t="str">
            <v>ja</v>
          </cell>
          <cell r="C1328" t="str">
            <v>織神衣の幼神 ワカヒルメ</v>
          </cell>
          <cell r="H1328" t="str">
            <v>green</v>
          </cell>
          <cell r="I1328">
            <v>6</v>
          </cell>
          <cell r="J1328" t="str">
            <v>DropWizS</v>
          </cell>
          <cell r="K1328" t="str">
            <v>hp</v>
          </cell>
          <cell r="L1328" t="str">
            <v>体力タイプ</v>
          </cell>
          <cell r="M1328" t="str">
            <v>god</v>
          </cell>
          <cell r="N1328" t="str">
            <v>ゴッド</v>
          </cell>
          <cell r="O1328" t="str">
            <v>none</v>
          </cell>
          <cell r="P1328" t="str">
            <v>種族なし</v>
          </cell>
          <cell r="R1328">
            <v>3</v>
          </cell>
          <cell r="S1328" t="str">
            <v>NULL</v>
          </cell>
          <cell r="T1328" t="str">
            <v>normal</v>
          </cell>
          <cell r="U1328" t="str">
            <v>NULL</v>
          </cell>
          <cell r="V1328" t="str">
            <v>NULL</v>
          </cell>
          <cell r="W1328" t="str">
            <v>NULL</v>
          </cell>
        </row>
        <row r="1329">
          <cell r="A1329">
            <v>1328</v>
          </cell>
          <cell r="B1329" t="str">
            <v>ja</v>
          </cell>
          <cell r="C1329" t="str">
            <v>ヒノカグツチ</v>
          </cell>
          <cell r="H1329" t="str">
            <v>red</v>
          </cell>
          <cell r="I1329">
            <v>5</v>
          </cell>
          <cell r="J1329" t="str">
            <v>DropWizS</v>
          </cell>
          <cell r="K1329" t="str">
            <v>attack</v>
          </cell>
          <cell r="L1329" t="str">
            <v>攻撃タイプ</v>
          </cell>
          <cell r="M1329" t="str">
            <v>god</v>
          </cell>
          <cell r="N1329" t="str">
            <v>ゴッド</v>
          </cell>
          <cell r="O1329" t="str">
            <v>none</v>
          </cell>
          <cell r="P1329" t="str">
            <v>種族なし</v>
          </cell>
          <cell r="R1329">
            <v>1</v>
          </cell>
          <cell r="S1329" t="str">
            <v>NULL</v>
          </cell>
          <cell r="T1329" t="str">
            <v>normal</v>
          </cell>
          <cell r="U1329" t="str">
            <v>NULL</v>
          </cell>
          <cell r="V1329" t="str">
            <v>NULL</v>
          </cell>
          <cell r="W1329" t="str">
            <v>NULL</v>
          </cell>
        </row>
        <row r="1330">
          <cell r="A1330">
            <v>1329</v>
          </cell>
          <cell r="B1330" t="str">
            <v>ja</v>
          </cell>
          <cell r="C1330" t="str">
            <v>神抗の火産霊 ヒノカグツチ</v>
          </cell>
          <cell r="H1330" t="str">
            <v>red</v>
          </cell>
          <cell r="I1330">
            <v>6</v>
          </cell>
          <cell r="J1330" t="str">
            <v>DropWizS</v>
          </cell>
          <cell r="K1330" t="str">
            <v>attack</v>
          </cell>
          <cell r="L1330" t="str">
            <v>攻撃タイプ</v>
          </cell>
          <cell r="M1330" t="str">
            <v>god</v>
          </cell>
          <cell r="N1330" t="str">
            <v>ゴッド</v>
          </cell>
          <cell r="O1330" t="str">
            <v>none</v>
          </cell>
          <cell r="P1330" t="str">
            <v>種族なし</v>
          </cell>
          <cell r="R1330">
            <v>1</v>
          </cell>
          <cell r="S1330" t="str">
            <v>NULL</v>
          </cell>
          <cell r="T1330" t="str">
            <v>normal</v>
          </cell>
          <cell r="U1330" t="str">
            <v>NULL</v>
          </cell>
          <cell r="V1330" t="str">
            <v>NULL</v>
          </cell>
          <cell r="W1330" t="str">
            <v>NULL</v>
          </cell>
        </row>
        <row r="1331">
          <cell r="A1331">
            <v>1330</v>
          </cell>
          <cell r="B1331" t="str">
            <v>ja</v>
          </cell>
          <cell r="C1331" t="str">
            <v>スサノオ</v>
          </cell>
          <cell r="H1331" t="str">
            <v>yellow</v>
          </cell>
          <cell r="I1331">
            <v>5</v>
          </cell>
          <cell r="J1331" t="str">
            <v>DropWizSS</v>
          </cell>
          <cell r="K1331" t="str">
            <v>balance</v>
          </cell>
          <cell r="L1331" t="str">
            <v>バランスタイプ</v>
          </cell>
          <cell r="M1331" t="str">
            <v>hero</v>
          </cell>
          <cell r="N1331" t="str">
            <v>ヒーロー</v>
          </cell>
          <cell r="O1331" t="str">
            <v>none</v>
          </cell>
          <cell r="P1331" t="str">
            <v>種族なし</v>
          </cell>
          <cell r="R1331">
            <v>3</v>
          </cell>
          <cell r="S1331" t="str">
            <v>NULL</v>
          </cell>
          <cell r="T1331" t="str">
            <v>normal</v>
          </cell>
          <cell r="U1331" t="str">
            <v>NULL</v>
          </cell>
          <cell r="V1331" t="str">
            <v>NULL</v>
          </cell>
          <cell r="W1331" t="str">
            <v>NULL</v>
          </cell>
        </row>
        <row r="1332">
          <cell r="A1332">
            <v>1331</v>
          </cell>
          <cell r="B1332" t="str">
            <v>ja</v>
          </cell>
          <cell r="C1332" t="str">
            <v>傑戦の大強神 スサノオ</v>
          </cell>
          <cell r="H1332" t="str">
            <v>yellow</v>
          </cell>
          <cell r="I1332">
            <v>6</v>
          </cell>
          <cell r="J1332" t="str">
            <v>DropWizSS</v>
          </cell>
          <cell r="K1332" t="str">
            <v>balance</v>
          </cell>
          <cell r="L1332" t="str">
            <v>バランスタイプ</v>
          </cell>
          <cell r="M1332" t="str">
            <v>hero</v>
          </cell>
          <cell r="N1332" t="str">
            <v>ヒーロー</v>
          </cell>
          <cell r="O1332" t="str">
            <v>none</v>
          </cell>
          <cell r="P1332" t="str">
            <v>種族なし</v>
          </cell>
          <cell r="R1332">
            <v>3</v>
          </cell>
          <cell r="S1332" t="str">
            <v>NULL</v>
          </cell>
          <cell r="T1332" t="str">
            <v>normal</v>
          </cell>
          <cell r="U1332" t="str">
            <v>NULL</v>
          </cell>
          <cell r="V1332" t="str">
            <v>NULL</v>
          </cell>
          <cell r="W1332" t="str">
            <v>NULL</v>
          </cell>
        </row>
        <row r="1333">
          <cell r="A1333">
            <v>1332</v>
          </cell>
          <cell r="B1333" t="str">
            <v>ja</v>
          </cell>
          <cell r="C1333" t="str">
            <v>クシナダヒメ</v>
          </cell>
          <cell r="H1333" t="str">
            <v>red</v>
          </cell>
          <cell r="I1333">
            <v>5</v>
          </cell>
          <cell r="J1333" t="str">
            <v>PremiumSSw</v>
          </cell>
          <cell r="K1333" t="str">
            <v>hp</v>
          </cell>
          <cell r="L1333" t="str">
            <v>体力タイプ</v>
          </cell>
          <cell r="M1333" t="str">
            <v>god</v>
          </cell>
          <cell r="N1333" t="str">
            <v>ゴッド</v>
          </cell>
          <cell r="O1333" t="str">
            <v>none</v>
          </cell>
          <cell r="P1333" t="str">
            <v>種族なし</v>
          </cell>
          <cell r="R1333">
            <v>3</v>
          </cell>
          <cell r="S1333" t="str">
            <v>NULL</v>
          </cell>
          <cell r="T1333" t="str">
            <v>normal</v>
          </cell>
          <cell r="U1333" t="str">
            <v>NULL</v>
          </cell>
          <cell r="V1333" t="str">
            <v>NULL</v>
          </cell>
          <cell r="W1333" t="str">
            <v>NULL</v>
          </cell>
        </row>
        <row r="1334">
          <cell r="A1334">
            <v>1333</v>
          </cell>
          <cell r="B1334" t="str">
            <v>ja</v>
          </cell>
          <cell r="C1334" t="str">
            <v>神心を射る穂神 クシナダヒメ</v>
          </cell>
          <cell r="H1334" t="str">
            <v>red</v>
          </cell>
          <cell r="I1334">
            <v>6</v>
          </cell>
          <cell r="J1334" t="str">
            <v>PremiumSSw</v>
          </cell>
          <cell r="K1334" t="str">
            <v>hp</v>
          </cell>
          <cell r="L1334" t="str">
            <v>体力タイプ</v>
          </cell>
          <cell r="M1334" t="str">
            <v>god</v>
          </cell>
          <cell r="N1334" t="str">
            <v>ゴッド</v>
          </cell>
          <cell r="O1334" t="str">
            <v>none</v>
          </cell>
          <cell r="P1334" t="str">
            <v>種族なし</v>
          </cell>
          <cell r="R1334">
            <v>3</v>
          </cell>
          <cell r="S1334" t="str">
            <v>NULL</v>
          </cell>
          <cell r="T1334" t="str">
            <v>normal</v>
          </cell>
          <cell r="U1334" t="str">
            <v>NULL</v>
          </cell>
          <cell r="V1334" t="str">
            <v>NULL</v>
          </cell>
          <cell r="W1334" t="str">
            <v>NULL</v>
          </cell>
        </row>
        <row r="1335">
          <cell r="A1335">
            <v>1334</v>
          </cell>
          <cell r="B1335" t="str">
            <v>ja</v>
          </cell>
          <cell r="C1335" t="str">
            <v>タマヨリヒメ</v>
          </cell>
          <cell r="H1335" t="str">
            <v>green</v>
          </cell>
          <cell r="I1335">
            <v>4</v>
          </cell>
          <cell r="J1335" t="str">
            <v>PremiumS</v>
          </cell>
          <cell r="K1335" t="str">
            <v>heal</v>
          </cell>
          <cell r="L1335" t="str">
            <v>回復タイプ</v>
          </cell>
          <cell r="M1335" t="str">
            <v>god</v>
          </cell>
          <cell r="N1335" t="str">
            <v>ゴッド</v>
          </cell>
          <cell r="O1335" t="str">
            <v>none</v>
          </cell>
          <cell r="P1335" t="str">
            <v>種族なし</v>
          </cell>
          <cell r="R1335">
            <v>3</v>
          </cell>
          <cell r="S1335" t="str">
            <v>NULL</v>
          </cell>
          <cell r="T1335" t="str">
            <v>normal</v>
          </cell>
          <cell r="U1335" t="str">
            <v>NULL</v>
          </cell>
          <cell r="V1335" t="str">
            <v>NULL</v>
          </cell>
          <cell r="W1335" t="str">
            <v>NULL</v>
          </cell>
        </row>
        <row r="1336">
          <cell r="A1336">
            <v>1335</v>
          </cell>
          <cell r="B1336" t="str">
            <v>ja</v>
          </cell>
          <cell r="C1336" t="str">
            <v>霊司の神憑 タマヨリヒメ</v>
          </cell>
          <cell r="H1336" t="str">
            <v>green</v>
          </cell>
          <cell r="I1336">
            <v>5</v>
          </cell>
          <cell r="J1336" t="str">
            <v>PremiumS</v>
          </cell>
          <cell r="K1336" t="str">
            <v>heal</v>
          </cell>
          <cell r="L1336" t="str">
            <v>回復タイプ</v>
          </cell>
          <cell r="M1336" t="str">
            <v>god</v>
          </cell>
          <cell r="N1336" t="str">
            <v>ゴッド</v>
          </cell>
          <cell r="O1336" t="str">
            <v>none</v>
          </cell>
          <cell r="P1336" t="str">
            <v>種族なし</v>
          </cell>
          <cell r="R1336">
            <v>3</v>
          </cell>
          <cell r="S1336" t="str">
            <v>NULL</v>
          </cell>
          <cell r="T1336" t="str">
            <v>normal</v>
          </cell>
          <cell r="U1336" t="str">
            <v>NULL</v>
          </cell>
          <cell r="V1336" t="str">
            <v>NULL</v>
          </cell>
          <cell r="W1336" t="str">
            <v>NULL</v>
          </cell>
        </row>
        <row r="1337">
          <cell r="A1337">
            <v>1336</v>
          </cell>
          <cell r="B1337" t="str">
            <v>ja</v>
          </cell>
          <cell r="C1337" t="str">
            <v>イザナギ</v>
          </cell>
          <cell r="H1337" t="str">
            <v>blue</v>
          </cell>
          <cell r="I1337">
            <v>5</v>
          </cell>
          <cell r="J1337" t="str">
            <v>PremiumSS</v>
          </cell>
          <cell r="K1337" t="str">
            <v>technical</v>
          </cell>
          <cell r="L1337" t="str">
            <v>テクニカルタイプ</v>
          </cell>
          <cell r="M1337" t="str">
            <v>god</v>
          </cell>
          <cell r="N1337" t="str">
            <v>ゴッド</v>
          </cell>
          <cell r="O1337" t="str">
            <v>hero</v>
          </cell>
          <cell r="P1337" t="str">
            <v>ヒーロー</v>
          </cell>
          <cell r="R1337">
            <v>3</v>
          </cell>
          <cell r="S1337" t="str">
            <v>NULL</v>
          </cell>
          <cell r="T1337" t="str">
            <v>normal</v>
          </cell>
          <cell r="U1337" t="str">
            <v>NULL</v>
          </cell>
          <cell r="V1337" t="str">
            <v>NULL</v>
          </cell>
          <cell r="W1337" t="str">
            <v>NULL</v>
          </cell>
        </row>
        <row r="1338">
          <cell r="A1338">
            <v>1337</v>
          </cell>
          <cell r="B1338" t="str">
            <v>ja</v>
          </cell>
          <cell r="C1338" t="str">
            <v>成命の綜父神 イザナギ</v>
          </cell>
          <cell r="H1338" t="str">
            <v>blue</v>
          </cell>
          <cell r="I1338">
            <v>6</v>
          </cell>
          <cell r="J1338" t="str">
            <v>PremiumSS</v>
          </cell>
          <cell r="K1338" t="str">
            <v>technical</v>
          </cell>
          <cell r="L1338" t="str">
            <v>テクニカルタイプ</v>
          </cell>
          <cell r="M1338" t="str">
            <v>god</v>
          </cell>
          <cell r="N1338" t="str">
            <v>ゴッド</v>
          </cell>
          <cell r="O1338" t="str">
            <v>hero</v>
          </cell>
          <cell r="P1338" t="str">
            <v>ヒーロー</v>
          </cell>
          <cell r="R1338">
            <v>3</v>
          </cell>
          <cell r="S1338" t="str">
            <v>NULL</v>
          </cell>
          <cell r="T1338" t="str">
            <v>normal</v>
          </cell>
          <cell r="U1338" t="str">
            <v>NULL</v>
          </cell>
          <cell r="V1338" t="str">
            <v>NULL</v>
          </cell>
          <cell r="W1338" t="str">
            <v>NULL</v>
          </cell>
        </row>
        <row r="1339">
          <cell r="A1339">
            <v>1338</v>
          </cell>
          <cell r="B1339" t="str">
            <v>ja</v>
          </cell>
          <cell r="C1339" t="str">
            <v>アメノウズメ</v>
          </cell>
          <cell r="H1339" t="str">
            <v>yellow</v>
          </cell>
          <cell r="I1339">
            <v>5</v>
          </cell>
          <cell r="J1339" t="str">
            <v>PremiumSS</v>
          </cell>
          <cell r="K1339" t="str">
            <v>attack</v>
          </cell>
          <cell r="L1339" t="str">
            <v>攻撃タイプ</v>
          </cell>
          <cell r="M1339" t="str">
            <v>god</v>
          </cell>
          <cell r="N1339" t="str">
            <v>ゴッド</v>
          </cell>
          <cell r="O1339" t="str">
            <v>none</v>
          </cell>
          <cell r="P1339" t="str">
            <v>種族なし</v>
          </cell>
          <cell r="R1339">
            <v>3</v>
          </cell>
          <cell r="S1339" t="str">
            <v>NULL</v>
          </cell>
          <cell r="T1339" t="str">
            <v>normal</v>
          </cell>
          <cell r="U1339" t="str">
            <v>NULL</v>
          </cell>
          <cell r="V1339" t="str">
            <v>NULL</v>
          </cell>
          <cell r="W1339" t="str">
            <v>NULL</v>
          </cell>
        </row>
        <row r="1340">
          <cell r="A1340">
            <v>1339</v>
          </cell>
          <cell r="B1340" t="str">
            <v>ja</v>
          </cell>
          <cell r="C1340" t="str">
            <v>復古の舞芸神 アメノウズメ</v>
          </cell>
          <cell r="H1340" t="str">
            <v>yellow</v>
          </cell>
          <cell r="I1340">
            <v>6</v>
          </cell>
          <cell r="J1340" t="str">
            <v>PremiumSS</v>
          </cell>
          <cell r="K1340" t="str">
            <v>attack</v>
          </cell>
          <cell r="L1340" t="str">
            <v>攻撃タイプ</v>
          </cell>
          <cell r="M1340" t="str">
            <v>god</v>
          </cell>
          <cell r="N1340" t="str">
            <v>ゴッド</v>
          </cell>
          <cell r="O1340" t="str">
            <v>none</v>
          </cell>
          <cell r="P1340" t="str">
            <v>種族なし</v>
          </cell>
          <cell r="R1340">
            <v>3</v>
          </cell>
          <cell r="S1340" t="str">
            <v>NULL</v>
          </cell>
          <cell r="T1340" t="str">
            <v>normal</v>
          </cell>
          <cell r="U1340" t="str">
            <v>NULL</v>
          </cell>
          <cell r="V1340" t="str">
            <v>NULL</v>
          </cell>
          <cell r="W1340" t="str">
            <v>NULL</v>
          </cell>
        </row>
        <row r="1341">
          <cell r="A1341">
            <v>1340</v>
          </cell>
          <cell r="B1341" t="str">
            <v>ja</v>
          </cell>
          <cell r="C1341" t="str">
            <v>ハレー</v>
          </cell>
          <cell r="H1341" t="str">
            <v>green</v>
          </cell>
          <cell r="I1341">
            <v>5</v>
          </cell>
          <cell r="J1341" t="str">
            <v>PremiumSSS</v>
          </cell>
          <cell r="K1341" t="str">
            <v>balance</v>
          </cell>
          <cell r="L1341" t="str">
            <v>バランスタイプ</v>
          </cell>
          <cell r="M1341" t="str">
            <v>academia</v>
          </cell>
          <cell r="N1341" t="str">
            <v>アカデミア</v>
          </cell>
          <cell r="O1341" t="str">
            <v>demon</v>
          </cell>
          <cell r="P1341" t="str">
            <v>デーモン</v>
          </cell>
          <cell r="R1341">
            <v>3</v>
          </cell>
          <cell r="S1341" t="str">
            <v>NULL</v>
          </cell>
          <cell r="T1341" t="str">
            <v>normal</v>
          </cell>
          <cell r="U1341" t="str">
            <v>NULL</v>
          </cell>
          <cell r="V1341" t="str">
            <v>NULL</v>
          </cell>
          <cell r="W1341" t="str">
            <v>NULL</v>
          </cell>
        </row>
        <row r="1342">
          <cell r="A1342">
            <v>1341</v>
          </cell>
          <cell r="B1342" t="str">
            <v>ja</v>
          </cell>
          <cell r="C1342" t="str">
            <v>攻核の翠星機導 ハレー</v>
          </cell>
          <cell r="H1342" t="str">
            <v>green</v>
          </cell>
          <cell r="I1342">
            <v>6</v>
          </cell>
          <cell r="J1342" t="str">
            <v>PremiumSSS</v>
          </cell>
          <cell r="K1342" t="str">
            <v>balance</v>
          </cell>
          <cell r="L1342" t="str">
            <v>バランスタイプ</v>
          </cell>
          <cell r="M1342" t="str">
            <v>academia</v>
          </cell>
          <cell r="N1342" t="str">
            <v>アカデミア</v>
          </cell>
          <cell r="O1342" t="str">
            <v>demon</v>
          </cell>
          <cell r="P1342" t="str">
            <v>デーモン</v>
          </cell>
          <cell r="R1342">
            <v>3</v>
          </cell>
          <cell r="S1342" t="str">
            <v>NULL</v>
          </cell>
          <cell r="T1342" t="str">
            <v>normal</v>
          </cell>
          <cell r="U1342" t="str">
            <v>NULL</v>
          </cell>
          <cell r="V1342" t="str">
            <v>NULL</v>
          </cell>
          <cell r="W1342" t="str">
            <v>NULL</v>
          </cell>
        </row>
        <row r="1343">
          <cell r="A1343">
            <v>1342</v>
          </cell>
          <cell r="B1343" t="str">
            <v>ja</v>
          </cell>
          <cell r="C1343" t="str">
            <v>ヘルレイザー</v>
          </cell>
          <cell r="H1343" t="str">
            <v>red</v>
          </cell>
          <cell r="I1343">
            <v>5</v>
          </cell>
          <cell r="J1343" t="str">
            <v>DropWizS</v>
          </cell>
          <cell r="K1343" t="str">
            <v>technical</v>
          </cell>
          <cell r="L1343" t="str">
            <v>テクニカルタイプ</v>
          </cell>
          <cell r="M1343" t="str">
            <v>machine</v>
          </cell>
          <cell r="N1343" t="str">
            <v>マシン</v>
          </cell>
          <cell r="O1343" t="str">
            <v>demon</v>
          </cell>
          <cell r="P1343" t="str">
            <v>デーモン</v>
          </cell>
          <cell r="R1343">
            <v>3</v>
          </cell>
          <cell r="S1343" t="str">
            <v>NULL</v>
          </cell>
          <cell r="T1343" t="str">
            <v>normal</v>
          </cell>
          <cell r="U1343" t="str">
            <v>NULL</v>
          </cell>
          <cell r="V1343" t="str">
            <v>NULL</v>
          </cell>
          <cell r="W1343" t="str">
            <v>NULL</v>
          </cell>
        </row>
        <row r="1344">
          <cell r="A1344">
            <v>1343</v>
          </cell>
          <cell r="B1344" t="str">
            <v>ja</v>
          </cell>
          <cell r="C1344" t="str">
            <v>処命する凶掌 ヘルレイザー</v>
          </cell>
          <cell r="H1344" t="str">
            <v>red</v>
          </cell>
          <cell r="I1344">
            <v>6</v>
          </cell>
          <cell r="J1344" t="str">
            <v>DropWizS</v>
          </cell>
          <cell r="K1344" t="str">
            <v>technical</v>
          </cell>
          <cell r="L1344" t="str">
            <v>テクニカルタイプ</v>
          </cell>
          <cell r="M1344" t="str">
            <v>machine</v>
          </cell>
          <cell r="N1344" t="str">
            <v>マシン</v>
          </cell>
          <cell r="O1344" t="str">
            <v>demon</v>
          </cell>
          <cell r="P1344" t="str">
            <v>デーモン</v>
          </cell>
          <cell r="R1344">
            <v>3</v>
          </cell>
          <cell r="S1344" t="str">
            <v>NULL</v>
          </cell>
          <cell r="T1344" t="str">
            <v>normal</v>
          </cell>
          <cell r="U1344" t="str">
            <v>NULL</v>
          </cell>
          <cell r="V1344" t="str">
            <v>NULL</v>
          </cell>
          <cell r="W1344" t="str">
            <v>NULL</v>
          </cell>
        </row>
        <row r="1345">
          <cell r="A1345">
            <v>1344</v>
          </cell>
          <cell r="B1345" t="str">
            <v>ja</v>
          </cell>
          <cell r="C1345" t="str">
            <v>空き</v>
          </cell>
          <cell r="H1345" t="str">
            <v>blue</v>
          </cell>
          <cell r="I1345">
            <v>5</v>
          </cell>
          <cell r="J1345" t="str">
            <v>PremiumSSw</v>
          </cell>
          <cell r="K1345" t="str">
            <v>technical</v>
          </cell>
          <cell r="L1345" t="str">
            <v>テクニカルタイプ</v>
          </cell>
          <cell r="M1345" t="str">
            <v>hero</v>
          </cell>
          <cell r="N1345" t="str">
            <v>ヒーロー</v>
          </cell>
          <cell r="O1345" t="str">
            <v>unknown</v>
          </cell>
          <cell r="P1345" t="str">
            <v>Unknown</v>
          </cell>
          <cell r="R1345">
            <v>1</v>
          </cell>
          <cell r="S1345" t="str">
            <v>NULL</v>
          </cell>
          <cell r="T1345" t="str">
            <v>normal</v>
          </cell>
          <cell r="U1345" t="str">
            <v>NULL</v>
          </cell>
          <cell r="V1345" t="str">
            <v>NULL</v>
          </cell>
          <cell r="W1345" t="str">
            <v>NULL</v>
          </cell>
        </row>
        <row r="1346">
          <cell r="A1346">
            <v>1345</v>
          </cell>
          <cell r="B1346" t="str">
            <v>ja</v>
          </cell>
          <cell r="C1346" t="str">
            <v>空き</v>
          </cell>
          <cell r="H1346" t="str">
            <v>blue</v>
          </cell>
          <cell r="I1346">
            <v>6</v>
          </cell>
          <cell r="J1346" t="str">
            <v>PremiumSSw</v>
          </cell>
          <cell r="K1346" t="str">
            <v>technical</v>
          </cell>
          <cell r="L1346" t="str">
            <v>テクニカルタイプ</v>
          </cell>
          <cell r="M1346" t="str">
            <v>hero</v>
          </cell>
          <cell r="N1346" t="str">
            <v>ヒーロー</v>
          </cell>
          <cell r="O1346" t="str">
            <v>unknown</v>
          </cell>
          <cell r="P1346" t="str">
            <v>Unknown</v>
          </cell>
          <cell r="R1346">
            <v>1</v>
          </cell>
          <cell r="S1346" t="str">
            <v>NULL</v>
          </cell>
          <cell r="T1346" t="str">
            <v>normal</v>
          </cell>
          <cell r="U1346" t="str">
            <v>NULL</v>
          </cell>
          <cell r="V1346" t="str">
            <v>NULL</v>
          </cell>
          <cell r="W1346" t="str">
            <v>NULL</v>
          </cell>
        </row>
        <row r="1347">
          <cell r="A1347">
            <v>1346</v>
          </cell>
          <cell r="B1347" t="str">
            <v>ja</v>
          </cell>
          <cell r="C1347" t="str">
            <v>セルシウス</v>
          </cell>
          <cell r="H1347" t="str">
            <v>blue</v>
          </cell>
          <cell r="I1347">
            <v>5</v>
          </cell>
          <cell r="J1347" t="str">
            <v>PremiumSSS</v>
          </cell>
          <cell r="K1347" t="str">
            <v>heal</v>
          </cell>
          <cell r="L1347" t="str">
            <v>回復タイプ</v>
          </cell>
          <cell r="M1347" t="str">
            <v>academia</v>
          </cell>
          <cell r="N1347" t="str">
            <v>アカデミア</v>
          </cell>
          <cell r="O1347" t="str">
            <v>fantasy</v>
          </cell>
          <cell r="P1347" t="str">
            <v>ファンタジー</v>
          </cell>
          <cell r="R1347">
            <v>3</v>
          </cell>
          <cell r="S1347" t="str">
            <v>NULL</v>
          </cell>
          <cell r="T1347" t="str">
            <v>normal</v>
          </cell>
          <cell r="U1347" t="str">
            <v>NULL</v>
          </cell>
          <cell r="V1347" t="str">
            <v>NULL</v>
          </cell>
          <cell r="W1347" t="str">
            <v>NULL</v>
          </cell>
        </row>
        <row r="1348">
          <cell r="A1348">
            <v>1347</v>
          </cell>
          <cell r="B1348" t="str">
            <v>ja</v>
          </cell>
          <cell r="C1348" t="str">
            <v>帝冷の剣氏 セルシウス</v>
          </cell>
          <cell r="H1348" t="str">
            <v>blue</v>
          </cell>
          <cell r="I1348">
            <v>6</v>
          </cell>
          <cell r="J1348" t="str">
            <v>PremiumSSS</v>
          </cell>
          <cell r="K1348" t="str">
            <v>heal</v>
          </cell>
          <cell r="L1348" t="str">
            <v>回復タイプ</v>
          </cell>
          <cell r="M1348" t="str">
            <v>academia</v>
          </cell>
          <cell r="N1348" t="str">
            <v>アカデミア</v>
          </cell>
          <cell r="O1348" t="str">
            <v>fantasy</v>
          </cell>
          <cell r="P1348" t="str">
            <v>ファンタジー</v>
          </cell>
          <cell r="R1348">
            <v>3</v>
          </cell>
          <cell r="S1348" t="str">
            <v>NULL</v>
          </cell>
          <cell r="T1348" t="str">
            <v>normal</v>
          </cell>
          <cell r="U1348" t="str">
            <v>NULL</v>
          </cell>
          <cell r="V1348" t="str">
            <v>NULL</v>
          </cell>
          <cell r="W1348" t="str">
            <v>NULL</v>
          </cell>
        </row>
        <row r="1349">
          <cell r="A1349">
            <v>1348</v>
          </cell>
          <cell r="B1349" t="str">
            <v>ja</v>
          </cell>
          <cell r="C1349" t="str">
            <v>パウリ</v>
          </cell>
          <cell r="H1349" t="str">
            <v>green</v>
          </cell>
          <cell r="I1349">
            <v>5</v>
          </cell>
          <cell r="J1349" t="str">
            <v>PremiumSSS</v>
          </cell>
          <cell r="K1349" t="str">
            <v>hp</v>
          </cell>
          <cell r="L1349" t="str">
            <v>体力タイプ</v>
          </cell>
          <cell r="M1349" t="str">
            <v>academia</v>
          </cell>
          <cell r="N1349" t="str">
            <v>アカデミア</v>
          </cell>
          <cell r="O1349" t="str">
            <v>unknown</v>
          </cell>
          <cell r="P1349" t="str">
            <v>Unknown</v>
          </cell>
          <cell r="R1349">
            <v>3</v>
          </cell>
          <cell r="S1349" t="str">
            <v>NULL</v>
          </cell>
          <cell r="T1349" t="str">
            <v>normal</v>
          </cell>
          <cell r="U1349" t="str">
            <v>NULL</v>
          </cell>
          <cell r="V1349" t="str">
            <v>NULL</v>
          </cell>
          <cell r="W1349" t="str">
            <v>NULL</v>
          </cell>
        </row>
        <row r="1350">
          <cell r="A1350">
            <v>1349</v>
          </cell>
          <cell r="B1350" t="str">
            <v>ja</v>
          </cell>
          <cell r="C1350" t="str">
            <v>機壊の輪旋 パウリ</v>
          </cell>
          <cell r="H1350" t="str">
            <v>green</v>
          </cell>
          <cell r="I1350">
            <v>6</v>
          </cell>
          <cell r="J1350" t="str">
            <v>PremiumSSS</v>
          </cell>
          <cell r="K1350" t="str">
            <v>hp</v>
          </cell>
          <cell r="L1350" t="str">
            <v>体力タイプ</v>
          </cell>
          <cell r="M1350" t="str">
            <v>academia</v>
          </cell>
          <cell r="N1350" t="str">
            <v>アカデミア</v>
          </cell>
          <cell r="O1350" t="str">
            <v>unknown</v>
          </cell>
          <cell r="P1350" t="str">
            <v>Unknown</v>
          </cell>
          <cell r="R1350">
            <v>3</v>
          </cell>
          <cell r="S1350" t="str">
            <v>NULL</v>
          </cell>
          <cell r="T1350" t="str">
            <v>normal</v>
          </cell>
          <cell r="U1350" t="str">
            <v>NULL</v>
          </cell>
          <cell r="V1350" t="str">
            <v>NULL</v>
          </cell>
          <cell r="W1350" t="str">
            <v>NULL</v>
          </cell>
        </row>
        <row r="1351">
          <cell r="A1351">
            <v>1350</v>
          </cell>
          <cell r="B1351" t="str">
            <v>ja</v>
          </cell>
          <cell r="C1351" t="str">
            <v>ブラウニーR5</v>
          </cell>
          <cell r="H1351" t="str">
            <v>red</v>
          </cell>
          <cell r="I1351">
            <v>5</v>
          </cell>
          <cell r="J1351" t="str">
            <v>DropWizS</v>
          </cell>
          <cell r="K1351" t="str">
            <v>attack</v>
          </cell>
          <cell r="L1351" t="str">
            <v>攻撃タイプ</v>
          </cell>
          <cell r="M1351" t="str">
            <v>human</v>
          </cell>
          <cell r="N1351" t="str">
            <v>ヒューマン</v>
          </cell>
          <cell r="O1351" t="str">
            <v>none</v>
          </cell>
          <cell r="P1351" t="str">
            <v>種族なし</v>
          </cell>
          <cell r="R1351">
            <v>1</v>
          </cell>
          <cell r="S1351" t="str">
            <v>NULL</v>
          </cell>
          <cell r="T1351" t="str">
            <v>normal</v>
          </cell>
          <cell r="U1351" t="str">
            <v>NULL</v>
          </cell>
          <cell r="V1351" t="str">
            <v>NULL</v>
          </cell>
          <cell r="W1351" t="str">
            <v>NULL</v>
          </cell>
        </row>
        <row r="1352">
          <cell r="A1352">
            <v>1351</v>
          </cell>
          <cell r="B1352" t="str">
            <v>ja</v>
          </cell>
          <cell r="C1352" t="str">
            <v>甘頬の魔糖菓 プラリーヌ</v>
          </cell>
          <cell r="H1352" t="str">
            <v>red</v>
          </cell>
          <cell r="I1352">
            <v>6</v>
          </cell>
          <cell r="J1352" t="str">
            <v>DropWizS</v>
          </cell>
          <cell r="K1352" t="str">
            <v>technical</v>
          </cell>
          <cell r="L1352" t="str">
            <v>テクニカルタイプ</v>
          </cell>
          <cell r="M1352" t="str">
            <v>human</v>
          </cell>
          <cell r="N1352" t="str">
            <v>ヒューマン</v>
          </cell>
          <cell r="O1352" t="str">
            <v>none</v>
          </cell>
          <cell r="P1352" t="str">
            <v>種族なし</v>
          </cell>
          <cell r="R1352">
            <v>3</v>
          </cell>
          <cell r="S1352" t="str">
            <v>NULL</v>
          </cell>
          <cell r="T1352" t="str">
            <v>normal</v>
          </cell>
          <cell r="U1352" t="str">
            <v>NULL</v>
          </cell>
          <cell r="V1352" t="str">
            <v>NULL</v>
          </cell>
          <cell r="W1352" t="str">
            <v>NULL</v>
          </cell>
        </row>
        <row r="1353">
          <cell r="A1353">
            <v>1352</v>
          </cell>
          <cell r="B1353" t="str">
            <v>ja</v>
          </cell>
          <cell r="C1353" t="str">
            <v>トウカ</v>
          </cell>
          <cell r="H1353" t="str">
            <v>blue</v>
          </cell>
          <cell r="I1353">
            <v>5</v>
          </cell>
          <cell r="J1353" t="str">
            <v>PremiumSSw</v>
          </cell>
          <cell r="K1353" t="str">
            <v>technical</v>
          </cell>
          <cell r="L1353" t="str">
            <v>テクニカルタイプ</v>
          </cell>
          <cell r="M1353" t="str">
            <v>human</v>
          </cell>
          <cell r="N1353" t="str">
            <v>ヒューマン</v>
          </cell>
          <cell r="O1353" t="str">
            <v>none</v>
          </cell>
          <cell r="P1353" t="str">
            <v>種族なし</v>
          </cell>
          <cell r="R1353">
            <v>3</v>
          </cell>
          <cell r="S1353" t="str">
            <v>NULL</v>
          </cell>
          <cell r="T1353" t="str">
            <v>normal</v>
          </cell>
          <cell r="U1353" t="str">
            <v>NULL</v>
          </cell>
          <cell r="V1353" t="str">
            <v>NULL</v>
          </cell>
          <cell r="W1353" t="str">
            <v>NULL</v>
          </cell>
        </row>
        <row r="1354">
          <cell r="A1354">
            <v>1353</v>
          </cell>
          <cell r="B1354" t="str">
            <v>ja</v>
          </cell>
          <cell r="C1354" t="str">
            <v>恋待つ帰り道 トウカ</v>
          </cell>
          <cell r="H1354" t="str">
            <v>blue</v>
          </cell>
          <cell r="I1354">
            <v>6</v>
          </cell>
          <cell r="J1354" t="str">
            <v>PremiumSSw</v>
          </cell>
          <cell r="K1354" t="str">
            <v>technical</v>
          </cell>
          <cell r="L1354" t="str">
            <v>テクニカルタイプ</v>
          </cell>
          <cell r="M1354" t="str">
            <v>human</v>
          </cell>
          <cell r="N1354" t="str">
            <v>ヒューマン</v>
          </cell>
          <cell r="O1354" t="str">
            <v>none</v>
          </cell>
          <cell r="P1354" t="str">
            <v>種族なし</v>
          </cell>
          <cell r="R1354">
            <v>3</v>
          </cell>
          <cell r="S1354" t="str">
            <v>NULL</v>
          </cell>
          <cell r="T1354" t="str">
            <v>normal</v>
          </cell>
          <cell r="U1354" t="str">
            <v>NULL</v>
          </cell>
          <cell r="V1354" t="str">
            <v>NULL</v>
          </cell>
          <cell r="W1354" t="str">
            <v>NULL</v>
          </cell>
        </row>
        <row r="1355">
          <cell r="A1355">
            <v>1354</v>
          </cell>
          <cell r="B1355" t="str">
            <v>ja</v>
          </cell>
          <cell r="C1355" t="str">
            <v>放課後の恋妃神 フレイヤ</v>
          </cell>
          <cell r="H1355" t="str">
            <v>green</v>
          </cell>
          <cell r="I1355">
            <v>6</v>
          </cell>
          <cell r="J1355" t="str">
            <v>PremiumSS</v>
          </cell>
          <cell r="K1355" t="str">
            <v>heal</v>
          </cell>
          <cell r="L1355" t="str">
            <v>回復タイプ</v>
          </cell>
          <cell r="M1355" t="str">
            <v>animal</v>
          </cell>
          <cell r="N1355" t="str">
            <v>アニマル</v>
          </cell>
          <cell r="O1355" t="str">
            <v>none</v>
          </cell>
          <cell r="P1355" t="str">
            <v>種族なし</v>
          </cell>
          <cell r="R1355">
            <v>3</v>
          </cell>
          <cell r="S1355" t="str">
            <v>NULL</v>
          </cell>
          <cell r="T1355" t="str">
            <v>normal</v>
          </cell>
          <cell r="U1355" t="str">
            <v>NULL</v>
          </cell>
          <cell r="V1355" t="str">
            <v>NULL</v>
          </cell>
          <cell r="W1355" t="str">
            <v>NULL</v>
          </cell>
        </row>
        <row r="1356">
          <cell r="A1356">
            <v>1355</v>
          </cell>
          <cell r="B1356" t="str">
            <v>ja</v>
          </cell>
          <cell r="C1356" t="str">
            <v>恋する燦天使 メタトロン・エモ</v>
          </cell>
          <cell r="H1356" t="str">
            <v>yellow</v>
          </cell>
          <cell r="I1356">
            <v>6</v>
          </cell>
          <cell r="J1356" t="str">
            <v>PremiumSS</v>
          </cell>
          <cell r="K1356" t="str">
            <v>balance</v>
          </cell>
          <cell r="L1356" t="str">
            <v>バランスタイプ</v>
          </cell>
          <cell r="M1356" t="str">
            <v>god</v>
          </cell>
          <cell r="N1356" t="str">
            <v>ゴッド</v>
          </cell>
          <cell r="O1356" t="str">
            <v>machine</v>
          </cell>
          <cell r="P1356" t="str">
            <v>マシン</v>
          </cell>
          <cell r="R1356">
            <v>3</v>
          </cell>
          <cell r="S1356" t="str">
            <v>NULL</v>
          </cell>
          <cell r="T1356" t="str">
            <v>normal</v>
          </cell>
          <cell r="U1356" t="str">
            <v>NULL</v>
          </cell>
          <cell r="V1356" t="str">
            <v>NULL</v>
          </cell>
          <cell r="W1356" t="str">
            <v>NULL</v>
          </cell>
        </row>
        <row r="1357">
          <cell r="A1357">
            <v>1356</v>
          </cell>
          <cell r="B1357" t="str">
            <v>ja</v>
          </cell>
          <cell r="C1357" t="str">
            <v>恋狐の甘味振舞 タマモ</v>
          </cell>
          <cell r="H1357" t="str">
            <v>red</v>
          </cell>
          <cell r="I1357">
            <v>5</v>
          </cell>
          <cell r="J1357" t="str">
            <v>PremiumS</v>
          </cell>
          <cell r="K1357" t="str">
            <v>balance</v>
          </cell>
          <cell r="L1357" t="str">
            <v>バランスタイプ</v>
          </cell>
          <cell r="M1357" t="str">
            <v>animal</v>
          </cell>
          <cell r="N1357" t="str">
            <v>アニマル</v>
          </cell>
          <cell r="O1357" t="str">
            <v>none</v>
          </cell>
          <cell r="P1357" t="str">
            <v>種族なし</v>
          </cell>
          <cell r="R1357">
            <v>3</v>
          </cell>
          <cell r="S1357" t="str">
            <v>NULL</v>
          </cell>
          <cell r="T1357" t="str">
            <v>normal</v>
          </cell>
          <cell r="U1357" t="str">
            <v>NULL</v>
          </cell>
          <cell r="V1357" t="str">
            <v>NULL</v>
          </cell>
          <cell r="W1357" t="str">
            <v>NULL</v>
          </cell>
        </row>
        <row r="1358">
          <cell r="A1358">
            <v>1357</v>
          </cell>
          <cell r="B1358" t="str">
            <v>ja</v>
          </cell>
          <cell r="C1358" t="str">
            <v>甘美なる想導司書 アズラエル</v>
          </cell>
          <cell r="H1358" t="str">
            <v>blue</v>
          </cell>
          <cell r="I1358">
            <v>5</v>
          </cell>
          <cell r="J1358" t="str">
            <v>PremiumS</v>
          </cell>
          <cell r="K1358" t="str">
            <v>balance</v>
          </cell>
          <cell r="L1358" t="str">
            <v>バランスタイプ</v>
          </cell>
          <cell r="M1358" t="str">
            <v>god</v>
          </cell>
          <cell r="N1358" t="str">
            <v>ゴッド</v>
          </cell>
          <cell r="O1358" t="str">
            <v>none</v>
          </cell>
          <cell r="P1358" t="str">
            <v>種族なし</v>
          </cell>
          <cell r="R1358">
            <v>3</v>
          </cell>
          <cell r="S1358" t="str">
            <v>NULL</v>
          </cell>
          <cell r="T1358" t="str">
            <v>normal</v>
          </cell>
          <cell r="U1358" t="str">
            <v>NULL</v>
          </cell>
          <cell r="V1358" t="str">
            <v>NULL</v>
          </cell>
          <cell r="W1358" t="str">
            <v>NULL</v>
          </cell>
        </row>
        <row r="1359">
          <cell r="A1359">
            <v>1358</v>
          </cell>
          <cell r="B1359" t="str">
            <v>ja</v>
          </cell>
          <cell r="C1359" t="str">
            <v>暴走する恋激火 バハムート</v>
          </cell>
          <cell r="H1359" t="str">
            <v>yellow</v>
          </cell>
          <cell r="I1359">
            <v>5</v>
          </cell>
          <cell r="J1359" t="str">
            <v>PremiumS</v>
          </cell>
          <cell r="K1359" t="str">
            <v>heal</v>
          </cell>
          <cell r="L1359" t="str">
            <v>回復タイプ</v>
          </cell>
          <cell r="M1359" t="str">
            <v>dragon</v>
          </cell>
          <cell r="N1359" t="str">
            <v>ドラゴン</v>
          </cell>
          <cell r="O1359" t="str">
            <v>none</v>
          </cell>
          <cell r="P1359" t="str">
            <v>種族なし</v>
          </cell>
          <cell r="R1359">
            <v>3</v>
          </cell>
          <cell r="S1359" t="str">
            <v>NULL</v>
          </cell>
          <cell r="T1359" t="str">
            <v>normal</v>
          </cell>
          <cell r="U1359" t="str">
            <v>NULL</v>
          </cell>
          <cell r="V1359" t="str">
            <v>NULL</v>
          </cell>
          <cell r="W1359" t="str">
            <v>NULL</v>
          </cell>
        </row>
        <row r="1360">
          <cell r="A1360">
            <v>1359</v>
          </cell>
          <cell r="B1360" t="str">
            <v>ja</v>
          </cell>
          <cell r="C1360" t="str">
            <v>コルネ</v>
          </cell>
          <cell r="H1360" t="str">
            <v>red</v>
          </cell>
          <cell r="I1360">
            <v>5</v>
          </cell>
          <cell r="J1360" t="str">
            <v>PremiumSS</v>
          </cell>
          <cell r="K1360" t="str">
            <v>balance</v>
          </cell>
          <cell r="L1360" t="str">
            <v>バランスタイプ</v>
          </cell>
          <cell r="M1360" t="str">
            <v>human</v>
          </cell>
          <cell r="N1360" t="str">
            <v>ヒューマン</v>
          </cell>
          <cell r="O1360" t="str">
            <v>none</v>
          </cell>
          <cell r="P1360" t="str">
            <v>種族なし</v>
          </cell>
          <cell r="R1360">
            <v>3</v>
          </cell>
          <cell r="S1360" t="str">
            <v>NULL</v>
          </cell>
          <cell r="T1360" t="str">
            <v>normal</v>
          </cell>
          <cell r="U1360" t="str">
            <v>NULL</v>
          </cell>
          <cell r="V1360" t="str">
            <v>NULL</v>
          </cell>
          <cell r="W1360" t="str">
            <v>NULL</v>
          </cell>
        </row>
        <row r="1361">
          <cell r="A1361">
            <v>1360</v>
          </cell>
          <cell r="B1361" t="str">
            <v>ja</v>
          </cell>
          <cell r="C1361" t="str">
            <v>恋話の散弾 コルネ</v>
          </cell>
          <cell r="H1361" t="str">
            <v>red</v>
          </cell>
          <cell r="I1361">
            <v>6</v>
          </cell>
          <cell r="J1361" t="str">
            <v>PremiumSS</v>
          </cell>
          <cell r="K1361" t="str">
            <v>balance</v>
          </cell>
          <cell r="L1361" t="str">
            <v>バランスタイプ</v>
          </cell>
          <cell r="M1361" t="str">
            <v>human</v>
          </cell>
          <cell r="N1361" t="str">
            <v>ヒューマン</v>
          </cell>
          <cell r="O1361" t="str">
            <v>none</v>
          </cell>
          <cell r="P1361" t="str">
            <v>種族なし</v>
          </cell>
          <cell r="R1361">
            <v>3</v>
          </cell>
          <cell r="S1361" t="str">
            <v>NULL</v>
          </cell>
          <cell r="T1361" t="str">
            <v>normal</v>
          </cell>
          <cell r="U1361" t="str">
            <v>NULL</v>
          </cell>
          <cell r="V1361" t="str">
            <v>NULL</v>
          </cell>
          <cell r="W1361" t="str">
            <v>NULL</v>
          </cell>
        </row>
        <row r="1362">
          <cell r="A1362">
            <v>1361</v>
          </cell>
          <cell r="B1362" t="str">
            <v>ja</v>
          </cell>
          <cell r="C1362" t="str">
            <v>ショコラR6(使用せず)</v>
          </cell>
          <cell r="H1362" t="str">
            <v>red</v>
          </cell>
          <cell r="I1362">
            <v>6</v>
          </cell>
          <cell r="J1362" t="str">
            <v>PremiumSSw</v>
          </cell>
          <cell r="K1362" t="str">
            <v>heal</v>
          </cell>
          <cell r="L1362" t="str">
            <v>回復タイプ</v>
          </cell>
          <cell r="M1362" t="str">
            <v>human</v>
          </cell>
          <cell r="N1362" t="str">
            <v>ヒューマン</v>
          </cell>
          <cell r="O1362" t="str">
            <v>none</v>
          </cell>
          <cell r="P1362" t="str">
            <v>種族なし</v>
          </cell>
          <cell r="R1362">
            <v>1</v>
          </cell>
          <cell r="S1362" t="str">
            <v>NULL</v>
          </cell>
          <cell r="T1362" t="str">
            <v>normal</v>
          </cell>
          <cell r="U1362" t="str">
            <v>NULL</v>
          </cell>
          <cell r="V1362" t="str">
            <v>NULL</v>
          </cell>
          <cell r="W1362" t="str">
            <v>NULL</v>
          </cell>
        </row>
        <row r="1363">
          <cell r="A1363">
            <v>1362</v>
          </cell>
          <cell r="B1363" t="str">
            <v>ja</v>
          </cell>
          <cell r="C1363" t="str">
            <v>刺撃する尖甘槍 フォンデュ</v>
          </cell>
          <cell r="H1363" t="str">
            <v>red</v>
          </cell>
          <cell r="I1363">
            <v>6</v>
          </cell>
          <cell r="J1363" t="str">
            <v>PremiumSSw</v>
          </cell>
          <cell r="K1363" t="str">
            <v>heal</v>
          </cell>
          <cell r="L1363" t="str">
            <v>回復タイプ</v>
          </cell>
          <cell r="M1363" t="str">
            <v>human</v>
          </cell>
          <cell r="N1363" t="str">
            <v>ヒューマン</v>
          </cell>
          <cell r="O1363" t="str">
            <v>none</v>
          </cell>
          <cell r="P1363" t="str">
            <v>種族なし</v>
          </cell>
          <cell r="R1363">
            <v>3</v>
          </cell>
          <cell r="S1363" t="str">
            <v>NULL</v>
          </cell>
          <cell r="T1363" t="str">
            <v>normal</v>
          </cell>
          <cell r="U1363" t="str">
            <v>NULL</v>
          </cell>
          <cell r="V1363" t="str">
            <v>NULL</v>
          </cell>
          <cell r="W1363" t="str">
            <v>NULL</v>
          </cell>
        </row>
        <row r="1364">
          <cell r="A1364">
            <v>1363</v>
          </cell>
          <cell r="B1364" t="str">
            <v>ja</v>
          </cell>
          <cell r="C1364" t="str">
            <v>聖白の夢菓子 ヴァニレ</v>
          </cell>
          <cell r="H1364" t="str">
            <v>blue</v>
          </cell>
          <cell r="I1364">
            <v>6</v>
          </cell>
          <cell r="J1364" t="str">
            <v>PremiumSS</v>
          </cell>
          <cell r="K1364" t="str">
            <v>attack</v>
          </cell>
          <cell r="L1364" t="str">
            <v>攻撃タイプ</v>
          </cell>
          <cell r="M1364" t="str">
            <v>human</v>
          </cell>
          <cell r="N1364" t="str">
            <v>ヒューマン</v>
          </cell>
          <cell r="O1364" t="str">
            <v>none</v>
          </cell>
          <cell r="P1364" t="str">
            <v>種族なし</v>
          </cell>
          <cell r="R1364">
            <v>3</v>
          </cell>
          <cell r="S1364" t="str">
            <v>NULL</v>
          </cell>
          <cell r="T1364" t="str">
            <v>normal</v>
          </cell>
          <cell r="U1364" t="str">
            <v>NULL</v>
          </cell>
          <cell r="V1364" t="str">
            <v>NULL</v>
          </cell>
          <cell r="W1364" t="str">
            <v>NULL</v>
          </cell>
        </row>
        <row r="1365">
          <cell r="A1365">
            <v>1364</v>
          </cell>
          <cell r="B1365" t="str">
            <v>ja</v>
          </cell>
          <cell r="C1365" t="str">
            <v>百菓の甘味家 パティ</v>
          </cell>
          <cell r="H1365" t="str">
            <v>green</v>
          </cell>
          <cell r="I1365">
            <v>6</v>
          </cell>
          <cell r="J1365" t="str">
            <v>DropWizS</v>
          </cell>
          <cell r="K1365" t="str">
            <v>balance</v>
          </cell>
          <cell r="L1365" t="str">
            <v>バランスタイプ</v>
          </cell>
          <cell r="M1365" t="str">
            <v>human</v>
          </cell>
          <cell r="N1365" t="str">
            <v>ヒューマン</v>
          </cell>
          <cell r="O1365" t="str">
            <v>none</v>
          </cell>
          <cell r="P1365" t="str">
            <v>種族なし</v>
          </cell>
          <cell r="R1365">
            <v>3</v>
          </cell>
          <cell r="S1365" t="str">
            <v>NULL</v>
          </cell>
          <cell r="T1365" t="str">
            <v>normal</v>
          </cell>
          <cell r="U1365" t="str">
            <v>NULL</v>
          </cell>
          <cell r="V1365" t="str">
            <v>NULL</v>
          </cell>
          <cell r="W1365" t="str">
            <v>NULL</v>
          </cell>
        </row>
        <row r="1366">
          <cell r="A1366">
            <v>1365</v>
          </cell>
          <cell r="B1366" t="str">
            <v>ja</v>
          </cell>
          <cell r="C1366" t="str">
            <v>バリアテスト</v>
          </cell>
          <cell r="H1366" t="str">
            <v>green</v>
          </cell>
          <cell r="I1366">
            <v>5</v>
          </cell>
          <cell r="J1366" t="str">
            <v>PremiumSSS</v>
          </cell>
          <cell r="K1366" t="str">
            <v>attack</v>
          </cell>
          <cell r="L1366" t="str">
            <v>攻撃タイプ</v>
          </cell>
          <cell r="M1366" t="str">
            <v>academia</v>
          </cell>
          <cell r="N1366" t="str">
            <v>アカデミア</v>
          </cell>
          <cell r="O1366" t="str">
            <v>none</v>
          </cell>
          <cell r="P1366" t="str">
            <v>種族なし</v>
          </cell>
          <cell r="R1366">
            <v>1</v>
          </cell>
          <cell r="S1366" t="str">
            <v>NULL</v>
          </cell>
          <cell r="T1366" t="str">
            <v>normal</v>
          </cell>
          <cell r="U1366" t="str">
            <v>NULL</v>
          </cell>
          <cell r="V1366" t="str">
            <v>NULL</v>
          </cell>
          <cell r="W1366" t="str">
            <v>NULL</v>
          </cell>
        </row>
        <row r="1367">
          <cell r="A1367">
            <v>1366</v>
          </cell>
          <cell r="B1367" t="str">
            <v>ja</v>
          </cell>
          <cell r="C1367" t="str">
            <v>バリアテスト</v>
          </cell>
          <cell r="H1367" t="str">
            <v>green</v>
          </cell>
          <cell r="I1367">
            <v>6</v>
          </cell>
          <cell r="J1367" t="str">
            <v>PremiumSSS</v>
          </cell>
          <cell r="K1367" t="str">
            <v>attack</v>
          </cell>
          <cell r="L1367" t="str">
            <v>攻撃タイプ</v>
          </cell>
          <cell r="M1367" t="str">
            <v>academia</v>
          </cell>
          <cell r="N1367" t="str">
            <v>アカデミア</v>
          </cell>
          <cell r="O1367" t="str">
            <v>none</v>
          </cell>
          <cell r="P1367" t="str">
            <v>種族なし</v>
          </cell>
          <cell r="R1367">
            <v>1</v>
          </cell>
          <cell r="S1367" t="str">
            <v>NULL</v>
          </cell>
          <cell r="T1367" t="str">
            <v>normal</v>
          </cell>
          <cell r="U1367" t="str">
            <v>NULL</v>
          </cell>
          <cell r="V1367" t="str">
            <v>NULL</v>
          </cell>
          <cell r="W1367" t="str">
            <v>NULL</v>
          </cell>
        </row>
        <row r="1368">
          <cell r="A1368">
            <v>1367</v>
          </cell>
          <cell r="B1368" t="str">
            <v>ja</v>
          </cell>
          <cell r="C1368" t="str">
            <v>ベルヌーイ</v>
          </cell>
          <cell r="H1368" t="str">
            <v>blue</v>
          </cell>
          <cell r="I1368">
            <v>5</v>
          </cell>
          <cell r="J1368" t="str">
            <v>PremiumSSS</v>
          </cell>
          <cell r="K1368" t="str">
            <v>attack</v>
          </cell>
          <cell r="L1368" t="str">
            <v>攻撃タイプ</v>
          </cell>
          <cell r="M1368" t="str">
            <v>academia</v>
          </cell>
          <cell r="N1368" t="str">
            <v>アカデミア</v>
          </cell>
          <cell r="O1368" t="str">
            <v>human</v>
          </cell>
          <cell r="P1368" t="str">
            <v>ヒューマン</v>
          </cell>
          <cell r="R1368">
            <v>3</v>
          </cell>
          <cell r="S1368" t="str">
            <v>NULL</v>
          </cell>
          <cell r="T1368" t="str">
            <v>normal</v>
          </cell>
          <cell r="U1368" t="str">
            <v>NULL</v>
          </cell>
          <cell r="V1368" t="str">
            <v>NULL</v>
          </cell>
          <cell r="W1368" t="str">
            <v>NULL</v>
          </cell>
        </row>
        <row r="1369">
          <cell r="A1369">
            <v>1368</v>
          </cell>
          <cell r="B1369" t="str">
            <v>ja</v>
          </cell>
          <cell r="C1369" t="str">
            <v>憤流する水鳴砲 ベルヌーイ</v>
          </cell>
          <cell r="H1369" t="str">
            <v>blue</v>
          </cell>
          <cell r="I1369">
            <v>6</v>
          </cell>
          <cell r="J1369" t="str">
            <v>PremiumSSS</v>
          </cell>
          <cell r="K1369" t="str">
            <v>attack</v>
          </cell>
          <cell r="L1369" t="str">
            <v>攻撃タイプ</v>
          </cell>
          <cell r="M1369" t="str">
            <v>academia</v>
          </cell>
          <cell r="N1369" t="str">
            <v>アカデミア</v>
          </cell>
          <cell r="O1369" t="str">
            <v>human</v>
          </cell>
          <cell r="P1369" t="str">
            <v>ヒューマン</v>
          </cell>
          <cell r="R1369">
            <v>3</v>
          </cell>
          <cell r="S1369" t="str">
            <v>NULL</v>
          </cell>
          <cell r="T1369" t="str">
            <v>normal</v>
          </cell>
          <cell r="U1369" t="str">
            <v>NULL</v>
          </cell>
          <cell r="V1369" t="str">
            <v>NULL</v>
          </cell>
          <cell r="W1369" t="str">
            <v>NULL</v>
          </cell>
        </row>
        <row r="1370">
          <cell r="A1370">
            <v>1369</v>
          </cell>
          <cell r="B1370" t="str">
            <v>ja</v>
          </cell>
          <cell r="C1370" t="str">
            <v>トロイア</v>
          </cell>
          <cell r="H1370" t="str">
            <v>red</v>
          </cell>
          <cell r="I1370">
            <v>5</v>
          </cell>
          <cell r="J1370" t="str">
            <v>PremiumSSw</v>
          </cell>
          <cell r="K1370" t="str">
            <v>attack</v>
          </cell>
          <cell r="L1370" t="str">
            <v>攻撃タイプ</v>
          </cell>
          <cell r="M1370" t="str">
            <v>demon</v>
          </cell>
          <cell r="N1370" t="str">
            <v>デーモン</v>
          </cell>
          <cell r="O1370" t="str">
            <v>unknown</v>
          </cell>
          <cell r="P1370" t="str">
            <v>Unknown</v>
          </cell>
          <cell r="R1370">
            <v>3</v>
          </cell>
          <cell r="S1370" t="str">
            <v>NULL</v>
          </cell>
          <cell r="T1370" t="str">
            <v>normal</v>
          </cell>
          <cell r="U1370" t="str">
            <v>NULL</v>
          </cell>
          <cell r="V1370" t="str">
            <v>NULL</v>
          </cell>
          <cell r="W1370" t="str">
            <v>NULL</v>
          </cell>
        </row>
        <row r="1371">
          <cell r="A1371">
            <v>1370</v>
          </cell>
          <cell r="B1371" t="str">
            <v>ja</v>
          </cell>
          <cell r="C1371" t="str">
            <v>美審なる神争 トロイア</v>
          </cell>
          <cell r="H1371" t="str">
            <v>red</v>
          </cell>
          <cell r="I1371">
            <v>6</v>
          </cell>
          <cell r="J1371" t="str">
            <v>PremiumSSw</v>
          </cell>
          <cell r="K1371" t="str">
            <v>attack</v>
          </cell>
          <cell r="L1371" t="str">
            <v>攻撃タイプ</v>
          </cell>
          <cell r="M1371" t="str">
            <v>demon</v>
          </cell>
          <cell r="N1371" t="str">
            <v>デーモン</v>
          </cell>
          <cell r="O1371" t="str">
            <v>unknown</v>
          </cell>
          <cell r="P1371" t="str">
            <v>Unknown</v>
          </cell>
          <cell r="R1371">
            <v>3</v>
          </cell>
          <cell r="S1371" t="str">
            <v>NULL</v>
          </cell>
          <cell r="T1371" t="str">
            <v>normal</v>
          </cell>
          <cell r="U1371" t="str">
            <v>NULL</v>
          </cell>
          <cell r="V1371" t="str">
            <v>NULL</v>
          </cell>
          <cell r="W1371" t="str">
            <v>NULL</v>
          </cell>
        </row>
        <row r="1372">
          <cell r="A1372">
            <v>1373</v>
          </cell>
          <cell r="B1372" t="str">
            <v>ja</v>
          </cell>
          <cell r="C1372" t="str">
            <v>スリー・ピギーズ</v>
          </cell>
          <cell r="H1372" t="str">
            <v>yellow</v>
          </cell>
          <cell r="I1372">
            <v>4</v>
          </cell>
          <cell r="J1372" t="str">
            <v>Drop2N</v>
          </cell>
          <cell r="K1372" t="str">
            <v>technical</v>
          </cell>
          <cell r="L1372" t="str">
            <v>テクニカルタイプ</v>
          </cell>
          <cell r="M1372" t="str">
            <v>animal</v>
          </cell>
          <cell r="N1372" t="str">
            <v>アニマル</v>
          </cell>
          <cell r="O1372" t="str">
            <v>fantasy</v>
          </cell>
          <cell r="P1372" t="str">
            <v>ファンタジー</v>
          </cell>
          <cell r="R1372">
            <v>3</v>
          </cell>
          <cell r="S1372" t="str">
            <v>NULL</v>
          </cell>
          <cell r="T1372" t="str">
            <v>normal</v>
          </cell>
          <cell r="U1372" t="str">
            <v>NULL</v>
          </cell>
          <cell r="V1372" t="str">
            <v>NULL</v>
          </cell>
          <cell r="W1372" t="str">
            <v>NULL</v>
          </cell>
        </row>
        <row r="1373">
          <cell r="A1373">
            <v>1374</v>
          </cell>
          <cell r="B1373" t="str">
            <v>ja</v>
          </cell>
          <cell r="C1373" t="str">
            <v>一級建築兄弟 スリー・ピギーズ</v>
          </cell>
          <cell r="H1373" t="str">
            <v>yellow</v>
          </cell>
          <cell r="I1373">
            <v>5</v>
          </cell>
          <cell r="J1373" t="str">
            <v>Drop2N</v>
          </cell>
          <cell r="K1373" t="str">
            <v>technical</v>
          </cell>
          <cell r="L1373" t="str">
            <v>テクニカルタイプ</v>
          </cell>
          <cell r="M1373" t="str">
            <v>animal</v>
          </cell>
          <cell r="N1373" t="str">
            <v>アニマル</v>
          </cell>
          <cell r="O1373" t="str">
            <v>fantasy</v>
          </cell>
          <cell r="P1373" t="str">
            <v>ファンタジー</v>
          </cell>
          <cell r="R1373">
            <v>3</v>
          </cell>
          <cell r="S1373" t="str">
            <v>NULL</v>
          </cell>
          <cell r="T1373" t="str">
            <v>normal</v>
          </cell>
          <cell r="U1373" t="str">
            <v>NULL</v>
          </cell>
          <cell r="V1373" t="str">
            <v>NULL</v>
          </cell>
          <cell r="W1373" t="str">
            <v>NULL</v>
          </cell>
        </row>
        <row r="1374">
          <cell r="A1374">
            <v>1375</v>
          </cell>
          <cell r="B1374" t="str">
            <v>ja</v>
          </cell>
          <cell r="C1374" t="str">
            <v>ジキル&amp;ハイド</v>
          </cell>
          <cell r="H1374" t="str">
            <v>red</v>
          </cell>
          <cell r="I1374">
            <v>5</v>
          </cell>
          <cell r="J1374" t="str">
            <v>DropWizS</v>
          </cell>
          <cell r="K1374" t="str">
            <v>balance</v>
          </cell>
          <cell r="L1374" t="str">
            <v>バランスタイプ</v>
          </cell>
          <cell r="M1374" t="str">
            <v>demon</v>
          </cell>
          <cell r="N1374" t="str">
            <v>デーモン</v>
          </cell>
          <cell r="O1374" t="str">
            <v>fantasy</v>
          </cell>
          <cell r="P1374" t="str">
            <v>ファンタジー</v>
          </cell>
          <cell r="R1374">
            <v>3</v>
          </cell>
          <cell r="S1374" t="str">
            <v>NULL</v>
          </cell>
          <cell r="T1374" t="str">
            <v>normal</v>
          </cell>
          <cell r="U1374" t="str">
            <v>NULL</v>
          </cell>
          <cell r="V1374" t="str">
            <v>NULL</v>
          </cell>
          <cell r="W1374" t="str">
            <v>NULL</v>
          </cell>
        </row>
        <row r="1375">
          <cell r="A1375">
            <v>1376</v>
          </cell>
          <cell r="B1375" t="str">
            <v>ja</v>
          </cell>
          <cell r="C1375" t="str">
            <v>剥離性異常衝動 ジキル&amp;ハイド</v>
          </cell>
          <cell r="H1375" t="str">
            <v>red</v>
          </cell>
          <cell r="I1375">
            <v>6</v>
          </cell>
          <cell r="J1375" t="str">
            <v>DropWizS</v>
          </cell>
          <cell r="K1375" t="str">
            <v>balance</v>
          </cell>
          <cell r="L1375" t="str">
            <v>バランスタイプ</v>
          </cell>
          <cell r="M1375" t="str">
            <v>demon</v>
          </cell>
          <cell r="N1375" t="str">
            <v>デーモン</v>
          </cell>
          <cell r="O1375" t="str">
            <v>fantasy</v>
          </cell>
          <cell r="P1375" t="str">
            <v>ファンタジー</v>
          </cell>
          <cell r="R1375">
            <v>3</v>
          </cell>
          <cell r="S1375" t="str">
            <v>NULL</v>
          </cell>
          <cell r="T1375" t="str">
            <v>normal</v>
          </cell>
          <cell r="U1375" t="str">
            <v>NULL</v>
          </cell>
          <cell r="V1375" t="str">
            <v>NULL</v>
          </cell>
          <cell r="W1375" t="str">
            <v>NULL</v>
          </cell>
        </row>
        <row r="1376">
          <cell r="A1376">
            <v>1377</v>
          </cell>
          <cell r="B1376" t="str">
            <v>ja</v>
          </cell>
          <cell r="C1376" t="str">
            <v>ダンテ・クリスト</v>
          </cell>
          <cell r="H1376" t="str">
            <v>blue</v>
          </cell>
          <cell r="I1376">
            <v>5</v>
          </cell>
          <cell r="J1376" t="str">
            <v>DropWizS</v>
          </cell>
          <cell r="K1376" t="str">
            <v>balance</v>
          </cell>
          <cell r="L1376" t="str">
            <v>バランスタイプ</v>
          </cell>
          <cell r="M1376" t="str">
            <v>human</v>
          </cell>
          <cell r="N1376" t="str">
            <v>ヒューマン</v>
          </cell>
          <cell r="O1376" t="str">
            <v>none</v>
          </cell>
          <cell r="P1376" t="str">
            <v>種族なし</v>
          </cell>
          <cell r="R1376">
            <v>1</v>
          </cell>
          <cell r="S1376" t="str">
            <v>NULL</v>
          </cell>
          <cell r="T1376" t="str">
            <v>normal</v>
          </cell>
          <cell r="U1376" t="str">
            <v>NULL</v>
          </cell>
          <cell r="V1376" t="str">
            <v>NULL</v>
          </cell>
          <cell r="W1376" t="str">
            <v>NULL</v>
          </cell>
        </row>
        <row r="1377">
          <cell r="A1377">
            <v>1378</v>
          </cell>
          <cell r="B1377" t="str">
            <v>ja</v>
          </cell>
          <cell r="C1377" t="str">
            <v>巌窟の魔主 ダンテ・クリスト</v>
          </cell>
          <cell r="H1377" t="str">
            <v>blue</v>
          </cell>
          <cell r="I1377">
            <v>6</v>
          </cell>
          <cell r="J1377" t="str">
            <v>DropWizS</v>
          </cell>
          <cell r="K1377" t="str">
            <v>balance</v>
          </cell>
          <cell r="L1377" t="str">
            <v>バランスタイプ</v>
          </cell>
          <cell r="M1377" t="str">
            <v>human</v>
          </cell>
          <cell r="N1377" t="str">
            <v>ヒューマン</v>
          </cell>
          <cell r="O1377" t="str">
            <v>none</v>
          </cell>
          <cell r="P1377" t="str">
            <v>種族なし</v>
          </cell>
          <cell r="R1377">
            <v>1</v>
          </cell>
          <cell r="S1377" t="str">
            <v>NULL</v>
          </cell>
          <cell r="T1377" t="str">
            <v>normal</v>
          </cell>
          <cell r="U1377" t="str">
            <v>NULL</v>
          </cell>
          <cell r="V1377" t="str">
            <v>NULL</v>
          </cell>
          <cell r="W1377" t="str">
            <v>NULL</v>
          </cell>
        </row>
        <row r="1378">
          <cell r="A1378">
            <v>1379</v>
          </cell>
          <cell r="B1378" t="str">
            <v>ja</v>
          </cell>
          <cell r="C1378" t="str">
            <v>アンデルセン</v>
          </cell>
          <cell r="H1378" t="str">
            <v>blue</v>
          </cell>
          <cell r="I1378">
            <v>5</v>
          </cell>
          <cell r="J1378" t="str">
            <v>DropWizSS</v>
          </cell>
          <cell r="K1378" t="str">
            <v>attack</v>
          </cell>
          <cell r="L1378" t="str">
            <v>攻撃タイプ</v>
          </cell>
          <cell r="M1378" t="str">
            <v>fantasy</v>
          </cell>
          <cell r="N1378" t="str">
            <v>ファンタジー</v>
          </cell>
          <cell r="O1378" t="str">
            <v>none</v>
          </cell>
          <cell r="P1378" t="str">
            <v>種族なし</v>
          </cell>
          <cell r="R1378">
            <v>3</v>
          </cell>
          <cell r="S1378" t="str">
            <v>NULL</v>
          </cell>
          <cell r="T1378" t="str">
            <v>normal</v>
          </cell>
          <cell r="U1378" t="str">
            <v>NULL</v>
          </cell>
          <cell r="V1378" t="str">
            <v>NULL</v>
          </cell>
          <cell r="W1378" t="str">
            <v>NULL</v>
          </cell>
        </row>
        <row r="1379">
          <cell r="A1379">
            <v>1380</v>
          </cell>
          <cell r="B1379" t="str">
            <v>ja</v>
          </cell>
          <cell r="C1379" t="str">
            <v>詩線上の導話 アンデルセン</v>
          </cell>
          <cell r="H1379" t="str">
            <v>blue</v>
          </cell>
          <cell r="I1379">
            <v>6</v>
          </cell>
          <cell r="J1379" t="str">
            <v>DropWizSS</v>
          </cell>
          <cell r="K1379" t="str">
            <v>attack</v>
          </cell>
          <cell r="L1379" t="str">
            <v>攻撃タイプ</v>
          </cell>
          <cell r="M1379" t="str">
            <v>fantasy</v>
          </cell>
          <cell r="N1379" t="str">
            <v>ファンタジー</v>
          </cell>
          <cell r="O1379" t="str">
            <v>none</v>
          </cell>
          <cell r="P1379" t="str">
            <v>種族なし</v>
          </cell>
          <cell r="R1379">
            <v>3</v>
          </cell>
          <cell r="S1379" t="str">
            <v>NULL</v>
          </cell>
          <cell r="T1379" t="str">
            <v>normal</v>
          </cell>
          <cell r="U1379" t="str">
            <v>NULL</v>
          </cell>
          <cell r="V1379" t="str">
            <v>NULL</v>
          </cell>
          <cell r="W1379" t="str">
            <v>NULL</v>
          </cell>
        </row>
        <row r="1380">
          <cell r="A1380">
            <v>1381</v>
          </cell>
          <cell r="B1380" t="str">
            <v>ja</v>
          </cell>
          <cell r="C1380" t="str">
            <v>ガリバー</v>
          </cell>
          <cell r="H1380" t="str">
            <v>red</v>
          </cell>
          <cell r="I1380">
            <v>4</v>
          </cell>
          <cell r="J1380" t="str">
            <v>PremiumS</v>
          </cell>
          <cell r="K1380" t="str">
            <v>hp</v>
          </cell>
          <cell r="L1380" t="str">
            <v>体力タイプ</v>
          </cell>
          <cell r="M1380" t="str">
            <v>human</v>
          </cell>
          <cell r="N1380" t="str">
            <v>ヒューマン</v>
          </cell>
          <cell r="O1380" t="str">
            <v>fantasy</v>
          </cell>
          <cell r="P1380" t="str">
            <v>ファンタジー</v>
          </cell>
          <cell r="R1380">
            <v>3</v>
          </cell>
          <cell r="S1380" t="str">
            <v>NULL</v>
          </cell>
          <cell r="T1380" t="str">
            <v>normal</v>
          </cell>
          <cell r="U1380" t="str">
            <v>NULL</v>
          </cell>
          <cell r="V1380" t="str">
            <v>NULL</v>
          </cell>
          <cell r="W1380" t="str">
            <v>NULL</v>
          </cell>
        </row>
        <row r="1381">
          <cell r="A1381">
            <v>1382</v>
          </cell>
          <cell r="B1381" t="str">
            <v>ja</v>
          </cell>
          <cell r="C1381" t="str">
            <v>賢巨なる渡来者 ガリバー</v>
          </cell>
          <cell r="H1381" t="str">
            <v>red</v>
          </cell>
          <cell r="I1381">
            <v>5</v>
          </cell>
          <cell r="J1381" t="str">
            <v>PremiumS</v>
          </cell>
          <cell r="K1381" t="str">
            <v>hp</v>
          </cell>
          <cell r="L1381" t="str">
            <v>体力タイプ</v>
          </cell>
          <cell r="M1381" t="str">
            <v>human</v>
          </cell>
          <cell r="N1381" t="str">
            <v>ヒューマン</v>
          </cell>
          <cell r="O1381" t="str">
            <v>fantasy</v>
          </cell>
          <cell r="P1381" t="str">
            <v>ファンタジー</v>
          </cell>
          <cell r="R1381">
            <v>3</v>
          </cell>
          <cell r="S1381" t="str">
            <v>NULL</v>
          </cell>
          <cell r="T1381" t="str">
            <v>normal</v>
          </cell>
          <cell r="U1381" t="str">
            <v>NULL</v>
          </cell>
          <cell r="V1381" t="str">
            <v>NULL</v>
          </cell>
          <cell r="W1381" t="str">
            <v>NULL</v>
          </cell>
        </row>
        <row r="1382">
          <cell r="A1382">
            <v>1383</v>
          </cell>
          <cell r="B1382" t="str">
            <v>ja</v>
          </cell>
          <cell r="C1382" t="str">
            <v>シンドバッド</v>
          </cell>
          <cell r="H1382" t="str">
            <v>green</v>
          </cell>
          <cell r="I1382">
            <v>5</v>
          </cell>
          <cell r="J1382" t="str">
            <v>PremiumSS</v>
          </cell>
          <cell r="K1382" t="str">
            <v>technical</v>
          </cell>
          <cell r="L1382" t="str">
            <v>テクニカルタイプ</v>
          </cell>
          <cell r="M1382" t="str">
            <v>hero</v>
          </cell>
          <cell r="N1382" t="str">
            <v>ヒーロー</v>
          </cell>
          <cell r="O1382" t="str">
            <v>fantasy</v>
          </cell>
          <cell r="P1382" t="str">
            <v>ファンタジー</v>
          </cell>
          <cell r="R1382">
            <v>3</v>
          </cell>
          <cell r="S1382" t="str">
            <v>NULL</v>
          </cell>
          <cell r="T1382" t="str">
            <v>normal</v>
          </cell>
          <cell r="U1382" t="str">
            <v>NULL</v>
          </cell>
          <cell r="V1382" t="str">
            <v>NULL</v>
          </cell>
          <cell r="W1382" t="str">
            <v>NULL</v>
          </cell>
        </row>
        <row r="1383">
          <cell r="A1383">
            <v>1384</v>
          </cell>
          <cell r="B1383" t="str">
            <v>ja</v>
          </cell>
          <cell r="C1383" t="str">
            <v>獲宝の航界者 シンドバッド</v>
          </cell>
          <cell r="H1383" t="str">
            <v>green</v>
          </cell>
          <cell r="I1383">
            <v>6</v>
          </cell>
          <cell r="J1383" t="str">
            <v>PremiumSS</v>
          </cell>
          <cell r="K1383" t="str">
            <v>technical</v>
          </cell>
          <cell r="L1383" t="str">
            <v>テクニカルタイプ</v>
          </cell>
          <cell r="M1383" t="str">
            <v>hero</v>
          </cell>
          <cell r="N1383" t="str">
            <v>ヒーロー</v>
          </cell>
          <cell r="O1383" t="str">
            <v>fantasy</v>
          </cell>
          <cell r="P1383" t="str">
            <v>ファンタジー</v>
          </cell>
          <cell r="R1383">
            <v>3</v>
          </cell>
          <cell r="S1383" t="str">
            <v>NULL</v>
          </cell>
          <cell r="T1383" t="str">
            <v>normal</v>
          </cell>
          <cell r="U1383" t="str">
            <v>NULL</v>
          </cell>
          <cell r="V1383" t="str">
            <v>NULL</v>
          </cell>
          <cell r="W1383" t="str">
            <v>NULL</v>
          </cell>
        </row>
        <row r="1384">
          <cell r="A1384">
            <v>1385</v>
          </cell>
          <cell r="B1384" t="str">
            <v>ja</v>
          </cell>
          <cell r="C1384" t="str">
            <v>いばら姫</v>
          </cell>
          <cell r="H1384" t="str">
            <v>blue</v>
          </cell>
          <cell r="I1384">
            <v>5</v>
          </cell>
          <cell r="J1384" t="str">
            <v>PremiumSSw</v>
          </cell>
          <cell r="K1384" t="str">
            <v>attack</v>
          </cell>
          <cell r="L1384" t="str">
            <v>攻撃タイプ</v>
          </cell>
          <cell r="M1384" t="str">
            <v>fantasy</v>
          </cell>
          <cell r="N1384" t="str">
            <v>ファンタジー</v>
          </cell>
          <cell r="O1384" t="str">
            <v>none</v>
          </cell>
          <cell r="P1384" t="str">
            <v>種族なし</v>
          </cell>
          <cell r="R1384">
            <v>3</v>
          </cell>
          <cell r="S1384" t="str">
            <v>NULL</v>
          </cell>
          <cell r="T1384" t="str">
            <v>normal</v>
          </cell>
          <cell r="U1384" t="str">
            <v>NULL</v>
          </cell>
          <cell r="V1384" t="str">
            <v>NULL</v>
          </cell>
          <cell r="W1384" t="str">
            <v>NULL</v>
          </cell>
        </row>
        <row r="1385">
          <cell r="A1385">
            <v>1386</v>
          </cell>
          <cell r="B1385" t="str">
            <v>ja</v>
          </cell>
          <cell r="C1385" t="str">
            <v>荊棘の覚醒姫 いばら姫</v>
          </cell>
          <cell r="H1385" t="str">
            <v>blue</v>
          </cell>
          <cell r="I1385">
            <v>6</v>
          </cell>
          <cell r="J1385" t="str">
            <v>PremiumSSw</v>
          </cell>
          <cell r="K1385" t="str">
            <v>attack</v>
          </cell>
          <cell r="L1385" t="str">
            <v>攻撃タイプ</v>
          </cell>
          <cell r="M1385" t="str">
            <v>fantasy</v>
          </cell>
          <cell r="N1385" t="str">
            <v>ファンタジー</v>
          </cell>
          <cell r="O1385" t="str">
            <v>none</v>
          </cell>
          <cell r="P1385" t="str">
            <v>種族なし</v>
          </cell>
          <cell r="R1385">
            <v>3</v>
          </cell>
          <cell r="S1385" t="str">
            <v>NULL</v>
          </cell>
          <cell r="T1385" t="str">
            <v>normal</v>
          </cell>
          <cell r="U1385" t="str">
            <v>NULL</v>
          </cell>
          <cell r="V1385" t="str">
            <v>NULL</v>
          </cell>
          <cell r="W1385" t="str">
            <v>NULL</v>
          </cell>
        </row>
        <row r="1386">
          <cell r="A1386">
            <v>1387</v>
          </cell>
          <cell r="B1386" t="str">
            <v>ja</v>
          </cell>
          <cell r="C1386" t="str">
            <v>ダルタニャン</v>
          </cell>
          <cell r="H1386" t="str">
            <v>yellow</v>
          </cell>
          <cell r="I1386">
            <v>5</v>
          </cell>
          <cell r="J1386" t="str">
            <v>PremiumSS</v>
          </cell>
          <cell r="K1386" t="str">
            <v>attack</v>
          </cell>
          <cell r="L1386" t="str">
            <v>攻撃タイプ</v>
          </cell>
          <cell r="M1386" t="str">
            <v>hero</v>
          </cell>
          <cell r="N1386" t="str">
            <v>ヒーロー</v>
          </cell>
          <cell r="O1386" t="str">
            <v>none</v>
          </cell>
          <cell r="P1386" t="str">
            <v>種族なし</v>
          </cell>
          <cell r="R1386">
            <v>3</v>
          </cell>
          <cell r="S1386" t="str">
            <v>NULL</v>
          </cell>
          <cell r="T1386" t="str">
            <v>normal</v>
          </cell>
          <cell r="U1386" t="str">
            <v>NULL</v>
          </cell>
          <cell r="V1386" t="str">
            <v>NULL</v>
          </cell>
          <cell r="W1386" t="str">
            <v>NULL</v>
          </cell>
        </row>
        <row r="1387">
          <cell r="A1387">
            <v>1388</v>
          </cell>
          <cell r="B1387" t="str">
            <v>ja</v>
          </cell>
          <cell r="C1387" t="str">
            <v>讃勇の銃士長 ダルタニャン</v>
          </cell>
          <cell r="H1387" t="str">
            <v>yellow</v>
          </cell>
          <cell r="I1387">
            <v>6</v>
          </cell>
          <cell r="J1387" t="str">
            <v>PremiumSS</v>
          </cell>
          <cell r="K1387" t="str">
            <v>attack</v>
          </cell>
          <cell r="L1387" t="str">
            <v>攻撃タイプ</v>
          </cell>
          <cell r="M1387" t="str">
            <v>hero</v>
          </cell>
          <cell r="N1387" t="str">
            <v>ヒーロー</v>
          </cell>
          <cell r="O1387" t="str">
            <v>none</v>
          </cell>
          <cell r="P1387" t="str">
            <v>種族なし</v>
          </cell>
          <cell r="R1387">
            <v>3</v>
          </cell>
          <cell r="S1387" t="str">
            <v>NULL</v>
          </cell>
          <cell r="T1387" t="str">
            <v>normal</v>
          </cell>
          <cell r="U1387" t="str">
            <v>NULL</v>
          </cell>
          <cell r="V1387" t="str">
            <v>NULL</v>
          </cell>
          <cell r="W1387" t="str">
            <v>NULL</v>
          </cell>
        </row>
        <row r="1388">
          <cell r="A1388">
            <v>1389</v>
          </cell>
          <cell r="B1388" t="str">
            <v>ja</v>
          </cell>
          <cell r="C1388" t="str">
            <v>ユング</v>
          </cell>
          <cell r="H1388" t="str">
            <v>blue</v>
          </cell>
          <cell r="I1388">
            <v>5</v>
          </cell>
          <cell r="J1388" t="str">
            <v>PremiumSSS</v>
          </cell>
          <cell r="K1388" t="str">
            <v>balance</v>
          </cell>
          <cell r="L1388" t="str">
            <v>バランスタイプ</v>
          </cell>
          <cell r="M1388" t="str">
            <v>academia</v>
          </cell>
          <cell r="N1388" t="str">
            <v>アカデミア</v>
          </cell>
          <cell r="O1388" t="str">
            <v>animal</v>
          </cell>
          <cell r="P1388" t="str">
            <v>アニマル</v>
          </cell>
          <cell r="R1388">
            <v>3</v>
          </cell>
          <cell r="S1388" t="str">
            <v>NULL</v>
          </cell>
          <cell r="T1388" t="str">
            <v>normal</v>
          </cell>
          <cell r="U1388" t="str">
            <v>NULL</v>
          </cell>
          <cell r="V1388" t="str">
            <v>NULL</v>
          </cell>
          <cell r="W1388" t="str">
            <v>NULL</v>
          </cell>
        </row>
        <row r="1389">
          <cell r="A1389">
            <v>1390</v>
          </cell>
          <cell r="B1389" t="str">
            <v>ja</v>
          </cell>
          <cell r="C1389" t="str">
            <v>夢誘心解の蒼翼 ユング</v>
          </cell>
          <cell r="H1389" t="str">
            <v>blue</v>
          </cell>
          <cell r="I1389">
            <v>6</v>
          </cell>
          <cell r="J1389" t="str">
            <v>PremiumSSS</v>
          </cell>
          <cell r="K1389" t="str">
            <v>balance</v>
          </cell>
          <cell r="L1389" t="str">
            <v>バランスタイプ</v>
          </cell>
          <cell r="M1389" t="str">
            <v>academia</v>
          </cell>
          <cell r="N1389" t="str">
            <v>アカデミア</v>
          </cell>
          <cell r="O1389" t="str">
            <v>animal</v>
          </cell>
          <cell r="P1389" t="str">
            <v>アニマル</v>
          </cell>
          <cell r="R1389">
            <v>3</v>
          </cell>
          <cell r="S1389" t="str">
            <v>NULL</v>
          </cell>
          <cell r="T1389" t="str">
            <v>normal</v>
          </cell>
          <cell r="U1389" t="str">
            <v>NULL</v>
          </cell>
          <cell r="V1389" t="str">
            <v>NULL</v>
          </cell>
          <cell r="W1389" t="str">
            <v>NULL</v>
          </cell>
        </row>
        <row r="1390">
          <cell r="A1390">
            <v>1393</v>
          </cell>
          <cell r="B1390" t="str">
            <v>ja</v>
          </cell>
          <cell r="C1390" t="str">
            <v>ライプニッツ</v>
          </cell>
          <cell r="H1390" t="str">
            <v>blue</v>
          </cell>
          <cell r="I1390">
            <v>5</v>
          </cell>
          <cell r="J1390" t="str">
            <v>PremiumSSS</v>
          </cell>
          <cell r="K1390" t="str">
            <v>hp</v>
          </cell>
          <cell r="L1390" t="str">
            <v>体力タイプ</v>
          </cell>
          <cell r="M1390" t="str">
            <v>academia</v>
          </cell>
          <cell r="N1390" t="str">
            <v>アカデミア</v>
          </cell>
          <cell r="O1390" t="str">
            <v>fantasy</v>
          </cell>
          <cell r="P1390" t="str">
            <v>ファンタジー</v>
          </cell>
          <cell r="R1390">
            <v>3</v>
          </cell>
          <cell r="S1390" t="str">
            <v>NULL</v>
          </cell>
          <cell r="T1390" t="str">
            <v>normal</v>
          </cell>
          <cell r="U1390" t="str">
            <v>NULL</v>
          </cell>
          <cell r="V1390" t="str">
            <v>NULL</v>
          </cell>
          <cell r="W1390" t="str">
            <v>NULL</v>
          </cell>
        </row>
        <row r="1391">
          <cell r="A1391">
            <v>1394</v>
          </cell>
          <cell r="B1391" t="str">
            <v>ja</v>
          </cell>
          <cell r="C1391" t="str">
            <v>永普の存在論 ライプニッツ</v>
          </cell>
          <cell r="H1391" t="str">
            <v>blue</v>
          </cell>
          <cell r="I1391">
            <v>6</v>
          </cell>
          <cell r="J1391" t="str">
            <v>PremiumSSS</v>
          </cell>
          <cell r="K1391" t="str">
            <v>hp</v>
          </cell>
          <cell r="L1391" t="str">
            <v>体力タイプ</v>
          </cell>
          <cell r="M1391" t="str">
            <v>academia</v>
          </cell>
          <cell r="N1391" t="str">
            <v>アカデミア</v>
          </cell>
          <cell r="O1391" t="str">
            <v>fantasy</v>
          </cell>
          <cell r="P1391" t="str">
            <v>ファンタジー</v>
          </cell>
          <cell r="R1391">
            <v>3</v>
          </cell>
          <cell r="S1391" t="str">
            <v>NULL</v>
          </cell>
          <cell r="T1391" t="str">
            <v>normal</v>
          </cell>
          <cell r="U1391" t="str">
            <v>NULL</v>
          </cell>
          <cell r="V1391" t="str">
            <v>NULL</v>
          </cell>
          <cell r="W1391" t="str">
            <v>NULL</v>
          </cell>
        </row>
        <row r="1392">
          <cell r="A1392">
            <v>1395</v>
          </cell>
          <cell r="B1392" t="str">
            <v>ja</v>
          </cell>
          <cell r="C1392" t="str">
            <v>神和の表象展開 ライプニッツ</v>
          </cell>
          <cell r="H1392" t="str">
            <v>blue</v>
          </cell>
          <cell r="I1392">
            <v>6</v>
          </cell>
          <cell r="J1392" t="str">
            <v>PremiumSSS</v>
          </cell>
          <cell r="K1392" t="str">
            <v>technical</v>
          </cell>
          <cell r="L1392" t="str">
            <v>テクニカルタイプ</v>
          </cell>
          <cell r="M1392" t="str">
            <v>academia</v>
          </cell>
          <cell r="N1392" t="str">
            <v>アカデミア</v>
          </cell>
          <cell r="O1392" t="str">
            <v>fantasy</v>
          </cell>
          <cell r="P1392" t="str">
            <v>ファンタジー</v>
          </cell>
          <cell r="R1392">
            <v>3</v>
          </cell>
          <cell r="S1392" t="str">
            <v>NULL</v>
          </cell>
          <cell r="T1392" t="str">
            <v>super</v>
          </cell>
          <cell r="U1392" t="str">
            <v>NULL</v>
          </cell>
          <cell r="V1392" t="str">
            <v>NULL</v>
          </cell>
          <cell r="W1392" t="str">
            <v>NULL</v>
          </cell>
        </row>
        <row r="1393">
          <cell r="A1393">
            <v>1399</v>
          </cell>
          <cell r="B1393" t="str">
            <v>ja</v>
          </cell>
          <cell r="C1393" t="str">
            <v>ラヴァーズ</v>
          </cell>
          <cell r="H1393" t="str">
            <v>green</v>
          </cell>
          <cell r="I1393">
            <v>5</v>
          </cell>
          <cell r="J1393" t="str">
            <v>PremiumSSS</v>
          </cell>
          <cell r="K1393" t="str">
            <v>attack</v>
          </cell>
          <cell r="L1393" t="str">
            <v>攻撃タイプ</v>
          </cell>
          <cell r="M1393" t="str">
            <v>god</v>
          </cell>
          <cell r="N1393" t="str">
            <v>ゴッド</v>
          </cell>
          <cell r="O1393" t="str">
            <v>unknown</v>
          </cell>
          <cell r="P1393" t="str">
            <v>Unknown</v>
          </cell>
          <cell r="R1393">
            <v>3</v>
          </cell>
          <cell r="S1393" t="str">
            <v>NULL</v>
          </cell>
          <cell r="T1393" t="str">
            <v>normal</v>
          </cell>
          <cell r="U1393" t="str">
            <v>NULL</v>
          </cell>
          <cell r="V1393" t="str">
            <v>NULL</v>
          </cell>
          <cell r="W1393" t="str">
            <v>NULL</v>
          </cell>
        </row>
        <row r="1394">
          <cell r="A1394">
            <v>1400</v>
          </cell>
          <cell r="B1394" t="str">
            <v>ja</v>
          </cell>
          <cell r="C1394" t="str">
            <v>奏愛する虜籠 ラヴァーズ</v>
          </cell>
          <cell r="H1394" t="str">
            <v>green</v>
          </cell>
          <cell r="I1394">
            <v>6</v>
          </cell>
          <cell r="J1394" t="str">
            <v>PremiumSSS</v>
          </cell>
          <cell r="K1394" t="str">
            <v>attack</v>
          </cell>
          <cell r="L1394" t="str">
            <v>攻撃タイプ</v>
          </cell>
          <cell r="M1394" t="str">
            <v>god</v>
          </cell>
          <cell r="N1394" t="str">
            <v>ゴッド</v>
          </cell>
          <cell r="O1394" t="str">
            <v>unknown</v>
          </cell>
          <cell r="P1394" t="str">
            <v>Unknown</v>
          </cell>
          <cell r="R1394">
            <v>3</v>
          </cell>
          <cell r="S1394" t="str">
            <v>NULL</v>
          </cell>
          <cell r="T1394" t="str">
            <v>normal</v>
          </cell>
          <cell r="U1394" t="str">
            <v>NULL</v>
          </cell>
          <cell r="V1394" t="str">
            <v>NULL</v>
          </cell>
          <cell r="W1394" t="str">
            <v>NULL</v>
          </cell>
        </row>
        <row r="1395">
          <cell r="A1395">
            <v>1401</v>
          </cell>
          <cell r="B1395" t="str">
            <v>ja</v>
          </cell>
          <cell r="C1395" t="str">
            <v>レムリア</v>
          </cell>
          <cell r="H1395" t="str">
            <v>yellow</v>
          </cell>
          <cell r="I1395">
            <v>5</v>
          </cell>
          <cell r="J1395" t="str">
            <v>PremiumSSw</v>
          </cell>
          <cell r="K1395" t="str">
            <v>hp</v>
          </cell>
          <cell r="L1395" t="str">
            <v>体力タイプ</v>
          </cell>
          <cell r="M1395" t="str">
            <v>hero</v>
          </cell>
          <cell r="N1395" t="str">
            <v>ヒーロー</v>
          </cell>
          <cell r="O1395" t="str">
            <v>unknown</v>
          </cell>
          <cell r="P1395" t="str">
            <v>Unknown</v>
          </cell>
          <cell r="R1395">
            <v>3</v>
          </cell>
          <cell r="S1395" t="str">
            <v>NULL</v>
          </cell>
          <cell r="T1395" t="str">
            <v>normal</v>
          </cell>
          <cell r="U1395" t="str">
            <v>NULL</v>
          </cell>
          <cell r="V1395" t="str">
            <v>NULL</v>
          </cell>
          <cell r="W1395" t="str">
            <v>NULL</v>
          </cell>
        </row>
        <row r="1396">
          <cell r="A1396">
            <v>1402</v>
          </cell>
          <cell r="B1396" t="str">
            <v>ja</v>
          </cell>
          <cell r="C1396" t="str">
            <v>縞彩の豊嬢 レムリア</v>
          </cell>
          <cell r="H1396" t="str">
            <v>yellow</v>
          </cell>
          <cell r="I1396">
            <v>6</v>
          </cell>
          <cell r="J1396" t="str">
            <v>PremiumSSw</v>
          </cell>
          <cell r="K1396" t="str">
            <v>hp</v>
          </cell>
          <cell r="L1396" t="str">
            <v>体力タイプ</v>
          </cell>
          <cell r="M1396" t="str">
            <v>hero</v>
          </cell>
          <cell r="N1396" t="str">
            <v>ヒーロー</v>
          </cell>
          <cell r="O1396" t="str">
            <v>unknown</v>
          </cell>
          <cell r="P1396" t="str">
            <v>Unknown</v>
          </cell>
          <cell r="R1396">
            <v>3</v>
          </cell>
          <cell r="S1396" t="str">
            <v>NULL</v>
          </cell>
          <cell r="T1396" t="str">
            <v>normal</v>
          </cell>
          <cell r="U1396" t="str">
            <v>NULL</v>
          </cell>
          <cell r="V1396" t="str">
            <v>NULL</v>
          </cell>
          <cell r="W1396" t="str">
            <v>NULL</v>
          </cell>
        </row>
        <row r="1397">
          <cell r="A1397">
            <v>1403</v>
          </cell>
          <cell r="B1397" t="str">
            <v>ja</v>
          </cell>
          <cell r="C1397" t="str">
            <v>炎帝の守護獣神 朱雀</v>
          </cell>
          <cell r="H1397" t="str">
            <v>red</v>
          </cell>
          <cell r="I1397">
            <v>6</v>
          </cell>
          <cell r="J1397" t="str">
            <v>Drop2N</v>
          </cell>
          <cell r="K1397" t="str">
            <v>heal</v>
          </cell>
          <cell r="L1397" t="str">
            <v>回復タイプ</v>
          </cell>
          <cell r="M1397" t="str">
            <v>animal</v>
          </cell>
          <cell r="N1397" t="str">
            <v>アニマル</v>
          </cell>
          <cell r="O1397" t="str">
            <v>god</v>
          </cell>
          <cell r="P1397" t="str">
            <v>ゴッド</v>
          </cell>
          <cell r="R1397">
            <v>3</v>
          </cell>
          <cell r="S1397" t="str">
            <v>NULL</v>
          </cell>
          <cell r="T1397" t="str">
            <v>normal</v>
          </cell>
          <cell r="U1397" t="str">
            <v>NULL</v>
          </cell>
          <cell r="V1397" t="str">
            <v>NULL</v>
          </cell>
          <cell r="W1397" t="str">
            <v>NULL</v>
          </cell>
        </row>
        <row r="1398">
          <cell r="A1398">
            <v>1404</v>
          </cell>
          <cell r="B1398" t="str">
            <v>ja</v>
          </cell>
          <cell r="C1398" t="str">
            <v>玄帝の守護獣神 玄武</v>
          </cell>
          <cell r="H1398" t="str">
            <v>green</v>
          </cell>
          <cell r="I1398">
            <v>6</v>
          </cell>
          <cell r="J1398" t="str">
            <v>Drop2N</v>
          </cell>
          <cell r="K1398" t="str">
            <v>hp</v>
          </cell>
          <cell r="L1398" t="str">
            <v>体力タイプ</v>
          </cell>
          <cell r="M1398" t="str">
            <v>dragon</v>
          </cell>
          <cell r="N1398" t="str">
            <v>ドラゴン</v>
          </cell>
          <cell r="O1398" t="str">
            <v>god</v>
          </cell>
          <cell r="P1398" t="str">
            <v>ゴッド</v>
          </cell>
          <cell r="R1398">
            <v>3</v>
          </cell>
          <cell r="S1398" t="str">
            <v>NULL</v>
          </cell>
          <cell r="T1398" t="str">
            <v>normal</v>
          </cell>
          <cell r="U1398" t="str">
            <v>NULL</v>
          </cell>
          <cell r="V1398" t="str">
            <v>NULL</v>
          </cell>
          <cell r="W1398" t="str">
            <v>NULL</v>
          </cell>
        </row>
        <row r="1399">
          <cell r="A1399">
            <v>1405</v>
          </cell>
          <cell r="B1399" t="str">
            <v>ja</v>
          </cell>
          <cell r="C1399" t="str">
            <v>蒼帝の守護獣神 青龍</v>
          </cell>
          <cell r="H1399" t="str">
            <v>blue</v>
          </cell>
          <cell r="I1399">
            <v>6</v>
          </cell>
          <cell r="J1399" t="str">
            <v>Drop2N</v>
          </cell>
          <cell r="K1399" t="str">
            <v>balance</v>
          </cell>
          <cell r="L1399" t="str">
            <v>バランスタイプ</v>
          </cell>
          <cell r="M1399" t="str">
            <v>dragon</v>
          </cell>
          <cell r="N1399" t="str">
            <v>ドラゴン</v>
          </cell>
          <cell r="O1399" t="str">
            <v>god</v>
          </cell>
          <cell r="P1399" t="str">
            <v>ゴッド</v>
          </cell>
          <cell r="R1399">
            <v>3</v>
          </cell>
          <cell r="S1399" t="str">
            <v>NULL</v>
          </cell>
          <cell r="T1399" t="str">
            <v>normal</v>
          </cell>
          <cell r="U1399" t="str">
            <v>NULL</v>
          </cell>
          <cell r="V1399" t="str">
            <v>NULL</v>
          </cell>
          <cell r="W1399" t="str">
            <v>NULL</v>
          </cell>
        </row>
        <row r="1400">
          <cell r="A1400">
            <v>1406</v>
          </cell>
          <cell r="B1400" t="str">
            <v>ja</v>
          </cell>
          <cell r="C1400" t="str">
            <v>白帝の守護獣神 白虎</v>
          </cell>
          <cell r="H1400" t="str">
            <v>yellow</v>
          </cell>
          <cell r="I1400">
            <v>6</v>
          </cell>
          <cell r="J1400" t="str">
            <v>Drop2N</v>
          </cell>
          <cell r="K1400" t="str">
            <v>attack</v>
          </cell>
          <cell r="L1400" t="str">
            <v>攻撃タイプ</v>
          </cell>
          <cell r="M1400" t="str">
            <v>animal</v>
          </cell>
          <cell r="N1400" t="str">
            <v>アニマル</v>
          </cell>
          <cell r="O1400" t="str">
            <v>god</v>
          </cell>
          <cell r="P1400" t="str">
            <v>ゴッド</v>
          </cell>
          <cell r="R1400">
            <v>3</v>
          </cell>
          <cell r="S1400" t="str">
            <v>NULL</v>
          </cell>
          <cell r="T1400" t="str">
            <v>normal</v>
          </cell>
          <cell r="U1400" t="str">
            <v>NULL</v>
          </cell>
          <cell r="V1400" t="str">
            <v>NULL</v>
          </cell>
          <cell r="W1400" t="str">
            <v>NULL</v>
          </cell>
        </row>
        <row r="1401">
          <cell r="A1401">
            <v>1407</v>
          </cell>
          <cell r="B1401" t="str">
            <v>ja</v>
          </cell>
          <cell r="C1401" t="str">
            <v>グリム・ザ・ダンディ</v>
          </cell>
          <cell r="H1401" t="str">
            <v>yellow</v>
          </cell>
          <cell r="I1401">
            <v>5</v>
          </cell>
          <cell r="J1401" t="str">
            <v>DropWizS</v>
          </cell>
          <cell r="K1401" t="str">
            <v>balance</v>
          </cell>
          <cell r="L1401" t="str">
            <v>バランスタイプ</v>
          </cell>
          <cell r="M1401" t="str">
            <v>human</v>
          </cell>
          <cell r="N1401" t="str">
            <v>ヒューマン</v>
          </cell>
          <cell r="O1401" t="str">
            <v>unknown</v>
          </cell>
          <cell r="P1401" t="str">
            <v>Unknown</v>
          </cell>
          <cell r="R1401">
            <v>3</v>
          </cell>
          <cell r="S1401" t="str">
            <v>NULL</v>
          </cell>
          <cell r="T1401" t="str">
            <v>normal</v>
          </cell>
          <cell r="U1401" t="str">
            <v>NULL</v>
          </cell>
          <cell r="V1401" t="str">
            <v>NULL</v>
          </cell>
          <cell r="W1401" t="str">
            <v>NULL</v>
          </cell>
        </row>
        <row r="1402">
          <cell r="A1402">
            <v>1408</v>
          </cell>
          <cell r="B1402" t="str">
            <v>ja</v>
          </cell>
          <cell r="C1402" t="str">
            <v>爽愛の求魂 グリム・ザ・ダンディ</v>
          </cell>
          <cell r="H1402" t="str">
            <v>yellow</v>
          </cell>
          <cell r="I1402">
            <v>6</v>
          </cell>
          <cell r="J1402" t="str">
            <v>DropWizS</v>
          </cell>
          <cell r="K1402" t="str">
            <v>balance</v>
          </cell>
          <cell r="L1402" t="str">
            <v>バランスタイプ</v>
          </cell>
          <cell r="M1402" t="str">
            <v>human</v>
          </cell>
          <cell r="N1402" t="str">
            <v>ヒューマン</v>
          </cell>
          <cell r="O1402" t="str">
            <v>unknown</v>
          </cell>
          <cell r="P1402" t="str">
            <v>Unknown</v>
          </cell>
          <cell r="R1402">
            <v>3</v>
          </cell>
          <cell r="S1402" t="str">
            <v>NULL</v>
          </cell>
          <cell r="T1402" t="str">
            <v>normal</v>
          </cell>
          <cell r="U1402" t="str">
            <v>NULL</v>
          </cell>
          <cell r="V1402" t="str">
            <v>NULL</v>
          </cell>
          <cell r="W1402" t="str">
            <v>NULL</v>
          </cell>
        </row>
        <row r="1403">
          <cell r="A1403">
            <v>1409</v>
          </cell>
          <cell r="B1403" t="str">
            <v>ja</v>
          </cell>
          <cell r="C1403" t="str">
            <v>マシロ</v>
          </cell>
          <cell r="H1403" t="str">
            <v>green</v>
          </cell>
          <cell r="I1403">
            <v>5</v>
          </cell>
          <cell r="J1403" t="str">
            <v>PremiumSS</v>
          </cell>
          <cell r="K1403" t="str">
            <v>heal</v>
          </cell>
          <cell r="L1403" t="str">
            <v>回復タイプ</v>
          </cell>
          <cell r="M1403" t="str">
            <v>human</v>
          </cell>
          <cell r="N1403" t="str">
            <v>ヒューマン</v>
          </cell>
          <cell r="O1403" t="str">
            <v>none</v>
          </cell>
          <cell r="P1403" t="str">
            <v>種族なし</v>
          </cell>
          <cell r="R1403">
            <v>3</v>
          </cell>
          <cell r="S1403" t="str">
            <v>NULL</v>
          </cell>
          <cell r="T1403" t="str">
            <v>normal</v>
          </cell>
          <cell r="U1403" t="str">
            <v>NULL</v>
          </cell>
          <cell r="V1403" t="str">
            <v>NULL</v>
          </cell>
          <cell r="W1403" t="str">
            <v>NULL</v>
          </cell>
        </row>
        <row r="1404">
          <cell r="A1404">
            <v>1410</v>
          </cell>
          <cell r="B1404" t="str">
            <v>ja</v>
          </cell>
          <cell r="C1404" t="str">
            <v>浮遊する白恋 マシロ</v>
          </cell>
          <cell r="H1404" t="str">
            <v>green</v>
          </cell>
          <cell r="I1404">
            <v>6</v>
          </cell>
          <cell r="J1404" t="str">
            <v>PremiumSS</v>
          </cell>
          <cell r="K1404" t="str">
            <v>heal</v>
          </cell>
          <cell r="L1404" t="str">
            <v>回復タイプ</v>
          </cell>
          <cell r="M1404" t="str">
            <v>human</v>
          </cell>
          <cell r="N1404" t="str">
            <v>ヒューマン</v>
          </cell>
          <cell r="O1404" t="str">
            <v>none</v>
          </cell>
          <cell r="P1404" t="str">
            <v>種族なし</v>
          </cell>
          <cell r="R1404">
            <v>3</v>
          </cell>
          <cell r="S1404" t="str">
            <v>NULL</v>
          </cell>
          <cell r="T1404" t="str">
            <v>normal</v>
          </cell>
          <cell r="U1404" t="str">
            <v>NULL</v>
          </cell>
          <cell r="V1404" t="str">
            <v>NULL</v>
          </cell>
          <cell r="W1404" t="str">
            <v>NULL</v>
          </cell>
        </row>
        <row r="1405">
          <cell r="A1405">
            <v>1411</v>
          </cell>
          <cell r="B1405" t="str">
            <v>ja</v>
          </cell>
          <cell r="C1405" t="str">
            <v>ピーターパン・イノセンス</v>
          </cell>
          <cell r="H1405" t="str">
            <v>blue</v>
          </cell>
          <cell r="I1405">
            <v>5</v>
          </cell>
          <cell r="J1405" t="str">
            <v>PremiumS</v>
          </cell>
          <cell r="K1405" t="str">
            <v>attack</v>
          </cell>
          <cell r="L1405" t="str">
            <v>攻撃タイプ</v>
          </cell>
          <cell r="M1405" t="str">
            <v>human</v>
          </cell>
          <cell r="N1405" t="str">
            <v>ヒューマン</v>
          </cell>
          <cell r="O1405" t="str">
            <v>machine</v>
          </cell>
          <cell r="P1405" t="str">
            <v>マシン</v>
          </cell>
          <cell r="R1405">
            <v>3</v>
          </cell>
          <cell r="S1405" t="str">
            <v>NULL</v>
          </cell>
          <cell r="T1405" t="str">
            <v>normal</v>
          </cell>
          <cell r="U1405" t="str">
            <v>NULL</v>
          </cell>
          <cell r="V1405" t="str">
            <v>NULL</v>
          </cell>
          <cell r="W1405" t="str">
            <v>NULL</v>
          </cell>
        </row>
        <row r="1406">
          <cell r="A1406">
            <v>1412</v>
          </cell>
          <cell r="B1406" t="str">
            <v>ja</v>
          </cell>
          <cell r="C1406" t="str">
            <v>アレス・パッション</v>
          </cell>
          <cell r="H1406" t="str">
            <v>yellow</v>
          </cell>
          <cell r="I1406">
            <v>5</v>
          </cell>
          <cell r="J1406" t="str">
            <v>PremiumS</v>
          </cell>
          <cell r="K1406" t="str">
            <v>attack</v>
          </cell>
          <cell r="L1406" t="str">
            <v>攻撃タイプ</v>
          </cell>
          <cell r="M1406" t="str">
            <v>god</v>
          </cell>
          <cell r="N1406" t="str">
            <v>ゴッド</v>
          </cell>
          <cell r="O1406" t="str">
            <v>none</v>
          </cell>
          <cell r="P1406" t="str">
            <v>種族なし</v>
          </cell>
          <cell r="R1406">
            <v>3</v>
          </cell>
          <cell r="S1406" t="str">
            <v>NULL</v>
          </cell>
          <cell r="T1406" t="str">
            <v>normal</v>
          </cell>
          <cell r="U1406" t="str">
            <v>NULL</v>
          </cell>
          <cell r="V1406" t="str">
            <v>NULL</v>
          </cell>
          <cell r="W1406" t="str">
            <v>NULL</v>
          </cell>
        </row>
        <row r="1407">
          <cell r="A1407">
            <v>1413</v>
          </cell>
          <cell r="B1407" t="str">
            <v>ja</v>
          </cell>
          <cell r="C1407" t="str">
            <v>クリムト・ペリューシド</v>
          </cell>
          <cell r="H1407" t="str">
            <v>green</v>
          </cell>
          <cell r="I1407">
            <v>5</v>
          </cell>
          <cell r="J1407" t="str">
            <v>PremiumS</v>
          </cell>
          <cell r="K1407" t="str">
            <v>technical</v>
          </cell>
          <cell r="L1407" t="str">
            <v>テクニカルタイプ</v>
          </cell>
          <cell r="M1407" t="str">
            <v>human</v>
          </cell>
          <cell r="N1407" t="str">
            <v>ヒューマン</v>
          </cell>
          <cell r="O1407" t="str">
            <v>unknown</v>
          </cell>
          <cell r="P1407" t="str">
            <v>Unknown</v>
          </cell>
          <cell r="R1407">
            <v>3</v>
          </cell>
          <cell r="S1407" t="str">
            <v>NULL</v>
          </cell>
          <cell r="T1407" t="str">
            <v>normal</v>
          </cell>
          <cell r="U1407" t="str">
            <v>NULL</v>
          </cell>
          <cell r="V1407" t="str">
            <v>NULL</v>
          </cell>
          <cell r="W1407" t="str">
            <v>NULL</v>
          </cell>
        </row>
        <row r="1408">
          <cell r="A1408">
            <v>1414</v>
          </cell>
          <cell r="B1408" t="str">
            <v>ja</v>
          </cell>
          <cell r="C1408" t="str">
            <v>炎のミリオンダック 7</v>
          </cell>
          <cell r="D1408" t="str">
            <v>未定</v>
          </cell>
          <cell r="E1408" t="str">
            <v>執行者</v>
          </cell>
          <cell r="F1408" t="str">
            <v>格好いい</v>
          </cell>
          <cell r="G1408" t="str">
            <v>不明</v>
          </cell>
          <cell r="H1408" t="str">
            <v>red</v>
          </cell>
          <cell r="I1408">
            <v>6</v>
          </cell>
          <cell r="J1408" t="str">
            <v>Material</v>
          </cell>
          <cell r="K1408" t="str">
            <v>exp</v>
          </cell>
          <cell r="L1408" t="str">
            <v>強化素材タイプ</v>
          </cell>
          <cell r="M1408" t="str">
            <v>unknown</v>
          </cell>
          <cell r="N1408" t="str">
            <v>Unknown</v>
          </cell>
          <cell r="O1408" t="str">
            <v>none</v>
          </cell>
          <cell r="P1408" t="str">
            <v>種族なし</v>
          </cell>
          <cell r="Q1408" t="str">
            <v>強化素材</v>
          </cell>
          <cell r="R1408">
            <v>3</v>
          </cell>
          <cell r="S1408" t="str">
            <v>NULL</v>
          </cell>
          <cell r="T1408" t="str">
            <v>normal</v>
          </cell>
          <cell r="U1408" t="str">
            <v>NULL</v>
          </cell>
          <cell r="V1408" t="str">
            <v>NULL</v>
          </cell>
          <cell r="W1408" t="str">
            <v>NULL</v>
          </cell>
        </row>
        <row r="1409">
          <cell r="A1409">
            <v>1415</v>
          </cell>
          <cell r="B1409" t="str">
            <v>ja</v>
          </cell>
          <cell r="C1409" t="str">
            <v>森のミリオンダック 7</v>
          </cell>
          <cell r="D1409" t="str">
            <v>未定</v>
          </cell>
          <cell r="E1409" t="str">
            <v>執行者</v>
          </cell>
          <cell r="F1409" t="str">
            <v>格好いい</v>
          </cell>
          <cell r="G1409" t="str">
            <v>不明</v>
          </cell>
          <cell r="H1409" t="str">
            <v>green</v>
          </cell>
          <cell r="I1409">
            <v>6</v>
          </cell>
          <cell r="J1409" t="str">
            <v>Material</v>
          </cell>
          <cell r="K1409" t="str">
            <v>exp</v>
          </cell>
          <cell r="L1409" t="str">
            <v>強化素材タイプ</v>
          </cell>
          <cell r="M1409" t="str">
            <v>unknown</v>
          </cell>
          <cell r="N1409" t="str">
            <v>Unknown</v>
          </cell>
          <cell r="O1409" t="str">
            <v>none</v>
          </cell>
          <cell r="P1409" t="str">
            <v>種族なし</v>
          </cell>
          <cell r="Q1409" t="str">
            <v>強化素材</v>
          </cell>
          <cell r="R1409">
            <v>3</v>
          </cell>
          <cell r="S1409" t="str">
            <v>NULL</v>
          </cell>
          <cell r="T1409" t="str">
            <v>normal</v>
          </cell>
          <cell r="U1409" t="str">
            <v>NULL</v>
          </cell>
          <cell r="V1409" t="str">
            <v>NULL</v>
          </cell>
          <cell r="W1409" t="str">
            <v>NULL</v>
          </cell>
        </row>
        <row r="1410">
          <cell r="A1410">
            <v>1416</v>
          </cell>
          <cell r="B1410" t="str">
            <v>ja</v>
          </cell>
          <cell r="C1410" t="str">
            <v>水のミリオンダック 7</v>
          </cell>
          <cell r="D1410" t="str">
            <v>未定</v>
          </cell>
          <cell r="E1410" t="str">
            <v>執行者</v>
          </cell>
          <cell r="F1410" t="str">
            <v>格好いい</v>
          </cell>
          <cell r="G1410" t="str">
            <v>不明</v>
          </cell>
          <cell r="H1410" t="str">
            <v>blue</v>
          </cell>
          <cell r="I1410">
            <v>6</v>
          </cell>
          <cell r="J1410" t="str">
            <v>Material</v>
          </cell>
          <cell r="K1410" t="str">
            <v>exp</v>
          </cell>
          <cell r="L1410" t="str">
            <v>強化素材タイプ</v>
          </cell>
          <cell r="M1410" t="str">
            <v>unknown</v>
          </cell>
          <cell r="N1410" t="str">
            <v>Unknown</v>
          </cell>
          <cell r="O1410" t="str">
            <v>none</v>
          </cell>
          <cell r="P1410" t="str">
            <v>種族なし</v>
          </cell>
          <cell r="Q1410" t="str">
            <v>強化素材</v>
          </cell>
          <cell r="R1410">
            <v>3</v>
          </cell>
          <cell r="S1410" t="str">
            <v>NULL</v>
          </cell>
          <cell r="T1410" t="str">
            <v>normal</v>
          </cell>
          <cell r="U1410" t="str">
            <v>NULL</v>
          </cell>
          <cell r="V1410" t="str">
            <v>NULL</v>
          </cell>
          <cell r="W1410" t="str">
            <v>NULL</v>
          </cell>
        </row>
        <row r="1411">
          <cell r="A1411">
            <v>1417</v>
          </cell>
          <cell r="B1411" t="str">
            <v>ja</v>
          </cell>
          <cell r="C1411" t="str">
            <v>雷のミリオンダック 7</v>
          </cell>
          <cell r="D1411" t="str">
            <v>未定</v>
          </cell>
          <cell r="E1411" t="str">
            <v>執行者</v>
          </cell>
          <cell r="F1411" t="str">
            <v>格好いい</v>
          </cell>
          <cell r="G1411" t="str">
            <v>不明</v>
          </cell>
          <cell r="H1411" t="str">
            <v>yellow</v>
          </cell>
          <cell r="I1411">
            <v>6</v>
          </cell>
          <cell r="J1411" t="str">
            <v>Material</v>
          </cell>
          <cell r="K1411" t="str">
            <v>exp</v>
          </cell>
          <cell r="L1411" t="str">
            <v>強化素材タイプ</v>
          </cell>
          <cell r="M1411" t="str">
            <v>unknown</v>
          </cell>
          <cell r="N1411" t="str">
            <v>Unknown</v>
          </cell>
          <cell r="O1411" t="str">
            <v>none</v>
          </cell>
          <cell r="P1411" t="str">
            <v>種族なし</v>
          </cell>
          <cell r="Q1411" t="str">
            <v>強化素材</v>
          </cell>
          <cell r="R1411">
            <v>3</v>
          </cell>
          <cell r="S1411" t="str">
            <v>NULL</v>
          </cell>
          <cell r="T1411" t="str">
            <v>normal</v>
          </cell>
          <cell r="U1411" t="str">
            <v>NULL</v>
          </cell>
          <cell r="V1411" t="str">
            <v>NULL</v>
          </cell>
          <cell r="W1411" t="str">
            <v>NULL</v>
          </cell>
        </row>
        <row r="1412">
          <cell r="A1412">
            <v>1418</v>
          </cell>
          <cell r="B1412" t="str">
            <v>ja</v>
          </cell>
          <cell r="C1412" t="str">
            <v>擬潜送侵型メリッサ2.0</v>
          </cell>
          <cell r="H1412" t="str">
            <v>red</v>
          </cell>
          <cell r="I1412">
            <v>5</v>
          </cell>
          <cell r="J1412" t="str">
            <v>DropWizS</v>
          </cell>
          <cell r="K1412" t="str">
            <v>attack</v>
          </cell>
          <cell r="L1412" t="str">
            <v>攻撃タイプ</v>
          </cell>
          <cell r="M1412" t="str">
            <v>unknown</v>
          </cell>
          <cell r="N1412" t="str">
            <v>Unknown</v>
          </cell>
          <cell r="O1412" t="str">
            <v>none</v>
          </cell>
          <cell r="P1412" t="str">
            <v>種族なし</v>
          </cell>
          <cell r="R1412">
            <v>3</v>
          </cell>
          <cell r="S1412" t="str">
            <v>NULL</v>
          </cell>
          <cell r="T1412" t="str">
            <v>normal</v>
          </cell>
          <cell r="U1412" t="str">
            <v>NULL</v>
          </cell>
          <cell r="V1412" t="str">
            <v>NULL</v>
          </cell>
          <cell r="W1412" t="str">
            <v>NULL</v>
          </cell>
        </row>
        <row r="1413">
          <cell r="A1413">
            <v>1419</v>
          </cell>
          <cell r="B1413" t="str">
            <v>ja</v>
          </cell>
          <cell r="C1413" t="str">
            <v>感潜する侵感 メリッサ</v>
          </cell>
          <cell r="H1413" t="str">
            <v>red</v>
          </cell>
          <cell r="I1413">
            <v>6</v>
          </cell>
          <cell r="J1413" t="str">
            <v>DropWizS</v>
          </cell>
          <cell r="K1413" t="str">
            <v>attack</v>
          </cell>
          <cell r="L1413" t="str">
            <v>攻撃タイプ</v>
          </cell>
          <cell r="M1413" t="str">
            <v>unknown</v>
          </cell>
          <cell r="N1413" t="str">
            <v>Unknown</v>
          </cell>
          <cell r="O1413" t="str">
            <v>none</v>
          </cell>
          <cell r="P1413" t="str">
            <v>種族なし</v>
          </cell>
          <cell r="R1413">
            <v>3</v>
          </cell>
          <cell r="S1413" t="str">
            <v>NULL</v>
          </cell>
          <cell r="T1413" t="str">
            <v>normal</v>
          </cell>
          <cell r="U1413" t="str">
            <v>NULL</v>
          </cell>
          <cell r="V1413" t="str">
            <v>NULL</v>
          </cell>
          <cell r="W1413" t="str">
            <v>NULL</v>
          </cell>
        </row>
        <row r="1414">
          <cell r="A1414">
            <v>1420</v>
          </cell>
          <cell r="B1414" t="str">
            <v>ja</v>
          </cell>
          <cell r="C1414" t="str">
            <v>脆侵増殖型G・モリス</v>
          </cell>
          <cell r="H1414" t="str">
            <v>blue</v>
          </cell>
          <cell r="I1414">
            <v>5</v>
          </cell>
          <cell r="J1414" t="str">
            <v>DropWizS</v>
          </cell>
          <cell r="K1414" t="str">
            <v>heal</v>
          </cell>
          <cell r="L1414" t="str">
            <v>回復タイプ</v>
          </cell>
          <cell r="M1414" t="str">
            <v>unknown</v>
          </cell>
          <cell r="N1414" t="str">
            <v>Unknown</v>
          </cell>
          <cell r="O1414" t="str">
            <v>none</v>
          </cell>
          <cell r="P1414" t="str">
            <v>種族なし</v>
          </cell>
          <cell r="R1414">
            <v>3</v>
          </cell>
          <cell r="S1414" t="str">
            <v>NULL</v>
          </cell>
          <cell r="T1414" t="str">
            <v>normal</v>
          </cell>
          <cell r="U1414" t="str">
            <v>NULL</v>
          </cell>
          <cell r="V1414" t="str">
            <v>NULL</v>
          </cell>
          <cell r="W1414" t="str">
            <v>NULL</v>
          </cell>
        </row>
        <row r="1415">
          <cell r="A1415">
            <v>1421</v>
          </cell>
          <cell r="B1415" t="str">
            <v>ja</v>
          </cell>
          <cell r="C1415" t="str">
            <v>拡勢する偽増 モリス</v>
          </cell>
          <cell r="H1415" t="str">
            <v>blue</v>
          </cell>
          <cell r="I1415">
            <v>6</v>
          </cell>
          <cell r="J1415" t="str">
            <v>DropWizS</v>
          </cell>
          <cell r="K1415" t="str">
            <v>heal</v>
          </cell>
          <cell r="L1415" t="str">
            <v>回復タイプ</v>
          </cell>
          <cell r="M1415" t="str">
            <v>unknown</v>
          </cell>
          <cell r="N1415" t="str">
            <v>Unknown</v>
          </cell>
          <cell r="O1415" t="str">
            <v>none</v>
          </cell>
          <cell r="P1415" t="str">
            <v>種族なし</v>
          </cell>
          <cell r="R1415">
            <v>3</v>
          </cell>
          <cell r="S1415" t="str">
            <v>NULL</v>
          </cell>
          <cell r="T1415" t="str">
            <v>normal</v>
          </cell>
          <cell r="U1415" t="str">
            <v>NULL</v>
          </cell>
          <cell r="V1415" t="str">
            <v>NULL</v>
          </cell>
          <cell r="W1415" t="str">
            <v>NULL</v>
          </cell>
        </row>
        <row r="1416">
          <cell r="A1416">
            <v>1422</v>
          </cell>
          <cell r="B1416" t="str">
            <v>ja</v>
          </cell>
          <cell r="C1416" t="str">
            <v>解錠放散性ニムダE</v>
          </cell>
          <cell r="H1416" t="str">
            <v>yellow</v>
          </cell>
          <cell r="I1416">
            <v>5</v>
          </cell>
          <cell r="J1416" t="str">
            <v>DropWizS</v>
          </cell>
          <cell r="K1416" t="str">
            <v>hp</v>
          </cell>
          <cell r="L1416" t="str">
            <v>体力タイプ</v>
          </cell>
          <cell r="M1416" t="str">
            <v>unknown</v>
          </cell>
          <cell r="N1416" t="str">
            <v>Unknown</v>
          </cell>
          <cell r="O1416" t="str">
            <v>none</v>
          </cell>
          <cell r="P1416" t="str">
            <v>種族なし</v>
          </cell>
          <cell r="R1416">
            <v>3</v>
          </cell>
          <cell r="S1416" t="str">
            <v>NULL</v>
          </cell>
          <cell r="T1416" t="str">
            <v>normal</v>
          </cell>
          <cell r="U1416" t="str">
            <v>NULL</v>
          </cell>
          <cell r="V1416" t="str">
            <v>NULL</v>
          </cell>
          <cell r="W1416" t="str">
            <v>NULL</v>
          </cell>
        </row>
        <row r="1417">
          <cell r="A1417">
            <v>1423</v>
          </cell>
          <cell r="B1417" t="str">
            <v>ja</v>
          </cell>
          <cell r="C1417" t="str">
            <v>電播する環染 ニムダ</v>
          </cell>
          <cell r="H1417" t="str">
            <v>yellow</v>
          </cell>
          <cell r="I1417">
            <v>6</v>
          </cell>
          <cell r="J1417" t="str">
            <v>DropWizS</v>
          </cell>
          <cell r="K1417" t="str">
            <v>hp</v>
          </cell>
          <cell r="L1417" t="str">
            <v>体力タイプ</v>
          </cell>
          <cell r="M1417" t="str">
            <v>unknown</v>
          </cell>
          <cell r="N1417" t="str">
            <v>Unknown</v>
          </cell>
          <cell r="O1417" t="str">
            <v>none</v>
          </cell>
          <cell r="P1417" t="str">
            <v>種族なし</v>
          </cell>
          <cell r="R1417">
            <v>3</v>
          </cell>
          <cell r="S1417" t="str">
            <v>NULL</v>
          </cell>
          <cell r="T1417" t="str">
            <v>normal</v>
          </cell>
          <cell r="U1417" t="str">
            <v>NULL</v>
          </cell>
          <cell r="V1417" t="str">
            <v>NULL</v>
          </cell>
          <cell r="W1417" t="str">
            <v>NULL</v>
          </cell>
        </row>
        <row r="1418">
          <cell r="A1418">
            <v>1424</v>
          </cell>
          <cell r="B1418" t="str">
            <v>ja</v>
          </cell>
          <cell r="C1418" t="str">
            <v>波打際の宴麗 フロイト</v>
          </cell>
          <cell r="H1418" t="str">
            <v>blue</v>
          </cell>
          <cell r="I1418">
            <v>6</v>
          </cell>
          <cell r="J1418" t="str">
            <v>PremiumSSS</v>
          </cell>
          <cell r="K1418" t="str">
            <v>balance</v>
          </cell>
          <cell r="L1418" t="str">
            <v>バランスタイプ</v>
          </cell>
          <cell r="M1418" t="str">
            <v>academia</v>
          </cell>
          <cell r="N1418" t="str">
            <v>アカデミア</v>
          </cell>
          <cell r="O1418" t="str">
            <v>machine</v>
          </cell>
          <cell r="P1418" t="str">
            <v>マシン</v>
          </cell>
          <cell r="R1418">
            <v>3</v>
          </cell>
          <cell r="S1418" t="str">
            <v>NULL</v>
          </cell>
          <cell r="T1418" t="str">
            <v>normal</v>
          </cell>
          <cell r="U1418" t="str">
            <v>NULL</v>
          </cell>
          <cell r="V1418" t="str">
            <v>NULL</v>
          </cell>
          <cell r="W1418" t="str">
            <v>NULL</v>
          </cell>
        </row>
        <row r="1419">
          <cell r="A1419">
            <v>1425</v>
          </cell>
          <cell r="B1419" t="str">
            <v>ja</v>
          </cell>
          <cell r="C1419" t="str">
            <v>ヴォルタ</v>
          </cell>
          <cell r="D1419" t="str">
            <v>未定</v>
          </cell>
          <cell r="E1419" t="str">
            <v>アリス</v>
          </cell>
          <cell r="F1419" t="str">
            <v>世界観</v>
          </cell>
          <cell r="G1419" t="str">
            <v>不明</v>
          </cell>
          <cell r="H1419" t="str">
            <v>red</v>
          </cell>
          <cell r="I1419">
            <v>5</v>
          </cell>
          <cell r="J1419" t="str">
            <v>PremiumSSS</v>
          </cell>
          <cell r="K1419" t="str">
            <v>attack</v>
          </cell>
          <cell r="L1419" t="str">
            <v>攻撃タイプ</v>
          </cell>
          <cell r="M1419" t="str">
            <v>academia</v>
          </cell>
          <cell r="N1419" t="str">
            <v>アカデミア</v>
          </cell>
          <cell r="O1419" t="str">
            <v>human</v>
          </cell>
          <cell r="P1419" t="str">
            <v>ヒューマン</v>
          </cell>
          <cell r="Q1419" t="str">
            <v>アタッカー</v>
          </cell>
          <cell r="R1419">
            <v>3</v>
          </cell>
          <cell r="S1419" t="str">
            <v>NULL</v>
          </cell>
          <cell r="T1419" t="str">
            <v>normal</v>
          </cell>
          <cell r="U1419" t="str">
            <v>NULL</v>
          </cell>
          <cell r="V1419" t="str">
            <v>NULL</v>
          </cell>
          <cell r="W1419" t="str">
            <v>NULL</v>
          </cell>
        </row>
        <row r="1420">
          <cell r="A1420">
            <v>1426</v>
          </cell>
          <cell r="B1420" t="str">
            <v>ja</v>
          </cell>
          <cell r="C1420" t="str">
            <v>灼々たる電花 ヴォルタ</v>
          </cell>
          <cell r="D1420" t="str">
            <v>未定</v>
          </cell>
          <cell r="E1420" t="str">
            <v>アリス</v>
          </cell>
          <cell r="F1420" t="str">
            <v>世界観</v>
          </cell>
          <cell r="G1420" t="str">
            <v>不明</v>
          </cell>
          <cell r="H1420" t="str">
            <v>red</v>
          </cell>
          <cell r="I1420">
            <v>6</v>
          </cell>
          <cell r="J1420" t="str">
            <v>PremiumSSS</v>
          </cell>
          <cell r="K1420" t="str">
            <v>attack</v>
          </cell>
          <cell r="L1420" t="str">
            <v>攻撃タイプ</v>
          </cell>
          <cell r="M1420" t="str">
            <v>academia</v>
          </cell>
          <cell r="N1420" t="str">
            <v>アカデミア</v>
          </cell>
          <cell r="O1420" t="str">
            <v>human</v>
          </cell>
          <cell r="P1420" t="str">
            <v>ヒューマン</v>
          </cell>
          <cell r="Q1420" t="str">
            <v>アタッカー</v>
          </cell>
          <cell r="R1420">
            <v>3</v>
          </cell>
          <cell r="S1420" t="str">
            <v>NULL</v>
          </cell>
          <cell r="T1420" t="str">
            <v>normal</v>
          </cell>
          <cell r="U1420" t="str">
            <v>NULL</v>
          </cell>
          <cell r="V1420" t="str">
            <v>NULL</v>
          </cell>
          <cell r="W1420" t="str">
            <v>NULL</v>
          </cell>
        </row>
        <row r="1421">
          <cell r="A1421">
            <v>1427</v>
          </cell>
          <cell r="B1421" t="str">
            <v>ja</v>
          </cell>
          <cell r="C1421" t="str">
            <v>プラトー</v>
          </cell>
          <cell r="D1421" t="str">
            <v>未定</v>
          </cell>
          <cell r="E1421" t="str">
            <v>アリス</v>
          </cell>
          <cell r="F1421" t="str">
            <v>世界観</v>
          </cell>
          <cell r="G1421" t="str">
            <v>不明</v>
          </cell>
          <cell r="H1421" t="str">
            <v>green</v>
          </cell>
          <cell r="I1421">
            <v>5</v>
          </cell>
          <cell r="J1421" t="str">
            <v>PremiumSSS</v>
          </cell>
          <cell r="K1421" t="str">
            <v>heal</v>
          </cell>
          <cell r="L1421" t="str">
            <v>回復タイプ</v>
          </cell>
          <cell r="M1421" t="str">
            <v>academia</v>
          </cell>
          <cell r="N1421" t="str">
            <v>アカデミア</v>
          </cell>
          <cell r="O1421" t="str">
            <v>fantasy</v>
          </cell>
          <cell r="P1421" t="str">
            <v>ファンタジー</v>
          </cell>
          <cell r="Q1421" t="str">
            <v>アタッカー</v>
          </cell>
          <cell r="R1421">
            <v>3</v>
          </cell>
          <cell r="S1421" t="str">
            <v>NULL</v>
          </cell>
          <cell r="T1421" t="str">
            <v>normal</v>
          </cell>
          <cell r="U1421" t="str">
            <v>NULL</v>
          </cell>
          <cell r="V1421" t="str">
            <v>NULL</v>
          </cell>
          <cell r="W1421" t="str">
            <v>NULL</v>
          </cell>
        </row>
        <row r="1422">
          <cell r="A1422">
            <v>1428</v>
          </cell>
          <cell r="B1422" t="str">
            <v>ja</v>
          </cell>
          <cell r="C1422" t="str">
            <v>幻影の泡沫 プラトー</v>
          </cell>
          <cell r="D1422" t="str">
            <v>未定</v>
          </cell>
          <cell r="E1422" t="str">
            <v>アリス</v>
          </cell>
          <cell r="F1422" t="str">
            <v>世界観</v>
          </cell>
          <cell r="G1422" t="str">
            <v>不明</v>
          </cell>
          <cell r="H1422" t="str">
            <v>green</v>
          </cell>
          <cell r="I1422">
            <v>6</v>
          </cell>
          <cell r="J1422" t="str">
            <v>PremiumSSS</v>
          </cell>
          <cell r="K1422" t="str">
            <v>heal</v>
          </cell>
          <cell r="L1422" t="str">
            <v>回復タイプ</v>
          </cell>
          <cell r="M1422" t="str">
            <v>academia</v>
          </cell>
          <cell r="N1422" t="str">
            <v>アカデミア</v>
          </cell>
          <cell r="O1422" t="str">
            <v>fantasy</v>
          </cell>
          <cell r="P1422" t="str">
            <v>ファンタジー</v>
          </cell>
          <cell r="Q1422" t="str">
            <v>アタッカー</v>
          </cell>
          <cell r="R1422">
            <v>3</v>
          </cell>
          <cell r="S1422" t="str">
            <v>NULL</v>
          </cell>
          <cell r="T1422" t="str">
            <v>normal</v>
          </cell>
          <cell r="U1422" t="str">
            <v>NULL</v>
          </cell>
          <cell r="V1422" t="str">
            <v>NULL</v>
          </cell>
          <cell r="W1422" t="str">
            <v>NULL</v>
          </cell>
        </row>
        <row r="1423">
          <cell r="A1423">
            <v>1431</v>
          </cell>
          <cell r="B1423" t="str">
            <v>ja</v>
          </cell>
          <cell r="C1423" t="str">
            <v>センコ</v>
          </cell>
          <cell r="D1423" t="str">
            <v>未定</v>
          </cell>
          <cell r="E1423" t="str">
            <v>アリス</v>
          </cell>
          <cell r="F1423" t="str">
            <v>世界観</v>
          </cell>
          <cell r="G1423" t="str">
            <v>不明</v>
          </cell>
          <cell r="H1423" t="str">
            <v>yellow</v>
          </cell>
          <cell r="I1423">
            <v>5</v>
          </cell>
          <cell r="J1423" t="str">
            <v>PremiumSS</v>
          </cell>
          <cell r="K1423" t="str">
            <v>hp</v>
          </cell>
          <cell r="L1423" t="str">
            <v>体力タイプ</v>
          </cell>
          <cell r="M1423" t="str">
            <v>god</v>
          </cell>
          <cell r="N1423" t="str">
            <v>ゴッド</v>
          </cell>
          <cell r="O1423" t="str">
            <v>animal</v>
          </cell>
          <cell r="P1423" t="str">
            <v>アニマル</v>
          </cell>
          <cell r="Q1423" t="str">
            <v>アタッカー</v>
          </cell>
          <cell r="R1423">
            <v>3</v>
          </cell>
          <cell r="S1423" t="str">
            <v>NULL</v>
          </cell>
          <cell r="T1423" t="str">
            <v>normal</v>
          </cell>
          <cell r="U1423" t="str">
            <v>NULL</v>
          </cell>
          <cell r="V1423" t="str">
            <v>NULL</v>
          </cell>
          <cell r="W1423" t="str">
            <v>NULL</v>
          </cell>
        </row>
        <row r="1424">
          <cell r="A1424">
            <v>1432</v>
          </cell>
          <cell r="B1424" t="str">
            <v>ja</v>
          </cell>
          <cell r="C1424" t="str">
            <v>華宴の千年狐 センコ</v>
          </cell>
          <cell r="D1424" t="str">
            <v>未定</v>
          </cell>
          <cell r="E1424" t="str">
            <v>アリス</v>
          </cell>
          <cell r="F1424" t="str">
            <v>世界観</v>
          </cell>
          <cell r="G1424" t="str">
            <v>不明</v>
          </cell>
          <cell r="H1424" t="str">
            <v>yellow</v>
          </cell>
          <cell r="I1424">
            <v>6</v>
          </cell>
          <cell r="J1424" t="str">
            <v>PremiumSS</v>
          </cell>
          <cell r="K1424" t="str">
            <v>hp</v>
          </cell>
          <cell r="L1424" t="str">
            <v>体力タイプ</v>
          </cell>
          <cell r="M1424" t="str">
            <v>god</v>
          </cell>
          <cell r="N1424" t="str">
            <v>ゴッド</v>
          </cell>
          <cell r="O1424" t="str">
            <v>none</v>
          </cell>
          <cell r="P1424" t="str">
            <v>種族なし</v>
          </cell>
          <cell r="Q1424" t="str">
            <v>アタッカー</v>
          </cell>
          <cell r="R1424">
            <v>3</v>
          </cell>
          <cell r="S1424" t="str">
            <v>NULL</v>
          </cell>
          <cell r="T1424" t="str">
            <v>normal</v>
          </cell>
          <cell r="U1424" t="str">
            <v>NULL</v>
          </cell>
          <cell r="V1424" t="str">
            <v>NULL</v>
          </cell>
          <cell r="W1424" t="str">
            <v>NULL</v>
          </cell>
        </row>
        <row r="1425">
          <cell r="A1425">
            <v>1433</v>
          </cell>
          <cell r="B1425" t="str">
            <v>ja</v>
          </cell>
          <cell r="C1425" t="str">
            <v>超越の果実</v>
          </cell>
          <cell r="D1425" t="str">
            <v>スキル進化素材</v>
          </cell>
          <cell r="E1425" t="str">
            <v>アリス</v>
          </cell>
          <cell r="F1425" t="str">
            <v>世界観</v>
          </cell>
          <cell r="G1425" t="str">
            <v>不明</v>
          </cell>
          <cell r="H1425" t="str">
            <v>yellow</v>
          </cell>
          <cell r="I1425">
            <v>3</v>
          </cell>
          <cell r="J1425" t="str">
            <v>Material</v>
          </cell>
          <cell r="K1425" t="str">
            <v>limitbreak</v>
          </cell>
          <cell r="L1425" t="str">
            <v>限界突破素材</v>
          </cell>
          <cell r="M1425" t="str">
            <v>unknown</v>
          </cell>
          <cell r="N1425" t="str">
            <v>Unknown</v>
          </cell>
          <cell r="O1425" t="str">
            <v>none</v>
          </cell>
          <cell r="P1425" t="str">
            <v>種族なし</v>
          </cell>
          <cell r="Q1425" t="str">
            <v>限界突破素材</v>
          </cell>
          <cell r="R1425">
            <v>3</v>
          </cell>
          <cell r="S1425" t="str">
            <v>NULL</v>
          </cell>
          <cell r="T1425" t="str">
            <v>normal</v>
          </cell>
          <cell r="U1425" t="str">
            <v>NULL</v>
          </cell>
          <cell r="V1425" t="str">
            <v>NULL</v>
          </cell>
          <cell r="W1425" t="str">
            <v>NULL</v>
          </cell>
        </row>
        <row r="1426">
          <cell r="A1426">
            <v>1434</v>
          </cell>
          <cell r="B1426" t="str">
            <v>ja</v>
          </cell>
          <cell r="C1426" t="str">
            <v>メガ超越の果実</v>
          </cell>
          <cell r="D1426" t="str">
            <v>スキル進化素材</v>
          </cell>
          <cell r="E1426" t="str">
            <v>アリス</v>
          </cell>
          <cell r="F1426" t="str">
            <v>世界観</v>
          </cell>
          <cell r="G1426" t="str">
            <v>不明</v>
          </cell>
          <cell r="H1426" t="str">
            <v>yellow</v>
          </cell>
          <cell r="I1426">
            <v>4</v>
          </cell>
          <cell r="J1426" t="str">
            <v>Material</v>
          </cell>
          <cell r="K1426" t="str">
            <v>limitbreak</v>
          </cell>
          <cell r="L1426" t="str">
            <v>限界突破素材</v>
          </cell>
          <cell r="M1426" t="str">
            <v>unknown</v>
          </cell>
          <cell r="N1426" t="str">
            <v>Unknown</v>
          </cell>
          <cell r="O1426" t="str">
            <v>none</v>
          </cell>
          <cell r="P1426" t="str">
            <v>種族なし</v>
          </cell>
          <cell r="Q1426" t="str">
            <v>限界突破素材</v>
          </cell>
          <cell r="R1426">
            <v>3</v>
          </cell>
          <cell r="S1426" t="str">
            <v>NULL</v>
          </cell>
          <cell r="T1426" t="str">
            <v>normal</v>
          </cell>
          <cell r="U1426" t="str">
            <v>NULL</v>
          </cell>
          <cell r="V1426" t="str">
            <v>NULL</v>
          </cell>
          <cell r="W1426" t="str">
            <v>NULL</v>
          </cell>
        </row>
        <row r="1427">
          <cell r="A1427">
            <v>1435</v>
          </cell>
          <cell r="B1427" t="str">
            <v>ja</v>
          </cell>
          <cell r="C1427" t="str">
            <v>ギガ超越の果実</v>
          </cell>
          <cell r="D1427" t="str">
            <v>スキル進化素材</v>
          </cell>
          <cell r="E1427" t="str">
            <v>アリス</v>
          </cell>
          <cell r="F1427" t="str">
            <v>世界観</v>
          </cell>
          <cell r="G1427" t="str">
            <v>不明</v>
          </cell>
          <cell r="H1427" t="str">
            <v>yellow</v>
          </cell>
          <cell r="I1427">
            <v>5</v>
          </cell>
          <cell r="J1427" t="str">
            <v>DropWizSS</v>
          </cell>
          <cell r="K1427" t="str">
            <v>limitbreak</v>
          </cell>
          <cell r="L1427" t="str">
            <v>限界突破素材</v>
          </cell>
          <cell r="M1427" t="str">
            <v>unknown</v>
          </cell>
          <cell r="N1427" t="str">
            <v>Unknown</v>
          </cell>
          <cell r="O1427" t="str">
            <v>none</v>
          </cell>
          <cell r="P1427" t="str">
            <v>種族なし</v>
          </cell>
          <cell r="Q1427" t="str">
            <v>限界突破素材</v>
          </cell>
          <cell r="R1427">
            <v>3</v>
          </cell>
          <cell r="S1427" t="str">
            <v>NULL</v>
          </cell>
          <cell r="T1427" t="str">
            <v>normal</v>
          </cell>
          <cell r="U1427" t="str">
            <v>NULL</v>
          </cell>
          <cell r="V1427" t="str">
            <v>NULL</v>
          </cell>
          <cell r="W1427" t="str">
            <v>NULL</v>
          </cell>
        </row>
        <row r="1428">
          <cell r="A1428">
            <v>1436</v>
          </cell>
          <cell r="B1428" t="str">
            <v>ja</v>
          </cell>
          <cell r="C1428" t="str">
            <v>スパルタ</v>
          </cell>
          <cell r="H1428" t="str">
            <v>blue</v>
          </cell>
          <cell r="I1428">
            <v>4</v>
          </cell>
          <cell r="J1428" t="str">
            <v>Drop2N</v>
          </cell>
          <cell r="K1428" t="str">
            <v>attack</v>
          </cell>
          <cell r="L1428" t="str">
            <v>攻撃タイプ</v>
          </cell>
          <cell r="M1428" t="str">
            <v>hero</v>
          </cell>
          <cell r="N1428" t="str">
            <v>ヒーロー</v>
          </cell>
          <cell r="O1428" t="str">
            <v>none</v>
          </cell>
          <cell r="P1428" t="str">
            <v>種族なし</v>
          </cell>
          <cell r="R1428">
            <v>3</v>
          </cell>
          <cell r="S1428" t="str">
            <v>NULL</v>
          </cell>
          <cell r="T1428" t="str">
            <v>normal</v>
          </cell>
          <cell r="U1428" t="str">
            <v>NULL</v>
          </cell>
          <cell r="V1428" t="str">
            <v>NULL</v>
          </cell>
          <cell r="W1428" t="str">
            <v>NULL</v>
          </cell>
        </row>
        <row r="1429">
          <cell r="A1429">
            <v>1437</v>
          </cell>
          <cell r="B1429" t="str">
            <v>ja</v>
          </cell>
          <cell r="C1429" t="str">
            <v>暴厳の練磨師 スパルタ</v>
          </cell>
          <cell r="H1429" t="str">
            <v>blue</v>
          </cell>
          <cell r="I1429">
            <v>5</v>
          </cell>
          <cell r="J1429" t="str">
            <v>Drop2N</v>
          </cell>
          <cell r="K1429" t="str">
            <v>attack</v>
          </cell>
          <cell r="L1429" t="str">
            <v>攻撃タイプ</v>
          </cell>
          <cell r="M1429" t="str">
            <v>hero</v>
          </cell>
          <cell r="N1429" t="str">
            <v>ヒーロー</v>
          </cell>
          <cell r="O1429" t="str">
            <v>none</v>
          </cell>
          <cell r="P1429" t="str">
            <v>種族なし</v>
          </cell>
          <cell r="R1429">
            <v>3</v>
          </cell>
          <cell r="S1429" t="str">
            <v>NULL</v>
          </cell>
          <cell r="T1429" t="str">
            <v>normal</v>
          </cell>
          <cell r="U1429" t="str">
            <v>NULL</v>
          </cell>
          <cell r="V1429" t="str">
            <v>NULL</v>
          </cell>
          <cell r="W1429" t="str">
            <v>NULL</v>
          </cell>
        </row>
        <row r="1430">
          <cell r="A1430">
            <v>1438</v>
          </cell>
          <cell r="B1430" t="str">
            <v>ja</v>
          </cell>
          <cell r="C1430" t="str">
            <v>ゼノビア</v>
          </cell>
          <cell r="H1430" t="str">
            <v>green</v>
          </cell>
          <cell r="I1430">
            <v>5</v>
          </cell>
          <cell r="J1430" t="str">
            <v>DropWizS</v>
          </cell>
          <cell r="K1430" t="str">
            <v>attack</v>
          </cell>
          <cell r="L1430" t="str">
            <v>攻撃タイプ</v>
          </cell>
          <cell r="M1430" t="str">
            <v>hero</v>
          </cell>
          <cell r="N1430" t="str">
            <v>ヒーロー</v>
          </cell>
          <cell r="O1430" t="str">
            <v>none</v>
          </cell>
          <cell r="P1430" t="str">
            <v>種族なし</v>
          </cell>
          <cell r="R1430">
            <v>3</v>
          </cell>
          <cell r="S1430" t="str">
            <v>NULL</v>
          </cell>
          <cell r="T1430" t="str">
            <v>normal</v>
          </cell>
          <cell r="U1430" t="str">
            <v>NULL</v>
          </cell>
          <cell r="V1430" t="str">
            <v>NULL</v>
          </cell>
          <cell r="W1430" t="str">
            <v>NULL</v>
          </cell>
        </row>
        <row r="1431">
          <cell r="A1431">
            <v>1439</v>
          </cell>
          <cell r="B1431" t="str">
            <v>ja</v>
          </cell>
          <cell r="C1431" t="str">
            <v>狡貴なる女傑 ゼノビア</v>
          </cell>
          <cell r="H1431" t="str">
            <v>green</v>
          </cell>
          <cell r="I1431">
            <v>6</v>
          </cell>
          <cell r="J1431" t="str">
            <v>DropWizS</v>
          </cell>
          <cell r="K1431" t="str">
            <v>attack</v>
          </cell>
          <cell r="L1431" t="str">
            <v>攻撃タイプ</v>
          </cell>
          <cell r="M1431" t="str">
            <v>hero</v>
          </cell>
          <cell r="N1431" t="str">
            <v>ヒーロー</v>
          </cell>
          <cell r="O1431" t="str">
            <v>none</v>
          </cell>
          <cell r="P1431" t="str">
            <v>種族なし</v>
          </cell>
          <cell r="R1431">
            <v>3</v>
          </cell>
          <cell r="S1431" t="str">
            <v>NULL</v>
          </cell>
          <cell r="T1431" t="str">
            <v>normal</v>
          </cell>
          <cell r="U1431" t="str">
            <v>NULL</v>
          </cell>
          <cell r="V1431" t="str">
            <v>NULL</v>
          </cell>
          <cell r="W1431" t="str">
            <v>NULL</v>
          </cell>
        </row>
        <row r="1432">
          <cell r="A1432">
            <v>1440</v>
          </cell>
          <cell r="B1432" t="str">
            <v>ja</v>
          </cell>
          <cell r="C1432" t="str">
            <v>ブルータス</v>
          </cell>
          <cell r="H1432" t="str">
            <v>yellow</v>
          </cell>
          <cell r="I1432">
            <v>5</v>
          </cell>
          <cell r="J1432" t="str">
            <v>DropWizSS</v>
          </cell>
          <cell r="K1432" t="str">
            <v>technical</v>
          </cell>
          <cell r="L1432" t="str">
            <v>テクニカルタイプ</v>
          </cell>
          <cell r="M1432" t="str">
            <v>human</v>
          </cell>
          <cell r="N1432" t="str">
            <v>ヒューマン</v>
          </cell>
          <cell r="O1432" t="str">
            <v>machine</v>
          </cell>
          <cell r="P1432" t="str">
            <v>マシン</v>
          </cell>
          <cell r="R1432">
            <v>1</v>
          </cell>
          <cell r="S1432" t="str">
            <v>NULL</v>
          </cell>
          <cell r="T1432" t="str">
            <v>normal</v>
          </cell>
          <cell r="U1432" t="str">
            <v>NULL</v>
          </cell>
          <cell r="V1432" t="str">
            <v>NULL</v>
          </cell>
          <cell r="W1432" t="str">
            <v>NULL</v>
          </cell>
        </row>
        <row r="1433">
          <cell r="A1433">
            <v>1441</v>
          </cell>
          <cell r="B1433" t="str">
            <v>ja</v>
          </cell>
          <cell r="C1433" t="str">
            <v>背信の謀剣 ブルータス</v>
          </cell>
          <cell r="H1433" t="str">
            <v>yellow</v>
          </cell>
          <cell r="I1433">
            <v>6</v>
          </cell>
          <cell r="J1433" t="str">
            <v>DropWizSS</v>
          </cell>
          <cell r="K1433" t="str">
            <v>technical</v>
          </cell>
          <cell r="L1433" t="str">
            <v>テクニカルタイプ</v>
          </cell>
          <cell r="M1433" t="str">
            <v>human</v>
          </cell>
          <cell r="N1433" t="str">
            <v>ヒューマン</v>
          </cell>
          <cell r="O1433" t="str">
            <v>machine</v>
          </cell>
          <cell r="P1433" t="str">
            <v>マシン</v>
          </cell>
          <cell r="R1433">
            <v>1</v>
          </cell>
          <cell r="S1433" t="str">
            <v>NULL</v>
          </cell>
          <cell r="T1433" t="str">
            <v>normal</v>
          </cell>
          <cell r="U1433" t="str">
            <v>NULL</v>
          </cell>
          <cell r="V1433" t="str">
            <v>NULL</v>
          </cell>
          <cell r="W1433" t="str">
            <v>NULL</v>
          </cell>
        </row>
        <row r="1434">
          <cell r="A1434">
            <v>1442</v>
          </cell>
          <cell r="B1434" t="str">
            <v>ja</v>
          </cell>
          <cell r="C1434" t="str">
            <v>アレキサンダー</v>
          </cell>
          <cell r="H1434" t="str">
            <v>red</v>
          </cell>
          <cell r="I1434">
            <v>5</v>
          </cell>
          <cell r="J1434" t="str">
            <v>DropWizSS</v>
          </cell>
          <cell r="K1434" t="str">
            <v>hp</v>
          </cell>
          <cell r="L1434" t="str">
            <v>体力タイプ</v>
          </cell>
          <cell r="M1434" t="str">
            <v>hero</v>
          </cell>
          <cell r="N1434" t="str">
            <v>ヒーロー</v>
          </cell>
          <cell r="O1434" t="str">
            <v>human</v>
          </cell>
          <cell r="P1434" t="str">
            <v>ヒューマン</v>
          </cell>
          <cell r="R1434">
            <v>3</v>
          </cell>
          <cell r="S1434" t="str">
            <v>NULL</v>
          </cell>
          <cell r="T1434" t="str">
            <v>normal</v>
          </cell>
          <cell r="U1434" t="str">
            <v>NULL</v>
          </cell>
          <cell r="V1434" t="str">
            <v>NULL</v>
          </cell>
          <cell r="W1434" t="str">
            <v>NULL</v>
          </cell>
        </row>
        <row r="1435">
          <cell r="A1435">
            <v>1443</v>
          </cell>
          <cell r="B1435" t="str">
            <v>ja</v>
          </cell>
          <cell r="C1435" t="str">
            <v>征世の大英雄 アレキサンダー</v>
          </cell>
          <cell r="H1435" t="str">
            <v>red</v>
          </cell>
          <cell r="I1435">
            <v>6</v>
          </cell>
          <cell r="J1435" t="str">
            <v>DropWizSS</v>
          </cell>
          <cell r="K1435" t="str">
            <v>hp</v>
          </cell>
          <cell r="L1435" t="str">
            <v>体力タイプ</v>
          </cell>
          <cell r="M1435" t="str">
            <v>hero</v>
          </cell>
          <cell r="N1435" t="str">
            <v>ヒーロー</v>
          </cell>
          <cell r="O1435" t="str">
            <v>human</v>
          </cell>
          <cell r="P1435" t="str">
            <v>ヒューマン</v>
          </cell>
          <cell r="R1435">
            <v>3</v>
          </cell>
          <cell r="S1435" t="str">
            <v>NULL</v>
          </cell>
          <cell r="T1435" t="str">
            <v>normal</v>
          </cell>
          <cell r="U1435" t="str">
            <v>NULL</v>
          </cell>
          <cell r="V1435" t="str">
            <v>NULL</v>
          </cell>
          <cell r="W1435" t="str">
            <v>NULL</v>
          </cell>
        </row>
        <row r="1436">
          <cell r="A1436">
            <v>1444</v>
          </cell>
          <cell r="B1436" t="str">
            <v>ja</v>
          </cell>
          <cell r="C1436" t="str">
            <v>クレオパトラ</v>
          </cell>
          <cell r="H1436" t="str">
            <v>red</v>
          </cell>
          <cell r="I1436">
            <v>5</v>
          </cell>
          <cell r="J1436" t="str">
            <v>PremiumSSw</v>
          </cell>
          <cell r="K1436" t="str">
            <v>technical</v>
          </cell>
          <cell r="L1436" t="str">
            <v>テクニカルタイプ</v>
          </cell>
          <cell r="M1436" t="str">
            <v>hero</v>
          </cell>
          <cell r="N1436" t="str">
            <v>ヒーロー</v>
          </cell>
          <cell r="O1436" t="str">
            <v>human</v>
          </cell>
          <cell r="P1436" t="str">
            <v>ヒューマン</v>
          </cell>
          <cell r="R1436">
            <v>3</v>
          </cell>
          <cell r="S1436" t="str">
            <v>NULL</v>
          </cell>
          <cell r="T1436" t="str">
            <v>normal</v>
          </cell>
          <cell r="U1436" t="str">
            <v>NULL</v>
          </cell>
          <cell r="V1436" t="str">
            <v>NULL</v>
          </cell>
          <cell r="W1436" t="str">
            <v>NULL</v>
          </cell>
        </row>
        <row r="1437">
          <cell r="A1437">
            <v>1445</v>
          </cell>
          <cell r="B1437" t="str">
            <v>ja</v>
          </cell>
          <cell r="C1437" t="str">
            <v>絶征の魅女 クレオパトラ</v>
          </cell>
          <cell r="H1437" t="str">
            <v>red</v>
          </cell>
          <cell r="I1437">
            <v>6</v>
          </cell>
          <cell r="J1437" t="str">
            <v>PremiumSSw</v>
          </cell>
          <cell r="K1437" t="str">
            <v>technical</v>
          </cell>
          <cell r="L1437" t="str">
            <v>テクニカルタイプ</v>
          </cell>
          <cell r="M1437" t="str">
            <v>hero</v>
          </cell>
          <cell r="N1437" t="str">
            <v>ヒーロー</v>
          </cell>
          <cell r="O1437" t="str">
            <v>human</v>
          </cell>
          <cell r="P1437" t="str">
            <v>ヒューマン</v>
          </cell>
          <cell r="R1437">
            <v>3</v>
          </cell>
          <cell r="S1437" t="str">
            <v>NULL</v>
          </cell>
          <cell r="T1437" t="str">
            <v>normal</v>
          </cell>
          <cell r="U1437" t="str">
            <v>NULL</v>
          </cell>
          <cell r="V1437" t="str">
            <v>NULL</v>
          </cell>
          <cell r="W1437" t="str">
            <v>NULL</v>
          </cell>
        </row>
        <row r="1438">
          <cell r="A1438">
            <v>1446</v>
          </cell>
          <cell r="B1438" t="str">
            <v>ja</v>
          </cell>
          <cell r="C1438" t="str">
            <v>カエサル</v>
          </cell>
          <cell r="H1438" t="str">
            <v>green</v>
          </cell>
          <cell r="I1438">
            <v>5</v>
          </cell>
          <cell r="J1438" t="str">
            <v>PremiumSS</v>
          </cell>
          <cell r="K1438" t="str">
            <v>technical</v>
          </cell>
          <cell r="L1438" t="str">
            <v>テクニカルタイプ</v>
          </cell>
          <cell r="M1438" t="str">
            <v>hero</v>
          </cell>
          <cell r="N1438" t="str">
            <v>ヒーロー</v>
          </cell>
          <cell r="O1438" t="str">
            <v>none</v>
          </cell>
          <cell r="P1438" t="str">
            <v>種族なし</v>
          </cell>
          <cell r="R1438">
            <v>3</v>
          </cell>
          <cell r="S1438" t="str">
            <v>NULL</v>
          </cell>
          <cell r="T1438" t="str">
            <v>normal</v>
          </cell>
          <cell r="U1438" t="str">
            <v>NULL</v>
          </cell>
          <cell r="V1438" t="str">
            <v>NULL</v>
          </cell>
          <cell r="W1438" t="str">
            <v>NULL</v>
          </cell>
        </row>
        <row r="1439">
          <cell r="A1439">
            <v>1447</v>
          </cell>
          <cell r="B1439" t="str">
            <v>ja</v>
          </cell>
          <cell r="C1439" t="str">
            <v>拓越の軍官 カエサル</v>
          </cell>
          <cell r="H1439" t="str">
            <v>green</v>
          </cell>
          <cell r="I1439">
            <v>6</v>
          </cell>
          <cell r="J1439" t="str">
            <v>PremiumSS</v>
          </cell>
          <cell r="K1439" t="str">
            <v>technical</v>
          </cell>
          <cell r="L1439" t="str">
            <v>テクニカルタイプ</v>
          </cell>
          <cell r="M1439" t="str">
            <v>hero</v>
          </cell>
          <cell r="N1439" t="str">
            <v>ヒーロー</v>
          </cell>
          <cell r="O1439" t="str">
            <v>none</v>
          </cell>
          <cell r="P1439" t="str">
            <v>種族なし</v>
          </cell>
          <cell r="R1439">
            <v>3</v>
          </cell>
          <cell r="S1439" t="str">
            <v>NULL</v>
          </cell>
          <cell r="T1439" t="str">
            <v>normal</v>
          </cell>
          <cell r="U1439" t="str">
            <v>NULL</v>
          </cell>
          <cell r="V1439" t="str">
            <v>NULL</v>
          </cell>
          <cell r="W1439" t="str">
            <v>NULL</v>
          </cell>
        </row>
        <row r="1440">
          <cell r="A1440">
            <v>1448</v>
          </cell>
          <cell r="B1440" t="str">
            <v>ja</v>
          </cell>
          <cell r="C1440" t="str">
            <v>ハンニバル</v>
          </cell>
          <cell r="H1440" t="str">
            <v>blue</v>
          </cell>
          <cell r="I1440">
            <v>5</v>
          </cell>
          <cell r="J1440" t="str">
            <v>PremiumSS</v>
          </cell>
          <cell r="K1440" t="str">
            <v>balance</v>
          </cell>
          <cell r="L1440" t="str">
            <v>バランスタイプ</v>
          </cell>
          <cell r="M1440" t="str">
            <v>hero</v>
          </cell>
          <cell r="N1440" t="str">
            <v>ヒーロー</v>
          </cell>
          <cell r="O1440" t="str">
            <v>none</v>
          </cell>
          <cell r="P1440" t="str">
            <v>種族なし</v>
          </cell>
          <cell r="R1440">
            <v>3</v>
          </cell>
          <cell r="S1440" t="str">
            <v>NULL</v>
          </cell>
          <cell r="T1440" t="str">
            <v>normal</v>
          </cell>
          <cell r="U1440" t="str">
            <v>NULL</v>
          </cell>
          <cell r="V1440" t="str">
            <v>NULL</v>
          </cell>
          <cell r="W1440" t="str">
            <v>NULL</v>
          </cell>
        </row>
        <row r="1441">
          <cell r="A1441">
            <v>1449</v>
          </cell>
          <cell r="B1441" t="str">
            <v>ja</v>
          </cell>
          <cell r="C1441" t="str">
            <v>天賦の閃術家 ハンニバル</v>
          </cell>
          <cell r="H1441" t="str">
            <v>blue</v>
          </cell>
          <cell r="I1441">
            <v>6</v>
          </cell>
          <cell r="J1441" t="str">
            <v>PremiumSS</v>
          </cell>
          <cell r="K1441" t="str">
            <v>balance</v>
          </cell>
          <cell r="L1441" t="str">
            <v>バランスタイプ</v>
          </cell>
          <cell r="M1441" t="str">
            <v>hero</v>
          </cell>
          <cell r="N1441" t="str">
            <v>ヒーロー</v>
          </cell>
          <cell r="O1441" t="str">
            <v>none</v>
          </cell>
          <cell r="P1441" t="str">
            <v>種族なし</v>
          </cell>
          <cell r="R1441">
            <v>3</v>
          </cell>
          <cell r="S1441" t="str">
            <v>NULL</v>
          </cell>
          <cell r="T1441" t="str">
            <v>normal</v>
          </cell>
          <cell r="U1441" t="str">
            <v>NULL</v>
          </cell>
          <cell r="V1441" t="str">
            <v>NULL</v>
          </cell>
          <cell r="W1441" t="str">
            <v>NULL</v>
          </cell>
        </row>
        <row r="1442">
          <cell r="A1442">
            <v>1450</v>
          </cell>
          <cell r="B1442" t="str">
            <v>ja</v>
          </cell>
          <cell r="C1442" t="str">
            <v>ブーディカ</v>
          </cell>
          <cell r="H1442" t="str">
            <v>yellow</v>
          </cell>
          <cell r="I1442">
            <v>4</v>
          </cell>
          <cell r="J1442" t="str">
            <v>PremiumS</v>
          </cell>
          <cell r="K1442" t="str">
            <v>heal</v>
          </cell>
          <cell r="L1442" t="str">
            <v>回復タイプ</v>
          </cell>
          <cell r="M1442" t="str">
            <v>hero</v>
          </cell>
          <cell r="N1442" t="str">
            <v>ヒーロー</v>
          </cell>
          <cell r="O1442" t="str">
            <v>none</v>
          </cell>
          <cell r="P1442" t="str">
            <v>種族なし</v>
          </cell>
          <cell r="R1442">
            <v>3</v>
          </cell>
          <cell r="S1442" t="str">
            <v>NULL</v>
          </cell>
          <cell r="T1442" t="str">
            <v>normal</v>
          </cell>
          <cell r="U1442" t="str">
            <v>NULL</v>
          </cell>
          <cell r="V1442" t="str">
            <v>NULL</v>
          </cell>
          <cell r="W1442" t="str">
            <v>NULL</v>
          </cell>
        </row>
        <row r="1443">
          <cell r="A1443">
            <v>1451</v>
          </cell>
          <cell r="B1443" t="str">
            <v>ja</v>
          </cell>
          <cell r="C1443" t="str">
            <v>沈黙の禁領 ブーディカ</v>
          </cell>
          <cell r="H1443" t="str">
            <v>yellow</v>
          </cell>
          <cell r="I1443">
            <v>5</v>
          </cell>
          <cell r="J1443" t="str">
            <v>PremiumS</v>
          </cell>
          <cell r="K1443" t="str">
            <v>heal</v>
          </cell>
          <cell r="L1443" t="str">
            <v>回復タイプ</v>
          </cell>
          <cell r="M1443" t="str">
            <v>hero</v>
          </cell>
          <cell r="N1443" t="str">
            <v>ヒーロー</v>
          </cell>
          <cell r="O1443" t="str">
            <v>none</v>
          </cell>
          <cell r="P1443" t="str">
            <v>種族なし</v>
          </cell>
          <cell r="R1443">
            <v>3</v>
          </cell>
          <cell r="S1443" t="str">
            <v>NULL</v>
          </cell>
          <cell r="T1443" t="str">
            <v>normal</v>
          </cell>
          <cell r="U1443" t="str">
            <v>NULL</v>
          </cell>
          <cell r="V1443" t="str">
            <v>NULL</v>
          </cell>
          <cell r="W1443" t="str">
            <v>NULL</v>
          </cell>
        </row>
        <row r="1444">
          <cell r="A1444">
            <v>1452</v>
          </cell>
          <cell r="B1444" t="str">
            <v>ja</v>
          </cell>
          <cell r="C1444" t="str">
            <v>メルセンヌ</v>
          </cell>
          <cell r="D1444" t="str">
            <v>未定</v>
          </cell>
          <cell r="E1444" t="str">
            <v>アリス</v>
          </cell>
          <cell r="F1444" t="str">
            <v>世界観</v>
          </cell>
          <cell r="G1444" t="str">
            <v>不明</v>
          </cell>
          <cell r="H1444" t="str">
            <v>yellow</v>
          </cell>
          <cell r="I1444">
            <v>5</v>
          </cell>
          <cell r="J1444" t="str">
            <v>PremiumSSS</v>
          </cell>
          <cell r="K1444" t="str">
            <v>hp</v>
          </cell>
          <cell r="L1444" t="str">
            <v>体力タイプ</v>
          </cell>
          <cell r="M1444" t="str">
            <v>academia</v>
          </cell>
          <cell r="N1444" t="str">
            <v>アカデミア</v>
          </cell>
          <cell r="O1444" t="str">
            <v>unknown</v>
          </cell>
          <cell r="P1444" t="str">
            <v>Unknown</v>
          </cell>
          <cell r="Q1444" t="str">
            <v>アタッカー</v>
          </cell>
          <cell r="R1444">
            <v>3</v>
          </cell>
          <cell r="S1444" t="str">
            <v>NULL</v>
          </cell>
          <cell r="T1444" t="str">
            <v>normal</v>
          </cell>
          <cell r="U1444" t="str">
            <v>NULL</v>
          </cell>
          <cell r="V1444" t="str">
            <v>NULL</v>
          </cell>
          <cell r="W1444" t="str">
            <v>NULL</v>
          </cell>
        </row>
        <row r="1445">
          <cell r="A1445">
            <v>1453</v>
          </cell>
          <cell r="B1445" t="str">
            <v>ja</v>
          </cell>
          <cell r="C1445" t="str">
            <v>数解の自鳴琴 メルセンヌ</v>
          </cell>
          <cell r="D1445" t="str">
            <v>未定</v>
          </cell>
          <cell r="E1445" t="str">
            <v>アリス</v>
          </cell>
          <cell r="F1445" t="str">
            <v>世界観</v>
          </cell>
          <cell r="G1445" t="str">
            <v>不明</v>
          </cell>
          <cell r="H1445" t="str">
            <v>yellow</v>
          </cell>
          <cell r="I1445">
            <v>6</v>
          </cell>
          <cell r="J1445" t="str">
            <v>PremiumSSS</v>
          </cell>
          <cell r="K1445" t="str">
            <v>hp</v>
          </cell>
          <cell r="L1445" t="str">
            <v>体力タイプ</v>
          </cell>
          <cell r="M1445" t="str">
            <v>academia</v>
          </cell>
          <cell r="N1445" t="str">
            <v>アカデミア</v>
          </cell>
          <cell r="O1445" t="str">
            <v>unknown</v>
          </cell>
          <cell r="P1445" t="str">
            <v>Unknown</v>
          </cell>
          <cell r="Q1445" t="str">
            <v>アタッカー</v>
          </cell>
          <cell r="R1445">
            <v>3</v>
          </cell>
          <cell r="S1445" t="str">
            <v>NULL</v>
          </cell>
          <cell r="T1445" t="str">
            <v>normal</v>
          </cell>
          <cell r="U1445" t="str">
            <v>NULL</v>
          </cell>
          <cell r="V1445" t="str">
            <v>NULL</v>
          </cell>
          <cell r="W1445" t="str">
            <v>NULL</v>
          </cell>
        </row>
        <row r="1446">
          <cell r="A1446">
            <v>1454</v>
          </cell>
          <cell r="B1446" t="str">
            <v>ja</v>
          </cell>
          <cell r="C1446" t="str">
            <v>ストレングス</v>
          </cell>
          <cell r="D1446" t="str">
            <v>未定</v>
          </cell>
          <cell r="E1446" t="str">
            <v>アリス</v>
          </cell>
          <cell r="F1446" t="str">
            <v>世界観</v>
          </cell>
          <cell r="G1446" t="str">
            <v>不明</v>
          </cell>
          <cell r="H1446" t="str">
            <v>red</v>
          </cell>
          <cell r="I1446">
            <v>5</v>
          </cell>
          <cell r="J1446" t="str">
            <v>PremiumSSS</v>
          </cell>
          <cell r="K1446" t="str">
            <v>balance</v>
          </cell>
          <cell r="L1446" t="str">
            <v>バランスタイプ</v>
          </cell>
          <cell r="M1446" t="str">
            <v>god</v>
          </cell>
          <cell r="N1446" t="str">
            <v>ゴッド</v>
          </cell>
          <cell r="O1446" t="str">
            <v>animal</v>
          </cell>
          <cell r="P1446" t="str">
            <v>アニマル</v>
          </cell>
          <cell r="Q1446" t="str">
            <v>アタッカー</v>
          </cell>
          <cell r="R1446">
            <v>3</v>
          </cell>
          <cell r="S1446" t="str">
            <v>NULL</v>
          </cell>
          <cell r="T1446" t="str">
            <v>normal</v>
          </cell>
          <cell r="U1446" t="str">
            <v>NULL</v>
          </cell>
          <cell r="V1446" t="str">
            <v>NULL</v>
          </cell>
          <cell r="W1446" t="str">
            <v>NULL</v>
          </cell>
        </row>
        <row r="1447">
          <cell r="A1447">
            <v>1455</v>
          </cell>
          <cell r="B1447" t="str">
            <v>ja</v>
          </cell>
          <cell r="C1447" t="str">
            <v>豪毅なる征獣師 ストレングス</v>
          </cell>
          <cell r="D1447" t="str">
            <v>未定</v>
          </cell>
          <cell r="E1447" t="str">
            <v>アリス</v>
          </cell>
          <cell r="F1447" t="str">
            <v>世界観</v>
          </cell>
          <cell r="G1447" t="str">
            <v>不明</v>
          </cell>
          <cell r="H1447" t="str">
            <v>red</v>
          </cell>
          <cell r="I1447">
            <v>6</v>
          </cell>
          <cell r="J1447" t="str">
            <v>PremiumSSS</v>
          </cell>
          <cell r="K1447" t="str">
            <v>balance</v>
          </cell>
          <cell r="L1447" t="str">
            <v>バランスタイプ</v>
          </cell>
          <cell r="M1447" t="str">
            <v>god</v>
          </cell>
          <cell r="N1447" t="str">
            <v>ゴッド</v>
          </cell>
          <cell r="O1447" t="str">
            <v>animal</v>
          </cell>
          <cell r="P1447" t="str">
            <v>アニマル</v>
          </cell>
          <cell r="Q1447" t="str">
            <v>アタッカー</v>
          </cell>
          <cell r="R1447">
            <v>3</v>
          </cell>
          <cell r="S1447" t="str">
            <v>NULL</v>
          </cell>
          <cell r="T1447" t="str">
            <v>normal</v>
          </cell>
          <cell r="U1447" t="str">
            <v>NULL</v>
          </cell>
          <cell r="V1447" t="str">
            <v>NULL</v>
          </cell>
          <cell r="W1447" t="str">
            <v>NULL</v>
          </cell>
        </row>
        <row r="1448">
          <cell r="A1448">
            <v>1456</v>
          </cell>
          <cell r="B1448" t="str">
            <v>ja</v>
          </cell>
          <cell r="C1448" t="str">
            <v>ネセバル</v>
          </cell>
          <cell r="H1448" t="str">
            <v>blue</v>
          </cell>
          <cell r="I1448">
            <v>5</v>
          </cell>
          <cell r="J1448" t="str">
            <v>PremiumSSw</v>
          </cell>
          <cell r="K1448" t="str">
            <v>attack</v>
          </cell>
          <cell r="L1448" t="str">
            <v>攻撃タイプ</v>
          </cell>
          <cell r="M1448" t="str">
            <v>hero</v>
          </cell>
          <cell r="N1448" t="str">
            <v>ヒーロー</v>
          </cell>
          <cell r="O1448" t="str">
            <v>unknown</v>
          </cell>
          <cell r="P1448" t="str">
            <v>Unknown</v>
          </cell>
          <cell r="R1448">
            <v>3</v>
          </cell>
          <cell r="S1448" t="str">
            <v>NULL</v>
          </cell>
          <cell r="T1448" t="str">
            <v>normal</v>
          </cell>
          <cell r="U1448" t="str">
            <v>NULL</v>
          </cell>
          <cell r="V1448" t="str">
            <v>NULL</v>
          </cell>
          <cell r="W1448" t="str">
            <v>NULL</v>
          </cell>
        </row>
        <row r="1449">
          <cell r="A1449">
            <v>1457</v>
          </cell>
          <cell r="B1449" t="str">
            <v>ja</v>
          </cell>
          <cell r="C1449" t="str">
            <v>碧影の聖跡 ネセバル</v>
          </cell>
          <cell r="H1449" t="str">
            <v>blue</v>
          </cell>
          <cell r="I1449">
            <v>6</v>
          </cell>
          <cell r="J1449" t="str">
            <v>PremiumSSw</v>
          </cell>
          <cell r="K1449" t="str">
            <v>attack</v>
          </cell>
          <cell r="L1449" t="str">
            <v>攻撃タイプ</v>
          </cell>
          <cell r="M1449" t="str">
            <v>hero</v>
          </cell>
          <cell r="N1449" t="str">
            <v>ヒーロー</v>
          </cell>
          <cell r="O1449" t="str">
            <v>unknown</v>
          </cell>
          <cell r="P1449" t="str">
            <v>Unknown</v>
          </cell>
          <cell r="R1449">
            <v>3</v>
          </cell>
          <cell r="S1449" t="str">
            <v>NULL</v>
          </cell>
          <cell r="T1449" t="str">
            <v>normal</v>
          </cell>
          <cell r="U1449" t="str">
            <v>NULL</v>
          </cell>
          <cell r="V1449" t="str">
            <v>NULL</v>
          </cell>
          <cell r="W1449" t="str">
            <v>NULL</v>
          </cell>
        </row>
        <row r="1450">
          <cell r="A1450">
            <v>1458</v>
          </cell>
          <cell r="B1450" t="str">
            <v>ja</v>
          </cell>
          <cell r="C1450" t="str">
            <v>ロイ・マスタング</v>
          </cell>
          <cell r="H1450" t="str">
            <v>red</v>
          </cell>
          <cell r="I1450">
            <v>5</v>
          </cell>
          <cell r="J1450" t="str">
            <v>PremiumSS</v>
          </cell>
          <cell r="K1450" t="str">
            <v>attack</v>
          </cell>
          <cell r="L1450" t="str">
            <v>攻撃タイプ</v>
          </cell>
          <cell r="M1450" t="str">
            <v>human</v>
          </cell>
          <cell r="N1450" t="str">
            <v>ヒューマン</v>
          </cell>
          <cell r="O1450" t="str">
            <v>hero</v>
          </cell>
          <cell r="P1450" t="str">
            <v>ヒーロー</v>
          </cell>
          <cell r="R1450">
            <v>3</v>
          </cell>
          <cell r="S1450" t="str">
            <v>NULL</v>
          </cell>
          <cell r="T1450" t="str">
            <v>normal</v>
          </cell>
          <cell r="U1450" t="str">
            <v>NULL</v>
          </cell>
          <cell r="V1450" t="str">
            <v>NULL</v>
          </cell>
          <cell r="W1450" t="str">
            <v>NULL</v>
          </cell>
        </row>
        <row r="1451">
          <cell r="A1451">
            <v>1459</v>
          </cell>
          <cell r="B1451" t="str">
            <v>ja</v>
          </cell>
          <cell r="C1451" t="str">
            <v>焔の錬金術師 ロイ・マスタング</v>
          </cell>
          <cell r="H1451" t="str">
            <v>red</v>
          </cell>
          <cell r="I1451">
            <v>6</v>
          </cell>
          <cell r="J1451" t="str">
            <v>PremiumSS</v>
          </cell>
          <cell r="K1451" t="str">
            <v>attack</v>
          </cell>
          <cell r="L1451" t="str">
            <v>攻撃タイプ</v>
          </cell>
          <cell r="M1451" t="str">
            <v>human</v>
          </cell>
          <cell r="N1451" t="str">
            <v>ヒューマン</v>
          </cell>
          <cell r="O1451" t="str">
            <v>hero</v>
          </cell>
          <cell r="P1451" t="str">
            <v>ヒーロー</v>
          </cell>
          <cell r="R1451">
            <v>3</v>
          </cell>
          <cell r="S1451" t="str">
            <v>NULL</v>
          </cell>
          <cell r="T1451" t="str">
            <v>normal</v>
          </cell>
          <cell r="U1451" t="str">
            <v>NULL</v>
          </cell>
          <cell r="V1451" t="str">
            <v>NULL</v>
          </cell>
          <cell r="W1451" t="str">
            <v>NULL</v>
          </cell>
        </row>
        <row r="1452">
          <cell r="A1452">
            <v>1460</v>
          </cell>
          <cell r="B1452" t="str">
            <v>ja</v>
          </cell>
          <cell r="C1452" t="str">
            <v>リザ・ホークアイ</v>
          </cell>
          <cell r="H1452" t="str">
            <v>blue</v>
          </cell>
          <cell r="I1452">
            <v>4</v>
          </cell>
          <cell r="J1452" t="str">
            <v>PremiumS</v>
          </cell>
          <cell r="K1452" t="str">
            <v>balance</v>
          </cell>
          <cell r="L1452" t="str">
            <v>バランスタイプ</v>
          </cell>
          <cell r="M1452" t="str">
            <v>human</v>
          </cell>
          <cell r="N1452" t="str">
            <v>ヒューマン</v>
          </cell>
          <cell r="O1452" t="str">
            <v>none</v>
          </cell>
          <cell r="P1452" t="str">
            <v>種族なし</v>
          </cell>
          <cell r="R1452">
            <v>3</v>
          </cell>
          <cell r="S1452" t="str">
            <v>NULL</v>
          </cell>
          <cell r="T1452" t="str">
            <v>normal</v>
          </cell>
          <cell r="U1452" t="str">
            <v>NULL</v>
          </cell>
          <cell r="V1452" t="str">
            <v>NULL</v>
          </cell>
          <cell r="W1452" t="str">
            <v>NULL</v>
          </cell>
        </row>
        <row r="1453">
          <cell r="A1453">
            <v>1461</v>
          </cell>
          <cell r="B1453" t="str">
            <v>ja</v>
          </cell>
          <cell r="C1453" t="str">
            <v>鷹眼の国軍中尉 リザ・ホークアイ</v>
          </cell>
          <cell r="H1453" t="str">
            <v>blue</v>
          </cell>
          <cell r="I1453">
            <v>5</v>
          </cell>
          <cell r="J1453" t="str">
            <v>PremiumS</v>
          </cell>
          <cell r="K1453" t="str">
            <v>balance</v>
          </cell>
          <cell r="L1453" t="str">
            <v>バランスタイプ</v>
          </cell>
          <cell r="M1453" t="str">
            <v>human</v>
          </cell>
          <cell r="N1453" t="str">
            <v>ヒューマン</v>
          </cell>
          <cell r="O1453" t="str">
            <v>none</v>
          </cell>
          <cell r="P1453" t="str">
            <v>種族なし</v>
          </cell>
          <cell r="R1453">
            <v>3</v>
          </cell>
          <cell r="S1453" t="str">
            <v>NULL</v>
          </cell>
          <cell r="T1453" t="str">
            <v>normal</v>
          </cell>
          <cell r="U1453" t="str">
            <v>NULL</v>
          </cell>
          <cell r="V1453" t="str">
            <v>NULL</v>
          </cell>
          <cell r="W1453" t="str">
            <v>NULL</v>
          </cell>
        </row>
        <row r="1454">
          <cell r="A1454">
            <v>1462</v>
          </cell>
          <cell r="B1454" t="str">
            <v>ja</v>
          </cell>
          <cell r="C1454" t="str">
            <v>エドワード・エルリック</v>
          </cell>
          <cell r="H1454" t="str">
            <v>yellow</v>
          </cell>
          <cell r="I1454">
            <v>5</v>
          </cell>
          <cell r="J1454" t="str">
            <v>PremiumSS</v>
          </cell>
          <cell r="K1454" t="str">
            <v>technical</v>
          </cell>
          <cell r="L1454" t="str">
            <v>テクニカルタイプ</v>
          </cell>
          <cell r="M1454" t="str">
            <v>human</v>
          </cell>
          <cell r="N1454" t="str">
            <v>ヒューマン</v>
          </cell>
          <cell r="O1454" t="str">
            <v>machine</v>
          </cell>
          <cell r="P1454" t="str">
            <v>マシン</v>
          </cell>
          <cell r="R1454">
            <v>3</v>
          </cell>
          <cell r="S1454" t="str">
            <v>NULL</v>
          </cell>
          <cell r="T1454" t="str">
            <v>normal</v>
          </cell>
          <cell r="U1454" t="str">
            <v>NULL</v>
          </cell>
          <cell r="V1454" t="str">
            <v>NULL</v>
          </cell>
          <cell r="W1454" t="str">
            <v>NULL</v>
          </cell>
        </row>
        <row r="1455">
          <cell r="A1455">
            <v>1463</v>
          </cell>
          <cell r="B1455" t="str">
            <v>ja</v>
          </cell>
          <cell r="C1455" t="str">
            <v>鋼の錬金術師 エドワード</v>
          </cell>
          <cell r="H1455" t="str">
            <v>yellow</v>
          </cell>
          <cell r="I1455">
            <v>6</v>
          </cell>
          <cell r="J1455" t="str">
            <v>PremiumSS</v>
          </cell>
          <cell r="K1455" t="str">
            <v>technical</v>
          </cell>
          <cell r="L1455" t="str">
            <v>テクニカルタイプ</v>
          </cell>
          <cell r="M1455" t="str">
            <v>human</v>
          </cell>
          <cell r="N1455" t="str">
            <v>ヒューマン</v>
          </cell>
          <cell r="O1455" t="str">
            <v>machine</v>
          </cell>
          <cell r="P1455" t="str">
            <v>マシン</v>
          </cell>
          <cell r="R1455">
            <v>3</v>
          </cell>
          <cell r="S1455" t="str">
            <v>NULL</v>
          </cell>
          <cell r="T1455" t="str">
            <v>normal</v>
          </cell>
          <cell r="U1455" t="str">
            <v>NULL</v>
          </cell>
          <cell r="V1455" t="str">
            <v>NULL</v>
          </cell>
          <cell r="W1455" t="str">
            <v>NULL</v>
          </cell>
        </row>
        <row r="1456">
          <cell r="A1456">
            <v>1464</v>
          </cell>
          <cell r="B1456" t="str">
            <v>ja</v>
          </cell>
          <cell r="C1456" t="str">
            <v>アルフォンス・エルリック</v>
          </cell>
          <cell r="H1456" t="str">
            <v>yellow</v>
          </cell>
          <cell r="I1456">
            <v>5</v>
          </cell>
          <cell r="J1456" t="str">
            <v>PremiumSS</v>
          </cell>
          <cell r="K1456" t="str">
            <v>hp</v>
          </cell>
          <cell r="L1456" t="str">
            <v>体力タイプ</v>
          </cell>
          <cell r="M1456" t="str">
            <v>human</v>
          </cell>
          <cell r="N1456" t="str">
            <v>ヒューマン</v>
          </cell>
          <cell r="O1456" t="str">
            <v>unknown</v>
          </cell>
          <cell r="P1456" t="str">
            <v>Unknown</v>
          </cell>
          <cell r="R1456">
            <v>3</v>
          </cell>
          <cell r="S1456" t="str">
            <v>NULL</v>
          </cell>
          <cell r="T1456" t="str">
            <v>normal</v>
          </cell>
          <cell r="U1456" t="str">
            <v>NULL</v>
          </cell>
          <cell r="V1456" t="str">
            <v>NULL</v>
          </cell>
          <cell r="W1456" t="str">
            <v>NULL</v>
          </cell>
        </row>
        <row r="1457">
          <cell r="A1457">
            <v>1465</v>
          </cell>
          <cell r="B1457" t="str">
            <v>ja</v>
          </cell>
          <cell r="C1457" t="str">
            <v>鋼腕なる闘鎧 アルフォンス</v>
          </cell>
          <cell r="H1457" t="str">
            <v>yellow</v>
          </cell>
          <cell r="I1457">
            <v>6</v>
          </cell>
          <cell r="J1457" t="str">
            <v>PremiumSS</v>
          </cell>
          <cell r="K1457" t="str">
            <v>hp</v>
          </cell>
          <cell r="L1457" t="str">
            <v>体力タイプ</v>
          </cell>
          <cell r="M1457" t="str">
            <v>human</v>
          </cell>
          <cell r="N1457" t="str">
            <v>ヒューマン</v>
          </cell>
          <cell r="O1457" t="str">
            <v>unknown</v>
          </cell>
          <cell r="P1457" t="str">
            <v>Unknown</v>
          </cell>
          <cell r="R1457">
            <v>3</v>
          </cell>
          <cell r="S1457" t="str">
            <v>NULL</v>
          </cell>
          <cell r="T1457" t="str">
            <v>normal</v>
          </cell>
          <cell r="U1457" t="str">
            <v>NULL</v>
          </cell>
          <cell r="V1457" t="str">
            <v>NULL</v>
          </cell>
          <cell r="W1457" t="str">
            <v>NULL</v>
          </cell>
        </row>
        <row r="1458">
          <cell r="A1458">
            <v>1466</v>
          </cell>
          <cell r="B1458" t="str">
            <v>ja</v>
          </cell>
          <cell r="C1458" t="str">
            <v>スカー</v>
          </cell>
          <cell r="H1458" t="str">
            <v>blue</v>
          </cell>
          <cell r="I1458">
            <v>5</v>
          </cell>
          <cell r="J1458" t="str">
            <v>DropWizS</v>
          </cell>
          <cell r="K1458" t="str">
            <v>attack</v>
          </cell>
          <cell r="L1458" t="str">
            <v>攻撃タイプ</v>
          </cell>
          <cell r="M1458" t="str">
            <v>human</v>
          </cell>
          <cell r="N1458" t="str">
            <v>ヒューマン</v>
          </cell>
          <cell r="O1458" t="str">
            <v>none</v>
          </cell>
          <cell r="P1458" t="str">
            <v>種族なし</v>
          </cell>
          <cell r="R1458">
            <v>3</v>
          </cell>
          <cell r="S1458" t="str">
            <v>NULL</v>
          </cell>
          <cell r="T1458" t="str">
            <v>normal</v>
          </cell>
          <cell r="U1458" t="str">
            <v>NULL</v>
          </cell>
          <cell r="V1458" t="str">
            <v>NULL</v>
          </cell>
          <cell r="W1458" t="str">
            <v>NULL</v>
          </cell>
        </row>
        <row r="1459">
          <cell r="A1459">
            <v>1467</v>
          </cell>
          <cell r="B1459" t="str">
            <v>ja</v>
          </cell>
          <cell r="C1459" t="str">
            <v>十字傷の男 スカー</v>
          </cell>
          <cell r="H1459" t="str">
            <v>blue</v>
          </cell>
          <cell r="I1459">
            <v>6</v>
          </cell>
          <cell r="J1459" t="str">
            <v>DropWizS</v>
          </cell>
          <cell r="K1459" t="str">
            <v>attack</v>
          </cell>
          <cell r="L1459" t="str">
            <v>攻撃タイプ</v>
          </cell>
          <cell r="M1459" t="str">
            <v>human</v>
          </cell>
          <cell r="N1459" t="str">
            <v>ヒューマン</v>
          </cell>
          <cell r="O1459" t="str">
            <v>none</v>
          </cell>
          <cell r="P1459" t="str">
            <v>種族なし</v>
          </cell>
          <cell r="R1459">
            <v>3</v>
          </cell>
          <cell r="S1459" t="str">
            <v>NULL</v>
          </cell>
          <cell r="T1459" t="str">
            <v>normal</v>
          </cell>
          <cell r="U1459" t="str">
            <v>NULL</v>
          </cell>
          <cell r="V1459" t="str">
            <v>NULL</v>
          </cell>
          <cell r="W1459" t="str">
            <v>NULL</v>
          </cell>
        </row>
        <row r="1460">
          <cell r="A1460">
            <v>1468</v>
          </cell>
          <cell r="B1460" t="str">
            <v>ja</v>
          </cell>
          <cell r="C1460" t="str">
            <v>嫉妬の猛心 エンヴィー</v>
          </cell>
          <cell r="H1460" t="str">
            <v>green</v>
          </cell>
          <cell r="I1460">
            <v>5</v>
          </cell>
          <cell r="J1460" t="str">
            <v>Drop2N</v>
          </cell>
          <cell r="K1460" t="str">
            <v>attack</v>
          </cell>
          <cell r="L1460" t="str">
            <v>攻撃タイプ</v>
          </cell>
          <cell r="M1460" t="str">
            <v>unknown</v>
          </cell>
          <cell r="N1460" t="str">
            <v>Unknown</v>
          </cell>
          <cell r="O1460" t="str">
            <v>none</v>
          </cell>
          <cell r="P1460" t="str">
            <v>種族なし</v>
          </cell>
          <cell r="R1460">
            <v>3</v>
          </cell>
          <cell r="S1460" t="str">
            <v>NULL</v>
          </cell>
          <cell r="T1460" t="str">
            <v>normal</v>
          </cell>
          <cell r="U1460" t="str">
            <v>NULL</v>
          </cell>
          <cell r="V1460" t="str">
            <v>NULL</v>
          </cell>
          <cell r="W1460" t="str">
            <v>NULL</v>
          </cell>
        </row>
        <row r="1461">
          <cell r="A1461">
            <v>1469</v>
          </cell>
          <cell r="B1461" t="str">
            <v>ja</v>
          </cell>
          <cell r="C1461" t="str">
            <v>憤怒の大総統 ブラッドレイ</v>
          </cell>
          <cell r="H1461" t="str">
            <v>yellow</v>
          </cell>
          <cell r="I1461">
            <v>5</v>
          </cell>
          <cell r="J1461" t="str">
            <v>Drop2N</v>
          </cell>
          <cell r="K1461" t="str">
            <v>technical</v>
          </cell>
          <cell r="L1461" t="str">
            <v>テクニカルタイプ</v>
          </cell>
          <cell r="M1461" t="str">
            <v>unknown</v>
          </cell>
          <cell r="N1461" t="str">
            <v>Unknown</v>
          </cell>
          <cell r="O1461" t="str">
            <v>hero</v>
          </cell>
          <cell r="P1461" t="str">
            <v>ヒーロー</v>
          </cell>
          <cell r="R1461">
            <v>3</v>
          </cell>
          <cell r="S1461" t="str">
            <v>NULL</v>
          </cell>
          <cell r="T1461" t="str">
            <v>normal</v>
          </cell>
          <cell r="U1461" t="str">
            <v>NULL</v>
          </cell>
          <cell r="V1461" t="str">
            <v>NULL</v>
          </cell>
          <cell r="W1461" t="str">
            <v>NULL</v>
          </cell>
        </row>
        <row r="1462">
          <cell r="A1462">
            <v>1470</v>
          </cell>
          <cell r="B1462" t="str">
            <v>ja</v>
          </cell>
          <cell r="C1462" t="str">
            <v>傲慢なる悪鬼 プライド</v>
          </cell>
          <cell r="H1462" t="str">
            <v>red</v>
          </cell>
          <cell r="I1462">
            <v>5</v>
          </cell>
          <cell r="J1462" t="str">
            <v>Drop2N</v>
          </cell>
          <cell r="K1462" t="str">
            <v>balance</v>
          </cell>
          <cell r="L1462" t="str">
            <v>バランスタイプ</v>
          </cell>
          <cell r="M1462" t="str">
            <v>unknown</v>
          </cell>
          <cell r="N1462" t="str">
            <v>Unknown</v>
          </cell>
          <cell r="O1462" t="str">
            <v>human</v>
          </cell>
          <cell r="P1462" t="str">
            <v>ヒューマン</v>
          </cell>
          <cell r="R1462">
            <v>3</v>
          </cell>
          <cell r="S1462" t="str">
            <v>NULL</v>
          </cell>
          <cell r="T1462" t="str">
            <v>normal</v>
          </cell>
          <cell r="U1462" t="str">
            <v>NULL</v>
          </cell>
          <cell r="V1462" t="str">
            <v>NULL</v>
          </cell>
          <cell r="W1462" t="str">
            <v>NULL</v>
          </cell>
        </row>
        <row r="1463">
          <cell r="A1463">
            <v>1471</v>
          </cell>
          <cell r="B1463" t="str">
            <v>ja</v>
          </cell>
          <cell r="C1463" t="str">
            <v>エイプリルアーサー</v>
          </cell>
          <cell r="H1463" t="str">
            <v>red</v>
          </cell>
          <cell r="I1463">
            <v>6</v>
          </cell>
          <cell r="J1463" t="str">
            <v>DropWizS</v>
          </cell>
          <cell r="K1463" t="str">
            <v>balance</v>
          </cell>
          <cell r="L1463" t="str">
            <v>バランスタイプ</v>
          </cell>
          <cell r="M1463" t="str">
            <v>unknown</v>
          </cell>
          <cell r="N1463" t="str">
            <v>Unknown</v>
          </cell>
          <cell r="O1463" t="str">
            <v>human</v>
          </cell>
          <cell r="P1463" t="str">
            <v>ヒューマン</v>
          </cell>
          <cell r="R1463">
            <v>3</v>
          </cell>
          <cell r="S1463" t="str">
            <v>NULL</v>
          </cell>
          <cell r="T1463" t="str">
            <v>normal</v>
          </cell>
          <cell r="U1463" t="str">
            <v>NULL</v>
          </cell>
          <cell r="V1463" t="str">
            <v>NULL</v>
          </cell>
          <cell r="W1463" t="str">
            <v>NULL</v>
          </cell>
        </row>
        <row r="1464">
          <cell r="A1464">
            <v>1488</v>
          </cell>
          <cell r="B1464" t="str">
            <v>ja</v>
          </cell>
          <cell r="C1464" t="str">
            <v>デカルトR5</v>
          </cell>
          <cell r="D1464" t="str">
            <v>未定</v>
          </cell>
          <cell r="E1464" t="str">
            <v>アリス</v>
          </cell>
          <cell r="F1464" t="str">
            <v>世界観</v>
          </cell>
          <cell r="G1464" t="str">
            <v>不明</v>
          </cell>
          <cell r="H1464" t="str">
            <v>red</v>
          </cell>
          <cell r="I1464">
            <v>5</v>
          </cell>
          <cell r="J1464" t="str">
            <v>PremiumSSS</v>
          </cell>
          <cell r="K1464" t="str">
            <v>hp</v>
          </cell>
          <cell r="L1464" t="str">
            <v>体力タイプ</v>
          </cell>
          <cell r="M1464" t="str">
            <v>academia</v>
          </cell>
          <cell r="N1464" t="str">
            <v>アカデミア</v>
          </cell>
          <cell r="O1464" t="str">
            <v>none</v>
          </cell>
          <cell r="P1464" t="str">
            <v>種族なし</v>
          </cell>
          <cell r="Q1464" t="str">
            <v>アタッカー</v>
          </cell>
          <cell r="R1464">
            <v>1</v>
          </cell>
          <cell r="S1464" t="str">
            <v>NULL</v>
          </cell>
          <cell r="T1464" t="str">
            <v>normal</v>
          </cell>
          <cell r="U1464" t="str">
            <v>NULL</v>
          </cell>
          <cell r="V1464" t="str">
            <v>NULL</v>
          </cell>
          <cell r="W1464" t="str">
            <v>NULL</v>
          </cell>
        </row>
        <row r="1465">
          <cell r="A1465">
            <v>1489</v>
          </cell>
          <cell r="B1465" t="str">
            <v>ja</v>
          </cell>
          <cell r="C1465" t="str">
            <v>デカルトR6</v>
          </cell>
          <cell r="D1465" t="str">
            <v>未定</v>
          </cell>
          <cell r="E1465" t="str">
            <v>アリス</v>
          </cell>
          <cell r="F1465" t="str">
            <v>世界観</v>
          </cell>
          <cell r="G1465" t="str">
            <v>不明</v>
          </cell>
          <cell r="H1465" t="str">
            <v>red</v>
          </cell>
          <cell r="I1465">
            <v>6</v>
          </cell>
          <cell r="J1465" t="str">
            <v>PremiumSSS</v>
          </cell>
          <cell r="K1465" t="str">
            <v>hp</v>
          </cell>
          <cell r="L1465" t="str">
            <v>体力タイプ</v>
          </cell>
          <cell r="M1465" t="str">
            <v>academia</v>
          </cell>
          <cell r="N1465" t="str">
            <v>アカデミア</v>
          </cell>
          <cell r="O1465" t="str">
            <v>none</v>
          </cell>
          <cell r="P1465" t="str">
            <v>種族なし</v>
          </cell>
          <cell r="Q1465" t="str">
            <v>アタッカー</v>
          </cell>
          <cell r="R1465">
            <v>1</v>
          </cell>
          <cell r="S1465" t="str">
            <v>NULL</v>
          </cell>
          <cell r="T1465" t="str">
            <v>normal</v>
          </cell>
          <cell r="U1465" t="str">
            <v>NULL</v>
          </cell>
          <cell r="V1465" t="str">
            <v>NULL</v>
          </cell>
          <cell r="W1465" t="str">
            <v>NULL</v>
          </cell>
        </row>
        <row r="1466">
          <cell r="A1466">
            <v>1490</v>
          </cell>
          <cell r="B1466" t="str">
            <v>ja</v>
          </cell>
          <cell r="C1466" t="str">
            <v>パラケルスス</v>
          </cell>
          <cell r="D1466" t="str">
            <v>未定</v>
          </cell>
          <cell r="E1466" t="str">
            <v>アリス</v>
          </cell>
          <cell r="F1466" t="str">
            <v>世界観</v>
          </cell>
          <cell r="G1466" t="str">
            <v>不明</v>
          </cell>
          <cell r="H1466" t="str">
            <v>red</v>
          </cell>
          <cell r="I1466">
            <v>5</v>
          </cell>
          <cell r="J1466" t="str">
            <v>PremiumSSS</v>
          </cell>
          <cell r="K1466" t="str">
            <v>heal</v>
          </cell>
          <cell r="L1466" t="str">
            <v>回復タイプ</v>
          </cell>
          <cell r="M1466" t="str">
            <v>academia</v>
          </cell>
          <cell r="N1466" t="str">
            <v>アカデミア</v>
          </cell>
          <cell r="O1466" t="str">
            <v>animal</v>
          </cell>
          <cell r="P1466" t="str">
            <v>アニマル</v>
          </cell>
          <cell r="Q1466" t="str">
            <v>アタッカー</v>
          </cell>
          <cell r="R1466">
            <v>3</v>
          </cell>
          <cell r="S1466" t="str">
            <v>NULL</v>
          </cell>
          <cell r="T1466" t="str">
            <v>normal</v>
          </cell>
          <cell r="U1466" t="str">
            <v>NULL</v>
          </cell>
          <cell r="V1466" t="str">
            <v>NULL</v>
          </cell>
          <cell r="W1466" t="str">
            <v>NULL</v>
          </cell>
        </row>
        <row r="1467">
          <cell r="A1467">
            <v>1491</v>
          </cell>
          <cell r="B1467" t="str">
            <v>ja</v>
          </cell>
          <cell r="C1467" t="str">
            <v>真緋の紅玉 パラケルスス</v>
          </cell>
          <cell r="D1467" t="str">
            <v>未定</v>
          </cell>
          <cell r="E1467" t="str">
            <v>アリス</v>
          </cell>
          <cell r="F1467" t="str">
            <v>世界観</v>
          </cell>
          <cell r="G1467" t="str">
            <v>不明</v>
          </cell>
          <cell r="H1467" t="str">
            <v>red</v>
          </cell>
          <cell r="I1467">
            <v>6</v>
          </cell>
          <cell r="J1467" t="str">
            <v>PremiumSSS</v>
          </cell>
          <cell r="K1467" t="str">
            <v>heal</v>
          </cell>
          <cell r="L1467" t="str">
            <v>回復タイプ</v>
          </cell>
          <cell r="M1467" t="str">
            <v>academia</v>
          </cell>
          <cell r="N1467" t="str">
            <v>アカデミア</v>
          </cell>
          <cell r="O1467" t="str">
            <v>animal</v>
          </cell>
          <cell r="P1467" t="str">
            <v>アニマル</v>
          </cell>
          <cell r="Q1467" t="str">
            <v>アタッカー</v>
          </cell>
          <cell r="R1467">
            <v>3</v>
          </cell>
          <cell r="S1467" t="str">
            <v>NULL</v>
          </cell>
          <cell r="T1467" t="str">
            <v>normal</v>
          </cell>
          <cell r="U1467" t="str">
            <v>NULL</v>
          </cell>
          <cell r="V1467" t="str">
            <v>NULL</v>
          </cell>
          <cell r="W1467" t="str">
            <v>NULL</v>
          </cell>
        </row>
        <row r="1468">
          <cell r="A1468">
            <v>1495</v>
          </cell>
          <cell r="B1468" t="str">
            <v>ja</v>
          </cell>
          <cell r="C1468" t="str">
            <v>桜乱の武奏術 牛若丸</v>
          </cell>
          <cell r="D1468" t="str">
            <v>未定</v>
          </cell>
          <cell r="E1468" t="str">
            <v>アリス</v>
          </cell>
          <cell r="F1468" t="str">
            <v>世界観</v>
          </cell>
          <cell r="G1468" t="str">
            <v>不明</v>
          </cell>
          <cell r="H1468" t="str">
            <v>yellow</v>
          </cell>
          <cell r="I1468">
            <v>6</v>
          </cell>
          <cell r="J1468" t="str">
            <v>PremiumSS</v>
          </cell>
          <cell r="K1468" t="str">
            <v>balance</v>
          </cell>
          <cell r="L1468" t="str">
            <v>バランスタイプ</v>
          </cell>
          <cell r="M1468" t="str">
            <v>samurai</v>
          </cell>
          <cell r="N1468" t="str">
            <v>サムライ</v>
          </cell>
          <cell r="O1468" t="str">
            <v>hero</v>
          </cell>
          <cell r="P1468" t="str">
            <v>ヒーロー</v>
          </cell>
          <cell r="Q1468" t="str">
            <v>アタッカー</v>
          </cell>
          <cell r="R1468">
            <v>3</v>
          </cell>
          <cell r="S1468" t="str">
            <v>NULL</v>
          </cell>
          <cell r="T1468" t="str">
            <v>normal</v>
          </cell>
          <cell r="U1468" t="str">
            <v>NULL</v>
          </cell>
          <cell r="V1468" t="str">
            <v>NULL</v>
          </cell>
          <cell r="W1468" t="str">
            <v>NULL</v>
          </cell>
        </row>
        <row r="1469">
          <cell r="A1469">
            <v>1496</v>
          </cell>
          <cell r="B1469" t="str">
            <v>ja</v>
          </cell>
          <cell r="C1469" t="str">
            <v>晴眼桜花一文字 沖田総司</v>
          </cell>
          <cell r="D1469" t="str">
            <v>未定</v>
          </cell>
          <cell r="E1469" t="str">
            <v>アリス</v>
          </cell>
          <cell r="F1469" t="str">
            <v>世界観</v>
          </cell>
          <cell r="G1469" t="str">
            <v>不明</v>
          </cell>
          <cell r="H1469" t="str">
            <v>green</v>
          </cell>
          <cell r="I1469">
            <v>6</v>
          </cell>
          <cell r="J1469" t="str">
            <v>PremiumSS</v>
          </cell>
          <cell r="K1469" t="str">
            <v>hp</v>
          </cell>
          <cell r="L1469" t="str">
            <v>体力タイプ</v>
          </cell>
          <cell r="M1469" t="str">
            <v>samurai</v>
          </cell>
          <cell r="N1469" t="str">
            <v>サムライ</v>
          </cell>
          <cell r="O1469" t="str">
            <v>hero</v>
          </cell>
          <cell r="P1469" t="str">
            <v>ヒーロー</v>
          </cell>
          <cell r="Q1469" t="str">
            <v>アタッカー</v>
          </cell>
          <cell r="R1469">
            <v>3</v>
          </cell>
          <cell r="S1469" t="str">
            <v>NULL</v>
          </cell>
          <cell r="T1469" t="str">
            <v>normal</v>
          </cell>
          <cell r="U1469" t="str">
            <v>NULL</v>
          </cell>
          <cell r="V1469" t="str">
            <v>NULL</v>
          </cell>
          <cell r="W1469" t="str">
            <v>NULL</v>
          </cell>
        </row>
        <row r="1470">
          <cell r="A1470">
            <v>1497</v>
          </cell>
          <cell r="B1470" t="str">
            <v>ja</v>
          </cell>
          <cell r="C1470" t="str">
            <v>ヨシノ</v>
          </cell>
          <cell r="H1470" t="str">
            <v>blue</v>
          </cell>
          <cell r="I1470">
            <v>5</v>
          </cell>
          <cell r="J1470" t="str">
            <v>DropWizS</v>
          </cell>
          <cell r="K1470" t="str">
            <v>heal</v>
          </cell>
          <cell r="L1470" t="str">
            <v>回復タイプ</v>
          </cell>
          <cell r="M1470" t="str">
            <v>fantasy</v>
          </cell>
          <cell r="N1470" t="str">
            <v>ファンタジー</v>
          </cell>
          <cell r="O1470" t="str">
            <v>none</v>
          </cell>
          <cell r="P1470" t="str">
            <v>種族なし</v>
          </cell>
          <cell r="R1470">
            <v>3</v>
          </cell>
          <cell r="S1470" t="str">
            <v>NULL</v>
          </cell>
          <cell r="T1470" t="str">
            <v>normal</v>
          </cell>
          <cell r="U1470" t="str">
            <v>NULL</v>
          </cell>
          <cell r="V1470" t="str">
            <v>NULL</v>
          </cell>
          <cell r="W1470" t="str">
            <v>NULL</v>
          </cell>
        </row>
        <row r="1471">
          <cell r="A1471">
            <v>1498</v>
          </cell>
          <cell r="B1471" t="str">
            <v>ja</v>
          </cell>
          <cell r="C1471" t="str">
            <v>咲誇る夢見草 ヨシノ</v>
          </cell>
          <cell r="H1471" t="str">
            <v>blue</v>
          </cell>
          <cell r="I1471">
            <v>6</v>
          </cell>
          <cell r="J1471" t="str">
            <v>DropWizS</v>
          </cell>
          <cell r="K1471" t="str">
            <v>heal</v>
          </cell>
          <cell r="L1471" t="str">
            <v>回復タイプ</v>
          </cell>
          <cell r="M1471" t="str">
            <v>fantasy</v>
          </cell>
          <cell r="N1471" t="str">
            <v>ファンタジー</v>
          </cell>
          <cell r="O1471" t="str">
            <v>none</v>
          </cell>
          <cell r="P1471" t="str">
            <v>種族なし</v>
          </cell>
          <cell r="R1471">
            <v>3</v>
          </cell>
          <cell r="S1471" t="str">
            <v>NULL</v>
          </cell>
          <cell r="T1471" t="str">
            <v>normal</v>
          </cell>
          <cell r="U1471" t="str">
            <v>NULL</v>
          </cell>
          <cell r="V1471" t="str">
            <v>NULL</v>
          </cell>
          <cell r="W1471" t="str">
            <v>NULL</v>
          </cell>
        </row>
        <row r="1472">
          <cell r="A1472">
            <v>1499</v>
          </cell>
          <cell r="B1472" t="str">
            <v>ja</v>
          </cell>
          <cell r="C1472" t="str">
            <v>コノハナサクヤ</v>
          </cell>
          <cell r="D1472" t="str">
            <v>未定</v>
          </cell>
          <cell r="E1472" t="str">
            <v>アリス</v>
          </cell>
          <cell r="F1472" t="str">
            <v>世界観</v>
          </cell>
          <cell r="G1472" t="str">
            <v>不明</v>
          </cell>
          <cell r="H1472" t="str">
            <v>yellow</v>
          </cell>
          <cell r="I1472">
            <v>5</v>
          </cell>
          <cell r="J1472" t="str">
            <v>PremiumSS</v>
          </cell>
          <cell r="K1472" t="str">
            <v>technical</v>
          </cell>
          <cell r="L1472" t="str">
            <v>テクニカルタイプ</v>
          </cell>
          <cell r="M1472" t="str">
            <v>god</v>
          </cell>
          <cell r="N1472" t="str">
            <v>ゴッド</v>
          </cell>
          <cell r="O1472" t="str">
            <v>samurai</v>
          </cell>
          <cell r="P1472" t="str">
            <v>サムライ</v>
          </cell>
          <cell r="Q1472" t="str">
            <v>アタッカー</v>
          </cell>
          <cell r="R1472">
            <v>3</v>
          </cell>
          <cell r="S1472" t="str">
            <v>NULL</v>
          </cell>
          <cell r="T1472" t="str">
            <v>normal</v>
          </cell>
          <cell r="U1472" t="str">
            <v>NULL</v>
          </cell>
          <cell r="V1472" t="str">
            <v>NULL</v>
          </cell>
          <cell r="W1472" t="str">
            <v>NULL</v>
          </cell>
        </row>
        <row r="1473">
          <cell r="A1473">
            <v>1500</v>
          </cell>
          <cell r="B1473" t="str">
            <v>ja</v>
          </cell>
          <cell r="C1473" t="str">
            <v>櫻歌する開華 コノハナサクヤ</v>
          </cell>
          <cell r="D1473" t="str">
            <v>未定</v>
          </cell>
          <cell r="E1473" t="str">
            <v>アリス</v>
          </cell>
          <cell r="F1473" t="str">
            <v>世界観</v>
          </cell>
          <cell r="G1473" t="str">
            <v>不明</v>
          </cell>
          <cell r="H1473" t="str">
            <v>yellow</v>
          </cell>
          <cell r="I1473">
            <v>6</v>
          </cell>
          <cell r="J1473" t="str">
            <v>PremiumSS</v>
          </cell>
          <cell r="K1473" t="str">
            <v>technical</v>
          </cell>
          <cell r="L1473" t="str">
            <v>テクニカルタイプ</v>
          </cell>
          <cell r="M1473" t="str">
            <v>god</v>
          </cell>
          <cell r="N1473" t="str">
            <v>ゴッド</v>
          </cell>
          <cell r="O1473" t="str">
            <v>samurai</v>
          </cell>
          <cell r="P1473" t="str">
            <v>サムライ</v>
          </cell>
          <cell r="Q1473" t="str">
            <v>アタッカー</v>
          </cell>
          <cell r="R1473">
            <v>3</v>
          </cell>
          <cell r="S1473" t="str">
            <v>NULL</v>
          </cell>
          <cell r="T1473" t="str">
            <v>normal</v>
          </cell>
          <cell r="U1473" t="str">
            <v>NULL</v>
          </cell>
          <cell r="V1473" t="str">
            <v>NULL</v>
          </cell>
          <cell r="W1473" t="str">
            <v>NULL</v>
          </cell>
        </row>
        <row r="1474">
          <cell r="A1474">
            <v>1501</v>
          </cell>
          <cell r="B1474" t="str">
            <v>ja</v>
          </cell>
          <cell r="C1474" t="str">
            <v>晴舞台の桜舞 ドガ</v>
          </cell>
          <cell r="H1474" t="str">
            <v>blue</v>
          </cell>
          <cell r="I1474">
            <v>6</v>
          </cell>
          <cell r="J1474" t="str">
            <v>PremiumSS</v>
          </cell>
          <cell r="K1474" t="str">
            <v>balance</v>
          </cell>
          <cell r="L1474" t="str">
            <v>バランスタイプ</v>
          </cell>
          <cell r="M1474" t="str">
            <v>animal</v>
          </cell>
          <cell r="N1474" t="str">
            <v>アニマル</v>
          </cell>
          <cell r="O1474" t="str">
            <v>none</v>
          </cell>
          <cell r="P1474" t="str">
            <v>種族なし</v>
          </cell>
          <cell r="R1474">
            <v>3</v>
          </cell>
          <cell r="S1474" t="str">
            <v>NULL</v>
          </cell>
          <cell r="T1474" t="str">
            <v>normal</v>
          </cell>
          <cell r="U1474" t="str">
            <v>NULL</v>
          </cell>
          <cell r="V1474" t="str">
            <v>NULL</v>
          </cell>
          <cell r="W1474" t="str">
            <v>NULL</v>
          </cell>
        </row>
        <row r="1475">
          <cell r="A1475">
            <v>1502</v>
          </cell>
          <cell r="B1475" t="str">
            <v>ja</v>
          </cell>
          <cell r="C1475" t="str">
            <v>打咲かす桜花灯 トリスタン</v>
          </cell>
          <cell r="H1475" t="str">
            <v>red</v>
          </cell>
          <cell r="I1475">
            <v>5</v>
          </cell>
          <cell r="J1475" t="str">
            <v>PremiumS</v>
          </cell>
          <cell r="K1475" t="str">
            <v>attack</v>
          </cell>
          <cell r="L1475" t="str">
            <v>攻撃タイプ</v>
          </cell>
          <cell r="M1475" t="str">
            <v>human</v>
          </cell>
          <cell r="N1475" t="str">
            <v>ヒューマン</v>
          </cell>
          <cell r="O1475" t="str">
            <v>hero</v>
          </cell>
          <cell r="P1475" t="str">
            <v>ヒーロー</v>
          </cell>
          <cell r="R1475">
            <v>3</v>
          </cell>
          <cell r="S1475" t="str">
            <v>NULL</v>
          </cell>
          <cell r="T1475" t="str">
            <v>normal</v>
          </cell>
          <cell r="U1475" t="str">
            <v>NULL</v>
          </cell>
          <cell r="V1475" t="str">
            <v>NULL</v>
          </cell>
          <cell r="W1475" t="str">
            <v>NULL</v>
          </cell>
        </row>
        <row r="1476">
          <cell r="A1476">
            <v>1503</v>
          </cell>
          <cell r="B1476" t="str">
            <v>ja</v>
          </cell>
          <cell r="C1476" t="str">
            <v>春纏う蛇撫子 ヨルムンガンド</v>
          </cell>
          <cell r="H1476" t="str">
            <v>yellow</v>
          </cell>
          <cell r="I1476">
            <v>5</v>
          </cell>
          <cell r="J1476" t="str">
            <v>PremiumS</v>
          </cell>
          <cell r="K1476" t="str">
            <v>technical</v>
          </cell>
          <cell r="L1476" t="str">
            <v>テクニカルタイプ</v>
          </cell>
          <cell r="M1476" t="str">
            <v>dragon</v>
          </cell>
          <cell r="N1476" t="str">
            <v>ドラゴン</v>
          </cell>
          <cell r="O1476" t="str">
            <v>fantasy</v>
          </cell>
          <cell r="P1476" t="str">
            <v>ファンタジー</v>
          </cell>
          <cell r="R1476">
            <v>3</v>
          </cell>
          <cell r="S1476" t="str">
            <v>NULL</v>
          </cell>
          <cell r="T1476" t="str">
            <v>normal</v>
          </cell>
          <cell r="U1476" t="str">
            <v>NULL</v>
          </cell>
          <cell r="V1476" t="str">
            <v>NULL</v>
          </cell>
          <cell r="W1476" t="str">
            <v>NULL</v>
          </cell>
        </row>
        <row r="1477">
          <cell r="A1477">
            <v>1504</v>
          </cell>
          <cell r="B1477" t="str">
            <v>ja</v>
          </cell>
          <cell r="C1477" t="str">
            <v>ネコ</v>
          </cell>
          <cell r="H1477" t="str">
            <v>red</v>
          </cell>
          <cell r="I1477">
            <v>1</v>
          </cell>
          <cell r="J1477" t="str">
            <v>Drop1T</v>
          </cell>
          <cell r="K1477" t="str">
            <v>balance</v>
          </cell>
          <cell r="L1477" t="str">
            <v>バランスタイプ</v>
          </cell>
          <cell r="M1477" t="str">
            <v>unknown</v>
          </cell>
          <cell r="N1477" t="str">
            <v>Unknown</v>
          </cell>
          <cell r="O1477" t="str">
            <v>animal</v>
          </cell>
          <cell r="P1477" t="str">
            <v>アニマル</v>
          </cell>
          <cell r="R1477">
            <v>3</v>
          </cell>
          <cell r="S1477" t="str">
            <v>NULL</v>
          </cell>
          <cell r="T1477" t="str">
            <v>normal</v>
          </cell>
          <cell r="U1477" t="str">
            <v>NULL</v>
          </cell>
          <cell r="V1477" t="str">
            <v>NULL</v>
          </cell>
          <cell r="W1477" t="str">
            <v>NULL</v>
          </cell>
        </row>
        <row r="1478">
          <cell r="A1478">
            <v>1505</v>
          </cell>
          <cell r="B1478" t="str">
            <v>ja</v>
          </cell>
          <cell r="C1478" t="str">
            <v>タンクネコ</v>
          </cell>
          <cell r="H1478" t="str">
            <v>green</v>
          </cell>
          <cell r="I1478">
            <v>1</v>
          </cell>
          <cell r="J1478" t="str">
            <v>Drop1T</v>
          </cell>
          <cell r="K1478" t="str">
            <v>hp</v>
          </cell>
          <cell r="L1478" t="str">
            <v>体力タイプ</v>
          </cell>
          <cell r="M1478" t="str">
            <v>unknown</v>
          </cell>
          <cell r="N1478" t="str">
            <v>Unknown</v>
          </cell>
          <cell r="O1478" t="str">
            <v>animal</v>
          </cell>
          <cell r="P1478" t="str">
            <v>アニマル</v>
          </cell>
          <cell r="R1478">
            <v>3</v>
          </cell>
          <cell r="S1478" t="str">
            <v>NULL</v>
          </cell>
          <cell r="T1478" t="str">
            <v>normal</v>
          </cell>
          <cell r="U1478" t="str">
            <v>NULL</v>
          </cell>
          <cell r="V1478" t="str">
            <v>NULL</v>
          </cell>
          <cell r="W1478" t="str">
            <v>NULL</v>
          </cell>
        </row>
        <row r="1479">
          <cell r="A1479">
            <v>1506</v>
          </cell>
          <cell r="B1479" t="str">
            <v>ja</v>
          </cell>
          <cell r="C1479" t="str">
            <v>バトルネコ</v>
          </cell>
          <cell r="H1479" t="str">
            <v>yellow</v>
          </cell>
          <cell r="I1479">
            <v>2</v>
          </cell>
          <cell r="J1479" t="str">
            <v>Drop1S</v>
          </cell>
          <cell r="K1479" t="str">
            <v>attack</v>
          </cell>
          <cell r="L1479" t="str">
            <v>攻撃タイプ</v>
          </cell>
          <cell r="M1479" t="str">
            <v>unknown</v>
          </cell>
          <cell r="N1479" t="str">
            <v>Unknown</v>
          </cell>
          <cell r="O1479" t="str">
            <v>animal</v>
          </cell>
          <cell r="P1479" t="str">
            <v>アニマル</v>
          </cell>
          <cell r="R1479">
            <v>3</v>
          </cell>
          <cell r="S1479" t="str">
            <v>NULL</v>
          </cell>
          <cell r="T1479" t="str">
            <v>normal</v>
          </cell>
          <cell r="U1479" t="str">
            <v>NULL</v>
          </cell>
          <cell r="V1479" t="str">
            <v>NULL</v>
          </cell>
          <cell r="W1479" t="str">
            <v>NULL</v>
          </cell>
        </row>
        <row r="1480">
          <cell r="A1480">
            <v>1507</v>
          </cell>
          <cell r="B1480" t="str">
            <v>ja</v>
          </cell>
          <cell r="C1480" t="str">
            <v>キモネコ</v>
          </cell>
          <cell r="H1480" t="str">
            <v>blue</v>
          </cell>
          <cell r="I1480">
            <v>3</v>
          </cell>
          <cell r="J1480" t="str">
            <v>Drop2N</v>
          </cell>
          <cell r="K1480" t="str">
            <v>technical</v>
          </cell>
          <cell r="L1480" t="str">
            <v>テクニカルタイプ</v>
          </cell>
          <cell r="M1480" t="str">
            <v>unknown</v>
          </cell>
          <cell r="N1480" t="str">
            <v>Unknown</v>
          </cell>
          <cell r="O1480" t="str">
            <v>animal</v>
          </cell>
          <cell r="P1480" t="str">
            <v>アニマル</v>
          </cell>
          <cell r="R1480">
            <v>3</v>
          </cell>
          <cell r="S1480" t="str">
            <v>NULL</v>
          </cell>
          <cell r="T1480" t="str">
            <v>normal</v>
          </cell>
          <cell r="U1480" t="str">
            <v>NULL</v>
          </cell>
          <cell r="V1480" t="str">
            <v>NULL</v>
          </cell>
          <cell r="W1480" t="str">
            <v>NULL</v>
          </cell>
        </row>
        <row r="1481">
          <cell r="A1481">
            <v>1508</v>
          </cell>
          <cell r="B1481" t="str">
            <v>ja</v>
          </cell>
          <cell r="C1481" t="str">
            <v>ネコノトリ</v>
          </cell>
          <cell r="H1481" t="str">
            <v>red</v>
          </cell>
          <cell r="I1481">
            <v>4</v>
          </cell>
          <cell r="J1481" t="str">
            <v>Drop2N</v>
          </cell>
          <cell r="K1481" t="str">
            <v>balance</v>
          </cell>
          <cell r="L1481" t="str">
            <v>バランスタイプ</v>
          </cell>
          <cell r="M1481" t="str">
            <v>unknown</v>
          </cell>
          <cell r="N1481" t="str">
            <v>Unknown</v>
          </cell>
          <cell r="O1481" t="str">
            <v>animal</v>
          </cell>
          <cell r="P1481" t="str">
            <v>アニマル</v>
          </cell>
          <cell r="R1481">
            <v>3</v>
          </cell>
          <cell r="S1481" t="str">
            <v>NULL</v>
          </cell>
          <cell r="T1481" t="str">
            <v>normal</v>
          </cell>
          <cell r="U1481" t="str">
            <v>NULL</v>
          </cell>
          <cell r="V1481" t="str">
            <v>NULL</v>
          </cell>
          <cell r="W1481" t="str">
            <v>NULL</v>
          </cell>
        </row>
        <row r="1482">
          <cell r="A1482">
            <v>1509</v>
          </cell>
          <cell r="B1482" t="str">
            <v>ja</v>
          </cell>
          <cell r="C1482" t="str">
            <v>巨神ネコ</v>
          </cell>
          <cell r="H1482" t="str">
            <v>green</v>
          </cell>
          <cell r="I1482">
            <v>5</v>
          </cell>
          <cell r="J1482" t="str">
            <v>Drop2N</v>
          </cell>
          <cell r="K1482" t="str">
            <v>hp</v>
          </cell>
          <cell r="L1482" t="str">
            <v>体力タイプ</v>
          </cell>
          <cell r="M1482" t="str">
            <v>god</v>
          </cell>
          <cell r="N1482" t="str">
            <v>ゴッド</v>
          </cell>
          <cell r="O1482" t="str">
            <v>animal</v>
          </cell>
          <cell r="P1482" t="str">
            <v>アニマル</v>
          </cell>
          <cell r="R1482">
            <v>3</v>
          </cell>
          <cell r="S1482" t="str">
            <v>NULL</v>
          </cell>
          <cell r="T1482" t="str">
            <v>normal</v>
          </cell>
          <cell r="U1482" t="str">
            <v>NULL</v>
          </cell>
          <cell r="V1482" t="str">
            <v>NULL</v>
          </cell>
          <cell r="W1482" t="str">
            <v>NULL</v>
          </cell>
        </row>
        <row r="1483">
          <cell r="A1483">
            <v>1510</v>
          </cell>
          <cell r="B1483" t="str">
            <v>ja</v>
          </cell>
          <cell r="C1483" t="str">
            <v>ネコヴァルキリー</v>
          </cell>
          <cell r="H1483" t="str">
            <v>yellow</v>
          </cell>
          <cell r="I1483">
            <v>4</v>
          </cell>
          <cell r="J1483" t="str">
            <v>DropWizS</v>
          </cell>
          <cell r="K1483" t="str">
            <v>balance</v>
          </cell>
          <cell r="L1483" t="str">
            <v>バランスタイプ</v>
          </cell>
          <cell r="M1483" t="str">
            <v>god</v>
          </cell>
          <cell r="N1483" t="str">
            <v>ゴッド</v>
          </cell>
          <cell r="O1483" t="str">
            <v>animal</v>
          </cell>
          <cell r="P1483" t="str">
            <v>アニマル</v>
          </cell>
          <cell r="R1483">
            <v>3</v>
          </cell>
          <cell r="S1483" t="str">
            <v>NULL</v>
          </cell>
          <cell r="T1483" t="str">
            <v>normal</v>
          </cell>
          <cell r="U1483" t="str">
            <v>NULL</v>
          </cell>
          <cell r="V1483" t="str">
            <v>NULL</v>
          </cell>
          <cell r="W1483" t="str">
            <v>NULL</v>
          </cell>
        </row>
        <row r="1484">
          <cell r="A1484">
            <v>1511</v>
          </cell>
          <cell r="B1484" t="str">
            <v>ja</v>
          </cell>
          <cell r="C1484" t="str">
            <v>ネコヴァルキリー･真</v>
          </cell>
          <cell r="H1484" t="str">
            <v>yellow</v>
          </cell>
          <cell r="I1484">
            <v>5</v>
          </cell>
          <cell r="J1484" t="str">
            <v>DropWizS</v>
          </cell>
          <cell r="K1484" t="str">
            <v>balance</v>
          </cell>
          <cell r="L1484" t="str">
            <v>バランスタイプ</v>
          </cell>
          <cell r="M1484" t="str">
            <v>god</v>
          </cell>
          <cell r="N1484" t="str">
            <v>ゴッド</v>
          </cell>
          <cell r="O1484" t="str">
            <v>animal</v>
          </cell>
          <cell r="P1484" t="str">
            <v>アニマル</v>
          </cell>
          <cell r="R1484">
            <v>3</v>
          </cell>
          <cell r="S1484" t="str">
            <v>NULL</v>
          </cell>
          <cell r="T1484" t="str">
            <v>normal</v>
          </cell>
          <cell r="U1484" t="str">
            <v>NULL</v>
          </cell>
          <cell r="V1484" t="str">
            <v>NULL</v>
          </cell>
          <cell r="W1484" t="str">
            <v>NULL</v>
          </cell>
        </row>
        <row r="1485">
          <cell r="A1485">
            <v>1512</v>
          </cell>
          <cell r="B1485" t="str">
            <v>ja</v>
          </cell>
          <cell r="C1485" t="str">
            <v>ネコヴァルキリー･聖</v>
          </cell>
          <cell r="H1485" t="str">
            <v>yellow</v>
          </cell>
          <cell r="I1485">
            <v>6</v>
          </cell>
          <cell r="J1485" t="str">
            <v>DropWizS</v>
          </cell>
          <cell r="K1485" t="str">
            <v>balance</v>
          </cell>
          <cell r="L1485" t="str">
            <v>バランスタイプ</v>
          </cell>
          <cell r="M1485" t="str">
            <v>god</v>
          </cell>
          <cell r="N1485" t="str">
            <v>ゴッド</v>
          </cell>
          <cell r="O1485" t="str">
            <v>animal</v>
          </cell>
          <cell r="P1485" t="str">
            <v>アニマル</v>
          </cell>
          <cell r="R1485">
            <v>3</v>
          </cell>
          <cell r="S1485" t="str">
            <v>NULL</v>
          </cell>
          <cell r="T1485" t="str">
            <v>normal</v>
          </cell>
          <cell r="U1485" t="str">
            <v>NULL</v>
          </cell>
          <cell r="V1485" t="str">
            <v>NULL</v>
          </cell>
          <cell r="W1485" t="str">
            <v>NULL</v>
          </cell>
        </row>
        <row r="1486">
          <cell r="A1486">
            <v>1513</v>
          </cell>
          <cell r="B1486" t="str">
            <v>ja</v>
          </cell>
          <cell r="C1486" t="str">
            <v>金ネコ</v>
          </cell>
          <cell r="H1486" t="str">
            <v>yellow</v>
          </cell>
          <cell r="I1486">
            <v>4</v>
          </cell>
          <cell r="J1486" t="str">
            <v>Material</v>
          </cell>
          <cell r="K1486" t="str">
            <v>coin</v>
          </cell>
          <cell r="L1486" t="str">
            <v>コインタイプ</v>
          </cell>
          <cell r="M1486" t="str">
            <v>unknown</v>
          </cell>
          <cell r="N1486" t="str">
            <v>Unknown</v>
          </cell>
          <cell r="O1486" t="str">
            <v>animal</v>
          </cell>
          <cell r="P1486" t="str">
            <v>アニマル</v>
          </cell>
          <cell r="R1486">
            <v>3</v>
          </cell>
          <cell r="S1486" t="str">
            <v>NULL</v>
          </cell>
          <cell r="T1486" t="str">
            <v>normal</v>
          </cell>
          <cell r="U1486" t="str">
            <v>NULL</v>
          </cell>
          <cell r="V1486" t="str">
            <v>NULL</v>
          </cell>
          <cell r="W1486" t="str">
            <v>NULL</v>
          </cell>
        </row>
        <row r="1487">
          <cell r="A1487">
            <v>1514</v>
          </cell>
          <cell r="B1487" t="str">
            <v>ja</v>
          </cell>
          <cell r="C1487" t="str">
            <v>金ネコビルダー</v>
          </cell>
          <cell r="H1487" t="str">
            <v>yellow</v>
          </cell>
          <cell r="I1487">
            <v>5</v>
          </cell>
          <cell r="J1487" t="str">
            <v>Material</v>
          </cell>
          <cell r="K1487" t="str">
            <v>coin</v>
          </cell>
          <cell r="L1487" t="str">
            <v>コインタイプ</v>
          </cell>
          <cell r="M1487" t="str">
            <v>unknown</v>
          </cell>
          <cell r="N1487" t="str">
            <v>Unknown</v>
          </cell>
          <cell r="O1487" t="str">
            <v>animal</v>
          </cell>
          <cell r="P1487" t="str">
            <v>アニマル</v>
          </cell>
          <cell r="R1487">
            <v>3</v>
          </cell>
          <cell r="S1487" t="str">
            <v>NULL</v>
          </cell>
          <cell r="T1487" t="str">
            <v>normal</v>
          </cell>
          <cell r="U1487" t="str">
            <v>NULL</v>
          </cell>
          <cell r="V1487" t="str">
            <v>NULL</v>
          </cell>
          <cell r="W1487" t="str">
            <v>NULL</v>
          </cell>
        </row>
        <row r="1488">
          <cell r="A1488">
            <v>1515</v>
          </cell>
          <cell r="B1488" t="str">
            <v>ja</v>
          </cell>
          <cell r="C1488" t="str">
            <v>赤メタルネコ</v>
          </cell>
          <cell r="H1488" t="str">
            <v>red</v>
          </cell>
          <cell r="I1488">
            <v>4</v>
          </cell>
          <cell r="J1488" t="str">
            <v>Material</v>
          </cell>
          <cell r="K1488" t="str">
            <v>exp</v>
          </cell>
          <cell r="L1488" t="str">
            <v>強化素材タイプ</v>
          </cell>
          <cell r="M1488" t="str">
            <v>unknown</v>
          </cell>
          <cell r="N1488" t="str">
            <v>Unknown</v>
          </cell>
          <cell r="O1488" t="str">
            <v>animal</v>
          </cell>
          <cell r="P1488" t="str">
            <v>アニマル</v>
          </cell>
          <cell r="R1488">
            <v>3</v>
          </cell>
          <cell r="S1488" t="str">
            <v>NULL</v>
          </cell>
          <cell r="T1488" t="str">
            <v>normal</v>
          </cell>
          <cell r="U1488" t="str">
            <v>NULL</v>
          </cell>
          <cell r="V1488" t="str">
            <v>NULL</v>
          </cell>
          <cell r="W1488" t="str">
            <v>NULL</v>
          </cell>
        </row>
        <row r="1489">
          <cell r="A1489">
            <v>1516</v>
          </cell>
          <cell r="B1489" t="str">
            <v>ja</v>
          </cell>
          <cell r="C1489" t="str">
            <v>赤メタルネコビルダー</v>
          </cell>
          <cell r="H1489" t="str">
            <v>red</v>
          </cell>
          <cell r="I1489">
            <v>5</v>
          </cell>
          <cell r="J1489" t="str">
            <v>Material</v>
          </cell>
          <cell r="K1489" t="str">
            <v>exp</v>
          </cell>
          <cell r="L1489" t="str">
            <v>強化素材タイプ</v>
          </cell>
          <cell r="M1489" t="str">
            <v>unknown</v>
          </cell>
          <cell r="N1489" t="str">
            <v>Unknown</v>
          </cell>
          <cell r="O1489" t="str">
            <v>animal</v>
          </cell>
          <cell r="P1489" t="str">
            <v>アニマル</v>
          </cell>
          <cell r="R1489">
            <v>3</v>
          </cell>
          <cell r="S1489" t="str">
            <v>NULL</v>
          </cell>
          <cell r="T1489" t="str">
            <v>normal</v>
          </cell>
          <cell r="U1489" t="str">
            <v>NULL</v>
          </cell>
          <cell r="V1489" t="str">
            <v>NULL</v>
          </cell>
          <cell r="W1489" t="str">
            <v>NULL</v>
          </cell>
        </row>
        <row r="1490">
          <cell r="A1490">
            <v>1517</v>
          </cell>
          <cell r="B1490" t="str">
            <v>ja</v>
          </cell>
          <cell r="C1490" t="str">
            <v>青メタルネコ</v>
          </cell>
          <cell r="H1490" t="str">
            <v>blue</v>
          </cell>
          <cell r="I1490">
            <v>4</v>
          </cell>
          <cell r="J1490" t="str">
            <v>Material</v>
          </cell>
          <cell r="K1490" t="str">
            <v>exp</v>
          </cell>
          <cell r="L1490" t="str">
            <v>強化素材タイプ</v>
          </cell>
          <cell r="M1490" t="str">
            <v>unknown</v>
          </cell>
          <cell r="N1490" t="str">
            <v>Unknown</v>
          </cell>
          <cell r="O1490" t="str">
            <v>animal</v>
          </cell>
          <cell r="P1490" t="str">
            <v>アニマル</v>
          </cell>
          <cell r="R1490">
            <v>3</v>
          </cell>
          <cell r="S1490" t="str">
            <v>NULL</v>
          </cell>
          <cell r="T1490" t="str">
            <v>normal</v>
          </cell>
          <cell r="U1490" t="str">
            <v>NULL</v>
          </cell>
          <cell r="V1490" t="str">
            <v>NULL</v>
          </cell>
          <cell r="W1490" t="str">
            <v>NULL</v>
          </cell>
        </row>
        <row r="1491">
          <cell r="A1491">
            <v>1518</v>
          </cell>
          <cell r="B1491" t="str">
            <v>ja</v>
          </cell>
          <cell r="C1491" t="str">
            <v>青メタルネコビルダー</v>
          </cell>
          <cell r="H1491" t="str">
            <v>blue</v>
          </cell>
          <cell r="I1491">
            <v>5</v>
          </cell>
          <cell r="J1491" t="str">
            <v>Material</v>
          </cell>
          <cell r="K1491" t="str">
            <v>exp</v>
          </cell>
          <cell r="L1491" t="str">
            <v>強化素材タイプ</v>
          </cell>
          <cell r="M1491" t="str">
            <v>unknown</v>
          </cell>
          <cell r="N1491" t="str">
            <v>Unknown</v>
          </cell>
          <cell r="O1491" t="str">
            <v>animal</v>
          </cell>
          <cell r="P1491" t="str">
            <v>アニマル</v>
          </cell>
          <cell r="R1491">
            <v>3</v>
          </cell>
          <cell r="S1491" t="str">
            <v>NULL</v>
          </cell>
          <cell r="T1491" t="str">
            <v>normal</v>
          </cell>
          <cell r="U1491" t="str">
            <v>NULL</v>
          </cell>
          <cell r="V1491" t="str">
            <v>NULL</v>
          </cell>
          <cell r="W1491" t="str">
            <v>NULL</v>
          </cell>
        </row>
        <row r="1492">
          <cell r="A1492">
            <v>1519</v>
          </cell>
          <cell r="B1492" t="str">
            <v>ja</v>
          </cell>
          <cell r="C1492" t="str">
            <v>緑メタルネコ</v>
          </cell>
          <cell r="H1492" t="str">
            <v>green</v>
          </cell>
          <cell r="I1492">
            <v>4</v>
          </cell>
          <cell r="J1492" t="str">
            <v>Material</v>
          </cell>
          <cell r="K1492" t="str">
            <v>exp</v>
          </cell>
          <cell r="L1492" t="str">
            <v>強化素材タイプ</v>
          </cell>
          <cell r="M1492" t="str">
            <v>unknown</v>
          </cell>
          <cell r="N1492" t="str">
            <v>Unknown</v>
          </cell>
          <cell r="O1492" t="str">
            <v>animal</v>
          </cell>
          <cell r="P1492" t="str">
            <v>アニマル</v>
          </cell>
          <cell r="R1492">
            <v>3</v>
          </cell>
          <cell r="S1492" t="str">
            <v>NULL</v>
          </cell>
          <cell r="T1492" t="str">
            <v>normal</v>
          </cell>
          <cell r="U1492" t="str">
            <v>NULL</v>
          </cell>
          <cell r="V1492" t="str">
            <v>NULL</v>
          </cell>
          <cell r="W1492" t="str">
            <v>NULL</v>
          </cell>
        </row>
        <row r="1493">
          <cell r="A1493">
            <v>1520</v>
          </cell>
          <cell r="B1493" t="str">
            <v>ja</v>
          </cell>
          <cell r="C1493" t="str">
            <v>緑メタルネコビルダー</v>
          </cell>
          <cell r="H1493" t="str">
            <v>green</v>
          </cell>
          <cell r="I1493">
            <v>5</v>
          </cell>
          <cell r="J1493" t="str">
            <v>Material</v>
          </cell>
          <cell r="K1493" t="str">
            <v>exp</v>
          </cell>
          <cell r="L1493" t="str">
            <v>強化素材タイプ</v>
          </cell>
          <cell r="M1493" t="str">
            <v>unknown</v>
          </cell>
          <cell r="N1493" t="str">
            <v>Unknown</v>
          </cell>
          <cell r="O1493" t="str">
            <v>animal</v>
          </cell>
          <cell r="P1493" t="str">
            <v>アニマル</v>
          </cell>
          <cell r="R1493">
            <v>3</v>
          </cell>
          <cell r="S1493" t="str">
            <v>NULL</v>
          </cell>
          <cell r="T1493" t="str">
            <v>normal</v>
          </cell>
          <cell r="U1493" t="str">
            <v>NULL</v>
          </cell>
          <cell r="V1493" t="str">
            <v>NULL</v>
          </cell>
          <cell r="W1493" t="str">
            <v>NULL</v>
          </cell>
        </row>
        <row r="1494">
          <cell r="A1494">
            <v>1521</v>
          </cell>
          <cell r="B1494" t="str">
            <v>ja</v>
          </cell>
          <cell r="C1494" t="str">
            <v>黄メタルネコ</v>
          </cell>
          <cell r="H1494" t="str">
            <v>yellow</v>
          </cell>
          <cell r="I1494">
            <v>4</v>
          </cell>
          <cell r="J1494" t="str">
            <v>Material</v>
          </cell>
          <cell r="K1494" t="str">
            <v>exp</v>
          </cell>
          <cell r="L1494" t="str">
            <v>強化素材タイプ</v>
          </cell>
          <cell r="M1494" t="str">
            <v>unknown</v>
          </cell>
          <cell r="N1494" t="str">
            <v>Unknown</v>
          </cell>
          <cell r="O1494" t="str">
            <v>animal</v>
          </cell>
          <cell r="P1494" t="str">
            <v>アニマル</v>
          </cell>
          <cell r="R1494">
            <v>3</v>
          </cell>
          <cell r="S1494" t="str">
            <v>NULL</v>
          </cell>
          <cell r="T1494" t="str">
            <v>normal</v>
          </cell>
          <cell r="U1494" t="str">
            <v>NULL</v>
          </cell>
          <cell r="V1494" t="str">
            <v>NULL</v>
          </cell>
          <cell r="W1494" t="str">
            <v>NULL</v>
          </cell>
        </row>
        <row r="1495">
          <cell r="A1495">
            <v>1522</v>
          </cell>
          <cell r="B1495" t="str">
            <v>ja</v>
          </cell>
          <cell r="C1495" t="str">
            <v>黄メタルネコビルダー</v>
          </cell>
          <cell r="H1495" t="str">
            <v>yellow</v>
          </cell>
          <cell r="I1495">
            <v>5</v>
          </cell>
          <cell r="J1495" t="str">
            <v>Material</v>
          </cell>
          <cell r="K1495" t="str">
            <v>exp</v>
          </cell>
          <cell r="L1495" t="str">
            <v>強化素材タイプ</v>
          </cell>
          <cell r="M1495" t="str">
            <v>unknown</v>
          </cell>
          <cell r="N1495" t="str">
            <v>Unknown</v>
          </cell>
          <cell r="O1495" t="str">
            <v>animal</v>
          </cell>
          <cell r="P1495" t="str">
            <v>アニマル</v>
          </cell>
          <cell r="R1495">
            <v>3</v>
          </cell>
          <cell r="S1495" t="str">
            <v>NULL</v>
          </cell>
          <cell r="T1495" t="str">
            <v>normal</v>
          </cell>
          <cell r="U1495" t="str">
            <v>NULL</v>
          </cell>
          <cell r="V1495" t="str">
            <v>NULL</v>
          </cell>
          <cell r="W1495" t="str">
            <v>NULL</v>
          </cell>
        </row>
        <row r="1496">
          <cell r="A1496">
            <v>1523</v>
          </cell>
          <cell r="B1496" t="str">
            <v>ja</v>
          </cell>
          <cell r="C1496" t="str">
            <v>ネコムート</v>
          </cell>
          <cell r="H1496" t="str">
            <v>blue</v>
          </cell>
          <cell r="I1496">
            <v>5</v>
          </cell>
          <cell r="J1496" t="str">
            <v>DropWizS</v>
          </cell>
          <cell r="K1496" t="str">
            <v>technical</v>
          </cell>
          <cell r="L1496" t="str">
            <v>テクニカルタイプ</v>
          </cell>
          <cell r="M1496" t="str">
            <v>animal</v>
          </cell>
          <cell r="N1496" t="str">
            <v>アニマル</v>
          </cell>
          <cell r="O1496" t="str">
            <v>dragon</v>
          </cell>
          <cell r="P1496" t="str">
            <v>ドラゴン</v>
          </cell>
          <cell r="R1496">
            <v>3</v>
          </cell>
          <cell r="S1496" t="str">
            <v>NULL</v>
          </cell>
          <cell r="T1496" t="str">
            <v>normal</v>
          </cell>
          <cell r="U1496" t="str">
            <v>NULL</v>
          </cell>
          <cell r="V1496" t="str">
            <v>NULL</v>
          </cell>
          <cell r="W1496" t="str">
            <v>NULL</v>
          </cell>
        </row>
        <row r="1497">
          <cell r="A1497">
            <v>1524</v>
          </cell>
          <cell r="B1497" t="str">
            <v>ja</v>
          </cell>
          <cell r="C1497" t="str">
            <v>狂乱のネコムート</v>
          </cell>
          <cell r="H1497" t="str">
            <v>blue</v>
          </cell>
          <cell r="I1497">
            <v>6</v>
          </cell>
          <cell r="J1497" t="str">
            <v>DropWizS</v>
          </cell>
          <cell r="K1497" t="str">
            <v>technical</v>
          </cell>
          <cell r="L1497" t="str">
            <v>テクニカルタイプ</v>
          </cell>
          <cell r="M1497" t="str">
            <v>animal</v>
          </cell>
          <cell r="N1497" t="str">
            <v>アニマル</v>
          </cell>
          <cell r="O1497" t="str">
            <v>dragon</v>
          </cell>
          <cell r="P1497" t="str">
            <v>ドラゴン</v>
          </cell>
          <cell r="R1497">
            <v>3</v>
          </cell>
          <cell r="S1497" t="str">
            <v>NULL</v>
          </cell>
          <cell r="T1497" t="str">
            <v>normal</v>
          </cell>
          <cell r="U1497" t="str">
            <v>NULL</v>
          </cell>
          <cell r="V1497" t="str">
            <v>NULL</v>
          </cell>
          <cell r="W1497" t="str">
            <v>NULL</v>
          </cell>
        </row>
        <row r="1498">
          <cell r="A1498">
            <v>1525</v>
          </cell>
          <cell r="B1498" t="str">
            <v>ja</v>
          </cell>
          <cell r="C1498" t="str">
            <v>狂乱のネコ</v>
          </cell>
          <cell r="H1498" t="str">
            <v>red</v>
          </cell>
          <cell r="I1498">
            <v>5</v>
          </cell>
          <cell r="J1498" t="str">
            <v>DropWizSS</v>
          </cell>
          <cell r="K1498" t="str">
            <v>attack</v>
          </cell>
          <cell r="L1498" t="str">
            <v>攻撃タイプ</v>
          </cell>
          <cell r="M1498" t="str">
            <v>animal</v>
          </cell>
          <cell r="N1498" t="str">
            <v>アニマル</v>
          </cell>
          <cell r="O1498" t="str">
            <v>demon</v>
          </cell>
          <cell r="P1498" t="str">
            <v>デーモン</v>
          </cell>
          <cell r="R1498">
            <v>3</v>
          </cell>
          <cell r="S1498" t="str">
            <v>NULL</v>
          </cell>
          <cell r="T1498" t="str">
            <v>normal</v>
          </cell>
          <cell r="U1498" t="str">
            <v>NULL</v>
          </cell>
          <cell r="V1498" t="str">
            <v>NULL</v>
          </cell>
          <cell r="W1498" t="str">
            <v>NULL</v>
          </cell>
        </row>
        <row r="1499">
          <cell r="A1499">
            <v>1526</v>
          </cell>
          <cell r="B1499" t="str">
            <v>ja</v>
          </cell>
          <cell r="C1499" t="str">
            <v>狂乱のネコビルダー</v>
          </cell>
          <cell r="H1499" t="str">
            <v>red</v>
          </cell>
          <cell r="I1499">
            <v>6</v>
          </cell>
          <cell r="J1499" t="str">
            <v>DropWizSS</v>
          </cell>
          <cell r="K1499" t="str">
            <v>attack</v>
          </cell>
          <cell r="L1499" t="str">
            <v>攻撃タイプ</v>
          </cell>
          <cell r="M1499" t="str">
            <v>animal</v>
          </cell>
          <cell r="N1499" t="str">
            <v>アニマル</v>
          </cell>
          <cell r="O1499" t="str">
            <v>demon</v>
          </cell>
          <cell r="P1499" t="str">
            <v>デーモン</v>
          </cell>
          <cell r="R1499">
            <v>3</v>
          </cell>
          <cell r="S1499" t="str">
            <v>NULL</v>
          </cell>
          <cell r="T1499" t="str">
            <v>normal</v>
          </cell>
          <cell r="U1499" t="str">
            <v>NULL</v>
          </cell>
          <cell r="V1499" t="str">
            <v>NULL</v>
          </cell>
          <cell r="W1499" t="str">
            <v>NULL</v>
          </cell>
        </row>
        <row r="1500">
          <cell r="A1500">
            <v>1527</v>
          </cell>
          <cell r="B1500" t="str">
            <v>ja</v>
          </cell>
          <cell r="C1500" t="str">
            <v>ネコ魔剣士</v>
          </cell>
          <cell r="H1500" t="str">
            <v>red</v>
          </cell>
          <cell r="I1500">
            <v>4</v>
          </cell>
          <cell r="J1500" t="str">
            <v>PremiumS</v>
          </cell>
          <cell r="K1500" t="str">
            <v>attack</v>
          </cell>
          <cell r="L1500" t="str">
            <v>攻撃タイプ</v>
          </cell>
          <cell r="M1500" t="str">
            <v>animal</v>
          </cell>
          <cell r="N1500" t="str">
            <v>アニマル</v>
          </cell>
          <cell r="O1500" t="str">
            <v>hero</v>
          </cell>
          <cell r="P1500" t="str">
            <v>ヒーロー</v>
          </cell>
          <cell r="R1500">
            <v>3</v>
          </cell>
          <cell r="S1500" t="str">
            <v>NULL</v>
          </cell>
          <cell r="T1500" t="str">
            <v>normal</v>
          </cell>
          <cell r="U1500" t="str">
            <v>NULL</v>
          </cell>
          <cell r="V1500" t="str">
            <v>NULL</v>
          </cell>
          <cell r="W1500" t="str">
            <v>NULL</v>
          </cell>
        </row>
        <row r="1501">
          <cell r="A1501">
            <v>1528</v>
          </cell>
          <cell r="B1501" t="str">
            <v>ja</v>
          </cell>
          <cell r="C1501" t="str">
            <v>双剣ネコ魔剣士</v>
          </cell>
          <cell r="H1501" t="str">
            <v>red</v>
          </cell>
          <cell r="I1501">
            <v>5</v>
          </cell>
          <cell r="J1501" t="str">
            <v>PremiumS</v>
          </cell>
          <cell r="K1501" t="str">
            <v>attack</v>
          </cell>
          <cell r="L1501" t="str">
            <v>攻撃タイプ</v>
          </cell>
          <cell r="M1501" t="str">
            <v>animal</v>
          </cell>
          <cell r="N1501" t="str">
            <v>アニマル</v>
          </cell>
          <cell r="O1501" t="str">
            <v>hero</v>
          </cell>
          <cell r="P1501" t="str">
            <v>ヒーロー</v>
          </cell>
          <cell r="R1501">
            <v>3</v>
          </cell>
          <cell r="S1501" t="str">
            <v>NULL</v>
          </cell>
          <cell r="T1501" t="str">
            <v>normal</v>
          </cell>
          <cell r="U1501" t="str">
            <v>NULL</v>
          </cell>
          <cell r="V1501" t="str">
            <v>NULL</v>
          </cell>
          <cell r="W1501" t="str">
            <v>NULL</v>
          </cell>
        </row>
        <row r="1502">
          <cell r="A1502">
            <v>1529</v>
          </cell>
          <cell r="B1502" t="str">
            <v>ja</v>
          </cell>
          <cell r="C1502" t="str">
            <v>ねこ海賊</v>
          </cell>
          <cell r="H1502" t="str">
            <v>blue</v>
          </cell>
          <cell r="I1502">
            <v>4</v>
          </cell>
          <cell r="J1502" t="str">
            <v>PremiumS</v>
          </cell>
          <cell r="K1502" t="str">
            <v>balance</v>
          </cell>
          <cell r="L1502" t="str">
            <v>バランスタイプ</v>
          </cell>
          <cell r="M1502" t="str">
            <v>unknown</v>
          </cell>
          <cell r="N1502" t="str">
            <v>Unknown</v>
          </cell>
          <cell r="O1502" t="str">
            <v>animal</v>
          </cell>
          <cell r="P1502" t="str">
            <v>アニマル</v>
          </cell>
          <cell r="R1502">
            <v>3</v>
          </cell>
          <cell r="S1502" t="str">
            <v>NULL</v>
          </cell>
          <cell r="T1502" t="str">
            <v>normal</v>
          </cell>
          <cell r="U1502" t="str">
            <v>NULL</v>
          </cell>
          <cell r="V1502" t="str">
            <v>NULL</v>
          </cell>
          <cell r="W1502" t="str">
            <v>NULL</v>
          </cell>
        </row>
        <row r="1503">
          <cell r="A1503">
            <v>1530</v>
          </cell>
          <cell r="B1503" t="str">
            <v>ja</v>
          </cell>
          <cell r="C1503" t="str">
            <v>ニャーコック船長</v>
          </cell>
          <cell r="H1503" t="str">
            <v>blue</v>
          </cell>
          <cell r="I1503">
            <v>5</v>
          </cell>
          <cell r="J1503" t="str">
            <v>PremiumS</v>
          </cell>
          <cell r="K1503" t="str">
            <v>balance</v>
          </cell>
          <cell r="L1503" t="str">
            <v>バランスタイプ</v>
          </cell>
          <cell r="M1503" t="str">
            <v>unknown</v>
          </cell>
          <cell r="N1503" t="str">
            <v>Unknown</v>
          </cell>
          <cell r="O1503" t="str">
            <v>animal</v>
          </cell>
          <cell r="P1503" t="str">
            <v>アニマル</v>
          </cell>
          <cell r="R1503">
            <v>3</v>
          </cell>
          <cell r="S1503" t="str">
            <v>NULL</v>
          </cell>
          <cell r="T1503" t="str">
            <v>normal</v>
          </cell>
          <cell r="U1503" t="str">
            <v>NULL</v>
          </cell>
          <cell r="V1503" t="str">
            <v>NULL</v>
          </cell>
          <cell r="W1503" t="str">
            <v>NULL</v>
          </cell>
        </row>
        <row r="1504">
          <cell r="A1504">
            <v>1531</v>
          </cell>
          <cell r="B1504" t="str">
            <v>ja</v>
          </cell>
          <cell r="C1504" t="str">
            <v>ねこジュラ</v>
          </cell>
          <cell r="H1504" t="str">
            <v>green</v>
          </cell>
          <cell r="I1504">
            <v>4</v>
          </cell>
          <cell r="J1504" t="str">
            <v>PremiumS</v>
          </cell>
          <cell r="K1504" t="str">
            <v>technical</v>
          </cell>
          <cell r="L1504" t="str">
            <v>テクニカルタイプ</v>
          </cell>
          <cell r="M1504" t="str">
            <v>animal</v>
          </cell>
          <cell r="N1504" t="str">
            <v>アニマル</v>
          </cell>
          <cell r="O1504" t="str">
            <v>dragon</v>
          </cell>
          <cell r="P1504" t="str">
            <v>ドラゴン</v>
          </cell>
          <cell r="R1504">
            <v>3</v>
          </cell>
          <cell r="S1504" t="str">
            <v>NULL</v>
          </cell>
          <cell r="T1504" t="str">
            <v>normal</v>
          </cell>
          <cell r="U1504" t="str">
            <v>NULL</v>
          </cell>
          <cell r="V1504" t="str">
            <v>NULL</v>
          </cell>
          <cell r="W1504" t="str">
            <v>NULL</v>
          </cell>
        </row>
        <row r="1505">
          <cell r="A1505">
            <v>1532</v>
          </cell>
          <cell r="B1505" t="str">
            <v>ja</v>
          </cell>
          <cell r="C1505" t="str">
            <v>ねこジュラシッター</v>
          </cell>
          <cell r="H1505" t="str">
            <v>green</v>
          </cell>
          <cell r="I1505">
            <v>5</v>
          </cell>
          <cell r="J1505" t="str">
            <v>PremiumS</v>
          </cell>
          <cell r="K1505" t="str">
            <v>technical</v>
          </cell>
          <cell r="L1505" t="str">
            <v>テクニカルタイプ</v>
          </cell>
          <cell r="M1505" t="str">
            <v>animal</v>
          </cell>
          <cell r="N1505" t="str">
            <v>アニマル</v>
          </cell>
          <cell r="O1505" t="str">
            <v>dragon</v>
          </cell>
          <cell r="P1505" t="str">
            <v>ドラゴン</v>
          </cell>
          <cell r="R1505">
            <v>3</v>
          </cell>
          <cell r="S1505" t="str">
            <v>NULL</v>
          </cell>
          <cell r="T1505" t="str">
            <v>normal</v>
          </cell>
          <cell r="U1505" t="str">
            <v>NULL</v>
          </cell>
          <cell r="V1505" t="str">
            <v>NULL</v>
          </cell>
          <cell r="W1505" t="str">
            <v>NULL</v>
          </cell>
        </row>
        <row r="1506">
          <cell r="A1506">
            <v>1533</v>
          </cell>
          <cell r="B1506" t="str">
            <v>ja</v>
          </cell>
          <cell r="C1506" t="str">
            <v>ネコエステ</v>
          </cell>
          <cell r="H1506" t="str">
            <v>yellow</v>
          </cell>
          <cell r="I1506">
            <v>4</v>
          </cell>
          <cell r="J1506" t="str">
            <v>PremiumS</v>
          </cell>
          <cell r="K1506" t="str">
            <v>attack</v>
          </cell>
          <cell r="L1506" t="str">
            <v>攻撃タイプ</v>
          </cell>
          <cell r="M1506" t="str">
            <v>animal</v>
          </cell>
          <cell r="N1506" t="str">
            <v>アニマル</v>
          </cell>
          <cell r="O1506" t="str">
            <v>human</v>
          </cell>
          <cell r="P1506" t="str">
            <v>ヒューマン</v>
          </cell>
          <cell r="R1506">
            <v>3</v>
          </cell>
          <cell r="S1506" t="str">
            <v>NULL</v>
          </cell>
          <cell r="T1506" t="str">
            <v>normal</v>
          </cell>
          <cell r="U1506" t="str">
            <v>NULL</v>
          </cell>
          <cell r="V1506" t="str">
            <v>NULL</v>
          </cell>
          <cell r="W1506" t="str">
            <v>NULL</v>
          </cell>
        </row>
        <row r="1507">
          <cell r="A1507">
            <v>1534</v>
          </cell>
          <cell r="B1507" t="str">
            <v>ja</v>
          </cell>
          <cell r="C1507" t="str">
            <v>ネコジェンヌ</v>
          </cell>
          <cell r="H1507" t="str">
            <v>yellow</v>
          </cell>
          <cell r="I1507">
            <v>5</v>
          </cell>
          <cell r="J1507" t="str">
            <v>PremiumS</v>
          </cell>
          <cell r="K1507" t="str">
            <v>attack</v>
          </cell>
          <cell r="L1507" t="str">
            <v>攻撃タイプ</v>
          </cell>
          <cell r="M1507" t="str">
            <v>animal</v>
          </cell>
          <cell r="N1507" t="str">
            <v>アニマル</v>
          </cell>
          <cell r="O1507" t="str">
            <v>human</v>
          </cell>
          <cell r="P1507" t="str">
            <v>ヒューマン</v>
          </cell>
          <cell r="R1507">
            <v>3</v>
          </cell>
          <cell r="S1507" t="str">
            <v>NULL</v>
          </cell>
          <cell r="T1507" t="str">
            <v>normal</v>
          </cell>
          <cell r="U1507" t="str">
            <v>NULL</v>
          </cell>
          <cell r="V1507" t="str">
            <v>NULL</v>
          </cell>
          <cell r="W1507" t="str">
            <v>NULL</v>
          </cell>
        </row>
        <row r="1508">
          <cell r="A1508">
            <v>1535</v>
          </cell>
          <cell r="B1508" t="str">
            <v>ja</v>
          </cell>
          <cell r="C1508" t="str">
            <v>ねこナース</v>
          </cell>
          <cell r="H1508" t="str">
            <v>red</v>
          </cell>
          <cell r="I1508">
            <v>5</v>
          </cell>
          <cell r="J1508" t="str">
            <v>PremiumSS</v>
          </cell>
          <cell r="K1508" t="str">
            <v>technical</v>
          </cell>
          <cell r="L1508" t="str">
            <v>テクニカルタイプ</v>
          </cell>
          <cell r="M1508" t="str">
            <v>god</v>
          </cell>
          <cell r="N1508" t="str">
            <v>ゴッド</v>
          </cell>
          <cell r="O1508" t="str">
            <v>animal</v>
          </cell>
          <cell r="P1508" t="str">
            <v>アニマル</v>
          </cell>
          <cell r="R1508">
            <v>3</v>
          </cell>
          <cell r="S1508" t="str">
            <v>NULL</v>
          </cell>
          <cell r="T1508" t="str">
            <v>normal</v>
          </cell>
          <cell r="U1508" t="str">
            <v>NULL</v>
          </cell>
          <cell r="V1508" t="str">
            <v>NULL</v>
          </cell>
          <cell r="W1508" t="str">
            <v>NULL</v>
          </cell>
        </row>
        <row r="1509">
          <cell r="A1509">
            <v>1536</v>
          </cell>
          <cell r="B1509" t="str">
            <v>ja</v>
          </cell>
          <cell r="C1509" t="str">
            <v>ハートフルねこナース</v>
          </cell>
          <cell r="H1509" t="str">
            <v>red</v>
          </cell>
          <cell r="I1509">
            <v>6</v>
          </cell>
          <cell r="J1509" t="str">
            <v>PremiumSS</v>
          </cell>
          <cell r="K1509" t="str">
            <v>technical</v>
          </cell>
          <cell r="L1509" t="str">
            <v>テクニカルタイプ</v>
          </cell>
          <cell r="M1509" t="str">
            <v>god</v>
          </cell>
          <cell r="N1509" t="str">
            <v>ゴッド</v>
          </cell>
          <cell r="O1509" t="str">
            <v>animal</v>
          </cell>
          <cell r="P1509" t="str">
            <v>アニマル</v>
          </cell>
          <cell r="R1509">
            <v>3</v>
          </cell>
          <cell r="S1509" t="str">
            <v>NULL</v>
          </cell>
          <cell r="T1509" t="str">
            <v>normal</v>
          </cell>
          <cell r="U1509" t="str">
            <v>NULL</v>
          </cell>
          <cell r="V1509" t="str">
            <v>NULL</v>
          </cell>
          <cell r="W1509" t="str">
            <v>NULL</v>
          </cell>
        </row>
        <row r="1510">
          <cell r="A1510">
            <v>1537</v>
          </cell>
          <cell r="B1510" t="str">
            <v>ja</v>
          </cell>
          <cell r="C1510" t="str">
            <v>キャットマンダディ</v>
          </cell>
          <cell r="H1510" t="str">
            <v>blue</v>
          </cell>
          <cell r="I1510">
            <v>5</v>
          </cell>
          <cell r="J1510" t="str">
            <v>PremiumSSS</v>
          </cell>
          <cell r="K1510" t="str">
            <v>attack</v>
          </cell>
          <cell r="L1510" t="str">
            <v>攻撃タイプ</v>
          </cell>
          <cell r="M1510" t="str">
            <v>unknown</v>
          </cell>
          <cell r="N1510" t="str">
            <v>Unknown</v>
          </cell>
          <cell r="O1510" t="str">
            <v>animal</v>
          </cell>
          <cell r="P1510" t="str">
            <v>アニマル</v>
          </cell>
          <cell r="R1510">
            <v>3</v>
          </cell>
          <cell r="S1510" t="str">
            <v>NULL</v>
          </cell>
          <cell r="T1510" t="str">
            <v>normal</v>
          </cell>
          <cell r="U1510" t="str">
            <v>NULL</v>
          </cell>
          <cell r="V1510" t="str">
            <v>NULL</v>
          </cell>
          <cell r="W1510" t="str">
            <v>NULL</v>
          </cell>
        </row>
        <row r="1511">
          <cell r="A1511">
            <v>1538</v>
          </cell>
          <cell r="B1511" t="str">
            <v>ja</v>
          </cell>
          <cell r="C1511" t="str">
            <v>キャットマンダーク</v>
          </cell>
          <cell r="H1511" t="str">
            <v>blue</v>
          </cell>
          <cell r="I1511">
            <v>6</v>
          </cell>
          <cell r="J1511" t="str">
            <v>PremiumSSS</v>
          </cell>
          <cell r="K1511" t="str">
            <v>attack</v>
          </cell>
          <cell r="L1511" t="str">
            <v>攻撃タイプ</v>
          </cell>
          <cell r="M1511" t="str">
            <v>unknown</v>
          </cell>
          <cell r="N1511" t="str">
            <v>Unknown</v>
          </cell>
          <cell r="O1511" t="str">
            <v>animal</v>
          </cell>
          <cell r="P1511" t="str">
            <v>アニマル</v>
          </cell>
          <cell r="R1511">
            <v>3</v>
          </cell>
          <cell r="S1511" t="str">
            <v>NULL</v>
          </cell>
          <cell r="T1511" t="str">
            <v>normal</v>
          </cell>
          <cell r="U1511" t="str">
            <v>NULL</v>
          </cell>
          <cell r="V1511" t="str">
            <v>NULL</v>
          </cell>
          <cell r="W1511" t="str">
            <v>NULL</v>
          </cell>
        </row>
        <row r="1512">
          <cell r="A1512">
            <v>1539</v>
          </cell>
          <cell r="B1512" t="str">
            <v>ja</v>
          </cell>
          <cell r="C1512" t="str">
            <v>雷神のサンディア</v>
          </cell>
          <cell r="H1512" t="str">
            <v>yellow</v>
          </cell>
          <cell r="I1512">
            <v>5</v>
          </cell>
          <cell r="J1512" t="str">
            <v>PremiumSS</v>
          </cell>
          <cell r="K1512" t="str">
            <v>attack</v>
          </cell>
          <cell r="L1512" t="str">
            <v>攻撃タイプ</v>
          </cell>
          <cell r="M1512" t="str">
            <v>god</v>
          </cell>
          <cell r="N1512" t="str">
            <v>ゴッド</v>
          </cell>
          <cell r="O1512" t="str">
            <v>animal</v>
          </cell>
          <cell r="P1512" t="str">
            <v>アニマル</v>
          </cell>
          <cell r="R1512">
            <v>3</v>
          </cell>
          <cell r="S1512" t="str">
            <v>NULL</v>
          </cell>
          <cell r="T1512" t="str">
            <v>normal</v>
          </cell>
          <cell r="U1512" t="str">
            <v>NULL</v>
          </cell>
          <cell r="V1512" t="str">
            <v>NULL</v>
          </cell>
          <cell r="W1512" t="str">
            <v>NULL</v>
          </cell>
        </row>
        <row r="1513">
          <cell r="A1513">
            <v>1540</v>
          </cell>
          <cell r="B1513" t="str">
            <v>ja</v>
          </cell>
          <cell r="C1513" t="str">
            <v>雷神のサンディアβ</v>
          </cell>
          <cell r="H1513" t="str">
            <v>yellow</v>
          </cell>
          <cell r="I1513">
            <v>6</v>
          </cell>
          <cell r="J1513" t="str">
            <v>PremiumSS</v>
          </cell>
          <cell r="K1513" t="str">
            <v>attack</v>
          </cell>
          <cell r="L1513" t="str">
            <v>攻撃タイプ</v>
          </cell>
          <cell r="M1513" t="str">
            <v>god</v>
          </cell>
          <cell r="N1513" t="str">
            <v>ゴッド</v>
          </cell>
          <cell r="O1513" t="str">
            <v>animal</v>
          </cell>
          <cell r="P1513" t="str">
            <v>アニマル</v>
          </cell>
          <cell r="R1513">
            <v>3</v>
          </cell>
          <cell r="S1513" t="str">
            <v>NULL</v>
          </cell>
          <cell r="T1513" t="str">
            <v>normal</v>
          </cell>
          <cell r="U1513" t="str">
            <v>NULL</v>
          </cell>
          <cell r="V1513" t="str">
            <v>NULL</v>
          </cell>
          <cell r="W1513" t="str">
            <v>NULL</v>
          </cell>
        </row>
        <row r="1514">
          <cell r="A1514">
            <v>1541</v>
          </cell>
          <cell r="B1514" t="str">
            <v>ja</v>
          </cell>
          <cell r="C1514" t="str">
            <v>美女神アフロディーテ</v>
          </cell>
          <cell r="H1514" t="str">
            <v>red</v>
          </cell>
          <cell r="I1514">
            <v>5</v>
          </cell>
          <cell r="J1514" t="str">
            <v>PremiumSSS</v>
          </cell>
          <cell r="K1514" t="str">
            <v>technical</v>
          </cell>
          <cell r="L1514" t="str">
            <v>テクニカルタイプ</v>
          </cell>
          <cell r="M1514" t="str">
            <v>god</v>
          </cell>
          <cell r="N1514" t="str">
            <v>ゴッド</v>
          </cell>
          <cell r="O1514" t="str">
            <v>unknown</v>
          </cell>
          <cell r="P1514" t="str">
            <v>Unknown</v>
          </cell>
          <cell r="R1514">
            <v>3</v>
          </cell>
          <cell r="S1514" t="str">
            <v>NULL</v>
          </cell>
          <cell r="T1514" t="str">
            <v>normal</v>
          </cell>
          <cell r="U1514" t="str">
            <v>NULL</v>
          </cell>
          <cell r="V1514" t="str">
            <v>NULL</v>
          </cell>
          <cell r="W1514" t="str">
            <v>NULL</v>
          </cell>
        </row>
        <row r="1515">
          <cell r="A1515">
            <v>1542</v>
          </cell>
          <cell r="B1515" t="str">
            <v>ja</v>
          </cell>
          <cell r="C1515" t="str">
            <v>メガロディーテ</v>
          </cell>
          <cell r="H1515" t="str">
            <v>red</v>
          </cell>
          <cell r="I1515">
            <v>6</v>
          </cell>
          <cell r="J1515" t="str">
            <v>PremiumSSS</v>
          </cell>
          <cell r="K1515" t="str">
            <v>technical</v>
          </cell>
          <cell r="L1515" t="str">
            <v>テクニカルタイプ</v>
          </cell>
          <cell r="M1515" t="str">
            <v>god</v>
          </cell>
          <cell r="N1515" t="str">
            <v>ゴッド</v>
          </cell>
          <cell r="O1515" t="str">
            <v>unknown</v>
          </cell>
          <cell r="P1515" t="str">
            <v>Unknown</v>
          </cell>
          <cell r="R1515">
            <v>3</v>
          </cell>
          <cell r="S1515" t="str">
            <v>NULL</v>
          </cell>
          <cell r="T1515" t="str">
            <v>normal</v>
          </cell>
          <cell r="U1515" t="str">
            <v>NULL</v>
          </cell>
          <cell r="V1515" t="str">
            <v>NULL</v>
          </cell>
          <cell r="W1515" t="str">
            <v>NULL</v>
          </cell>
        </row>
        <row r="1516">
          <cell r="A1516">
            <v>1543</v>
          </cell>
          <cell r="B1516" t="str">
            <v>ja</v>
          </cell>
          <cell r="C1516" t="str">
            <v>ツルの恩返し</v>
          </cell>
          <cell r="H1516" t="str">
            <v>red</v>
          </cell>
          <cell r="I1516">
            <v>5</v>
          </cell>
          <cell r="J1516" t="str">
            <v>PremiumSS</v>
          </cell>
          <cell r="K1516" t="str">
            <v>balance</v>
          </cell>
          <cell r="L1516" t="str">
            <v>バランスタイプ</v>
          </cell>
          <cell r="M1516" t="str">
            <v>hero</v>
          </cell>
          <cell r="N1516" t="str">
            <v>ヒーロー</v>
          </cell>
          <cell r="O1516" t="str">
            <v>unknown</v>
          </cell>
          <cell r="P1516" t="str">
            <v>Unknown</v>
          </cell>
          <cell r="R1516">
            <v>3</v>
          </cell>
          <cell r="S1516" t="str">
            <v>NULL</v>
          </cell>
          <cell r="T1516" t="str">
            <v>normal</v>
          </cell>
          <cell r="U1516" t="str">
            <v>NULL</v>
          </cell>
          <cell r="V1516" t="str">
            <v>NULL</v>
          </cell>
          <cell r="W1516" t="str">
            <v>NULL</v>
          </cell>
        </row>
        <row r="1517">
          <cell r="A1517">
            <v>1544</v>
          </cell>
          <cell r="B1517" t="str">
            <v>ja</v>
          </cell>
          <cell r="C1517" t="str">
            <v>銀河戦士コスモ</v>
          </cell>
          <cell r="H1517" t="str">
            <v>red</v>
          </cell>
          <cell r="I1517">
            <v>6</v>
          </cell>
          <cell r="J1517" t="str">
            <v>PremiumSS</v>
          </cell>
          <cell r="K1517" t="str">
            <v>balance</v>
          </cell>
          <cell r="L1517" t="str">
            <v>バランスタイプ</v>
          </cell>
          <cell r="M1517" t="str">
            <v>hero</v>
          </cell>
          <cell r="N1517" t="str">
            <v>ヒーロー</v>
          </cell>
          <cell r="O1517" t="str">
            <v>unknown</v>
          </cell>
          <cell r="P1517" t="str">
            <v>Unknown</v>
          </cell>
          <cell r="R1517">
            <v>3</v>
          </cell>
          <cell r="S1517" t="str">
            <v>NULL</v>
          </cell>
          <cell r="T1517" t="str">
            <v>normal</v>
          </cell>
          <cell r="U1517" t="str">
            <v>NULL</v>
          </cell>
          <cell r="V1517" t="str">
            <v>NULL</v>
          </cell>
          <cell r="W1517" t="str">
            <v>NULL</v>
          </cell>
        </row>
        <row r="1518">
          <cell r="A1518">
            <v>1545</v>
          </cell>
          <cell r="B1518" t="str">
            <v>ja</v>
          </cell>
          <cell r="C1518" t="str">
            <v>ネコルガ</v>
          </cell>
          <cell r="H1518" t="str">
            <v>green</v>
          </cell>
          <cell r="I1518">
            <v>5</v>
          </cell>
          <cell r="J1518" t="str">
            <v>PremiumSS</v>
          </cell>
          <cell r="K1518" t="str">
            <v>hp</v>
          </cell>
          <cell r="L1518" t="str">
            <v>体力タイプ</v>
          </cell>
          <cell r="M1518" t="str">
            <v>unknown</v>
          </cell>
          <cell r="N1518" t="str">
            <v>Unknown</v>
          </cell>
          <cell r="O1518" t="str">
            <v>demon</v>
          </cell>
          <cell r="P1518" t="str">
            <v>デーモン</v>
          </cell>
          <cell r="R1518">
            <v>3</v>
          </cell>
          <cell r="S1518" t="str">
            <v>NULL</v>
          </cell>
          <cell r="T1518" t="str">
            <v>normal</v>
          </cell>
          <cell r="U1518" t="str">
            <v>NULL</v>
          </cell>
          <cell r="V1518" t="str">
            <v>NULL</v>
          </cell>
          <cell r="W1518" t="str">
            <v>NULL</v>
          </cell>
        </row>
        <row r="1519">
          <cell r="A1519">
            <v>1546</v>
          </cell>
          <cell r="B1519" t="str">
            <v>ja</v>
          </cell>
          <cell r="C1519" t="str">
            <v>ケサランパサラン</v>
          </cell>
          <cell r="H1519" t="str">
            <v>green</v>
          </cell>
          <cell r="I1519">
            <v>6</v>
          </cell>
          <cell r="J1519" t="str">
            <v>PremiumSS</v>
          </cell>
          <cell r="K1519" t="str">
            <v>hp</v>
          </cell>
          <cell r="L1519" t="str">
            <v>体力タイプ</v>
          </cell>
          <cell r="M1519" t="str">
            <v>unknown</v>
          </cell>
          <cell r="N1519" t="str">
            <v>Unknown</v>
          </cell>
          <cell r="O1519" t="str">
            <v>demon</v>
          </cell>
          <cell r="P1519" t="str">
            <v>デーモン</v>
          </cell>
          <cell r="R1519">
            <v>3</v>
          </cell>
          <cell r="S1519" t="str">
            <v>NULL</v>
          </cell>
          <cell r="T1519" t="str">
            <v>normal</v>
          </cell>
          <cell r="U1519" t="str">
            <v>NULL</v>
          </cell>
          <cell r="V1519" t="str">
            <v>NULL</v>
          </cell>
          <cell r="W1519" t="str">
            <v>NULL</v>
          </cell>
        </row>
        <row r="1520">
          <cell r="A1520">
            <v>1547</v>
          </cell>
          <cell r="B1520" t="str">
            <v>ja</v>
          </cell>
          <cell r="C1520" t="str">
            <v>ネコフラワー</v>
          </cell>
          <cell r="H1520" t="str">
            <v>green</v>
          </cell>
          <cell r="I1520">
            <v>4</v>
          </cell>
          <cell r="J1520" t="str">
            <v>Drop2N</v>
          </cell>
          <cell r="K1520" t="str">
            <v>hp</v>
          </cell>
          <cell r="L1520" t="str">
            <v>体力タイプ</v>
          </cell>
          <cell r="M1520" t="str">
            <v>animal</v>
          </cell>
          <cell r="N1520" t="str">
            <v>アニマル</v>
          </cell>
          <cell r="O1520" t="str">
            <v>machine</v>
          </cell>
          <cell r="P1520" t="str">
            <v>マシン</v>
          </cell>
          <cell r="R1520">
            <v>3</v>
          </cell>
          <cell r="S1520" t="str">
            <v>NULL</v>
          </cell>
          <cell r="T1520" t="str">
            <v>normal</v>
          </cell>
          <cell r="U1520" t="str">
            <v>NULL</v>
          </cell>
          <cell r="V1520" t="str">
            <v>NULL</v>
          </cell>
          <cell r="W1520" t="str">
            <v>NULL</v>
          </cell>
        </row>
        <row r="1521">
          <cell r="A1521">
            <v>1548</v>
          </cell>
          <cell r="B1521" t="str">
            <v>ja</v>
          </cell>
          <cell r="C1521" t="str">
            <v>にゃんこ扇風</v>
          </cell>
          <cell r="H1521" t="str">
            <v>green</v>
          </cell>
          <cell r="I1521">
            <v>5</v>
          </cell>
          <cell r="J1521" t="str">
            <v>Drop2N</v>
          </cell>
          <cell r="K1521" t="str">
            <v>hp</v>
          </cell>
          <cell r="L1521" t="str">
            <v>体力タイプ</v>
          </cell>
          <cell r="M1521" t="str">
            <v>animal</v>
          </cell>
          <cell r="N1521" t="str">
            <v>アニマル</v>
          </cell>
          <cell r="O1521" t="str">
            <v>machine</v>
          </cell>
          <cell r="P1521" t="str">
            <v>マシン</v>
          </cell>
          <cell r="R1521">
            <v>3</v>
          </cell>
          <cell r="S1521" t="str">
            <v>NULL</v>
          </cell>
          <cell r="T1521" t="str">
            <v>normal</v>
          </cell>
          <cell r="U1521" t="str">
            <v>NULL</v>
          </cell>
          <cell r="V1521" t="str">
            <v>NULL</v>
          </cell>
          <cell r="W1521" t="str">
            <v>NULL</v>
          </cell>
        </row>
        <row r="1522">
          <cell r="A1522">
            <v>1549</v>
          </cell>
          <cell r="B1522" t="str">
            <v>ja</v>
          </cell>
          <cell r="C1522" t="str">
            <v>ネコリンゴ</v>
          </cell>
          <cell r="H1522" t="str">
            <v>green</v>
          </cell>
          <cell r="I1522">
            <v>5</v>
          </cell>
          <cell r="J1522" t="str">
            <v>DropWizS</v>
          </cell>
          <cell r="K1522" t="str">
            <v>balance</v>
          </cell>
          <cell r="L1522" t="str">
            <v>バランスタイプ</v>
          </cell>
          <cell r="M1522" t="str">
            <v>unknown</v>
          </cell>
          <cell r="N1522" t="str">
            <v>Unknown</v>
          </cell>
          <cell r="O1522" t="str">
            <v>animal</v>
          </cell>
          <cell r="P1522" t="str">
            <v>アニマル</v>
          </cell>
          <cell r="R1522">
            <v>3</v>
          </cell>
          <cell r="S1522" t="str">
            <v>NULL</v>
          </cell>
          <cell r="T1522" t="str">
            <v>normal</v>
          </cell>
          <cell r="U1522" t="str">
            <v>NULL</v>
          </cell>
          <cell r="V1522" t="str">
            <v>NULL</v>
          </cell>
          <cell r="W1522" t="str">
            <v>NULL</v>
          </cell>
        </row>
        <row r="1523">
          <cell r="A1523">
            <v>1550</v>
          </cell>
          <cell r="B1523" t="str">
            <v>ja</v>
          </cell>
          <cell r="C1523" t="str">
            <v>カオルくん</v>
          </cell>
          <cell r="H1523" t="str">
            <v>green</v>
          </cell>
          <cell r="I1523">
            <v>6</v>
          </cell>
          <cell r="J1523" t="str">
            <v>DropWizS</v>
          </cell>
          <cell r="K1523" t="str">
            <v>balance</v>
          </cell>
          <cell r="L1523" t="str">
            <v>バランスタイプ</v>
          </cell>
          <cell r="M1523" t="str">
            <v>unknown</v>
          </cell>
          <cell r="N1523" t="str">
            <v>Unknown</v>
          </cell>
          <cell r="O1523" t="str">
            <v>animal</v>
          </cell>
          <cell r="P1523" t="str">
            <v>アニマル</v>
          </cell>
          <cell r="R1523">
            <v>3</v>
          </cell>
          <cell r="S1523" t="str">
            <v>NULL</v>
          </cell>
          <cell r="T1523" t="str">
            <v>normal</v>
          </cell>
          <cell r="U1523" t="str">
            <v>NULL</v>
          </cell>
          <cell r="V1523" t="str">
            <v>NULL</v>
          </cell>
          <cell r="W1523" t="str">
            <v>NULL</v>
          </cell>
        </row>
        <row r="1524">
          <cell r="A1524">
            <v>1551</v>
          </cell>
          <cell r="B1524" t="str">
            <v>ja</v>
          </cell>
          <cell r="C1524" t="str">
            <v>Leo01</v>
          </cell>
          <cell r="H1524" t="str">
            <v>red</v>
          </cell>
          <cell r="I1524">
            <v>5</v>
          </cell>
          <cell r="J1524" t="str">
            <v>PremiumSSS</v>
          </cell>
          <cell r="K1524" t="str">
            <v>attack</v>
          </cell>
          <cell r="L1524" t="str">
            <v>攻撃タイプ</v>
          </cell>
          <cell r="M1524" t="str">
            <v>human</v>
          </cell>
          <cell r="N1524" t="str">
            <v>ヒューマン</v>
          </cell>
          <cell r="O1524" t="str">
            <v>hero</v>
          </cell>
          <cell r="P1524" t="str">
            <v>ヒーロー</v>
          </cell>
          <cell r="R1524">
            <v>1</v>
          </cell>
          <cell r="S1524" t="str">
            <v>NULL</v>
          </cell>
          <cell r="T1524" t="str">
            <v>normal</v>
          </cell>
          <cell r="U1524" t="str">
            <v>NULL</v>
          </cell>
          <cell r="V1524" t="str">
            <v>NULL</v>
          </cell>
          <cell r="W1524" t="str">
            <v>NULL</v>
          </cell>
        </row>
        <row r="1525">
          <cell r="A1525">
            <v>1552</v>
          </cell>
          <cell r="B1525" t="str">
            <v>ja</v>
          </cell>
          <cell r="C1525" t="str">
            <v>Leo02</v>
          </cell>
          <cell r="H1525" t="str">
            <v>red</v>
          </cell>
          <cell r="I1525">
            <v>6</v>
          </cell>
          <cell r="J1525" t="str">
            <v>PremiumSSS</v>
          </cell>
          <cell r="K1525" t="str">
            <v>attack</v>
          </cell>
          <cell r="L1525" t="str">
            <v>攻撃タイプ</v>
          </cell>
          <cell r="M1525" t="str">
            <v>human</v>
          </cell>
          <cell r="N1525" t="str">
            <v>ヒューマン</v>
          </cell>
          <cell r="O1525" t="str">
            <v>hero</v>
          </cell>
          <cell r="P1525" t="str">
            <v>ヒーロー</v>
          </cell>
          <cell r="R1525">
            <v>1</v>
          </cell>
          <cell r="S1525" t="str">
            <v>NULL</v>
          </cell>
          <cell r="T1525" t="str">
            <v>normal</v>
          </cell>
          <cell r="U1525" t="str">
            <v>NULL</v>
          </cell>
          <cell r="V1525" t="str">
            <v>NULL</v>
          </cell>
          <cell r="W1525" t="str">
            <v>NULL</v>
          </cell>
        </row>
        <row r="1526">
          <cell r="A1526">
            <v>1553</v>
          </cell>
          <cell r="B1526" t="str">
            <v>ja</v>
          </cell>
          <cell r="C1526" t="str">
            <v>Andromeda01</v>
          </cell>
          <cell r="H1526" t="str">
            <v>yellow</v>
          </cell>
          <cell r="I1526">
            <v>5</v>
          </cell>
          <cell r="J1526" t="str">
            <v>PremiumSS</v>
          </cell>
          <cell r="K1526" t="str">
            <v>technical</v>
          </cell>
          <cell r="L1526" t="str">
            <v>テクニカルタイプ</v>
          </cell>
          <cell r="M1526" t="str">
            <v>human</v>
          </cell>
          <cell r="N1526" t="str">
            <v>ヒューマン</v>
          </cell>
          <cell r="O1526" t="str">
            <v>none</v>
          </cell>
          <cell r="P1526" t="str">
            <v>種族なし</v>
          </cell>
          <cell r="R1526">
            <v>1</v>
          </cell>
          <cell r="S1526" t="str">
            <v>NULL</v>
          </cell>
          <cell r="T1526" t="str">
            <v>normal</v>
          </cell>
          <cell r="U1526" t="str">
            <v>NULL</v>
          </cell>
          <cell r="V1526" t="str">
            <v>NULL</v>
          </cell>
          <cell r="W1526" t="str">
            <v>NULL</v>
          </cell>
        </row>
        <row r="1527">
          <cell r="A1527">
            <v>1554</v>
          </cell>
          <cell r="B1527" t="str">
            <v>ja</v>
          </cell>
          <cell r="C1527" t="str">
            <v>Andromeda02</v>
          </cell>
          <cell r="H1527" t="str">
            <v>yellow</v>
          </cell>
          <cell r="I1527">
            <v>6</v>
          </cell>
          <cell r="J1527" t="str">
            <v>PremiumSS</v>
          </cell>
          <cell r="K1527" t="str">
            <v>technical</v>
          </cell>
          <cell r="L1527" t="str">
            <v>テクニカルタイプ</v>
          </cell>
          <cell r="M1527" t="str">
            <v>human</v>
          </cell>
          <cell r="N1527" t="str">
            <v>ヒューマン</v>
          </cell>
          <cell r="O1527" t="str">
            <v>none</v>
          </cell>
          <cell r="P1527" t="str">
            <v>種族なし</v>
          </cell>
          <cell r="R1527">
            <v>1</v>
          </cell>
          <cell r="S1527" t="str">
            <v>NULL</v>
          </cell>
          <cell r="T1527" t="str">
            <v>normal</v>
          </cell>
          <cell r="U1527" t="str">
            <v>NULL</v>
          </cell>
          <cell r="V1527" t="str">
            <v>NULL</v>
          </cell>
          <cell r="W1527" t="str">
            <v>NULL</v>
          </cell>
        </row>
        <row r="1528">
          <cell r="A1528">
            <v>1555</v>
          </cell>
          <cell r="B1528" t="str">
            <v>ja</v>
          </cell>
          <cell r="C1528" t="str">
            <v>Taurus01</v>
          </cell>
          <cell r="H1528" t="str">
            <v>blue</v>
          </cell>
          <cell r="I1528">
            <v>5</v>
          </cell>
          <cell r="J1528" t="str">
            <v>PremiumS</v>
          </cell>
          <cell r="K1528" t="str">
            <v>hp</v>
          </cell>
          <cell r="L1528" t="str">
            <v>体力タイプ</v>
          </cell>
          <cell r="M1528" t="str">
            <v>human</v>
          </cell>
          <cell r="N1528" t="str">
            <v>ヒューマン</v>
          </cell>
          <cell r="O1528" t="str">
            <v>none</v>
          </cell>
          <cell r="P1528" t="str">
            <v>種族なし</v>
          </cell>
          <cell r="R1528">
            <v>1</v>
          </cell>
          <cell r="S1528" t="str">
            <v>NULL</v>
          </cell>
          <cell r="T1528" t="str">
            <v>normal</v>
          </cell>
          <cell r="U1528" t="str">
            <v>NULL</v>
          </cell>
          <cell r="V1528" t="str">
            <v>NULL</v>
          </cell>
          <cell r="W1528" t="str">
            <v>NULL</v>
          </cell>
        </row>
        <row r="1529">
          <cell r="A1529">
            <v>1556</v>
          </cell>
          <cell r="B1529" t="str">
            <v>ja</v>
          </cell>
          <cell r="C1529" t="str">
            <v>Capricornus01</v>
          </cell>
          <cell r="H1529" t="str">
            <v>green</v>
          </cell>
          <cell r="I1529">
            <v>5</v>
          </cell>
          <cell r="J1529" t="str">
            <v>PremiumSS</v>
          </cell>
          <cell r="K1529" t="str">
            <v>balance</v>
          </cell>
          <cell r="L1529" t="str">
            <v>バランスタイプ</v>
          </cell>
          <cell r="M1529" t="str">
            <v>human</v>
          </cell>
          <cell r="N1529" t="str">
            <v>ヒューマン</v>
          </cell>
          <cell r="O1529" t="str">
            <v>hero</v>
          </cell>
          <cell r="P1529" t="str">
            <v>ヒーロー</v>
          </cell>
          <cell r="R1529">
            <v>1</v>
          </cell>
          <cell r="S1529" t="str">
            <v>NULL</v>
          </cell>
          <cell r="T1529" t="str">
            <v>normal</v>
          </cell>
          <cell r="U1529" t="str">
            <v>NULL</v>
          </cell>
          <cell r="V1529" t="str">
            <v>NULL</v>
          </cell>
          <cell r="W1529" t="str">
            <v>NULL</v>
          </cell>
        </row>
        <row r="1530">
          <cell r="A1530">
            <v>1557</v>
          </cell>
          <cell r="B1530" t="str">
            <v>ja</v>
          </cell>
          <cell r="C1530" t="str">
            <v>Capricornus02</v>
          </cell>
          <cell r="H1530" t="str">
            <v>green</v>
          </cell>
          <cell r="I1530">
            <v>6</v>
          </cell>
          <cell r="J1530" t="str">
            <v>PremiumSS</v>
          </cell>
          <cell r="K1530" t="str">
            <v>balance</v>
          </cell>
          <cell r="L1530" t="str">
            <v>バランスタイプ</v>
          </cell>
          <cell r="M1530" t="str">
            <v>human</v>
          </cell>
          <cell r="N1530" t="str">
            <v>ヒューマン</v>
          </cell>
          <cell r="O1530" t="str">
            <v>hero</v>
          </cell>
          <cell r="P1530" t="str">
            <v>ヒーロー</v>
          </cell>
          <cell r="R1530">
            <v>1</v>
          </cell>
          <cell r="S1530" t="str">
            <v>NULL</v>
          </cell>
          <cell r="T1530" t="str">
            <v>normal</v>
          </cell>
          <cell r="U1530" t="str">
            <v>NULL</v>
          </cell>
          <cell r="V1530" t="str">
            <v>NULL</v>
          </cell>
          <cell r="W1530" t="str">
            <v>NULL</v>
          </cell>
        </row>
        <row r="1531">
          <cell r="A1531">
            <v>1558</v>
          </cell>
          <cell r="B1531" t="str">
            <v>ja</v>
          </cell>
          <cell r="C1531" t="str">
            <v>Aries01</v>
          </cell>
          <cell r="H1531" t="str">
            <v>blue</v>
          </cell>
          <cell r="I1531">
            <v>5</v>
          </cell>
          <cell r="J1531" t="str">
            <v>PremiumSS</v>
          </cell>
          <cell r="K1531" t="str">
            <v>heal</v>
          </cell>
          <cell r="L1531" t="str">
            <v>回復タイプ</v>
          </cell>
          <cell r="M1531" t="str">
            <v>human</v>
          </cell>
          <cell r="N1531" t="str">
            <v>ヒューマン</v>
          </cell>
          <cell r="O1531" t="str">
            <v>none</v>
          </cell>
          <cell r="P1531" t="str">
            <v>種族なし</v>
          </cell>
          <cell r="R1531">
            <v>1</v>
          </cell>
          <cell r="S1531" t="str">
            <v>NULL</v>
          </cell>
          <cell r="T1531" t="str">
            <v>normal</v>
          </cell>
          <cell r="U1531" t="str">
            <v>NULL</v>
          </cell>
          <cell r="V1531" t="str">
            <v>NULL</v>
          </cell>
          <cell r="W1531" t="str">
            <v>NULL</v>
          </cell>
        </row>
        <row r="1532">
          <cell r="A1532">
            <v>1559</v>
          </cell>
          <cell r="B1532" t="str">
            <v>ja</v>
          </cell>
          <cell r="C1532" t="str">
            <v>Aries02</v>
          </cell>
          <cell r="H1532" t="str">
            <v>blue</v>
          </cell>
          <cell r="I1532">
            <v>6</v>
          </cell>
          <cell r="J1532" t="str">
            <v>PremiumSS</v>
          </cell>
          <cell r="K1532" t="str">
            <v>heal</v>
          </cell>
          <cell r="L1532" t="str">
            <v>回復タイプ</v>
          </cell>
          <cell r="M1532" t="str">
            <v>human</v>
          </cell>
          <cell r="N1532" t="str">
            <v>ヒューマン</v>
          </cell>
          <cell r="O1532" t="str">
            <v>none</v>
          </cell>
          <cell r="P1532" t="str">
            <v>種族なし</v>
          </cell>
          <cell r="R1532">
            <v>1</v>
          </cell>
          <cell r="S1532" t="str">
            <v>NULL</v>
          </cell>
          <cell r="T1532" t="str">
            <v>normal</v>
          </cell>
          <cell r="U1532" t="str">
            <v>NULL</v>
          </cell>
          <cell r="V1532" t="str">
            <v>NULL</v>
          </cell>
          <cell r="W1532" t="str">
            <v>NULL</v>
          </cell>
        </row>
        <row r="1533">
          <cell r="A1533">
            <v>1560</v>
          </cell>
          <cell r="B1533" t="str">
            <v>ja</v>
          </cell>
          <cell r="C1533" t="str">
            <v>Pisces01</v>
          </cell>
          <cell r="H1533" t="str">
            <v>red</v>
          </cell>
          <cell r="I1533">
            <v>5</v>
          </cell>
          <cell r="J1533" t="str">
            <v>PremiumS</v>
          </cell>
          <cell r="K1533" t="str">
            <v>technical</v>
          </cell>
          <cell r="L1533" t="str">
            <v>テクニカルタイプ</v>
          </cell>
          <cell r="M1533" t="str">
            <v>human</v>
          </cell>
          <cell r="N1533" t="str">
            <v>ヒューマン</v>
          </cell>
          <cell r="O1533" t="str">
            <v>none</v>
          </cell>
          <cell r="P1533" t="str">
            <v>種族なし</v>
          </cell>
          <cell r="R1533">
            <v>1</v>
          </cell>
          <cell r="S1533" t="str">
            <v>NULL</v>
          </cell>
          <cell r="T1533" t="str">
            <v>normal</v>
          </cell>
          <cell r="U1533" t="str">
            <v>NULL</v>
          </cell>
          <cell r="V1533" t="str">
            <v>NULL</v>
          </cell>
          <cell r="W1533" t="str">
            <v>NULL</v>
          </cell>
        </row>
        <row r="1534">
          <cell r="A1534">
            <v>1561</v>
          </cell>
          <cell r="B1534" t="str">
            <v>ja</v>
          </cell>
          <cell r="C1534" t="str">
            <v>Sagittarius01</v>
          </cell>
          <cell r="H1534" t="str">
            <v>yellow</v>
          </cell>
          <cell r="I1534">
            <v>5</v>
          </cell>
          <cell r="J1534" t="str">
            <v>PremiumSS</v>
          </cell>
          <cell r="K1534" t="str">
            <v>balance</v>
          </cell>
          <cell r="L1534" t="str">
            <v>バランスタイプ</v>
          </cell>
          <cell r="M1534" t="str">
            <v>human</v>
          </cell>
          <cell r="N1534" t="str">
            <v>ヒューマン</v>
          </cell>
          <cell r="O1534" t="str">
            <v>hero</v>
          </cell>
          <cell r="P1534" t="str">
            <v>ヒーロー</v>
          </cell>
          <cell r="R1534">
            <v>1</v>
          </cell>
          <cell r="S1534" t="str">
            <v>NULL</v>
          </cell>
          <cell r="T1534" t="str">
            <v>normal</v>
          </cell>
          <cell r="U1534" t="str">
            <v>NULL</v>
          </cell>
          <cell r="V1534" t="str">
            <v>NULL</v>
          </cell>
          <cell r="W1534" t="str">
            <v>NULL</v>
          </cell>
        </row>
        <row r="1535">
          <cell r="A1535">
            <v>1562</v>
          </cell>
          <cell r="B1535" t="str">
            <v>ja</v>
          </cell>
          <cell r="C1535" t="str">
            <v>Sagittarius02</v>
          </cell>
          <cell r="H1535" t="str">
            <v>yellow</v>
          </cell>
          <cell r="I1535">
            <v>6</v>
          </cell>
          <cell r="J1535" t="str">
            <v>PremiumSS</v>
          </cell>
          <cell r="K1535" t="str">
            <v>balance</v>
          </cell>
          <cell r="L1535" t="str">
            <v>バランスタイプ</v>
          </cell>
          <cell r="M1535" t="str">
            <v>human</v>
          </cell>
          <cell r="N1535" t="str">
            <v>ヒューマン</v>
          </cell>
          <cell r="O1535" t="str">
            <v>hero</v>
          </cell>
          <cell r="P1535" t="str">
            <v>ヒーロー</v>
          </cell>
          <cell r="R1535">
            <v>1</v>
          </cell>
          <cell r="S1535" t="str">
            <v>NULL</v>
          </cell>
          <cell r="T1535" t="str">
            <v>normal</v>
          </cell>
          <cell r="U1535" t="str">
            <v>NULL</v>
          </cell>
          <cell r="V1535" t="str">
            <v>NULL</v>
          </cell>
          <cell r="W1535" t="str">
            <v>NULL</v>
          </cell>
        </row>
        <row r="1536">
          <cell r="A1536">
            <v>1563</v>
          </cell>
          <cell r="B1536" t="str">
            <v>ja</v>
          </cell>
          <cell r="C1536" t="str">
            <v>Cassiopeia01</v>
          </cell>
          <cell r="H1536" t="str">
            <v>blue</v>
          </cell>
          <cell r="I1536">
            <v>5</v>
          </cell>
          <cell r="J1536" t="str">
            <v>PremiumSS</v>
          </cell>
          <cell r="K1536" t="str">
            <v>technical</v>
          </cell>
          <cell r="L1536" t="str">
            <v>テクニカルタイプ</v>
          </cell>
          <cell r="M1536" t="str">
            <v>human</v>
          </cell>
          <cell r="N1536" t="str">
            <v>ヒューマン</v>
          </cell>
          <cell r="O1536" t="str">
            <v>none</v>
          </cell>
          <cell r="P1536" t="str">
            <v>種族なし</v>
          </cell>
          <cell r="R1536">
            <v>1</v>
          </cell>
          <cell r="S1536" t="str">
            <v>NULL</v>
          </cell>
          <cell r="T1536" t="str">
            <v>normal</v>
          </cell>
          <cell r="U1536" t="str">
            <v>NULL</v>
          </cell>
          <cell r="V1536" t="str">
            <v>NULL</v>
          </cell>
          <cell r="W1536" t="str">
            <v>NULL</v>
          </cell>
        </row>
        <row r="1537">
          <cell r="A1537">
            <v>1564</v>
          </cell>
          <cell r="B1537" t="str">
            <v>ja</v>
          </cell>
          <cell r="C1537" t="str">
            <v>Cassiopeia02</v>
          </cell>
          <cell r="H1537" t="str">
            <v>blue</v>
          </cell>
          <cell r="I1537">
            <v>6</v>
          </cell>
          <cell r="J1537" t="str">
            <v>PremiumSS</v>
          </cell>
          <cell r="K1537" t="str">
            <v>technical</v>
          </cell>
          <cell r="L1537" t="str">
            <v>テクニカルタイプ</v>
          </cell>
          <cell r="M1537" t="str">
            <v>human</v>
          </cell>
          <cell r="N1537" t="str">
            <v>ヒューマン</v>
          </cell>
          <cell r="O1537" t="str">
            <v>none</v>
          </cell>
          <cell r="P1537" t="str">
            <v>種族なし</v>
          </cell>
          <cell r="R1537">
            <v>1</v>
          </cell>
          <cell r="S1537" t="str">
            <v>NULL</v>
          </cell>
          <cell r="T1537" t="str">
            <v>normal</v>
          </cell>
          <cell r="U1537" t="str">
            <v>NULL</v>
          </cell>
          <cell r="V1537" t="str">
            <v>NULL</v>
          </cell>
          <cell r="W1537" t="str">
            <v>NULL</v>
          </cell>
        </row>
        <row r="1538">
          <cell r="A1538">
            <v>1565</v>
          </cell>
          <cell r="B1538" t="str">
            <v>ja</v>
          </cell>
          <cell r="C1538" t="str">
            <v>Aquila01</v>
          </cell>
          <cell r="H1538" t="str">
            <v>green</v>
          </cell>
          <cell r="I1538">
            <v>5</v>
          </cell>
          <cell r="J1538" t="str">
            <v>PremiumS</v>
          </cell>
          <cell r="K1538" t="str">
            <v>attack</v>
          </cell>
          <cell r="L1538" t="str">
            <v>攻撃タイプ</v>
          </cell>
          <cell r="M1538" t="str">
            <v>human</v>
          </cell>
          <cell r="N1538" t="str">
            <v>ヒューマン</v>
          </cell>
          <cell r="O1538" t="str">
            <v>none</v>
          </cell>
          <cell r="P1538" t="str">
            <v>種族なし</v>
          </cell>
          <cell r="R1538">
            <v>1</v>
          </cell>
          <cell r="S1538" t="str">
            <v>NULL</v>
          </cell>
          <cell r="T1538" t="str">
            <v>normal</v>
          </cell>
          <cell r="U1538" t="str">
            <v>NULL</v>
          </cell>
          <cell r="V1538" t="str">
            <v>NULL</v>
          </cell>
          <cell r="W1538" t="str">
            <v>NULL</v>
          </cell>
        </row>
        <row r="1539">
          <cell r="A1539">
            <v>1566</v>
          </cell>
          <cell r="B1539" t="str">
            <v>ja</v>
          </cell>
          <cell r="C1539" t="str">
            <v>Phoenix01</v>
          </cell>
          <cell r="H1539" t="str">
            <v>red</v>
          </cell>
          <cell r="I1539">
            <v>5</v>
          </cell>
          <cell r="J1539" t="str">
            <v>PremiumSSS</v>
          </cell>
          <cell r="K1539" t="str">
            <v>heal</v>
          </cell>
          <cell r="L1539" t="str">
            <v>回復タイプ</v>
          </cell>
          <cell r="M1539" t="str">
            <v>human</v>
          </cell>
          <cell r="N1539" t="str">
            <v>ヒューマン</v>
          </cell>
          <cell r="O1539" t="str">
            <v>none</v>
          </cell>
          <cell r="P1539" t="str">
            <v>種族なし</v>
          </cell>
          <cell r="R1539">
            <v>1</v>
          </cell>
          <cell r="S1539" t="str">
            <v>NULL</v>
          </cell>
          <cell r="T1539" t="str">
            <v>normal</v>
          </cell>
          <cell r="U1539" t="str">
            <v>NULL</v>
          </cell>
          <cell r="V1539" t="str">
            <v>NULL</v>
          </cell>
          <cell r="W1539" t="str">
            <v>NULL</v>
          </cell>
        </row>
        <row r="1540">
          <cell r="A1540">
            <v>1567</v>
          </cell>
          <cell r="B1540" t="str">
            <v>ja</v>
          </cell>
          <cell r="C1540" t="str">
            <v>Phoenix02</v>
          </cell>
          <cell r="H1540" t="str">
            <v>red</v>
          </cell>
          <cell r="I1540">
            <v>6</v>
          </cell>
          <cell r="J1540" t="str">
            <v>PremiumSSS</v>
          </cell>
          <cell r="K1540" t="str">
            <v>heal</v>
          </cell>
          <cell r="L1540" t="str">
            <v>回復タイプ</v>
          </cell>
          <cell r="M1540" t="str">
            <v>human</v>
          </cell>
          <cell r="N1540" t="str">
            <v>ヒューマン</v>
          </cell>
          <cell r="O1540" t="str">
            <v>none</v>
          </cell>
          <cell r="P1540" t="str">
            <v>種族なし</v>
          </cell>
          <cell r="R1540">
            <v>1</v>
          </cell>
          <cell r="S1540" t="str">
            <v>NULL</v>
          </cell>
          <cell r="T1540" t="str">
            <v>normal</v>
          </cell>
          <cell r="U1540" t="str">
            <v>NULL</v>
          </cell>
          <cell r="V1540" t="str">
            <v>NULL</v>
          </cell>
          <cell r="W1540" t="str">
            <v>NULL</v>
          </cell>
        </row>
        <row r="1541">
          <cell r="A1541">
            <v>1568</v>
          </cell>
          <cell r="B1541" t="str">
            <v>ja</v>
          </cell>
          <cell r="C1541" t="str">
            <v>Orion01</v>
          </cell>
          <cell r="H1541" t="str">
            <v>green</v>
          </cell>
          <cell r="I1541">
            <v>5</v>
          </cell>
          <cell r="J1541" t="str">
            <v>PremiumSS</v>
          </cell>
          <cell r="K1541" t="str">
            <v>technical</v>
          </cell>
          <cell r="L1541" t="str">
            <v>テクニカルタイプ</v>
          </cell>
          <cell r="M1541" t="str">
            <v>human</v>
          </cell>
          <cell r="N1541" t="str">
            <v>ヒューマン</v>
          </cell>
          <cell r="O1541" t="str">
            <v>none</v>
          </cell>
          <cell r="P1541" t="str">
            <v>種族なし</v>
          </cell>
          <cell r="R1541">
            <v>1</v>
          </cell>
          <cell r="S1541" t="str">
            <v>NULL</v>
          </cell>
          <cell r="T1541" t="str">
            <v>normal</v>
          </cell>
          <cell r="U1541" t="str">
            <v>NULL</v>
          </cell>
          <cell r="V1541" t="str">
            <v>NULL</v>
          </cell>
          <cell r="W1541" t="str">
            <v>NULL</v>
          </cell>
        </row>
        <row r="1542">
          <cell r="A1542">
            <v>1569</v>
          </cell>
          <cell r="B1542" t="str">
            <v>ja</v>
          </cell>
          <cell r="C1542" t="str">
            <v>Orion02</v>
          </cell>
          <cell r="H1542" t="str">
            <v>green</v>
          </cell>
          <cell r="I1542">
            <v>6</v>
          </cell>
          <cell r="J1542" t="str">
            <v>PremiumSS</v>
          </cell>
          <cell r="K1542" t="str">
            <v>technical</v>
          </cell>
          <cell r="L1542" t="str">
            <v>テクニカルタイプ</v>
          </cell>
          <cell r="M1542" t="str">
            <v>human</v>
          </cell>
          <cell r="N1542" t="str">
            <v>ヒューマン</v>
          </cell>
          <cell r="O1542" t="str">
            <v>none</v>
          </cell>
          <cell r="P1542" t="str">
            <v>種族なし</v>
          </cell>
          <cell r="R1542">
            <v>1</v>
          </cell>
          <cell r="S1542" t="str">
            <v>NULL</v>
          </cell>
          <cell r="T1542" t="str">
            <v>normal</v>
          </cell>
          <cell r="U1542" t="str">
            <v>NULL</v>
          </cell>
          <cell r="V1542" t="str">
            <v>NULL</v>
          </cell>
          <cell r="W1542" t="str">
            <v>NULL</v>
          </cell>
        </row>
        <row r="1543">
          <cell r="A1543">
            <v>1570</v>
          </cell>
          <cell r="B1543" t="str">
            <v>ja</v>
          </cell>
          <cell r="C1543" t="str">
            <v>Centaurus01</v>
          </cell>
          <cell r="H1543" t="str">
            <v>yellow</v>
          </cell>
          <cell r="I1543">
            <v>5</v>
          </cell>
          <cell r="J1543" t="str">
            <v>PremiumS</v>
          </cell>
          <cell r="K1543" t="str">
            <v>balance</v>
          </cell>
          <cell r="L1543" t="str">
            <v>バランスタイプ</v>
          </cell>
          <cell r="M1543" t="str">
            <v>human</v>
          </cell>
          <cell r="N1543" t="str">
            <v>ヒューマン</v>
          </cell>
          <cell r="O1543" t="str">
            <v>none</v>
          </cell>
          <cell r="P1543" t="str">
            <v>種族なし</v>
          </cell>
          <cell r="R1543">
            <v>1</v>
          </cell>
          <cell r="S1543" t="str">
            <v>NULL</v>
          </cell>
          <cell r="T1543" t="str">
            <v>normal</v>
          </cell>
          <cell r="U1543" t="str">
            <v>NULL</v>
          </cell>
          <cell r="V1543" t="str">
            <v>NULL</v>
          </cell>
          <cell r="W1543" t="str">
            <v>NULL</v>
          </cell>
        </row>
        <row r="1544">
          <cell r="A1544">
            <v>1571</v>
          </cell>
          <cell r="B1544" t="str">
            <v>ja</v>
          </cell>
          <cell r="C1544" t="str">
            <v>Lupus01</v>
          </cell>
          <cell r="H1544" t="str">
            <v>red</v>
          </cell>
          <cell r="I1544">
            <v>5</v>
          </cell>
          <cell r="J1544" t="str">
            <v>DropWizSS</v>
          </cell>
          <cell r="K1544" t="str">
            <v>attack</v>
          </cell>
          <cell r="L1544" t="str">
            <v>攻撃タイプ</v>
          </cell>
          <cell r="M1544" t="str">
            <v>human</v>
          </cell>
          <cell r="N1544" t="str">
            <v>ヒューマン</v>
          </cell>
          <cell r="O1544" t="str">
            <v>none</v>
          </cell>
          <cell r="P1544" t="str">
            <v>種族なし</v>
          </cell>
          <cell r="R1544">
            <v>1</v>
          </cell>
          <cell r="S1544" t="str">
            <v>NULL</v>
          </cell>
          <cell r="T1544" t="str">
            <v>normal</v>
          </cell>
          <cell r="U1544" t="str">
            <v>NULL</v>
          </cell>
          <cell r="V1544" t="str">
            <v>NULL</v>
          </cell>
          <cell r="W1544" t="str">
            <v>NULL</v>
          </cell>
        </row>
        <row r="1545">
          <cell r="A1545">
            <v>1572</v>
          </cell>
          <cell r="B1545" t="str">
            <v>ja</v>
          </cell>
          <cell r="C1545" t="str">
            <v>Lupus02</v>
          </cell>
          <cell r="H1545" t="str">
            <v>red</v>
          </cell>
          <cell r="I1545">
            <v>6</v>
          </cell>
          <cell r="J1545" t="str">
            <v>DropWizSS</v>
          </cell>
          <cell r="K1545" t="str">
            <v>attack</v>
          </cell>
          <cell r="L1545" t="str">
            <v>攻撃タイプ</v>
          </cell>
          <cell r="M1545" t="str">
            <v>human</v>
          </cell>
          <cell r="N1545" t="str">
            <v>ヒューマン</v>
          </cell>
          <cell r="O1545" t="str">
            <v>none</v>
          </cell>
          <cell r="P1545" t="str">
            <v>種族なし</v>
          </cell>
          <cell r="R1545">
            <v>1</v>
          </cell>
          <cell r="S1545" t="str">
            <v>NULL</v>
          </cell>
          <cell r="T1545" t="str">
            <v>normal</v>
          </cell>
          <cell r="U1545" t="str">
            <v>NULL</v>
          </cell>
          <cell r="V1545" t="str">
            <v>NULL</v>
          </cell>
          <cell r="W1545" t="str">
            <v>NULL</v>
          </cell>
        </row>
        <row r="1546">
          <cell r="A1546">
            <v>1573</v>
          </cell>
          <cell r="B1546" t="str">
            <v>ja</v>
          </cell>
          <cell r="C1546" t="str">
            <v>Scorpius01</v>
          </cell>
          <cell r="H1546" t="str">
            <v>green</v>
          </cell>
          <cell r="I1546">
            <v>5</v>
          </cell>
          <cell r="J1546" t="str">
            <v>PremiumS</v>
          </cell>
          <cell r="K1546" t="str">
            <v>hp</v>
          </cell>
          <cell r="L1546" t="str">
            <v>体力タイプ</v>
          </cell>
          <cell r="M1546" t="str">
            <v>orochi</v>
          </cell>
          <cell r="N1546" t="str">
            <v>オロチ一族</v>
          </cell>
          <cell r="O1546" t="str">
            <v>none</v>
          </cell>
          <cell r="P1546" t="str">
            <v>種族なし</v>
          </cell>
          <cell r="R1546">
            <v>1</v>
          </cell>
          <cell r="S1546" t="str">
            <v>NULL</v>
          </cell>
          <cell r="T1546" t="str">
            <v>normal</v>
          </cell>
          <cell r="U1546" t="str">
            <v>NULL</v>
          </cell>
          <cell r="V1546" t="str">
            <v>NULL</v>
          </cell>
          <cell r="W1546" t="str">
            <v>NULL</v>
          </cell>
        </row>
        <row r="1547">
          <cell r="A1547">
            <v>1574</v>
          </cell>
          <cell r="B1547" t="str">
            <v>ja</v>
          </cell>
          <cell r="C1547" t="str">
            <v>Cancer01</v>
          </cell>
          <cell r="H1547" t="str">
            <v>yellow</v>
          </cell>
          <cell r="I1547">
            <v>5</v>
          </cell>
          <cell r="J1547" t="str">
            <v>PremiumS</v>
          </cell>
          <cell r="K1547" t="str">
            <v>technical</v>
          </cell>
          <cell r="L1547" t="str">
            <v>テクニカルタイプ</v>
          </cell>
          <cell r="M1547" t="str">
            <v>orochi</v>
          </cell>
          <cell r="N1547" t="str">
            <v>オロチ一族</v>
          </cell>
          <cell r="O1547" t="str">
            <v>none</v>
          </cell>
          <cell r="P1547" t="str">
            <v>種族なし</v>
          </cell>
          <cell r="R1547">
            <v>1</v>
          </cell>
          <cell r="S1547" t="str">
            <v>NULL</v>
          </cell>
          <cell r="T1547" t="str">
            <v>normal</v>
          </cell>
          <cell r="U1547" t="str">
            <v>NULL</v>
          </cell>
          <cell r="V1547" t="str">
            <v>NULL</v>
          </cell>
          <cell r="W1547" t="str">
            <v>NULL</v>
          </cell>
        </row>
        <row r="1548">
          <cell r="A1548">
            <v>1575</v>
          </cell>
          <cell r="B1548" t="str">
            <v>ja</v>
          </cell>
          <cell r="C1548" t="str">
            <v>Aquarius01</v>
          </cell>
          <cell r="H1548" t="str">
            <v>blue</v>
          </cell>
          <cell r="I1548">
            <v>5</v>
          </cell>
          <cell r="J1548" t="str">
            <v>DropWizS</v>
          </cell>
          <cell r="K1548" t="str">
            <v>attack</v>
          </cell>
          <cell r="L1548" t="str">
            <v>攻撃タイプ</v>
          </cell>
          <cell r="M1548" t="str">
            <v>human</v>
          </cell>
          <cell r="N1548" t="str">
            <v>ヒューマン</v>
          </cell>
          <cell r="O1548" t="str">
            <v>hero</v>
          </cell>
          <cell r="P1548" t="str">
            <v>ヒーロー</v>
          </cell>
          <cell r="R1548">
            <v>1</v>
          </cell>
          <cell r="S1548" t="str">
            <v>NULL</v>
          </cell>
          <cell r="T1548" t="str">
            <v>normal</v>
          </cell>
          <cell r="U1548" t="str">
            <v>NULL</v>
          </cell>
          <cell r="V1548" t="str">
            <v>NULL</v>
          </cell>
          <cell r="W1548" t="str">
            <v>NULL</v>
          </cell>
        </row>
        <row r="1549">
          <cell r="A1549">
            <v>1576</v>
          </cell>
          <cell r="B1549" t="str">
            <v>ja</v>
          </cell>
          <cell r="C1549" t="str">
            <v>Aquarius02</v>
          </cell>
          <cell r="H1549" t="str">
            <v>blue</v>
          </cell>
          <cell r="I1549">
            <v>6</v>
          </cell>
          <cell r="J1549" t="str">
            <v>DropWizS</v>
          </cell>
          <cell r="K1549" t="str">
            <v>attack</v>
          </cell>
          <cell r="L1549" t="str">
            <v>攻撃タイプ</v>
          </cell>
          <cell r="M1549" t="str">
            <v>human</v>
          </cell>
          <cell r="N1549" t="str">
            <v>ヒューマン</v>
          </cell>
          <cell r="O1549" t="str">
            <v>hero</v>
          </cell>
          <cell r="P1549" t="str">
            <v>ヒーロー</v>
          </cell>
          <cell r="R1549">
            <v>1</v>
          </cell>
          <cell r="S1549" t="str">
            <v>NULL</v>
          </cell>
          <cell r="T1549" t="str">
            <v>normal</v>
          </cell>
          <cell r="U1549" t="str">
            <v>NULL</v>
          </cell>
          <cell r="V1549" t="str">
            <v>NULL</v>
          </cell>
          <cell r="W1549" t="str">
            <v>NULL</v>
          </cell>
        </row>
        <row r="1550">
          <cell r="A1550">
            <v>1577</v>
          </cell>
          <cell r="B1550" t="str">
            <v>ja</v>
          </cell>
          <cell r="C1550" t="str">
            <v>Perseus01</v>
          </cell>
          <cell r="H1550" t="str">
            <v>yellow</v>
          </cell>
          <cell r="I1550">
            <v>5</v>
          </cell>
          <cell r="J1550" t="str">
            <v>PremiumS</v>
          </cell>
          <cell r="K1550" t="str">
            <v>attack</v>
          </cell>
          <cell r="L1550" t="str">
            <v>攻撃タイプ</v>
          </cell>
          <cell r="M1550" t="str">
            <v>human</v>
          </cell>
          <cell r="N1550" t="str">
            <v>ヒューマン</v>
          </cell>
          <cell r="O1550" t="str">
            <v>none</v>
          </cell>
          <cell r="P1550" t="str">
            <v>種族なし</v>
          </cell>
          <cell r="R1550">
            <v>1</v>
          </cell>
          <cell r="S1550" t="str">
            <v>NULL</v>
          </cell>
          <cell r="T1550" t="str">
            <v>normal</v>
          </cell>
          <cell r="U1550" t="str">
            <v>NULL</v>
          </cell>
          <cell r="V1550" t="str">
            <v>NULL</v>
          </cell>
          <cell r="W1550" t="str">
            <v>NULL</v>
          </cell>
        </row>
        <row r="1551">
          <cell r="A1551">
            <v>1578</v>
          </cell>
          <cell r="B1551" t="str">
            <v>ja</v>
          </cell>
          <cell r="C1551" t="str">
            <v>Hydra01</v>
          </cell>
          <cell r="H1551" t="str">
            <v>red</v>
          </cell>
          <cell r="I1551">
            <v>5</v>
          </cell>
          <cell r="J1551" t="str">
            <v>PremiumS</v>
          </cell>
          <cell r="K1551" t="str">
            <v>hp</v>
          </cell>
          <cell r="L1551" t="str">
            <v>体力タイプ</v>
          </cell>
          <cell r="M1551" t="str">
            <v>human</v>
          </cell>
          <cell r="N1551" t="str">
            <v>ヒューマン</v>
          </cell>
          <cell r="O1551" t="str">
            <v>none</v>
          </cell>
          <cell r="P1551" t="str">
            <v>種族なし</v>
          </cell>
          <cell r="R1551">
            <v>1</v>
          </cell>
          <cell r="S1551" t="str">
            <v>NULL</v>
          </cell>
          <cell r="T1551" t="str">
            <v>normal</v>
          </cell>
          <cell r="U1551" t="str">
            <v>NULL</v>
          </cell>
          <cell r="V1551" t="str">
            <v>NULL</v>
          </cell>
          <cell r="W1551" t="str">
            <v>NULL</v>
          </cell>
        </row>
        <row r="1552">
          <cell r="A1552">
            <v>1579</v>
          </cell>
          <cell r="B1552" t="str">
            <v>ja</v>
          </cell>
          <cell r="C1552" t="str">
            <v>Lyra01</v>
          </cell>
          <cell r="H1552" t="str">
            <v>red</v>
          </cell>
          <cell r="I1552">
            <v>5</v>
          </cell>
          <cell r="J1552" t="str">
            <v>DropWizS</v>
          </cell>
          <cell r="K1552" t="str">
            <v>hp</v>
          </cell>
          <cell r="L1552" t="str">
            <v>体力タイプ</v>
          </cell>
          <cell r="M1552" t="str">
            <v>human</v>
          </cell>
          <cell r="N1552" t="str">
            <v>ヒューマン</v>
          </cell>
          <cell r="O1552" t="str">
            <v>unknown</v>
          </cell>
          <cell r="P1552" t="str">
            <v>Unknown</v>
          </cell>
          <cell r="R1552">
            <v>1</v>
          </cell>
          <cell r="S1552" t="str">
            <v>NULL</v>
          </cell>
          <cell r="T1552" t="str">
            <v>normal</v>
          </cell>
          <cell r="U1552" t="str">
            <v>NULL</v>
          </cell>
          <cell r="V1552" t="str">
            <v>NULL</v>
          </cell>
          <cell r="W1552" t="str">
            <v>NULL</v>
          </cell>
        </row>
        <row r="1553">
          <cell r="A1553">
            <v>1580</v>
          </cell>
          <cell r="B1553" t="str">
            <v>ja</v>
          </cell>
          <cell r="C1553" t="str">
            <v>Lyra02</v>
          </cell>
          <cell r="H1553" t="str">
            <v>red</v>
          </cell>
          <cell r="I1553">
            <v>6</v>
          </cell>
          <cell r="J1553" t="str">
            <v>DropWizS</v>
          </cell>
          <cell r="K1553" t="str">
            <v>hp</v>
          </cell>
          <cell r="L1553" t="str">
            <v>体力タイプ</v>
          </cell>
          <cell r="M1553" t="str">
            <v>human</v>
          </cell>
          <cell r="N1553" t="str">
            <v>ヒューマン</v>
          </cell>
          <cell r="O1553" t="str">
            <v>unknown</v>
          </cell>
          <cell r="P1553" t="str">
            <v>Unknown</v>
          </cell>
          <cell r="R1553">
            <v>1</v>
          </cell>
          <cell r="S1553" t="str">
            <v>NULL</v>
          </cell>
          <cell r="T1553" t="str">
            <v>normal</v>
          </cell>
          <cell r="U1553" t="str">
            <v>NULL</v>
          </cell>
          <cell r="V1553" t="str">
            <v>NULL</v>
          </cell>
          <cell r="W1553" t="str">
            <v>NULL</v>
          </cell>
        </row>
        <row r="1554">
          <cell r="A1554">
            <v>1581</v>
          </cell>
          <cell r="B1554" t="str">
            <v>ja</v>
          </cell>
          <cell r="C1554" t="str">
            <v>Gemini01</v>
          </cell>
          <cell r="H1554" t="str">
            <v>red</v>
          </cell>
          <cell r="I1554">
            <v>5</v>
          </cell>
          <cell r="J1554" t="str">
            <v>DropWizS</v>
          </cell>
          <cell r="K1554" t="str">
            <v>technical</v>
          </cell>
          <cell r="L1554" t="str">
            <v>テクニカルタイプ</v>
          </cell>
          <cell r="M1554" t="str">
            <v>orochi</v>
          </cell>
          <cell r="N1554" t="str">
            <v>オロチ一族</v>
          </cell>
          <cell r="O1554" t="str">
            <v>none</v>
          </cell>
          <cell r="P1554" t="str">
            <v>種族なし</v>
          </cell>
          <cell r="R1554">
            <v>1</v>
          </cell>
          <cell r="S1554" t="str">
            <v>NULL</v>
          </cell>
          <cell r="T1554" t="str">
            <v>normal</v>
          </cell>
          <cell r="U1554" t="str">
            <v>NULL</v>
          </cell>
          <cell r="V1554" t="str">
            <v>NULL</v>
          </cell>
          <cell r="W1554" t="str">
            <v>NULL</v>
          </cell>
        </row>
        <row r="1555">
          <cell r="A1555">
            <v>1582</v>
          </cell>
          <cell r="B1555" t="str">
            <v>ja</v>
          </cell>
          <cell r="C1555" t="str">
            <v>Gemini02</v>
          </cell>
          <cell r="H1555" t="str">
            <v>red</v>
          </cell>
          <cell r="I1555">
            <v>6</v>
          </cell>
          <cell r="J1555" t="str">
            <v>DropWizS</v>
          </cell>
          <cell r="K1555" t="str">
            <v>technical</v>
          </cell>
          <cell r="L1555" t="str">
            <v>テクニカルタイプ</v>
          </cell>
          <cell r="M1555" t="str">
            <v>orochi</v>
          </cell>
          <cell r="N1555" t="str">
            <v>オロチ一族</v>
          </cell>
          <cell r="O1555" t="str">
            <v>none</v>
          </cell>
          <cell r="P1555" t="str">
            <v>種族なし</v>
          </cell>
          <cell r="R1555">
            <v>1</v>
          </cell>
          <cell r="S1555" t="str">
            <v>NULL</v>
          </cell>
          <cell r="T1555" t="str">
            <v>normal</v>
          </cell>
          <cell r="U1555" t="str">
            <v>NULL</v>
          </cell>
          <cell r="V1555" t="str">
            <v>NULL</v>
          </cell>
          <cell r="W1555" t="str">
            <v>NULL</v>
          </cell>
        </row>
        <row r="1556">
          <cell r="A1556">
            <v>1583</v>
          </cell>
          <cell r="B1556" t="str">
            <v>ja</v>
          </cell>
          <cell r="C1556" t="str">
            <v>Corvus01</v>
          </cell>
          <cell r="H1556" t="str">
            <v>red</v>
          </cell>
          <cell r="I1556">
            <v>6</v>
          </cell>
          <cell r="J1556" t="str">
            <v>DropWizS</v>
          </cell>
          <cell r="K1556" t="str">
            <v>attack</v>
          </cell>
          <cell r="L1556" t="str">
            <v>攻撃タイプ</v>
          </cell>
          <cell r="M1556" t="str">
            <v>orochi</v>
          </cell>
          <cell r="N1556" t="str">
            <v>オロチ一族</v>
          </cell>
          <cell r="O1556" t="str">
            <v>none</v>
          </cell>
          <cell r="P1556" t="str">
            <v>種族なし</v>
          </cell>
          <cell r="R1556">
            <v>1</v>
          </cell>
          <cell r="S1556" t="str">
            <v>NULL</v>
          </cell>
          <cell r="T1556" t="str">
            <v>normal</v>
          </cell>
          <cell r="U1556" t="str">
            <v>NULL</v>
          </cell>
          <cell r="V1556" t="str">
            <v>NULL</v>
          </cell>
          <cell r="W1556" t="str">
            <v>NULL</v>
          </cell>
        </row>
        <row r="1557">
          <cell r="A1557">
            <v>1584</v>
          </cell>
          <cell r="B1557" t="str">
            <v>ja</v>
          </cell>
          <cell r="C1557" t="str">
            <v>Sirius01</v>
          </cell>
          <cell r="H1557" t="str">
            <v>yellow</v>
          </cell>
          <cell r="I1557">
            <v>4</v>
          </cell>
          <cell r="J1557" t="str">
            <v>DropWizS</v>
          </cell>
          <cell r="K1557" t="str">
            <v>hp</v>
          </cell>
          <cell r="L1557" t="str">
            <v>体力タイプ</v>
          </cell>
          <cell r="M1557" t="str">
            <v>orochi</v>
          </cell>
          <cell r="N1557" t="str">
            <v>オロチ一族</v>
          </cell>
          <cell r="O1557" t="str">
            <v>none</v>
          </cell>
          <cell r="P1557" t="str">
            <v>種族なし</v>
          </cell>
          <cell r="R1557">
            <v>1</v>
          </cell>
          <cell r="S1557" t="str">
            <v>NULL</v>
          </cell>
          <cell r="T1557" t="str">
            <v>normal</v>
          </cell>
          <cell r="U1557" t="str">
            <v>NULL</v>
          </cell>
          <cell r="V1557" t="str">
            <v>NULL</v>
          </cell>
          <cell r="W1557" t="str">
            <v>NULL</v>
          </cell>
        </row>
        <row r="1558">
          <cell r="A1558">
            <v>1585</v>
          </cell>
          <cell r="B1558" t="str">
            <v>ja</v>
          </cell>
          <cell r="C1558" t="str">
            <v>Sirius02</v>
          </cell>
          <cell r="H1558" t="str">
            <v>yellow</v>
          </cell>
          <cell r="I1558">
            <v>5</v>
          </cell>
          <cell r="J1558" t="str">
            <v>DropWizS</v>
          </cell>
          <cell r="K1558" t="str">
            <v>hp</v>
          </cell>
          <cell r="L1558" t="str">
            <v>体力タイプ</v>
          </cell>
          <cell r="M1558" t="str">
            <v>orochi</v>
          </cell>
          <cell r="N1558" t="str">
            <v>オロチ一族</v>
          </cell>
          <cell r="O1558" t="str">
            <v>none</v>
          </cell>
          <cell r="P1558" t="str">
            <v>種族なし</v>
          </cell>
          <cell r="R1558">
            <v>1</v>
          </cell>
          <cell r="S1558" t="str">
            <v>NULL</v>
          </cell>
          <cell r="T1558" t="str">
            <v>normal</v>
          </cell>
          <cell r="U1558" t="str">
            <v>NULL</v>
          </cell>
          <cell r="V1558" t="str">
            <v>NULL</v>
          </cell>
          <cell r="W1558" t="str">
            <v>NULL</v>
          </cell>
        </row>
        <row r="1559">
          <cell r="A1559">
            <v>1586</v>
          </cell>
          <cell r="B1559" t="str">
            <v>ja</v>
          </cell>
          <cell r="C1559" t="str">
            <v>Sirius03</v>
          </cell>
          <cell r="H1559" t="str">
            <v>yellow</v>
          </cell>
          <cell r="I1559">
            <v>6</v>
          </cell>
          <cell r="J1559" t="str">
            <v>DropWizS</v>
          </cell>
          <cell r="K1559" t="str">
            <v>hp</v>
          </cell>
          <cell r="L1559" t="str">
            <v>体力タイプ</v>
          </cell>
          <cell r="M1559" t="str">
            <v>orochi</v>
          </cell>
          <cell r="N1559" t="str">
            <v>オロチ一族</v>
          </cell>
          <cell r="O1559" t="str">
            <v>none</v>
          </cell>
          <cell r="P1559" t="str">
            <v>種族なし</v>
          </cell>
          <cell r="R1559">
            <v>1</v>
          </cell>
          <cell r="S1559" t="str">
            <v>NULL</v>
          </cell>
          <cell r="T1559" t="str">
            <v>normal</v>
          </cell>
          <cell r="U1559" t="str">
            <v>NULL</v>
          </cell>
          <cell r="V1559" t="str">
            <v>NULL</v>
          </cell>
          <cell r="W1559" t="str">
            <v>NULL</v>
          </cell>
        </row>
        <row r="1560">
          <cell r="A1560">
            <v>1587</v>
          </cell>
          <cell r="B1560" t="str">
            <v>ja</v>
          </cell>
          <cell r="C1560" t="str">
            <v>Virgo01</v>
          </cell>
          <cell r="H1560" t="str">
            <v>green</v>
          </cell>
          <cell r="I1560">
            <v>5</v>
          </cell>
          <cell r="J1560" t="str">
            <v>DropWizS</v>
          </cell>
          <cell r="K1560" t="str">
            <v>heal</v>
          </cell>
          <cell r="L1560" t="str">
            <v>回復タイプ</v>
          </cell>
          <cell r="M1560" t="str">
            <v>human</v>
          </cell>
          <cell r="N1560" t="str">
            <v>ヒューマン</v>
          </cell>
          <cell r="O1560" t="str">
            <v>none</v>
          </cell>
          <cell r="P1560" t="str">
            <v>種族なし</v>
          </cell>
          <cell r="R1560">
            <v>1</v>
          </cell>
          <cell r="S1560" t="str">
            <v>NULL</v>
          </cell>
          <cell r="T1560" t="str">
            <v>normal</v>
          </cell>
          <cell r="U1560" t="str">
            <v>NULL</v>
          </cell>
          <cell r="V1560" t="str">
            <v>NULL</v>
          </cell>
          <cell r="W1560" t="str">
            <v>NULL</v>
          </cell>
        </row>
        <row r="1561">
          <cell r="A1561">
            <v>1588</v>
          </cell>
          <cell r="B1561" t="str">
            <v>ja</v>
          </cell>
          <cell r="C1561" t="str">
            <v>Virgo02</v>
          </cell>
          <cell r="H1561" t="str">
            <v>green</v>
          </cell>
          <cell r="I1561">
            <v>6</v>
          </cell>
          <cell r="J1561" t="str">
            <v>DropWizS</v>
          </cell>
          <cell r="K1561" t="str">
            <v>heal</v>
          </cell>
          <cell r="L1561" t="str">
            <v>回復タイプ</v>
          </cell>
          <cell r="M1561" t="str">
            <v>human</v>
          </cell>
          <cell r="N1561" t="str">
            <v>ヒューマン</v>
          </cell>
          <cell r="O1561" t="str">
            <v>none</v>
          </cell>
          <cell r="P1561" t="str">
            <v>種族なし</v>
          </cell>
          <cell r="R1561">
            <v>1</v>
          </cell>
          <cell r="S1561" t="str">
            <v>NULL</v>
          </cell>
          <cell r="T1561" t="str">
            <v>normal</v>
          </cell>
          <cell r="U1561" t="str">
            <v>NULL</v>
          </cell>
          <cell r="V1561" t="str">
            <v>NULL</v>
          </cell>
          <cell r="W1561" t="str">
            <v>NULL</v>
          </cell>
        </row>
        <row r="1562">
          <cell r="A1562">
            <v>1603</v>
          </cell>
          <cell r="B1562" t="str">
            <v>ja</v>
          </cell>
          <cell r="C1562" t="str">
            <v>麗貴なる洒落魔 エスタブ</v>
          </cell>
          <cell r="D1562" t="str">
            <v>未定</v>
          </cell>
          <cell r="E1562" t="str">
            <v>アリス</v>
          </cell>
          <cell r="F1562" t="str">
            <v>世界観</v>
          </cell>
          <cell r="G1562" t="str">
            <v>不明</v>
          </cell>
          <cell r="H1562" t="str">
            <v>blue</v>
          </cell>
          <cell r="I1562">
            <v>6</v>
          </cell>
          <cell r="J1562" t="str">
            <v>PremiumS</v>
          </cell>
          <cell r="K1562" t="str">
            <v>attack</v>
          </cell>
          <cell r="L1562" t="str">
            <v>攻撃タイプ</v>
          </cell>
          <cell r="M1562" t="str">
            <v>animal</v>
          </cell>
          <cell r="N1562" t="str">
            <v>アニマル</v>
          </cell>
          <cell r="O1562" t="str">
            <v>fantasy</v>
          </cell>
          <cell r="P1562" t="str">
            <v>ファンタジー</v>
          </cell>
          <cell r="Q1562" t="str">
            <v>アタッカー</v>
          </cell>
          <cell r="R1562">
            <v>3</v>
          </cell>
          <cell r="S1562" t="str">
            <v>NULL</v>
          </cell>
          <cell r="T1562" t="str">
            <v>normal</v>
          </cell>
          <cell r="U1562" t="str">
            <v>NULL</v>
          </cell>
          <cell r="V1562" t="str">
            <v>NULL</v>
          </cell>
          <cell r="W1562" t="str">
            <v>NULL</v>
          </cell>
        </row>
        <row r="1563">
          <cell r="A1563">
            <v>1604</v>
          </cell>
          <cell r="B1563" t="str">
            <v>ja</v>
          </cell>
          <cell r="C1563" t="str">
            <v>籠絡する魔戦線 ピノキオ</v>
          </cell>
          <cell r="D1563" t="str">
            <v>未定</v>
          </cell>
          <cell r="E1563" t="str">
            <v>アリス</v>
          </cell>
          <cell r="F1563" t="str">
            <v>世界観</v>
          </cell>
          <cell r="G1563" t="str">
            <v>不明</v>
          </cell>
          <cell r="H1563" t="str">
            <v>green</v>
          </cell>
          <cell r="I1563">
            <v>6</v>
          </cell>
          <cell r="J1563" t="str">
            <v>PremiumS</v>
          </cell>
          <cell r="K1563" t="str">
            <v>attack</v>
          </cell>
          <cell r="L1563" t="str">
            <v>攻撃タイプ</v>
          </cell>
          <cell r="M1563" t="str">
            <v>machine</v>
          </cell>
          <cell r="N1563" t="str">
            <v>マシン</v>
          </cell>
          <cell r="O1563" t="str">
            <v>fantasy</v>
          </cell>
          <cell r="P1563" t="str">
            <v>ファンタジー</v>
          </cell>
          <cell r="Q1563" t="str">
            <v>アタッカー</v>
          </cell>
          <cell r="R1563">
            <v>3</v>
          </cell>
          <cell r="S1563" t="str">
            <v>NULL</v>
          </cell>
          <cell r="T1563" t="str">
            <v>normal</v>
          </cell>
          <cell r="U1563" t="str">
            <v>NULL</v>
          </cell>
          <cell r="V1563" t="str">
            <v>NULL</v>
          </cell>
          <cell r="W1563" t="str">
            <v>NULL</v>
          </cell>
        </row>
        <row r="1564">
          <cell r="A1564">
            <v>1613</v>
          </cell>
          <cell r="B1564" t="str">
            <v>ja</v>
          </cell>
          <cell r="C1564" t="str">
            <v>ボスA</v>
          </cell>
          <cell r="D1564" t="str">
            <v>未定</v>
          </cell>
          <cell r="E1564" t="str">
            <v>アリス</v>
          </cell>
          <cell r="F1564" t="str">
            <v>世界観</v>
          </cell>
          <cell r="G1564" t="str">
            <v>不明</v>
          </cell>
          <cell r="H1564" t="str">
            <v>green</v>
          </cell>
          <cell r="I1564">
            <v>6</v>
          </cell>
          <cell r="J1564" t="str">
            <v>PremiumSSS</v>
          </cell>
          <cell r="K1564" t="str">
            <v>balance</v>
          </cell>
          <cell r="L1564" t="str">
            <v>バランスタイプ</v>
          </cell>
          <cell r="M1564" t="str">
            <v>unknown</v>
          </cell>
          <cell r="N1564" t="str">
            <v>Unknown</v>
          </cell>
          <cell r="O1564" t="str">
            <v>none</v>
          </cell>
          <cell r="P1564" t="str">
            <v>種族なし</v>
          </cell>
          <cell r="R1564">
            <v>1</v>
          </cell>
          <cell r="S1564" t="str">
            <v>NULL</v>
          </cell>
          <cell r="T1564" t="str">
            <v>normal</v>
          </cell>
          <cell r="U1564" t="str">
            <v>NULL</v>
          </cell>
          <cell r="V1564" t="str">
            <v>NULL</v>
          </cell>
          <cell r="W1564" t="str">
            <v>NULL</v>
          </cell>
        </row>
        <row r="1565">
          <cell r="A1565">
            <v>1614</v>
          </cell>
          <cell r="B1565" t="str">
            <v>ja</v>
          </cell>
          <cell r="C1565" t="str">
            <v>ボスB</v>
          </cell>
          <cell r="D1565" t="str">
            <v>未定</v>
          </cell>
          <cell r="E1565" t="str">
            <v>アリス</v>
          </cell>
          <cell r="F1565" t="str">
            <v>世界観</v>
          </cell>
          <cell r="G1565" t="str">
            <v>不明</v>
          </cell>
          <cell r="H1565" t="str">
            <v>yellow</v>
          </cell>
          <cell r="I1565">
            <v>6</v>
          </cell>
          <cell r="J1565" t="str">
            <v>PremiumSSw</v>
          </cell>
          <cell r="K1565" t="str">
            <v>balance</v>
          </cell>
          <cell r="L1565" t="str">
            <v>バランスタイプ</v>
          </cell>
          <cell r="M1565" t="str">
            <v>unknown</v>
          </cell>
          <cell r="N1565" t="str">
            <v>Unknown</v>
          </cell>
          <cell r="O1565" t="str">
            <v>none</v>
          </cell>
          <cell r="P1565" t="str">
            <v>種族なし</v>
          </cell>
          <cell r="R1565">
            <v>1</v>
          </cell>
          <cell r="S1565" t="str">
            <v>NULL</v>
          </cell>
          <cell r="T1565" t="str">
            <v>normal</v>
          </cell>
          <cell r="U1565" t="str">
            <v>NULL</v>
          </cell>
          <cell r="V1565" t="str">
            <v>NULL</v>
          </cell>
          <cell r="W1565" t="str">
            <v>NULL</v>
          </cell>
        </row>
        <row r="1566">
          <cell r="A1566">
            <v>1615</v>
          </cell>
          <cell r="B1566" t="str">
            <v>ja</v>
          </cell>
          <cell r="C1566" t="str">
            <v>ボスC</v>
          </cell>
          <cell r="H1566" t="str">
            <v>red</v>
          </cell>
          <cell r="I1566">
            <v>6</v>
          </cell>
          <cell r="J1566" t="str">
            <v>PremiumSS</v>
          </cell>
          <cell r="K1566" t="str">
            <v>balance</v>
          </cell>
          <cell r="L1566" t="str">
            <v>バランスタイプ</v>
          </cell>
          <cell r="M1566" t="str">
            <v>unknown</v>
          </cell>
          <cell r="N1566" t="str">
            <v>Unknown</v>
          </cell>
          <cell r="O1566" t="str">
            <v>none</v>
          </cell>
          <cell r="P1566" t="str">
            <v>種族なし</v>
          </cell>
          <cell r="R1566">
            <v>1</v>
          </cell>
          <cell r="S1566" t="str">
            <v>NULL</v>
          </cell>
          <cell r="T1566" t="str">
            <v>normal</v>
          </cell>
          <cell r="U1566" t="str">
            <v>NULL</v>
          </cell>
          <cell r="V1566" t="str">
            <v>NULL</v>
          </cell>
          <cell r="W1566" t="str">
            <v>NULL</v>
          </cell>
        </row>
        <row r="1567">
          <cell r="A1567">
            <v>1616</v>
          </cell>
          <cell r="B1567" t="str">
            <v>ja</v>
          </cell>
          <cell r="C1567" t="str">
            <v>空欄</v>
          </cell>
          <cell r="H1567" t="str">
            <v>green</v>
          </cell>
          <cell r="I1567">
            <v>6</v>
          </cell>
          <cell r="J1567" t="str">
            <v>DropWizS</v>
          </cell>
          <cell r="K1567" t="str">
            <v>technical</v>
          </cell>
          <cell r="L1567" t="str">
            <v>テクニカルタイプ</v>
          </cell>
          <cell r="M1567" t="str">
            <v>god</v>
          </cell>
          <cell r="N1567" t="str">
            <v>ゴッド</v>
          </cell>
          <cell r="O1567" t="str">
            <v>fantasy</v>
          </cell>
          <cell r="P1567" t="str">
            <v>ファンタジー</v>
          </cell>
          <cell r="R1567">
            <v>1</v>
          </cell>
          <cell r="S1567" t="str">
            <v>NULL</v>
          </cell>
          <cell r="T1567" t="str">
            <v>normal</v>
          </cell>
          <cell r="U1567" t="str">
            <v>NULL</v>
          </cell>
          <cell r="V1567" t="str">
            <v>NULL</v>
          </cell>
          <cell r="W1567" t="str">
            <v>NULL</v>
          </cell>
        </row>
        <row r="1568">
          <cell r="A1568">
            <v>1617</v>
          </cell>
          <cell r="B1568" t="str">
            <v>ja</v>
          </cell>
          <cell r="C1568" t="str">
            <v>空欄</v>
          </cell>
          <cell r="H1568" t="str">
            <v>blue</v>
          </cell>
          <cell r="I1568">
            <v>6</v>
          </cell>
          <cell r="J1568" t="str">
            <v>PremiumSSw</v>
          </cell>
          <cell r="K1568" t="str">
            <v>technical</v>
          </cell>
          <cell r="L1568" t="str">
            <v>テクニカルタイプ</v>
          </cell>
          <cell r="M1568" t="str">
            <v>human</v>
          </cell>
          <cell r="N1568" t="str">
            <v>ヒューマン</v>
          </cell>
          <cell r="O1568" t="str">
            <v>fantasy</v>
          </cell>
          <cell r="P1568" t="str">
            <v>ファンタジー</v>
          </cell>
          <cell r="R1568">
            <v>1</v>
          </cell>
          <cell r="S1568" t="str">
            <v>NULL</v>
          </cell>
          <cell r="T1568" t="str">
            <v>normal</v>
          </cell>
          <cell r="U1568" t="str">
            <v>NULL</v>
          </cell>
          <cell r="V1568" t="str">
            <v>NULL</v>
          </cell>
          <cell r="W1568" t="str">
            <v>NULL</v>
          </cell>
        </row>
        <row r="1569">
          <cell r="A1569">
            <v>1618</v>
          </cell>
          <cell r="B1569" t="str">
            <v>ja</v>
          </cell>
          <cell r="C1569" t="str">
            <v>空欄</v>
          </cell>
          <cell r="H1569" t="str">
            <v>red</v>
          </cell>
          <cell r="I1569">
            <v>6</v>
          </cell>
          <cell r="J1569" t="str">
            <v>PremiumSSw</v>
          </cell>
          <cell r="K1569" t="str">
            <v>technical</v>
          </cell>
          <cell r="L1569" t="str">
            <v>テクニカルタイプ</v>
          </cell>
          <cell r="M1569" t="str">
            <v>human</v>
          </cell>
          <cell r="N1569" t="str">
            <v>ヒューマン</v>
          </cell>
          <cell r="O1569" t="str">
            <v>fantasy</v>
          </cell>
          <cell r="P1569" t="str">
            <v>ファンタジー</v>
          </cell>
          <cell r="R1569">
            <v>1</v>
          </cell>
          <cell r="S1569" t="str">
            <v>NULL</v>
          </cell>
          <cell r="T1569" t="str">
            <v>normal</v>
          </cell>
          <cell r="U1569" t="str">
            <v>NULL</v>
          </cell>
          <cell r="V1569" t="str">
            <v>NULL</v>
          </cell>
          <cell r="W1569" t="str">
            <v>NULL</v>
          </cell>
        </row>
        <row r="1570">
          <cell r="A1570">
            <v>1619</v>
          </cell>
          <cell r="B1570" t="str">
            <v>ja</v>
          </cell>
          <cell r="C1570" t="str">
            <v>空欄</v>
          </cell>
          <cell r="H1570" t="str">
            <v>red</v>
          </cell>
          <cell r="I1570">
            <v>6</v>
          </cell>
          <cell r="J1570" t="str">
            <v>PremiumSS</v>
          </cell>
          <cell r="K1570" t="str">
            <v>heal</v>
          </cell>
          <cell r="L1570" t="str">
            <v>回復タイプ</v>
          </cell>
          <cell r="M1570" t="str">
            <v>human</v>
          </cell>
          <cell r="N1570" t="str">
            <v>ヒューマン</v>
          </cell>
          <cell r="O1570" t="str">
            <v>fantasy</v>
          </cell>
          <cell r="P1570" t="str">
            <v>ファンタジー</v>
          </cell>
          <cell r="R1570">
            <v>1</v>
          </cell>
          <cell r="S1570" t="str">
            <v>NULL</v>
          </cell>
          <cell r="T1570" t="str">
            <v>normal</v>
          </cell>
          <cell r="U1570" t="str">
            <v>NULL</v>
          </cell>
          <cell r="V1570" t="str">
            <v>NULL</v>
          </cell>
          <cell r="W1570" t="str">
            <v>NULL</v>
          </cell>
        </row>
        <row r="1571">
          <cell r="A1571">
            <v>1620</v>
          </cell>
          <cell r="B1571" t="str">
            <v>ja</v>
          </cell>
          <cell r="C1571" t="str">
            <v>空欄</v>
          </cell>
          <cell r="H1571" t="str">
            <v>green</v>
          </cell>
          <cell r="I1571">
            <v>6</v>
          </cell>
          <cell r="J1571" t="str">
            <v>PremiumSS</v>
          </cell>
          <cell r="K1571" t="str">
            <v>attack</v>
          </cell>
          <cell r="L1571" t="str">
            <v>攻撃タイプ</v>
          </cell>
          <cell r="M1571" t="str">
            <v>animal</v>
          </cell>
          <cell r="N1571" t="str">
            <v>アニマル</v>
          </cell>
          <cell r="O1571" t="str">
            <v>god</v>
          </cell>
          <cell r="P1571" t="str">
            <v>ゴッド</v>
          </cell>
          <cell r="R1571">
            <v>1</v>
          </cell>
          <cell r="S1571" t="str">
            <v>NULL</v>
          </cell>
          <cell r="T1571" t="str">
            <v>normal</v>
          </cell>
          <cell r="U1571" t="str">
            <v>NULL</v>
          </cell>
          <cell r="V1571" t="str">
            <v>NULL</v>
          </cell>
          <cell r="W1571" t="str">
            <v>NULL</v>
          </cell>
        </row>
        <row r="1572">
          <cell r="A1572">
            <v>1621</v>
          </cell>
          <cell r="B1572" t="str">
            <v>ja</v>
          </cell>
          <cell r="C1572" t="str">
            <v>空欄</v>
          </cell>
          <cell r="D1572" t="str">
            <v>未定</v>
          </cell>
          <cell r="E1572" t="str">
            <v>アリス</v>
          </cell>
          <cell r="F1572" t="str">
            <v>世界観</v>
          </cell>
          <cell r="G1572" t="str">
            <v>不明</v>
          </cell>
          <cell r="H1572" t="str">
            <v>blue</v>
          </cell>
          <cell r="I1572">
            <v>6</v>
          </cell>
          <cell r="J1572" t="str">
            <v>PremiumSS</v>
          </cell>
          <cell r="K1572" t="str">
            <v>technical</v>
          </cell>
          <cell r="L1572" t="str">
            <v>テクニカルタイプ</v>
          </cell>
          <cell r="M1572" t="str">
            <v>god</v>
          </cell>
          <cell r="N1572" t="str">
            <v>ゴッド</v>
          </cell>
          <cell r="O1572" t="str">
            <v>fantasy</v>
          </cell>
          <cell r="P1572" t="str">
            <v>ファンタジー</v>
          </cell>
          <cell r="R1572">
            <v>1</v>
          </cell>
          <cell r="S1572" t="str">
            <v>NULL</v>
          </cell>
          <cell r="T1572" t="str">
            <v>normal</v>
          </cell>
          <cell r="U1572" t="str">
            <v>NULL</v>
          </cell>
          <cell r="V1572" t="str">
            <v>NULL</v>
          </cell>
          <cell r="W1572" t="str">
            <v>NULL</v>
          </cell>
        </row>
        <row r="1573">
          <cell r="A1573">
            <v>1622</v>
          </cell>
          <cell r="B1573" t="str">
            <v>ja</v>
          </cell>
          <cell r="C1573" t="str">
            <v>空欄</v>
          </cell>
          <cell r="D1573" t="str">
            <v>未定</v>
          </cell>
          <cell r="E1573" t="str">
            <v>アリス</v>
          </cell>
          <cell r="F1573" t="str">
            <v>世界観</v>
          </cell>
          <cell r="G1573" t="str">
            <v>不明</v>
          </cell>
          <cell r="H1573" t="str">
            <v>yellow</v>
          </cell>
          <cell r="I1573">
            <v>6</v>
          </cell>
          <cell r="J1573" t="str">
            <v>PremiumSS</v>
          </cell>
          <cell r="K1573" t="str">
            <v>attack</v>
          </cell>
          <cell r="L1573" t="str">
            <v>攻撃タイプ</v>
          </cell>
          <cell r="M1573" t="str">
            <v>human</v>
          </cell>
          <cell r="N1573" t="str">
            <v>ヒューマン</v>
          </cell>
          <cell r="O1573" t="str">
            <v>fantasy</v>
          </cell>
          <cell r="P1573" t="str">
            <v>ファンタジー</v>
          </cell>
          <cell r="R1573">
            <v>1</v>
          </cell>
          <cell r="S1573" t="str">
            <v>NULL</v>
          </cell>
          <cell r="T1573" t="str">
            <v>normal</v>
          </cell>
          <cell r="U1573" t="str">
            <v>NULL</v>
          </cell>
          <cell r="V1573" t="str">
            <v>NULL</v>
          </cell>
          <cell r="W1573" t="str">
            <v>NULL</v>
          </cell>
        </row>
        <row r="1574">
          <cell r="A1574">
            <v>1623</v>
          </cell>
          <cell r="B1574" t="str">
            <v>ja</v>
          </cell>
          <cell r="C1574" t="str">
            <v>空欄</v>
          </cell>
          <cell r="D1574" t="str">
            <v>未定</v>
          </cell>
          <cell r="E1574" t="str">
            <v>アリス</v>
          </cell>
          <cell r="F1574" t="str">
            <v>世界観</v>
          </cell>
          <cell r="G1574" t="str">
            <v>不明</v>
          </cell>
          <cell r="H1574" t="str">
            <v>red</v>
          </cell>
          <cell r="I1574">
            <v>5</v>
          </cell>
          <cell r="J1574" t="str">
            <v>PremiumS</v>
          </cell>
          <cell r="K1574" t="str">
            <v>balance</v>
          </cell>
          <cell r="L1574" t="str">
            <v>バランスタイプ</v>
          </cell>
          <cell r="M1574" t="str">
            <v>human</v>
          </cell>
          <cell r="N1574" t="str">
            <v>ヒューマン</v>
          </cell>
          <cell r="O1574" t="str">
            <v>none</v>
          </cell>
          <cell r="P1574" t="str">
            <v>種族なし</v>
          </cell>
          <cell r="R1574">
            <v>1</v>
          </cell>
          <cell r="S1574" t="str">
            <v>NULL</v>
          </cell>
          <cell r="T1574" t="str">
            <v>normal</v>
          </cell>
          <cell r="U1574" t="str">
            <v>NULL</v>
          </cell>
          <cell r="V1574" t="str">
            <v>NULL</v>
          </cell>
          <cell r="W1574" t="str">
            <v>NULL</v>
          </cell>
        </row>
        <row r="1575">
          <cell r="A1575">
            <v>1624</v>
          </cell>
          <cell r="B1575" t="str">
            <v>ja</v>
          </cell>
          <cell r="C1575" t="str">
            <v>空欄</v>
          </cell>
          <cell r="D1575" t="str">
            <v>未定</v>
          </cell>
          <cell r="E1575" t="str">
            <v>アリス</v>
          </cell>
          <cell r="F1575" t="str">
            <v>世界観</v>
          </cell>
          <cell r="G1575" t="str">
            <v>不明</v>
          </cell>
          <cell r="H1575" t="str">
            <v>blue</v>
          </cell>
          <cell r="I1575">
            <v>5</v>
          </cell>
          <cell r="J1575" t="str">
            <v>PremiumS</v>
          </cell>
          <cell r="K1575" t="str">
            <v>attack</v>
          </cell>
          <cell r="L1575" t="str">
            <v>攻撃タイプ</v>
          </cell>
          <cell r="M1575" t="str">
            <v>animal</v>
          </cell>
          <cell r="N1575" t="str">
            <v>アニマル</v>
          </cell>
          <cell r="O1575" t="str">
            <v>fantasy</v>
          </cell>
          <cell r="P1575" t="str">
            <v>ファンタジー</v>
          </cell>
          <cell r="R1575">
            <v>1</v>
          </cell>
          <cell r="S1575" t="str">
            <v>NULL</v>
          </cell>
          <cell r="T1575" t="str">
            <v>normal</v>
          </cell>
          <cell r="U1575" t="str">
            <v>NULL</v>
          </cell>
          <cell r="V1575" t="str">
            <v>NULL</v>
          </cell>
          <cell r="W1575" t="str">
            <v>NULL</v>
          </cell>
        </row>
        <row r="1576">
          <cell r="A1576">
            <v>1687</v>
          </cell>
          <cell r="B1576" t="str">
            <v>ja</v>
          </cell>
          <cell r="C1576" t="str">
            <v>ファルネーゼ</v>
          </cell>
          <cell r="H1576" t="str">
            <v>green</v>
          </cell>
          <cell r="I1576">
            <v>5</v>
          </cell>
          <cell r="J1576" t="str">
            <v>DropWizS</v>
          </cell>
          <cell r="K1576" t="str">
            <v>technical</v>
          </cell>
          <cell r="L1576" t="str">
            <v>テクニカルタイプ</v>
          </cell>
          <cell r="M1576" t="str">
            <v>unknown</v>
          </cell>
          <cell r="N1576" t="str">
            <v>Unknown</v>
          </cell>
          <cell r="O1576" t="str">
            <v>none</v>
          </cell>
          <cell r="P1576" t="str">
            <v>種族なし</v>
          </cell>
          <cell r="R1576">
            <v>3</v>
          </cell>
          <cell r="S1576" t="str">
            <v>NULL</v>
          </cell>
          <cell r="T1576" t="str">
            <v>normal</v>
          </cell>
          <cell r="U1576" t="str">
            <v>NULL</v>
          </cell>
          <cell r="V1576" t="str">
            <v>NULL</v>
          </cell>
          <cell r="W1576" t="str">
            <v>NULL</v>
          </cell>
        </row>
        <row r="1577">
          <cell r="A1577">
            <v>1688</v>
          </cell>
          <cell r="B1577" t="str">
            <v>ja</v>
          </cell>
          <cell r="C1577" t="str">
            <v>ファルネーゼ・ロッソ</v>
          </cell>
          <cell r="H1577" t="str">
            <v>red</v>
          </cell>
          <cell r="I1577">
            <v>6</v>
          </cell>
          <cell r="J1577" t="str">
            <v>DropWizS</v>
          </cell>
          <cell r="K1577" t="str">
            <v>technical</v>
          </cell>
          <cell r="L1577" t="str">
            <v>テクニカルタイプ</v>
          </cell>
          <cell r="M1577" t="str">
            <v>unknown</v>
          </cell>
          <cell r="N1577" t="str">
            <v>Unknown</v>
          </cell>
          <cell r="O1577" t="str">
            <v>none</v>
          </cell>
          <cell r="P1577" t="str">
            <v>種族なし</v>
          </cell>
          <cell r="R1577">
            <v>3</v>
          </cell>
          <cell r="S1577" t="str">
            <v>NULL</v>
          </cell>
          <cell r="T1577" t="str">
            <v>super</v>
          </cell>
          <cell r="U1577" t="str">
            <v>NULL</v>
          </cell>
          <cell r="V1577" t="str">
            <v>NULL</v>
          </cell>
          <cell r="W1577" t="str">
            <v>NULL</v>
          </cell>
        </row>
        <row r="1578">
          <cell r="A1578">
            <v>1689</v>
          </cell>
          <cell r="B1578" t="str">
            <v>ja</v>
          </cell>
          <cell r="C1578" t="str">
            <v>ファルネーゼ・ヴェルデ</v>
          </cell>
          <cell r="H1578" t="str">
            <v>green</v>
          </cell>
          <cell r="I1578">
            <v>6</v>
          </cell>
          <cell r="J1578" t="str">
            <v>DropWizS</v>
          </cell>
          <cell r="K1578" t="str">
            <v>technical</v>
          </cell>
          <cell r="L1578" t="str">
            <v>テクニカルタイプ</v>
          </cell>
          <cell r="M1578" t="str">
            <v>unknown</v>
          </cell>
          <cell r="N1578" t="str">
            <v>Unknown</v>
          </cell>
          <cell r="O1578" t="str">
            <v>none</v>
          </cell>
          <cell r="P1578" t="str">
            <v>種族なし</v>
          </cell>
          <cell r="R1578">
            <v>3</v>
          </cell>
          <cell r="S1578" t="str">
            <v>NULL</v>
          </cell>
          <cell r="T1578" t="str">
            <v>super</v>
          </cell>
          <cell r="U1578" t="str">
            <v>NULL</v>
          </cell>
          <cell r="V1578" t="str">
            <v>NULL</v>
          </cell>
          <cell r="W1578" t="str">
            <v>NULL</v>
          </cell>
        </row>
        <row r="1579">
          <cell r="A1579">
            <v>1690</v>
          </cell>
          <cell r="B1579" t="str">
            <v>ja</v>
          </cell>
          <cell r="C1579" t="str">
            <v>ファルネーゼ・アズロ</v>
          </cell>
          <cell r="H1579" t="str">
            <v>blue</v>
          </cell>
          <cell r="I1579">
            <v>6</v>
          </cell>
          <cell r="J1579" t="str">
            <v>DropWizS</v>
          </cell>
          <cell r="K1579" t="str">
            <v>technical</v>
          </cell>
          <cell r="L1579" t="str">
            <v>テクニカルタイプ</v>
          </cell>
          <cell r="M1579" t="str">
            <v>unknown</v>
          </cell>
          <cell r="N1579" t="str">
            <v>Unknown</v>
          </cell>
          <cell r="O1579" t="str">
            <v>none</v>
          </cell>
          <cell r="P1579" t="str">
            <v>種族なし</v>
          </cell>
          <cell r="R1579">
            <v>3</v>
          </cell>
          <cell r="S1579" t="str">
            <v>NULL</v>
          </cell>
          <cell r="T1579" t="str">
            <v>super</v>
          </cell>
          <cell r="U1579" t="str">
            <v>NULL</v>
          </cell>
          <cell r="V1579" t="str">
            <v>NULL</v>
          </cell>
          <cell r="W1579" t="str">
            <v>NULL</v>
          </cell>
        </row>
        <row r="1580">
          <cell r="A1580">
            <v>1691</v>
          </cell>
          <cell r="B1580" t="str">
            <v>ja</v>
          </cell>
          <cell r="C1580" t="str">
            <v>ファルネーゼ・ジャロ</v>
          </cell>
          <cell r="H1580" t="str">
            <v>yellow</v>
          </cell>
          <cell r="I1580">
            <v>6</v>
          </cell>
          <cell r="J1580" t="str">
            <v>DropWizS</v>
          </cell>
          <cell r="K1580" t="str">
            <v>technical</v>
          </cell>
          <cell r="L1580" t="str">
            <v>テクニカルタイプ</v>
          </cell>
          <cell r="M1580" t="str">
            <v>unknown</v>
          </cell>
          <cell r="N1580" t="str">
            <v>Unknown</v>
          </cell>
          <cell r="O1580" t="str">
            <v>none</v>
          </cell>
          <cell r="P1580" t="str">
            <v>種族なし</v>
          </cell>
          <cell r="R1580">
            <v>3</v>
          </cell>
          <cell r="S1580" t="str">
            <v>NULL</v>
          </cell>
          <cell r="T1580" t="str">
            <v>super</v>
          </cell>
          <cell r="U1580" t="str">
            <v>NULL</v>
          </cell>
          <cell r="V1580" t="str">
            <v>NULL</v>
          </cell>
          <cell r="W1580" t="str">
            <v>NULL</v>
          </cell>
        </row>
        <row r="1581">
          <cell r="A1581">
            <v>1692</v>
          </cell>
          <cell r="B1581" t="str">
            <v>ja</v>
          </cell>
          <cell r="C1581" t="str">
            <v>ロッソ・ハート</v>
          </cell>
          <cell r="H1581" t="str">
            <v>red</v>
          </cell>
          <cell r="I1581">
            <v>6</v>
          </cell>
          <cell r="J1581" t="str">
            <v>Material</v>
          </cell>
          <cell r="K1581" t="str">
            <v>evolution</v>
          </cell>
          <cell r="L1581" t="str">
            <v>覚醒素材タイプ</v>
          </cell>
          <cell r="M1581" t="str">
            <v>unknown</v>
          </cell>
          <cell r="N1581" t="str">
            <v>Unknown</v>
          </cell>
          <cell r="O1581" t="str">
            <v>none</v>
          </cell>
          <cell r="P1581" t="str">
            <v>種族なし</v>
          </cell>
          <cell r="R1581">
            <v>3</v>
          </cell>
          <cell r="S1581" t="str">
            <v>NULL</v>
          </cell>
          <cell r="T1581" t="str">
            <v>normal</v>
          </cell>
          <cell r="U1581" t="str">
            <v>NULL</v>
          </cell>
          <cell r="V1581" t="str">
            <v>NULL</v>
          </cell>
          <cell r="W1581" t="str">
            <v>NULL</v>
          </cell>
        </row>
        <row r="1582">
          <cell r="A1582">
            <v>1693</v>
          </cell>
          <cell r="B1582" t="str">
            <v>ja</v>
          </cell>
          <cell r="C1582" t="str">
            <v>ヴェルデ・ハート</v>
          </cell>
          <cell r="H1582" t="str">
            <v>green</v>
          </cell>
          <cell r="I1582">
            <v>6</v>
          </cell>
          <cell r="J1582" t="str">
            <v>Material</v>
          </cell>
          <cell r="K1582" t="str">
            <v>evolution</v>
          </cell>
          <cell r="L1582" t="str">
            <v>覚醒素材タイプ</v>
          </cell>
          <cell r="M1582" t="str">
            <v>unknown</v>
          </cell>
          <cell r="N1582" t="str">
            <v>Unknown</v>
          </cell>
          <cell r="O1582" t="str">
            <v>none</v>
          </cell>
          <cell r="P1582" t="str">
            <v>種族なし</v>
          </cell>
          <cell r="R1582">
            <v>3</v>
          </cell>
          <cell r="S1582" t="str">
            <v>NULL</v>
          </cell>
          <cell r="T1582" t="str">
            <v>super</v>
          </cell>
          <cell r="U1582" t="str">
            <v>NULL</v>
          </cell>
          <cell r="V1582" t="str">
            <v>NULL</v>
          </cell>
          <cell r="W1582" t="str">
            <v>NULL</v>
          </cell>
        </row>
        <row r="1583">
          <cell r="A1583">
            <v>1694</v>
          </cell>
          <cell r="B1583" t="str">
            <v>ja</v>
          </cell>
          <cell r="C1583" t="str">
            <v>アズロ・ハート</v>
          </cell>
          <cell r="H1583" t="str">
            <v>blue</v>
          </cell>
          <cell r="I1583">
            <v>6</v>
          </cell>
          <cell r="J1583" t="str">
            <v>Material</v>
          </cell>
          <cell r="K1583" t="str">
            <v>evolution</v>
          </cell>
          <cell r="L1583" t="str">
            <v>覚醒素材タイプ</v>
          </cell>
          <cell r="M1583" t="str">
            <v>unknown</v>
          </cell>
          <cell r="N1583" t="str">
            <v>Unknown</v>
          </cell>
          <cell r="O1583" t="str">
            <v>none</v>
          </cell>
          <cell r="P1583" t="str">
            <v>種族なし</v>
          </cell>
          <cell r="R1583">
            <v>3</v>
          </cell>
          <cell r="S1583" t="str">
            <v>NULL</v>
          </cell>
          <cell r="T1583" t="str">
            <v>super</v>
          </cell>
          <cell r="U1583" t="str">
            <v>NULL</v>
          </cell>
          <cell r="V1583" t="str">
            <v>NULL</v>
          </cell>
          <cell r="W1583" t="str">
            <v>NULL</v>
          </cell>
        </row>
        <row r="1584">
          <cell r="A1584">
            <v>1695</v>
          </cell>
          <cell r="B1584" t="str">
            <v>ja</v>
          </cell>
          <cell r="C1584" t="str">
            <v>ジャロ・ハート</v>
          </cell>
          <cell r="H1584" t="str">
            <v>yellow</v>
          </cell>
          <cell r="I1584">
            <v>6</v>
          </cell>
          <cell r="J1584" t="str">
            <v>Material</v>
          </cell>
          <cell r="K1584" t="str">
            <v>evolution</v>
          </cell>
          <cell r="L1584" t="str">
            <v>覚醒素材タイプ</v>
          </cell>
          <cell r="M1584" t="str">
            <v>unknown</v>
          </cell>
          <cell r="N1584" t="str">
            <v>Unknown</v>
          </cell>
          <cell r="O1584" t="str">
            <v>none</v>
          </cell>
          <cell r="P1584" t="str">
            <v>種族なし</v>
          </cell>
          <cell r="R1584">
            <v>3</v>
          </cell>
          <cell r="S1584" t="str">
            <v>NULL</v>
          </cell>
          <cell r="T1584" t="str">
            <v>super</v>
          </cell>
          <cell r="U1584" t="str">
            <v>NULL</v>
          </cell>
          <cell r="V1584" t="str">
            <v>NULL</v>
          </cell>
          <cell r="W1584" t="str">
            <v>NULL</v>
          </cell>
        </row>
        <row r="1585">
          <cell r="A1585">
            <v>1696</v>
          </cell>
          <cell r="B1585" t="str">
            <v>ja</v>
          </cell>
          <cell r="C1585" t="str">
            <v>ファルネーゼ・コア</v>
          </cell>
          <cell r="H1585" t="str">
            <v>blue</v>
          </cell>
          <cell r="I1585">
            <v>4</v>
          </cell>
          <cell r="J1585" t="str">
            <v>Material</v>
          </cell>
          <cell r="K1585" t="str">
            <v>evolution</v>
          </cell>
          <cell r="L1585" t="str">
            <v>覚醒素材タイプ</v>
          </cell>
          <cell r="M1585" t="str">
            <v>unknown</v>
          </cell>
          <cell r="N1585" t="str">
            <v>Unknown</v>
          </cell>
          <cell r="O1585" t="str">
            <v>none</v>
          </cell>
          <cell r="P1585" t="str">
            <v>種族なし</v>
          </cell>
          <cell r="R1585">
            <v>3</v>
          </cell>
          <cell r="S1585" t="str">
            <v>NULL</v>
          </cell>
          <cell r="T1585" t="str">
            <v>super</v>
          </cell>
          <cell r="U1585" t="str">
            <v>NULL</v>
          </cell>
          <cell r="V1585" t="str">
            <v>NULL</v>
          </cell>
          <cell r="W1585" t="str">
            <v>NULL</v>
          </cell>
        </row>
        <row r="1586">
          <cell r="A1586">
            <v>1697</v>
          </cell>
          <cell r="B1586" t="str">
            <v>ja</v>
          </cell>
          <cell r="C1586" t="str">
            <v>駆動する機会 ガーネット</v>
          </cell>
          <cell r="H1586" t="str">
            <v>red</v>
          </cell>
          <cell r="I1586">
            <v>6</v>
          </cell>
          <cell r="J1586" t="str">
            <v>DropWizS</v>
          </cell>
          <cell r="K1586" t="str">
            <v>hp</v>
          </cell>
          <cell r="L1586" t="str">
            <v>体力タイプ</v>
          </cell>
          <cell r="M1586" t="str">
            <v>human</v>
          </cell>
          <cell r="N1586" t="str">
            <v>ヒューマン</v>
          </cell>
          <cell r="O1586" t="str">
            <v>fantasy</v>
          </cell>
          <cell r="P1586" t="str">
            <v>ファンタジー</v>
          </cell>
          <cell r="R1586">
            <v>2</v>
          </cell>
          <cell r="S1586" t="str">
            <v>NULL</v>
          </cell>
          <cell r="T1586" t="str">
            <v>normal</v>
          </cell>
          <cell r="U1586" t="str">
            <v>NULL</v>
          </cell>
          <cell r="V1586" t="str">
            <v>NULL</v>
          </cell>
          <cell r="W1586" t="str">
            <v>NULL</v>
          </cell>
        </row>
        <row r="1587">
          <cell r="A1587">
            <v>1698</v>
          </cell>
          <cell r="B1587" t="str">
            <v>ja</v>
          </cell>
          <cell r="C1587" t="str">
            <v>炎断の華嫁 ガーネット</v>
          </cell>
          <cell r="H1587" t="str">
            <v>red</v>
          </cell>
          <cell r="I1587">
            <v>6</v>
          </cell>
          <cell r="J1587" t="str">
            <v>DropWizS</v>
          </cell>
          <cell r="K1587" t="str">
            <v>hp</v>
          </cell>
          <cell r="L1587" t="str">
            <v>体力タイプ</v>
          </cell>
          <cell r="M1587" t="str">
            <v>human</v>
          </cell>
          <cell r="N1587" t="str">
            <v>ヒューマン</v>
          </cell>
          <cell r="O1587" t="str">
            <v>fantasy</v>
          </cell>
          <cell r="P1587" t="str">
            <v>ファンタジー</v>
          </cell>
          <cell r="R1587">
            <v>2</v>
          </cell>
          <cell r="S1587" t="str">
            <v>NULL</v>
          </cell>
          <cell r="T1587" t="str">
            <v>super</v>
          </cell>
          <cell r="U1587" t="str">
            <v>NULL</v>
          </cell>
          <cell r="V1587" t="str">
            <v>NULL</v>
          </cell>
          <cell r="W1587" t="str">
            <v>NULL</v>
          </cell>
        </row>
        <row r="1588">
          <cell r="A1588">
            <v>1699</v>
          </cell>
          <cell r="B1588" t="str">
            <v>ja</v>
          </cell>
          <cell r="C1588" t="str">
            <v>崇高祝言 アマテラス</v>
          </cell>
          <cell r="H1588" t="str">
            <v>green</v>
          </cell>
          <cell r="I1588">
            <v>6</v>
          </cell>
          <cell r="J1588" t="str">
            <v>DropWizS</v>
          </cell>
          <cell r="K1588" t="str">
            <v>technical</v>
          </cell>
          <cell r="L1588" t="str">
            <v>テクニカルタイプ</v>
          </cell>
          <cell r="M1588" t="str">
            <v>god</v>
          </cell>
          <cell r="N1588" t="str">
            <v>ゴッド</v>
          </cell>
          <cell r="O1588" t="str">
            <v>fantasy</v>
          </cell>
          <cell r="P1588" t="str">
            <v>ファンタジー</v>
          </cell>
          <cell r="R1588">
            <v>2</v>
          </cell>
          <cell r="S1588" t="str">
            <v>NULL</v>
          </cell>
          <cell r="T1588" t="str">
            <v>normal</v>
          </cell>
          <cell r="U1588" t="str">
            <v>NULL</v>
          </cell>
          <cell r="V1588" t="str">
            <v>NULL</v>
          </cell>
          <cell r="W1588" t="str">
            <v>NULL</v>
          </cell>
        </row>
        <row r="1589">
          <cell r="A1589">
            <v>1700</v>
          </cell>
          <cell r="B1589" t="str">
            <v>ja</v>
          </cell>
          <cell r="C1589" t="str">
            <v>大慶総氏神 アマテラス</v>
          </cell>
          <cell r="D1589" t="str">
            <v>未定</v>
          </cell>
          <cell r="E1589" t="str">
            <v>アリス</v>
          </cell>
          <cell r="F1589" t="str">
            <v>世界観</v>
          </cell>
          <cell r="G1589" t="str">
            <v>不明</v>
          </cell>
          <cell r="H1589" t="str">
            <v>green</v>
          </cell>
          <cell r="I1589">
            <v>6</v>
          </cell>
          <cell r="J1589" t="str">
            <v>DropWizS</v>
          </cell>
          <cell r="K1589" t="str">
            <v>technical</v>
          </cell>
          <cell r="L1589" t="str">
            <v>テクニカルタイプ</v>
          </cell>
          <cell r="M1589" t="str">
            <v>god</v>
          </cell>
          <cell r="N1589" t="str">
            <v>ゴッド</v>
          </cell>
          <cell r="O1589" t="str">
            <v>fantasy</v>
          </cell>
          <cell r="P1589" t="str">
            <v>ファンタジー</v>
          </cell>
          <cell r="R1589">
            <v>2</v>
          </cell>
          <cell r="S1589" t="str">
            <v>NULL</v>
          </cell>
          <cell r="T1589" t="str">
            <v>super</v>
          </cell>
          <cell r="U1589" t="str">
            <v>NULL</v>
          </cell>
          <cell r="V1589" t="str">
            <v>NULL</v>
          </cell>
          <cell r="W1589" t="str">
            <v>NULL</v>
          </cell>
        </row>
        <row r="1590">
          <cell r="A1590">
            <v>1701</v>
          </cell>
          <cell r="B1590" t="str">
            <v>ja</v>
          </cell>
          <cell r="C1590" t="str">
            <v>蒼嵐の婚戦 フォルトゥナ</v>
          </cell>
          <cell r="D1590" t="str">
            <v>未定</v>
          </cell>
          <cell r="E1590" t="str">
            <v>アリス</v>
          </cell>
          <cell r="F1590" t="str">
            <v>世界観</v>
          </cell>
          <cell r="G1590" t="str">
            <v>不明</v>
          </cell>
          <cell r="H1590" t="str">
            <v>blue</v>
          </cell>
          <cell r="I1590">
            <v>6</v>
          </cell>
          <cell r="J1590" t="str">
            <v>PremiumSSw</v>
          </cell>
          <cell r="K1590" t="str">
            <v>attack</v>
          </cell>
          <cell r="L1590" t="str">
            <v>攻撃タイプ</v>
          </cell>
          <cell r="M1590" t="str">
            <v>human</v>
          </cell>
          <cell r="N1590" t="str">
            <v>ヒューマン</v>
          </cell>
          <cell r="O1590" t="str">
            <v>fantasy</v>
          </cell>
          <cell r="P1590" t="str">
            <v>ファンタジー</v>
          </cell>
          <cell r="R1590">
            <v>2</v>
          </cell>
          <cell r="S1590" t="str">
            <v>NULL</v>
          </cell>
          <cell r="T1590" t="str">
            <v>normal</v>
          </cell>
          <cell r="U1590" t="str">
            <v>NULL</v>
          </cell>
          <cell r="V1590" t="str">
            <v>NULL</v>
          </cell>
          <cell r="W1590" t="str">
            <v>NULL</v>
          </cell>
        </row>
        <row r="1591">
          <cell r="A1591">
            <v>1702</v>
          </cell>
          <cell r="B1591" t="str">
            <v>ja</v>
          </cell>
          <cell r="C1591" t="str">
            <v>求愛の夢想剣 フォルトゥナ</v>
          </cell>
          <cell r="D1591" t="str">
            <v>未定</v>
          </cell>
          <cell r="E1591" t="str">
            <v>アリス</v>
          </cell>
          <cell r="F1591" t="str">
            <v>世界観</v>
          </cell>
          <cell r="G1591" t="str">
            <v>不明</v>
          </cell>
          <cell r="H1591" t="str">
            <v>blue</v>
          </cell>
          <cell r="I1591">
            <v>6</v>
          </cell>
          <cell r="J1591" t="str">
            <v>PremiumSSw</v>
          </cell>
          <cell r="K1591" t="str">
            <v>attack</v>
          </cell>
          <cell r="L1591" t="str">
            <v>攻撃タイプ</v>
          </cell>
          <cell r="M1591" t="str">
            <v>human</v>
          </cell>
          <cell r="N1591" t="str">
            <v>ヒューマン</v>
          </cell>
          <cell r="O1591" t="str">
            <v>fantasy</v>
          </cell>
          <cell r="P1591" t="str">
            <v>ファンタジー</v>
          </cell>
          <cell r="R1591">
            <v>2</v>
          </cell>
          <cell r="S1591" t="str">
            <v>NULL</v>
          </cell>
          <cell r="T1591" t="str">
            <v>super</v>
          </cell>
          <cell r="U1591" t="str">
            <v>NULL</v>
          </cell>
          <cell r="V1591" t="str">
            <v>NULL</v>
          </cell>
          <cell r="W1591" t="str">
            <v>NULL</v>
          </cell>
        </row>
        <row r="1592">
          <cell r="A1592">
            <v>1703</v>
          </cell>
          <cell r="B1592" t="str">
            <v>ja</v>
          </cell>
          <cell r="C1592" t="str">
            <v>可恋なる花乙女 リリィ</v>
          </cell>
          <cell r="D1592" t="str">
            <v>未定</v>
          </cell>
          <cell r="E1592" t="str">
            <v>アリス</v>
          </cell>
          <cell r="F1592" t="str">
            <v>世界観</v>
          </cell>
          <cell r="G1592" t="str">
            <v>不明</v>
          </cell>
          <cell r="H1592" t="str">
            <v>red</v>
          </cell>
          <cell r="I1592">
            <v>6</v>
          </cell>
          <cell r="J1592" t="str">
            <v>PremiumSSw</v>
          </cell>
          <cell r="K1592" t="str">
            <v>technical</v>
          </cell>
          <cell r="L1592" t="str">
            <v>テクニカルタイプ</v>
          </cell>
          <cell r="M1592" t="str">
            <v>human</v>
          </cell>
          <cell r="N1592" t="str">
            <v>ヒューマン</v>
          </cell>
          <cell r="O1592" t="str">
            <v>fantasy</v>
          </cell>
          <cell r="P1592" t="str">
            <v>ファンタジー</v>
          </cell>
          <cell r="R1592">
            <v>2</v>
          </cell>
          <cell r="S1592" t="str">
            <v>NULL</v>
          </cell>
          <cell r="T1592" t="str">
            <v>normal</v>
          </cell>
          <cell r="U1592" t="str">
            <v>NULL</v>
          </cell>
          <cell r="V1592" t="str">
            <v>NULL</v>
          </cell>
          <cell r="W1592" t="str">
            <v>NULL</v>
          </cell>
        </row>
        <row r="1593">
          <cell r="A1593">
            <v>1704</v>
          </cell>
          <cell r="B1593" t="str">
            <v>ja</v>
          </cell>
          <cell r="C1593" t="str">
            <v>恋焦がす夢乙女 リリィ</v>
          </cell>
          <cell r="H1593" t="str">
            <v>red</v>
          </cell>
          <cell r="I1593">
            <v>6</v>
          </cell>
          <cell r="J1593" t="str">
            <v>PremiumSSw</v>
          </cell>
          <cell r="K1593" t="str">
            <v>technical</v>
          </cell>
          <cell r="L1593" t="str">
            <v>テクニカルタイプ</v>
          </cell>
          <cell r="M1593" t="str">
            <v>human</v>
          </cell>
          <cell r="N1593" t="str">
            <v>ヒューマン</v>
          </cell>
          <cell r="O1593" t="str">
            <v>fantasy</v>
          </cell>
          <cell r="P1593" t="str">
            <v>ファンタジー</v>
          </cell>
          <cell r="R1593">
            <v>2</v>
          </cell>
          <cell r="S1593" t="str">
            <v>NULL</v>
          </cell>
          <cell r="T1593" t="str">
            <v>super</v>
          </cell>
          <cell r="U1593" t="str">
            <v>NULL</v>
          </cell>
          <cell r="V1593" t="str">
            <v>NULL</v>
          </cell>
          <cell r="W1593" t="str">
            <v>NULL</v>
          </cell>
        </row>
        <row r="1594">
          <cell r="A1594">
            <v>1705</v>
          </cell>
          <cell r="B1594" t="str">
            <v>ja</v>
          </cell>
          <cell r="C1594" t="str">
            <v>純白の新婦軍 白雪姫</v>
          </cell>
          <cell r="H1594" t="str">
            <v>red</v>
          </cell>
          <cell r="I1594">
            <v>6</v>
          </cell>
          <cell r="J1594" t="str">
            <v>PremiumSS</v>
          </cell>
          <cell r="K1594" t="str">
            <v>heal</v>
          </cell>
          <cell r="L1594" t="str">
            <v>回復タイプ</v>
          </cell>
          <cell r="M1594" t="str">
            <v>human</v>
          </cell>
          <cell r="N1594" t="str">
            <v>ヒューマン</v>
          </cell>
          <cell r="O1594" t="str">
            <v>fantasy</v>
          </cell>
          <cell r="P1594" t="str">
            <v>ファンタジー</v>
          </cell>
          <cell r="R1594">
            <v>2</v>
          </cell>
          <cell r="S1594" t="str">
            <v>NULL</v>
          </cell>
          <cell r="T1594" t="str">
            <v>normal</v>
          </cell>
          <cell r="U1594" t="str">
            <v>NULL</v>
          </cell>
          <cell r="V1594" t="str">
            <v>NULL</v>
          </cell>
          <cell r="W1594" t="str">
            <v>NULL</v>
          </cell>
        </row>
        <row r="1595">
          <cell r="A1595">
            <v>1706</v>
          </cell>
          <cell r="B1595" t="str">
            <v>ja</v>
          </cell>
          <cell r="C1595" t="str">
            <v>幸福なる大祝砲 白雪姫</v>
          </cell>
          <cell r="H1595" t="str">
            <v>red</v>
          </cell>
          <cell r="I1595">
            <v>6</v>
          </cell>
          <cell r="J1595" t="str">
            <v>PremiumSS</v>
          </cell>
          <cell r="K1595" t="str">
            <v>heal</v>
          </cell>
          <cell r="L1595" t="str">
            <v>回復タイプ</v>
          </cell>
          <cell r="M1595" t="str">
            <v>human</v>
          </cell>
          <cell r="N1595" t="str">
            <v>ヒューマン</v>
          </cell>
          <cell r="O1595" t="str">
            <v>fantasy</v>
          </cell>
          <cell r="P1595" t="str">
            <v>ファンタジー</v>
          </cell>
          <cell r="R1595">
            <v>2</v>
          </cell>
          <cell r="S1595" t="str">
            <v>NULL</v>
          </cell>
          <cell r="T1595" t="str">
            <v>super</v>
          </cell>
          <cell r="U1595" t="str">
            <v>NULL</v>
          </cell>
          <cell r="V1595" t="str">
            <v>NULL</v>
          </cell>
          <cell r="W1595" t="str">
            <v>NULL</v>
          </cell>
        </row>
        <row r="1596">
          <cell r="A1596">
            <v>1707</v>
          </cell>
          <cell r="B1596" t="str">
            <v>ja</v>
          </cell>
          <cell r="C1596" t="str">
            <v>親愛なる猫嫁神 バステト</v>
          </cell>
          <cell r="H1596" t="str">
            <v>green</v>
          </cell>
          <cell r="I1596">
            <v>6</v>
          </cell>
          <cell r="J1596" t="str">
            <v>PremiumSS</v>
          </cell>
          <cell r="K1596" t="str">
            <v>attack</v>
          </cell>
          <cell r="L1596" t="str">
            <v>攻撃タイプ</v>
          </cell>
          <cell r="M1596" t="str">
            <v>animal</v>
          </cell>
          <cell r="N1596" t="str">
            <v>アニマル</v>
          </cell>
          <cell r="O1596" t="str">
            <v>god</v>
          </cell>
          <cell r="P1596" t="str">
            <v>ゴッド</v>
          </cell>
          <cell r="R1596">
            <v>2</v>
          </cell>
          <cell r="S1596" t="str">
            <v>NULL</v>
          </cell>
          <cell r="T1596" t="str">
            <v>normal</v>
          </cell>
          <cell r="U1596" t="str">
            <v>NULL</v>
          </cell>
          <cell r="V1596" t="str">
            <v>NULL</v>
          </cell>
          <cell r="W1596" t="str">
            <v>NULL</v>
          </cell>
        </row>
        <row r="1597">
          <cell r="A1597">
            <v>1708</v>
          </cell>
          <cell r="B1597" t="str">
            <v>ja</v>
          </cell>
          <cell r="C1597" t="str">
            <v>御聖婚の幸猫神 バステト</v>
          </cell>
          <cell r="H1597" t="str">
            <v>green</v>
          </cell>
          <cell r="I1597">
            <v>6</v>
          </cell>
          <cell r="J1597" t="str">
            <v>PremiumSS</v>
          </cell>
          <cell r="K1597" t="str">
            <v>attack</v>
          </cell>
          <cell r="L1597" t="str">
            <v>攻撃タイプ</v>
          </cell>
          <cell r="M1597" t="str">
            <v>animal</v>
          </cell>
          <cell r="N1597" t="str">
            <v>アニマル</v>
          </cell>
          <cell r="O1597" t="str">
            <v>god</v>
          </cell>
          <cell r="P1597" t="str">
            <v>ゴッド</v>
          </cell>
          <cell r="R1597">
            <v>2</v>
          </cell>
          <cell r="S1597" t="str">
            <v>NULL</v>
          </cell>
          <cell r="T1597" t="str">
            <v>super</v>
          </cell>
          <cell r="U1597" t="str">
            <v>NULL</v>
          </cell>
          <cell r="V1597" t="str">
            <v>NULL</v>
          </cell>
          <cell r="W1597" t="str">
            <v>NULL</v>
          </cell>
        </row>
        <row r="1598">
          <cell r="A1598">
            <v>1709</v>
          </cell>
          <cell r="B1598" t="str">
            <v>ja</v>
          </cell>
          <cell r="C1598" t="str">
            <v>情花降る神婦 イズン</v>
          </cell>
          <cell r="H1598" t="str">
            <v>blue</v>
          </cell>
          <cell r="I1598">
            <v>6</v>
          </cell>
          <cell r="J1598" t="str">
            <v>PremiumSS</v>
          </cell>
          <cell r="K1598" t="str">
            <v>technical</v>
          </cell>
          <cell r="L1598" t="str">
            <v>テクニカルタイプ</v>
          </cell>
          <cell r="M1598" t="str">
            <v>god</v>
          </cell>
          <cell r="N1598" t="str">
            <v>ゴッド</v>
          </cell>
          <cell r="O1598" t="str">
            <v>fantasy</v>
          </cell>
          <cell r="P1598" t="str">
            <v>ファンタジー</v>
          </cell>
          <cell r="R1598">
            <v>2</v>
          </cell>
          <cell r="S1598" t="str">
            <v>NULL</v>
          </cell>
          <cell r="T1598" t="str">
            <v>normal</v>
          </cell>
          <cell r="U1598" t="str">
            <v>NULL</v>
          </cell>
          <cell r="V1598" t="str">
            <v>NULL</v>
          </cell>
          <cell r="W1598" t="str">
            <v>NULL</v>
          </cell>
        </row>
        <row r="1599">
          <cell r="A1599">
            <v>1710</v>
          </cell>
          <cell r="B1599" t="str">
            <v>ja</v>
          </cell>
          <cell r="C1599" t="str">
            <v>慎愛なる女神の契 イズン</v>
          </cell>
          <cell r="D1599" t="str">
            <v>未定</v>
          </cell>
          <cell r="E1599" t="str">
            <v>アリス</v>
          </cell>
          <cell r="F1599" t="str">
            <v>世界観</v>
          </cell>
          <cell r="G1599" t="str">
            <v>不明</v>
          </cell>
          <cell r="H1599" t="str">
            <v>blue</v>
          </cell>
          <cell r="I1599">
            <v>6</v>
          </cell>
          <cell r="J1599" t="str">
            <v>PremiumSS</v>
          </cell>
          <cell r="K1599" t="str">
            <v>technical</v>
          </cell>
          <cell r="L1599" t="str">
            <v>テクニカルタイプ</v>
          </cell>
          <cell r="M1599" t="str">
            <v>god</v>
          </cell>
          <cell r="N1599" t="str">
            <v>ゴッド</v>
          </cell>
          <cell r="O1599" t="str">
            <v>fantasy</v>
          </cell>
          <cell r="P1599" t="str">
            <v>ファンタジー</v>
          </cell>
          <cell r="R1599">
            <v>2</v>
          </cell>
          <cell r="S1599" t="str">
            <v>NULL</v>
          </cell>
          <cell r="T1599" t="str">
            <v>super</v>
          </cell>
          <cell r="U1599" t="str">
            <v>NULL</v>
          </cell>
          <cell r="V1599" t="str">
            <v>NULL</v>
          </cell>
          <cell r="W1599" t="str">
            <v>NULL</v>
          </cell>
        </row>
        <row r="1600">
          <cell r="A1600">
            <v>1711</v>
          </cell>
          <cell r="B1600" t="str">
            <v>ja</v>
          </cell>
          <cell r="C1600" t="str">
            <v>誓愛求婚の新郎 諸葛亮</v>
          </cell>
          <cell r="D1600" t="str">
            <v>未定</v>
          </cell>
          <cell r="E1600" t="str">
            <v>アリス</v>
          </cell>
          <cell r="F1600" t="str">
            <v>世界観</v>
          </cell>
          <cell r="G1600" t="str">
            <v>不明</v>
          </cell>
          <cell r="H1600" t="str">
            <v>yellow</v>
          </cell>
          <cell r="I1600">
            <v>6</v>
          </cell>
          <cell r="J1600" t="str">
            <v>PremiumSS</v>
          </cell>
          <cell r="K1600" t="str">
            <v>attack</v>
          </cell>
          <cell r="L1600" t="str">
            <v>攻撃タイプ</v>
          </cell>
          <cell r="M1600" t="str">
            <v>human</v>
          </cell>
          <cell r="N1600" t="str">
            <v>ヒューマン</v>
          </cell>
          <cell r="O1600" t="str">
            <v>fantasy</v>
          </cell>
          <cell r="P1600" t="str">
            <v>ファンタジー</v>
          </cell>
          <cell r="R1600">
            <v>2</v>
          </cell>
          <cell r="S1600" t="str">
            <v>NULL</v>
          </cell>
          <cell r="T1600" t="str">
            <v>normal</v>
          </cell>
          <cell r="U1600" t="str">
            <v>NULL</v>
          </cell>
          <cell r="V1600" t="str">
            <v>NULL</v>
          </cell>
          <cell r="W1600" t="str">
            <v>NULL</v>
          </cell>
        </row>
        <row r="1601">
          <cell r="A1601">
            <v>1712</v>
          </cell>
          <cell r="B1601" t="str">
            <v>ja</v>
          </cell>
          <cell r="C1601" t="str">
            <v>一蓮托生の双環 諸葛亮</v>
          </cell>
          <cell r="D1601" t="str">
            <v>未定</v>
          </cell>
          <cell r="E1601" t="str">
            <v>アリス</v>
          </cell>
          <cell r="F1601" t="str">
            <v>世界観</v>
          </cell>
          <cell r="G1601" t="str">
            <v>不明</v>
          </cell>
          <cell r="H1601" t="str">
            <v>yellow</v>
          </cell>
          <cell r="I1601">
            <v>6</v>
          </cell>
          <cell r="J1601" t="str">
            <v>PremiumSS</v>
          </cell>
          <cell r="K1601" t="str">
            <v>attack</v>
          </cell>
          <cell r="L1601" t="str">
            <v>攻撃タイプ</v>
          </cell>
          <cell r="M1601" t="str">
            <v>human</v>
          </cell>
          <cell r="N1601" t="str">
            <v>ヒューマン</v>
          </cell>
          <cell r="O1601" t="str">
            <v>fantasy</v>
          </cell>
          <cell r="P1601" t="str">
            <v>ファンタジー</v>
          </cell>
          <cell r="R1601">
            <v>2</v>
          </cell>
          <cell r="S1601" t="str">
            <v>NULL</v>
          </cell>
          <cell r="T1601" t="str">
            <v>super</v>
          </cell>
          <cell r="U1601" t="str">
            <v>NULL</v>
          </cell>
          <cell r="V1601" t="str">
            <v>NULL</v>
          </cell>
          <cell r="W1601" t="str">
            <v>NULL</v>
          </cell>
        </row>
        <row r="1602">
          <cell r="A1602">
            <v>1713</v>
          </cell>
          <cell r="B1602" t="str">
            <v>ja</v>
          </cell>
          <cell r="C1602" t="str">
            <v>誓約の挙剣 ジークフリート</v>
          </cell>
          <cell r="D1602" t="str">
            <v>未定</v>
          </cell>
          <cell r="E1602" t="str">
            <v>アリス</v>
          </cell>
          <cell r="F1602" t="str">
            <v>世界観</v>
          </cell>
          <cell r="G1602" t="str">
            <v>不明</v>
          </cell>
          <cell r="H1602" t="str">
            <v>red</v>
          </cell>
          <cell r="I1602">
            <v>5</v>
          </cell>
          <cell r="J1602" t="str">
            <v>PremiumS</v>
          </cell>
          <cell r="K1602" t="str">
            <v>balance</v>
          </cell>
          <cell r="L1602" t="str">
            <v>バランスタイプ</v>
          </cell>
          <cell r="M1602" t="str">
            <v>human</v>
          </cell>
          <cell r="N1602" t="str">
            <v>ヒューマン</v>
          </cell>
          <cell r="O1602" t="str">
            <v>none</v>
          </cell>
          <cell r="P1602" t="str">
            <v>種族なし</v>
          </cell>
          <cell r="R1602">
            <v>2</v>
          </cell>
          <cell r="S1602" t="str">
            <v>NULL</v>
          </cell>
          <cell r="T1602" t="str">
            <v>normal</v>
          </cell>
          <cell r="U1602" t="str">
            <v>NULL</v>
          </cell>
          <cell r="V1602" t="str">
            <v>NULL</v>
          </cell>
          <cell r="W1602" t="str">
            <v>NULL</v>
          </cell>
        </row>
        <row r="1603">
          <cell r="A1603">
            <v>1714</v>
          </cell>
          <cell r="B1603" t="str">
            <v>ja</v>
          </cell>
          <cell r="C1603" t="str">
            <v>仁愛の祝賀剣 ジークフリート</v>
          </cell>
          <cell r="H1603" t="str">
            <v>red</v>
          </cell>
          <cell r="I1603">
            <v>5</v>
          </cell>
          <cell r="J1603" t="str">
            <v>PremiumS</v>
          </cell>
          <cell r="K1603" t="str">
            <v>balance</v>
          </cell>
          <cell r="L1603" t="str">
            <v>バランスタイプ</v>
          </cell>
          <cell r="M1603" t="str">
            <v>human</v>
          </cell>
          <cell r="N1603" t="str">
            <v>ヒューマン</v>
          </cell>
          <cell r="O1603" t="str">
            <v>none</v>
          </cell>
          <cell r="P1603" t="str">
            <v>種族なし</v>
          </cell>
          <cell r="R1603">
            <v>2</v>
          </cell>
          <cell r="S1603" t="str">
            <v>NULL</v>
          </cell>
          <cell r="T1603" t="str">
            <v>super</v>
          </cell>
          <cell r="U1603" t="str">
            <v>NULL</v>
          </cell>
          <cell r="V1603" t="str">
            <v>NULL</v>
          </cell>
          <cell r="W1603" t="str">
            <v>NULL</v>
          </cell>
        </row>
        <row r="1604">
          <cell r="A1604">
            <v>1715</v>
          </cell>
          <cell r="B1604" t="str">
            <v>ja</v>
          </cell>
          <cell r="C1604" t="str">
            <v>森歓の祝宴 アマラ</v>
          </cell>
          <cell r="H1604" t="str">
            <v>blue</v>
          </cell>
          <cell r="I1604">
            <v>5</v>
          </cell>
          <cell r="J1604" t="str">
            <v>PremiumS</v>
          </cell>
          <cell r="K1604" t="str">
            <v>attack</v>
          </cell>
          <cell r="L1604" t="str">
            <v>攻撃タイプ</v>
          </cell>
          <cell r="M1604" t="str">
            <v>animal</v>
          </cell>
          <cell r="N1604" t="str">
            <v>アニマル</v>
          </cell>
          <cell r="O1604" t="str">
            <v>fantasy</v>
          </cell>
          <cell r="P1604" t="str">
            <v>ファンタジー</v>
          </cell>
          <cell r="R1604">
            <v>2</v>
          </cell>
          <cell r="S1604" t="str">
            <v>NULL</v>
          </cell>
          <cell r="T1604" t="str">
            <v>normal</v>
          </cell>
          <cell r="U1604" t="str">
            <v>NULL</v>
          </cell>
          <cell r="V1604" t="str">
            <v>NULL</v>
          </cell>
          <cell r="W1604" t="str">
            <v>NULL</v>
          </cell>
        </row>
        <row r="1605">
          <cell r="A1605">
            <v>1716</v>
          </cell>
          <cell r="B1605" t="str">
            <v>ja</v>
          </cell>
          <cell r="C1605" t="str">
            <v>森婚の祝福祭 アマラ</v>
          </cell>
          <cell r="H1605" t="str">
            <v>blue</v>
          </cell>
          <cell r="I1605">
            <v>5</v>
          </cell>
          <cell r="J1605" t="str">
            <v>PremiumS</v>
          </cell>
          <cell r="K1605" t="str">
            <v>attack</v>
          </cell>
          <cell r="L1605" t="str">
            <v>攻撃タイプ</v>
          </cell>
          <cell r="M1605" t="str">
            <v>animal</v>
          </cell>
          <cell r="N1605" t="str">
            <v>アニマル</v>
          </cell>
          <cell r="O1605" t="str">
            <v>fantasy</v>
          </cell>
          <cell r="P1605" t="str">
            <v>ファンタジー</v>
          </cell>
          <cell r="R1605">
            <v>2</v>
          </cell>
          <cell r="S1605" t="str">
            <v>NULL</v>
          </cell>
          <cell r="T1605" t="str">
            <v>super</v>
          </cell>
          <cell r="U1605" t="str">
            <v>NULL</v>
          </cell>
          <cell r="V1605" t="str">
            <v>NULL</v>
          </cell>
          <cell r="W1605" t="str">
            <v>NULL</v>
          </cell>
        </row>
        <row r="1606">
          <cell r="A1606">
            <v>1717</v>
          </cell>
          <cell r="B1606" t="str">
            <v>ja</v>
          </cell>
          <cell r="C1606" t="str">
            <v>ラブリーエンジェル</v>
          </cell>
          <cell r="H1606" t="str">
            <v>red</v>
          </cell>
          <cell r="I1606">
            <v>4</v>
          </cell>
          <cell r="J1606" t="str">
            <v>Material</v>
          </cell>
          <cell r="K1606" t="str">
            <v>technical</v>
          </cell>
          <cell r="L1606" t="str">
            <v>テクニカルタイプ</v>
          </cell>
          <cell r="M1606" t="str">
            <v>unknown</v>
          </cell>
          <cell r="N1606" t="str">
            <v>Unknown</v>
          </cell>
          <cell r="O1606" t="str">
            <v>none</v>
          </cell>
          <cell r="P1606" t="str">
            <v>種族なし</v>
          </cell>
          <cell r="R1606">
            <v>2</v>
          </cell>
          <cell r="S1606" t="str">
            <v>NULL</v>
          </cell>
          <cell r="T1606" t="str">
            <v>super</v>
          </cell>
          <cell r="U1606" t="str">
            <v>NULL</v>
          </cell>
          <cell r="V1606" t="str">
            <v>NULL</v>
          </cell>
          <cell r="W1606" t="str">
            <v>NULL</v>
          </cell>
        </row>
        <row r="1607">
          <cell r="A1607">
            <v>1718</v>
          </cell>
          <cell r="B1607" t="str">
            <v>ja</v>
          </cell>
          <cell r="C1607" t="str">
            <v>マリッジリング</v>
          </cell>
          <cell r="H1607" t="str">
            <v>yellow</v>
          </cell>
          <cell r="I1607">
            <v>5</v>
          </cell>
          <cell r="J1607" t="str">
            <v>Material</v>
          </cell>
          <cell r="K1607" t="str">
            <v>technical</v>
          </cell>
          <cell r="L1607" t="str">
            <v>テクニカルタイプ</v>
          </cell>
          <cell r="M1607" t="str">
            <v>unknown</v>
          </cell>
          <cell r="N1607" t="str">
            <v>Unknown</v>
          </cell>
          <cell r="O1607" t="str">
            <v>none</v>
          </cell>
          <cell r="P1607" t="str">
            <v>種族なし</v>
          </cell>
          <cell r="R1607">
            <v>2</v>
          </cell>
          <cell r="S1607" t="str">
            <v>NULL</v>
          </cell>
          <cell r="T1607" t="str">
            <v>super</v>
          </cell>
          <cell r="U1607" t="str">
            <v>NULL</v>
          </cell>
          <cell r="V1607" t="str">
            <v>NULL</v>
          </cell>
          <cell r="W1607" t="str">
            <v>NULL</v>
          </cell>
        </row>
        <row r="1608">
          <cell r="A1608">
            <v>1719</v>
          </cell>
          <cell r="B1608" t="str">
            <v>ja</v>
          </cell>
          <cell r="C1608" t="str">
            <v>トゥルー・マリッジリング</v>
          </cell>
          <cell r="H1608" t="str">
            <v>yellow</v>
          </cell>
          <cell r="I1608">
            <v>6</v>
          </cell>
          <cell r="J1608" t="str">
            <v>Material</v>
          </cell>
          <cell r="K1608" t="str">
            <v>evolution</v>
          </cell>
          <cell r="L1608" t="str">
            <v>覚醒素材タイプ</v>
          </cell>
          <cell r="M1608" t="str">
            <v>unknown</v>
          </cell>
          <cell r="N1608" t="str">
            <v>Unknown</v>
          </cell>
          <cell r="O1608" t="str">
            <v>none</v>
          </cell>
          <cell r="P1608" t="str">
            <v>種族なし</v>
          </cell>
          <cell r="R1608">
            <v>2</v>
          </cell>
          <cell r="S1608" t="str">
            <v>NULL</v>
          </cell>
          <cell r="T1608" t="str">
            <v>normal</v>
          </cell>
          <cell r="U1608" t="str">
            <v>NULL</v>
          </cell>
          <cell r="V1608" t="str">
            <v>NULL</v>
          </cell>
          <cell r="W1608" t="str">
            <v>NULL</v>
          </cell>
        </row>
        <row r="1609">
          <cell r="A1609">
            <v>5001</v>
          </cell>
          <cell r="B1609" t="str">
            <v>ja</v>
          </cell>
          <cell r="C1609" t="str">
            <v>ガルーダ</v>
          </cell>
          <cell r="D1609" t="str">
            <v>ノーマルクエスト</v>
          </cell>
          <cell r="E1609" t="str">
            <v>QoH</v>
          </cell>
          <cell r="F1609" t="str">
            <v>世界観</v>
          </cell>
          <cell r="G1609" t="str">
            <v>不明</v>
          </cell>
          <cell r="H1609" t="str">
            <v>red</v>
          </cell>
          <cell r="I1609">
            <v>5</v>
          </cell>
          <cell r="J1609" t="str">
            <v>PremiumSSw</v>
          </cell>
          <cell r="K1609" t="str">
            <v>attack</v>
          </cell>
          <cell r="L1609" t="str">
            <v>攻撃タイプ</v>
          </cell>
          <cell r="M1609" t="str">
            <v>god</v>
          </cell>
          <cell r="N1609" t="str">
            <v>ゴッド</v>
          </cell>
          <cell r="O1609" t="str">
            <v>animal</v>
          </cell>
          <cell r="P1609" t="str">
            <v>アニマル</v>
          </cell>
          <cell r="Q1609" t="str">
            <v>アタッカー</v>
          </cell>
          <cell r="R1609">
            <v>3</v>
          </cell>
          <cell r="S1609" t="str">
            <v>NULL</v>
          </cell>
          <cell r="T1609" t="str">
            <v>normal</v>
          </cell>
          <cell r="U1609" t="str">
            <v>NULL</v>
          </cell>
          <cell r="V1609" t="str">
            <v>NULL</v>
          </cell>
          <cell r="W1609" t="str">
            <v>NULL</v>
          </cell>
        </row>
        <row r="1610">
          <cell r="A1610">
            <v>5002</v>
          </cell>
          <cell r="B1610" t="str">
            <v>ja</v>
          </cell>
          <cell r="C1610" t="str">
            <v>光輝する美翼聖鳥 ガルーダ</v>
          </cell>
          <cell r="D1610" t="str">
            <v>ノーマルクエスト</v>
          </cell>
          <cell r="E1610" t="str">
            <v>アバター</v>
          </cell>
          <cell r="F1610" t="str">
            <v>世界観</v>
          </cell>
          <cell r="G1610" t="str">
            <v>男性</v>
          </cell>
          <cell r="H1610" t="str">
            <v>red</v>
          </cell>
          <cell r="I1610">
            <v>6</v>
          </cell>
          <cell r="J1610" t="str">
            <v>PremiumSSw</v>
          </cell>
          <cell r="K1610" t="str">
            <v>attack</v>
          </cell>
          <cell r="L1610" t="str">
            <v>攻撃タイプ</v>
          </cell>
          <cell r="M1610" t="str">
            <v>god</v>
          </cell>
          <cell r="N1610" t="str">
            <v>ゴッド</v>
          </cell>
          <cell r="O1610" t="str">
            <v>animal</v>
          </cell>
          <cell r="P1610" t="str">
            <v>アニマル</v>
          </cell>
          <cell r="Q1610" t="str">
            <v>アタッカー</v>
          </cell>
          <cell r="R1610">
            <v>3</v>
          </cell>
          <cell r="S1610" t="str">
            <v>NULL</v>
          </cell>
          <cell r="T1610" t="str">
            <v>normal</v>
          </cell>
          <cell r="U1610" t="str">
            <v>NULL</v>
          </cell>
          <cell r="V1610" t="str">
            <v>NULL</v>
          </cell>
          <cell r="W1610" t="str">
            <v>NULL</v>
          </cell>
        </row>
        <row r="1611">
          <cell r="A1611">
            <v>5003</v>
          </cell>
          <cell r="B1611" t="str">
            <v>ja</v>
          </cell>
          <cell r="C1611" t="str">
            <v>ナーガ</v>
          </cell>
          <cell r="D1611" t="str">
            <v>リンクガチャ:4神</v>
          </cell>
          <cell r="E1611" t="str">
            <v>守護神</v>
          </cell>
          <cell r="F1611" t="str">
            <v>格好いい</v>
          </cell>
          <cell r="G1611" t="str">
            <v>不明</v>
          </cell>
          <cell r="H1611" t="str">
            <v>green</v>
          </cell>
          <cell r="I1611">
            <v>5</v>
          </cell>
          <cell r="J1611" t="str">
            <v>DropWizS</v>
          </cell>
          <cell r="K1611" t="str">
            <v>technical</v>
          </cell>
          <cell r="L1611" t="str">
            <v>テクニカルタイプ</v>
          </cell>
          <cell r="M1611" t="str">
            <v>animal</v>
          </cell>
          <cell r="N1611" t="str">
            <v>アニマル</v>
          </cell>
          <cell r="O1611" t="str">
            <v>dragon</v>
          </cell>
          <cell r="P1611" t="str">
            <v>ドラゴン</v>
          </cell>
          <cell r="Q1611" t="str">
            <v>アタッカー</v>
          </cell>
          <cell r="R1611">
            <v>3</v>
          </cell>
          <cell r="S1611" t="str">
            <v>NULL</v>
          </cell>
          <cell r="T1611" t="str">
            <v>normal</v>
          </cell>
          <cell r="U1611" t="str">
            <v>NULL</v>
          </cell>
          <cell r="V1611" t="str">
            <v>NULL</v>
          </cell>
          <cell r="W1611" t="str">
            <v>NULL</v>
          </cell>
        </row>
        <row r="1612">
          <cell r="A1612">
            <v>5004</v>
          </cell>
          <cell r="B1612" t="str">
            <v>ja</v>
          </cell>
          <cell r="C1612" t="str">
            <v>深淵翠緑 ナーガ</v>
          </cell>
          <cell r="D1612" t="str">
            <v>ノーマルクエスト</v>
          </cell>
          <cell r="E1612" t="str">
            <v>アバター</v>
          </cell>
          <cell r="F1612" t="str">
            <v>世界観</v>
          </cell>
          <cell r="G1612" t="str">
            <v>不明</v>
          </cell>
          <cell r="H1612" t="str">
            <v>green</v>
          </cell>
          <cell r="I1612">
            <v>6</v>
          </cell>
          <cell r="J1612" t="str">
            <v>DropWizS</v>
          </cell>
          <cell r="K1612" t="str">
            <v>technical</v>
          </cell>
          <cell r="L1612" t="str">
            <v>テクニカルタイプ</v>
          </cell>
          <cell r="M1612" t="str">
            <v>animal</v>
          </cell>
          <cell r="N1612" t="str">
            <v>アニマル</v>
          </cell>
          <cell r="O1612" t="str">
            <v>dragon</v>
          </cell>
          <cell r="P1612" t="str">
            <v>ドラゴン</v>
          </cell>
          <cell r="Q1612" t="str">
            <v>アタッカー</v>
          </cell>
          <cell r="R1612">
            <v>3</v>
          </cell>
          <cell r="S1612" t="str">
            <v>NULL</v>
          </cell>
          <cell r="T1612" t="str">
            <v>normal</v>
          </cell>
          <cell r="U1612" t="str">
            <v>NULL</v>
          </cell>
          <cell r="V1612" t="str">
            <v>NULL</v>
          </cell>
          <cell r="W1612" t="str">
            <v>NULL</v>
          </cell>
        </row>
        <row r="1613">
          <cell r="A1613">
            <v>5005</v>
          </cell>
          <cell r="B1613" t="str">
            <v>ja</v>
          </cell>
          <cell r="C1613" t="str">
            <v>カーミラ</v>
          </cell>
          <cell r="D1613" t="str">
            <v>ノーマルクエスト</v>
          </cell>
          <cell r="E1613" t="str">
            <v>QoH</v>
          </cell>
          <cell r="F1613" t="str">
            <v>世界観</v>
          </cell>
          <cell r="G1613" t="str">
            <v>不明</v>
          </cell>
          <cell r="H1613" t="str">
            <v>green</v>
          </cell>
          <cell r="I1613">
            <v>5</v>
          </cell>
          <cell r="J1613" t="str">
            <v>PremiumSSw</v>
          </cell>
          <cell r="K1613" t="str">
            <v>balance</v>
          </cell>
          <cell r="L1613" t="str">
            <v>バランスタイプ</v>
          </cell>
          <cell r="M1613" t="str">
            <v>demon</v>
          </cell>
          <cell r="N1613" t="str">
            <v>デーモン</v>
          </cell>
          <cell r="O1613" t="str">
            <v>none</v>
          </cell>
          <cell r="P1613" t="str">
            <v>種族なし</v>
          </cell>
          <cell r="Q1613" t="str">
            <v>アタッカー</v>
          </cell>
          <cell r="R1613">
            <v>1</v>
          </cell>
          <cell r="S1613" t="str">
            <v>NULL</v>
          </cell>
          <cell r="T1613" t="str">
            <v>normal</v>
          </cell>
          <cell r="U1613" t="str">
            <v>NULL</v>
          </cell>
          <cell r="V1613" t="str">
            <v>NULL</v>
          </cell>
          <cell r="W1613" t="str">
            <v>NULL</v>
          </cell>
        </row>
        <row r="1614">
          <cell r="A1614">
            <v>5006</v>
          </cell>
          <cell r="B1614" t="str">
            <v>ja</v>
          </cell>
          <cell r="C1614" t="str">
            <v>カーミラ★６</v>
          </cell>
          <cell r="D1614" t="str">
            <v>ノーマルクエスト</v>
          </cell>
          <cell r="E1614" t="str">
            <v>アバター</v>
          </cell>
          <cell r="F1614" t="str">
            <v>世界観</v>
          </cell>
          <cell r="G1614" t="str">
            <v>男性</v>
          </cell>
          <cell r="H1614" t="str">
            <v>green</v>
          </cell>
          <cell r="I1614">
            <v>6</v>
          </cell>
          <cell r="J1614" t="str">
            <v>PremiumSSw</v>
          </cell>
          <cell r="K1614" t="str">
            <v>balance</v>
          </cell>
          <cell r="L1614" t="str">
            <v>バランスタイプ</v>
          </cell>
          <cell r="M1614" t="str">
            <v>demon</v>
          </cell>
          <cell r="N1614" t="str">
            <v>デーモン</v>
          </cell>
          <cell r="O1614" t="str">
            <v>none</v>
          </cell>
          <cell r="P1614" t="str">
            <v>種族なし</v>
          </cell>
          <cell r="Q1614" t="str">
            <v>アタッカー</v>
          </cell>
          <cell r="R1614">
            <v>1</v>
          </cell>
          <cell r="S1614" t="str">
            <v>NULL</v>
          </cell>
          <cell r="T1614" t="str">
            <v>normal</v>
          </cell>
          <cell r="U1614" t="str">
            <v>NULL</v>
          </cell>
          <cell r="V1614" t="str">
            <v>NULL</v>
          </cell>
          <cell r="W1614" t="str">
            <v>NULL</v>
          </cell>
        </row>
        <row r="1615">
          <cell r="A1615">
            <v>5007</v>
          </cell>
          <cell r="B1615" t="str">
            <v>ja</v>
          </cell>
          <cell r="C1615" t="str">
            <v>ヘルシング</v>
          </cell>
          <cell r="D1615" t="str">
            <v>リンクガチャ:4神</v>
          </cell>
          <cell r="E1615" t="str">
            <v>守護神</v>
          </cell>
          <cell r="F1615" t="str">
            <v>格好いい</v>
          </cell>
          <cell r="G1615" t="str">
            <v>不明</v>
          </cell>
          <cell r="H1615" t="str">
            <v>yellow</v>
          </cell>
          <cell r="I1615">
            <v>5</v>
          </cell>
          <cell r="J1615" t="str">
            <v>DropWizS</v>
          </cell>
          <cell r="K1615" t="str">
            <v>technical</v>
          </cell>
          <cell r="L1615" t="str">
            <v>テクニカルタイプ</v>
          </cell>
          <cell r="M1615" t="str">
            <v>human</v>
          </cell>
          <cell r="N1615" t="str">
            <v>ヒューマン</v>
          </cell>
          <cell r="O1615" t="str">
            <v>none</v>
          </cell>
          <cell r="P1615" t="str">
            <v>種族なし</v>
          </cell>
          <cell r="Q1615" t="str">
            <v>アタッカー</v>
          </cell>
          <cell r="R1615">
            <v>1</v>
          </cell>
          <cell r="S1615" t="str">
            <v>NULL</v>
          </cell>
          <cell r="T1615" t="str">
            <v>normal</v>
          </cell>
          <cell r="U1615" t="str">
            <v>NULL</v>
          </cell>
          <cell r="V1615" t="str">
            <v>NULL</v>
          </cell>
          <cell r="W1615" t="str">
            <v>NULL</v>
          </cell>
        </row>
        <row r="1616">
          <cell r="A1616">
            <v>5008</v>
          </cell>
          <cell r="B1616" t="str">
            <v>ja</v>
          </cell>
          <cell r="C1616" t="str">
            <v>ヘルシング★６</v>
          </cell>
          <cell r="D1616" t="str">
            <v>ノーマルクエスト</v>
          </cell>
          <cell r="E1616" t="str">
            <v>アバター</v>
          </cell>
          <cell r="F1616" t="str">
            <v>世界観</v>
          </cell>
          <cell r="G1616" t="str">
            <v>不明</v>
          </cell>
          <cell r="H1616" t="str">
            <v>yellow</v>
          </cell>
          <cell r="I1616">
            <v>6</v>
          </cell>
          <cell r="J1616" t="str">
            <v>DropWizS</v>
          </cell>
          <cell r="K1616" t="str">
            <v>technical</v>
          </cell>
          <cell r="L1616" t="str">
            <v>テクニカルタイプ</v>
          </cell>
          <cell r="M1616" t="str">
            <v>human</v>
          </cell>
          <cell r="N1616" t="str">
            <v>ヒューマン</v>
          </cell>
          <cell r="O1616" t="str">
            <v>none</v>
          </cell>
          <cell r="P1616" t="str">
            <v>種族なし</v>
          </cell>
          <cell r="Q1616" t="str">
            <v>アタッカー</v>
          </cell>
          <cell r="R1616">
            <v>1</v>
          </cell>
          <cell r="S1616" t="str">
            <v>NULL</v>
          </cell>
          <cell r="T1616" t="str">
            <v>normal</v>
          </cell>
          <cell r="U1616" t="str">
            <v>NULL</v>
          </cell>
          <cell r="V1616" t="str">
            <v>NULL</v>
          </cell>
          <cell r="W1616" t="str">
            <v>NULL</v>
          </cell>
        </row>
        <row r="1617">
          <cell r="A1617">
            <v>5009</v>
          </cell>
          <cell r="B1617" t="str">
            <v>ja</v>
          </cell>
          <cell r="C1617" t="str">
            <v>星の王子様</v>
          </cell>
          <cell r="D1617" t="str">
            <v>リンクガチャ:4神</v>
          </cell>
          <cell r="E1617" t="str">
            <v>守護神</v>
          </cell>
          <cell r="F1617" t="str">
            <v>格好いい</v>
          </cell>
          <cell r="G1617" t="str">
            <v>不明</v>
          </cell>
          <cell r="H1617" t="str">
            <v>yellow</v>
          </cell>
          <cell r="I1617">
            <v>5</v>
          </cell>
          <cell r="J1617" t="str">
            <v>PremiumSSw</v>
          </cell>
          <cell r="K1617" t="str">
            <v>technical</v>
          </cell>
          <cell r="L1617" t="str">
            <v>テクニカルタイプ</v>
          </cell>
          <cell r="M1617" t="str">
            <v>unknown</v>
          </cell>
          <cell r="N1617" t="str">
            <v>Unknown</v>
          </cell>
          <cell r="O1617" t="str">
            <v>human</v>
          </cell>
          <cell r="P1617" t="str">
            <v>ヒューマン</v>
          </cell>
          <cell r="Q1617" t="str">
            <v>アタッカー</v>
          </cell>
          <cell r="R1617">
            <v>1</v>
          </cell>
          <cell r="S1617" t="str">
            <v>NULL</v>
          </cell>
          <cell r="T1617" t="str">
            <v>normal</v>
          </cell>
          <cell r="U1617" t="str">
            <v>NULL</v>
          </cell>
          <cell r="V1617" t="str">
            <v>NULL</v>
          </cell>
          <cell r="W1617" t="str">
            <v>NULL</v>
          </cell>
        </row>
        <row r="1618">
          <cell r="A1618">
            <v>5010</v>
          </cell>
          <cell r="B1618" t="str">
            <v>ja</v>
          </cell>
          <cell r="C1618" t="str">
            <v>星の王子様★６</v>
          </cell>
          <cell r="D1618" t="str">
            <v>ノーマルクエスト</v>
          </cell>
          <cell r="E1618" t="str">
            <v>アバター</v>
          </cell>
          <cell r="F1618" t="str">
            <v>世界観</v>
          </cell>
          <cell r="G1618" t="str">
            <v>不明</v>
          </cell>
          <cell r="H1618" t="str">
            <v>yellow</v>
          </cell>
          <cell r="I1618">
            <v>6</v>
          </cell>
          <cell r="J1618" t="str">
            <v>PremiumSSw</v>
          </cell>
          <cell r="K1618" t="str">
            <v>technical</v>
          </cell>
          <cell r="L1618" t="str">
            <v>テクニカルタイプ</v>
          </cell>
          <cell r="M1618" t="str">
            <v>unknown</v>
          </cell>
          <cell r="N1618" t="str">
            <v>Unknown</v>
          </cell>
          <cell r="O1618" t="str">
            <v>human</v>
          </cell>
          <cell r="P1618" t="str">
            <v>ヒューマン</v>
          </cell>
          <cell r="Q1618" t="str">
            <v>アタッカー</v>
          </cell>
          <cell r="R1618">
            <v>1</v>
          </cell>
          <cell r="S1618" t="str">
            <v>NULL</v>
          </cell>
          <cell r="T1618" t="str">
            <v>normal</v>
          </cell>
          <cell r="U1618" t="str">
            <v>NULL</v>
          </cell>
          <cell r="V1618" t="str">
            <v>NULL</v>
          </cell>
          <cell r="W1618" t="str">
            <v>NULL</v>
          </cell>
        </row>
        <row r="1619">
          <cell r="A1619">
            <v>5011</v>
          </cell>
          <cell r="B1619" t="str">
            <v>ja</v>
          </cell>
          <cell r="C1619" t="str">
            <v>サン=テグジュペリ</v>
          </cell>
          <cell r="D1619" t="str">
            <v>リンクガチャ:4神</v>
          </cell>
          <cell r="E1619" t="str">
            <v>守護神</v>
          </cell>
          <cell r="F1619" t="str">
            <v>格好いい</v>
          </cell>
          <cell r="G1619" t="str">
            <v>不明</v>
          </cell>
          <cell r="H1619" t="str">
            <v>blue</v>
          </cell>
          <cell r="I1619">
            <v>5</v>
          </cell>
          <cell r="J1619" t="str">
            <v>DropWizS</v>
          </cell>
          <cell r="K1619" t="str">
            <v>hp</v>
          </cell>
          <cell r="L1619" t="str">
            <v>体力タイプ</v>
          </cell>
          <cell r="M1619" t="str">
            <v>human</v>
          </cell>
          <cell r="N1619" t="str">
            <v>ヒューマン</v>
          </cell>
          <cell r="O1619" t="str">
            <v>machine</v>
          </cell>
          <cell r="P1619" t="str">
            <v>マシン</v>
          </cell>
          <cell r="Q1619" t="str">
            <v>アタッカー</v>
          </cell>
          <cell r="R1619">
            <v>1</v>
          </cell>
          <cell r="S1619" t="str">
            <v>NULL</v>
          </cell>
          <cell r="T1619" t="str">
            <v>normal</v>
          </cell>
          <cell r="U1619" t="str">
            <v>NULL</v>
          </cell>
          <cell r="V1619" t="str">
            <v>NULL</v>
          </cell>
          <cell r="W1619" t="str">
            <v>NULL</v>
          </cell>
        </row>
        <row r="1620">
          <cell r="A1620">
            <v>5012</v>
          </cell>
          <cell r="B1620" t="str">
            <v>ja</v>
          </cell>
          <cell r="C1620" t="str">
            <v>サン=テグジュペリ★６</v>
          </cell>
          <cell r="D1620" t="str">
            <v>ノーマルクエスト</v>
          </cell>
          <cell r="E1620" t="str">
            <v>アバター</v>
          </cell>
          <cell r="F1620" t="str">
            <v>世界観</v>
          </cell>
          <cell r="G1620" t="str">
            <v>不明</v>
          </cell>
          <cell r="H1620" t="str">
            <v>blue</v>
          </cell>
          <cell r="I1620">
            <v>6</v>
          </cell>
          <cell r="J1620" t="str">
            <v>DropWizS</v>
          </cell>
          <cell r="K1620" t="str">
            <v>hp</v>
          </cell>
          <cell r="L1620" t="str">
            <v>体力タイプ</v>
          </cell>
          <cell r="M1620" t="str">
            <v>human</v>
          </cell>
          <cell r="N1620" t="str">
            <v>ヒューマン</v>
          </cell>
          <cell r="O1620" t="str">
            <v>machine</v>
          </cell>
          <cell r="P1620" t="str">
            <v>マシン</v>
          </cell>
          <cell r="Q1620" t="str">
            <v>アタッカー</v>
          </cell>
          <cell r="R1620">
            <v>1</v>
          </cell>
          <cell r="S1620" t="str">
            <v>NULL</v>
          </cell>
          <cell r="T1620" t="str">
            <v>normal</v>
          </cell>
          <cell r="U1620" t="str">
            <v>NULL</v>
          </cell>
          <cell r="V1620" t="str">
            <v>NULL</v>
          </cell>
          <cell r="W1620" t="str">
            <v>NULL</v>
          </cell>
        </row>
        <row r="1621">
          <cell r="A1621">
            <v>6001</v>
          </cell>
          <cell r="B1621" t="str">
            <v>ja</v>
          </cell>
          <cell r="C1621" t="str">
            <v>ジェリー</v>
          </cell>
          <cell r="D1621" t="str">
            <v>ノーマルクエスト</v>
          </cell>
          <cell r="E1621" t="str">
            <v>QoH</v>
          </cell>
          <cell r="F1621" t="str">
            <v>世界観</v>
          </cell>
          <cell r="G1621" t="str">
            <v>不明</v>
          </cell>
          <cell r="H1621" t="str">
            <v>red</v>
          </cell>
          <cell r="I1621">
            <v>1</v>
          </cell>
          <cell r="J1621" t="str">
            <v>Drop1T</v>
          </cell>
          <cell r="K1621" t="str">
            <v>attack</v>
          </cell>
          <cell r="L1621" t="str">
            <v>攻撃タイプ</v>
          </cell>
          <cell r="M1621" t="str">
            <v>unknown</v>
          </cell>
          <cell r="N1621" t="str">
            <v>Unknown</v>
          </cell>
          <cell r="O1621" t="str">
            <v>none</v>
          </cell>
          <cell r="P1621" t="str">
            <v>種族なし</v>
          </cell>
          <cell r="Q1621" t="str">
            <v>アタッカー</v>
          </cell>
          <cell r="R1621">
            <v>3</v>
          </cell>
          <cell r="S1621" t="str">
            <v>enemy_only</v>
          </cell>
          <cell r="T1621" t="str">
            <v>normal</v>
          </cell>
          <cell r="U1621" t="str">
            <v>NULL</v>
          </cell>
          <cell r="V1621" t="str">
            <v>NULL</v>
          </cell>
          <cell r="W1621" t="str">
            <v>NULL</v>
          </cell>
        </row>
        <row r="1622">
          <cell r="A1622">
            <v>6002</v>
          </cell>
          <cell r="B1622" t="str">
            <v>ja</v>
          </cell>
          <cell r="C1622" t="str">
            <v>ヨシタカ</v>
          </cell>
          <cell r="D1622" t="str">
            <v>ノーマルクエスト</v>
          </cell>
          <cell r="E1622" t="str">
            <v>アバター</v>
          </cell>
          <cell r="F1622" t="str">
            <v>世界観</v>
          </cell>
          <cell r="G1622" t="str">
            <v>男性</v>
          </cell>
          <cell r="H1622" t="str">
            <v>red</v>
          </cell>
          <cell r="I1622">
            <v>2</v>
          </cell>
          <cell r="J1622" t="str">
            <v>Drop1N</v>
          </cell>
          <cell r="K1622" t="str">
            <v>hp</v>
          </cell>
          <cell r="L1622" t="str">
            <v>体力タイプ</v>
          </cell>
          <cell r="M1622" t="str">
            <v>human</v>
          </cell>
          <cell r="N1622" t="str">
            <v>ヒューマン</v>
          </cell>
          <cell r="O1622" t="str">
            <v>none</v>
          </cell>
          <cell r="P1622" t="str">
            <v>種族なし</v>
          </cell>
          <cell r="Q1622" t="str">
            <v>バッファー</v>
          </cell>
          <cell r="R1622">
            <v>3</v>
          </cell>
          <cell r="S1622" t="str">
            <v>enemy_only</v>
          </cell>
          <cell r="T1622" t="str">
            <v>normal</v>
          </cell>
          <cell r="U1622" t="str">
            <v>NULL</v>
          </cell>
          <cell r="V1622" t="str">
            <v>NULL</v>
          </cell>
          <cell r="W1622" t="str">
            <v>NULL</v>
          </cell>
        </row>
        <row r="1623">
          <cell r="A1623">
            <v>6003</v>
          </cell>
          <cell r="B1623" t="str">
            <v>ja</v>
          </cell>
          <cell r="C1623" t="str">
            <v>朱雀</v>
          </cell>
          <cell r="D1623" t="str">
            <v>リンクガチャ:4神</v>
          </cell>
          <cell r="E1623" t="str">
            <v>守護神</v>
          </cell>
          <cell r="F1623" t="str">
            <v>格好いい</v>
          </cell>
          <cell r="G1623" t="str">
            <v>不明</v>
          </cell>
          <cell r="H1623" t="str">
            <v>red</v>
          </cell>
          <cell r="I1623">
            <v>3</v>
          </cell>
          <cell r="J1623" t="str">
            <v>Drop2N</v>
          </cell>
          <cell r="K1623" t="str">
            <v>balance</v>
          </cell>
          <cell r="L1623" t="str">
            <v>バランスタイプ</v>
          </cell>
          <cell r="M1623" t="str">
            <v>animal</v>
          </cell>
          <cell r="N1623" t="str">
            <v>アニマル</v>
          </cell>
          <cell r="O1623" t="str">
            <v>god</v>
          </cell>
          <cell r="P1623" t="str">
            <v>ゴッド</v>
          </cell>
          <cell r="Q1623" t="str">
            <v>アタッカー</v>
          </cell>
          <cell r="R1623">
            <v>3</v>
          </cell>
          <cell r="S1623" t="str">
            <v>enemy_only</v>
          </cell>
          <cell r="T1623" t="str">
            <v>normal</v>
          </cell>
          <cell r="U1623" t="str">
            <v>NULL</v>
          </cell>
          <cell r="V1623" t="str">
            <v>NULL</v>
          </cell>
          <cell r="W1623" t="str">
            <v>NULL</v>
          </cell>
        </row>
        <row r="1624">
          <cell r="A1624">
            <v>6004</v>
          </cell>
          <cell r="B1624" t="str">
            <v>ja</v>
          </cell>
          <cell r="C1624" t="str">
            <v>ブレット</v>
          </cell>
          <cell r="D1624" t="str">
            <v>ノーマルクエスト</v>
          </cell>
          <cell r="E1624" t="str">
            <v>アバター</v>
          </cell>
          <cell r="F1624" t="str">
            <v>世界観</v>
          </cell>
          <cell r="G1624" t="str">
            <v>不明</v>
          </cell>
          <cell r="H1624" t="str">
            <v>red</v>
          </cell>
          <cell r="I1624">
            <v>1</v>
          </cell>
          <cell r="J1624" t="str">
            <v>Drop1W</v>
          </cell>
          <cell r="K1624" t="str">
            <v>attack</v>
          </cell>
          <cell r="L1624" t="str">
            <v>攻撃タイプ</v>
          </cell>
          <cell r="M1624" t="str">
            <v>animal</v>
          </cell>
          <cell r="N1624" t="str">
            <v>アニマル</v>
          </cell>
          <cell r="O1624" t="str">
            <v>none</v>
          </cell>
          <cell r="P1624" t="str">
            <v>種族なし</v>
          </cell>
          <cell r="Q1624" t="str">
            <v>アタッカー</v>
          </cell>
          <cell r="R1624">
            <v>3</v>
          </cell>
          <cell r="S1624" t="str">
            <v>enemy_only</v>
          </cell>
          <cell r="T1624" t="str">
            <v>normal</v>
          </cell>
          <cell r="U1624" t="str">
            <v>NULL</v>
          </cell>
          <cell r="V1624" t="str">
            <v>NULL</v>
          </cell>
          <cell r="W1624" t="str">
            <v>NULL</v>
          </cell>
        </row>
        <row r="1625">
          <cell r="A1625">
            <v>6005</v>
          </cell>
          <cell r="B1625" t="str">
            <v>ja</v>
          </cell>
          <cell r="C1625" t="str">
            <v>孤神 テティス</v>
          </cell>
          <cell r="D1625" t="str">
            <v>初期ガチャ</v>
          </cell>
          <cell r="E1625" t="str">
            <v>管理者</v>
          </cell>
          <cell r="F1625" t="str">
            <v>美しい</v>
          </cell>
          <cell r="G1625" t="str">
            <v>女性</v>
          </cell>
          <cell r="H1625" t="str">
            <v>blue</v>
          </cell>
          <cell r="I1625">
            <v>4</v>
          </cell>
          <cell r="J1625" t="str">
            <v>PremiumN</v>
          </cell>
          <cell r="K1625" t="str">
            <v>hp</v>
          </cell>
          <cell r="L1625" t="str">
            <v>体力タイプ</v>
          </cell>
          <cell r="M1625" t="str">
            <v>god</v>
          </cell>
          <cell r="N1625" t="str">
            <v>ゴッド</v>
          </cell>
          <cell r="O1625" t="str">
            <v>none</v>
          </cell>
          <cell r="P1625" t="str">
            <v>種族なし</v>
          </cell>
          <cell r="Q1625" t="str">
            <v>アタッカー</v>
          </cell>
          <cell r="R1625">
            <v>3</v>
          </cell>
          <cell r="S1625" t="str">
            <v>enemy_only</v>
          </cell>
          <cell r="T1625" t="str">
            <v>normal</v>
          </cell>
          <cell r="U1625" t="str">
            <v>NULL</v>
          </cell>
          <cell r="V1625" t="str">
            <v>NULL</v>
          </cell>
          <cell r="W1625" t="str">
            <v>NULL</v>
          </cell>
        </row>
        <row r="1626">
          <cell r="A1626">
            <v>6006</v>
          </cell>
          <cell r="B1626" t="str">
            <v>ja</v>
          </cell>
          <cell r="C1626" t="str">
            <v>海底の孤高神 テティス</v>
          </cell>
          <cell r="D1626" t="str">
            <v>初期ガチャ</v>
          </cell>
          <cell r="E1626" t="str">
            <v>管理者</v>
          </cell>
          <cell r="F1626" t="str">
            <v>美しい</v>
          </cell>
          <cell r="G1626" t="str">
            <v>女性</v>
          </cell>
          <cell r="H1626" t="str">
            <v>blue</v>
          </cell>
          <cell r="I1626">
            <v>5</v>
          </cell>
          <cell r="J1626" t="str">
            <v>PremiumN</v>
          </cell>
          <cell r="K1626" t="str">
            <v>hp</v>
          </cell>
          <cell r="L1626" t="str">
            <v>体力タイプ</v>
          </cell>
          <cell r="M1626" t="str">
            <v>god</v>
          </cell>
          <cell r="N1626" t="str">
            <v>ゴッド</v>
          </cell>
          <cell r="O1626" t="str">
            <v>none</v>
          </cell>
          <cell r="P1626" t="str">
            <v>種族なし</v>
          </cell>
          <cell r="Q1626" t="str">
            <v>アタッカー</v>
          </cell>
          <cell r="R1626">
            <v>3</v>
          </cell>
          <cell r="S1626" t="str">
            <v>enemy_only</v>
          </cell>
          <cell r="T1626" t="str">
            <v>normal</v>
          </cell>
          <cell r="U1626" t="str">
            <v>NULL</v>
          </cell>
          <cell r="V1626" t="str">
            <v>NULL</v>
          </cell>
          <cell r="W1626" t="str">
            <v>NULL</v>
          </cell>
        </row>
        <row r="1627">
          <cell r="A1627">
            <v>6007</v>
          </cell>
          <cell r="B1627" t="str">
            <v>ja</v>
          </cell>
          <cell r="C1627" t="str">
            <v>番犬 ケルベロス</v>
          </cell>
          <cell r="D1627" t="str">
            <v>初期ガチャ</v>
          </cell>
          <cell r="E1627" t="str">
            <v>破界者</v>
          </cell>
          <cell r="F1627" t="str">
            <v>可愛い</v>
          </cell>
          <cell r="G1627" t="str">
            <v>女性</v>
          </cell>
          <cell r="H1627" t="str">
            <v>red</v>
          </cell>
          <cell r="I1627">
            <v>4</v>
          </cell>
          <cell r="J1627" t="str">
            <v>PremiumN</v>
          </cell>
          <cell r="K1627" t="str">
            <v>balance</v>
          </cell>
          <cell r="L1627" t="str">
            <v>バランスタイプ</v>
          </cell>
          <cell r="M1627" t="str">
            <v>animal</v>
          </cell>
          <cell r="N1627" t="str">
            <v>アニマル</v>
          </cell>
          <cell r="O1627" t="str">
            <v>none</v>
          </cell>
          <cell r="P1627" t="str">
            <v>種族なし</v>
          </cell>
          <cell r="Q1627" t="str">
            <v>バッファー</v>
          </cell>
          <cell r="R1627">
            <v>3</v>
          </cell>
          <cell r="S1627" t="str">
            <v>enemy_only</v>
          </cell>
          <cell r="T1627" t="str">
            <v>normal</v>
          </cell>
          <cell r="U1627" t="str">
            <v>NULL</v>
          </cell>
          <cell r="V1627" t="str">
            <v>NULL</v>
          </cell>
          <cell r="W1627" t="str">
            <v>NULL</v>
          </cell>
        </row>
        <row r="1628">
          <cell r="A1628">
            <v>6008</v>
          </cell>
          <cell r="B1628" t="str">
            <v>ja</v>
          </cell>
          <cell r="C1628" t="str">
            <v>焔神 プロメテウス</v>
          </cell>
          <cell r="D1628" t="str">
            <v>初期ガチャ</v>
          </cell>
          <cell r="E1628" t="str">
            <v>管理者</v>
          </cell>
          <cell r="F1628" t="str">
            <v>格好いい</v>
          </cell>
          <cell r="G1628" t="str">
            <v>男性</v>
          </cell>
          <cell r="H1628" t="str">
            <v>red</v>
          </cell>
          <cell r="I1628">
            <v>4</v>
          </cell>
          <cell r="J1628" t="str">
            <v>PremiumN</v>
          </cell>
          <cell r="K1628" t="str">
            <v>hp</v>
          </cell>
          <cell r="L1628" t="str">
            <v>体力タイプ</v>
          </cell>
          <cell r="M1628" t="str">
            <v>god</v>
          </cell>
          <cell r="N1628" t="str">
            <v>ゴッド</v>
          </cell>
          <cell r="O1628" t="str">
            <v>none</v>
          </cell>
          <cell r="P1628" t="str">
            <v>種族なし</v>
          </cell>
          <cell r="Q1628" t="str">
            <v>アタッカー</v>
          </cell>
          <cell r="R1628">
            <v>3</v>
          </cell>
          <cell r="S1628" t="str">
            <v>enemy_only</v>
          </cell>
          <cell r="T1628" t="str">
            <v>normal</v>
          </cell>
          <cell r="U1628" t="str">
            <v>NULL</v>
          </cell>
          <cell r="V1628" t="str">
            <v>NULL</v>
          </cell>
          <cell r="W1628" t="str">
            <v>NULL</v>
          </cell>
        </row>
        <row r="1629">
          <cell r="A1629">
            <v>6009</v>
          </cell>
          <cell r="B1629" t="str">
            <v>ja</v>
          </cell>
          <cell r="C1629" t="str">
            <v>超越自我 ラグランジュ</v>
          </cell>
          <cell r="D1629" t="str">
            <v>ガチャ:フィーバーフェス02</v>
          </cell>
          <cell r="E1629" t="str">
            <v>執行者</v>
          </cell>
          <cell r="F1629" t="str">
            <v>格好いい</v>
          </cell>
          <cell r="G1629" t="str">
            <v>女性</v>
          </cell>
          <cell r="H1629" t="str">
            <v>red</v>
          </cell>
          <cell r="I1629">
            <v>5</v>
          </cell>
          <cell r="J1629" t="str">
            <v>PremiumSSS</v>
          </cell>
          <cell r="K1629" t="str">
            <v>technical</v>
          </cell>
          <cell r="L1629" t="str">
            <v>テクニカルタイプ</v>
          </cell>
          <cell r="M1629" t="str">
            <v>human</v>
          </cell>
          <cell r="N1629" t="str">
            <v>ヒューマン</v>
          </cell>
          <cell r="O1629" t="str">
            <v>none</v>
          </cell>
          <cell r="P1629" t="str">
            <v>種族なし</v>
          </cell>
          <cell r="Q1629" t="str">
            <v>アタッカー</v>
          </cell>
          <cell r="R1629">
            <v>3</v>
          </cell>
          <cell r="S1629" t="str">
            <v>enemy_only</v>
          </cell>
          <cell r="T1629" t="str">
            <v>normal</v>
          </cell>
          <cell r="U1629" t="str">
            <v>NULL</v>
          </cell>
          <cell r="V1629" t="str">
            <v>NULL</v>
          </cell>
          <cell r="W1629" t="str">
            <v>NULL</v>
          </cell>
        </row>
        <row r="1630">
          <cell r="A1630">
            <v>6010</v>
          </cell>
          <cell r="B1630" t="str">
            <v>ja</v>
          </cell>
          <cell r="C1630" t="str">
            <v>超越凌駕 ラグランジュ</v>
          </cell>
          <cell r="D1630" t="str">
            <v>ガチャ:フィーバーフェス02</v>
          </cell>
          <cell r="E1630" t="str">
            <v>執行者</v>
          </cell>
          <cell r="F1630" t="str">
            <v>格好いい</v>
          </cell>
          <cell r="G1630" t="str">
            <v>女性</v>
          </cell>
          <cell r="H1630" t="str">
            <v>red</v>
          </cell>
          <cell r="I1630">
            <v>6</v>
          </cell>
          <cell r="J1630" t="str">
            <v>PremiumSSS</v>
          </cell>
          <cell r="K1630" t="str">
            <v>technical</v>
          </cell>
          <cell r="L1630" t="str">
            <v>テクニカルタイプ</v>
          </cell>
          <cell r="M1630" t="str">
            <v>human</v>
          </cell>
          <cell r="N1630" t="str">
            <v>ヒューマン</v>
          </cell>
          <cell r="O1630" t="str">
            <v>none</v>
          </cell>
          <cell r="P1630" t="str">
            <v>種族なし</v>
          </cell>
          <cell r="Q1630" t="str">
            <v>アタッカー</v>
          </cell>
          <cell r="R1630">
            <v>3</v>
          </cell>
          <cell r="S1630" t="str">
            <v>enemy_only</v>
          </cell>
          <cell r="T1630" t="str">
            <v>normal</v>
          </cell>
          <cell r="U1630" t="str">
            <v>NULL</v>
          </cell>
          <cell r="V1630" t="str">
            <v>NULL</v>
          </cell>
          <cell r="W1630" t="str">
            <v>NULL</v>
          </cell>
        </row>
        <row r="1631">
          <cell r="A1631">
            <v>6011</v>
          </cell>
          <cell r="B1631" t="str">
            <v>ja</v>
          </cell>
          <cell r="C1631" t="str">
            <v>パトドッグリーダー ポチ</v>
          </cell>
          <cell r="D1631" t="str">
            <v>ガチャ:フィーバーフェス02</v>
          </cell>
          <cell r="E1631" t="str">
            <v>執行者</v>
          </cell>
          <cell r="F1631" t="str">
            <v>格好いい</v>
          </cell>
          <cell r="G1631" t="str">
            <v>男性</v>
          </cell>
          <cell r="H1631" t="str">
            <v>blue</v>
          </cell>
          <cell r="I1631">
            <v>2</v>
          </cell>
          <cell r="J1631" t="str">
            <v>Drop1T</v>
          </cell>
          <cell r="K1631" t="str">
            <v>ra002</v>
          </cell>
          <cell r="L1631" t="str">
            <v>ユークリッドチャレンジ</v>
          </cell>
          <cell r="M1631" t="str">
            <v>unknown</v>
          </cell>
          <cell r="N1631" t="str">
            <v>Unknown</v>
          </cell>
          <cell r="O1631" t="str">
            <v>none</v>
          </cell>
          <cell r="P1631" t="str">
            <v>種族なし</v>
          </cell>
          <cell r="Q1631" t="str">
            <v>アタッカー</v>
          </cell>
          <cell r="R1631">
            <v>3</v>
          </cell>
          <cell r="S1631" t="str">
            <v>enemy_only</v>
          </cell>
          <cell r="T1631" t="str">
            <v>normal</v>
          </cell>
          <cell r="U1631" t="str">
            <v>NULL</v>
          </cell>
          <cell r="V1631" t="str">
            <v>NULL</v>
          </cell>
          <cell r="W1631" t="str">
            <v>NULL</v>
          </cell>
        </row>
        <row r="1632">
          <cell r="A1632">
            <v>6012</v>
          </cell>
          <cell r="B1632" t="str">
            <v>ja</v>
          </cell>
          <cell r="C1632" t="str">
            <v>ミミ</v>
          </cell>
          <cell r="D1632" t="str">
            <v>ガチャ:フィーバーフェス02</v>
          </cell>
          <cell r="E1632" t="str">
            <v>執行者</v>
          </cell>
          <cell r="F1632" t="str">
            <v>格好いい</v>
          </cell>
          <cell r="G1632" t="str">
            <v>男性</v>
          </cell>
          <cell r="H1632" t="str">
            <v>yellow</v>
          </cell>
          <cell r="I1632">
            <v>1</v>
          </cell>
          <cell r="J1632" t="str">
            <v>Drop1W</v>
          </cell>
          <cell r="K1632" t="str">
            <v>ra002</v>
          </cell>
          <cell r="L1632" t="str">
            <v>ユークリッドチャレンジ</v>
          </cell>
          <cell r="M1632" t="str">
            <v>animal</v>
          </cell>
          <cell r="N1632" t="str">
            <v>アニマル</v>
          </cell>
          <cell r="O1632" t="str">
            <v>none</v>
          </cell>
          <cell r="P1632" t="str">
            <v>種族なし</v>
          </cell>
          <cell r="Q1632" t="str">
            <v>アタッカー</v>
          </cell>
          <cell r="R1632">
            <v>3</v>
          </cell>
          <cell r="S1632" t="str">
            <v>enemy_only</v>
          </cell>
          <cell r="T1632" t="str">
            <v>normal</v>
          </cell>
          <cell r="U1632" t="str">
            <v>NULL</v>
          </cell>
          <cell r="V1632" t="str">
            <v>NULL</v>
          </cell>
          <cell r="W1632" t="str">
            <v>NULL</v>
          </cell>
        </row>
        <row r="1633">
          <cell r="A1633">
            <v>6013</v>
          </cell>
          <cell r="B1633" t="str">
            <v>ja</v>
          </cell>
          <cell r="C1633" t="str">
            <v>護衛機人 スケアクロウ</v>
          </cell>
          <cell r="D1633" t="str">
            <v>ガチャ:フィーバーフェス02</v>
          </cell>
          <cell r="E1633" t="str">
            <v>執行者</v>
          </cell>
          <cell r="F1633" t="str">
            <v>格好いい</v>
          </cell>
          <cell r="G1633" t="str">
            <v>男性</v>
          </cell>
          <cell r="H1633" t="str">
            <v>blue</v>
          </cell>
          <cell r="I1633">
            <v>2</v>
          </cell>
          <cell r="J1633" t="str">
            <v>Drop1N</v>
          </cell>
          <cell r="K1633" t="str">
            <v>ra002</v>
          </cell>
          <cell r="L1633" t="str">
            <v>ユークリッドチャレンジ</v>
          </cell>
          <cell r="M1633" t="str">
            <v>machine</v>
          </cell>
          <cell r="N1633" t="str">
            <v>マシン</v>
          </cell>
          <cell r="O1633" t="str">
            <v>none</v>
          </cell>
          <cell r="P1633" t="str">
            <v>種族なし</v>
          </cell>
          <cell r="Q1633" t="str">
            <v>アタッカー</v>
          </cell>
          <cell r="R1633">
            <v>3</v>
          </cell>
          <cell r="S1633" t="str">
            <v>enemy_only</v>
          </cell>
          <cell r="T1633" t="str">
            <v>normal</v>
          </cell>
          <cell r="U1633" t="str">
            <v>NULL</v>
          </cell>
          <cell r="V1633" t="str">
            <v>NULL</v>
          </cell>
          <cell r="W1633" t="str">
            <v>NULL</v>
          </cell>
        </row>
        <row r="1634">
          <cell r="A1634">
            <v>6014</v>
          </cell>
          <cell r="B1634" t="str">
            <v>ja</v>
          </cell>
          <cell r="C1634" t="str">
            <v>月下の人狼 ローレンス</v>
          </cell>
          <cell r="D1634" t="str">
            <v>ガチャ:フィーバーフェス02</v>
          </cell>
          <cell r="E1634" t="str">
            <v>執行者</v>
          </cell>
          <cell r="F1634" t="str">
            <v>格好いい</v>
          </cell>
          <cell r="G1634" t="str">
            <v>男性</v>
          </cell>
          <cell r="H1634" t="str">
            <v>blue</v>
          </cell>
          <cell r="I1634">
            <v>4</v>
          </cell>
          <cell r="J1634" t="str">
            <v>PremiumW</v>
          </cell>
          <cell r="K1634" t="str">
            <v>ra002</v>
          </cell>
          <cell r="L1634" t="str">
            <v>ユークリッドチャレンジ</v>
          </cell>
          <cell r="M1634" t="str">
            <v>animal</v>
          </cell>
          <cell r="N1634" t="str">
            <v>アニマル</v>
          </cell>
          <cell r="O1634" t="str">
            <v>none</v>
          </cell>
          <cell r="P1634" t="str">
            <v>種族なし</v>
          </cell>
          <cell r="Q1634" t="str">
            <v>アタッカー</v>
          </cell>
          <cell r="R1634">
            <v>3</v>
          </cell>
          <cell r="S1634" t="str">
            <v>enemy_only</v>
          </cell>
          <cell r="T1634" t="str">
            <v>normal</v>
          </cell>
          <cell r="U1634" t="str">
            <v>NULL</v>
          </cell>
          <cell r="V1634" t="str">
            <v>NULL</v>
          </cell>
          <cell r="W1634" t="str">
            <v>NULL</v>
          </cell>
        </row>
        <row r="1635">
          <cell r="A1635">
            <v>6015</v>
          </cell>
          <cell r="B1635" t="str">
            <v>ja</v>
          </cell>
          <cell r="C1635" t="str">
            <v>フレイヤ</v>
          </cell>
          <cell r="D1635" t="str">
            <v>ガチャ:フィーバーフェス02</v>
          </cell>
          <cell r="E1635" t="str">
            <v>執行者</v>
          </cell>
          <cell r="F1635" t="str">
            <v>格好いい</v>
          </cell>
          <cell r="G1635" t="str">
            <v>男性</v>
          </cell>
          <cell r="H1635" t="str">
            <v>blue</v>
          </cell>
          <cell r="I1635">
            <v>4</v>
          </cell>
          <cell r="J1635" t="str">
            <v>PremiumSS</v>
          </cell>
          <cell r="K1635" t="str">
            <v>ra002</v>
          </cell>
          <cell r="L1635" t="str">
            <v>ユークリッドチャレンジ</v>
          </cell>
          <cell r="M1635" t="str">
            <v>animal</v>
          </cell>
          <cell r="N1635" t="str">
            <v>アニマル</v>
          </cell>
          <cell r="O1635" t="str">
            <v>none</v>
          </cell>
          <cell r="P1635" t="str">
            <v>種族なし</v>
          </cell>
          <cell r="Q1635" t="str">
            <v>アタッカー</v>
          </cell>
          <cell r="R1635">
            <v>3</v>
          </cell>
          <cell r="S1635" t="str">
            <v>enemy_only</v>
          </cell>
          <cell r="T1635" t="str">
            <v>normal</v>
          </cell>
          <cell r="U1635" t="str">
            <v>NULL</v>
          </cell>
          <cell r="V1635" t="str">
            <v>NULL</v>
          </cell>
          <cell r="W1635" t="str">
            <v>NULL</v>
          </cell>
        </row>
        <row r="1636">
          <cell r="A1636">
            <v>6016</v>
          </cell>
          <cell r="B1636" t="str">
            <v>ja</v>
          </cell>
          <cell r="C1636" t="str">
            <v>根原論理 ユークリッド</v>
          </cell>
          <cell r="D1636" t="str">
            <v>ガチャ:フィーバーフェス02</v>
          </cell>
          <cell r="E1636" t="str">
            <v>執行者</v>
          </cell>
          <cell r="F1636" t="str">
            <v>格好いい</v>
          </cell>
          <cell r="G1636" t="str">
            <v>男性</v>
          </cell>
          <cell r="H1636" t="str">
            <v>blue</v>
          </cell>
          <cell r="I1636">
            <v>5</v>
          </cell>
          <cell r="J1636" t="str">
            <v>PremiumSSS</v>
          </cell>
          <cell r="K1636" t="str">
            <v>ra002</v>
          </cell>
          <cell r="L1636" t="str">
            <v>ユークリッドチャレンジ</v>
          </cell>
          <cell r="M1636" t="str">
            <v>human</v>
          </cell>
          <cell r="N1636" t="str">
            <v>ヒューマン</v>
          </cell>
          <cell r="O1636" t="str">
            <v>none</v>
          </cell>
          <cell r="P1636" t="str">
            <v>種族なし</v>
          </cell>
          <cell r="Q1636" t="str">
            <v>アタッカー</v>
          </cell>
          <cell r="R1636">
            <v>3</v>
          </cell>
          <cell r="S1636" t="str">
            <v>enemy_only</v>
          </cell>
          <cell r="T1636" t="str">
            <v>normal</v>
          </cell>
          <cell r="U1636" t="str">
            <v>NULL</v>
          </cell>
          <cell r="V1636" t="str">
            <v>NULL</v>
          </cell>
          <cell r="W1636" t="str">
            <v>NULL</v>
          </cell>
        </row>
        <row r="1637">
          <cell r="A1637">
            <v>6017</v>
          </cell>
          <cell r="B1637" t="str">
            <v>ja</v>
          </cell>
          <cell r="C1637" t="str">
            <v>不朽の極論 ユークリッド</v>
          </cell>
          <cell r="D1637" t="str">
            <v>ガチャ:フィーバーフェス02</v>
          </cell>
          <cell r="E1637" t="str">
            <v>執行者</v>
          </cell>
          <cell r="F1637" t="str">
            <v>格好いい</v>
          </cell>
          <cell r="G1637" t="str">
            <v>男性</v>
          </cell>
          <cell r="H1637" t="str">
            <v>blue</v>
          </cell>
          <cell r="I1637">
            <v>6</v>
          </cell>
          <cell r="J1637" t="str">
            <v>PremiumSSS</v>
          </cell>
          <cell r="K1637" t="str">
            <v>ra002</v>
          </cell>
          <cell r="L1637" t="str">
            <v>ユークリッドチャレンジ</v>
          </cell>
          <cell r="M1637" t="str">
            <v>human</v>
          </cell>
          <cell r="N1637" t="str">
            <v>ヒューマン</v>
          </cell>
          <cell r="O1637" t="str">
            <v>none</v>
          </cell>
          <cell r="P1637" t="str">
            <v>種族なし</v>
          </cell>
          <cell r="Q1637" t="str">
            <v>アタッカー</v>
          </cell>
          <cell r="R1637">
            <v>3</v>
          </cell>
          <cell r="S1637" t="str">
            <v>enemy_only</v>
          </cell>
          <cell r="T1637" t="str">
            <v>normal</v>
          </cell>
          <cell r="U1637" t="str">
            <v>NULL</v>
          </cell>
          <cell r="V1637" t="str">
            <v>NULL</v>
          </cell>
          <cell r="W1637" t="str">
            <v>NULL</v>
          </cell>
        </row>
        <row r="1638">
          <cell r="A1638">
            <v>6018</v>
          </cell>
          <cell r="B1638" t="str">
            <v>ja</v>
          </cell>
          <cell r="C1638" t="str">
            <v>ハヅル</v>
          </cell>
          <cell r="D1638" t="str">
            <v>ガチャ:フィーバーフェス02</v>
          </cell>
          <cell r="E1638" t="str">
            <v>執行者</v>
          </cell>
          <cell r="F1638" t="str">
            <v>格好いい</v>
          </cell>
          <cell r="G1638" t="str">
            <v>男性</v>
          </cell>
          <cell r="H1638" t="str">
            <v>red</v>
          </cell>
          <cell r="I1638">
            <v>4</v>
          </cell>
          <cell r="J1638" t="str">
            <v>PremiumSS</v>
          </cell>
          <cell r="K1638" t="str">
            <v>ra002</v>
          </cell>
          <cell r="L1638" t="str">
            <v>ユークリッドチャレンジ</v>
          </cell>
          <cell r="M1638" t="str">
            <v>animal</v>
          </cell>
          <cell r="N1638" t="str">
            <v>アニマル</v>
          </cell>
          <cell r="O1638" t="str">
            <v>none</v>
          </cell>
          <cell r="P1638" t="str">
            <v>種族なし</v>
          </cell>
          <cell r="Q1638" t="str">
            <v>アタッカー</v>
          </cell>
          <cell r="R1638">
            <v>3</v>
          </cell>
          <cell r="S1638" t="str">
            <v>enemy_only</v>
          </cell>
          <cell r="T1638" t="str">
            <v>normal</v>
          </cell>
          <cell r="U1638" t="str">
            <v>NULL</v>
          </cell>
          <cell r="V1638" t="str">
            <v>NULL</v>
          </cell>
          <cell r="W1638" t="str">
            <v>NULL</v>
          </cell>
        </row>
        <row r="1639">
          <cell r="A1639">
            <v>6019</v>
          </cell>
          <cell r="B1639" t="str">
            <v>ja</v>
          </cell>
          <cell r="C1639" t="str">
            <v>天織羽鶴 ハヅル</v>
          </cell>
          <cell r="D1639" t="str">
            <v>ガチャ:フィーバーフェス02</v>
          </cell>
          <cell r="E1639" t="str">
            <v>執行者</v>
          </cell>
          <cell r="F1639" t="str">
            <v>格好いい</v>
          </cell>
          <cell r="G1639" t="str">
            <v>男性</v>
          </cell>
          <cell r="H1639" t="str">
            <v>red</v>
          </cell>
          <cell r="I1639">
            <v>5</v>
          </cell>
          <cell r="J1639" t="str">
            <v>PremiumSS</v>
          </cell>
          <cell r="K1639" t="str">
            <v>ra002</v>
          </cell>
          <cell r="L1639" t="str">
            <v>ユークリッドチャレンジ</v>
          </cell>
          <cell r="M1639" t="str">
            <v>animal</v>
          </cell>
          <cell r="N1639" t="str">
            <v>アニマル</v>
          </cell>
          <cell r="O1639" t="str">
            <v>none</v>
          </cell>
          <cell r="P1639" t="str">
            <v>種族なし</v>
          </cell>
          <cell r="Q1639" t="str">
            <v>アタッカー</v>
          </cell>
          <cell r="R1639">
            <v>3</v>
          </cell>
          <cell r="S1639" t="str">
            <v>enemy_only</v>
          </cell>
          <cell r="T1639" t="str">
            <v>normal</v>
          </cell>
          <cell r="U1639" t="str">
            <v>NULL</v>
          </cell>
          <cell r="V1639" t="str">
            <v>NULL</v>
          </cell>
          <cell r="W1639" t="str">
            <v>NULL</v>
          </cell>
        </row>
        <row r="1640">
          <cell r="A1640">
            <v>6020</v>
          </cell>
          <cell r="B1640" t="str">
            <v>ja</v>
          </cell>
          <cell r="C1640" t="str">
            <v>ミズチ</v>
          </cell>
          <cell r="D1640" t="str">
            <v>ガチャ:フィーバーフェス02</v>
          </cell>
          <cell r="E1640" t="str">
            <v>執行者</v>
          </cell>
          <cell r="F1640" t="str">
            <v>格好いい</v>
          </cell>
          <cell r="G1640" t="str">
            <v>男性</v>
          </cell>
          <cell r="H1640" t="str">
            <v>blue</v>
          </cell>
          <cell r="I1640">
            <v>4</v>
          </cell>
          <cell r="J1640" t="str">
            <v>PremiumS</v>
          </cell>
          <cell r="K1640" t="str">
            <v>ra002</v>
          </cell>
          <cell r="L1640" t="str">
            <v>ユークリッドチャレンジ</v>
          </cell>
          <cell r="M1640" t="str">
            <v>dragon</v>
          </cell>
          <cell r="N1640" t="str">
            <v>ドラゴン</v>
          </cell>
          <cell r="O1640" t="str">
            <v>none</v>
          </cell>
          <cell r="P1640" t="str">
            <v>種族なし</v>
          </cell>
          <cell r="Q1640" t="str">
            <v>アタッカー</v>
          </cell>
          <cell r="R1640">
            <v>3</v>
          </cell>
          <cell r="S1640" t="str">
            <v>enemy_only</v>
          </cell>
          <cell r="T1640" t="str">
            <v>normal</v>
          </cell>
          <cell r="U1640" t="str">
            <v>NULL</v>
          </cell>
          <cell r="V1640" t="str">
            <v>NULL</v>
          </cell>
          <cell r="W1640" t="str">
            <v>NULL</v>
          </cell>
        </row>
        <row r="1641">
          <cell r="A1641">
            <v>8001</v>
          </cell>
          <cell r="B1641" t="str">
            <v>ja</v>
          </cell>
          <cell r="C1641" t="str">
            <v>媽祖</v>
          </cell>
          <cell r="D1641" t="str">
            <v>イベント:ミクコラボ01</v>
          </cell>
          <cell r="E1641" t="str">
            <v>執行者</v>
          </cell>
          <cell r="F1641" t="str">
            <v>格好いい</v>
          </cell>
          <cell r="G1641" t="str">
            <v>女性</v>
          </cell>
          <cell r="H1641" t="str">
            <v>yellow</v>
          </cell>
          <cell r="I1641">
            <v>5</v>
          </cell>
          <cell r="J1641" t="str">
            <v>PremiumSS</v>
          </cell>
          <cell r="K1641" t="str">
            <v>attack</v>
          </cell>
          <cell r="L1641" t="str">
            <v>攻撃タイプ</v>
          </cell>
          <cell r="M1641" t="str">
            <v>god</v>
          </cell>
          <cell r="N1641" t="str">
            <v>ゴッド</v>
          </cell>
          <cell r="O1641" t="str">
            <v>none</v>
          </cell>
          <cell r="P1641" t="str">
            <v>種族なし</v>
          </cell>
          <cell r="Q1641" t="str">
            <v>アタッカー</v>
          </cell>
          <cell r="R1641">
            <v>3</v>
          </cell>
          <cell r="S1641" t="str">
            <v>NULL</v>
          </cell>
          <cell r="T1641" t="str">
            <v>normal</v>
          </cell>
          <cell r="U1641" t="str">
            <v>NULL</v>
          </cell>
          <cell r="V1641" t="str">
            <v>NULL</v>
          </cell>
          <cell r="W1641" t="str">
            <v>NULL</v>
          </cell>
        </row>
        <row r="1642">
          <cell r="A1642">
            <v>8002</v>
          </cell>
          <cell r="B1642" t="str">
            <v>ja</v>
          </cell>
          <cell r="C1642" t="str">
            <v>宣導する天海妃 媽祖</v>
          </cell>
          <cell r="D1642" t="str">
            <v>イベント:ミクコラボ01</v>
          </cell>
          <cell r="E1642" t="str">
            <v>執行者</v>
          </cell>
          <cell r="F1642" t="str">
            <v>格好いい</v>
          </cell>
          <cell r="G1642" t="str">
            <v>女性</v>
          </cell>
          <cell r="H1642" t="str">
            <v>yellow</v>
          </cell>
          <cell r="I1642">
            <v>6</v>
          </cell>
          <cell r="J1642" t="str">
            <v>PremiumSS</v>
          </cell>
          <cell r="K1642" t="str">
            <v>attack</v>
          </cell>
          <cell r="L1642" t="str">
            <v>攻撃タイプ</v>
          </cell>
          <cell r="M1642" t="str">
            <v>god</v>
          </cell>
          <cell r="N1642" t="str">
            <v>ゴッド</v>
          </cell>
          <cell r="O1642" t="str">
            <v>none</v>
          </cell>
          <cell r="P1642" t="str">
            <v>種族なし</v>
          </cell>
          <cell r="Q1642" t="str">
            <v>アタッカー</v>
          </cell>
          <cell r="R1642">
            <v>3</v>
          </cell>
          <cell r="S1642" t="str">
            <v>NULL</v>
          </cell>
          <cell r="T1642" t="str">
            <v>normal</v>
          </cell>
          <cell r="U1642" t="str">
            <v>NULL</v>
          </cell>
          <cell r="V1642" t="str">
            <v>NULL</v>
          </cell>
          <cell r="W1642" t="str">
            <v>NULL</v>
          </cell>
        </row>
        <row r="1643">
          <cell r="A1643">
            <v>8003</v>
          </cell>
          <cell r="B1643" t="str">
            <v>ja</v>
          </cell>
          <cell r="C1643" t="str">
            <v>蛟龍</v>
          </cell>
          <cell r="D1643" t="str">
            <v>イベント:ミクコラボ01</v>
          </cell>
          <cell r="E1643" t="str">
            <v>執行者</v>
          </cell>
          <cell r="F1643" t="str">
            <v>格好いい</v>
          </cell>
          <cell r="G1643" t="str">
            <v>不明</v>
          </cell>
          <cell r="H1643" t="str">
            <v>blue</v>
          </cell>
          <cell r="I1643">
            <v>5</v>
          </cell>
          <cell r="J1643" t="str">
            <v>DropWizS</v>
          </cell>
          <cell r="K1643" t="str">
            <v>hp</v>
          </cell>
          <cell r="L1643" t="str">
            <v>体力タイプ</v>
          </cell>
          <cell r="M1643" t="str">
            <v>dragon</v>
          </cell>
          <cell r="N1643" t="str">
            <v>ドラゴン</v>
          </cell>
          <cell r="O1643" t="str">
            <v>none</v>
          </cell>
          <cell r="P1643" t="str">
            <v>種族なし</v>
          </cell>
          <cell r="Q1643" t="str">
            <v>アタッカー</v>
          </cell>
          <cell r="R1643">
            <v>3</v>
          </cell>
          <cell r="S1643" t="str">
            <v>NULL</v>
          </cell>
          <cell r="T1643" t="str">
            <v>normal</v>
          </cell>
          <cell r="U1643" t="str">
            <v>NULL</v>
          </cell>
          <cell r="V1643" t="str">
            <v>NULL</v>
          </cell>
          <cell r="W1643" t="str">
            <v>NULL</v>
          </cell>
        </row>
        <row r="1644">
          <cell r="A1644">
            <v>8004</v>
          </cell>
          <cell r="B1644" t="str">
            <v>ja</v>
          </cell>
          <cell r="C1644" t="str">
            <v>呼嵐の蒼棲龍 蛟龍</v>
          </cell>
          <cell r="D1644" t="str">
            <v>イベント:ミクコラボ01</v>
          </cell>
          <cell r="E1644" t="str">
            <v>執行者</v>
          </cell>
          <cell r="F1644" t="str">
            <v>格好いい</v>
          </cell>
          <cell r="G1644" t="str">
            <v>不明</v>
          </cell>
          <cell r="H1644" t="str">
            <v>blue</v>
          </cell>
          <cell r="I1644">
            <v>6</v>
          </cell>
          <cell r="J1644" t="str">
            <v>DropWizS</v>
          </cell>
          <cell r="K1644" t="str">
            <v>hp</v>
          </cell>
          <cell r="L1644" t="str">
            <v>体力タイプ</v>
          </cell>
          <cell r="M1644" t="str">
            <v>dragon</v>
          </cell>
          <cell r="N1644" t="str">
            <v>ドラゴン</v>
          </cell>
          <cell r="O1644" t="str">
            <v>none</v>
          </cell>
          <cell r="P1644" t="str">
            <v>種族なし</v>
          </cell>
          <cell r="Q1644" t="str">
            <v>アタッカー</v>
          </cell>
          <cell r="R1644">
            <v>3</v>
          </cell>
          <cell r="S1644" t="str">
            <v>NULL</v>
          </cell>
          <cell r="T1644" t="str">
            <v>normal</v>
          </cell>
          <cell r="U1644" t="str">
            <v>NULL</v>
          </cell>
          <cell r="V1644" t="str">
            <v>NULL</v>
          </cell>
          <cell r="W1644" t="str">
            <v>NULL</v>
          </cell>
        </row>
        <row r="1645">
          <cell r="A1645">
            <v>8005</v>
          </cell>
          <cell r="B1645" t="str">
            <v>ja</v>
          </cell>
          <cell r="C1645" t="str">
            <v>三蔵法師</v>
          </cell>
          <cell r="D1645" t="str">
            <v>イベント:ミクコラボ01</v>
          </cell>
          <cell r="E1645" t="str">
            <v>執行者</v>
          </cell>
          <cell r="F1645" t="str">
            <v>格好いい</v>
          </cell>
          <cell r="G1645" t="str">
            <v>不明</v>
          </cell>
          <cell r="H1645" t="str">
            <v>blue</v>
          </cell>
          <cell r="I1645">
            <v>5</v>
          </cell>
          <cell r="J1645" t="str">
            <v>PremiumSS</v>
          </cell>
          <cell r="K1645" t="str">
            <v>balance</v>
          </cell>
          <cell r="L1645" t="str">
            <v>バランスタイプ</v>
          </cell>
          <cell r="M1645" t="str">
            <v>human</v>
          </cell>
          <cell r="N1645" t="str">
            <v>ヒューマン</v>
          </cell>
          <cell r="O1645" t="str">
            <v>animal</v>
          </cell>
          <cell r="P1645" t="str">
            <v>アニマル</v>
          </cell>
          <cell r="Q1645" t="str">
            <v>アタッカー</v>
          </cell>
          <cell r="R1645">
            <v>3</v>
          </cell>
          <cell r="S1645" t="str">
            <v>NULL</v>
          </cell>
          <cell r="T1645" t="str">
            <v>normal</v>
          </cell>
          <cell r="U1645" t="str">
            <v>NULL</v>
          </cell>
          <cell r="V1645" t="str">
            <v>NULL</v>
          </cell>
          <cell r="W1645" t="str">
            <v>NULL</v>
          </cell>
        </row>
        <row r="1646">
          <cell r="A1646">
            <v>8006</v>
          </cell>
          <cell r="B1646" t="str">
            <v>ja</v>
          </cell>
          <cell r="C1646" t="str">
            <v>慈戒の呪封使 三蔵法師</v>
          </cell>
          <cell r="D1646" t="str">
            <v>イベント:ミクコラボ01</v>
          </cell>
          <cell r="E1646" t="str">
            <v>執行者</v>
          </cell>
          <cell r="F1646" t="str">
            <v>格好いい</v>
          </cell>
          <cell r="G1646" t="str">
            <v>不明</v>
          </cell>
          <cell r="H1646" t="str">
            <v>blue</v>
          </cell>
          <cell r="I1646">
            <v>6</v>
          </cell>
          <cell r="J1646" t="str">
            <v>PremiumSS</v>
          </cell>
          <cell r="K1646" t="str">
            <v>balance</v>
          </cell>
          <cell r="L1646" t="str">
            <v>バランスタイプ</v>
          </cell>
          <cell r="M1646" t="str">
            <v>human</v>
          </cell>
          <cell r="N1646" t="str">
            <v>ヒューマン</v>
          </cell>
          <cell r="O1646" t="str">
            <v>animal</v>
          </cell>
          <cell r="P1646" t="str">
            <v>アニマル</v>
          </cell>
          <cell r="Q1646" t="str">
            <v>アタッカー</v>
          </cell>
          <cell r="R1646">
            <v>3</v>
          </cell>
          <cell r="S1646" t="str">
            <v>NULL</v>
          </cell>
          <cell r="T1646" t="str">
            <v>normal</v>
          </cell>
          <cell r="U1646" t="str">
            <v>NULL</v>
          </cell>
          <cell r="V1646" t="str">
            <v>NULL</v>
          </cell>
          <cell r="W1646" t="str">
            <v>NULL</v>
          </cell>
        </row>
        <row r="1647">
          <cell r="A1647">
            <v>8007</v>
          </cell>
          <cell r="B1647" t="str">
            <v>ja</v>
          </cell>
          <cell r="C1647" t="str">
            <v>孫悟空</v>
          </cell>
          <cell r="D1647" t="str">
            <v>イベント:ミクコラボ01</v>
          </cell>
          <cell r="E1647" t="str">
            <v>執行者</v>
          </cell>
          <cell r="F1647" t="str">
            <v>格好いい</v>
          </cell>
          <cell r="G1647" t="str">
            <v>不明</v>
          </cell>
          <cell r="H1647" t="str">
            <v>red</v>
          </cell>
          <cell r="I1647">
            <v>5</v>
          </cell>
          <cell r="J1647" t="str">
            <v>DropWizS</v>
          </cell>
          <cell r="K1647" t="str">
            <v>attack</v>
          </cell>
          <cell r="L1647" t="str">
            <v>攻撃タイプ</v>
          </cell>
          <cell r="M1647" t="str">
            <v>animal</v>
          </cell>
          <cell r="N1647" t="str">
            <v>アニマル</v>
          </cell>
          <cell r="O1647" t="str">
            <v>none</v>
          </cell>
          <cell r="P1647" t="str">
            <v>種族なし</v>
          </cell>
          <cell r="Q1647" t="str">
            <v>アタッカー</v>
          </cell>
          <cell r="R1647">
            <v>3</v>
          </cell>
          <cell r="S1647" t="str">
            <v>NULL</v>
          </cell>
          <cell r="T1647" t="str">
            <v>normal</v>
          </cell>
          <cell r="U1647" t="str">
            <v>NULL</v>
          </cell>
          <cell r="V1647" t="str">
            <v>NULL</v>
          </cell>
          <cell r="W1647" t="str">
            <v>NULL</v>
          </cell>
        </row>
        <row r="1648">
          <cell r="A1648">
            <v>8008</v>
          </cell>
          <cell r="B1648" t="str">
            <v>ja</v>
          </cell>
          <cell r="C1648" t="str">
            <v>花果の天猿仙人 孫悟空</v>
          </cell>
          <cell r="D1648" t="str">
            <v>イベント:ミクコラボ01</v>
          </cell>
          <cell r="E1648" t="str">
            <v>執行者</v>
          </cell>
          <cell r="F1648" t="str">
            <v>格好いい</v>
          </cell>
          <cell r="G1648" t="str">
            <v>不明</v>
          </cell>
          <cell r="H1648" t="str">
            <v>red</v>
          </cell>
          <cell r="I1648">
            <v>6</v>
          </cell>
          <cell r="J1648" t="str">
            <v>DropWizS</v>
          </cell>
          <cell r="K1648" t="str">
            <v>attack</v>
          </cell>
          <cell r="L1648" t="str">
            <v>攻撃タイプ</v>
          </cell>
          <cell r="M1648" t="str">
            <v>animal</v>
          </cell>
          <cell r="N1648" t="str">
            <v>アニマル</v>
          </cell>
          <cell r="O1648" t="str">
            <v>none</v>
          </cell>
          <cell r="P1648" t="str">
            <v>種族なし</v>
          </cell>
          <cell r="Q1648" t="str">
            <v>アタッカー</v>
          </cell>
          <cell r="R1648">
            <v>3</v>
          </cell>
          <cell r="S1648" t="str">
            <v>NULL</v>
          </cell>
          <cell r="T1648" t="str">
            <v>normal</v>
          </cell>
          <cell r="U1648" t="str">
            <v>NULL</v>
          </cell>
          <cell r="V1648" t="str">
            <v>NULL</v>
          </cell>
          <cell r="W1648" t="str">
            <v>NULL</v>
          </cell>
        </row>
        <row r="1649">
          <cell r="A1649">
            <v>8009</v>
          </cell>
          <cell r="B1649" t="str">
            <v>ja</v>
          </cell>
          <cell r="C1649" t="str">
            <v>西王娘娘</v>
          </cell>
          <cell r="D1649" t="str">
            <v>イベント:ミクコラボ01</v>
          </cell>
          <cell r="E1649" t="str">
            <v>執行者</v>
          </cell>
          <cell r="F1649" t="str">
            <v>格好いい</v>
          </cell>
          <cell r="G1649" t="str">
            <v>不明</v>
          </cell>
          <cell r="H1649" t="str">
            <v>green</v>
          </cell>
          <cell r="I1649">
            <v>5</v>
          </cell>
          <cell r="J1649" t="str">
            <v>PremiumSS</v>
          </cell>
          <cell r="K1649" t="str">
            <v>attack</v>
          </cell>
          <cell r="L1649" t="str">
            <v>攻撃タイプ</v>
          </cell>
          <cell r="M1649" t="str">
            <v>god</v>
          </cell>
          <cell r="N1649" t="str">
            <v>ゴッド</v>
          </cell>
          <cell r="O1649" t="str">
            <v>machine</v>
          </cell>
          <cell r="P1649" t="str">
            <v>マシン</v>
          </cell>
          <cell r="Q1649" t="str">
            <v>アタッカー</v>
          </cell>
          <cell r="R1649">
            <v>3</v>
          </cell>
          <cell r="S1649" t="str">
            <v>NULL</v>
          </cell>
          <cell r="T1649" t="str">
            <v>normal</v>
          </cell>
          <cell r="U1649" t="str">
            <v>NULL</v>
          </cell>
          <cell r="V1649" t="str">
            <v>NULL</v>
          </cell>
          <cell r="W1649" t="str">
            <v>NULL</v>
          </cell>
        </row>
        <row r="1650">
          <cell r="A1650">
            <v>8010</v>
          </cell>
          <cell r="B1650" t="str">
            <v>ja</v>
          </cell>
          <cell r="C1650" t="str">
            <v>極楽瑶池の聖母 西王娘娘</v>
          </cell>
          <cell r="D1650" t="str">
            <v>イベント:ミクコラボ01</v>
          </cell>
          <cell r="E1650" t="str">
            <v>執行者</v>
          </cell>
          <cell r="F1650" t="str">
            <v>格好いい</v>
          </cell>
          <cell r="G1650" t="str">
            <v>不明</v>
          </cell>
          <cell r="H1650" t="str">
            <v>green</v>
          </cell>
          <cell r="I1650">
            <v>6</v>
          </cell>
          <cell r="J1650" t="str">
            <v>PremiumSS</v>
          </cell>
          <cell r="K1650" t="str">
            <v>attack</v>
          </cell>
          <cell r="L1650" t="str">
            <v>攻撃タイプ</v>
          </cell>
          <cell r="M1650" t="str">
            <v>god</v>
          </cell>
          <cell r="N1650" t="str">
            <v>ゴッド</v>
          </cell>
          <cell r="O1650" t="str">
            <v>machine</v>
          </cell>
          <cell r="P1650" t="str">
            <v>マシン</v>
          </cell>
          <cell r="Q1650" t="str">
            <v>アタッカー</v>
          </cell>
          <cell r="R1650">
            <v>3</v>
          </cell>
          <cell r="S1650" t="str">
            <v>NULL</v>
          </cell>
          <cell r="T1650" t="str">
            <v>normal</v>
          </cell>
          <cell r="U1650" t="str">
            <v>NULL</v>
          </cell>
          <cell r="V1650" t="str">
            <v>NULL</v>
          </cell>
          <cell r="W1650" t="str">
            <v>NULL</v>
          </cell>
        </row>
        <row r="1651">
          <cell r="A1651">
            <v>8011</v>
          </cell>
          <cell r="B1651" t="str">
            <v>ja</v>
          </cell>
          <cell r="C1651" t="str">
            <v>月下老人</v>
          </cell>
          <cell r="D1651" t="str">
            <v>イベント:ミクコラボ01</v>
          </cell>
          <cell r="E1651" t="str">
            <v>執行者</v>
          </cell>
          <cell r="F1651" t="str">
            <v>格好いい</v>
          </cell>
          <cell r="G1651" t="str">
            <v>女性</v>
          </cell>
          <cell r="H1651" t="str">
            <v>yellow</v>
          </cell>
          <cell r="I1651">
            <v>5</v>
          </cell>
          <cell r="J1651" t="str">
            <v>DropWizS</v>
          </cell>
          <cell r="K1651" t="str">
            <v>balance</v>
          </cell>
          <cell r="L1651" t="str">
            <v>バランスタイプ</v>
          </cell>
          <cell r="M1651" t="str">
            <v>god</v>
          </cell>
          <cell r="N1651" t="str">
            <v>ゴッド</v>
          </cell>
          <cell r="O1651" t="str">
            <v>none</v>
          </cell>
          <cell r="P1651" t="str">
            <v>種族なし</v>
          </cell>
          <cell r="Q1651" t="str">
            <v>アタッカー</v>
          </cell>
          <cell r="R1651">
            <v>3</v>
          </cell>
          <cell r="S1651" t="str">
            <v>NULL</v>
          </cell>
          <cell r="T1651" t="str">
            <v>normal</v>
          </cell>
          <cell r="U1651" t="str">
            <v>NULL</v>
          </cell>
          <cell r="V1651" t="str">
            <v>NULL</v>
          </cell>
          <cell r="W1651" t="str">
            <v>NULL</v>
          </cell>
        </row>
        <row r="1652">
          <cell r="A1652">
            <v>8012</v>
          </cell>
          <cell r="B1652" t="str">
            <v>ja</v>
          </cell>
          <cell r="C1652" t="str">
            <v>破戀斬る縁剣 月下老人</v>
          </cell>
          <cell r="D1652" t="str">
            <v>イベント:ミクコラボ01</v>
          </cell>
          <cell r="E1652" t="str">
            <v>執行者</v>
          </cell>
          <cell r="F1652" t="str">
            <v>格好いい</v>
          </cell>
          <cell r="G1652" t="str">
            <v>女性</v>
          </cell>
          <cell r="H1652" t="str">
            <v>yellow</v>
          </cell>
          <cell r="I1652">
            <v>6</v>
          </cell>
          <cell r="J1652" t="str">
            <v>DropWizS</v>
          </cell>
          <cell r="K1652" t="str">
            <v>balance</v>
          </cell>
          <cell r="L1652" t="str">
            <v>バランスタイプ</v>
          </cell>
          <cell r="M1652" t="str">
            <v>god</v>
          </cell>
          <cell r="N1652" t="str">
            <v>ゴッド</v>
          </cell>
          <cell r="O1652" t="str">
            <v>none</v>
          </cell>
          <cell r="P1652" t="str">
            <v>種族なし</v>
          </cell>
          <cell r="Q1652" t="str">
            <v>アタッカー</v>
          </cell>
          <cell r="R1652">
            <v>3</v>
          </cell>
          <cell r="S1652" t="str">
            <v>NULL</v>
          </cell>
          <cell r="T1652" t="str">
            <v>normal</v>
          </cell>
          <cell r="U1652" t="str">
            <v>NULL</v>
          </cell>
          <cell r="V1652" t="str">
            <v>NULL</v>
          </cell>
          <cell r="W1652" t="str">
            <v>NULL</v>
          </cell>
        </row>
        <row r="1653">
          <cell r="A1653">
            <v>8013</v>
          </cell>
          <cell r="B1653" t="str">
            <v>ja</v>
          </cell>
          <cell r="C1653" t="str">
            <v>初音ミクV3</v>
          </cell>
          <cell r="D1653" t="str">
            <v>初音ミクV3</v>
          </cell>
          <cell r="E1653" t="str">
            <v>執行者</v>
          </cell>
          <cell r="F1653" t="str">
            <v>格好いい</v>
          </cell>
          <cell r="G1653" t="str">
            <v>女性</v>
          </cell>
          <cell r="H1653" t="str">
            <v>yellow</v>
          </cell>
          <cell r="I1653">
            <v>4</v>
          </cell>
          <cell r="J1653" t="str">
            <v>DropWizS</v>
          </cell>
          <cell r="K1653" t="str">
            <v>balance</v>
          </cell>
          <cell r="L1653" t="str">
            <v>バランスタイプ</v>
          </cell>
          <cell r="M1653" t="str">
            <v>unknown</v>
          </cell>
          <cell r="N1653" t="str">
            <v>Unknown</v>
          </cell>
          <cell r="O1653" t="str">
            <v>none</v>
          </cell>
          <cell r="P1653" t="str">
            <v>種族なし</v>
          </cell>
          <cell r="Q1653" t="str">
            <v>アタッカー</v>
          </cell>
          <cell r="R1653">
            <v>1</v>
          </cell>
          <cell r="S1653" t="str">
            <v>NULL</v>
          </cell>
          <cell r="T1653" t="str">
            <v>normal</v>
          </cell>
          <cell r="U1653" t="str">
            <v>NULL</v>
          </cell>
          <cell r="V1653" t="str">
            <v>NULL</v>
          </cell>
          <cell r="W1653" t="str">
            <v>NULL</v>
          </cell>
        </row>
        <row r="1654">
          <cell r="A1654">
            <v>8014</v>
          </cell>
          <cell r="B1654" t="str">
            <v>ja</v>
          </cell>
          <cell r="C1654" t="str">
            <v>初音ミクV3</v>
          </cell>
          <cell r="D1654" t="str">
            <v>初音ミクV3</v>
          </cell>
          <cell r="E1654" t="str">
            <v>執行者</v>
          </cell>
          <cell r="F1654" t="str">
            <v>格好いい</v>
          </cell>
          <cell r="G1654" t="str">
            <v>女性</v>
          </cell>
          <cell r="H1654" t="str">
            <v>yellow</v>
          </cell>
          <cell r="I1654">
            <v>5</v>
          </cell>
          <cell r="J1654" t="str">
            <v>DropWizS</v>
          </cell>
          <cell r="K1654" t="str">
            <v>balance</v>
          </cell>
          <cell r="L1654" t="str">
            <v>バランスタイプ</v>
          </cell>
          <cell r="M1654" t="str">
            <v>unknown</v>
          </cell>
          <cell r="N1654" t="str">
            <v>Unknown</v>
          </cell>
          <cell r="O1654" t="str">
            <v>none</v>
          </cell>
          <cell r="P1654" t="str">
            <v>種族なし</v>
          </cell>
          <cell r="Q1654" t="str">
            <v>アタッカー</v>
          </cell>
          <cell r="R1654">
            <v>1</v>
          </cell>
          <cell r="S1654" t="str">
            <v>NULL</v>
          </cell>
          <cell r="T1654" t="str">
            <v>normal</v>
          </cell>
          <cell r="U1654" t="str">
            <v>NULL</v>
          </cell>
          <cell r="V1654" t="str">
            <v>NULL</v>
          </cell>
          <cell r="W1654" t="str">
            <v>NULL</v>
          </cell>
        </row>
        <row r="1655">
          <cell r="A1655">
            <v>8015</v>
          </cell>
          <cell r="B1655" t="str">
            <v>ja</v>
          </cell>
          <cell r="C1655" t="str">
            <v>初音ミク・アペンド</v>
          </cell>
          <cell r="D1655" t="str">
            <v>初音ミク・アペンド</v>
          </cell>
          <cell r="E1655" t="str">
            <v>執行者</v>
          </cell>
          <cell r="F1655" t="str">
            <v>格好いい</v>
          </cell>
          <cell r="G1655" t="str">
            <v>女性</v>
          </cell>
          <cell r="H1655" t="str">
            <v>green</v>
          </cell>
          <cell r="I1655">
            <v>4</v>
          </cell>
          <cell r="J1655" t="str">
            <v>PremiumSSS</v>
          </cell>
          <cell r="K1655" t="str">
            <v>technical</v>
          </cell>
          <cell r="L1655" t="str">
            <v>テクニカルタイプ</v>
          </cell>
          <cell r="M1655" t="str">
            <v>unknown</v>
          </cell>
          <cell r="N1655" t="str">
            <v>Unknown</v>
          </cell>
          <cell r="O1655" t="str">
            <v>none</v>
          </cell>
          <cell r="P1655" t="str">
            <v>種族なし</v>
          </cell>
          <cell r="Q1655" t="str">
            <v>アタッカー</v>
          </cell>
          <cell r="R1655">
            <v>1</v>
          </cell>
          <cell r="S1655" t="str">
            <v>NULL</v>
          </cell>
          <cell r="T1655" t="str">
            <v>normal</v>
          </cell>
          <cell r="U1655" t="str">
            <v>NULL</v>
          </cell>
          <cell r="V1655" t="str">
            <v>NULL</v>
          </cell>
          <cell r="W1655" t="str">
            <v>NULL</v>
          </cell>
        </row>
        <row r="1656">
          <cell r="A1656">
            <v>8016</v>
          </cell>
          <cell r="B1656" t="str">
            <v>ja</v>
          </cell>
          <cell r="C1656" t="str">
            <v>初音ミク・アペンド</v>
          </cell>
          <cell r="D1656" t="str">
            <v>初音ミク・アペンド</v>
          </cell>
          <cell r="E1656" t="str">
            <v>執行者</v>
          </cell>
          <cell r="F1656" t="str">
            <v>格好いい</v>
          </cell>
          <cell r="G1656" t="str">
            <v>女性</v>
          </cell>
          <cell r="H1656" t="str">
            <v>green</v>
          </cell>
          <cell r="I1656">
            <v>5</v>
          </cell>
          <cell r="J1656" t="str">
            <v>PremiumSSS</v>
          </cell>
          <cell r="K1656" t="str">
            <v>technical</v>
          </cell>
          <cell r="L1656" t="str">
            <v>テクニカルタイプ</v>
          </cell>
          <cell r="M1656" t="str">
            <v>unknown</v>
          </cell>
          <cell r="N1656" t="str">
            <v>Unknown</v>
          </cell>
          <cell r="O1656" t="str">
            <v>none</v>
          </cell>
          <cell r="P1656" t="str">
            <v>種族なし</v>
          </cell>
          <cell r="Q1656" t="str">
            <v>アタッカー</v>
          </cell>
          <cell r="R1656">
            <v>1</v>
          </cell>
          <cell r="S1656" t="str">
            <v>NULL</v>
          </cell>
          <cell r="T1656" t="str">
            <v>normal</v>
          </cell>
          <cell r="U1656" t="str">
            <v>NULL</v>
          </cell>
          <cell r="V1656" t="str">
            <v>NULL</v>
          </cell>
          <cell r="W1656" t="str">
            <v>NULL</v>
          </cell>
        </row>
        <row r="1657">
          <cell r="A1657">
            <v>8017</v>
          </cell>
          <cell r="B1657" t="str">
            <v>ja</v>
          </cell>
          <cell r="C1657" t="str">
            <v>初音ミク</v>
          </cell>
          <cell r="D1657" t="str">
            <v>初音ミク</v>
          </cell>
          <cell r="E1657" t="str">
            <v>執行者</v>
          </cell>
          <cell r="F1657" t="str">
            <v>格好いい</v>
          </cell>
          <cell r="G1657" t="str">
            <v>女性</v>
          </cell>
          <cell r="H1657" t="str">
            <v>green</v>
          </cell>
          <cell r="I1657">
            <v>4</v>
          </cell>
          <cell r="J1657" t="str">
            <v>PremiumSSS</v>
          </cell>
          <cell r="K1657" t="str">
            <v>balance</v>
          </cell>
          <cell r="L1657" t="str">
            <v>バランスタイプ</v>
          </cell>
          <cell r="M1657" t="str">
            <v>unknown</v>
          </cell>
          <cell r="N1657" t="str">
            <v>Unknown</v>
          </cell>
          <cell r="O1657" t="str">
            <v>none</v>
          </cell>
          <cell r="P1657" t="str">
            <v>種族なし</v>
          </cell>
          <cell r="Q1657" t="str">
            <v>アタッカー</v>
          </cell>
          <cell r="R1657">
            <v>1</v>
          </cell>
          <cell r="S1657" t="str">
            <v>NULL</v>
          </cell>
          <cell r="T1657" t="str">
            <v>normal</v>
          </cell>
          <cell r="U1657" t="str">
            <v>NULL</v>
          </cell>
          <cell r="V1657" t="str">
            <v>NULL</v>
          </cell>
          <cell r="W1657" t="str">
            <v>NULL</v>
          </cell>
        </row>
        <row r="1658">
          <cell r="A1658">
            <v>8018</v>
          </cell>
          <cell r="B1658" t="str">
            <v>ja</v>
          </cell>
          <cell r="C1658" t="str">
            <v>初音ミク</v>
          </cell>
          <cell r="D1658" t="str">
            <v>初音ミク</v>
          </cell>
          <cell r="E1658" t="str">
            <v>執行者</v>
          </cell>
          <cell r="F1658" t="str">
            <v>格好いい</v>
          </cell>
          <cell r="G1658" t="str">
            <v>女性</v>
          </cell>
          <cell r="H1658" t="str">
            <v>green</v>
          </cell>
          <cell r="I1658">
            <v>5</v>
          </cell>
          <cell r="J1658" t="str">
            <v>PremiumSSS</v>
          </cell>
          <cell r="K1658" t="str">
            <v>balance</v>
          </cell>
          <cell r="L1658" t="str">
            <v>バランスタイプ</v>
          </cell>
          <cell r="M1658" t="str">
            <v>unknown</v>
          </cell>
          <cell r="N1658" t="str">
            <v>Unknown</v>
          </cell>
          <cell r="O1658" t="str">
            <v>none</v>
          </cell>
          <cell r="P1658" t="str">
            <v>種族なし</v>
          </cell>
          <cell r="Q1658" t="str">
            <v>アタッカー</v>
          </cell>
          <cell r="R1658">
            <v>1</v>
          </cell>
          <cell r="S1658" t="str">
            <v>NULL</v>
          </cell>
          <cell r="T1658" t="str">
            <v>normal</v>
          </cell>
          <cell r="U1658" t="str">
            <v>NULL</v>
          </cell>
          <cell r="V1658" t="str">
            <v>NULL</v>
          </cell>
          <cell r="W1658" t="str">
            <v>NULL</v>
          </cell>
        </row>
        <row r="1659">
          <cell r="A1659">
            <v>8019</v>
          </cell>
          <cell r="B1659" t="str">
            <v>ja</v>
          </cell>
          <cell r="C1659" t="str">
            <v>鏡音リン</v>
          </cell>
          <cell r="D1659" t="str">
            <v>鏡音リン</v>
          </cell>
          <cell r="E1659" t="str">
            <v>執行者</v>
          </cell>
          <cell r="F1659" t="str">
            <v>格好いい</v>
          </cell>
          <cell r="G1659" t="str">
            <v>男性</v>
          </cell>
          <cell r="H1659" t="str">
            <v>yellow</v>
          </cell>
          <cell r="I1659">
            <v>4</v>
          </cell>
          <cell r="J1659" t="str">
            <v>PremiumSS</v>
          </cell>
          <cell r="K1659" t="str">
            <v>balance</v>
          </cell>
          <cell r="L1659" t="str">
            <v>バランスタイプ</v>
          </cell>
          <cell r="M1659" t="str">
            <v>unknown</v>
          </cell>
          <cell r="N1659" t="str">
            <v>Unknown</v>
          </cell>
          <cell r="O1659" t="str">
            <v>none</v>
          </cell>
          <cell r="P1659" t="str">
            <v>種族なし</v>
          </cell>
          <cell r="Q1659" t="str">
            <v>アタッカー</v>
          </cell>
          <cell r="R1659">
            <v>1</v>
          </cell>
          <cell r="S1659" t="str">
            <v>NULL</v>
          </cell>
          <cell r="T1659" t="str">
            <v>normal</v>
          </cell>
          <cell r="U1659" t="str">
            <v>NULL</v>
          </cell>
          <cell r="V1659" t="str">
            <v>NULL</v>
          </cell>
          <cell r="W1659" t="str">
            <v>NULL</v>
          </cell>
        </row>
        <row r="1660">
          <cell r="A1660">
            <v>8020</v>
          </cell>
          <cell r="B1660" t="str">
            <v>ja</v>
          </cell>
          <cell r="C1660" t="str">
            <v>鏡音リン</v>
          </cell>
          <cell r="D1660" t="str">
            <v>鏡音リン</v>
          </cell>
          <cell r="E1660" t="str">
            <v>執行者</v>
          </cell>
          <cell r="F1660" t="str">
            <v>格好いい</v>
          </cell>
          <cell r="G1660" t="str">
            <v>男性</v>
          </cell>
          <cell r="H1660" t="str">
            <v>yellow</v>
          </cell>
          <cell r="I1660">
            <v>5</v>
          </cell>
          <cell r="J1660" t="str">
            <v>PremiumSS</v>
          </cell>
          <cell r="K1660" t="str">
            <v>balance</v>
          </cell>
          <cell r="L1660" t="str">
            <v>バランスタイプ</v>
          </cell>
          <cell r="M1660" t="str">
            <v>unknown</v>
          </cell>
          <cell r="N1660" t="str">
            <v>Unknown</v>
          </cell>
          <cell r="O1660" t="str">
            <v>none</v>
          </cell>
          <cell r="P1660" t="str">
            <v>種族なし</v>
          </cell>
          <cell r="Q1660" t="str">
            <v>アタッカー</v>
          </cell>
          <cell r="R1660">
            <v>1</v>
          </cell>
          <cell r="S1660" t="str">
            <v>NULL</v>
          </cell>
          <cell r="T1660" t="str">
            <v>normal</v>
          </cell>
          <cell r="U1660" t="str">
            <v>NULL</v>
          </cell>
          <cell r="V1660" t="str">
            <v>NULL</v>
          </cell>
          <cell r="W1660" t="str">
            <v>NULL</v>
          </cell>
        </row>
        <row r="1661">
          <cell r="A1661">
            <v>8021</v>
          </cell>
          <cell r="B1661" t="str">
            <v>ja</v>
          </cell>
          <cell r="C1661" t="str">
            <v>鏡音レン</v>
          </cell>
          <cell r="D1661" t="str">
            <v>鏡音レン</v>
          </cell>
          <cell r="E1661" t="str">
            <v>執行者</v>
          </cell>
          <cell r="F1661" t="str">
            <v>格好いい</v>
          </cell>
          <cell r="G1661" t="str">
            <v>女性</v>
          </cell>
          <cell r="H1661" t="str">
            <v>yellow</v>
          </cell>
          <cell r="I1661">
            <v>4</v>
          </cell>
          <cell r="J1661" t="str">
            <v>PremiumSS</v>
          </cell>
          <cell r="K1661" t="str">
            <v>heal</v>
          </cell>
          <cell r="L1661" t="str">
            <v>回復タイプ</v>
          </cell>
          <cell r="M1661" t="str">
            <v>unknown</v>
          </cell>
          <cell r="N1661" t="str">
            <v>Unknown</v>
          </cell>
          <cell r="O1661" t="str">
            <v>none</v>
          </cell>
          <cell r="P1661" t="str">
            <v>種族なし</v>
          </cell>
          <cell r="Q1661" t="str">
            <v>アタッカー</v>
          </cell>
          <cell r="R1661">
            <v>1</v>
          </cell>
          <cell r="S1661" t="str">
            <v>NULL</v>
          </cell>
          <cell r="T1661" t="str">
            <v>normal</v>
          </cell>
          <cell r="U1661" t="str">
            <v>NULL</v>
          </cell>
          <cell r="V1661" t="str">
            <v>NULL</v>
          </cell>
          <cell r="W1661" t="str">
            <v>NULL</v>
          </cell>
        </row>
        <row r="1662">
          <cell r="A1662">
            <v>8022</v>
          </cell>
          <cell r="B1662" t="str">
            <v>ja</v>
          </cell>
          <cell r="C1662" t="str">
            <v>鏡音レン</v>
          </cell>
          <cell r="D1662" t="str">
            <v>鏡音レン</v>
          </cell>
          <cell r="E1662" t="str">
            <v>執行者</v>
          </cell>
          <cell r="F1662" t="str">
            <v>格好いい</v>
          </cell>
          <cell r="G1662" t="str">
            <v>女性</v>
          </cell>
          <cell r="H1662" t="str">
            <v>yellow</v>
          </cell>
          <cell r="I1662">
            <v>5</v>
          </cell>
          <cell r="J1662" t="str">
            <v>PremiumSS</v>
          </cell>
          <cell r="K1662" t="str">
            <v>heal</v>
          </cell>
          <cell r="L1662" t="str">
            <v>回復タイプ</v>
          </cell>
          <cell r="M1662" t="str">
            <v>unknown</v>
          </cell>
          <cell r="N1662" t="str">
            <v>Unknown</v>
          </cell>
          <cell r="O1662" t="str">
            <v>none</v>
          </cell>
          <cell r="P1662" t="str">
            <v>種族なし</v>
          </cell>
          <cell r="Q1662" t="str">
            <v>アタッカー</v>
          </cell>
          <cell r="R1662">
            <v>1</v>
          </cell>
          <cell r="S1662" t="str">
            <v>NULL</v>
          </cell>
          <cell r="T1662" t="str">
            <v>normal</v>
          </cell>
          <cell r="U1662" t="str">
            <v>NULL</v>
          </cell>
          <cell r="V1662" t="str">
            <v>NULL</v>
          </cell>
          <cell r="W1662" t="str">
            <v>NULL</v>
          </cell>
        </row>
        <row r="1663">
          <cell r="A1663">
            <v>8023</v>
          </cell>
          <cell r="B1663" t="str">
            <v>ja</v>
          </cell>
          <cell r="C1663" t="str">
            <v>巡音ルカ</v>
          </cell>
          <cell r="D1663" t="str">
            <v>巡音ルカ</v>
          </cell>
          <cell r="E1663" t="str">
            <v>執行者</v>
          </cell>
          <cell r="F1663" t="str">
            <v>格好いい</v>
          </cell>
          <cell r="G1663" t="str">
            <v>女性</v>
          </cell>
          <cell r="H1663" t="str">
            <v>red</v>
          </cell>
          <cell r="I1663">
            <v>3</v>
          </cell>
          <cell r="J1663" t="str">
            <v>PremiumS</v>
          </cell>
          <cell r="K1663" t="str">
            <v>attack</v>
          </cell>
          <cell r="L1663" t="str">
            <v>攻撃タイプ</v>
          </cell>
          <cell r="M1663" t="str">
            <v>unknown</v>
          </cell>
          <cell r="N1663" t="str">
            <v>Unknown</v>
          </cell>
          <cell r="O1663" t="str">
            <v>none</v>
          </cell>
          <cell r="P1663" t="str">
            <v>種族なし</v>
          </cell>
          <cell r="Q1663" t="str">
            <v>アタッカー</v>
          </cell>
          <cell r="R1663">
            <v>1</v>
          </cell>
          <cell r="S1663" t="str">
            <v>NULL</v>
          </cell>
          <cell r="T1663" t="str">
            <v>normal</v>
          </cell>
          <cell r="U1663" t="str">
            <v>NULL</v>
          </cell>
          <cell r="V1663" t="str">
            <v>NULL</v>
          </cell>
          <cell r="W1663" t="str">
            <v>NULL</v>
          </cell>
        </row>
        <row r="1664">
          <cell r="A1664">
            <v>8024</v>
          </cell>
          <cell r="B1664" t="str">
            <v>ja</v>
          </cell>
          <cell r="C1664" t="str">
            <v>巡音ルカ</v>
          </cell>
          <cell r="D1664" t="str">
            <v>巡音ルカ</v>
          </cell>
          <cell r="E1664" t="str">
            <v>執行者</v>
          </cell>
          <cell r="F1664" t="str">
            <v>格好いい</v>
          </cell>
          <cell r="G1664" t="str">
            <v>女性</v>
          </cell>
          <cell r="H1664" t="str">
            <v>red</v>
          </cell>
          <cell r="I1664">
            <v>4</v>
          </cell>
          <cell r="J1664" t="str">
            <v>PremiumS</v>
          </cell>
          <cell r="K1664" t="str">
            <v>attack</v>
          </cell>
          <cell r="L1664" t="str">
            <v>攻撃タイプ</v>
          </cell>
          <cell r="M1664" t="str">
            <v>unknown</v>
          </cell>
          <cell r="N1664" t="str">
            <v>Unknown</v>
          </cell>
          <cell r="O1664" t="str">
            <v>none</v>
          </cell>
          <cell r="P1664" t="str">
            <v>種族なし</v>
          </cell>
          <cell r="Q1664" t="str">
            <v>アタッカー</v>
          </cell>
          <cell r="R1664">
            <v>1</v>
          </cell>
          <cell r="S1664" t="str">
            <v>NULL</v>
          </cell>
          <cell r="T1664" t="str">
            <v>normal</v>
          </cell>
          <cell r="U1664" t="str">
            <v>NULL</v>
          </cell>
          <cell r="V1664" t="str">
            <v>NULL</v>
          </cell>
          <cell r="W1664" t="str">
            <v>NULL</v>
          </cell>
        </row>
        <row r="1665">
          <cell r="A1665">
            <v>8025</v>
          </cell>
          <cell r="B1665" t="str">
            <v>ja</v>
          </cell>
          <cell r="C1665" t="str">
            <v>MEIKO</v>
          </cell>
          <cell r="D1665" t="str">
            <v>MEIKO</v>
          </cell>
          <cell r="E1665" t="str">
            <v>執行者</v>
          </cell>
          <cell r="F1665" t="str">
            <v>格好いい</v>
          </cell>
          <cell r="G1665" t="str">
            <v>男性</v>
          </cell>
          <cell r="H1665" t="str">
            <v>red</v>
          </cell>
          <cell r="I1665">
            <v>3</v>
          </cell>
          <cell r="J1665" t="str">
            <v>PremiumS</v>
          </cell>
          <cell r="K1665" t="str">
            <v>hp</v>
          </cell>
          <cell r="L1665" t="str">
            <v>体力タイプ</v>
          </cell>
          <cell r="M1665" t="str">
            <v>unknown</v>
          </cell>
          <cell r="N1665" t="str">
            <v>Unknown</v>
          </cell>
          <cell r="O1665" t="str">
            <v>none</v>
          </cell>
          <cell r="P1665" t="str">
            <v>種族なし</v>
          </cell>
          <cell r="Q1665" t="str">
            <v>アタッカー</v>
          </cell>
          <cell r="R1665">
            <v>1</v>
          </cell>
          <cell r="S1665" t="str">
            <v>NULL</v>
          </cell>
          <cell r="T1665" t="str">
            <v>normal</v>
          </cell>
          <cell r="U1665" t="str">
            <v>NULL</v>
          </cell>
          <cell r="V1665" t="str">
            <v>NULL</v>
          </cell>
          <cell r="W1665" t="str">
            <v>NULL</v>
          </cell>
        </row>
        <row r="1666">
          <cell r="A1666">
            <v>8026</v>
          </cell>
          <cell r="B1666" t="str">
            <v>ja</v>
          </cell>
          <cell r="C1666" t="str">
            <v>MEIKO</v>
          </cell>
          <cell r="D1666" t="str">
            <v>MEIKO</v>
          </cell>
          <cell r="E1666" t="str">
            <v>執行者</v>
          </cell>
          <cell r="F1666" t="str">
            <v>格好いい</v>
          </cell>
          <cell r="G1666" t="str">
            <v>男性</v>
          </cell>
          <cell r="H1666" t="str">
            <v>red</v>
          </cell>
          <cell r="I1666">
            <v>4</v>
          </cell>
          <cell r="J1666" t="str">
            <v>PremiumS</v>
          </cell>
          <cell r="K1666" t="str">
            <v>hp</v>
          </cell>
          <cell r="L1666" t="str">
            <v>体力タイプ</v>
          </cell>
          <cell r="M1666" t="str">
            <v>unknown</v>
          </cell>
          <cell r="N1666" t="str">
            <v>Unknown</v>
          </cell>
          <cell r="O1666" t="str">
            <v>none</v>
          </cell>
          <cell r="P1666" t="str">
            <v>種族なし</v>
          </cell>
          <cell r="Q1666" t="str">
            <v>アタッカー</v>
          </cell>
          <cell r="R1666">
            <v>1</v>
          </cell>
          <cell r="S1666" t="str">
            <v>NULL</v>
          </cell>
          <cell r="T1666" t="str">
            <v>normal</v>
          </cell>
          <cell r="U1666" t="str">
            <v>NULL</v>
          </cell>
          <cell r="V1666" t="str">
            <v>NULL</v>
          </cell>
          <cell r="W1666" t="str">
            <v>NULL</v>
          </cell>
        </row>
        <row r="1667">
          <cell r="A1667">
            <v>8027</v>
          </cell>
          <cell r="B1667" t="str">
            <v>ja</v>
          </cell>
          <cell r="C1667" t="str">
            <v>KAITO</v>
          </cell>
          <cell r="D1667" t="str">
            <v>KAITO</v>
          </cell>
          <cell r="E1667" t="str">
            <v>執行者</v>
          </cell>
          <cell r="F1667" t="str">
            <v>格好いい</v>
          </cell>
          <cell r="G1667" t="str">
            <v>女性</v>
          </cell>
          <cell r="H1667" t="str">
            <v>blue</v>
          </cell>
          <cell r="I1667">
            <v>3</v>
          </cell>
          <cell r="J1667" t="str">
            <v>PremiumS</v>
          </cell>
          <cell r="K1667" t="str">
            <v>technical</v>
          </cell>
          <cell r="L1667" t="str">
            <v>テクニカルタイプ</v>
          </cell>
          <cell r="M1667" t="str">
            <v>unknown</v>
          </cell>
          <cell r="N1667" t="str">
            <v>Unknown</v>
          </cell>
          <cell r="O1667" t="str">
            <v>none</v>
          </cell>
          <cell r="P1667" t="str">
            <v>種族なし</v>
          </cell>
          <cell r="Q1667" t="str">
            <v>アタッカー</v>
          </cell>
          <cell r="R1667">
            <v>1</v>
          </cell>
          <cell r="S1667" t="str">
            <v>NULL</v>
          </cell>
          <cell r="T1667" t="str">
            <v>normal</v>
          </cell>
          <cell r="U1667" t="str">
            <v>NULL</v>
          </cell>
          <cell r="V1667" t="str">
            <v>NULL</v>
          </cell>
          <cell r="W1667" t="str">
            <v>NULL</v>
          </cell>
        </row>
        <row r="1668">
          <cell r="A1668">
            <v>8028</v>
          </cell>
          <cell r="B1668" t="str">
            <v>ja</v>
          </cell>
          <cell r="C1668" t="str">
            <v>KAITO</v>
          </cell>
          <cell r="D1668" t="str">
            <v>KAITO</v>
          </cell>
          <cell r="E1668" t="str">
            <v>執行者</v>
          </cell>
          <cell r="F1668" t="str">
            <v>格好いい</v>
          </cell>
          <cell r="G1668" t="str">
            <v>女性</v>
          </cell>
          <cell r="H1668" t="str">
            <v>blue</v>
          </cell>
          <cell r="I1668">
            <v>4</v>
          </cell>
          <cell r="J1668" t="str">
            <v>PremiumS</v>
          </cell>
          <cell r="K1668" t="str">
            <v>technical</v>
          </cell>
          <cell r="L1668" t="str">
            <v>テクニカルタイプ</v>
          </cell>
          <cell r="M1668" t="str">
            <v>unknown</v>
          </cell>
          <cell r="N1668" t="str">
            <v>Unknown</v>
          </cell>
          <cell r="O1668" t="str">
            <v>none</v>
          </cell>
          <cell r="P1668" t="str">
            <v>種族なし</v>
          </cell>
          <cell r="Q1668" t="str">
            <v>アタッカー</v>
          </cell>
          <cell r="R1668">
            <v>1</v>
          </cell>
          <cell r="S1668" t="str">
            <v>NULL</v>
          </cell>
          <cell r="T1668" t="str">
            <v>normal</v>
          </cell>
          <cell r="U1668" t="str">
            <v>NULL</v>
          </cell>
          <cell r="V1668" t="str">
            <v>NULL</v>
          </cell>
          <cell r="W1668" t="str">
            <v>NULL</v>
          </cell>
        </row>
        <row r="1669">
          <cell r="A1669">
            <v>8029</v>
          </cell>
          <cell r="B1669" t="str">
            <v>ja</v>
          </cell>
          <cell r="C1669" t="str">
            <v>Expoミク</v>
          </cell>
          <cell r="D1669" t="str">
            <v>Expoミク</v>
          </cell>
          <cell r="E1669" t="str">
            <v>執行者</v>
          </cell>
          <cell r="F1669" t="str">
            <v>格好いい</v>
          </cell>
          <cell r="G1669" t="str">
            <v>女性</v>
          </cell>
          <cell r="H1669" t="str">
            <v>blue</v>
          </cell>
          <cell r="I1669">
            <v>4</v>
          </cell>
          <cell r="J1669" t="str">
            <v>Drop2N</v>
          </cell>
          <cell r="K1669" t="str">
            <v>heal</v>
          </cell>
          <cell r="L1669" t="str">
            <v>回復タイプ</v>
          </cell>
          <cell r="M1669" t="str">
            <v>unknown</v>
          </cell>
          <cell r="N1669" t="str">
            <v>Unknown</v>
          </cell>
          <cell r="O1669" t="str">
            <v>none</v>
          </cell>
          <cell r="P1669" t="str">
            <v>種族なし</v>
          </cell>
          <cell r="Q1669" t="str">
            <v>アタッカー</v>
          </cell>
          <cell r="R1669">
            <v>1</v>
          </cell>
          <cell r="S1669" t="str">
            <v>NULL</v>
          </cell>
          <cell r="T1669" t="str">
            <v>normal</v>
          </cell>
          <cell r="U1669" t="str">
            <v>NULL</v>
          </cell>
          <cell r="V1669" t="str">
            <v>NULL</v>
          </cell>
          <cell r="W1669" t="str">
            <v>NULL</v>
          </cell>
        </row>
        <row r="1670">
          <cell r="A1670">
            <v>8030</v>
          </cell>
          <cell r="B1670" t="str">
            <v>ja</v>
          </cell>
          <cell r="C1670" t="str">
            <v>Expoミク</v>
          </cell>
          <cell r="D1670" t="str">
            <v>Expoミク</v>
          </cell>
          <cell r="E1670" t="str">
            <v>執行者</v>
          </cell>
          <cell r="F1670" t="str">
            <v>格好いい</v>
          </cell>
          <cell r="G1670" t="str">
            <v>女性</v>
          </cell>
          <cell r="H1670" t="str">
            <v>blue</v>
          </cell>
          <cell r="I1670">
            <v>5</v>
          </cell>
          <cell r="J1670" t="str">
            <v>Drop2N</v>
          </cell>
          <cell r="K1670" t="str">
            <v>heal</v>
          </cell>
          <cell r="L1670" t="str">
            <v>回復タイプ</v>
          </cell>
          <cell r="M1670" t="str">
            <v>unknown</v>
          </cell>
          <cell r="N1670" t="str">
            <v>Unknown</v>
          </cell>
          <cell r="O1670" t="str">
            <v>none</v>
          </cell>
          <cell r="P1670" t="str">
            <v>種族なし</v>
          </cell>
          <cell r="Q1670" t="str">
            <v>アタッカー</v>
          </cell>
          <cell r="R1670">
            <v>1</v>
          </cell>
          <cell r="S1670" t="str">
            <v>NULL</v>
          </cell>
          <cell r="T1670" t="str">
            <v>normal</v>
          </cell>
          <cell r="U1670" t="str">
            <v>NULL</v>
          </cell>
          <cell r="V1670" t="str">
            <v>NULL</v>
          </cell>
          <cell r="W1670" t="str">
            <v>NULL</v>
          </cell>
        </row>
        <row r="1671">
          <cell r="A1671">
            <v>8031</v>
          </cell>
          <cell r="B1671" t="str">
            <v>ja</v>
          </cell>
          <cell r="C1671" t="str">
            <v>閻羅王</v>
          </cell>
          <cell r="D1671" t="str">
            <v>Expoミク</v>
          </cell>
          <cell r="E1671" t="str">
            <v>執行者</v>
          </cell>
          <cell r="F1671" t="str">
            <v>格好いい</v>
          </cell>
          <cell r="G1671" t="str">
            <v>女性</v>
          </cell>
          <cell r="H1671" t="str">
            <v>red</v>
          </cell>
          <cell r="I1671">
            <v>5</v>
          </cell>
          <cell r="J1671" t="str">
            <v>PremiumSS</v>
          </cell>
          <cell r="K1671" t="str">
            <v>balance</v>
          </cell>
          <cell r="L1671" t="str">
            <v>バランスタイプ</v>
          </cell>
          <cell r="M1671" t="str">
            <v>god</v>
          </cell>
          <cell r="N1671" t="str">
            <v>ゴッド</v>
          </cell>
          <cell r="O1671" t="str">
            <v>machine</v>
          </cell>
          <cell r="P1671" t="str">
            <v>マシン</v>
          </cell>
          <cell r="Q1671" t="str">
            <v>アタッカー</v>
          </cell>
          <cell r="R1671">
            <v>3</v>
          </cell>
          <cell r="S1671" t="str">
            <v>NULL</v>
          </cell>
          <cell r="T1671" t="str">
            <v>normal</v>
          </cell>
          <cell r="U1671" t="str">
            <v>NULL</v>
          </cell>
          <cell r="V1671" t="str">
            <v>NULL</v>
          </cell>
          <cell r="W1671" t="str">
            <v>NULL</v>
          </cell>
        </row>
        <row r="1672">
          <cell r="A1672">
            <v>8032</v>
          </cell>
          <cell r="B1672" t="str">
            <v>ja</v>
          </cell>
          <cell r="C1672" t="str">
            <v>六道輪廻の絶獄 閻羅王</v>
          </cell>
          <cell r="D1672" t="str">
            <v>Expoミク</v>
          </cell>
          <cell r="E1672" t="str">
            <v>執行者</v>
          </cell>
          <cell r="F1672" t="str">
            <v>格好いい</v>
          </cell>
          <cell r="G1672" t="str">
            <v>女性</v>
          </cell>
          <cell r="H1672" t="str">
            <v>red</v>
          </cell>
          <cell r="I1672">
            <v>6</v>
          </cell>
          <cell r="J1672" t="str">
            <v>PremiumSS</v>
          </cell>
          <cell r="K1672" t="str">
            <v>balance</v>
          </cell>
          <cell r="L1672" t="str">
            <v>バランスタイプ</v>
          </cell>
          <cell r="M1672" t="str">
            <v>god</v>
          </cell>
          <cell r="N1672" t="str">
            <v>ゴッド</v>
          </cell>
          <cell r="O1672" t="str">
            <v>machine</v>
          </cell>
          <cell r="P1672" t="str">
            <v>マシン</v>
          </cell>
          <cell r="Q1672" t="str">
            <v>アタッカー</v>
          </cell>
          <cell r="R1672">
            <v>3</v>
          </cell>
          <cell r="S1672" t="str">
            <v>NULL</v>
          </cell>
          <cell r="T1672" t="str">
            <v>normal</v>
          </cell>
          <cell r="U1672" t="str">
            <v>NULL</v>
          </cell>
          <cell r="V1672" t="str">
            <v>NULL</v>
          </cell>
          <cell r="W1672" t="str">
            <v>NULL</v>
          </cell>
        </row>
        <row r="1673">
          <cell r="A1673">
            <v>8033</v>
          </cell>
          <cell r="B1673" t="str">
            <v>ja</v>
          </cell>
          <cell r="C1673" t="str">
            <v>牛頭馬面</v>
          </cell>
          <cell r="D1673" t="str">
            <v>Expoミク</v>
          </cell>
          <cell r="E1673" t="str">
            <v>執行者</v>
          </cell>
          <cell r="F1673" t="str">
            <v>格好いい</v>
          </cell>
          <cell r="G1673" t="str">
            <v>女性</v>
          </cell>
          <cell r="H1673" t="str">
            <v>green</v>
          </cell>
          <cell r="I1673">
            <v>5</v>
          </cell>
          <cell r="J1673" t="str">
            <v>DropWizS</v>
          </cell>
          <cell r="K1673" t="str">
            <v>attack</v>
          </cell>
          <cell r="L1673" t="str">
            <v>攻撃タイプ</v>
          </cell>
          <cell r="M1673" t="str">
            <v>god</v>
          </cell>
          <cell r="N1673" t="str">
            <v>ゴッド</v>
          </cell>
          <cell r="O1673" t="str">
            <v>animal</v>
          </cell>
          <cell r="P1673" t="str">
            <v>アニマル</v>
          </cell>
          <cell r="Q1673" t="str">
            <v>アタッカー</v>
          </cell>
          <cell r="R1673">
            <v>3</v>
          </cell>
          <cell r="S1673" t="str">
            <v>NULL</v>
          </cell>
          <cell r="T1673" t="str">
            <v>normal</v>
          </cell>
          <cell r="U1673" t="str">
            <v>NULL</v>
          </cell>
          <cell r="V1673" t="str">
            <v>NULL</v>
          </cell>
          <cell r="W1673" t="str">
            <v>NULL</v>
          </cell>
        </row>
        <row r="1674">
          <cell r="A1674">
            <v>8034</v>
          </cell>
          <cell r="B1674" t="str">
            <v>ja</v>
          </cell>
          <cell r="C1674" t="str">
            <v>冥府狩る魂使 牛頭馬面</v>
          </cell>
          <cell r="D1674" t="str">
            <v>Expoミク</v>
          </cell>
          <cell r="E1674" t="str">
            <v>執行者</v>
          </cell>
          <cell r="F1674" t="str">
            <v>格好いい</v>
          </cell>
          <cell r="G1674" t="str">
            <v>女性</v>
          </cell>
          <cell r="H1674" t="str">
            <v>green</v>
          </cell>
          <cell r="I1674">
            <v>6</v>
          </cell>
          <cell r="J1674" t="str">
            <v>DropWizS</v>
          </cell>
          <cell r="K1674" t="str">
            <v>attack</v>
          </cell>
          <cell r="L1674" t="str">
            <v>攻撃タイプ</v>
          </cell>
          <cell r="M1674" t="str">
            <v>god</v>
          </cell>
          <cell r="N1674" t="str">
            <v>ゴッド</v>
          </cell>
          <cell r="O1674" t="str">
            <v>animal</v>
          </cell>
          <cell r="P1674" t="str">
            <v>アニマル</v>
          </cell>
          <cell r="Q1674" t="str">
            <v>アタッカー</v>
          </cell>
          <cell r="R1674">
            <v>3</v>
          </cell>
          <cell r="S1674" t="str">
            <v>NULL</v>
          </cell>
          <cell r="T1674" t="str">
            <v>normal</v>
          </cell>
          <cell r="U1674" t="str">
            <v>NULL</v>
          </cell>
          <cell r="V1674" t="str">
            <v>NULL</v>
          </cell>
          <cell r="W1674" t="str">
            <v>NULL</v>
          </cell>
        </row>
        <row r="1675">
          <cell r="A1675">
            <v>8035</v>
          </cell>
          <cell r="B1675" t="str">
            <v>ja</v>
          </cell>
          <cell r="C1675" t="str">
            <v>飛衛</v>
          </cell>
          <cell r="D1675" t="str">
            <v>Expoミク</v>
          </cell>
          <cell r="E1675" t="str">
            <v>執行者</v>
          </cell>
          <cell r="F1675" t="str">
            <v>格好いい</v>
          </cell>
          <cell r="G1675" t="str">
            <v>女性</v>
          </cell>
          <cell r="H1675" t="str">
            <v>blue</v>
          </cell>
          <cell r="I1675">
            <v>5</v>
          </cell>
          <cell r="J1675" t="str">
            <v>PremiumSS</v>
          </cell>
          <cell r="K1675" t="str">
            <v>heal</v>
          </cell>
          <cell r="L1675" t="str">
            <v>回復タイプ</v>
          </cell>
          <cell r="M1675" t="str">
            <v>human</v>
          </cell>
          <cell r="N1675" t="str">
            <v>ヒューマン</v>
          </cell>
          <cell r="O1675" t="str">
            <v>none</v>
          </cell>
          <cell r="P1675" t="str">
            <v>種族なし</v>
          </cell>
          <cell r="Q1675" t="str">
            <v>アタッカー</v>
          </cell>
          <cell r="R1675">
            <v>1</v>
          </cell>
          <cell r="S1675" t="str">
            <v>NULL</v>
          </cell>
          <cell r="T1675" t="str">
            <v>normal</v>
          </cell>
          <cell r="U1675" t="str">
            <v>NULL</v>
          </cell>
          <cell r="V1675" t="str">
            <v>NULL</v>
          </cell>
          <cell r="W1675" t="str">
            <v>NULL</v>
          </cell>
        </row>
        <row r="1676">
          <cell r="A1676">
            <v>8036</v>
          </cell>
          <cell r="B1676" t="str">
            <v>ja</v>
          </cell>
          <cell r="C1676" t="str">
            <v>レア６飛衛</v>
          </cell>
          <cell r="D1676" t="str">
            <v>Expoミク</v>
          </cell>
          <cell r="E1676" t="str">
            <v>執行者</v>
          </cell>
          <cell r="F1676" t="str">
            <v>格好いい</v>
          </cell>
          <cell r="G1676" t="str">
            <v>女性</v>
          </cell>
          <cell r="H1676" t="str">
            <v>blue</v>
          </cell>
          <cell r="I1676">
            <v>6</v>
          </cell>
          <cell r="J1676" t="str">
            <v>PremiumSS</v>
          </cell>
          <cell r="K1676" t="str">
            <v>heal</v>
          </cell>
          <cell r="L1676" t="str">
            <v>回復タイプ</v>
          </cell>
          <cell r="M1676" t="str">
            <v>human</v>
          </cell>
          <cell r="N1676" t="str">
            <v>ヒューマン</v>
          </cell>
          <cell r="O1676" t="str">
            <v>none</v>
          </cell>
          <cell r="P1676" t="str">
            <v>種族なし</v>
          </cell>
          <cell r="Q1676" t="str">
            <v>アタッカー</v>
          </cell>
          <cell r="R1676">
            <v>1</v>
          </cell>
          <cell r="S1676" t="str">
            <v>NULL</v>
          </cell>
          <cell r="T1676" t="str">
            <v>normal</v>
          </cell>
          <cell r="U1676" t="str">
            <v>NULL</v>
          </cell>
          <cell r="V1676" t="str">
            <v>NULL</v>
          </cell>
          <cell r="W1676" t="str">
            <v>NULL</v>
          </cell>
        </row>
        <row r="1677">
          <cell r="A1677">
            <v>8037</v>
          </cell>
          <cell r="B1677" t="str">
            <v>ja</v>
          </cell>
          <cell r="C1677" t="str">
            <v>紀昌</v>
          </cell>
          <cell r="D1677" t="str">
            <v>Expoミク</v>
          </cell>
          <cell r="E1677" t="str">
            <v>執行者</v>
          </cell>
          <cell r="F1677" t="str">
            <v>格好いい</v>
          </cell>
          <cell r="G1677" t="str">
            <v>女性</v>
          </cell>
          <cell r="H1677" t="str">
            <v>red</v>
          </cell>
          <cell r="I1677">
            <v>5</v>
          </cell>
          <cell r="J1677" t="str">
            <v>DropWizS</v>
          </cell>
          <cell r="K1677" t="str">
            <v>attack</v>
          </cell>
          <cell r="L1677" t="str">
            <v>攻撃タイプ</v>
          </cell>
          <cell r="M1677" t="str">
            <v>human</v>
          </cell>
          <cell r="N1677" t="str">
            <v>ヒューマン</v>
          </cell>
          <cell r="O1677" t="str">
            <v>machine</v>
          </cell>
          <cell r="P1677" t="str">
            <v>マシン</v>
          </cell>
          <cell r="Q1677" t="str">
            <v>アタッカー</v>
          </cell>
          <cell r="R1677">
            <v>1</v>
          </cell>
          <cell r="S1677" t="str">
            <v>NULL</v>
          </cell>
          <cell r="T1677" t="str">
            <v>normal</v>
          </cell>
          <cell r="U1677" t="str">
            <v>NULL</v>
          </cell>
          <cell r="V1677" t="str">
            <v>NULL</v>
          </cell>
          <cell r="W1677" t="str">
            <v>NULL</v>
          </cell>
        </row>
        <row r="1678">
          <cell r="A1678">
            <v>8038</v>
          </cell>
          <cell r="B1678" t="str">
            <v>ja</v>
          </cell>
          <cell r="C1678" t="str">
            <v>レア６紀昌</v>
          </cell>
          <cell r="D1678" t="str">
            <v>Expoミク</v>
          </cell>
          <cell r="E1678" t="str">
            <v>執行者</v>
          </cell>
          <cell r="F1678" t="str">
            <v>格好いい</v>
          </cell>
          <cell r="G1678" t="str">
            <v>女性</v>
          </cell>
          <cell r="H1678" t="str">
            <v>red</v>
          </cell>
          <cell r="I1678">
            <v>6</v>
          </cell>
          <cell r="J1678" t="str">
            <v>DropWizS</v>
          </cell>
          <cell r="K1678" t="str">
            <v>attack</v>
          </cell>
          <cell r="L1678" t="str">
            <v>攻撃タイプ</v>
          </cell>
          <cell r="M1678" t="str">
            <v>human</v>
          </cell>
          <cell r="N1678" t="str">
            <v>ヒューマン</v>
          </cell>
          <cell r="O1678" t="str">
            <v>machine</v>
          </cell>
          <cell r="P1678" t="str">
            <v>マシン</v>
          </cell>
          <cell r="Q1678" t="str">
            <v>アタッカー</v>
          </cell>
          <cell r="R1678">
            <v>1</v>
          </cell>
          <cell r="S1678" t="str">
            <v>NULL</v>
          </cell>
          <cell r="T1678" t="str">
            <v>normal</v>
          </cell>
          <cell r="U1678" t="str">
            <v>NULL</v>
          </cell>
          <cell r="V1678" t="str">
            <v>NULL</v>
          </cell>
          <cell r="W1678" t="str">
            <v>NULL</v>
          </cell>
        </row>
        <row r="1679">
          <cell r="A1679">
            <v>8039</v>
          </cell>
          <cell r="B1679" t="str">
            <v>ja</v>
          </cell>
          <cell r="C1679" t="str">
            <v>何仙姑</v>
          </cell>
          <cell r="D1679" t="str">
            <v>Expoミク</v>
          </cell>
          <cell r="E1679" t="str">
            <v>執行者</v>
          </cell>
          <cell r="F1679" t="str">
            <v>格好いい</v>
          </cell>
          <cell r="G1679" t="str">
            <v>女性</v>
          </cell>
          <cell r="H1679" t="str">
            <v>yellow</v>
          </cell>
          <cell r="I1679">
            <v>5</v>
          </cell>
          <cell r="J1679" t="str">
            <v>PremiumSSw</v>
          </cell>
          <cell r="K1679" t="str">
            <v>hp</v>
          </cell>
          <cell r="L1679" t="str">
            <v>体力タイプ</v>
          </cell>
          <cell r="M1679" t="str">
            <v>god</v>
          </cell>
          <cell r="N1679" t="str">
            <v>ゴッド</v>
          </cell>
          <cell r="O1679" t="str">
            <v>none</v>
          </cell>
          <cell r="P1679" t="str">
            <v>種族なし</v>
          </cell>
          <cell r="Q1679" t="str">
            <v>アタッカー</v>
          </cell>
          <cell r="R1679">
            <v>3</v>
          </cell>
          <cell r="S1679" t="str">
            <v>NULL</v>
          </cell>
          <cell r="T1679" t="str">
            <v>normal</v>
          </cell>
          <cell r="U1679" t="str">
            <v>NULL</v>
          </cell>
          <cell r="V1679" t="str">
            <v>NULL</v>
          </cell>
          <cell r="W1679" t="str">
            <v>NULL</v>
          </cell>
        </row>
        <row r="1680">
          <cell r="A1680">
            <v>8040</v>
          </cell>
          <cell r="B1680" t="str">
            <v>ja</v>
          </cell>
          <cell r="C1680" t="str">
            <v>荷咲く九天 何仙姑</v>
          </cell>
          <cell r="D1680" t="str">
            <v>Expoミク</v>
          </cell>
          <cell r="E1680" t="str">
            <v>執行者</v>
          </cell>
          <cell r="F1680" t="str">
            <v>格好いい</v>
          </cell>
          <cell r="G1680" t="str">
            <v>女性</v>
          </cell>
          <cell r="H1680" t="str">
            <v>yellow</v>
          </cell>
          <cell r="I1680">
            <v>6</v>
          </cell>
          <cell r="J1680" t="str">
            <v>PremiumSSw</v>
          </cell>
          <cell r="K1680" t="str">
            <v>hp</v>
          </cell>
          <cell r="L1680" t="str">
            <v>体力タイプ</v>
          </cell>
          <cell r="M1680" t="str">
            <v>god</v>
          </cell>
          <cell r="N1680" t="str">
            <v>ゴッド</v>
          </cell>
          <cell r="O1680" t="str">
            <v>none</v>
          </cell>
          <cell r="P1680" t="str">
            <v>種族なし</v>
          </cell>
          <cell r="Q1680" t="str">
            <v>アタッカー</v>
          </cell>
          <cell r="R1680">
            <v>3</v>
          </cell>
          <cell r="S1680" t="str">
            <v>NULL</v>
          </cell>
          <cell r="T1680" t="str">
            <v>normal</v>
          </cell>
          <cell r="U1680" t="str">
            <v>NULL</v>
          </cell>
          <cell r="V1680" t="str">
            <v>NULL</v>
          </cell>
          <cell r="W1680" t="str">
            <v>NULL</v>
          </cell>
        </row>
        <row r="1681">
          <cell r="A1681">
            <v>8041</v>
          </cell>
          <cell r="B1681" t="str">
            <v>ja</v>
          </cell>
          <cell r="C1681" t="str">
            <v>藍采和</v>
          </cell>
          <cell r="D1681" t="str">
            <v>Expoミク</v>
          </cell>
          <cell r="E1681" t="str">
            <v>執行者</v>
          </cell>
          <cell r="F1681" t="str">
            <v>格好いい</v>
          </cell>
          <cell r="G1681" t="str">
            <v>女性</v>
          </cell>
          <cell r="H1681" t="str">
            <v>blue</v>
          </cell>
          <cell r="I1681">
            <v>5</v>
          </cell>
          <cell r="J1681" t="str">
            <v>DropWizS</v>
          </cell>
          <cell r="K1681" t="str">
            <v>balance</v>
          </cell>
          <cell r="L1681" t="str">
            <v>バランスタイプ</v>
          </cell>
          <cell r="M1681" t="str">
            <v>god</v>
          </cell>
          <cell r="N1681" t="str">
            <v>ゴッド</v>
          </cell>
          <cell r="O1681" t="str">
            <v>none</v>
          </cell>
          <cell r="P1681" t="str">
            <v>種族なし</v>
          </cell>
          <cell r="Q1681" t="str">
            <v>アタッカー</v>
          </cell>
          <cell r="R1681">
            <v>3</v>
          </cell>
          <cell r="S1681" t="str">
            <v>NULL</v>
          </cell>
          <cell r="T1681" t="str">
            <v>normal</v>
          </cell>
          <cell r="U1681" t="str">
            <v>NULL</v>
          </cell>
          <cell r="V1681" t="str">
            <v>NULL</v>
          </cell>
          <cell r="W1681" t="str">
            <v>NULL</v>
          </cell>
        </row>
        <row r="1682">
          <cell r="A1682">
            <v>8042</v>
          </cell>
          <cell r="B1682" t="str">
            <v>ja</v>
          </cell>
          <cell r="C1682" t="str">
            <v>天真浪漫 藍采和</v>
          </cell>
          <cell r="D1682" t="str">
            <v>Expoミク</v>
          </cell>
          <cell r="E1682" t="str">
            <v>執行者</v>
          </cell>
          <cell r="F1682" t="str">
            <v>格好いい</v>
          </cell>
          <cell r="G1682" t="str">
            <v>女性</v>
          </cell>
          <cell r="H1682" t="str">
            <v>blue</v>
          </cell>
          <cell r="I1682">
            <v>6</v>
          </cell>
          <cell r="J1682" t="str">
            <v>DropWizS</v>
          </cell>
          <cell r="K1682" t="str">
            <v>balance</v>
          </cell>
          <cell r="L1682" t="str">
            <v>バランスタイプ</v>
          </cell>
          <cell r="M1682" t="str">
            <v>god</v>
          </cell>
          <cell r="N1682" t="str">
            <v>ゴッド</v>
          </cell>
          <cell r="O1682" t="str">
            <v>none</v>
          </cell>
          <cell r="P1682" t="str">
            <v>種族なし</v>
          </cell>
          <cell r="Q1682" t="str">
            <v>アタッカー</v>
          </cell>
          <cell r="R1682">
            <v>3</v>
          </cell>
          <cell r="S1682" t="str">
            <v>NULL</v>
          </cell>
          <cell r="T1682" t="str">
            <v>normal</v>
          </cell>
          <cell r="U1682" t="str">
            <v>NULL</v>
          </cell>
          <cell r="V1682" t="str">
            <v>NULL</v>
          </cell>
          <cell r="W1682" t="str">
            <v>NULL</v>
          </cell>
        </row>
        <row r="1683">
          <cell r="A1683">
            <v>8043</v>
          </cell>
          <cell r="B1683" t="str">
            <v>ja</v>
          </cell>
          <cell r="C1683" t="str">
            <v>サンリオキャラ大集合+アザゼル</v>
          </cell>
          <cell r="D1683" t="str">
            <v>サンリオキャラ大集合+アザゼル</v>
          </cell>
          <cell r="E1683" t="str">
            <v>執行者</v>
          </cell>
          <cell r="F1683" t="str">
            <v>格好いい</v>
          </cell>
          <cell r="G1683" t="str">
            <v>女性</v>
          </cell>
          <cell r="H1683" t="str">
            <v>green</v>
          </cell>
          <cell r="I1683">
            <v>5</v>
          </cell>
          <cell r="J1683" t="str">
            <v>DropWizS</v>
          </cell>
          <cell r="K1683" t="str">
            <v>technical</v>
          </cell>
          <cell r="L1683" t="str">
            <v>テクニカルタイプ</v>
          </cell>
          <cell r="M1683" t="str">
            <v>ss</v>
          </cell>
          <cell r="N1683" t="str">
            <v>サンリオキャラクターズ</v>
          </cell>
          <cell r="O1683" t="str">
            <v>none</v>
          </cell>
          <cell r="P1683" t="str">
            <v>種族なし</v>
          </cell>
          <cell r="Q1683" t="str">
            <v>アタッカー</v>
          </cell>
          <cell r="R1683">
            <v>1</v>
          </cell>
          <cell r="S1683" t="str">
            <v>NULL</v>
          </cell>
          <cell r="T1683" t="str">
            <v>normal</v>
          </cell>
          <cell r="U1683" t="str">
            <v>NULL</v>
          </cell>
          <cell r="V1683" t="str">
            <v>NULL</v>
          </cell>
          <cell r="W1683" t="str">
            <v>NULL</v>
          </cell>
        </row>
        <row r="1684">
          <cell r="A1684">
            <v>8044</v>
          </cell>
          <cell r="B1684" t="str">
            <v>ja</v>
          </cell>
          <cell r="C1684" t="str">
            <v>サンリオキャラ大集合+アザゼル</v>
          </cell>
          <cell r="D1684" t="str">
            <v>サンリオキャラ大集合+アザゼル</v>
          </cell>
          <cell r="E1684" t="str">
            <v>執行者</v>
          </cell>
          <cell r="F1684" t="str">
            <v>格好いい</v>
          </cell>
          <cell r="G1684" t="str">
            <v>女性</v>
          </cell>
          <cell r="H1684" t="str">
            <v>green</v>
          </cell>
          <cell r="I1684">
            <v>6</v>
          </cell>
          <cell r="J1684" t="str">
            <v>DropWizS</v>
          </cell>
          <cell r="K1684" t="str">
            <v>technical</v>
          </cell>
          <cell r="L1684" t="str">
            <v>テクニカルタイプ</v>
          </cell>
          <cell r="M1684" t="str">
            <v>ss</v>
          </cell>
          <cell r="N1684" t="str">
            <v>サンリオキャラクターズ</v>
          </cell>
          <cell r="O1684" t="str">
            <v>none</v>
          </cell>
          <cell r="P1684" t="str">
            <v>種族なし</v>
          </cell>
          <cell r="Q1684" t="str">
            <v>アタッカー</v>
          </cell>
          <cell r="R1684">
            <v>1</v>
          </cell>
          <cell r="S1684" t="str">
            <v>NULL</v>
          </cell>
          <cell r="T1684" t="str">
            <v>normal</v>
          </cell>
          <cell r="U1684" t="str">
            <v>NULL</v>
          </cell>
          <cell r="V1684" t="str">
            <v>NULL</v>
          </cell>
          <cell r="W1684" t="str">
            <v>NULL</v>
          </cell>
        </row>
        <row r="1685">
          <cell r="A1685">
            <v>8045</v>
          </cell>
          <cell r="B1685" t="str">
            <v>ja</v>
          </cell>
          <cell r="C1685" t="str">
            <v>ニムダ_サンリオキャラ混じり</v>
          </cell>
          <cell r="D1685" t="str">
            <v>ニムダ_サンリオキャラ混じり</v>
          </cell>
          <cell r="E1685" t="str">
            <v>執行者</v>
          </cell>
          <cell r="F1685" t="str">
            <v>格好いい</v>
          </cell>
          <cell r="G1685" t="str">
            <v>女性</v>
          </cell>
          <cell r="H1685" t="str">
            <v>yellow</v>
          </cell>
          <cell r="I1685">
            <v>4</v>
          </cell>
          <cell r="J1685" t="str">
            <v>Drop2N</v>
          </cell>
          <cell r="K1685" t="str">
            <v>technical</v>
          </cell>
          <cell r="L1685" t="str">
            <v>テクニカルタイプ</v>
          </cell>
          <cell r="M1685" t="str">
            <v>ss</v>
          </cell>
          <cell r="N1685" t="str">
            <v>サンリオキャラクターズ</v>
          </cell>
          <cell r="O1685" t="str">
            <v>none</v>
          </cell>
          <cell r="P1685" t="str">
            <v>種族なし</v>
          </cell>
          <cell r="Q1685" t="str">
            <v>アタッカー</v>
          </cell>
          <cell r="R1685">
            <v>1</v>
          </cell>
          <cell r="S1685" t="str">
            <v>NULL</v>
          </cell>
          <cell r="T1685" t="str">
            <v>normal</v>
          </cell>
          <cell r="U1685" t="str">
            <v>NULL</v>
          </cell>
          <cell r="V1685" t="str">
            <v>NULL</v>
          </cell>
          <cell r="W1685" t="str">
            <v>NULL</v>
          </cell>
        </row>
        <row r="1686">
          <cell r="A1686">
            <v>8046</v>
          </cell>
          <cell r="B1686" t="str">
            <v>ja</v>
          </cell>
          <cell r="C1686" t="str">
            <v>ニムダ_サンリオキャラ混じり</v>
          </cell>
          <cell r="D1686" t="str">
            <v>ニムダ_サンリオキャラ混じり</v>
          </cell>
          <cell r="E1686" t="str">
            <v>執行者</v>
          </cell>
          <cell r="F1686" t="str">
            <v>格好いい</v>
          </cell>
          <cell r="G1686" t="str">
            <v>女性</v>
          </cell>
          <cell r="H1686" t="str">
            <v>yellow</v>
          </cell>
          <cell r="I1686">
            <v>5</v>
          </cell>
          <cell r="J1686" t="str">
            <v>Drop2N</v>
          </cell>
          <cell r="K1686" t="str">
            <v>technical</v>
          </cell>
          <cell r="L1686" t="str">
            <v>テクニカルタイプ</v>
          </cell>
          <cell r="M1686" t="str">
            <v>ss</v>
          </cell>
          <cell r="N1686" t="str">
            <v>サンリオキャラクターズ</v>
          </cell>
          <cell r="O1686" t="str">
            <v>none</v>
          </cell>
          <cell r="P1686" t="str">
            <v>種族なし</v>
          </cell>
          <cell r="Q1686" t="str">
            <v>アタッカー</v>
          </cell>
          <cell r="R1686">
            <v>1</v>
          </cell>
          <cell r="S1686" t="str">
            <v>NULL</v>
          </cell>
          <cell r="T1686" t="str">
            <v>normal</v>
          </cell>
          <cell r="U1686" t="str">
            <v>NULL</v>
          </cell>
          <cell r="V1686" t="str">
            <v>NULL</v>
          </cell>
          <cell r="W1686" t="str">
            <v>NULL</v>
          </cell>
        </row>
        <row r="1687">
          <cell r="A1687">
            <v>8047</v>
          </cell>
          <cell r="B1687" t="str">
            <v>ja</v>
          </cell>
          <cell r="C1687" t="str">
            <v>ハローキティ</v>
          </cell>
          <cell r="D1687" t="str">
            <v>ハローキティ</v>
          </cell>
          <cell r="E1687" t="str">
            <v>執行者</v>
          </cell>
          <cell r="F1687" t="str">
            <v>格好いい</v>
          </cell>
          <cell r="G1687" t="str">
            <v>女性</v>
          </cell>
          <cell r="H1687" t="str">
            <v>red</v>
          </cell>
          <cell r="I1687">
            <v>4</v>
          </cell>
          <cell r="J1687" t="str">
            <v>Drop2N</v>
          </cell>
          <cell r="K1687" t="str">
            <v>balance</v>
          </cell>
          <cell r="L1687" t="str">
            <v>バランスタイプ</v>
          </cell>
          <cell r="M1687" t="str">
            <v>ss</v>
          </cell>
          <cell r="N1687" t="str">
            <v>サンリオキャラクターズ</v>
          </cell>
          <cell r="O1687" t="str">
            <v>none</v>
          </cell>
          <cell r="P1687" t="str">
            <v>種族なし</v>
          </cell>
          <cell r="Q1687" t="str">
            <v>アタッカー</v>
          </cell>
          <cell r="R1687">
            <v>1</v>
          </cell>
          <cell r="S1687" t="str">
            <v>NULL</v>
          </cell>
          <cell r="T1687" t="str">
            <v>normal</v>
          </cell>
          <cell r="U1687" t="str">
            <v>NULL</v>
          </cell>
          <cell r="V1687" t="str">
            <v>NULL</v>
          </cell>
          <cell r="W1687" t="str">
            <v>NULL</v>
          </cell>
        </row>
        <row r="1688">
          <cell r="A1688">
            <v>8048</v>
          </cell>
          <cell r="B1688" t="str">
            <v>ja</v>
          </cell>
          <cell r="C1688" t="str">
            <v>ハローキティ</v>
          </cell>
          <cell r="D1688" t="str">
            <v>ハローキティ</v>
          </cell>
          <cell r="E1688" t="str">
            <v>執行者</v>
          </cell>
          <cell r="F1688" t="str">
            <v>格好いい</v>
          </cell>
          <cell r="G1688" t="str">
            <v>女性</v>
          </cell>
          <cell r="H1688" t="str">
            <v>red</v>
          </cell>
          <cell r="I1688">
            <v>5</v>
          </cell>
          <cell r="J1688" t="str">
            <v>Drop2N</v>
          </cell>
          <cell r="K1688" t="str">
            <v>balance</v>
          </cell>
          <cell r="L1688" t="str">
            <v>バランスタイプ</v>
          </cell>
          <cell r="M1688" t="str">
            <v>ss</v>
          </cell>
          <cell r="N1688" t="str">
            <v>サンリオキャラクターズ</v>
          </cell>
          <cell r="O1688" t="str">
            <v>none</v>
          </cell>
          <cell r="P1688" t="str">
            <v>種族なし</v>
          </cell>
          <cell r="Q1688" t="str">
            <v>アタッカー</v>
          </cell>
          <cell r="R1688">
            <v>1</v>
          </cell>
          <cell r="S1688" t="str">
            <v>NULL</v>
          </cell>
          <cell r="T1688" t="str">
            <v>normal</v>
          </cell>
          <cell r="U1688" t="str">
            <v>NULL</v>
          </cell>
          <cell r="V1688" t="str">
            <v>NULL</v>
          </cell>
          <cell r="W1688" t="str">
            <v>NULL</v>
          </cell>
        </row>
        <row r="1689">
          <cell r="A1689">
            <v>8049</v>
          </cell>
          <cell r="B1689" t="str">
            <v>ja</v>
          </cell>
          <cell r="C1689" t="str">
            <v>KIRIMIちゃん</v>
          </cell>
          <cell r="D1689" t="str">
            <v>KIRIMIちゃん</v>
          </cell>
          <cell r="E1689" t="str">
            <v>執行者</v>
          </cell>
          <cell r="F1689" t="str">
            <v>格好いい</v>
          </cell>
          <cell r="G1689" t="str">
            <v>女性</v>
          </cell>
          <cell r="H1689" t="str">
            <v>red</v>
          </cell>
          <cell r="I1689">
            <v>4</v>
          </cell>
          <cell r="J1689" t="str">
            <v>Drop2N</v>
          </cell>
          <cell r="K1689" t="str">
            <v>hp</v>
          </cell>
          <cell r="L1689" t="str">
            <v>体力タイプ</v>
          </cell>
          <cell r="M1689" t="str">
            <v>ss</v>
          </cell>
          <cell r="N1689" t="str">
            <v>サンリオキャラクターズ</v>
          </cell>
          <cell r="O1689" t="str">
            <v>none</v>
          </cell>
          <cell r="P1689" t="str">
            <v>種族なし</v>
          </cell>
          <cell r="Q1689" t="str">
            <v>アタッカー</v>
          </cell>
          <cell r="R1689">
            <v>1</v>
          </cell>
          <cell r="S1689" t="str">
            <v>NULL</v>
          </cell>
          <cell r="T1689" t="str">
            <v>normal</v>
          </cell>
          <cell r="U1689" t="str">
            <v>NULL</v>
          </cell>
          <cell r="V1689" t="str">
            <v>NULL</v>
          </cell>
          <cell r="W1689" t="str">
            <v>NULL</v>
          </cell>
        </row>
        <row r="1690">
          <cell r="A1690">
            <v>8050</v>
          </cell>
          <cell r="B1690" t="str">
            <v>ja</v>
          </cell>
          <cell r="C1690" t="str">
            <v>KIRIMIちゃん</v>
          </cell>
          <cell r="D1690" t="str">
            <v>KIRIMIちゃん</v>
          </cell>
          <cell r="E1690" t="str">
            <v>執行者</v>
          </cell>
          <cell r="F1690" t="str">
            <v>格好いい</v>
          </cell>
          <cell r="G1690" t="str">
            <v>女性</v>
          </cell>
          <cell r="H1690" t="str">
            <v>red</v>
          </cell>
          <cell r="I1690">
            <v>5</v>
          </cell>
          <cell r="J1690" t="str">
            <v>Drop2N</v>
          </cell>
          <cell r="K1690" t="str">
            <v>hp</v>
          </cell>
          <cell r="L1690" t="str">
            <v>体力タイプ</v>
          </cell>
          <cell r="M1690" t="str">
            <v>ss</v>
          </cell>
          <cell r="N1690" t="str">
            <v>サンリオキャラクターズ</v>
          </cell>
          <cell r="O1690" t="str">
            <v>none</v>
          </cell>
          <cell r="P1690" t="str">
            <v>種族なし</v>
          </cell>
          <cell r="Q1690" t="str">
            <v>アタッカー</v>
          </cell>
          <cell r="R1690">
            <v>1</v>
          </cell>
          <cell r="S1690" t="str">
            <v>NULL</v>
          </cell>
          <cell r="T1690" t="str">
            <v>normal</v>
          </cell>
          <cell r="U1690" t="str">
            <v>NULL</v>
          </cell>
          <cell r="V1690" t="str">
            <v>NULL</v>
          </cell>
          <cell r="W1690" t="str">
            <v>NULL</v>
          </cell>
        </row>
        <row r="1691">
          <cell r="A1691">
            <v>8051</v>
          </cell>
          <cell r="B1691" t="str">
            <v>ja</v>
          </cell>
          <cell r="C1691" t="str">
            <v>ハローキティのリボン</v>
          </cell>
          <cell r="D1691" t="str">
            <v>ハローキティのリボン</v>
          </cell>
          <cell r="E1691" t="str">
            <v>執行者</v>
          </cell>
          <cell r="F1691" t="str">
            <v>格好いい</v>
          </cell>
          <cell r="G1691" t="str">
            <v>女性</v>
          </cell>
          <cell r="H1691" t="str">
            <v>red</v>
          </cell>
          <cell r="I1691">
            <v>5</v>
          </cell>
          <cell r="J1691" t="str">
            <v>Drop2N</v>
          </cell>
          <cell r="K1691" t="str">
            <v>evolution</v>
          </cell>
          <cell r="L1691" t="str">
            <v>覚醒素材タイプ</v>
          </cell>
          <cell r="M1691" t="str">
            <v>ss</v>
          </cell>
          <cell r="N1691" t="str">
            <v>サンリオキャラクターズ</v>
          </cell>
          <cell r="O1691" t="str">
            <v>none</v>
          </cell>
          <cell r="P1691" t="str">
            <v>種族なし</v>
          </cell>
          <cell r="Q1691" t="str">
            <v>アタッカー</v>
          </cell>
          <cell r="R1691">
            <v>1</v>
          </cell>
          <cell r="S1691" t="str">
            <v>NULL</v>
          </cell>
          <cell r="T1691" t="str">
            <v>normal</v>
          </cell>
          <cell r="U1691" t="str">
            <v>NULL</v>
          </cell>
          <cell r="V1691" t="str">
            <v>NULL</v>
          </cell>
          <cell r="W1691" t="str">
            <v>NULL</v>
          </cell>
        </row>
        <row r="1692">
          <cell r="A1692">
            <v>8052</v>
          </cell>
          <cell r="B1692" t="str">
            <v>ja</v>
          </cell>
          <cell r="C1692" t="str">
            <v>ママの作ったアップルパイ</v>
          </cell>
          <cell r="D1692" t="str">
            <v>ママの作ったアップルパイ</v>
          </cell>
          <cell r="E1692" t="str">
            <v>執行者</v>
          </cell>
          <cell r="F1692" t="str">
            <v>格好いい</v>
          </cell>
          <cell r="G1692" t="str">
            <v>女性</v>
          </cell>
          <cell r="H1692" t="str">
            <v>red</v>
          </cell>
          <cell r="I1692">
            <v>4</v>
          </cell>
          <cell r="J1692" t="str">
            <v>Drop2N</v>
          </cell>
          <cell r="K1692" t="str">
            <v>evolution</v>
          </cell>
          <cell r="L1692" t="str">
            <v>覚醒素材タイプ</v>
          </cell>
          <cell r="M1692" t="str">
            <v>ss</v>
          </cell>
          <cell r="N1692" t="str">
            <v>サンリオキャラクターズ</v>
          </cell>
          <cell r="O1692" t="str">
            <v>none</v>
          </cell>
          <cell r="P1692" t="str">
            <v>種族なし</v>
          </cell>
          <cell r="Q1692" t="str">
            <v>アタッカー</v>
          </cell>
          <cell r="R1692">
            <v>1</v>
          </cell>
          <cell r="S1692" t="str">
            <v>NULL</v>
          </cell>
          <cell r="T1692" t="str">
            <v>normal</v>
          </cell>
          <cell r="U1692" t="str">
            <v>NULL</v>
          </cell>
          <cell r="V1692" t="str">
            <v>NULL</v>
          </cell>
          <cell r="W1692" t="str">
            <v>NULL</v>
          </cell>
        </row>
        <row r="1693">
          <cell r="A1693">
            <v>8053</v>
          </cell>
          <cell r="B1693" t="str">
            <v>ja</v>
          </cell>
          <cell r="C1693" t="str">
            <v>D.R.T.H__キティコスプレ</v>
          </cell>
          <cell r="D1693" t="str">
            <v>D.R.T.H__キティコスプレ</v>
          </cell>
          <cell r="E1693" t="str">
            <v>執行者</v>
          </cell>
          <cell r="F1693" t="str">
            <v>格好いい</v>
          </cell>
          <cell r="G1693" t="str">
            <v>女性</v>
          </cell>
          <cell r="H1693" t="str">
            <v>red</v>
          </cell>
          <cell r="I1693">
            <v>5</v>
          </cell>
          <cell r="J1693" t="str">
            <v>PremiumSS</v>
          </cell>
          <cell r="K1693" t="str">
            <v>balance</v>
          </cell>
          <cell r="L1693" t="str">
            <v>バランスタイプ</v>
          </cell>
          <cell r="M1693" t="str">
            <v>ss</v>
          </cell>
          <cell r="N1693" t="str">
            <v>サンリオキャラクターズ</v>
          </cell>
          <cell r="O1693" t="str">
            <v>none</v>
          </cell>
          <cell r="P1693" t="str">
            <v>種族なし</v>
          </cell>
          <cell r="Q1693" t="str">
            <v>アタッカー</v>
          </cell>
          <cell r="R1693">
            <v>1</v>
          </cell>
          <cell r="S1693" t="str">
            <v>NULL</v>
          </cell>
          <cell r="T1693" t="str">
            <v>normal</v>
          </cell>
          <cell r="U1693" t="str">
            <v>NULL</v>
          </cell>
          <cell r="V1693" t="str">
            <v>NULL</v>
          </cell>
          <cell r="W1693" t="str">
            <v>NULL</v>
          </cell>
        </row>
        <row r="1694">
          <cell r="A1694">
            <v>8054</v>
          </cell>
          <cell r="B1694" t="str">
            <v>ja</v>
          </cell>
          <cell r="C1694" t="str">
            <v>D.R.T.H__キティコスプレ</v>
          </cell>
          <cell r="D1694" t="str">
            <v>D.R.T.H__キティコスプレ</v>
          </cell>
          <cell r="E1694" t="str">
            <v>執行者</v>
          </cell>
          <cell r="F1694" t="str">
            <v>格好いい</v>
          </cell>
          <cell r="G1694" t="str">
            <v>女性</v>
          </cell>
          <cell r="H1694" t="str">
            <v>red</v>
          </cell>
          <cell r="I1694">
            <v>6</v>
          </cell>
          <cell r="J1694" t="str">
            <v>PremiumSS</v>
          </cell>
          <cell r="K1694" t="str">
            <v>balance</v>
          </cell>
          <cell r="L1694" t="str">
            <v>バランスタイプ</v>
          </cell>
          <cell r="M1694" t="str">
            <v>ss</v>
          </cell>
          <cell r="N1694" t="str">
            <v>サンリオキャラクターズ</v>
          </cell>
          <cell r="O1694" t="str">
            <v>none</v>
          </cell>
          <cell r="P1694" t="str">
            <v>種族なし</v>
          </cell>
          <cell r="Q1694" t="str">
            <v>アタッカー</v>
          </cell>
          <cell r="R1694">
            <v>1</v>
          </cell>
          <cell r="S1694" t="str">
            <v>NULL</v>
          </cell>
          <cell r="T1694" t="str">
            <v>normal</v>
          </cell>
          <cell r="U1694" t="str">
            <v>NULL</v>
          </cell>
          <cell r="V1694" t="str">
            <v>NULL</v>
          </cell>
          <cell r="W1694" t="str">
            <v>NULL</v>
          </cell>
        </row>
        <row r="1695">
          <cell r="A1695">
            <v>8055</v>
          </cell>
          <cell r="B1695" t="str">
            <v>ja</v>
          </cell>
          <cell r="C1695" t="str">
            <v>マイメロディ</v>
          </cell>
          <cell r="D1695" t="str">
            <v>マイメロディ</v>
          </cell>
          <cell r="E1695" t="str">
            <v>執行者</v>
          </cell>
          <cell r="F1695" t="str">
            <v>格好いい</v>
          </cell>
          <cell r="G1695" t="str">
            <v>女性</v>
          </cell>
          <cell r="H1695" t="str">
            <v>red</v>
          </cell>
          <cell r="I1695">
            <v>4</v>
          </cell>
          <cell r="J1695" t="str">
            <v>PremiumS</v>
          </cell>
          <cell r="K1695" t="str">
            <v>attack</v>
          </cell>
          <cell r="L1695" t="str">
            <v>攻撃タイプ</v>
          </cell>
          <cell r="M1695" t="str">
            <v>ss</v>
          </cell>
          <cell r="N1695" t="str">
            <v>サンリオキャラクターズ</v>
          </cell>
          <cell r="O1695" t="str">
            <v>none</v>
          </cell>
          <cell r="P1695" t="str">
            <v>種族なし</v>
          </cell>
          <cell r="Q1695" t="str">
            <v>アタッカー</v>
          </cell>
          <cell r="R1695">
            <v>1</v>
          </cell>
          <cell r="S1695" t="str">
            <v>NULL</v>
          </cell>
          <cell r="T1695" t="str">
            <v>normal</v>
          </cell>
          <cell r="U1695" t="str">
            <v>NULL</v>
          </cell>
          <cell r="V1695" t="str">
            <v>NULL</v>
          </cell>
          <cell r="W1695" t="str">
            <v>NULL</v>
          </cell>
        </row>
        <row r="1696">
          <cell r="A1696">
            <v>8056</v>
          </cell>
          <cell r="B1696" t="str">
            <v>ja</v>
          </cell>
          <cell r="C1696" t="str">
            <v>マイメロディ</v>
          </cell>
          <cell r="D1696" t="str">
            <v>マイメロディ</v>
          </cell>
          <cell r="E1696" t="str">
            <v>執行者</v>
          </cell>
          <cell r="F1696" t="str">
            <v>格好いい</v>
          </cell>
          <cell r="G1696" t="str">
            <v>女性</v>
          </cell>
          <cell r="H1696" t="str">
            <v>red</v>
          </cell>
          <cell r="I1696">
            <v>5</v>
          </cell>
          <cell r="J1696" t="str">
            <v>PremiumS</v>
          </cell>
          <cell r="K1696" t="str">
            <v>attack</v>
          </cell>
          <cell r="L1696" t="str">
            <v>攻撃タイプ</v>
          </cell>
          <cell r="M1696" t="str">
            <v>ss</v>
          </cell>
          <cell r="N1696" t="str">
            <v>サンリオキャラクターズ</v>
          </cell>
          <cell r="O1696" t="str">
            <v>none</v>
          </cell>
          <cell r="P1696" t="str">
            <v>種族なし</v>
          </cell>
          <cell r="Q1696" t="str">
            <v>アタッカー</v>
          </cell>
          <cell r="R1696">
            <v>1</v>
          </cell>
          <cell r="S1696" t="str">
            <v>NULL</v>
          </cell>
          <cell r="T1696" t="str">
            <v>normal</v>
          </cell>
          <cell r="U1696" t="str">
            <v>NULL</v>
          </cell>
          <cell r="V1696" t="str">
            <v>NULL</v>
          </cell>
          <cell r="W1696" t="str">
            <v>NULL</v>
          </cell>
        </row>
        <row r="1697">
          <cell r="A1697">
            <v>8057</v>
          </cell>
          <cell r="B1697" t="str">
            <v>ja</v>
          </cell>
          <cell r="C1697" t="str">
            <v>ニーベルゲン_シナモロールコスプレ</v>
          </cell>
          <cell r="D1697" t="str">
            <v>ニーベルゲン_シナモロールコスプレ</v>
          </cell>
          <cell r="E1697" t="str">
            <v>執行者</v>
          </cell>
          <cell r="F1697" t="str">
            <v>格好いい</v>
          </cell>
          <cell r="G1697" t="str">
            <v>女性</v>
          </cell>
          <cell r="H1697" t="str">
            <v>green</v>
          </cell>
          <cell r="I1697">
            <v>4</v>
          </cell>
          <cell r="J1697" t="str">
            <v>PremiumS</v>
          </cell>
          <cell r="K1697" t="str">
            <v>balance</v>
          </cell>
          <cell r="L1697" t="str">
            <v>バランスタイプ</v>
          </cell>
          <cell r="M1697" t="str">
            <v>ss</v>
          </cell>
          <cell r="N1697" t="str">
            <v>サンリオキャラクターズ</v>
          </cell>
          <cell r="O1697" t="str">
            <v>none</v>
          </cell>
          <cell r="P1697" t="str">
            <v>種族なし</v>
          </cell>
          <cell r="Q1697" t="str">
            <v>アタッカー</v>
          </cell>
          <cell r="R1697">
            <v>1</v>
          </cell>
          <cell r="S1697" t="str">
            <v>NULL</v>
          </cell>
          <cell r="T1697" t="str">
            <v>normal</v>
          </cell>
          <cell r="U1697" t="str">
            <v>NULL</v>
          </cell>
          <cell r="V1697" t="str">
            <v>NULL</v>
          </cell>
          <cell r="W1697" t="str">
            <v>NULL</v>
          </cell>
        </row>
        <row r="1698">
          <cell r="A1698">
            <v>8058</v>
          </cell>
          <cell r="B1698" t="str">
            <v>ja</v>
          </cell>
          <cell r="C1698" t="str">
            <v>ニーベルゲン_シナモロールコスプレ</v>
          </cell>
          <cell r="D1698" t="str">
            <v>ニーベルゲン_シナモロールコスプレ</v>
          </cell>
          <cell r="E1698" t="str">
            <v>執行者</v>
          </cell>
          <cell r="F1698" t="str">
            <v>格好いい</v>
          </cell>
          <cell r="G1698" t="str">
            <v>女性</v>
          </cell>
          <cell r="H1698" t="str">
            <v>green</v>
          </cell>
          <cell r="I1698">
            <v>5</v>
          </cell>
          <cell r="J1698" t="str">
            <v>PremiumS</v>
          </cell>
          <cell r="K1698" t="str">
            <v>balance</v>
          </cell>
          <cell r="L1698" t="str">
            <v>バランスタイプ</v>
          </cell>
          <cell r="M1698" t="str">
            <v>ss</v>
          </cell>
          <cell r="N1698" t="str">
            <v>サンリオキャラクターズ</v>
          </cell>
          <cell r="O1698" t="str">
            <v>none</v>
          </cell>
          <cell r="P1698" t="str">
            <v>種族なし</v>
          </cell>
          <cell r="Q1698" t="str">
            <v>アタッカー</v>
          </cell>
          <cell r="R1698">
            <v>1</v>
          </cell>
          <cell r="S1698" t="str">
            <v>NULL</v>
          </cell>
          <cell r="T1698" t="str">
            <v>normal</v>
          </cell>
          <cell r="U1698" t="str">
            <v>NULL</v>
          </cell>
          <cell r="V1698" t="str">
            <v>NULL</v>
          </cell>
          <cell r="W1698" t="str">
            <v>NULL</v>
          </cell>
        </row>
        <row r="1699">
          <cell r="A1699">
            <v>8059</v>
          </cell>
          <cell r="B1699" t="str">
            <v>ja</v>
          </cell>
          <cell r="C1699" t="str">
            <v>カカシ_マイメロディコスプレ</v>
          </cell>
          <cell r="D1699" t="str">
            <v>カカシ_マイメロディコスプレ</v>
          </cell>
          <cell r="E1699" t="str">
            <v>執行者</v>
          </cell>
          <cell r="F1699" t="str">
            <v>格好いい</v>
          </cell>
          <cell r="G1699" t="str">
            <v>女性</v>
          </cell>
          <cell r="H1699" t="str">
            <v>green</v>
          </cell>
          <cell r="I1699">
            <v>4</v>
          </cell>
          <cell r="J1699" t="str">
            <v>PremiumS</v>
          </cell>
          <cell r="K1699" t="str">
            <v>technical</v>
          </cell>
          <cell r="L1699" t="str">
            <v>テクニカルタイプ</v>
          </cell>
          <cell r="M1699" t="str">
            <v>ss</v>
          </cell>
          <cell r="N1699" t="str">
            <v>サンリオキャラクターズ</v>
          </cell>
          <cell r="O1699" t="str">
            <v>none</v>
          </cell>
          <cell r="P1699" t="str">
            <v>種族なし</v>
          </cell>
          <cell r="Q1699" t="str">
            <v>アタッカー</v>
          </cell>
          <cell r="R1699">
            <v>1</v>
          </cell>
          <cell r="S1699" t="str">
            <v>NULL</v>
          </cell>
          <cell r="T1699" t="str">
            <v>normal</v>
          </cell>
          <cell r="U1699" t="str">
            <v>NULL</v>
          </cell>
          <cell r="V1699" t="str">
            <v>NULL</v>
          </cell>
          <cell r="W1699" t="str">
            <v>NULL</v>
          </cell>
        </row>
        <row r="1700">
          <cell r="A1700">
            <v>8060</v>
          </cell>
          <cell r="B1700" t="str">
            <v>ja</v>
          </cell>
          <cell r="C1700" t="str">
            <v>カカシ_マイメロディコスプレ</v>
          </cell>
          <cell r="D1700" t="str">
            <v>カカシ_マイメロディコスプレ</v>
          </cell>
          <cell r="E1700" t="str">
            <v>執行者</v>
          </cell>
          <cell r="F1700" t="str">
            <v>格好いい</v>
          </cell>
          <cell r="G1700" t="str">
            <v>女性</v>
          </cell>
          <cell r="H1700" t="str">
            <v>green</v>
          </cell>
          <cell r="I1700">
            <v>5</v>
          </cell>
          <cell r="J1700" t="str">
            <v>PremiumS</v>
          </cell>
          <cell r="K1700" t="str">
            <v>technical</v>
          </cell>
          <cell r="L1700" t="str">
            <v>テクニカルタイプ</v>
          </cell>
          <cell r="M1700" t="str">
            <v>ss</v>
          </cell>
          <cell r="N1700" t="str">
            <v>サンリオキャラクターズ</v>
          </cell>
          <cell r="O1700" t="str">
            <v>none</v>
          </cell>
          <cell r="P1700" t="str">
            <v>種族なし</v>
          </cell>
          <cell r="Q1700" t="str">
            <v>アタッカー</v>
          </cell>
          <cell r="R1700">
            <v>1</v>
          </cell>
          <cell r="S1700" t="str">
            <v>NULL</v>
          </cell>
          <cell r="T1700" t="str">
            <v>normal</v>
          </cell>
          <cell r="U1700" t="str">
            <v>NULL</v>
          </cell>
          <cell r="V1700" t="str">
            <v>NULL</v>
          </cell>
          <cell r="W1700" t="str">
            <v>NULL</v>
          </cell>
        </row>
        <row r="1701">
          <cell r="A1701">
            <v>8061</v>
          </cell>
          <cell r="B1701" t="str">
            <v>ja</v>
          </cell>
          <cell r="C1701" t="str">
            <v>ケロケロけろっぴ</v>
          </cell>
          <cell r="D1701" t="str">
            <v>ケロケロけろっぴ</v>
          </cell>
          <cell r="E1701" t="str">
            <v>執行者</v>
          </cell>
          <cell r="F1701" t="str">
            <v>格好いい</v>
          </cell>
          <cell r="G1701" t="str">
            <v>女性</v>
          </cell>
          <cell r="H1701" t="str">
            <v>green</v>
          </cell>
          <cell r="I1701">
            <v>3</v>
          </cell>
          <cell r="J1701" t="str">
            <v>PremiumS</v>
          </cell>
          <cell r="K1701" t="str">
            <v>balance</v>
          </cell>
          <cell r="L1701" t="str">
            <v>バランスタイプ</v>
          </cell>
          <cell r="M1701" t="str">
            <v>ss</v>
          </cell>
          <cell r="N1701" t="str">
            <v>サンリオキャラクターズ</v>
          </cell>
          <cell r="O1701" t="str">
            <v>none</v>
          </cell>
          <cell r="P1701" t="str">
            <v>種族なし</v>
          </cell>
          <cell r="Q1701" t="str">
            <v>アタッカー</v>
          </cell>
          <cell r="R1701">
            <v>1</v>
          </cell>
          <cell r="S1701" t="str">
            <v>NULL</v>
          </cell>
          <cell r="T1701" t="str">
            <v>normal</v>
          </cell>
          <cell r="U1701" t="str">
            <v>NULL</v>
          </cell>
          <cell r="V1701" t="str">
            <v>NULL</v>
          </cell>
          <cell r="W1701" t="str">
            <v>NULL</v>
          </cell>
        </row>
        <row r="1702">
          <cell r="A1702">
            <v>8062</v>
          </cell>
          <cell r="B1702" t="str">
            <v>ja</v>
          </cell>
          <cell r="C1702" t="str">
            <v>ケロケロけろっぴ</v>
          </cell>
          <cell r="D1702" t="str">
            <v>ケロケロけろっぴ</v>
          </cell>
          <cell r="E1702" t="str">
            <v>執行者</v>
          </cell>
          <cell r="F1702" t="str">
            <v>格好いい</v>
          </cell>
          <cell r="G1702" t="str">
            <v>女性</v>
          </cell>
          <cell r="H1702" t="str">
            <v>green</v>
          </cell>
          <cell r="I1702">
            <v>4</v>
          </cell>
          <cell r="J1702" t="str">
            <v>PremiumS</v>
          </cell>
          <cell r="K1702" t="str">
            <v>balance</v>
          </cell>
          <cell r="L1702" t="str">
            <v>バランスタイプ</v>
          </cell>
          <cell r="M1702" t="str">
            <v>ss</v>
          </cell>
          <cell r="N1702" t="str">
            <v>サンリオキャラクターズ</v>
          </cell>
          <cell r="O1702" t="str">
            <v>none</v>
          </cell>
          <cell r="P1702" t="str">
            <v>種族なし</v>
          </cell>
          <cell r="Q1702" t="str">
            <v>アタッカー</v>
          </cell>
          <cell r="R1702">
            <v>1</v>
          </cell>
          <cell r="S1702" t="str">
            <v>NULL</v>
          </cell>
          <cell r="T1702" t="str">
            <v>normal</v>
          </cell>
          <cell r="U1702" t="str">
            <v>NULL</v>
          </cell>
          <cell r="V1702" t="str">
            <v>NULL</v>
          </cell>
          <cell r="W1702" t="str">
            <v>NULL</v>
          </cell>
        </row>
        <row r="1703">
          <cell r="A1703">
            <v>8063</v>
          </cell>
          <cell r="B1703" t="str">
            <v>ja</v>
          </cell>
          <cell r="C1703" t="str">
            <v>モルドレッド_ポムポムプリンコスプレ</v>
          </cell>
          <cell r="D1703" t="str">
            <v>モルドレッド_ポムポムプリンコスプレ</v>
          </cell>
          <cell r="E1703" t="str">
            <v>執行者</v>
          </cell>
          <cell r="F1703" t="str">
            <v>格好いい</v>
          </cell>
          <cell r="G1703" t="str">
            <v>女性</v>
          </cell>
          <cell r="H1703" t="str">
            <v>blue</v>
          </cell>
          <cell r="I1703">
            <v>5</v>
          </cell>
          <cell r="J1703" t="str">
            <v>PremiumSS</v>
          </cell>
          <cell r="K1703" t="str">
            <v>heal</v>
          </cell>
          <cell r="L1703" t="str">
            <v>回復タイプ</v>
          </cell>
          <cell r="M1703" t="str">
            <v>ss</v>
          </cell>
          <cell r="N1703" t="str">
            <v>サンリオキャラクターズ</v>
          </cell>
          <cell r="O1703" t="str">
            <v>none</v>
          </cell>
          <cell r="P1703" t="str">
            <v>種族なし</v>
          </cell>
          <cell r="Q1703" t="str">
            <v>アタッカー</v>
          </cell>
          <cell r="R1703">
            <v>1</v>
          </cell>
          <cell r="S1703" t="str">
            <v>NULL</v>
          </cell>
          <cell r="T1703" t="str">
            <v>normal</v>
          </cell>
          <cell r="U1703" t="str">
            <v>NULL</v>
          </cell>
          <cell r="V1703" t="str">
            <v>NULL</v>
          </cell>
          <cell r="W1703" t="str">
            <v>NULL</v>
          </cell>
        </row>
        <row r="1704">
          <cell r="A1704">
            <v>8064</v>
          </cell>
          <cell r="B1704" t="str">
            <v>ja</v>
          </cell>
          <cell r="C1704" t="str">
            <v>モルドレッド_ポムポムプリンコスプレ</v>
          </cell>
          <cell r="D1704" t="str">
            <v>モルドレッド_ポムポムプリンコスプレ</v>
          </cell>
          <cell r="E1704" t="str">
            <v>執行者</v>
          </cell>
          <cell r="F1704" t="str">
            <v>格好いい</v>
          </cell>
          <cell r="G1704" t="str">
            <v>女性</v>
          </cell>
          <cell r="H1704" t="str">
            <v>blue</v>
          </cell>
          <cell r="I1704">
            <v>6</v>
          </cell>
          <cell r="J1704" t="str">
            <v>PremiumSS</v>
          </cell>
          <cell r="K1704" t="str">
            <v>heal</v>
          </cell>
          <cell r="L1704" t="str">
            <v>回復タイプ</v>
          </cell>
          <cell r="M1704" t="str">
            <v>ss</v>
          </cell>
          <cell r="N1704" t="str">
            <v>サンリオキャラクターズ</v>
          </cell>
          <cell r="O1704" t="str">
            <v>none</v>
          </cell>
          <cell r="P1704" t="str">
            <v>種族なし</v>
          </cell>
          <cell r="Q1704" t="str">
            <v>アタッカー</v>
          </cell>
          <cell r="R1704">
            <v>1</v>
          </cell>
          <cell r="S1704" t="str">
            <v>NULL</v>
          </cell>
          <cell r="T1704" t="str">
            <v>normal</v>
          </cell>
          <cell r="U1704" t="str">
            <v>NULL</v>
          </cell>
          <cell r="V1704" t="str">
            <v>NULL</v>
          </cell>
          <cell r="W1704" t="str">
            <v>NULL</v>
          </cell>
        </row>
        <row r="1705">
          <cell r="A1705">
            <v>8065</v>
          </cell>
          <cell r="B1705" t="str">
            <v>ja</v>
          </cell>
          <cell r="C1705" t="str">
            <v>クロミ</v>
          </cell>
          <cell r="D1705" t="str">
            <v>クロミ</v>
          </cell>
          <cell r="E1705" t="str">
            <v>執行者</v>
          </cell>
          <cell r="F1705" t="str">
            <v>格好いい</v>
          </cell>
          <cell r="G1705" t="str">
            <v>女性</v>
          </cell>
          <cell r="H1705" t="str">
            <v>blue</v>
          </cell>
          <cell r="I1705">
            <v>3</v>
          </cell>
          <cell r="J1705" t="str">
            <v>PremiumS</v>
          </cell>
          <cell r="K1705" t="str">
            <v>technical</v>
          </cell>
          <cell r="L1705" t="str">
            <v>テクニカルタイプ</v>
          </cell>
          <cell r="M1705" t="str">
            <v>ss</v>
          </cell>
          <cell r="N1705" t="str">
            <v>サンリオキャラクターズ</v>
          </cell>
          <cell r="O1705" t="str">
            <v>none</v>
          </cell>
          <cell r="P1705" t="str">
            <v>種族なし</v>
          </cell>
          <cell r="Q1705" t="str">
            <v>アタッカー</v>
          </cell>
          <cell r="R1705">
            <v>1</v>
          </cell>
          <cell r="S1705" t="str">
            <v>NULL</v>
          </cell>
          <cell r="T1705" t="str">
            <v>normal</v>
          </cell>
          <cell r="U1705" t="str">
            <v>NULL</v>
          </cell>
          <cell r="V1705" t="str">
            <v>NULL</v>
          </cell>
          <cell r="W1705" t="str">
            <v>NULL</v>
          </cell>
        </row>
        <row r="1706">
          <cell r="A1706">
            <v>8066</v>
          </cell>
          <cell r="B1706" t="str">
            <v>ja</v>
          </cell>
          <cell r="C1706" t="str">
            <v>クロミ</v>
          </cell>
          <cell r="D1706" t="str">
            <v>クロミ</v>
          </cell>
          <cell r="E1706" t="str">
            <v>執行者</v>
          </cell>
          <cell r="F1706" t="str">
            <v>格好いい</v>
          </cell>
          <cell r="G1706" t="str">
            <v>女性</v>
          </cell>
          <cell r="H1706" t="str">
            <v>blue</v>
          </cell>
          <cell r="I1706">
            <v>4</v>
          </cell>
          <cell r="J1706" t="str">
            <v>PremiumS</v>
          </cell>
          <cell r="K1706" t="str">
            <v>technical</v>
          </cell>
          <cell r="L1706" t="str">
            <v>テクニカルタイプ</v>
          </cell>
          <cell r="M1706" t="str">
            <v>ss</v>
          </cell>
          <cell r="N1706" t="str">
            <v>サンリオキャラクターズ</v>
          </cell>
          <cell r="O1706" t="str">
            <v>none</v>
          </cell>
          <cell r="P1706" t="str">
            <v>種族なし</v>
          </cell>
          <cell r="Q1706" t="str">
            <v>アタッカー</v>
          </cell>
          <cell r="R1706">
            <v>1</v>
          </cell>
          <cell r="S1706" t="str">
            <v>NULL</v>
          </cell>
          <cell r="T1706" t="str">
            <v>normal</v>
          </cell>
          <cell r="U1706" t="str">
            <v>NULL</v>
          </cell>
          <cell r="V1706" t="str">
            <v>NULL</v>
          </cell>
          <cell r="W1706" t="str">
            <v>NULL</v>
          </cell>
        </row>
        <row r="1707">
          <cell r="A1707">
            <v>8067</v>
          </cell>
          <cell r="B1707" t="str">
            <v>ja</v>
          </cell>
          <cell r="C1707" t="str">
            <v>バッドばつ丸</v>
          </cell>
          <cell r="D1707" t="str">
            <v>バッドばつ丸</v>
          </cell>
          <cell r="E1707" t="str">
            <v>執行者</v>
          </cell>
          <cell r="F1707" t="str">
            <v>格好いい</v>
          </cell>
          <cell r="G1707" t="str">
            <v>女性</v>
          </cell>
          <cell r="H1707" t="str">
            <v>blue</v>
          </cell>
          <cell r="I1707">
            <v>3</v>
          </cell>
          <cell r="J1707" t="str">
            <v>PremiumS</v>
          </cell>
          <cell r="K1707" t="str">
            <v>attack</v>
          </cell>
          <cell r="L1707" t="str">
            <v>攻撃タイプ</v>
          </cell>
          <cell r="M1707" t="str">
            <v>ss</v>
          </cell>
          <cell r="N1707" t="str">
            <v>サンリオキャラクターズ</v>
          </cell>
          <cell r="O1707" t="str">
            <v>none</v>
          </cell>
          <cell r="P1707" t="str">
            <v>種族なし</v>
          </cell>
          <cell r="Q1707" t="str">
            <v>アタッカー</v>
          </cell>
          <cell r="R1707">
            <v>1</v>
          </cell>
          <cell r="S1707" t="str">
            <v>NULL</v>
          </cell>
          <cell r="T1707" t="str">
            <v>normal</v>
          </cell>
          <cell r="U1707" t="str">
            <v>NULL</v>
          </cell>
          <cell r="V1707" t="str">
            <v>NULL</v>
          </cell>
          <cell r="W1707" t="str">
            <v>NULL</v>
          </cell>
        </row>
        <row r="1708">
          <cell r="A1708">
            <v>8068</v>
          </cell>
          <cell r="B1708" t="str">
            <v>ja</v>
          </cell>
          <cell r="C1708" t="str">
            <v>バッドばつ丸</v>
          </cell>
          <cell r="D1708" t="str">
            <v>バッドばつ丸</v>
          </cell>
          <cell r="E1708" t="str">
            <v>執行者</v>
          </cell>
          <cell r="F1708" t="str">
            <v>格好いい</v>
          </cell>
          <cell r="G1708" t="str">
            <v>女性</v>
          </cell>
          <cell r="H1708" t="str">
            <v>blue</v>
          </cell>
          <cell r="I1708">
            <v>4</v>
          </cell>
          <cell r="J1708" t="str">
            <v>PremiumS</v>
          </cell>
          <cell r="K1708" t="str">
            <v>attack</v>
          </cell>
          <cell r="L1708" t="str">
            <v>攻撃タイプ</v>
          </cell>
          <cell r="M1708" t="str">
            <v>ss</v>
          </cell>
          <cell r="N1708" t="str">
            <v>サンリオキャラクターズ</v>
          </cell>
          <cell r="O1708" t="str">
            <v>none</v>
          </cell>
          <cell r="P1708" t="str">
            <v>種族なし</v>
          </cell>
          <cell r="Q1708" t="str">
            <v>アタッカー</v>
          </cell>
          <cell r="R1708">
            <v>1</v>
          </cell>
          <cell r="S1708" t="str">
            <v>NULL</v>
          </cell>
          <cell r="T1708" t="str">
            <v>normal</v>
          </cell>
          <cell r="U1708" t="str">
            <v>NULL</v>
          </cell>
          <cell r="V1708" t="str">
            <v>NULL</v>
          </cell>
          <cell r="W1708" t="str">
            <v>NULL</v>
          </cell>
        </row>
        <row r="1709">
          <cell r="A1709">
            <v>8069</v>
          </cell>
          <cell r="B1709" t="str">
            <v>ja</v>
          </cell>
          <cell r="C1709" t="str">
            <v>シナモロール</v>
          </cell>
          <cell r="D1709" t="str">
            <v>シナモロール</v>
          </cell>
          <cell r="E1709" t="str">
            <v>執行者</v>
          </cell>
          <cell r="F1709" t="str">
            <v>格好いい</v>
          </cell>
          <cell r="G1709" t="str">
            <v>女性</v>
          </cell>
          <cell r="H1709" t="str">
            <v>yellow</v>
          </cell>
          <cell r="I1709">
            <v>4</v>
          </cell>
          <cell r="J1709" t="str">
            <v>PremiumS</v>
          </cell>
          <cell r="K1709" t="str">
            <v>heal</v>
          </cell>
          <cell r="L1709" t="str">
            <v>回復タイプ</v>
          </cell>
          <cell r="M1709" t="str">
            <v>ss</v>
          </cell>
          <cell r="N1709" t="str">
            <v>サンリオキャラクターズ</v>
          </cell>
          <cell r="O1709" t="str">
            <v>none</v>
          </cell>
          <cell r="P1709" t="str">
            <v>種族なし</v>
          </cell>
          <cell r="Q1709" t="str">
            <v>アタッカー</v>
          </cell>
          <cell r="R1709">
            <v>1</v>
          </cell>
          <cell r="S1709" t="str">
            <v>NULL</v>
          </cell>
          <cell r="T1709" t="str">
            <v>normal</v>
          </cell>
          <cell r="U1709" t="str">
            <v>NULL</v>
          </cell>
          <cell r="V1709" t="str">
            <v>NULL</v>
          </cell>
          <cell r="W1709" t="str">
            <v>NULL</v>
          </cell>
        </row>
        <row r="1710">
          <cell r="A1710">
            <v>8070</v>
          </cell>
          <cell r="B1710" t="str">
            <v>ja</v>
          </cell>
          <cell r="C1710" t="str">
            <v>シナモロール</v>
          </cell>
          <cell r="D1710" t="str">
            <v>シナモロール</v>
          </cell>
          <cell r="E1710" t="str">
            <v>執行者</v>
          </cell>
          <cell r="F1710" t="str">
            <v>格好いい</v>
          </cell>
          <cell r="G1710" t="str">
            <v>女性</v>
          </cell>
          <cell r="H1710" t="str">
            <v>yellow</v>
          </cell>
          <cell r="I1710">
            <v>5</v>
          </cell>
          <cell r="J1710" t="str">
            <v>PremiumS</v>
          </cell>
          <cell r="K1710" t="str">
            <v>heal</v>
          </cell>
          <cell r="L1710" t="str">
            <v>回復タイプ</v>
          </cell>
          <cell r="M1710" t="str">
            <v>ss</v>
          </cell>
          <cell r="N1710" t="str">
            <v>サンリオキャラクターズ</v>
          </cell>
          <cell r="O1710" t="str">
            <v>none</v>
          </cell>
          <cell r="P1710" t="str">
            <v>種族なし</v>
          </cell>
          <cell r="Q1710" t="str">
            <v>アタッカー</v>
          </cell>
          <cell r="R1710">
            <v>1</v>
          </cell>
          <cell r="S1710" t="str">
            <v>NULL</v>
          </cell>
          <cell r="T1710" t="str">
            <v>normal</v>
          </cell>
          <cell r="U1710" t="str">
            <v>NULL</v>
          </cell>
          <cell r="V1710" t="str">
            <v>NULL</v>
          </cell>
          <cell r="W1710" t="str">
            <v>NULL</v>
          </cell>
        </row>
        <row r="1711">
          <cell r="A1711">
            <v>8071</v>
          </cell>
          <cell r="B1711" t="str">
            <v>ja</v>
          </cell>
          <cell r="C1711" t="str">
            <v>ポムポムプリン</v>
          </cell>
          <cell r="D1711" t="str">
            <v>ポムポムプリン</v>
          </cell>
          <cell r="E1711" t="str">
            <v>執行者</v>
          </cell>
          <cell r="F1711" t="str">
            <v>格好いい</v>
          </cell>
          <cell r="G1711" t="str">
            <v>女性</v>
          </cell>
          <cell r="H1711" t="str">
            <v>yellow</v>
          </cell>
          <cell r="I1711">
            <v>3</v>
          </cell>
          <cell r="J1711" t="str">
            <v>PremiumS</v>
          </cell>
          <cell r="K1711" t="str">
            <v>hp</v>
          </cell>
          <cell r="L1711" t="str">
            <v>体力タイプ</v>
          </cell>
          <cell r="M1711" t="str">
            <v>ss</v>
          </cell>
          <cell r="N1711" t="str">
            <v>サンリオキャラクターズ</v>
          </cell>
          <cell r="O1711" t="str">
            <v>none</v>
          </cell>
          <cell r="P1711" t="str">
            <v>種族なし</v>
          </cell>
          <cell r="Q1711" t="str">
            <v>アタッカー</v>
          </cell>
          <cell r="R1711">
            <v>1</v>
          </cell>
          <cell r="S1711" t="str">
            <v>NULL</v>
          </cell>
          <cell r="T1711" t="str">
            <v>normal</v>
          </cell>
          <cell r="U1711" t="str">
            <v>NULL</v>
          </cell>
          <cell r="V1711" t="str">
            <v>NULL</v>
          </cell>
          <cell r="W1711" t="str">
            <v>NULL</v>
          </cell>
        </row>
        <row r="1712">
          <cell r="A1712">
            <v>8072</v>
          </cell>
          <cell r="B1712" t="str">
            <v>ja</v>
          </cell>
          <cell r="C1712" t="str">
            <v>ポムポムプリン</v>
          </cell>
          <cell r="D1712" t="str">
            <v>ポムポムプリン</v>
          </cell>
          <cell r="E1712" t="str">
            <v>執行者</v>
          </cell>
          <cell r="F1712" t="str">
            <v>格好いい</v>
          </cell>
          <cell r="G1712" t="str">
            <v>女性</v>
          </cell>
          <cell r="H1712" t="str">
            <v>yellow</v>
          </cell>
          <cell r="I1712">
            <v>4</v>
          </cell>
          <cell r="J1712" t="str">
            <v>PremiumS</v>
          </cell>
          <cell r="K1712" t="str">
            <v>hp</v>
          </cell>
          <cell r="L1712" t="str">
            <v>体力タイプ</v>
          </cell>
          <cell r="M1712" t="str">
            <v>ss</v>
          </cell>
          <cell r="N1712" t="str">
            <v>サンリオキャラクターズ</v>
          </cell>
          <cell r="O1712" t="str">
            <v>none</v>
          </cell>
          <cell r="P1712" t="str">
            <v>種族なし</v>
          </cell>
          <cell r="Q1712" t="str">
            <v>アタッカー</v>
          </cell>
          <cell r="R1712">
            <v>1</v>
          </cell>
          <cell r="S1712" t="str">
            <v>NULL</v>
          </cell>
          <cell r="T1712" t="str">
            <v>normal</v>
          </cell>
          <cell r="U1712" t="str">
            <v>NULL</v>
          </cell>
          <cell r="V1712" t="str">
            <v>NULL</v>
          </cell>
          <cell r="W1712" t="str">
            <v>NULL</v>
          </cell>
        </row>
        <row r="1713">
          <cell r="A1713">
            <v>8073</v>
          </cell>
          <cell r="B1713" t="str">
            <v>ja</v>
          </cell>
          <cell r="C1713" t="str">
            <v>星海祈る天光妃 媽祖</v>
          </cell>
          <cell r="D1713" t="str">
            <v>Expoミク</v>
          </cell>
          <cell r="E1713" t="str">
            <v>執行者</v>
          </cell>
          <cell r="F1713" t="str">
            <v>格好いい</v>
          </cell>
          <cell r="G1713" t="str">
            <v>女性</v>
          </cell>
          <cell r="H1713" t="str">
            <v>yellow</v>
          </cell>
          <cell r="I1713">
            <v>6</v>
          </cell>
          <cell r="J1713" t="str">
            <v>PremiumSS</v>
          </cell>
          <cell r="K1713" t="str">
            <v>attack</v>
          </cell>
          <cell r="L1713" t="str">
            <v>攻撃タイプ</v>
          </cell>
          <cell r="M1713" t="str">
            <v>human</v>
          </cell>
          <cell r="N1713" t="str">
            <v>ヒューマン</v>
          </cell>
          <cell r="O1713" t="str">
            <v>machine</v>
          </cell>
          <cell r="P1713" t="str">
            <v>マシン</v>
          </cell>
          <cell r="Q1713" t="str">
            <v>アタッカー</v>
          </cell>
          <cell r="R1713">
            <v>3</v>
          </cell>
          <cell r="S1713" t="str">
            <v>NULL</v>
          </cell>
          <cell r="T1713" t="str">
            <v>normal</v>
          </cell>
          <cell r="U1713" t="str">
            <v>NULL</v>
          </cell>
          <cell r="V1713" t="str">
            <v>NULL</v>
          </cell>
          <cell r="W1713" t="str">
            <v>NULL</v>
          </cell>
        </row>
        <row r="1714">
          <cell r="A1714">
            <v>8074</v>
          </cell>
          <cell r="B1714" t="str">
            <v>ja</v>
          </cell>
          <cell r="C1714" t="str">
            <v>海戀の絶龍姫 蛟龍</v>
          </cell>
          <cell r="D1714" t="str">
            <v>Expoミク</v>
          </cell>
          <cell r="E1714" t="str">
            <v>執行者</v>
          </cell>
          <cell r="F1714" t="str">
            <v>格好いい</v>
          </cell>
          <cell r="G1714" t="str">
            <v>女性</v>
          </cell>
          <cell r="H1714" t="str">
            <v>blue</v>
          </cell>
          <cell r="I1714">
            <v>6</v>
          </cell>
          <cell r="J1714" t="str">
            <v>DropWizS</v>
          </cell>
          <cell r="K1714" t="str">
            <v>hp</v>
          </cell>
          <cell r="L1714" t="str">
            <v>体力タイプ</v>
          </cell>
          <cell r="M1714" t="str">
            <v>dragon</v>
          </cell>
          <cell r="N1714" t="str">
            <v>ドラゴン</v>
          </cell>
          <cell r="O1714" t="str">
            <v>unknown</v>
          </cell>
          <cell r="P1714" t="str">
            <v>Unknown</v>
          </cell>
          <cell r="Q1714" t="str">
            <v>アタッカー</v>
          </cell>
          <cell r="R1714">
            <v>3</v>
          </cell>
          <cell r="S1714" t="str">
            <v>NULL</v>
          </cell>
          <cell r="T1714" t="str">
            <v>normal</v>
          </cell>
          <cell r="U1714" t="str">
            <v>NULL</v>
          </cell>
          <cell r="V1714" t="str">
            <v>NULL</v>
          </cell>
          <cell r="W1714" t="str">
            <v>NULL</v>
          </cell>
        </row>
        <row r="1715">
          <cell r="A1715">
            <v>8075</v>
          </cell>
          <cell r="B1715" t="str">
            <v>ja</v>
          </cell>
          <cell r="C1715" t="str">
            <v>解脱天の知徳 三蔵法師</v>
          </cell>
          <cell r="D1715" t="str">
            <v>Expoミク</v>
          </cell>
          <cell r="E1715" t="str">
            <v>執行者</v>
          </cell>
          <cell r="F1715" t="str">
            <v>格好いい</v>
          </cell>
          <cell r="G1715" t="str">
            <v>女性</v>
          </cell>
          <cell r="H1715" t="str">
            <v>blue</v>
          </cell>
          <cell r="I1715">
            <v>6</v>
          </cell>
          <cell r="J1715" t="str">
            <v>PremiumSS</v>
          </cell>
          <cell r="K1715" t="str">
            <v>balance</v>
          </cell>
          <cell r="L1715" t="str">
            <v>バランスタイプ</v>
          </cell>
          <cell r="M1715" t="str">
            <v>god</v>
          </cell>
          <cell r="N1715" t="str">
            <v>ゴッド</v>
          </cell>
          <cell r="O1715" t="str">
            <v>animal</v>
          </cell>
          <cell r="P1715" t="str">
            <v>アニマル</v>
          </cell>
          <cell r="Q1715" t="str">
            <v>アタッカー</v>
          </cell>
          <cell r="R1715">
            <v>3</v>
          </cell>
          <cell r="S1715" t="str">
            <v>NULL</v>
          </cell>
          <cell r="T1715" t="str">
            <v>normal</v>
          </cell>
          <cell r="U1715" t="str">
            <v>NULL</v>
          </cell>
          <cell r="V1715" t="str">
            <v>NULL</v>
          </cell>
          <cell r="W1715" t="str">
            <v>NULL</v>
          </cell>
        </row>
        <row r="1716">
          <cell r="A1716">
            <v>8076</v>
          </cell>
          <cell r="B1716" t="str">
            <v>ja</v>
          </cell>
          <cell r="C1716" t="str">
            <v>天暴の斉天大聖 孫悟空</v>
          </cell>
          <cell r="D1716" t="str">
            <v>Expoミク</v>
          </cell>
          <cell r="E1716" t="str">
            <v>執行者</v>
          </cell>
          <cell r="F1716" t="str">
            <v>格好いい</v>
          </cell>
          <cell r="G1716" t="str">
            <v>女性</v>
          </cell>
          <cell r="H1716" t="str">
            <v>red</v>
          </cell>
          <cell r="I1716">
            <v>6</v>
          </cell>
          <cell r="J1716" t="str">
            <v>DropWizS</v>
          </cell>
          <cell r="K1716" t="str">
            <v>attack</v>
          </cell>
          <cell r="L1716" t="str">
            <v>攻撃タイプ</v>
          </cell>
          <cell r="M1716" t="str">
            <v>unknown</v>
          </cell>
          <cell r="N1716" t="str">
            <v>Unknown</v>
          </cell>
          <cell r="O1716" t="str">
            <v>hero</v>
          </cell>
          <cell r="P1716" t="str">
            <v>ヒーロー</v>
          </cell>
          <cell r="Q1716" t="str">
            <v>アタッカー</v>
          </cell>
          <cell r="R1716">
            <v>3</v>
          </cell>
          <cell r="S1716" t="str">
            <v>NULL</v>
          </cell>
          <cell r="T1716" t="str">
            <v>normal</v>
          </cell>
          <cell r="U1716" t="str">
            <v>NULL</v>
          </cell>
          <cell r="V1716" t="str">
            <v>NULL</v>
          </cell>
          <cell r="W1716" t="str">
            <v>NULL</v>
          </cell>
        </row>
        <row r="1717">
          <cell r="A1717">
            <v>8077</v>
          </cell>
          <cell r="B1717" t="str">
            <v>ja</v>
          </cell>
          <cell r="C1717" t="str">
            <v>鄭成功</v>
          </cell>
          <cell r="D1717" t="str">
            <v>ポムポムプリン</v>
          </cell>
          <cell r="E1717" t="str">
            <v>執行者</v>
          </cell>
          <cell r="F1717" t="str">
            <v>格好いい</v>
          </cell>
          <cell r="G1717" t="str">
            <v>女性</v>
          </cell>
          <cell r="H1717" t="str">
            <v>blue</v>
          </cell>
          <cell r="I1717">
            <v>5</v>
          </cell>
          <cell r="J1717" t="str">
            <v>PremiumSS</v>
          </cell>
          <cell r="K1717" t="str">
            <v>attack</v>
          </cell>
          <cell r="L1717" t="str">
            <v>攻撃タイプ</v>
          </cell>
          <cell r="M1717" t="str">
            <v>human</v>
          </cell>
          <cell r="N1717" t="str">
            <v>ヒューマン</v>
          </cell>
          <cell r="O1717" t="str">
            <v>none</v>
          </cell>
          <cell r="P1717" t="str">
            <v>種族なし</v>
          </cell>
          <cell r="Q1717" t="str">
            <v>アタッカー</v>
          </cell>
          <cell r="R1717">
            <v>1</v>
          </cell>
          <cell r="S1717" t="str">
            <v>NULL</v>
          </cell>
          <cell r="T1717" t="str">
            <v>normal</v>
          </cell>
          <cell r="U1717" t="str">
            <v>NULL</v>
          </cell>
          <cell r="V1717" t="str">
            <v>NULL</v>
          </cell>
          <cell r="W1717" t="str">
            <v>NULL</v>
          </cell>
        </row>
        <row r="1718">
          <cell r="A1718">
            <v>8078</v>
          </cell>
          <cell r="B1718" t="str">
            <v>ja</v>
          </cell>
          <cell r="C1718" t="str">
            <v>レア６鄭成功</v>
          </cell>
          <cell r="D1718" t="str">
            <v>ポムポムプリン</v>
          </cell>
          <cell r="E1718" t="str">
            <v>執行者</v>
          </cell>
          <cell r="F1718" t="str">
            <v>格好いい</v>
          </cell>
          <cell r="G1718" t="str">
            <v>女性</v>
          </cell>
          <cell r="H1718" t="str">
            <v>blue</v>
          </cell>
          <cell r="I1718">
            <v>6</v>
          </cell>
          <cell r="J1718" t="str">
            <v>PremiumSS</v>
          </cell>
          <cell r="K1718" t="str">
            <v>attack</v>
          </cell>
          <cell r="L1718" t="str">
            <v>攻撃タイプ</v>
          </cell>
          <cell r="M1718" t="str">
            <v>human</v>
          </cell>
          <cell r="N1718" t="str">
            <v>ヒューマン</v>
          </cell>
          <cell r="O1718" t="str">
            <v>hero</v>
          </cell>
          <cell r="P1718" t="str">
            <v>ヒーロー</v>
          </cell>
          <cell r="Q1718" t="str">
            <v>アタッカー</v>
          </cell>
          <cell r="R1718">
            <v>1</v>
          </cell>
          <cell r="S1718" t="str">
            <v>NULL</v>
          </cell>
          <cell r="T1718" t="str">
            <v>normal</v>
          </cell>
          <cell r="U1718" t="str">
            <v>NULL</v>
          </cell>
          <cell r="V1718" t="str">
            <v>NULL</v>
          </cell>
          <cell r="W1718" t="str">
            <v>NULL</v>
          </cell>
        </row>
        <row r="1719">
          <cell r="A1719">
            <v>8079</v>
          </cell>
          <cell r="B1719" t="str">
            <v>ja</v>
          </cell>
          <cell r="C1719" t="str">
            <v>赤鬼</v>
          </cell>
          <cell r="D1719" t="str">
            <v>ポムポムプリン</v>
          </cell>
          <cell r="E1719" t="str">
            <v>執行者</v>
          </cell>
          <cell r="F1719" t="str">
            <v>格好いい</v>
          </cell>
          <cell r="G1719" t="str">
            <v>女性</v>
          </cell>
          <cell r="H1719" t="str">
            <v>red</v>
          </cell>
          <cell r="I1719">
            <v>5</v>
          </cell>
          <cell r="J1719" t="str">
            <v>DropWizS</v>
          </cell>
          <cell r="K1719" t="str">
            <v>hp</v>
          </cell>
          <cell r="L1719" t="str">
            <v>体力タイプ</v>
          </cell>
          <cell r="M1719" t="str">
            <v>dragon</v>
          </cell>
          <cell r="N1719" t="str">
            <v>ドラゴン</v>
          </cell>
          <cell r="O1719" t="str">
            <v>none</v>
          </cell>
          <cell r="P1719" t="str">
            <v>種族なし</v>
          </cell>
          <cell r="Q1719" t="str">
            <v>アタッカー</v>
          </cell>
          <cell r="R1719">
            <v>1</v>
          </cell>
          <cell r="S1719" t="str">
            <v>NULL</v>
          </cell>
          <cell r="T1719" t="str">
            <v>normal</v>
          </cell>
          <cell r="U1719" t="str">
            <v>NULL</v>
          </cell>
          <cell r="V1719" t="str">
            <v>NULL</v>
          </cell>
          <cell r="W1719" t="str">
            <v>NULL</v>
          </cell>
        </row>
        <row r="1720">
          <cell r="A1720">
            <v>8080</v>
          </cell>
          <cell r="B1720" t="str">
            <v>ja</v>
          </cell>
          <cell r="C1720" t="str">
            <v>レア６赤鬼</v>
          </cell>
          <cell r="D1720" t="str">
            <v>ポムポムプリン</v>
          </cell>
          <cell r="E1720" t="str">
            <v>執行者</v>
          </cell>
          <cell r="F1720" t="str">
            <v>格好いい</v>
          </cell>
          <cell r="G1720" t="str">
            <v>女性</v>
          </cell>
          <cell r="H1720" t="str">
            <v>red</v>
          </cell>
          <cell r="I1720">
            <v>6</v>
          </cell>
          <cell r="J1720" t="str">
            <v>DropWizS</v>
          </cell>
          <cell r="K1720" t="str">
            <v>hp</v>
          </cell>
          <cell r="L1720" t="str">
            <v>体力タイプ</v>
          </cell>
          <cell r="M1720" t="str">
            <v>dragon</v>
          </cell>
          <cell r="N1720" t="str">
            <v>ドラゴン</v>
          </cell>
          <cell r="O1720" t="str">
            <v>unknown</v>
          </cell>
          <cell r="P1720" t="str">
            <v>Unknown</v>
          </cell>
          <cell r="Q1720" t="str">
            <v>アタッカー</v>
          </cell>
          <cell r="R1720">
            <v>1</v>
          </cell>
          <cell r="S1720" t="str">
            <v>NULL</v>
          </cell>
          <cell r="T1720" t="str">
            <v>normal</v>
          </cell>
          <cell r="U1720" t="str">
            <v>NULL</v>
          </cell>
          <cell r="V1720" t="str">
            <v>NULL</v>
          </cell>
          <cell r="W1720" t="str">
            <v>NULL</v>
          </cell>
        </row>
        <row r="1721">
          <cell r="A1721">
            <v>8081</v>
          </cell>
          <cell r="B1721" t="str">
            <v>ja</v>
          </cell>
          <cell r="C1721" t="str">
            <v>関羽</v>
          </cell>
          <cell r="H1721" t="str">
            <v>green</v>
          </cell>
          <cell r="I1721">
            <v>5</v>
          </cell>
          <cell r="J1721" t="str">
            <v>PremiumSSS</v>
          </cell>
          <cell r="K1721" t="str">
            <v>balance</v>
          </cell>
          <cell r="L1721" t="str">
            <v>バランスタイプ</v>
          </cell>
          <cell r="M1721" t="str">
            <v>samurai</v>
          </cell>
          <cell r="N1721" t="str">
            <v>サムライ</v>
          </cell>
          <cell r="O1721" t="str">
            <v>human</v>
          </cell>
          <cell r="P1721" t="str">
            <v>ヒューマン</v>
          </cell>
          <cell r="Q1721" t="str">
            <v>アタッカー</v>
          </cell>
          <cell r="R1721">
            <v>3</v>
          </cell>
          <cell r="S1721" t="str">
            <v>NULL</v>
          </cell>
          <cell r="T1721" t="str">
            <v>normal</v>
          </cell>
          <cell r="U1721" t="str">
            <v>NULL</v>
          </cell>
          <cell r="V1721" t="str">
            <v>NULL</v>
          </cell>
          <cell r="W1721" t="str">
            <v>NULL</v>
          </cell>
        </row>
        <row r="1722">
          <cell r="A1722">
            <v>8082</v>
          </cell>
          <cell r="B1722" t="str">
            <v>ja</v>
          </cell>
          <cell r="C1722" t="str">
            <v>千里突撃 関羽</v>
          </cell>
          <cell r="H1722" t="str">
            <v>green</v>
          </cell>
          <cell r="I1722">
            <v>6</v>
          </cell>
          <cell r="J1722" t="str">
            <v>PremiumSSS</v>
          </cell>
          <cell r="K1722" t="str">
            <v>balance</v>
          </cell>
          <cell r="L1722" t="str">
            <v>バランスタイプ</v>
          </cell>
          <cell r="M1722" t="str">
            <v>samurai</v>
          </cell>
          <cell r="N1722" t="str">
            <v>サムライ</v>
          </cell>
          <cell r="O1722" t="str">
            <v>human</v>
          </cell>
          <cell r="P1722" t="str">
            <v>ヒューマン</v>
          </cell>
          <cell r="Q1722" t="str">
            <v>アタッカー</v>
          </cell>
          <cell r="R1722">
            <v>3</v>
          </cell>
          <cell r="S1722" t="str">
            <v>NULL</v>
          </cell>
          <cell r="T1722" t="str">
            <v>normal</v>
          </cell>
          <cell r="U1722" t="str">
            <v>NULL</v>
          </cell>
          <cell r="V1722" t="str">
            <v>NULL</v>
          </cell>
          <cell r="W1722" t="str">
            <v>NULL</v>
          </cell>
        </row>
        <row r="1723">
          <cell r="A1723">
            <v>8083</v>
          </cell>
          <cell r="B1723" t="str">
            <v>ja</v>
          </cell>
          <cell r="C1723" t="str">
            <v>曹操</v>
          </cell>
          <cell r="H1723" t="str">
            <v>yellow</v>
          </cell>
          <cell r="I1723">
            <v>5</v>
          </cell>
          <cell r="J1723" t="str">
            <v>DropWizSS</v>
          </cell>
          <cell r="K1723" t="str">
            <v>technical</v>
          </cell>
          <cell r="L1723" t="str">
            <v>テクニカルタイプ</v>
          </cell>
          <cell r="M1723" t="str">
            <v>samurai</v>
          </cell>
          <cell r="N1723" t="str">
            <v>サムライ</v>
          </cell>
          <cell r="O1723" t="str">
            <v>human</v>
          </cell>
          <cell r="P1723" t="str">
            <v>ヒューマン</v>
          </cell>
          <cell r="Q1723" t="str">
            <v>アタッカー</v>
          </cell>
          <cell r="R1723">
            <v>3</v>
          </cell>
          <cell r="S1723" t="str">
            <v>NULL</v>
          </cell>
          <cell r="T1723" t="str">
            <v>normal</v>
          </cell>
          <cell r="U1723" t="str">
            <v>NULL</v>
          </cell>
          <cell r="V1723" t="str">
            <v>NULL</v>
          </cell>
          <cell r="W1723" t="str">
            <v>NULL</v>
          </cell>
        </row>
        <row r="1724">
          <cell r="A1724">
            <v>8084</v>
          </cell>
          <cell r="B1724" t="str">
            <v>ja</v>
          </cell>
          <cell r="C1724" t="str">
            <v>混沌の覇道行者 曹操</v>
          </cell>
          <cell r="H1724" t="str">
            <v>yellow</v>
          </cell>
          <cell r="I1724">
            <v>6</v>
          </cell>
          <cell r="J1724" t="str">
            <v>DropWizSS</v>
          </cell>
          <cell r="K1724" t="str">
            <v>technical</v>
          </cell>
          <cell r="L1724" t="str">
            <v>テクニカルタイプ</v>
          </cell>
          <cell r="M1724" t="str">
            <v>samurai</v>
          </cell>
          <cell r="N1724" t="str">
            <v>サムライ</v>
          </cell>
          <cell r="O1724" t="str">
            <v>human</v>
          </cell>
          <cell r="P1724" t="str">
            <v>ヒューマン</v>
          </cell>
          <cell r="Q1724" t="str">
            <v>アタッカー</v>
          </cell>
          <cell r="R1724">
            <v>3</v>
          </cell>
          <cell r="S1724" t="str">
            <v>NULL</v>
          </cell>
          <cell r="T1724" t="str">
            <v>normal</v>
          </cell>
          <cell r="U1724" t="str">
            <v>NULL</v>
          </cell>
          <cell r="V1724" t="str">
            <v>NULL</v>
          </cell>
          <cell r="W1724" t="str">
            <v>NULL</v>
          </cell>
        </row>
        <row r="1725">
          <cell r="A1725">
            <v>8085</v>
          </cell>
          <cell r="B1725" t="str">
            <v>ja</v>
          </cell>
          <cell r="C1725" t="str">
            <v>九霊無上の聖母 西王娘娘</v>
          </cell>
          <cell r="H1725" t="str">
            <v>green</v>
          </cell>
          <cell r="I1725">
            <v>6</v>
          </cell>
          <cell r="J1725" t="str">
            <v>PremiumSS</v>
          </cell>
          <cell r="K1725" t="str">
            <v>attack</v>
          </cell>
          <cell r="L1725" t="str">
            <v>攻撃タイプ</v>
          </cell>
          <cell r="M1725" t="str">
            <v>god</v>
          </cell>
          <cell r="N1725" t="str">
            <v>ゴッド</v>
          </cell>
          <cell r="O1725" t="str">
            <v>none</v>
          </cell>
          <cell r="P1725" t="str">
            <v>種族なし</v>
          </cell>
          <cell r="Q1725" t="str">
            <v>アタッカー</v>
          </cell>
          <cell r="R1725">
            <v>3</v>
          </cell>
          <cell r="S1725" t="str">
            <v>NULL</v>
          </cell>
          <cell r="T1725" t="str">
            <v>normal</v>
          </cell>
          <cell r="U1725" t="str">
            <v>NULL</v>
          </cell>
          <cell r="V1725" t="str">
            <v>NULL</v>
          </cell>
          <cell r="W1725" t="str">
            <v>NULL</v>
          </cell>
        </row>
        <row r="1726">
          <cell r="A1726">
            <v>8086</v>
          </cell>
          <cell r="B1726" t="str">
            <v>ja</v>
          </cell>
          <cell r="C1726" t="str">
            <v>砕縁の情滅剣 月下老人</v>
          </cell>
          <cell r="H1726" t="str">
            <v>yellow</v>
          </cell>
          <cell r="I1726">
            <v>6</v>
          </cell>
          <cell r="J1726" t="str">
            <v>DropWizS</v>
          </cell>
          <cell r="K1726" t="str">
            <v>attack</v>
          </cell>
          <cell r="L1726" t="str">
            <v>攻撃タイプ</v>
          </cell>
          <cell r="M1726" t="str">
            <v>god</v>
          </cell>
          <cell r="N1726" t="str">
            <v>ゴッド</v>
          </cell>
          <cell r="O1726" t="str">
            <v>animal</v>
          </cell>
          <cell r="P1726" t="str">
            <v>アニマル</v>
          </cell>
          <cell r="Q1726" t="str">
            <v>アタッカー</v>
          </cell>
          <cell r="R1726">
            <v>3</v>
          </cell>
          <cell r="S1726" t="str">
            <v>NULL</v>
          </cell>
          <cell r="T1726" t="str">
            <v>normal</v>
          </cell>
          <cell r="U1726" t="str">
            <v>NULL</v>
          </cell>
          <cell r="V1726" t="str">
            <v>NULL</v>
          </cell>
          <cell r="W1726" t="str">
            <v>NULL</v>
          </cell>
        </row>
        <row r="1727">
          <cell r="A1727">
            <v>8087</v>
          </cell>
          <cell r="B1727" t="str">
            <v>ja</v>
          </cell>
          <cell r="C1727" t="str">
            <v>財神</v>
          </cell>
          <cell r="H1727" t="str">
            <v>red</v>
          </cell>
          <cell r="I1727">
            <v>5</v>
          </cell>
          <cell r="J1727" t="str">
            <v>PremiumSSS</v>
          </cell>
          <cell r="K1727" t="str">
            <v>technical</v>
          </cell>
          <cell r="L1727" t="str">
            <v>テクニカルタイプ</v>
          </cell>
          <cell r="M1727" t="str">
            <v>god</v>
          </cell>
          <cell r="N1727" t="str">
            <v>ゴッド</v>
          </cell>
          <cell r="O1727" t="str">
            <v>none</v>
          </cell>
          <cell r="P1727" t="str">
            <v>種族なし</v>
          </cell>
          <cell r="Q1727" t="str">
            <v>アタッカー</v>
          </cell>
          <cell r="R1727">
            <v>1</v>
          </cell>
          <cell r="S1727" t="str">
            <v>NULL</v>
          </cell>
          <cell r="T1727" t="str">
            <v>normal</v>
          </cell>
          <cell r="U1727" t="str">
            <v>NULL</v>
          </cell>
          <cell r="V1727" t="str">
            <v>NULL</v>
          </cell>
          <cell r="W1727" t="str">
            <v>NULL</v>
          </cell>
        </row>
        <row r="1728">
          <cell r="A1728">
            <v>8088</v>
          </cell>
          <cell r="B1728" t="str">
            <v>ja</v>
          </cell>
          <cell r="C1728" t="str">
            <v>★６財神</v>
          </cell>
          <cell r="H1728" t="str">
            <v>red</v>
          </cell>
          <cell r="I1728">
            <v>6</v>
          </cell>
          <cell r="J1728" t="str">
            <v>PremiumSSS</v>
          </cell>
          <cell r="K1728" t="str">
            <v>technical</v>
          </cell>
          <cell r="L1728" t="str">
            <v>テクニカルタイプ</v>
          </cell>
          <cell r="M1728" t="str">
            <v>god</v>
          </cell>
          <cell r="N1728" t="str">
            <v>ゴッド</v>
          </cell>
          <cell r="O1728" t="str">
            <v>none</v>
          </cell>
          <cell r="P1728" t="str">
            <v>種族なし</v>
          </cell>
          <cell r="Q1728" t="str">
            <v>アタッカー</v>
          </cell>
          <cell r="R1728">
            <v>1</v>
          </cell>
          <cell r="S1728" t="str">
            <v>NULL</v>
          </cell>
          <cell r="T1728" t="str">
            <v>normal</v>
          </cell>
          <cell r="U1728" t="str">
            <v>NULL</v>
          </cell>
          <cell r="V1728" t="str">
            <v>NULL</v>
          </cell>
          <cell r="W1728" t="str">
            <v>NULL</v>
          </cell>
        </row>
        <row r="1729">
          <cell r="A1729">
            <v>8089</v>
          </cell>
          <cell r="B1729" t="str">
            <v>ja</v>
          </cell>
          <cell r="C1729" t="str">
            <v>年獣</v>
          </cell>
          <cell r="H1729" t="str">
            <v>green</v>
          </cell>
          <cell r="I1729">
            <v>5</v>
          </cell>
          <cell r="J1729" t="str">
            <v>DropWizS</v>
          </cell>
          <cell r="K1729" t="str">
            <v>attack</v>
          </cell>
          <cell r="L1729" t="str">
            <v>攻撃タイプ</v>
          </cell>
          <cell r="M1729" t="str">
            <v>animal</v>
          </cell>
          <cell r="N1729" t="str">
            <v>アニマル</v>
          </cell>
          <cell r="O1729" t="str">
            <v>unknown</v>
          </cell>
          <cell r="P1729" t="str">
            <v>Unknown</v>
          </cell>
          <cell r="Q1729" t="str">
            <v>アタッカー</v>
          </cell>
          <cell r="R1729">
            <v>1</v>
          </cell>
          <cell r="S1729" t="str">
            <v>NULL</v>
          </cell>
          <cell r="T1729" t="str">
            <v>normal</v>
          </cell>
          <cell r="U1729" t="str">
            <v>NULL</v>
          </cell>
          <cell r="V1729" t="str">
            <v>NULL</v>
          </cell>
          <cell r="W1729" t="str">
            <v>NULL</v>
          </cell>
        </row>
        <row r="1730">
          <cell r="A1730">
            <v>8090</v>
          </cell>
          <cell r="B1730" t="str">
            <v>ja</v>
          </cell>
          <cell r="C1730" t="str">
            <v>★６年獣</v>
          </cell>
          <cell r="H1730" t="str">
            <v>green</v>
          </cell>
          <cell r="I1730">
            <v>6</v>
          </cell>
          <cell r="J1730" t="str">
            <v>DropWizS</v>
          </cell>
          <cell r="K1730" t="str">
            <v>attack</v>
          </cell>
          <cell r="L1730" t="str">
            <v>攻撃タイプ</v>
          </cell>
          <cell r="M1730" t="str">
            <v>animal</v>
          </cell>
          <cell r="N1730" t="str">
            <v>アニマル</v>
          </cell>
          <cell r="O1730" t="str">
            <v>unknown</v>
          </cell>
          <cell r="P1730" t="str">
            <v>Unknown</v>
          </cell>
          <cell r="Q1730" t="str">
            <v>アタッカー</v>
          </cell>
          <cell r="R1730">
            <v>1</v>
          </cell>
          <cell r="S1730" t="str">
            <v>NULL</v>
          </cell>
          <cell r="T1730" t="str">
            <v>normal</v>
          </cell>
          <cell r="U1730" t="str">
            <v>NULL</v>
          </cell>
          <cell r="V1730" t="str">
            <v>NULL</v>
          </cell>
          <cell r="W1730" t="str">
            <v>NULL</v>
          </cell>
        </row>
        <row r="1731">
          <cell r="A1731">
            <v>8095</v>
          </cell>
          <cell r="B1731" t="str">
            <v>ja</v>
          </cell>
          <cell r="C1731" t="str">
            <v>バハムートダック赤</v>
          </cell>
          <cell r="D1731" t="str">
            <v>ポムポムプリン</v>
          </cell>
          <cell r="E1731" t="str">
            <v>執行者</v>
          </cell>
          <cell r="F1731" t="str">
            <v>格好いい</v>
          </cell>
          <cell r="G1731" t="str">
            <v>女性</v>
          </cell>
          <cell r="H1731" t="str">
            <v>red</v>
          </cell>
          <cell r="I1731">
            <v>6</v>
          </cell>
          <cell r="J1731" t="str">
            <v>Material</v>
          </cell>
          <cell r="K1731" t="str">
            <v>exp</v>
          </cell>
          <cell r="L1731" t="str">
            <v>強化素材タイプ</v>
          </cell>
          <cell r="M1731" t="str">
            <v>unknown</v>
          </cell>
          <cell r="N1731" t="str">
            <v>Unknown</v>
          </cell>
          <cell r="O1731" t="str">
            <v>none</v>
          </cell>
          <cell r="P1731" t="str">
            <v>種族なし</v>
          </cell>
          <cell r="Q1731" t="str">
            <v>強化素材</v>
          </cell>
          <cell r="R1731">
            <v>1</v>
          </cell>
          <cell r="S1731" t="str">
            <v>NULL</v>
          </cell>
          <cell r="T1731" t="str">
            <v>normal</v>
          </cell>
          <cell r="U1731" t="str">
            <v>NULL</v>
          </cell>
          <cell r="V1731" t="str">
            <v>NULL</v>
          </cell>
          <cell r="W1731" t="str">
            <v>NULL</v>
          </cell>
        </row>
        <row r="1732">
          <cell r="A1732">
            <v>8096</v>
          </cell>
          <cell r="B1732" t="str">
            <v>ja</v>
          </cell>
          <cell r="C1732" t="str">
            <v>バハムートダック緑</v>
          </cell>
          <cell r="D1732" t="str">
            <v>ポムポムプリン</v>
          </cell>
          <cell r="E1732" t="str">
            <v>執行者</v>
          </cell>
          <cell r="F1732" t="str">
            <v>格好いい</v>
          </cell>
          <cell r="G1732" t="str">
            <v>女性</v>
          </cell>
          <cell r="H1732" t="str">
            <v>green</v>
          </cell>
          <cell r="I1732">
            <v>6</v>
          </cell>
          <cell r="J1732" t="str">
            <v>Material</v>
          </cell>
          <cell r="K1732" t="str">
            <v>exp</v>
          </cell>
          <cell r="L1732" t="str">
            <v>強化素材タイプ</v>
          </cell>
          <cell r="M1732" t="str">
            <v>unknown</v>
          </cell>
          <cell r="N1732" t="str">
            <v>Unknown</v>
          </cell>
          <cell r="O1732" t="str">
            <v>none</v>
          </cell>
          <cell r="P1732" t="str">
            <v>種族なし</v>
          </cell>
          <cell r="Q1732" t="str">
            <v>強化素材</v>
          </cell>
          <cell r="R1732">
            <v>1</v>
          </cell>
          <cell r="S1732" t="str">
            <v>NULL</v>
          </cell>
          <cell r="T1732" t="str">
            <v>normal</v>
          </cell>
          <cell r="U1732" t="str">
            <v>NULL</v>
          </cell>
          <cell r="V1732" t="str">
            <v>NULL</v>
          </cell>
          <cell r="W1732" t="str">
            <v>NULL</v>
          </cell>
        </row>
        <row r="1733">
          <cell r="A1733">
            <v>8097</v>
          </cell>
          <cell r="B1733" t="str">
            <v>ja</v>
          </cell>
          <cell r="C1733" t="str">
            <v>バハムートダック青</v>
          </cell>
          <cell r="D1733" t="str">
            <v>ポムポムプリン</v>
          </cell>
          <cell r="E1733" t="str">
            <v>執行者</v>
          </cell>
          <cell r="F1733" t="str">
            <v>格好いい</v>
          </cell>
          <cell r="G1733" t="str">
            <v>女性</v>
          </cell>
          <cell r="H1733" t="str">
            <v>blue</v>
          </cell>
          <cell r="I1733">
            <v>6</v>
          </cell>
          <cell r="J1733" t="str">
            <v>Material</v>
          </cell>
          <cell r="K1733" t="str">
            <v>exp</v>
          </cell>
          <cell r="L1733" t="str">
            <v>強化素材タイプ</v>
          </cell>
          <cell r="M1733" t="str">
            <v>unknown</v>
          </cell>
          <cell r="N1733" t="str">
            <v>Unknown</v>
          </cell>
          <cell r="O1733" t="str">
            <v>none</v>
          </cell>
          <cell r="P1733" t="str">
            <v>種族なし</v>
          </cell>
          <cell r="Q1733" t="str">
            <v>強化素材</v>
          </cell>
          <cell r="R1733">
            <v>1</v>
          </cell>
          <cell r="S1733" t="str">
            <v>NULL</v>
          </cell>
          <cell r="T1733" t="str">
            <v>normal</v>
          </cell>
          <cell r="U1733" t="str">
            <v>NULL</v>
          </cell>
          <cell r="V1733" t="str">
            <v>NULL</v>
          </cell>
          <cell r="W1733" t="str">
            <v>NULL</v>
          </cell>
        </row>
        <row r="1734">
          <cell r="A1734">
            <v>8098</v>
          </cell>
          <cell r="B1734" t="str">
            <v>ja</v>
          </cell>
          <cell r="C1734" t="str">
            <v>バハムートダック黄</v>
          </cell>
          <cell r="D1734" t="str">
            <v>ポムポムプリン</v>
          </cell>
          <cell r="E1734" t="str">
            <v>執行者</v>
          </cell>
          <cell r="F1734" t="str">
            <v>格好いい</v>
          </cell>
          <cell r="G1734" t="str">
            <v>女性</v>
          </cell>
          <cell r="H1734" t="str">
            <v>yellow</v>
          </cell>
          <cell r="I1734">
            <v>6</v>
          </cell>
          <cell r="J1734" t="str">
            <v>Material</v>
          </cell>
          <cell r="K1734" t="str">
            <v>exp</v>
          </cell>
          <cell r="L1734" t="str">
            <v>強化素材タイプ</v>
          </cell>
          <cell r="M1734" t="str">
            <v>unknown</v>
          </cell>
          <cell r="N1734" t="str">
            <v>Unknown</v>
          </cell>
          <cell r="O1734" t="str">
            <v>none</v>
          </cell>
          <cell r="P1734" t="str">
            <v>種族なし</v>
          </cell>
          <cell r="Q1734" t="str">
            <v>強化素材</v>
          </cell>
          <cell r="R1734">
            <v>1</v>
          </cell>
          <cell r="S1734" t="str">
            <v>NULL</v>
          </cell>
          <cell r="T1734" t="str">
            <v>normal</v>
          </cell>
          <cell r="U1734" t="str">
            <v>NULL</v>
          </cell>
          <cell r="V1734" t="str">
            <v>NULL</v>
          </cell>
          <cell r="W1734" t="str">
            <v>NULL</v>
          </cell>
        </row>
        <row r="1735">
          <cell r="A1735">
            <v>8099</v>
          </cell>
          <cell r="B1735" t="str">
            <v>ja</v>
          </cell>
          <cell r="C1735" t="str">
            <v>韓湘子</v>
          </cell>
          <cell r="D1735" t="str">
            <v>ポムポムプリン</v>
          </cell>
          <cell r="E1735" t="str">
            <v>執行者</v>
          </cell>
          <cell r="F1735" t="str">
            <v>格好いい</v>
          </cell>
          <cell r="G1735" t="str">
            <v>女性</v>
          </cell>
          <cell r="H1735" t="str">
            <v>green</v>
          </cell>
          <cell r="I1735">
            <v>5</v>
          </cell>
          <cell r="J1735" t="str">
            <v>PremiumSSw</v>
          </cell>
          <cell r="K1735" t="str">
            <v>balance</v>
          </cell>
          <cell r="L1735" t="str">
            <v>バランスタイプ</v>
          </cell>
          <cell r="M1735" t="str">
            <v>god</v>
          </cell>
          <cell r="N1735" t="str">
            <v>ゴッド</v>
          </cell>
          <cell r="O1735" t="str">
            <v>none</v>
          </cell>
          <cell r="P1735" t="str">
            <v>種族なし</v>
          </cell>
          <cell r="Q1735" t="str">
            <v>アタッカー</v>
          </cell>
          <cell r="R1735">
            <v>1</v>
          </cell>
          <cell r="S1735" t="str">
            <v>NULL</v>
          </cell>
          <cell r="T1735" t="str">
            <v>normal</v>
          </cell>
          <cell r="U1735" t="str">
            <v>NULL</v>
          </cell>
          <cell r="V1735" t="str">
            <v>NULL</v>
          </cell>
          <cell r="W1735" t="str">
            <v>NULL</v>
          </cell>
        </row>
        <row r="1736">
          <cell r="A1736">
            <v>8100</v>
          </cell>
          <cell r="B1736" t="str">
            <v>ja</v>
          </cell>
          <cell r="C1736" t="str">
            <v>韓湘子★６</v>
          </cell>
          <cell r="D1736" t="str">
            <v>ポムポムプリン</v>
          </cell>
          <cell r="E1736" t="str">
            <v>執行者</v>
          </cell>
          <cell r="F1736" t="str">
            <v>格好いい</v>
          </cell>
          <cell r="G1736" t="str">
            <v>女性</v>
          </cell>
          <cell r="H1736" t="str">
            <v>green</v>
          </cell>
          <cell r="I1736">
            <v>6</v>
          </cell>
          <cell r="J1736" t="str">
            <v>PremiumSSw</v>
          </cell>
          <cell r="K1736" t="str">
            <v>balance</v>
          </cell>
          <cell r="L1736" t="str">
            <v>バランスタイプ</v>
          </cell>
          <cell r="M1736" t="str">
            <v>god</v>
          </cell>
          <cell r="N1736" t="str">
            <v>ゴッド</v>
          </cell>
          <cell r="O1736" t="str">
            <v>none</v>
          </cell>
          <cell r="P1736" t="str">
            <v>種族なし</v>
          </cell>
          <cell r="Q1736" t="str">
            <v>アタッカー</v>
          </cell>
          <cell r="R1736">
            <v>1</v>
          </cell>
          <cell r="S1736" t="str">
            <v>NULL</v>
          </cell>
          <cell r="T1736" t="str">
            <v>normal</v>
          </cell>
          <cell r="U1736" t="str">
            <v>NULL</v>
          </cell>
          <cell r="V1736" t="str">
            <v>NULL</v>
          </cell>
          <cell r="W1736" t="str">
            <v>NULL</v>
          </cell>
        </row>
        <row r="1737">
          <cell r="A1737">
            <v>8101</v>
          </cell>
          <cell r="B1737" t="str">
            <v>ja</v>
          </cell>
          <cell r="C1737" t="str">
            <v>張果老</v>
          </cell>
          <cell r="D1737" t="str">
            <v>ポムポムプリン</v>
          </cell>
          <cell r="E1737" t="str">
            <v>執行者</v>
          </cell>
          <cell r="F1737" t="str">
            <v>格好いい</v>
          </cell>
          <cell r="G1737" t="str">
            <v>女性</v>
          </cell>
          <cell r="H1737" t="str">
            <v>yellow</v>
          </cell>
          <cell r="I1737">
            <v>5</v>
          </cell>
          <cell r="J1737" t="str">
            <v>DropWizS</v>
          </cell>
          <cell r="K1737" t="str">
            <v>attack</v>
          </cell>
          <cell r="L1737" t="str">
            <v>攻撃タイプ</v>
          </cell>
          <cell r="M1737" t="str">
            <v>god</v>
          </cell>
          <cell r="N1737" t="str">
            <v>ゴッド</v>
          </cell>
          <cell r="O1737" t="str">
            <v>machine</v>
          </cell>
          <cell r="P1737" t="str">
            <v>マシン</v>
          </cell>
          <cell r="Q1737" t="str">
            <v>アタッカー</v>
          </cell>
          <cell r="R1737">
            <v>1</v>
          </cell>
          <cell r="S1737" t="str">
            <v>NULL</v>
          </cell>
          <cell r="T1737" t="str">
            <v>normal</v>
          </cell>
          <cell r="U1737" t="str">
            <v>NULL</v>
          </cell>
          <cell r="V1737" t="str">
            <v>NULL</v>
          </cell>
          <cell r="W1737" t="str">
            <v>NULL</v>
          </cell>
        </row>
        <row r="1738">
          <cell r="A1738">
            <v>8102</v>
          </cell>
          <cell r="B1738" t="str">
            <v>ja</v>
          </cell>
          <cell r="C1738" t="str">
            <v>張果老★６</v>
          </cell>
          <cell r="D1738" t="str">
            <v>各属性相性良3・黄・R455</v>
          </cell>
          <cell r="E1738" t="str">
            <v>執行者</v>
          </cell>
          <cell r="F1738" t="str">
            <v>格好いい</v>
          </cell>
          <cell r="G1738" t="str">
            <v>男性</v>
          </cell>
          <cell r="H1738" t="str">
            <v>yellow</v>
          </cell>
          <cell r="I1738">
            <v>6</v>
          </cell>
          <cell r="J1738" t="str">
            <v>DropWizS</v>
          </cell>
          <cell r="K1738" t="str">
            <v>attack</v>
          </cell>
          <cell r="L1738" t="str">
            <v>攻撃タイプ</v>
          </cell>
          <cell r="M1738" t="str">
            <v>god</v>
          </cell>
          <cell r="N1738" t="str">
            <v>ゴッド</v>
          </cell>
          <cell r="O1738" t="str">
            <v>machine</v>
          </cell>
          <cell r="P1738" t="str">
            <v>マシン</v>
          </cell>
          <cell r="Q1738" t="str">
            <v>アタッカー</v>
          </cell>
          <cell r="R1738">
            <v>1</v>
          </cell>
          <cell r="S1738" t="str">
            <v>NULL</v>
          </cell>
          <cell r="T1738" t="str">
            <v>normal</v>
          </cell>
          <cell r="U1738" t="str">
            <v>NULL</v>
          </cell>
          <cell r="V1738" t="str">
            <v>NULL</v>
          </cell>
          <cell r="W1738" t="str">
            <v>NULL</v>
          </cell>
        </row>
        <row r="1739">
          <cell r="A1739">
            <v>8103</v>
          </cell>
          <cell r="B1739" t="str">
            <v>ja</v>
          </cell>
          <cell r="C1739" t="str">
            <v>李鐵拐</v>
          </cell>
          <cell r="D1739" t="str">
            <v>ポムポムプリン</v>
          </cell>
          <cell r="E1739" t="str">
            <v>執行者</v>
          </cell>
          <cell r="F1739" t="str">
            <v>格好いい</v>
          </cell>
          <cell r="G1739" t="str">
            <v>女性</v>
          </cell>
          <cell r="H1739" t="str">
            <v>red</v>
          </cell>
          <cell r="I1739">
            <v>5</v>
          </cell>
          <cell r="J1739" t="str">
            <v>PremiumSSw</v>
          </cell>
          <cell r="K1739" t="str">
            <v>technical</v>
          </cell>
          <cell r="L1739" t="str">
            <v>テクニカルタイプ</v>
          </cell>
          <cell r="M1739" t="str">
            <v>god</v>
          </cell>
          <cell r="N1739" t="str">
            <v>ゴッド</v>
          </cell>
          <cell r="O1739" t="str">
            <v>none</v>
          </cell>
          <cell r="P1739" t="str">
            <v>種族なし</v>
          </cell>
          <cell r="Q1739" t="str">
            <v>アタッカー</v>
          </cell>
          <cell r="R1739">
            <v>1</v>
          </cell>
          <cell r="S1739" t="str">
            <v>NULL</v>
          </cell>
          <cell r="T1739" t="str">
            <v>normal</v>
          </cell>
          <cell r="U1739" t="str">
            <v>NULL</v>
          </cell>
          <cell r="V1739" t="str">
            <v>NULL</v>
          </cell>
          <cell r="W1739" t="str">
            <v>NULL</v>
          </cell>
        </row>
        <row r="1740">
          <cell r="A1740">
            <v>8104</v>
          </cell>
          <cell r="B1740" t="str">
            <v>ja</v>
          </cell>
          <cell r="C1740" t="str">
            <v>李鐵拐★６</v>
          </cell>
          <cell r="D1740" t="str">
            <v>各属性相性良3・黄・R455</v>
          </cell>
          <cell r="E1740" t="str">
            <v>執行者</v>
          </cell>
          <cell r="F1740" t="str">
            <v>格好いい</v>
          </cell>
          <cell r="G1740" t="str">
            <v>男性</v>
          </cell>
          <cell r="H1740" t="str">
            <v>red</v>
          </cell>
          <cell r="I1740">
            <v>6</v>
          </cell>
          <cell r="J1740" t="str">
            <v>PremiumSSw</v>
          </cell>
          <cell r="K1740" t="str">
            <v>technical</v>
          </cell>
          <cell r="L1740" t="str">
            <v>テクニカルタイプ</v>
          </cell>
          <cell r="M1740" t="str">
            <v>god</v>
          </cell>
          <cell r="N1740" t="str">
            <v>ゴッド</v>
          </cell>
          <cell r="O1740" t="str">
            <v>none</v>
          </cell>
          <cell r="P1740" t="str">
            <v>種族なし</v>
          </cell>
          <cell r="Q1740" t="str">
            <v>アタッカー</v>
          </cell>
          <cell r="R1740">
            <v>1</v>
          </cell>
          <cell r="S1740" t="str">
            <v>NULL</v>
          </cell>
          <cell r="T1740" t="str">
            <v>normal</v>
          </cell>
          <cell r="U1740" t="str">
            <v>NULL</v>
          </cell>
          <cell r="V1740" t="str">
            <v>NULL</v>
          </cell>
          <cell r="W1740" t="str">
            <v>NULL</v>
          </cell>
        </row>
        <row r="1741">
          <cell r="A1741">
            <v>8105</v>
          </cell>
          <cell r="B1741" t="str">
            <v>ja</v>
          </cell>
          <cell r="C1741" t="str">
            <v>曹國舅</v>
          </cell>
          <cell r="D1741" t="str">
            <v>ポムポムプリン</v>
          </cell>
          <cell r="E1741" t="str">
            <v>執行者</v>
          </cell>
          <cell r="F1741" t="str">
            <v>格好いい</v>
          </cell>
          <cell r="G1741" t="str">
            <v>女性</v>
          </cell>
          <cell r="H1741" t="str">
            <v>green</v>
          </cell>
          <cell r="I1741">
            <v>5</v>
          </cell>
          <cell r="J1741" t="str">
            <v>DropWizS</v>
          </cell>
          <cell r="K1741" t="str">
            <v>hp</v>
          </cell>
          <cell r="L1741" t="str">
            <v>体力タイプ</v>
          </cell>
          <cell r="M1741" t="str">
            <v>god</v>
          </cell>
          <cell r="N1741" t="str">
            <v>ゴッド</v>
          </cell>
          <cell r="O1741" t="str">
            <v>human</v>
          </cell>
          <cell r="P1741" t="str">
            <v>ヒューマン</v>
          </cell>
          <cell r="Q1741" t="str">
            <v>アタッカー</v>
          </cell>
          <cell r="R1741">
            <v>1</v>
          </cell>
          <cell r="S1741" t="str">
            <v>NULL</v>
          </cell>
          <cell r="T1741" t="str">
            <v>normal</v>
          </cell>
          <cell r="U1741" t="str">
            <v>NULL</v>
          </cell>
          <cell r="V1741" t="str">
            <v>NULL</v>
          </cell>
          <cell r="W1741" t="str">
            <v>NULL</v>
          </cell>
        </row>
        <row r="1742">
          <cell r="A1742">
            <v>8106</v>
          </cell>
          <cell r="B1742" t="str">
            <v>ja</v>
          </cell>
          <cell r="C1742" t="str">
            <v>曹國舅★６</v>
          </cell>
          <cell r="D1742" t="str">
            <v>各属性相性良3・黄・R455</v>
          </cell>
          <cell r="E1742" t="str">
            <v>執行者</v>
          </cell>
          <cell r="F1742" t="str">
            <v>格好いい</v>
          </cell>
          <cell r="G1742" t="str">
            <v>男性</v>
          </cell>
          <cell r="H1742" t="str">
            <v>green</v>
          </cell>
          <cell r="I1742">
            <v>6</v>
          </cell>
          <cell r="J1742" t="str">
            <v>DropWizS</v>
          </cell>
          <cell r="K1742" t="str">
            <v>hp</v>
          </cell>
          <cell r="L1742" t="str">
            <v>体力タイプ</v>
          </cell>
          <cell r="M1742" t="str">
            <v>god</v>
          </cell>
          <cell r="N1742" t="str">
            <v>ゴッド</v>
          </cell>
          <cell r="O1742" t="str">
            <v>human</v>
          </cell>
          <cell r="P1742" t="str">
            <v>ヒューマン</v>
          </cell>
          <cell r="Q1742" t="str">
            <v>アタッカー</v>
          </cell>
          <cell r="R1742">
            <v>1</v>
          </cell>
          <cell r="S1742" t="str">
            <v>NULL</v>
          </cell>
          <cell r="T1742" t="str">
            <v>normal</v>
          </cell>
          <cell r="U1742" t="str">
            <v>NULL</v>
          </cell>
          <cell r="V1742" t="str">
            <v>NULL</v>
          </cell>
          <cell r="W1742" t="str">
            <v>NULL</v>
          </cell>
        </row>
        <row r="1743">
          <cell r="A1743">
            <v>8111</v>
          </cell>
          <cell r="B1743" t="str">
            <v>ja</v>
          </cell>
          <cell r="C1743" t="str">
            <v>福德正神</v>
          </cell>
          <cell r="H1743" t="str">
            <v>blue</v>
          </cell>
          <cell r="I1743">
            <v>5</v>
          </cell>
          <cell r="J1743" t="str">
            <v>DropWizS</v>
          </cell>
          <cell r="K1743" t="str">
            <v>balance</v>
          </cell>
          <cell r="L1743" t="str">
            <v>バランスタイプ</v>
          </cell>
          <cell r="M1743" t="str">
            <v>god</v>
          </cell>
          <cell r="N1743" t="str">
            <v>ゴッド</v>
          </cell>
          <cell r="O1743" t="str">
            <v>none</v>
          </cell>
          <cell r="P1743" t="str">
            <v>種族なし</v>
          </cell>
          <cell r="Q1743" t="str">
            <v>アタッカー</v>
          </cell>
          <cell r="R1743">
            <v>1</v>
          </cell>
          <cell r="S1743" t="str">
            <v>NULL</v>
          </cell>
          <cell r="T1743" t="str">
            <v>normal</v>
          </cell>
          <cell r="U1743" t="str">
            <v>NULL</v>
          </cell>
          <cell r="V1743" t="str">
            <v>NULL</v>
          </cell>
          <cell r="W1743" t="str">
            <v>NULL</v>
          </cell>
        </row>
        <row r="1744">
          <cell r="A1744">
            <v>8112</v>
          </cell>
          <cell r="B1744" t="str">
            <v>ja</v>
          </cell>
          <cell r="C1744" t="str">
            <v>福德正神★６</v>
          </cell>
          <cell r="H1744" t="str">
            <v>blue</v>
          </cell>
          <cell r="I1744">
            <v>6</v>
          </cell>
          <cell r="J1744" t="str">
            <v>DropWizS</v>
          </cell>
          <cell r="K1744" t="str">
            <v>balance</v>
          </cell>
          <cell r="L1744" t="str">
            <v>バランスタイプ</v>
          </cell>
          <cell r="M1744" t="str">
            <v>god</v>
          </cell>
          <cell r="N1744" t="str">
            <v>ゴッド</v>
          </cell>
          <cell r="O1744" t="str">
            <v>none</v>
          </cell>
          <cell r="P1744" t="str">
            <v>種族なし</v>
          </cell>
          <cell r="Q1744" t="str">
            <v>アタッカー</v>
          </cell>
          <cell r="R1744">
            <v>1</v>
          </cell>
          <cell r="S1744" t="str">
            <v>NULL</v>
          </cell>
          <cell r="T1744" t="str">
            <v>normal</v>
          </cell>
          <cell r="U1744" t="str">
            <v>NULL</v>
          </cell>
          <cell r="V1744" t="str">
            <v>NULL</v>
          </cell>
          <cell r="W1744" t="str">
            <v>NULL</v>
          </cell>
        </row>
        <row r="1745">
          <cell r="A1745">
            <v>8113</v>
          </cell>
          <cell r="B1745" t="str">
            <v>ja</v>
          </cell>
          <cell r="C1745" t="str">
            <v>孔子</v>
          </cell>
          <cell r="H1745" t="str">
            <v>yellow</v>
          </cell>
          <cell r="I1745">
            <v>5</v>
          </cell>
          <cell r="J1745" t="str">
            <v>PremiumSSS</v>
          </cell>
          <cell r="K1745" t="str">
            <v>attack</v>
          </cell>
          <cell r="L1745" t="str">
            <v>攻撃タイプ</v>
          </cell>
          <cell r="M1745" t="str">
            <v>academia</v>
          </cell>
          <cell r="N1745" t="str">
            <v>アカデミア</v>
          </cell>
          <cell r="O1745" t="str">
            <v>hero</v>
          </cell>
          <cell r="P1745" t="str">
            <v>ヒーロー</v>
          </cell>
          <cell r="Q1745" t="str">
            <v>アタッカー</v>
          </cell>
          <cell r="R1745">
            <v>1</v>
          </cell>
          <cell r="S1745" t="str">
            <v>NULL</v>
          </cell>
          <cell r="T1745" t="str">
            <v>normal</v>
          </cell>
          <cell r="U1745" t="str">
            <v>NULL</v>
          </cell>
          <cell r="V1745" t="str">
            <v>NULL</v>
          </cell>
          <cell r="W1745" t="str">
            <v>NULL</v>
          </cell>
        </row>
        <row r="1746">
          <cell r="A1746">
            <v>8114</v>
          </cell>
          <cell r="B1746" t="str">
            <v>ja</v>
          </cell>
          <cell r="C1746" t="str">
            <v>孔子★６</v>
          </cell>
          <cell r="H1746" t="str">
            <v>yellow</v>
          </cell>
          <cell r="I1746">
            <v>6</v>
          </cell>
          <cell r="J1746" t="str">
            <v>PremiumSSS</v>
          </cell>
          <cell r="K1746" t="str">
            <v>attack</v>
          </cell>
          <cell r="L1746" t="str">
            <v>攻撃タイプ</v>
          </cell>
          <cell r="M1746" t="str">
            <v>academia</v>
          </cell>
          <cell r="N1746" t="str">
            <v>アカデミア</v>
          </cell>
          <cell r="O1746" t="str">
            <v>hero</v>
          </cell>
          <cell r="P1746" t="str">
            <v>ヒーロー</v>
          </cell>
          <cell r="Q1746" t="str">
            <v>アタッカー</v>
          </cell>
          <cell r="R1746">
            <v>1</v>
          </cell>
          <cell r="S1746" t="str">
            <v>NULL</v>
          </cell>
          <cell r="T1746" t="str">
            <v>normal</v>
          </cell>
          <cell r="U1746" t="str">
            <v>NULL</v>
          </cell>
          <cell r="V1746" t="str">
            <v>NULL</v>
          </cell>
          <cell r="W1746" t="str">
            <v>NULL</v>
          </cell>
        </row>
        <row r="1747">
          <cell r="A1747">
            <v>8115</v>
          </cell>
          <cell r="B1747" t="str">
            <v>ja</v>
          </cell>
          <cell r="C1747" t="str">
            <v>贏政</v>
          </cell>
          <cell r="H1747" t="str">
            <v>blue</v>
          </cell>
          <cell r="I1747">
            <v>5</v>
          </cell>
          <cell r="J1747" t="str">
            <v>DropWizSS</v>
          </cell>
          <cell r="K1747" t="str">
            <v>attack</v>
          </cell>
          <cell r="L1747" t="str">
            <v>攻撃タイプ</v>
          </cell>
          <cell r="M1747" t="str">
            <v>human</v>
          </cell>
          <cell r="N1747" t="str">
            <v>ヒューマン</v>
          </cell>
          <cell r="O1747" t="str">
            <v>dragon</v>
          </cell>
          <cell r="P1747" t="str">
            <v>ドラゴン</v>
          </cell>
          <cell r="Q1747" t="str">
            <v>アタッカー</v>
          </cell>
          <cell r="R1747">
            <v>1</v>
          </cell>
          <cell r="S1747" t="str">
            <v>NULL</v>
          </cell>
          <cell r="T1747" t="str">
            <v>normal</v>
          </cell>
          <cell r="U1747" t="str">
            <v>NULL</v>
          </cell>
          <cell r="V1747" t="str">
            <v>NULL</v>
          </cell>
          <cell r="W1747" t="str">
            <v>NULL</v>
          </cell>
        </row>
        <row r="1748">
          <cell r="A1748">
            <v>8116</v>
          </cell>
          <cell r="B1748" t="str">
            <v>ja</v>
          </cell>
          <cell r="C1748" t="str">
            <v>贏政★６</v>
          </cell>
          <cell r="H1748" t="str">
            <v>blue</v>
          </cell>
          <cell r="I1748">
            <v>6</v>
          </cell>
          <cell r="J1748" t="str">
            <v>DropWizSS</v>
          </cell>
          <cell r="K1748" t="str">
            <v>attack</v>
          </cell>
          <cell r="L1748" t="str">
            <v>攻撃タイプ</v>
          </cell>
          <cell r="M1748" t="str">
            <v>human</v>
          </cell>
          <cell r="N1748" t="str">
            <v>ヒューマン</v>
          </cell>
          <cell r="O1748" t="str">
            <v>dragon</v>
          </cell>
          <cell r="P1748" t="str">
            <v>ドラゴン</v>
          </cell>
          <cell r="Q1748" t="str">
            <v>アタッカー</v>
          </cell>
          <cell r="R1748">
            <v>1</v>
          </cell>
          <cell r="S1748" t="str">
            <v>NULL</v>
          </cell>
          <cell r="T1748" t="str">
            <v>normal</v>
          </cell>
          <cell r="U1748" t="str">
            <v>NULL</v>
          </cell>
          <cell r="V1748" t="str">
            <v>NULL</v>
          </cell>
          <cell r="W1748" t="str">
            <v>NULL</v>
          </cell>
        </row>
        <row r="1749">
          <cell r="A1749">
            <v>8117</v>
          </cell>
          <cell r="B1749" t="str">
            <v>ja</v>
          </cell>
          <cell r="C1749" t="str">
            <v>白娘子</v>
          </cell>
          <cell r="D1749" t="str">
            <v>ポムポムプリン</v>
          </cell>
          <cell r="E1749" t="str">
            <v>執行者</v>
          </cell>
          <cell r="F1749" t="str">
            <v>格好いい</v>
          </cell>
          <cell r="G1749" t="str">
            <v>女性</v>
          </cell>
          <cell r="H1749" t="str">
            <v>green</v>
          </cell>
          <cell r="I1749">
            <v>5</v>
          </cell>
          <cell r="J1749" t="str">
            <v>PremiumSSw</v>
          </cell>
          <cell r="K1749" t="str">
            <v>heal</v>
          </cell>
          <cell r="L1749" t="str">
            <v>回復タイプ</v>
          </cell>
          <cell r="M1749" t="str">
            <v>dragon</v>
          </cell>
          <cell r="N1749" t="str">
            <v>ドラゴン</v>
          </cell>
          <cell r="O1749" t="str">
            <v>fantasy</v>
          </cell>
          <cell r="P1749" t="str">
            <v>ファンタジー</v>
          </cell>
          <cell r="Q1749" t="str">
            <v>アタッカー</v>
          </cell>
          <cell r="R1749">
            <v>1</v>
          </cell>
          <cell r="S1749" t="str">
            <v>NULL</v>
          </cell>
          <cell r="T1749" t="str">
            <v>normal</v>
          </cell>
          <cell r="U1749" t="str">
            <v>NULL</v>
          </cell>
          <cell r="V1749" t="str">
            <v>NULL</v>
          </cell>
          <cell r="W1749" t="str">
            <v>NULL</v>
          </cell>
        </row>
        <row r="1750">
          <cell r="A1750">
            <v>8118</v>
          </cell>
          <cell r="B1750" t="str">
            <v>ja</v>
          </cell>
          <cell r="C1750" t="str">
            <v>白娘子★６</v>
          </cell>
          <cell r="D1750" t="str">
            <v>ポムポムプリン</v>
          </cell>
          <cell r="E1750" t="str">
            <v>執行者</v>
          </cell>
          <cell r="F1750" t="str">
            <v>格好いい</v>
          </cell>
          <cell r="G1750" t="str">
            <v>女性</v>
          </cell>
          <cell r="H1750" t="str">
            <v>green</v>
          </cell>
          <cell r="I1750">
            <v>6</v>
          </cell>
          <cell r="J1750" t="str">
            <v>PremiumSSw</v>
          </cell>
          <cell r="K1750" t="str">
            <v>heal</v>
          </cell>
          <cell r="L1750" t="str">
            <v>回復タイプ</v>
          </cell>
          <cell r="M1750" t="str">
            <v>dragon</v>
          </cell>
          <cell r="N1750" t="str">
            <v>ドラゴン</v>
          </cell>
          <cell r="O1750" t="str">
            <v>fantasy</v>
          </cell>
          <cell r="P1750" t="str">
            <v>ファンタジー</v>
          </cell>
          <cell r="Q1750" t="str">
            <v>アタッカー</v>
          </cell>
          <cell r="R1750">
            <v>1</v>
          </cell>
          <cell r="S1750" t="str">
            <v>NULL</v>
          </cell>
          <cell r="T1750" t="str">
            <v>normal</v>
          </cell>
          <cell r="U1750" t="str">
            <v>NULL</v>
          </cell>
          <cell r="V1750" t="str">
            <v>NULL</v>
          </cell>
          <cell r="W1750" t="str">
            <v>NULL</v>
          </cell>
        </row>
        <row r="1751">
          <cell r="A1751">
            <v>8119</v>
          </cell>
          <cell r="B1751" t="str">
            <v>ja</v>
          </cell>
          <cell r="C1751" t="str">
            <v>小青</v>
          </cell>
          <cell r="D1751" t="str">
            <v>ポムポムプリン</v>
          </cell>
          <cell r="E1751" t="str">
            <v>執行者</v>
          </cell>
          <cell r="F1751" t="str">
            <v>格好いい</v>
          </cell>
          <cell r="G1751" t="str">
            <v>女性</v>
          </cell>
          <cell r="H1751" t="str">
            <v>green</v>
          </cell>
          <cell r="I1751">
            <v>5</v>
          </cell>
          <cell r="J1751" t="str">
            <v>PremiumSS</v>
          </cell>
          <cell r="K1751" t="str">
            <v>attack</v>
          </cell>
          <cell r="L1751" t="str">
            <v>攻撃タイプ</v>
          </cell>
          <cell r="M1751" t="str">
            <v>dragon</v>
          </cell>
          <cell r="N1751" t="str">
            <v>ドラゴン</v>
          </cell>
          <cell r="O1751" t="str">
            <v>fantasy</v>
          </cell>
          <cell r="P1751" t="str">
            <v>ファンタジー</v>
          </cell>
          <cell r="Q1751" t="str">
            <v>アタッカー</v>
          </cell>
          <cell r="R1751">
            <v>1</v>
          </cell>
          <cell r="S1751" t="str">
            <v>NULL</v>
          </cell>
          <cell r="T1751" t="str">
            <v>normal</v>
          </cell>
          <cell r="U1751" t="str">
            <v>NULL</v>
          </cell>
          <cell r="V1751" t="str">
            <v>NULL</v>
          </cell>
          <cell r="W1751" t="str">
            <v>NULL</v>
          </cell>
        </row>
        <row r="1752">
          <cell r="A1752">
            <v>8120</v>
          </cell>
          <cell r="B1752" t="str">
            <v>ja</v>
          </cell>
          <cell r="C1752" t="str">
            <v>小青★６</v>
          </cell>
          <cell r="D1752" t="str">
            <v>ポムポムプリン</v>
          </cell>
          <cell r="E1752" t="str">
            <v>執行者</v>
          </cell>
          <cell r="F1752" t="str">
            <v>格好いい</v>
          </cell>
          <cell r="G1752" t="str">
            <v>女性</v>
          </cell>
          <cell r="H1752" t="str">
            <v>green</v>
          </cell>
          <cell r="I1752">
            <v>6</v>
          </cell>
          <cell r="J1752" t="str">
            <v>PremiumSS</v>
          </cell>
          <cell r="K1752" t="str">
            <v>attack</v>
          </cell>
          <cell r="L1752" t="str">
            <v>攻撃タイプ</v>
          </cell>
          <cell r="M1752" t="str">
            <v>dragon</v>
          </cell>
          <cell r="N1752" t="str">
            <v>ドラゴン</v>
          </cell>
          <cell r="O1752" t="str">
            <v>fantasy</v>
          </cell>
          <cell r="P1752" t="str">
            <v>ファンタジー</v>
          </cell>
          <cell r="Q1752" t="str">
            <v>アタッカー</v>
          </cell>
          <cell r="R1752">
            <v>1</v>
          </cell>
          <cell r="S1752" t="str">
            <v>NULL</v>
          </cell>
          <cell r="T1752" t="str">
            <v>normal</v>
          </cell>
          <cell r="U1752" t="str">
            <v>NULL</v>
          </cell>
          <cell r="V1752" t="str">
            <v>NULL</v>
          </cell>
          <cell r="W1752" t="str">
            <v>NULL</v>
          </cell>
        </row>
        <row r="1753">
          <cell r="A1753">
            <v>8121</v>
          </cell>
          <cell r="B1753" t="str">
            <v>ja</v>
          </cell>
          <cell r="C1753" t="str">
            <v>法海</v>
          </cell>
          <cell r="D1753" t="str">
            <v>ポムポムプリン</v>
          </cell>
          <cell r="E1753" t="str">
            <v>執行者</v>
          </cell>
          <cell r="F1753" t="str">
            <v>格好いい</v>
          </cell>
          <cell r="G1753" t="str">
            <v>女性</v>
          </cell>
          <cell r="H1753" t="str">
            <v>yellow</v>
          </cell>
          <cell r="I1753">
            <v>5</v>
          </cell>
          <cell r="J1753" t="str">
            <v>DropWizS</v>
          </cell>
          <cell r="K1753" t="str">
            <v>attack</v>
          </cell>
          <cell r="L1753" t="str">
            <v>攻撃タイプ</v>
          </cell>
          <cell r="M1753" t="str">
            <v>human</v>
          </cell>
          <cell r="N1753" t="str">
            <v>ヒューマン</v>
          </cell>
          <cell r="O1753" t="str">
            <v>machine</v>
          </cell>
          <cell r="P1753" t="str">
            <v>マシン</v>
          </cell>
          <cell r="Q1753" t="str">
            <v>アタッカー</v>
          </cell>
          <cell r="R1753">
            <v>1</v>
          </cell>
          <cell r="S1753" t="str">
            <v>NULL</v>
          </cell>
          <cell r="T1753" t="str">
            <v>normal</v>
          </cell>
          <cell r="U1753" t="str">
            <v>NULL</v>
          </cell>
          <cell r="V1753" t="str">
            <v>NULL</v>
          </cell>
          <cell r="W1753" t="str">
            <v>NULL</v>
          </cell>
        </row>
        <row r="1754">
          <cell r="A1754">
            <v>8122</v>
          </cell>
          <cell r="B1754" t="str">
            <v>ja</v>
          </cell>
          <cell r="C1754" t="str">
            <v>法海★６</v>
          </cell>
          <cell r="D1754" t="str">
            <v>各属性相性良3・黄・R455</v>
          </cell>
          <cell r="E1754" t="str">
            <v>執行者</v>
          </cell>
          <cell r="F1754" t="str">
            <v>格好いい</v>
          </cell>
          <cell r="G1754" t="str">
            <v>男性</v>
          </cell>
          <cell r="H1754" t="str">
            <v>yellow</v>
          </cell>
          <cell r="I1754">
            <v>6</v>
          </cell>
          <cell r="J1754" t="str">
            <v>DropWizS</v>
          </cell>
          <cell r="K1754" t="str">
            <v>attack</v>
          </cell>
          <cell r="L1754" t="str">
            <v>攻撃タイプ</v>
          </cell>
          <cell r="M1754" t="str">
            <v>human</v>
          </cell>
          <cell r="N1754" t="str">
            <v>ヒューマン</v>
          </cell>
          <cell r="O1754" t="str">
            <v>machine</v>
          </cell>
          <cell r="P1754" t="str">
            <v>マシン</v>
          </cell>
          <cell r="Q1754" t="str">
            <v>アタッカー</v>
          </cell>
          <cell r="R1754">
            <v>1</v>
          </cell>
          <cell r="S1754" t="str">
            <v>NULL</v>
          </cell>
          <cell r="T1754" t="str">
            <v>normal</v>
          </cell>
          <cell r="U1754" t="str">
            <v>NULL</v>
          </cell>
          <cell r="V1754" t="str">
            <v>NULL</v>
          </cell>
          <cell r="W1754" t="str">
            <v>NULL</v>
          </cell>
        </row>
        <row r="1755">
          <cell r="A1755">
            <v>8123</v>
          </cell>
          <cell r="B1755" t="str">
            <v>ja</v>
          </cell>
          <cell r="C1755" t="str">
            <v>哪吒</v>
          </cell>
          <cell r="D1755" t="str">
            <v>各属性相性良3・黄・R455</v>
          </cell>
          <cell r="E1755" t="str">
            <v>執行者</v>
          </cell>
          <cell r="F1755" t="str">
            <v>格好いい</v>
          </cell>
          <cell r="G1755" t="str">
            <v>男性</v>
          </cell>
          <cell r="H1755" t="str">
            <v>yellow</v>
          </cell>
          <cell r="I1755">
            <v>6</v>
          </cell>
          <cell r="J1755" t="str">
            <v>DropWizS</v>
          </cell>
          <cell r="K1755" t="str">
            <v>attack</v>
          </cell>
          <cell r="L1755" t="str">
            <v>攻撃タイプ</v>
          </cell>
          <cell r="M1755" t="str">
            <v>human</v>
          </cell>
          <cell r="N1755" t="str">
            <v>ヒューマン</v>
          </cell>
          <cell r="O1755" t="str">
            <v>none</v>
          </cell>
          <cell r="P1755" t="str">
            <v>種族なし</v>
          </cell>
          <cell r="Q1755" t="str">
            <v>アタッカー</v>
          </cell>
          <cell r="R1755">
            <v>1</v>
          </cell>
          <cell r="S1755" t="str">
            <v>NULL</v>
          </cell>
          <cell r="T1755" t="str">
            <v>normal</v>
          </cell>
          <cell r="U1755" t="str">
            <v>NULL</v>
          </cell>
          <cell r="V1755" t="str">
            <v>NULL</v>
          </cell>
          <cell r="W1755" t="str">
            <v>NULL</v>
          </cell>
        </row>
        <row r="1756">
          <cell r="A1756">
            <v>8124</v>
          </cell>
          <cell r="B1756" t="str">
            <v>ja</v>
          </cell>
          <cell r="C1756" t="str">
            <v>★6哪吒</v>
          </cell>
          <cell r="D1756" t="str">
            <v>各属性相性良3・黄・R455</v>
          </cell>
          <cell r="E1756" t="str">
            <v>執行者</v>
          </cell>
          <cell r="F1756" t="str">
            <v>格好いい</v>
          </cell>
          <cell r="G1756" t="str">
            <v>男性</v>
          </cell>
          <cell r="H1756" t="str">
            <v>yellow</v>
          </cell>
          <cell r="I1756">
            <v>6</v>
          </cell>
          <cell r="J1756" t="str">
            <v>DropWizS</v>
          </cell>
          <cell r="K1756" t="str">
            <v>attack</v>
          </cell>
          <cell r="L1756" t="str">
            <v>攻撃タイプ</v>
          </cell>
          <cell r="M1756" t="str">
            <v>human</v>
          </cell>
          <cell r="N1756" t="str">
            <v>ヒューマン</v>
          </cell>
          <cell r="O1756" t="str">
            <v>none</v>
          </cell>
          <cell r="P1756" t="str">
            <v>種族なし</v>
          </cell>
          <cell r="Q1756" t="str">
            <v>アタッカー</v>
          </cell>
          <cell r="R1756">
            <v>1</v>
          </cell>
          <cell r="S1756" t="str">
            <v>NULL</v>
          </cell>
          <cell r="T1756" t="str">
            <v>normal</v>
          </cell>
          <cell r="U1756" t="str">
            <v>NULL</v>
          </cell>
          <cell r="V1756" t="str">
            <v>NULL</v>
          </cell>
          <cell r="W1756" t="str">
            <v>NULL</v>
          </cell>
        </row>
        <row r="1757">
          <cell r="A1757">
            <v>8125</v>
          </cell>
          <cell r="B1757" t="str">
            <v>ja</v>
          </cell>
          <cell r="C1757" t="str">
            <v>東海龍王</v>
          </cell>
          <cell r="D1757" t="str">
            <v>各属性相性良3・黄・R455</v>
          </cell>
          <cell r="E1757" t="str">
            <v>執行者</v>
          </cell>
          <cell r="F1757" t="str">
            <v>格好いい</v>
          </cell>
          <cell r="G1757" t="str">
            <v>男性</v>
          </cell>
          <cell r="H1757" t="str">
            <v>yellow</v>
          </cell>
          <cell r="I1757">
            <v>6</v>
          </cell>
          <cell r="J1757" t="str">
            <v>DropWizS</v>
          </cell>
          <cell r="K1757" t="str">
            <v>attack</v>
          </cell>
          <cell r="L1757" t="str">
            <v>攻撃タイプ</v>
          </cell>
          <cell r="M1757" t="str">
            <v>human</v>
          </cell>
          <cell r="N1757" t="str">
            <v>ヒューマン</v>
          </cell>
          <cell r="O1757" t="str">
            <v>none</v>
          </cell>
          <cell r="P1757" t="str">
            <v>種族なし</v>
          </cell>
          <cell r="Q1757" t="str">
            <v>アタッカー</v>
          </cell>
          <cell r="R1757">
            <v>1</v>
          </cell>
          <cell r="S1757" t="str">
            <v>NULL</v>
          </cell>
          <cell r="T1757" t="str">
            <v>normal</v>
          </cell>
          <cell r="U1757" t="str">
            <v>NULL</v>
          </cell>
          <cell r="V1757" t="str">
            <v>NULL</v>
          </cell>
          <cell r="W1757" t="str">
            <v>NULL</v>
          </cell>
        </row>
        <row r="1758">
          <cell r="A1758">
            <v>8126</v>
          </cell>
          <cell r="B1758" t="str">
            <v>ja</v>
          </cell>
          <cell r="C1758" t="str">
            <v>★6東海龍王</v>
          </cell>
          <cell r="D1758" t="str">
            <v>各属性相性良3・黄・R455</v>
          </cell>
          <cell r="E1758" t="str">
            <v>執行者</v>
          </cell>
          <cell r="F1758" t="str">
            <v>格好いい</v>
          </cell>
          <cell r="G1758" t="str">
            <v>男性</v>
          </cell>
          <cell r="H1758" t="str">
            <v>yellow</v>
          </cell>
          <cell r="I1758">
            <v>6</v>
          </cell>
          <cell r="J1758" t="str">
            <v>DropWizS</v>
          </cell>
          <cell r="K1758" t="str">
            <v>attack</v>
          </cell>
          <cell r="L1758" t="str">
            <v>攻撃タイプ</v>
          </cell>
          <cell r="M1758" t="str">
            <v>human</v>
          </cell>
          <cell r="N1758" t="str">
            <v>ヒューマン</v>
          </cell>
          <cell r="O1758" t="str">
            <v>none</v>
          </cell>
          <cell r="P1758" t="str">
            <v>種族なし</v>
          </cell>
          <cell r="Q1758" t="str">
            <v>アタッカー</v>
          </cell>
          <cell r="R1758">
            <v>1</v>
          </cell>
          <cell r="S1758" t="str">
            <v>NULL</v>
          </cell>
          <cell r="T1758" t="str">
            <v>normal</v>
          </cell>
          <cell r="U1758" t="str">
            <v>NULL</v>
          </cell>
          <cell r="V1758" t="str">
            <v>NULL</v>
          </cell>
          <cell r="W1758" t="str">
            <v>NULL</v>
          </cell>
        </row>
        <row r="1759">
          <cell r="A1759">
            <v>8127</v>
          </cell>
          <cell r="B1759" t="str">
            <v>ja</v>
          </cell>
          <cell r="C1759" t="str">
            <v>鐵扇公主 ‧ 羅剎女</v>
          </cell>
          <cell r="D1759" t="str">
            <v>各属性相性良3・黄・R455</v>
          </cell>
          <cell r="E1759" t="str">
            <v>執行者</v>
          </cell>
          <cell r="F1759" t="str">
            <v>格好いい</v>
          </cell>
          <cell r="G1759" t="str">
            <v>男性</v>
          </cell>
          <cell r="H1759" t="str">
            <v>green</v>
          </cell>
          <cell r="I1759">
            <v>6</v>
          </cell>
          <cell r="J1759" t="str">
            <v>PremiumSSS</v>
          </cell>
          <cell r="K1759" t="str">
            <v>technical</v>
          </cell>
          <cell r="L1759" t="str">
            <v>テクニカルタイプ</v>
          </cell>
          <cell r="M1759" t="str">
            <v>demon</v>
          </cell>
          <cell r="N1759" t="str">
            <v>デーモン</v>
          </cell>
          <cell r="O1759" t="str">
            <v>none</v>
          </cell>
          <cell r="P1759" t="str">
            <v>種族なし</v>
          </cell>
          <cell r="Q1759" t="str">
            <v>アタッカー</v>
          </cell>
          <cell r="R1759">
            <v>1</v>
          </cell>
          <cell r="S1759" t="str">
            <v>NULL</v>
          </cell>
          <cell r="T1759" t="str">
            <v>normal</v>
          </cell>
          <cell r="U1759" t="str">
            <v>NULL</v>
          </cell>
          <cell r="V1759" t="str">
            <v>NULL</v>
          </cell>
          <cell r="W1759" t="str">
            <v>NULL</v>
          </cell>
        </row>
        <row r="1760">
          <cell r="A1760">
            <v>8128</v>
          </cell>
          <cell r="B1760" t="str">
            <v>ja</v>
          </cell>
          <cell r="C1760" t="str">
            <v>聖賢哲者 ‧ 唐三藏</v>
          </cell>
          <cell r="D1760" t="str">
            <v>各属性相性良3・黄・R455</v>
          </cell>
          <cell r="E1760" t="str">
            <v>執行者</v>
          </cell>
          <cell r="F1760" t="str">
            <v>格好いい</v>
          </cell>
          <cell r="G1760" t="str">
            <v>男性</v>
          </cell>
          <cell r="H1760" t="str">
            <v>green</v>
          </cell>
          <cell r="I1760">
            <v>6</v>
          </cell>
          <cell r="J1760" t="str">
            <v>PremiumSSS</v>
          </cell>
          <cell r="K1760" t="str">
            <v>balance</v>
          </cell>
          <cell r="L1760" t="str">
            <v>バランスタイプ</v>
          </cell>
          <cell r="M1760" t="str">
            <v>god</v>
          </cell>
          <cell r="N1760" t="str">
            <v>ゴッド</v>
          </cell>
          <cell r="O1760" t="str">
            <v>none</v>
          </cell>
          <cell r="P1760" t="str">
            <v>種族なし</v>
          </cell>
          <cell r="Q1760" t="str">
            <v>アタッカー</v>
          </cell>
          <cell r="R1760">
            <v>1</v>
          </cell>
          <cell r="S1760" t="str">
            <v>NULL</v>
          </cell>
          <cell r="T1760" t="str">
            <v>normal</v>
          </cell>
          <cell r="U1760" t="str">
            <v>NULL</v>
          </cell>
          <cell r="V1760" t="str">
            <v>NULL</v>
          </cell>
          <cell r="W1760" t="str">
            <v>NULL</v>
          </cell>
        </row>
        <row r="1761">
          <cell r="A1761">
            <v>8129</v>
          </cell>
          <cell r="B1761" t="str">
            <v>ja</v>
          </cell>
          <cell r="C1761" t="str">
            <v>放任孽魔 ‧ 撒旦</v>
          </cell>
          <cell r="D1761" t="str">
            <v>各属性相性良3・黄・R455</v>
          </cell>
          <cell r="E1761" t="str">
            <v>執行者</v>
          </cell>
          <cell r="F1761" t="str">
            <v>格好いい</v>
          </cell>
          <cell r="G1761" t="str">
            <v>男性</v>
          </cell>
          <cell r="H1761" t="str">
            <v>blue</v>
          </cell>
          <cell r="I1761">
            <v>6</v>
          </cell>
          <cell r="J1761" t="str">
            <v>PremiumSS</v>
          </cell>
          <cell r="K1761" t="str">
            <v>technical</v>
          </cell>
          <cell r="L1761" t="str">
            <v>テクニカルタイプ</v>
          </cell>
          <cell r="M1761" t="str">
            <v>demon</v>
          </cell>
          <cell r="N1761" t="str">
            <v>デーモン</v>
          </cell>
          <cell r="O1761" t="str">
            <v>none</v>
          </cell>
          <cell r="P1761" t="str">
            <v>種族なし</v>
          </cell>
          <cell r="Q1761" t="str">
            <v>アタッカー</v>
          </cell>
          <cell r="R1761">
            <v>1</v>
          </cell>
          <cell r="S1761" t="str">
            <v>NULL</v>
          </cell>
          <cell r="T1761" t="str">
            <v>normal</v>
          </cell>
          <cell r="U1761" t="str">
            <v>NULL</v>
          </cell>
          <cell r="V1761" t="str">
            <v>NULL</v>
          </cell>
          <cell r="W1761" t="str">
            <v>NULL</v>
          </cell>
        </row>
        <row r="1762">
          <cell r="A1762">
            <v>8130</v>
          </cell>
          <cell r="B1762" t="str">
            <v>ja</v>
          </cell>
          <cell r="C1762" t="str">
            <v>變臉火術 ‧ 切西亞</v>
          </cell>
          <cell r="D1762" t="str">
            <v>各属性相性良3・黄・R455</v>
          </cell>
          <cell r="E1762" t="str">
            <v>執行者</v>
          </cell>
          <cell r="F1762" t="str">
            <v>格好いい</v>
          </cell>
          <cell r="G1762" t="str">
            <v>男性</v>
          </cell>
          <cell r="H1762" t="str">
            <v>red</v>
          </cell>
          <cell r="I1762">
            <v>6</v>
          </cell>
          <cell r="J1762" t="str">
            <v>PremiumSS</v>
          </cell>
          <cell r="K1762" t="str">
            <v>balance</v>
          </cell>
          <cell r="L1762" t="str">
            <v>バランスタイプ</v>
          </cell>
          <cell r="M1762" t="str">
            <v>god</v>
          </cell>
          <cell r="N1762" t="str">
            <v>ゴッド</v>
          </cell>
          <cell r="O1762" t="str">
            <v>none</v>
          </cell>
          <cell r="P1762" t="str">
            <v>種族なし</v>
          </cell>
          <cell r="Q1762" t="str">
            <v>アタッカー</v>
          </cell>
          <cell r="R1762">
            <v>1</v>
          </cell>
          <cell r="S1762" t="str">
            <v>NULL</v>
          </cell>
          <cell r="T1762" t="str">
            <v>normal</v>
          </cell>
          <cell r="U1762" t="str">
            <v>NULL</v>
          </cell>
          <cell r="V1762" t="str">
            <v>NULL</v>
          </cell>
          <cell r="W1762" t="str">
            <v>NULL</v>
          </cell>
        </row>
        <row r="1763">
          <cell r="A1763">
            <v>8131</v>
          </cell>
          <cell r="B1763" t="str">
            <v>ja</v>
          </cell>
          <cell r="C1763" t="str">
            <v>預知者之歷劫 ‧ 卡珊德拉</v>
          </cell>
          <cell r="D1763" t="str">
            <v>各属性相性良3・黄・R455</v>
          </cell>
          <cell r="E1763" t="str">
            <v>執行者</v>
          </cell>
          <cell r="F1763" t="str">
            <v>格好いい</v>
          </cell>
          <cell r="G1763" t="str">
            <v>男性</v>
          </cell>
          <cell r="H1763" t="str">
            <v>blue</v>
          </cell>
          <cell r="I1763">
            <v>6</v>
          </cell>
          <cell r="J1763" t="str">
            <v>PremiumSS</v>
          </cell>
          <cell r="K1763" t="str">
            <v>heal</v>
          </cell>
          <cell r="L1763" t="str">
            <v>回復タイプ</v>
          </cell>
          <cell r="M1763" t="str">
            <v>human</v>
          </cell>
          <cell r="N1763" t="str">
            <v>ヒューマン</v>
          </cell>
          <cell r="O1763" t="str">
            <v>fantasy</v>
          </cell>
          <cell r="P1763" t="str">
            <v>ファンタジー</v>
          </cell>
          <cell r="Q1763" t="str">
            <v>アタッカー</v>
          </cell>
          <cell r="R1763">
            <v>1</v>
          </cell>
          <cell r="S1763" t="str">
            <v>NULL</v>
          </cell>
          <cell r="T1763" t="str">
            <v>normal</v>
          </cell>
          <cell r="U1763" t="str">
            <v>NULL</v>
          </cell>
          <cell r="V1763" t="str">
            <v>NULL</v>
          </cell>
          <cell r="W1763" t="str">
            <v>NULL</v>
          </cell>
        </row>
        <row r="1764">
          <cell r="A1764">
            <v>8132</v>
          </cell>
          <cell r="B1764" t="str">
            <v>ja</v>
          </cell>
          <cell r="C1764" t="str">
            <v>罪與責之承諾 ‧ 美狄亞</v>
          </cell>
          <cell r="D1764" t="str">
            <v>各属性相性良3・黄・R455</v>
          </cell>
          <cell r="E1764" t="str">
            <v>執行者</v>
          </cell>
          <cell r="F1764" t="str">
            <v>格好いい</v>
          </cell>
          <cell r="G1764" t="str">
            <v>男性</v>
          </cell>
          <cell r="H1764" t="str">
            <v>red</v>
          </cell>
          <cell r="I1764">
            <v>6</v>
          </cell>
          <cell r="J1764" t="str">
            <v>PremiumSS</v>
          </cell>
          <cell r="K1764" t="str">
            <v>attack</v>
          </cell>
          <cell r="L1764" t="str">
            <v>攻撃タイプ</v>
          </cell>
          <cell r="M1764" t="str">
            <v>human</v>
          </cell>
          <cell r="N1764" t="str">
            <v>ヒューマン</v>
          </cell>
          <cell r="O1764" t="str">
            <v>none</v>
          </cell>
          <cell r="P1764" t="str">
            <v>種族なし</v>
          </cell>
          <cell r="Q1764" t="str">
            <v>アタッカー</v>
          </cell>
          <cell r="R1764">
            <v>1</v>
          </cell>
          <cell r="S1764" t="str">
            <v>NULL</v>
          </cell>
          <cell r="T1764" t="str">
            <v>normal</v>
          </cell>
          <cell r="U1764" t="str">
            <v>NULL</v>
          </cell>
          <cell r="V1764" t="str">
            <v>NULL</v>
          </cell>
          <cell r="W1764" t="str">
            <v>NULL</v>
          </cell>
        </row>
        <row r="1765">
          <cell r="A1765">
            <v>8133</v>
          </cell>
          <cell r="B1765" t="str">
            <v>ja</v>
          </cell>
          <cell r="C1765" t="str">
            <v>大魔導士 ‧ 莫莉</v>
          </cell>
          <cell r="D1765" t="str">
            <v>各属性相性良3・黄・R455</v>
          </cell>
          <cell r="E1765" t="str">
            <v>執行者</v>
          </cell>
          <cell r="F1765" t="str">
            <v>格好いい</v>
          </cell>
          <cell r="G1765" t="str">
            <v>男性</v>
          </cell>
          <cell r="H1765" t="str">
            <v>blue</v>
          </cell>
          <cell r="I1765">
            <v>5</v>
          </cell>
          <cell r="J1765" t="str">
            <v>PremiumS</v>
          </cell>
          <cell r="K1765" t="str">
            <v>heal</v>
          </cell>
          <cell r="L1765" t="str">
            <v>回復タイプ</v>
          </cell>
          <cell r="M1765" t="str">
            <v>human</v>
          </cell>
          <cell r="N1765" t="str">
            <v>ヒューマン</v>
          </cell>
          <cell r="O1765" t="str">
            <v>hero</v>
          </cell>
          <cell r="P1765" t="str">
            <v>ヒーロー</v>
          </cell>
          <cell r="Q1765" t="str">
            <v>アタッカー</v>
          </cell>
          <cell r="R1765">
            <v>1</v>
          </cell>
          <cell r="S1765" t="str">
            <v>NULL</v>
          </cell>
          <cell r="T1765" t="str">
            <v>normal</v>
          </cell>
          <cell r="U1765" t="str">
            <v>NULL</v>
          </cell>
          <cell r="V1765" t="str">
            <v>NULL</v>
          </cell>
          <cell r="W1765" t="str">
            <v>NULL</v>
          </cell>
        </row>
        <row r="1766">
          <cell r="A1766">
            <v>8134</v>
          </cell>
          <cell r="B1766" t="str">
            <v>ja</v>
          </cell>
          <cell r="C1766" t="str">
            <v>龍焰騎士 ‧ 肖恩</v>
          </cell>
          <cell r="D1766" t="str">
            <v>各属性相性良3・黄・R455</v>
          </cell>
          <cell r="E1766" t="str">
            <v>執行者</v>
          </cell>
          <cell r="F1766" t="str">
            <v>格好いい</v>
          </cell>
          <cell r="G1766" t="str">
            <v>男性</v>
          </cell>
          <cell r="H1766" t="str">
            <v>red</v>
          </cell>
          <cell r="I1766">
            <v>5</v>
          </cell>
          <cell r="J1766" t="str">
            <v>PremiumS</v>
          </cell>
          <cell r="K1766" t="str">
            <v>balance</v>
          </cell>
          <cell r="L1766" t="str">
            <v>バランスタイプ</v>
          </cell>
          <cell r="M1766" t="str">
            <v>human</v>
          </cell>
          <cell r="N1766" t="str">
            <v>ヒューマン</v>
          </cell>
          <cell r="O1766" t="str">
            <v>hero</v>
          </cell>
          <cell r="P1766" t="str">
            <v>ヒーロー</v>
          </cell>
          <cell r="Q1766" t="str">
            <v>アタッカー</v>
          </cell>
          <cell r="R1766">
            <v>1</v>
          </cell>
          <cell r="S1766" t="str">
            <v>NULL</v>
          </cell>
          <cell r="T1766" t="str">
            <v>normal</v>
          </cell>
          <cell r="U1766" t="str">
            <v>NULL</v>
          </cell>
          <cell r="V1766" t="str">
            <v>NULL</v>
          </cell>
          <cell r="W1766" t="str">
            <v>NULL</v>
          </cell>
        </row>
        <row r="1767">
          <cell r="A1767">
            <v>8135</v>
          </cell>
          <cell r="B1767" t="str">
            <v>ja</v>
          </cell>
          <cell r="C1767" t="str">
            <v>混沌之翼 ‧ 路西法</v>
          </cell>
          <cell r="D1767" t="str">
            <v>各属性相性良3・黄・R455</v>
          </cell>
          <cell r="E1767" t="str">
            <v>執行者</v>
          </cell>
          <cell r="F1767" t="str">
            <v>格好いい</v>
          </cell>
          <cell r="G1767" t="str">
            <v>男性</v>
          </cell>
          <cell r="H1767" t="str">
            <v>yellow</v>
          </cell>
          <cell r="I1767">
            <v>5</v>
          </cell>
          <cell r="J1767" t="str">
            <v>DropWizSS</v>
          </cell>
          <cell r="K1767" t="str">
            <v>attack</v>
          </cell>
          <cell r="L1767" t="str">
            <v>攻撃タイプ</v>
          </cell>
          <cell r="M1767" t="str">
            <v>god</v>
          </cell>
          <cell r="N1767" t="str">
            <v>ゴッド</v>
          </cell>
          <cell r="O1767" t="str">
            <v>demon</v>
          </cell>
          <cell r="P1767" t="str">
            <v>デーモン</v>
          </cell>
          <cell r="Q1767" t="str">
            <v>アタッカー</v>
          </cell>
          <cell r="R1767">
            <v>1</v>
          </cell>
          <cell r="S1767" t="str">
            <v>NULL</v>
          </cell>
          <cell r="T1767" t="str">
            <v>normal</v>
          </cell>
          <cell r="U1767" t="str">
            <v>NULL</v>
          </cell>
          <cell r="V1767" t="str">
            <v>NULL</v>
          </cell>
          <cell r="W1767" t="str">
            <v>NULL</v>
          </cell>
        </row>
        <row r="1768">
          <cell r="A1768">
            <v>8136</v>
          </cell>
          <cell r="B1768" t="str">
            <v>ja</v>
          </cell>
          <cell r="C1768" t="str">
            <v>混沌之翼 ‧ 路西法★6</v>
          </cell>
          <cell r="D1768" t="str">
            <v>各属性相性良3・黄・R455</v>
          </cell>
          <cell r="E1768" t="str">
            <v>執行者</v>
          </cell>
          <cell r="F1768" t="str">
            <v>格好いい</v>
          </cell>
          <cell r="G1768" t="str">
            <v>男性</v>
          </cell>
          <cell r="H1768" t="str">
            <v>yellow</v>
          </cell>
          <cell r="I1768">
            <v>6</v>
          </cell>
          <cell r="J1768" t="str">
            <v>DropWizSS</v>
          </cell>
          <cell r="K1768" t="str">
            <v>attack</v>
          </cell>
          <cell r="L1768" t="str">
            <v>攻撃タイプ</v>
          </cell>
          <cell r="M1768" t="str">
            <v>god</v>
          </cell>
          <cell r="N1768" t="str">
            <v>ゴッド</v>
          </cell>
          <cell r="O1768" t="str">
            <v>demon</v>
          </cell>
          <cell r="P1768" t="str">
            <v>デーモン</v>
          </cell>
          <cell r="Q1768" t="str">
            <v>アタッカー</v>
          </cell>
          <cell r="R1768">
            <v>1</v>
          </cell>
          <cell r="S1768" t="str">
            <v>NULL</v>
          </cell>
          <cell r="T1768" t="str">
            <v>normal</v>
          </cell>
          <cell r="U1768" t="str">
            <v>NULL</v>
          </cell>
          <cell r="V1768" t="str">
            <v>NULL</v>
          </cell>
          <cell r="W1768" t="str">
            <v>NULL</v>
          </cell>
        </row>
        <row r="1769">
          <cell r="A1769">
            <v>8137</v>
          </cell>
          <cell r="B1769" t="str">
            <v>ja</v>
          </cell>
          <cell r="C1769" t="str">
            <v>黑巫術之疚惡 ‧ 喀耳刻</v>
          </cell>
          <cell r="D1769" t="str">
            <v>各属性相性良3・黄・R455</v>
          </cell>
          <cell r="E1769" t="str">
            <v>執行者</v>
          </cell>
          <cell r="F1769" t="str">
            <v>格好いい</v>
          </cell>
          <cell r="G1769" t="str">
            <v>男性</v>
          </cell>
          <cell r="H1769" t="str">
            <v>green</v>
          </cell>
          <cell r="I1769">
            <v>6</v>
          </cell>
          <cell r="J1769" t="str">
            <v>DropWizS</v>
          </cell>
          <cell r="K1769" t="str">
            <v>balance</v>
          </cell>
          <cell r="L1769" t="str">
            <v>バランスタイプ</v>
          </cell>
          <cell r="M1769" t="str">
            <v>human</v>
          </cell>
          <cell r="N1769" t="str">
            <v>ヒューマン</v>
          </cell>
          <cell r="O1769" t="str">
            <v>none</v>
          </cell>
          <cell r="P1769" t="str">
            <v>種族なし</v>
          </cell>
          <cell r="Q1769" t="str">
            <v>アタッカー</v>
          </cell>
          <cell r="R1769">
            <v>1</v>
          </cell>
          <cell r="S1769" t="str">
            <v>NULL</v>
          </cell>
          <cell r="T1769" t="str">
            <v>normal</v>
          </cell>
          <cell r="U1769" t="str">
            <v>NULL</v>
          </cell>
          <cell r="V1769" t="str">
            <v>NULL</v>
          </cell>
          <cell r="W1769" t="str">
            <v>NULL</v>
          </cell>
        </row>
        <row r="1770">
          <cell r="A1770">
            <v>8138</v>
          </cell>
          <cell r="B1770" t="str">
            <v>ja</v>
          </cell>
          <cell r="C1770" t="str">
            <v>死靈魔導 ‧ 安多</v>
          </cell>
          <cell r="D1770" t="str">
            <v>各属性相性良3・黄・R455</v>
          </cell>
          <cell r="E1770" t="str">
            <v>執行者</v>
          </cell>
          <cell r="F1770" t="str">
            <v>格好いい</v>
          </cell>
          <cell r="G1770" t="str">
            <v>男性</v>
          </cell>
          <cell r="H1770" t="str">
            <v>red</v>
          </cell>
          <cell r="I1770">
            <v>5</v>
          </cell>
          <cell r="J1770" t="str">
            <v>Drop2N</v>
          </cell>
          <cell r="K1770" t="str">
            <v>attack</v>
          </cell>
          <cell r="L1770" t="str">
            <v>攻撃タイプ</v>
          </cell>
          <cell r="M1770" t="str">
            <v>human</v>
          </cell>
          <cell r="N1770" t="str">
            <v>ヒューマン</v>
          </cell>
          <cell r="O1770" t="str">
            <v>hero</v>
          </cell>
          <cell r="P1770" t="str">
            <v>ヒーロー</v>
          </cell>
          <cell r="Q1770" t="str">
            <v>アタッカー</v>
          </cell>
          <cell r="R1770">
            <v>1</v>
          </cell>
          <cell r="S1770" t="str">
            <v>NULL</v>
          </cell>
          <cell r="T1770" t="str">
            <v>normal</v>
          </cell>
          <cell r="U1770" t="str">
            <v>NULL</v>
          </cell>
          <cell r="V1770" t="str">
            <v>NULL</v>
          </cell>
          <cell r="W1770" t="str">
            <v>NULL</v>
          </cell>
        </row>
        <row r="1771">
          <cell r="A1771">
            <v>9001</v>
          </cell>
          <cell r="B1771" t="str">
            <v>ja</v>
          </cell>
          <cell r="C1771" t="str">
            <v>春香</v>
          </cell>
          <cell r="D1771" t="str">
            <v>ポムポムプリン</v>
          </cell>
          <cell r="E1771" t="str">
            <v>執行者</v>
          </cell>
          <cell r="F1771" t="str">
            <v>格好いい</v>
          </cell>
          <cell r="G1771" t="str">
            <v>女性</v>
          </cell>
          <cell r="H1771" t="str">
            <v>red</v>
          </cell>
          <cell r="I1771">
            <v>5</v>
          </cell>
          <cell r="J1771" t="str">
            <v>PremiumSSw</v>
          </cell>
          <cell r="K1771" t="str">
            <v>attack</v>
          </cell>
          <cell r="L1771" t="str">
            <v>攻撃タイプ</v>
          </cell>
          <cell r="M1771" t="str">
            <v>human</v>
          </cell>
          <cell r="N1771" t="str">
            <v>ヒューマン</v>
          </cell>
          <cell r="O1771" t="str">
            <v>none</v>
          </cell>
          <cell r="P1771" t="str">
            <v>種族なし</v>
          </cell>
          <cell r="Q1771" t="str">
            <v>アタッカー</v>
          </cell>
          <cell r="R1771">
            <v>1</v>
          </cell>
          <cell r="S1771" t="str">
            <v>NULL</v>
          </cell>
          <cell r="T1771" t="str">
            <v>normal</v>
          </cell>
          <cell r="U1771" t="str">
            <v>NULL</v>
          </cell>
          <cell r="V1771" t="str">
            <v>NULL</v>
          </cell>
          <cell r="W1771" t="str">
            <v>NULL</v>
          </cell>
        </row>
        <row r="1772">
          <cell r="A1772">
            <v>9002</v>
          </cell>
          <cell r="B1772" t="str">
            <v>ja</v>
          </cell>
          <cell r="C1772" t="str">
            <v>春香★６</v>
          </cell>
          <cell r="D1772" t="str">
            <v>ポムポムプリン</v>
          </cell>
          <cell r="E1772" t="str">
            <v>執行者</v>
          </cell>
          <cell r="F1772" t="str">
            <v>格好いい</v>
          </cell>
          <cell r="G1772" t="str">
            <v>女性</v>
          </cell>
          <cell r="H1772" t="str">
            <v>red</v>
          </cell>
          <cell r="I1772">
            <v>6</v>
          </cell>
          <cell r="J1772" t="str">
            <v>PremiumSSw</v>
          </cell>
          <cell r="K1772" t="str">
            <v>attack</v>
          </cell>
          <cell r="L1772" t="str">
            <v>攻撃タイプ</v>
          </cell>
          <cell r="M1772" t="str">
            <v>human</v>
          </cell>
          <cell r="N1772" t="str">
            <v>ヒューマン</v>
          </cell>
          <cell r="O1772" t="str">
            <v>none</v>
          </cell>
          <cell r="P1772" t="str">
            <v>種族なし</v>
          </cell>
          <cell r="Q1772" t="str">
            <v>アタッカー</v>
          </cell>
          <cell r="R1772">
            <v>1</v>
          </cell>
          <cell r="S1772" t="str">
            <v>NULL</v>
          </cell>
          <cell r="T1772" t="str">
            <v>normal</v>
          </cell>
          <cell r="U1772" t="str">
            <v>NULL</v>
          </cell>
          <cell r="V1772" t="str">
            <v>NULL</v>
          </cell>
          <cell r="W1772" t="str">
            <v>NULL</v>
          </cell>
        </row>
        <row r="1773">
          <cell r="A1773">
            <v>9003</v>
          </cell>
          <cell r="B1773" t="str">
            <v>ja</v>
          </cell>
          <cell r="C1773" t="str">
            <v>夢龍</v>
          </cell>
          <cell r="D1773" t="str">
            <v>ポムポムプリン</v>
          </cell>
          <cell r="E1773" t="str">
            <v>執行者</v>
          </cell>
          <cell r="F1773" t="str">
            <v>格好いい</v>
          </cell>
          <cell r="G1773" t="str">
            <v>女性</v>
          </cell>
          <cell r="H1773" t="str">
            <v>green</v>
          </cell>
          <cell r="I1773">
            <v>5</v>
          </cell>
          <cell r="J1773" t="str">
            <v>DropWizS</v>
          </cell>
          <cell r="K1773" t="str">
            <v>heal</v>
          </cell>
          <cell r="L1773" t="str">
            <v>回復タイプ</v>
          </cell>
          <cell r="M1773" t="str">
            <v>dragon</v>
          </cell>
          <cell r="N1773" t="str">
            <v>ドラゴン</v>
          </cell>
          <cell r="O1773" t="str">
            <v>human</v>
          </cell>
          <cell r="P1773" t="str">
            <v>ヒューマン</v>
          </cell>
          <cell r="Q1773" t="str">
            <v>アタッカー</v>
          </cell>
          <cell r="R1773">
            <v>1</v>
          </cell>
          <cell r="S1773" t="str">
            <v>NULL</v>
          </cell>
          <cell r="T1773" t="str">
            <v>normal</v>
          </cell>
          <cell r="U1773" t="str">
            <v>NULL</v>
          </cell>
          <cell r="V1773" t="str">
            <v>NULL</v>
          </cell>
          <cell r="W1773" t="str">
            <v>NULL</v>
          </cell>
        </row>
        <row r="1774">
          <cell r="A1774">
            <v>9004</v>
          </cell>
          <cell r="B1774" t="str">
            <v>ja</v>
          </cell>
          <cell r="C1774" t="str">
            <v>夢龍★６</v>
          </cell>
          <cell r="D1774" t="str">
            <v>各属性相性良3・黄・R455</v>
          </cell>
          <cell r="E1774" t="str">
            <v>執行者</v>
          </cell>
          <cell r="F1774" t="str">
            <v>格好いい</v>
          </cell>
          <cell r="G1774" t="str">
            <v>男性</v>
          </cell>
          <cell r="H1774" t="str">
            <v>green</v>
          </cell>
          <cell r="I1774">
            <v>6</v>
          </cell>
          <cell r="J1774" t="str">
            <v>DropWizS</v>
          </cell>
          <cell r="K1774" t="str">
            <v>heal</v>
          </cell>
          <cell r="L1774" t="str">
            <v>回復タイプ</v>
          </cell>
          <cell r="M1774" t="str">
            <v>dragon</v>
          </cell>
          <cell r="N1774" t="str">
            <v>ドラゴン</v>
          </cell>
          <cell r="O1774" t="str">
            <v>human</v>
          </cell>
          <cell r="P1774" t="str">
            <v>ヒューマン</v>
          </cell>
          <cell r="Q1774" t="str">
            <v>アタッカー</v>
          </cell>
          <cell r="R1774">
            <v>1</v>
          </cell>
          <cell r="S1774" t="str">
            <v>NULL</v>
          </cell>
          <cell r="T1774" t="str">
            <v>normal</v>
          </cell>
          <cell r="U1774" t="str">
            <v>NULL</v>
          </cell>
          <cell r="V1774" t="str">
            <v>NULL</v>
          </cell>
          <cell r="W1774" t="str">
            <v>NULL</v>
          </cell>
        </row>
        <row r="1775">
          <cell r="A1775">
            <v>9005</v>
          </cell>
          <cell r="B1775" t="str">
            <v>ja</v>
          </cell>
          <cell r="C1775" t="str">
            <v>降臨</v>
          </cell>
          <cell r="D1775" t="str">
            <v>ポムポムプリン</v>
          </cell>
          <cell r="E1775" t="str">
            <v>執行者</v>
          </cell>
          <cell r="F1775" t="str">
            <v>格好いい</v>
          </cell>
          <cell r="G1775" t="str">
            <v>女性</v>
          </cell>
          <cell r="H1775" t="str">
            <v>blue</v>
          </cell>
          <cell r="I1775">
            <v>5</v>
          </cell>
          <cell r="J1775" t="str">
            <v>PremiumSSw</v>
          </cell>
          <cell r="K1775" t="str">
            <v>hp</v>
          </cell>
          <cell r="L1775" t="str">
            <v>体力タイプ</v>
          </cell>
          <cell r="M1775" t="str">
            <v>demon</v>
          </cell>
          <cell r="N1775" t="str">
            <v>デーモン</v>
          </cell>
          <cell r="O1775" t="str">
            <v>none</v>
          </cell>
          <cell r="P1775" t="str">
            <v>種族なし</v>
          </cell>
          <cell r="Q1775" t="str">
            <v>アタッカー</v>
          </cell>
          <cell r="R1775">
            <v>1</v>
          </cell>
          <cell r="S1775" t="str">
            <v>NULL</v>
          </cell>
          <cell r="T1775" t="str">
            <v>normal</v>
          </cell>
          <cell r="U1775" t="str">
            <v>NULL</v>
          </cell>
          <cell r="V1775" t="str">
            <v>NULL</v>
          </cell>
          <cell r="W1775" t="str">
            <v>NULL</v>
          </cell>
        </row>
        <row r="1776">
          <cell r="A1776">
            <v>9006</v>
          </cell>
          <cell r="B1776" t="str">
            <v>ja</v>
          </cell>
          <cell r="C1776" t="str">
            <v>降臨★６</v>
          </cell>
          <cell r="D1776" t="str">
            <v>ポムポムプリン</v>
          </cell>
          <cell r="E1776" t="str">
            <v>執行者</v>
          </cell>
          <cell r="F1776" t="str">
            <v>格好いい</v>
          </cell>
          <cell r="G1776" t="str">
            <v>女性</v>
          </cell>
          <cell r="H1776" t="str">
            <v>blue</v>
          </cell>
          <cell r="I1776">
            <v>6</v>
          </cell>
          <cell r="J1776" t="str">
            <v>PremiumSSw</v>
          </cell>
          <cell r="K1776" t="str">
            <v>hp</v>
          </cell>
          <cell r="L1776" t="str">
            <v>体力タイプ</v>
          </cell>
          <cell r="M1776" t="str">
            <v>demon</v>
          </cell>
          <cell r="N1776" t="str">
            <v>デーモン</v>
          </cell>
          <cell r="O1776" t="str">
            <v>none</v>
          </cell>
          <cell r="P1776" t="str">
            <v>種族なし</v>
          </cell>
          <cell r="Q1776" t="str">
            <v>アタッカー</v>
          </cell>
          <cell r="R1776">
            <v>1</v>
          </cell>
          <cell r="S1776" t="str">
            <v>NULL</v>
          </cell>
          <cell r="T1776" t="str">
            <v>normal</v>
          </cell>
          <cell r="U1776" t="str">
            <v>NULL</v>
          </cell>
          <cell r="V1776" t="str">
            <v>NULL</v>
          </cell>
          <cell r="W1776" t="str">
            <v>NULL</v>
          </cell>
        </row>
        <row r="1777">
          <cell r="A1777">
            <v>9007</v>
          </cell>
          <cell r="B1777" t="str">
            <v>ja</v>
          </cell>
          <cell r="C1777" t="str">
            <v>田禹治</v>
          </cell>
          <cell r="D1777" t="str">
            <v>ポムポムプリン</v>
          </cell>
          <cell r="E1777" t="str">
            <v>執行者</v>
          </cell>
          <cell r="F1777" t="str">
            <v>格好いい</v>
          </cell>
          <cell r="G1777" t="str">
            <v>女性</v>
          </cell>
          <cell r="H1777" t="str">
            <v>red</v>
          </cell>
          <cell r="I1777">
            <v>5</v>
          </cell>
          <cell r="J1777" t="str">
            <v>DropWizS</v>
          </cell>
          <cell r="K1777" t="str">
            <v>technical</v>
          </cell>
          <cell r="L1777" t="str">
            <v>テクニカルタイプ</v>
          </cell>
          <cell r="M1777" t="str">
            <v>hero</v>
          </cell>
          <cell r="N1777" t="str">
            <v>ヒーロー</v>
          </cell>
          <cell r="O1777" t="str">
            <v>none</v>
          </cell>
          <cell r="P1777" t="str">
            <v>種族なし</v>
          </cell>
          <cell r="Q1777" t="str">
            <v>アタッカー</v>
          </cell>
          <cell r="R1777">
            <v>1</v>
          </cell>
          <cell r="S1777" t="str">
            <v>NULL</v>
          </cell>
          <cell r="T1777" t="str">
            <v>normal</v>
          </cell>
          <cell r="U1777" t="str">
            <v>NULL</v>
          </cell>
          <cell r="V1777" t="str">
            <v>NULL</v>
          </cell>
          <cell r="W1777" t="str">
            <v>NULL</v>
          </cell>
        </row>
        <row r="1778">
          <cell r="A1778">
            <v>9008</v>
          </cell>
          <cell r="B1778" t="str">
            <v>ja</v>
          </cell>
          <cell r="C1778" t="str">
            <v>田禹治★６</v>
          </cell>
          <cell r="D1778" t="str">
            <v>各属性相性良3・黄・R455</v>
          </cell>
          <cell r="E1778" t="str">
            <v>執行者</v>
          </cell>
          <cell r="F1778" t="str">
            <v>格好いい</v>
          </cell>
          <cell r="G1778" t="str">
            <v>男性</v>
          </cell>
          <cell r="H1778" t="str">
            <v>red</v>
          </cell>
          <cell r="I1778">
            <v>6</v>
          </cell>
          <cell r="J1778" t="str">
            <v>DropWizS</v>
          </cell>
          <cell r="K1778" t="str">
            <v>technical</v>
          </cell>
          <cell r="L1778" t="str">
            <v>テクニカルタイプ</v>
          </cell>
          <cell r="M1778" t="str">
            <v>hero</v>
          </cell>
          <cell r="N1778" t="str">
            <v>ヒーロー</v>
          </cell>
          <cell r="O1778" t="str">
            <v>none</v>
          </cell>
          <cell r="P1778" t="str">
            <v>種族なし</v>
          </cell>
          <cell r="Q1778" t="str">
            <v>アタッカー</v>
          </cell>
          <cell r="R1778">
            <v>1</v>
          </cell>
          <cell r="S1778" t="str">
            <v>NULL</v>
          </cell>
          <cell r="T1778" t="str">
            <v>normal</v>
          </cell>
          <cell r="U1778" t="str">
            <v>NULL</v>
          </cell>
          <cell r="V1778" t="str">
            <v>NULL</v>
          </cell>
          <cell r="W1778" t="str">
            <v>NULL</v>
          </cell>
        </row>
        <row r="1779">
          <cell r="A1779">
            <v>9009</v>
          </cell>
          <cell r="B1779" t="str">
            <v>ja</v>
          </cell>
          <cell r="C1779" t="str">
            <v>薔花</v>
          </cell>
          <cell r="D1779" t="str">
            <v>ポムポムプリン</v>
          </cell>
          <cell r="E1779" t="str">
            <v>執行者</v>
          </cell>
          <cell r="F1779" t="str">
            <v>格好いい</v>
          </cell>
          <cell r="G1779" t="str">
            <v>女性</v>
          </cell>
          <cell r="H1779" t="str">
            <v>green</v>
          </cell>
          <cell r="I1779">
            <v>5</v>
          </cell>
          <cell r="J1779" t="str">
            <v>PremiumSSw</v>
          </cell>
          <cell r="K1779" t="str">
            <v>heal</v>
          </cell>
          <cell r="L1779" t="str">
            <v>回復タイプ</v>
          </cell>
          <cell r="M1779" t="str">
            <v>god</v>
          </cell>
          <cell r="N1779" t="str">
            <v>ゴッド</v>
          </cell>
          <cell r="O1779" t="str">
            <v>none</v>
          </cell>
          <cell r="P1779" t="str">
            <v>種族なし</v>
          </cell>
          <cell r="Q1779" t="str">
            <v>アタッカー</v>
          </cell>
          <cell r="R1779">
            <v>1</v>
          </cell>
          <cell r="S1779" t="str">
            <v>NULL</v>
          </cell>
          <cell r="T1779" t="str">
            <v>normal</v>
          </cell>
          <cell r="U1779" t="str">
            <v>NULL</v>
          </cell>
          <cell r="V1779" t="str">
            <v>NULL</v>
          </cell>
          <cell r="W1779" t="str">
            <v>NULL</v>
          </cell>
        </row>
        <row r="1780">
          <cell r="A1780">
            <v>9010</v>
          </cell>
          <cell r="B1780" t="str">
            <v>ja</v>
          </cell>
          <cell r="C1780" t="str">
            <v>薔花★６</v>
          </cell>
          <cell r="D1780" t="str">
            <v>各属性相性良3・黄・R455</v>
          </cell>
          <cell r="E1780" t="str">
            <v>執行者</v>
          </cell>
          <cell r="F1780" t="str">
            <v>格好いい</v>
          </cell>
          <cell r="G1780" t="str">
            <v>男性</v>
          </cell>
          <cell r="H1780" t="str">
            <v>green</v>
          </cell>
          <cell r="I1780">
            <v>6</v>
          </cell>
          <cell r="J1780" t="str">
            <v>PremiumSSw</v>
          </cell>
          <cell r="K1780" t="str">
            <v>heal</v>
          </cell>
          <cell r="L1780" t="str">
            <v>回復タイプ</v>
          </cell>
          <cell r="M1780" t="str">
            <v>god</v>
          </cell>
          <cell r="N1780" t="str">
            <v>ゴッド</v>
          </cell>
          <cell r="O1780" t="str">
            <v>none</v>
          </cell>
          <cell r="P1780" t="str">
            <v>種族なし</v>
          </cell>
          <cell r="Q1780" t="str">
            <v>アタッカー</v>
          </cell>
          <cell r="R1780">
            <v>1</v>
          </cell>
          <cell r="S1780" t="str">
            <v>NULL</v>
          </cell>
          <cell r="T1780" t="str">
            <v>normal</v>
          </cell>
          <cell r="U1780" t="str">
            <v>NULL</v>
          </cell>
          <cell r="V1780" t="str">
            <v>NULL</v>
          </cell>
          <cell r="W1780" t="str">
            <v>NULL</v>
          </cell>
        </row>
        <row r="1781">
          <cell r="A1781">
            <v>9011</v>
          </cell>
          <cell r="B1781" t="str">
            <v>ja</v>
          </cell>
          <cell r="C1781" t="str">
            <v>紅蓮</v>
          </cell>
          <cell r="D1781" t="str">
            <v>ポムポムプリン</v>
          </cell>
          <cell r="E1781" t="str">
            <v>執行者</v>
          </cell>
          <cell r="F1781" t="str">
            <v>格好いい</v>
          </cell>
          <cell r="G1781" t="str">
            <v>女性</v>
          </cell>
          <cell r="H1781" t="str">
            <v>yellow</v>
          </cell>
          <cell r="I1781">
            <v>5</v>
          </cell>
          <cell r="J1781" t="str">
            <v>DropWizS</v>
          </cell>
          <cell r="K1781" t="str">
            <v>attack</v>
          </cell>
          <cell r="L1781" t="str">
            <v>攻撃タイプ</v>
          </cell>
          <cell r="M1781" t="str">
            <v>demon</v>
          </cell>
          <cell r="N1781" t="str">
            <v>デーモン</v>
          </cell>
          <cell r="O1781" t="str">
            <v>none</v>
          </cell>
          <cell r="P1781" t="str">
            <v>種族なし</v>
          </cell>
          <cell r="Q1781" t="str">
            <v>アタッカー</v>
          </cell>
          <cell r="R1781">
            <v>1</v>
          </cell>
          <cell r="S1781" t="str">
            <v>NULL</v>
          </cell>
          <cell r="T1781" t="str">
            <v>normal</v>
          </cell>
          <cell r="U1781" t="str">
            <v>NULL</v>
          </cell>
          <cell r="V1781" t="str">
            <v>NULL</v>
          </cell>
          <cell r="W1781" t="str">
            <v>NULL</v>
          </cell>
        </row>
        <row r="1782">
          <cell r="A1782">
            <v>9012</v>
          </cell>
          <cell r="B1782" t="str">
            <v>ja</v>
          </cell>
          <cell r="C1782" t="str">
            <v>紅蓮★６</v>
          </cell>
          <cell r="D1782" t="str">
            <v>各属性相性良3・黄・R455</v>
          </cell>
          <cell r="E1782" t="str">
            <v>執行者</v>
          </cell>
          <cell r="F1782" t="str">
            <v>格好いい</v>
          </cell>
          <cell r="G1782" t="str">
            <v>男性</v>
          </cell>
          <cell r="H1782" t="str">
            <v>yellow</v>
          </cell>
          <cell r="I1782">
            <v>6</v>
          </cell>
          <cell r="J1782" t="str">
            <v>DropWizS</v>
          </cell>
          <cell r="K1782" t="str">
            <v>attack</v>
          </cell>
          <cell r="L1782" t="str">
            <v>攻撃タイプ</v>
          </cell>
          <cell r="M1782" t="str">
            <v>demon</v>
          </cell>
          <cell r="N1782" t="str">
            <v>デーモン</v>
          </cell>
          <cell r="O1782" t="str">
            <v>none</v>
          </cell>
          <cell r="P1782" t="str">
            <v>種族なし</v>
          </cell>
          <cell r="Q1782" t="str">
            <v>アタッカー</v>
          </cell>
          <cell r="R1782">
            <v>1</v>
          </cell>
          <cell r="S1782" t="str">
            <v>NULL</v>
          </cell>
          <cell r="T1782" t="str">
            <v>normal</v>
          </cell>
          <cell r="U1782" t="str">
            <v>NULL</v>
          </cell>
          <cell r="V1782" t="str">
            <v>NULL</v>
          </cell>
          <cell r="W1782" t="str">
            <v>NULL</v>
          </cell>
        </row>
        <row r="1783">
          <cell r="A1783">
            <v>10001</v>
          </cell>
          <cell r="B1783" t="str">
            <v>ja</v>
          </cell>
          <cell r="C1783" t="str">
            <v>テストユニット01</v>
          </cell>
          <cell r="H1783" t="str">
            <v>yellow</v>
          </cell>
          <cell r="I1783">
            <v>6</v>
          </cell>
          <cell r="J1783" t="str">
            <v>DropWizS</v>
          </cell>
          <cell r="K1783" t="str">
            <v>heal</v>
          </cell>
          <cell r="L1783" t="str">
            <v>回復タイプ</v>
          </cell>
          <cell r="M1783" t="str">
            <v>human</v>
          </cell>
          <cell r="N1783" t="str">
            <v>ヒューマン</v>
          </cell>
          <cell r="O1783" t="str">
            <v>samurai</v>
          </cell>
          <cell r="P1783" t="str">
            <v>サムライ</v>
          </cell>
          <cell r="R1783">
            <v>1</v>
          </cell>
          <cell r="S1783" t="str">
            <v>NULL</v>
          </cell>
          <cell r="T1783" t="str">
            <v>normal</v>
          </cell>
          <cell r="U1783" t="str">
            <v>NULL</v>
          </cell>
          <cell r="V1783" t="str">
            <v>NULL</v>
          </cell>
          <cell r="W1783" t="str">
            <v>NULL</v>
          </cell>
        </row>
        <row r="1784">
          <cell r="A1784">
            <v>10002</v>
          </cell>
          <cell r="B1784" t="str">
            <v>ja</v>
          </cell>
          <cell r="C1784" t="str">
            <v>テストユニット02</v>
          </cell>
          <cell r="H1784" t="str">
            <v>yellow</v>
          </cell>
          <cell r="I1784">
            <v>6</v>
          </cell>
          <cell r="J1784" t="str">
            <v>PremiumSS</v>
          </cell>
          <cell r="K1784" t="str">
            <v>technical</v>
          </cell>
          <cell r="L1784" t="str">
            <v>テクニカルタイプ</v>
          </cell>
          <cell r="M1784" t="str">
            <v>animal</v>
          </cell>
          <cell r="N1784" t="str">
            <v>アニマル</v>
          </cell>
          <cell r="O1784" t="str">
            <v>none</v>
          </cell>
          <cell r="P1784" t="str">
            <v>種族なし</v>
          </cell>
          <cell r="R1784">
            <v>1</v>
          </cell>
          <cell r="S1784" t="str">
            <v>NULL</v>
          </cell>
          <cell r="T1784" t="str">
            <v>normal</v>
          </cell>
          <cell r="U1784" t="str">
            <v>NULL</v>
          </cell>
          <cell r="V1784" t="str">
            <v>NULL</v>
          </cell>
          <cell r="W1784" t="str">
            <v>NULL</v>
          </cell>
        </row>
        <row r="1785">
          <cell r="A1785">
            <v>10003</v>
          </cell>
          <cell r="B1785" t="str">
            <v>ja</v>
          </cell>
          <cell r="C1785" t="str">
            <v>テストユニット03</v>
          </cell>
          <cell r="H1785" t="str">
            <v>red</v>
          </cell>
          <cell r="I1785">
            <v>5</v>
          </cell>
          <cell r="J1785" t="str">
            <v>PremiumSSS</v>
          </cell>
          <cell r="K1785" t="str">
            <v>technical</v>
          </cell>
          <cell r="L1785" t="str">
            <v>テクニカルタイプ</v>
          </cell>
          <cell r="M1785" t="str">
            <v>academia</v>
          </cell>
          <cell r="N1785" t="str">
            <v>アカデミア</v>
          </cell>
          <cell r="O1785" t="str">
            <v>hero</v>
          </cell>
          <cell r="P1785" t="str">
            <v>ヒーロー</v>
          </cell>
          <cell r="R1785">
            <v>1</v>
          </cell>
          <cell r="S1785" t="str">
            <v>NULL</v>
          </cell>
          <cell r="T1785" t="str">
            <v>normal</v>
          </cell>
          <cell r="U1785" t="str">
            <v>NULL</v>
          </cell>
          <cell r="V1785" t="str">
            <v>NULL</v>
          </cell>
          <cell r="W1785" t="str">
            <v>NULL</v>
          </cell>
        </row>
        <row r="1786">
          <cell r="A1786">
            <v>10004</v>
          </cell>
          <cell r="B1786" t="str">
            <v>ja</v>
          </cell>
          <cell r="C1786" t="str">
            <v>テストユニット04</v>
          </cell>
          <cell r="H1786" t="str">
            <v>red</v>
          </cell>
          <cell r="I1786">
            <v>6</v>
          </cell>
          <cell r="J1786" t="str">
            <v>PremiumSSS</v>
          </cell>
          <cell r="K1786" t="str">
            <v>technical</v>
          </cell>
          <cell r="L1786" t="str">
            <v>テクニカルタイプ</v>
          </cell>
          <cell r="M1786" t="str">
            <v>academia</v>
          </cell>
          <cell r="N1786" t="str">
            <v>アカデミア</v>
          </cell>
          <cell r="O1786" t="str">
            <v>hero</v>
          </cell>
          <cell r="P1786" t="str">
            <v>ヒーロー</v>
          </cell>
          <cell r="R1786">
            <v>1</v>
          </cell>
          <cell r="S1786" t="str">
            <v>NULL</v>
          </cell>
          <cell r="T1786" t="str">
            <v>normal</v>
          </cell>
          <cell r="U1786" t="str">
            <v>NULL</v>
          </cell>
          <cell r="V1786" t="str">
            <v>NULL</v>
          </cell>
          <cell r="W1786" t="str">
            <v>NULL</v>
          </cell>
        </row>
        <row r="1787">
          <cell r="A1787">
            <v>10005</v>
          </cell>
          <cell r="B1787" t="str">
            <v>ja</v>
          </cell>
          <cell r="C1787" t="str">
            <v>テストユニット05</v>
          </cell>
          <cell r="H1787" t="str">
            <v>yellow</v>
          </cell>
          <cell r="I1787">
            <v>6</v>
          </cell>
          <cell r="J1787" t="str">
            <v>PremiumSS</v>
          </cell>
          <cell r="K1787" t="str">
            <v>technical</v>
          </cell>
          <cell r="L1787" t="str">
            <v>テクニカルタイプ</v>
          </cell>
          <cell r="M1787" t="str">
            <v>human</v>
          </cell>
          <cell r="N1787" t="str">
            <v>ヒューマン</v>
          </cell>
          <cell r="O1787" t="str">
            <v>samurai</v>
          </cell>
          <cell r="P1787" t="str">
            <v>サムライ</v>
          </cell>
          <cell r="R1787">
            <v>1</v>
          </cell>
          <cell r="S1787" t="str">
            <v>NULL</v>
          </cell>
          <cell r="T1787" t="str">
            <v>normal</v>
          </cell>
          <cell r="U1787" t="str">
            <v>NULL</v>
          </cell>
          <cell r="V1787" t="str">
            <v>NULL</v>
          </cell>
          <cell r="W1787" t="str">
            <v>NULL</v>
          </cell>
        </row>
        <row r="1788">
          <cell r="A1788">
            <v>10006</v>
          </cell>
          <cell r="B1788" t="str">
            <v>ja</v>
          </cell>
          <cell r="C1788" t="str">
            <v>テストユニット06</v>
          </cell>
          <cell r="H1788" t="str">
            <v>yellow</v>
          </cell>
          <cell r="I1788">
            <v>6</v>
          </cell>
          <cell r="J1788" t="str">
            <v>PremiumSS</v>
          </cell>
          <cell r="K1788" t="str">
            <v>attack</v>
          </cell>
          <cell r="L1788" t="str">
            <v>攻撃タイプ</v>
          </cell>
          <cell r="M1788" t="str">
            <v>animal</v>
          </cell>
          <cell r="N1788" t="str">
            <v>アニマル</v>
          </cell>
          <cell r="O1788" t="str">
            <v>none</v>
          </cell>
          <cell r="P1788" t="str">
            <v>種族なし</v>
          </cell>
          <cell r="R1788">
            <v>1</v>
          </cell>
          <cell r="S1788" t="str">
            <v>NULL</v>
          </cell>
          <cell r="T1788" t="str">
            <v>normal</v>
          </cell>
          <cell r="U1788" t="str">
            <v>NULL</v>
          </cell>
          <cell r="V1788" t="str">
            <v>NULL</v>
          </cell>
          <cell r="W1788" t="str">
            <v>NULL</v>
          </cell>
        </row>
        <row r="1789">
          <cell r="A1789">
            <v>10007</v>
          </cell>
          <cell r="B1789" t="str">
            <v>ja</v>
          </cell>
          <cell r="C1789" t="str">
            <v>テストユニット07</v>
          </cell>
          <cell r="H1789" t="str">
            <v>yellow</v>
          </cell>
          <cell r="I1789">
            <v>5</v>
          </cell>
          <cell r="J1789" t="str">
            <v>PremiumSSS</v>
          </cell>
          <cell r="K1789" t="str">
            <v>technical</v>
          </cell>
          <cell r="L1789" t="str">
            <v>テクニカルタイプ</v>
          </cell>
          <cell r="M1789" t="str">
            <v>machine</v>
          </cell>
          <cell r="N1789" t="str">
            <v>マシン</v>
          </cell>
          <cell r="O1789" t="str">
            <v>god</v>
          </cell>
          <cell r="P1789" t="str">
            <v>ゴッド</v>
          </cell>
          <cell r="R1789">
            <v>1</v>
          </cell>
          <cell r="S1789" t="str">
            <v>NULL</v>
          </cell>
          <cell r="T1789" t="str">
            <v>normal</v>
          </cell>
          <cell r="U1789" t="str">
            <v>NULL</v>
          </cell>
          <cell r="V1789" t="str">
            <v>NULL</v>
          </cell>
          <cell r="W1789" t="str">
            <v>NULL</v>
          </cell>
        </row>
        <row r="1790">
          <cell r="A1790">
            <v>10008</v>
          </cell>
          <cell r="B1790" t="str">
            <v>ja</v>
          </cell>
          <cell r="C1790" t="str">
            <v>テストユニット08</v>
          </cell>
          <cell r="H1790" t="str">
            <v>yellow</v>
          </cell>
          <cell r="I1790">
            <v>6</v>
          </cell>
          <cell r="J1790" t="str">
            <v>PremiumSSS</v>
          </cell>
          <cell r="K1790" t="str">
            <v>technical</v>
          </cell>
          <cell r="L1790" t="str">
            <v>テクニカルタイプ</v>
          </cell>
          <cell r="M1790" t="str">
            <v>machine</v>
          </cell>
          <cell r="N1790" t="str">
            <v>マシン</v>
          </cell>
          <cell r="O1790" t="str">
            <v>god</v>
          </cell>
          <cell r="P1790" t="str">
            <v>ゴッド</v>
          </cell>
          <cell r="R1790">
            <v>1</v>
          </cell>
          <cell r="S1790" t="str">
            <v>NULL</v>
          </cell>
          <cell r="T1790" t="str">
            <v>normal</v>
          </cell>
          <cell r="U1790" t="str">
            <v>NULL</v>
          </cell>
          <cell r="V1790" t="str">
            <v>NULL</v>
          </cell>
          <cell r="W1790" t="str">
            <v>NULL</v>
          </cell>
        </row>
        <row r="1791">
          <cell r="A1791">
            <v>10009</v>
          </cell>
          <cell r="B1791" t="str">
            <v>ja</v>
          </cell>
          <cell r="C1791" t="str">
            <v>青テスト01</v>
          </cell>
          <cell r="H1791" t="str">
            <v>blue</v>
          </cell>
          <cell r="I1791">
            <v>6</v>
          </cell>
          <cell r="J1791" t="str">
            <v>DropWizS</v>
          </cell>
          <cell r="K1791" t="str">
            <v>heal</v>
          </cell>
          <cell r="L1791" t="str">
            <v>回復タイプ</v>
          </cell>
          <cell r="M1791" t="str">
            <v>human</v>
          </cell>
          <cell r="N1791" t="str">
            <v>ヒューマン</v>
          </cell>
          <cell r="O1791" t="str">
            <v>none</v>
          </cell>
          <cell r="P1791" t="str">
            <v>種族なし</v>
          </cell>
          <cell r="R1791">
            <v>1</v>
          </cell>
          <cell r="S1791" t="str">
            <v>NULL</v>
          </cell>
          <cell r="T1791" t="str">
            <v>normal</v>
          </cell>
          <cell r="U1791" t="str">
            <v>NULL</v>
          </cell>
          <cell r="V1791" t="str">
            <v>NULL</v>
          </cell>
          <cell r="W1791" t="str">
            <v>NULL</v>
          </cell>
        </row>
        <row r="1792">
          <cell r="A1792">
            <v>10010</v>
          </cell>
          <cell r="B1792" t="str">
            <v>ja</v>
          </cell>
          <cell r="C1792" t="str">
            <v>赤テスト01</v>
          </cell>
          <cell r="H1792" t="str">
            <v>red</v>
          </cell>
          <cell r="I1792">
            <v>6</v>
          </cell>
          <cell r="J1792" t="str">
            <v>PremiumSSS</v>
          </cell>
          <cell r="K1792" t="str">
            <v>technical</v>
          </cell>
          <cell r="L1792" t="str">
            <v>テクニカルタイプ</v>
          </cell>
          <cell r="M1792" t="str">
            <v>human</v>
          </cell>
          <cell r="N1792" t="str">
            <v>ヒューマン</v>
          </cell>
          <cell r="O1792" t="str">
            <v>queen</v>
          </cell>
          <cell r="P1792" t="str">
            <v>QUEEN</v>
          </cell>
          <cell r="R1792">
            <v>1</v>
          </cell>
          <cell r="S1792" t="str">
            <v>NULL</v>
          </cell>
          <cell r="T1792" t="str">
            <v>normal</v>
          </cell>
          <cell r="U1792" t="str">
            <v>NULL</v>
          </cell>
          <cell r="V1792" t="str">
            <v>NULL</v>
          </cell>
          <cell r="W1792" t="str">
            <v>NULL</v>
          </cell>
        </row>
        <row r="1793">
          <cell r="A1793">
            <v>10011</v>
          </cell>
          <cell r="B1793" t="str">
            <v>ja</v>
          </cell>
          <cell r="C1793" t="str">
            <v>テストユニット11</v>
          </cell>
          <cell r="H1793" t="str">
            <v>yellow</v>
          </cell>
          <cell r="I1793">
            <v>5</v>
          </cell>
          <cell r="J1793" t="str">
            <v>PremiumSS</v>
          </cell>
          <cell r="K1793" t="str">
            <v>balance</v>
          </cell>
          <cell r="L1793" t="str">
            <v>バランスタイプ</v>
          </cell>
          <cell r="M1793" t="str">
            <v>human</v>
          </cell>
          <cell r="N1793" t="str">
            <v>ヒューマン</v>
          </cell>
          <cell r="O1793" t="str">
            <v>god</v>
          </cell>
          <cell r="P1793" t="str">
            <v>ゴッド</v>
          </cell>
          <cell r="R1793">
            <v>1</v>
          </cell>
          <cell r="S1793" t="str">
            <v>NULL</v>
          </cell>
          <cell r="T1793" t="str">
            <v>normal</v>
          </cell>
          <cell r="U1793" t="str">
            <v>NULL</v>
          </cell>
          <cell r="V1793" t="str">
            <v>NULL</v>
          </cell>
          <cell r="W1793" t="str">
            <v>NULL</v>
          </cell>
        </row>
        <row r="1794">
          <cell r="A1794">
            <v>10012</v>
          </cell>
          <cell r="B1794" t="str">
            <v>ja</v>
          </cell>
          <cell r="C1794" t="str">
            <v>レイドテストユニット青</v>
          </cell>
          <cell r="H1794" t="str">
            <v>blue</v>
          </cell>
          <cell r="I1794">
            <v>6</v>
          </cell>
          <cell r="J1794" t="str">
            <v>PremiumS</v>
          </cell>
          <cell r="K1794" t="str">
            <v>balance</v>
          </cell>
          <cell r="L1794" t="str">
            <v>バランスタイプ</v>
          </cell>
          <cell r="M1794" t="str">
            <v>human</v>
          </cell>
          <cell r="N1794" t="str">
            <v>ヒューマン</v>
          </cell>
          <cell r="O1794" t="str">
            <v>god</v>
          </cell>
          <cell r="P1794" t="str">
            <v>ゴッド</v>
          </cell>
          <cell r="R1794">
            <v>1</v>
          </cell>
          <cell r="S1794" t="str">
            <v>NULL</v>
          </cell>
          <cell r="T1794" t="str">
            <v>normal</v>
          </cell>
          <cell r="U1794" t="str">
            <v>NULL</v>
          </cell>
          <cell r="V1794" t="str">
            <v>NULL</v>
          </cell>
          <cell r="W1794" t="str">
            <v>NULL</v>
          </cell>
        </row>
        <row r="1795">
          <cell r="A1795">
            <v>10013</v>
          </cell>
          <cell r="B1795" t="str">
            <v>ja</v>
          </cell>
          <cell r="C1795" t="str">
            <v>テストユニット13</v>
          </cell>
          <cell r="H1795" t="str">
            <v>yellow</v>
          </cell>
          <cell r="I1795">
            <v>5</v>
          </cell>
          <cell r="J1795" t="str">
            <v>PremiumSSw</v>
          </cell>
          <cell r="K1795" t="str">
            <v>hp</v>
          </cell>
          <cell r="L1795" t="str">
            <v>体力タイプ</v>
          </cell>
          <cell r="M1795" t="str">
            <v>dragon</v>
          </cell>
          <cell r="N1795" t="str">
            <v>ドラゴン</v>
          </cell>
          <cell r="O1795" t="str">
            <v>none</v>
          </cell>
          <cell r="P1795" t="str">
            <v>種族なし</v>
          </cell>
          <cell r="R1795">
            <v>1</v>
          </cell>
          <cell r="S1795" t="str">
            <v>NULL</v>
          </cell>
          <cell r="T1795" t="str">
            <v>normal</v>
          </cell>
          <cell r="U1795" t="str">
            <v>NULL</v>
          </cell>
          <cell r="V1795" t="str">
            <v>NULL</v>
          </cell>
          <cell r="W1795" t="str">
            <v>NULL</v>
          </cell>
        </row>
        <row r="1796">
          <cell r="A1796">
            <v>10014</v>
          </cell>
          <cell r="B1796" t="str">
            <v>ja</v>
          </cell>
          <cell r="C1796" t="str">
            <v>テストユニット14</v>
          </cell>
          <cell r="H1796" t="str">
            <v>yellow</v>
          </cell>
          <cell r="I1796">
            <v>6</v>
          </cell>
          <cell r="J1796" t="str">
            <v>PremiumSSw</v>
          </cell>
          <cell r="K1796" t="str">
            <v>hp</v>
          </cell>
          <cell r="L1796" t="str">
            <v>体力タイプ</v>
          </cell>
          <cell r="M1796" t="str">
            <v>dragon</v>
          </cell>
          <cell r="N1796" t="str">
            <v>ドラゴン</v>
          </cell>
          <cell r="O1796" t="str">
            <v>none</v>
          </cell>
          <cell r="P1796" t="str">
            <v>種族なし</v>
          </cell>
          <cell r="R1796">
            <v>1</v>
          </cell>
          <cell r="S1796" t="str">
            <v>NULL</v>
          </cell>
          <cell r="T1796" t="str">
            <v>normal</v>
          </cell>
          <cell r="U1796" t="str">
            <v>NULL</v>
          </cell>
          <cell r="V1796" t="str">
            <v>NULL</v>
          </cell>
          <cell r="W1796" t="str">
            <v>NULL</v>
          </cell>
        </row>
        <row r="1797">
          <cell r="A1797">
            <v>10015</v>
          </cell>
          <cell r="B1797" t="str">
            <v>ja</v>
          </cell>
          <cell r="C1797" t="str">
            <v>テストユニット15</v>
          </cell>
          <cell r="H1797" t="str">
            <v>green</v>
          </cell>
          <cell r="I1797">
            <v>5</v>
          </cell>
          <cell r="J1797" t="str">
            <v>DropWizS</v>
          </cell>
          <cell r="K1797" t="str">
            <v>heal</v>
          </cell>
          <cell r="L1797" t="str">
            <v>回復タイプ</v>
          </cell>
          <cell r="M1797" t="str">
            <v>human</v>
          </cell>
          <cell r="N1797" t="str">
            <v>ヒューマン</v>
          </cell>
          <cell r="O1797" t="str">
            <v>unknown</v>
          </cell>
          <cell r="P1797" t="str">
            <v>Unknown</v>
          </cell>
          <cell r="R1797">
            <v>1</v>
          </cell>
          <cell r="S1797" t="str">
            <v>NULL</v>
          </cell>
          <cell r="T1797" t="str">
            <v>normal</v>
          </cell>
          <cell r="U1797" t="str">
            <v>NULL</v>
          </cell>
          <cell r="V1797" t="str">
            <v>NULL</v>
          </cell>
          <cell r="W1797" t="str">
            <v>NULL</v>
          </cell>
        </row>
        <row r="1798">
          <cell r="A1798">
            <v>10016</v>
          </cell>
          <cell r="B1798" t="str">
            <v>ja</v>
          </cell>
          <cell r="C1798" t="str">
            <v>テストユニット16</v>
          </cell>
          <cell r="H1798" t="str">
            <v>green</v>
          </cell>
          <cell r="I1798">
            <v>6</v>
          </cell>
          <cell r="J1798" t="str">
            <v>DropWizS</v>
          </cell>
          <cell r="K1798" t="str">
            <v>heal</v>
          </cell>
          <cell r="L1798" t="str">
            <v>回復タイプ</v>
          </cell>
          <cell r="M1798" t="str">
            <v>human</v>
          </cell>
          <cell r="N1798" t="str">
            <v>ヒューマン</v>
          </cell>
          <cell r="O1798" t="str">
            <v>unknown</v>
          </cell>
          <cell r="P1798" t="str">
            <v>Unknown</v>
          </cell>
          <cell r="R1798">
            <v>1</v>
          </cell>
          <cell r="S1798" t="str">
            <v>NULL</v>
          </cell>
          <cell r="T1798" t="str">
            <v>normal</v>
          </cell>
          <cell r="U1798" t="str">
            <v>NULL</v>
          </cell>
          <cell r="V1798" t="str">
            <v>NULL</v>
          </cell>
          <cell r="W1798" t="str">
            <v>NULL</v>
          </cell>
        </row>
        <row r="1799">
          <cell r="A1799">
            <v>10017</v>
          </cell>
          <cell r="B1799" t="str">
            <v>ja</v>
          </cell>
          <cell r="C1799" t="str">
            <v>テストユニット17</v>
          </cell>
          <cell r="H1799" t="str">
            <v>red</v>
          </cell>
          <cell r="I1799">
            <v>6</v>
          </cell>
          <cell r="J1799" t="str">
            <v>PremiumSS</v>
          </cell>
          <cell r="K1799" t="str">
            <v>balance</v>
          </cell>
          <cell r="L1799" t="str">
            <v>バランスタイプ</v>
          </cell>
          <cell r="M1799" t="str">
            <v>unknown</v>
          </cell>
          <cell r="N1799" t="str">
            <v>Unknown</v>
          </cell>
          <cell r="O1799" t="str">
            <v>none</v>
          </cell>
          <cell r="P1799" t="str">
            <v>種族なし</v>
          </cell>
          <cell r="R1799">
            <v>1</v>
          </cell>
          <cell r="S1799" t="str">
            <v>NULL</v>
          </cell>
          <cell r="T1799" t="str">
            <v>normal</v>
          </cell>
          <cell r="U1799" t="str">
            <v>NULL</v>
          </cell>
          <cell r="V1799" t="str">
            <v>NULL</v>
          </cell>
          <cell r="W1799" t="str">
            <v>NULL</v>
          </cell>
        </row>
        <row r="1800">
          <cell r="A1800">
            <v>10018</v>
          </cell>
          <cell r="B1800" t="str">
            <v>ja</v>
          </cell>
          <cell r="C1800" t="str">
            <v>テストユニット18</v>
          </cell>
          <cell r="H1800" t="str">
            <v>blue</v>
          </cell>
          <cell r="I1800">
            <v>6</v>
          </cell>
          <cell r="J1800" t="str">
            <v>PremiumSS</v>
          </cell>
          <cell r="K1800" t="str">
            <v>balance</v>
          </cell>
          <cell r="L1800" t="str">
            <v>バランスタイプ</v>
          </cell>
          <cell r="M1800" t="str">
            <v>unknown</v>
          </cell>
          <cell r="N1800" t="str">
            <v>Unknown</v>
          </cell>
          <cell r="O1800" t="str">
            <v>none</v>
          </cell>
          <cell r="P1800" t="str">
            <v>種族なし</v>
          </cell>
          <cell r="R1800">
            <v>1</v>
          </cell>
          <cell r="S1800" t="str">
            <v>NULL</v>
          </cell>
          <cell r="T1800" t="str">
            <v>normal</v>
          </cell>
          <cell r="U1800" t="str">
            <v>NULL</v>
          </cell>
          <cell r="V1800" t="str">
            <v>NULL</v>
          </cell>
          <cell r="W1800" t="str">
            <v>NULL</v>
          </cell>
        </row>
        <row r="1801">
          <cell r="A1801">
            <v>10019</v>
          </cell>
          <cell r="B1801" t="str">
            <v>ja</v>
          </cell>
          <cell r="C1801" t="str">
            <v>テストユニット19</v>
          </cell>
          <cell r="H1801" t="str">
            <v>green</v>
          </cell>
          <cell r="I1801">
            <v>6</v>
          </cell>
          <cell r="J1801" t="str">
            <v>PremiumSS</v>
          </cell>
          <cell r="K1801" t="str">
            <v>balance</v>
          </cell>
          <cell r="L1801" t="str">
            <v>バランスタイプ</v>
          </cell>
          <cell r="M1801" t="str">
            <v>unknown</v>
          </cell>
          <cell r="N1801" t="str">
            <v>Unknown</v>
          </cell>
          <cell r="O1801" t="str">
            <v>none</v>
          </cell>
          <cell r="P1801" t="str">
            <v>種族なし</v>
          </cell>
          <cell r="R1801">
            <v>1</v>
          </cell>
          <cell r="S1801" t="str">
            <v>NULL</v>
          </cell>
          <cell r="T1801" t="str">
            <v>normal</v>
          </cell>
          <cell r="U1801" t="str">
            <v>NULL</v>
          </cell>
          <cell r="V1801" t="str">
            <v>NULL</v>
          </cell>
          <cell r="W1801" t="str">
            <v>NULL</v>
          </cell>
        </row>
        <row r="1802">
          <cell r="A1802">
            <v>10020</v>
          </cell>
          <cell r="B1802" t="str">
            <v>ja</v>
          </cell>
          <cell r="C1802" t="str">
            <v>テストユニット20</v>
          </cell>
          <cell r="H1802" t="str">
            <v>yellow</v>
          </cell>
          <cell r="I1802">
            <v>6</v>
          </cell>
          <cell r="J1802" t="str">
            <v>PremiumSS</v>
          </cell>
          <cell r="K1802" t="str">
            <v>balance</v>
          </cell>
          <cell r="L1802" t="str">
            <v>バランスタイプ</v>
          </cell>
          <cell r="M1802" t="str">
            <v>unknown</v>
          </cell>
          <cell r="N1802" t="str">
            <v>Unknown</v>
          </cell>
          <cell r="O1802" t="str">
            <v>none</v>
          </cell>
          <cell r="P1802" t="str">
            <v>種族なし</v>
          </cell>
          <cell r="R1802">
            <v>1</v>
          </cell>
          <cell r="S1802" t="str">
            <v>NULL</v>
          </cell>
          <cell r="T1802" t="str">
            <v>normal</v>
          </cell>
          <cell r="U1802" t="str">
            <v>NULL</v>
          </cell>
          <cell r="V1802" t="str">
            <v>NULL</v>
          </cell>
          <cell r="W1802" t="str">
            <v>NULL</v>
          </cell>
        </row>
        <row r="1803">
          <cell r="A1803">
            <v>10021</v>
          </cell>
          <cell r="B1803" t="str">
            <v>ja</v>
          </cell>
          <cell r="C1803" t="str">
            <v>テストユニット21</v>
          </cell>
          <cell r="H1803" t="str">
            <v>blue</v>
          </cell>
          <cell r="I1803">
            <v>5</v>
          </cell>
          <cell r="J1803" t="str">
            <v>PremiumSSw</v>
          </cell>
          <cell r="K1803" t="str">
            <v>hp</v>
          </cell>
          <cell r="L1803" t="str">
            <v>体力タイプ</v>
          </cell>
          <cell r="M1803" t="str">
            <v>demon</v>
          </cell>
          <cell r="N1803" t="str">
            <v>デーモン</v>
          </cell>
          <cell r="O1803" t="str">
            <v>none</v>
          </cell>
          <cell r="P1803" t="str">
            <v>種族なし</v>
          </cell>
          <cell r="R1803">
            <v>1</v>
          </cell>
          <cell r="S1803" t="str">
            <v>NULL</v>
          </cell>
          <cell r="T1803" t="str">
            <v>normal</v>
          </cell>
          <cell r="U1803" t="str">
            <v>NULL</v>
          </cell>
          <cell r="V1803" t="str">
            <v>NULL</v>
          </cell>
          <cell r="W1803" t="str">
            <v>NULL</v>
          </cell>
        </row>
        <row r="1804">
          <cell r="A1804">
            <v>10022</v>
          </cell>
          <cell r="B1804" t="str">
            <v>ja</v>
          </cell>
          <cell r="C1804" t="str">
            <v>テストユニット22</v>
          </cell>
          <cell r="H1804" t="str">
            <v>blue</v>
          </cell>
          <cell r="I1804">
            <v>6</v>
          </cell>
          <cell r="J1804" t="str">
            <v>PremiumSSw</v>
          </cell>
          <cell r="K1804" t="str">
            <v>hp</v>
          </cell>
          <cell r="L1804" t="str">
            <v>体力タイプ</v>
          </cell>
          <cell r="M1804" t="str">
            <v>demon</v>
          </cell>
          <cell r="N1804" t="str">
            <v>デーモン</v>
          </cell>
          <cell r="O1804" t="str">
            <v>none</v>
          </cell>
          <cell r="P1804" t="str">
            <v>種族なし</v>
          </cell>
          <cell r="R1804">
            <v>1</v>
          </cell>
          <cell r="S1804" t="str">
            <v>NULL</v>
          </cell>
          <cell r="T1804" t="str">
            <v>normal</v>
          </cell>
          <cell r="U1804" t="str">
            <v>NULL</v>
          </cell>
          <cell r="V1804" t="str">
            <v>NULL</v>
          </cell>
          <cell r="W1804" t="str">
            <v>NULL</v>
          </cell>
        </row>
        <row r="1805">
          <cell r="A1805">
            <v>10023</v>
          </cell>
          <cell r="B1805" t="str">
            <v>ja</v>
          </cell>
          <cell r="C1805" t="str">
            <v>テストユニット23</v>
          </cell>
          <cell r="H1805" t="str">
            <v>green</v>
          </cell>
          <cell r="I1805">
            <v>5</v>
          </cell>
          <cell r="J1805" t="str">
            <v>PremiumSSw</v>
          </cell>
          <cell r="K1805" t="str">
            <v>heal</v>
          </cell>
          <cell r="L1805" t="str">
            <v>回復タイプ</v>
          </cell>
          <cell r="M1805" t="str">
            <v>dragon</v>
          </cell>
          <cell r="N1805" t="str">
            <v>ドラゴン</v>
          </cell>
          <cell r="O1805" t="str">
            <v>samurai</v>
          </cell>
          <cell r="P1805" t="str">
            <v>サムライ</v>
          </cell>
          <cell r="R1805">
            <v>1</v>
          </cell>
          <cell r="S1805" t="str">
            <v>NULL</v>
          </cell>
          <cell r="T1805" t="str">
            <v>normal</v>
          </cell>
          <cell r="U1805" t="str">
            <v>NULL</v>
          </cell>
          <cell r="V1805" t="str">
            <v>NULL</v>
          </cell>
          <cell r="W1805" t="str">
            <v>NULL</v>
          </cell>
        </row>
        <row r="1806">
          <cell r="A1806">
            <v>10024</v>
          </cell>
          <cell r="B1806" t="str">
            <v>ja</v>
          </cell>
          <cell r="C1806" t="str">
            <v>テストユニット24</v>
          </cell>
          <cell r="H1806" t="str">
            <v>green</v>
          </cell>
          <cell r="I1806">
            <v>6</v>
          </cell>
          <cell r="J1806" t="str">
            <v>PremiumSSw</v>
          </cell>
          <cell r="K1806" t="str">
            <v>hp</v>
          </cell>
          <cell r="L1806" t="str">
            <v>体力タイプ</v>
          </cell>
          <cell r="M1806" t="str">
            <v>dragon</v>
          </cell>
          <cell r="N1806" t="str">
            <v>ドラゴン</v>
          </cell>
          <cell r="O1806" t="str">
            <v>samurai</v>
          </cell>
          <cell r="P1806" t="str">
            <v>サムライ</v>
          </cell>
          <cell r="R1806">
            <v>1</v>
          </cell>
          <cell r="S1806" t="str">
            <v>NULL</v>
          </cell>
          <cell r="T1806" t="str">
            <v>normal</v>
          </cell>
          <cell r="U1806" t="str">
            <v>NULL</v>
          </cell>
          <cell r="V1806" t="str">
            <v>NULL</v>
          </cell>
          <cell r="W1806" t="str">
            <v>NULL</v>
          </cell>
        </row>
        <row r="1807">
          <cell r="A1807">
            <v>10025</v>
          </cell>
          <cell r="B1807" t="str">
            <v>ja</v>
          </cell>
          <cell r="C1807" t="str">
            <v>テストユニット25</v>
          </cell>
          <cell r="H1807" t="str">
            <v>red</v>
          </cell>
          <cell r="I1807">
            <v>5</v>
          </cell>
          <cell r="J1807" t="str">
            <v>PremiumSSw</v>
          </cell>
          <cell r="K1807" t="str">
            <v>hp</v>
          </cell>
          <cell r="L1807" t="str">
            <v>体力タイプ</v>
          </cell>
          <cell r="M1807" t="str">
            <v>dragon</v>
          </cell>
          <cell r="N1807" t="str">
            <v>ドラゴン</v>
          </cell>
          <cell r="O1807" t="str">
            <v>machine</v>
          </cell>
          <cell r="P1807" t="str">
            <v>マシン</v>
          </cell>
          <cell r="R1807">
            <v>1</v>
          </cell>
          <cell r="S1807" t="str">
            <v>NULL</v>
          </cell>
          <cell r="T1807" t="str">
            <v>normal</v>
          </cell>
          <cell r="U1807" t="str">
            <v>NULL</v>
          </cell>
          <cell r="V1807" t="str">
            <v>NULL</v>
          </cell>
          <cell r="W1807" t="str">
            <v>NULL</v>
          </cell>
        </row>
        <row r="1808">
          <cell r="A1808">
            <v>10026</v>
          </cell>
          <cell r="B1808" t="str">
            <v>ja</v>
          </cell>
          <cell r="C1808" t="str">
            <v>テストユニット26</v>
          </cell>
          <cell r="H1808" t="str">
            <v>red</v>
          </cell>
          <cell r="I1808">
            <v>6</v>
          </cell>
          <cell r="J1808" t="str">
            <v>PremiumSSw</v>
          </cell>
          <cell r="K1808" t="str">
            <v>hp</v>
          </cell>
          <cell r="L1808" t="str">
            <v>体力タイプ</v>
          </cell>
          <cell r="M1808" t="str">
            <v>dragon</v>
          </cell>
          <cell r="N1808" t="str">
            <v>ドラゴン</v>
          </cell>
          <cell r="O1808" t="str">
            <v>machine</v>
          </cell>
          <cell r="P1808" t="str">
            <v>マシン</v>
          </cell>
          <cell r="R1808">
            <v>1</v>
          </cell>
          <cell r="S1808" t="str">
            <v>NULL</v>
          </cell>
          <cell r="T1808" t="str">
            <v>normal</v>
          </cell>
          <cell r="U1808" t="str">
            <v>NULL</v>
          </cell>
          <cell r="V1808" t="str">
            <v>NULL</v>
          </cell>
          <cell r="W1808" t="str">
            <v>NULL</v>
          </cell>
        </row>
        <row r="1809">
          <cell r="A1809">
            <v>10027</v>
          </cell>
          <cell r="B1809" t="str">
            <v>ja</v>
          </cell>
          <cell r="C1809" t="str">
            <v>テストユニット27</v>
          </cell>
          <cell r="H1809" t="str">
            <v>green</v>
          </cell>
          <cell r="I1809">
            <v>6</v>
          </cell>
          <cell r="J1809" t="str">
            <v>PremiumSS</v>
          </cell>
          <cell r="K1809" t="str">
            <v>balance</v>
          </cell>
          <cell r="L1809" t="str">
            <v>バランスタイプ</v>
          </cell>
          <cell r="M1809" t="str">
            <v>unknown</v>
          </cell>
          <cell r="N1809" t="str">
            <v>Unknown</v>
          </cell>
          <cell r="O1809" t="str">
            <v>none</v>
          </cell>
          <cell r="P1809" t="str">
            <v>種族なし</v>
          </cell>
          <cell r="R1809">
            <v>1</v>
          </cell>
          <cell r="S1809" t="str">
            <v>NULL</v>
          </cell>
          <cell r="T1809" t="str">
            <v>normal</v>
          </cell>
          <cell r="U1809" t="str">
            <v>NULL</v>
          </cell>
          <cell r="V1809" t="str">
            <v>NULL</v>
          </cell>
          <cell r="W1809" t="str">
            <v>NULL</v>
          </cell>
        </row>
        <row r="1810">
          <cell r="A1810">
            <v>10028</v>
          </cell>
          <cell r="B1810" t="str">
            <v>ja</v>
          </cell>
          <cell r="C1810" t="str">
            <v>テストユニット28</v>
          </cell>
          <cell r="H1810" t="str">
            <v>yellow</v>
          </cell>
          <cell r="I1810">
            <v>6</v>
          </cell>
          <cell r="J1810" t="str">
            <v>PremiumSS</v>
          </cell>
          <cell r="K1810" t="str">
            <v>balance</v>
          </cell>
          <cell r="L1810" t="str">
            <v>バランスタイプ</v>
          </cell>
          <cell r="M1810" t="str">
            <v>unknown</v>
          </cell>
          <cell r="N1810" t="str">
            <v>Unknown</v>
          </cell>
          <cell r="O1810" t="str">
            <v>none</v>
          </cell>
          <cell r="P1810" t="str">
            <v>種族なし</v>
          </cell>
          <cell r="R1810">
            <v>1</v>
          </cell>
          <cell r="S1810" t="str">
            <v>NULL</v>
          </cell>
          <cell r="T1810" t="str">
            <v>normal</v>
          </cell>
          <cell r="U1810" t="str">
            <v>NULL</v>
          </cell>
          <cell r="V1810" t="str">
            <v>NULL</v>
          </cell>
          <cell r="W1810" t="str">
            <v>NULL</v>
          </cell>
        </row>
        <row r="1811">
          <cell r="A1811">
            <v>10029</v>
          </cell>
          <cell r="B1811" t="str">
            <v>ja</v>
          </cell>
          <cell r="C1811" t="str">
            <v>テストユニット29</v>
          </cell>
          <cell r="H1811" t="str">
            <v>red</v>
          </cell>
          <cell r="I1811">
            <v>6</v>
          </cell>
          <cell r="J1811" t="str">
            <v>PremiumSS</v>
          </cell>
          <cell r="K1811" t="str">
            <v>balance</v>
          </cell>
          <cell r="L1811" t="str">
            <v>バランスタイプ</v>
          </cell>
          <cell r="M1811" t="str">
            <v>unknown</v>
          </cell>
          <cell r="N1811" t="str">
            <v>Unknown</v>
          </cell>
          <cell r="O1811" t="str">
            <v>none</v>
          </cell>
          <cell r="P1811" t="str">
            <v>種族なし</v>
          </cell>
          <cell r="R1811">
            <v>1</v>
          </cell>
          <cell r="S1811" t="str">
            <v>NULL</v>
          </cell>
          <cell r="T1811" t="str">
            <v>normal</v>
          </cell>
          <cell r="U1811" t="str">
            <v>NULL</v>
          </cell>
          <cell r="V1811" t="str">
            <v>NULL</v>
          </cell>
          <cell r="W1811" t="str">
            <v>NULL</v>
          </cell>
        </row>
        <row r="1812">
          <cell r="A1812">
            <v>10030</v>
          </cell>
          <cell r="B1812" t="str">
            <v>ja</v>
          </cell>
          <cell r="C1812" t="str">
            <v>テストユニット30</v>
          </cell>
          <cell r="H1812" t="str">
            <v>blue</v>
          </cell>
          <cell r="I1812">
            <v>6</v>
          </cell>
          <cell r="J1812" t="str">
            <v>PremiumSS</v>
          </cell>
          <cell r="K1812" t="str">
            <v>balance</v>
          </cell>
          <cell r="L1812" t="str">
            <v>バランスタイプ</v>
          </cell>
          <cell r="M1812" t="str">
            <v>unknown</v>
          </cell>
          <cell r="N1812" t="str">
            <v>Unknown</v>
          </cell>
          <cell r="O1812" t="str">
            <v>none</v>
          </cell>
          <cell r="P1812" t="str">
            <v>種族なし</v>
          </cell>
          <cell r="R1812">
            <v>1</v>
          </cell>
          <cell r="S1812" t="str">
            <v>NULL</v>
          </cell>
          <cell r="T1812" t="str">
            <v>normal</v>
          </cell>
          <cell r="U1812" t="str">
            <v>NULL</v>
          </cell>
          <cell r="V1812" t="str">
            <v>NULL</v>
          </cell>
          <cell r="W1812" t="str">
            <v>NULL</v>
          </cell>
        </row>
        <row r="1813">
          <cell r="A1813">
            <v>10031</v>
          </cell>
          <cell r="B1813" t="str">
            <v>ja</v>
          </cell>
          <cell r="C1813" t="str">
            <v>テストユニット31</v>
          </cell>
          <cell r="H1813" t="str">
            <v>green</v>
          </cell>
          <cell r="I1813">
            <v>6</v>
          </cell>
          <cell r="J1813" t="str">
            <v>PremiumSS</v>
          </cell>
          <cell r="K1813" t="str">
            <v>balance</v>
          </cell>
          <cell r="L1813" t="str">
            <v>バランスタイプ</v>
          </cell>
          <cell r="M1813" t="str">
            <v>unknown</v>
          </cell>
          <cell r="N1813" t="str">
            <v>Unknown</v>
          </cell>
          <cell r="O1813" t="str">
            <v>none</v>
          </cell>
          <cell r="P1813" t="str">
            <v>種族なし</v>
          </cell>
          <cell r="R1813">
            <v>1</v>
          </cell>
          <cell r="S1813" t="str">
            <v>NULL</v>
          </cell>
          <cell r="T1813" t="str">
            <v>normal</v>
          </cell>
          <cell r="U1813" t="str">
            <v>NULL</v>
          </cell>
          <cell r="V1813" t="str">
            <v>NULL</v>
          </cell>
          <cell r="W1813" t="str">
            <v>NULL</v>
          </cell>
        </row>
        <row r="1814">
          <cell r="A1814">
            <v>10032</v>
          </cell>
          <cell r="B1814" t="str">
            <v>ja</v>
          </cell>
          <cell r="C1814" t="str">
            <v>テストユニット32</v>
          </cell>
          <cell r="H1814" t="str">
            <v>yellow</v>
          </cell>
          <cell r="I1814">
            <v>6</v>
          </cell>
          <cell r="J1814" t="str">
            <v>PremiumSS</v>
          </cell>
          <cell r="K1814" t="str">
            <v>balance</v>
          </cell>
          <cell r="L1814" t="str">
            <v>バランスタイプ</v>
          </cell>
          <cell r="M1814" t="str">
            <v>unknown</v>
          </cell>
          <cell r="N1814" t="str">
            <v>Unknown</v>
          </cell>
          <cell r="O1814" t="str">
            <v>none</v>
          </cell>
          <cell r="P1814" t="str">
            <v>種族なし</v>
          </cell>
          <cell r="R1814">
            <v>1</v>
          </cell>
          <cell r="S1814" t="str">
            <v>NULL</v>
          </cell>
          <cell r="T1814" t="str">
            <v>normal</v>
          </cell>
          <cell r="U1814" t="str">
            <v>NULL</v>
          </cell>
          <cell r="V1814" t="str">
            <v>NULL</v>
          </cell>
          <cell r="W1814" t="str">
            <v>NULL</v>
          </cell>
        </row>
        <row r="1815">
          <cell r="A1815">
            <v>10033</v>
          </cell>
          <cell r="B1815" t="str">
            <v>ja</v>
          </cell>
          <cell r="C1815" t="str">
            <v>テストユニット33</v>
          </cell>
          <cell r="H1815" t="str">
            <v>red</v>
          </cell>
          <cell r="I1815">
            <v>6</v>
          </cell>
          <cell r="J1815" t="str">
            <v>PremiumSS</v>
          </cell>
          <cell r="K1815" t="str">
            <v>balance</v>
          </cell>
          <cell r="L1815" t="str">
            <v>バランスタイプ</v>
          </cell>
          <cell r="M1815" t="str">
            <v>unknown</v>
          </cell>
          <cell r="N1815" t="str">
            <v>Unknown</v>
          </cell>
          <cell r="O1815" t="str">
            <v>none</v>
          </cell>
          <cell r="P1815" t="str">
            <v>種族なし</v>
          </cell>
          <cell r="R1815">
            <v>1</v>
          </cell>
          <cell r="S1815" t="str">
            <v>NULL</v>
          </cell>
          <cell r="T1815" t="str">
            <v>normal</v>
          </cell>
          <cell r="U1815" t="str">
            <v>NULL</v>
          </cell>
          <cell r="V1815" t="str">
            <v>NULL</v>
          </cell>
          <cell r="W1815" t="str">
            <v>NULL</v>
          </cell>
        </row>
        <row r="1816">
          <cell r="A1816">
            <v>10034</v>
          </cell>
          <cell r="B1816" t="str">
            <v>ja</v>
          </cell>
          <cell r="C1816" t="str">
            <v>テストユニット34</v>
          </cell>
          <cell r="H1816" t="str">
            <v>blue</v>
          </cell>
          <cell r="I1816">
            <v>6</v>
          </cell>
          <cell r="J1816" t="str">
            <v>PremiumSS</v>
          </cell>
          <cell r="K1816" t="str">
            <v>balance</v>
          </cell>
          <cell r="L1816" t="str">
            <v>バランスタイプ</v>
          </cell>
          <cell r="M1816" t="str">
            <v>unknown</v>
          </cell>
          <cell r="N1816" t="str">
            <v>Unknown</v>
          </cell>
          <cell r="O1816" t="str">
            <v>none</v>
          </cell>
          <cell r="P1816" t="str">
            <v>種族なし</v>
          </cell>
          <cell r="R1816">
            <v>1</v>
          </cell>
          <cell r="S1816" t="str">
            <v>NULL</v>
          </cell>
          <cell r="T1816" t="str">
            <v>normal</v>
          </cell>
          <cell r="U1816" t="str">
            <v>NULL</v>
          </cell>
          <cell r="V1816" t="str">
            <v>NULL</v>
          </cell>
          <cell r="W1816" t="str">
            <v>NULL</v>
          </cell>
        </row>
        <row r="1817">
          <cell r="A1817">
            <v>10035</v>
          </cell>
          <cell r="B1817" t="str">
            <v>ja</v>
          </cell>
          <cell r="C1817" t="str">
            <v>テストユニット35</v>
          </cell>
          <cell r="H1817" t="str">
            <v>green</v>
          </cell>
          <cell r="I1817">
            <v>6</v>
          </cell>
          <cell r="J1817" t="str">
            <v>PremiumSS</v>
          </cell>
          <cell r="K1817" t="str">
            <v>balance</v>
          </cell>
          <cell r="L1817" t="str">
            <v>バランスタイプ</v>
          </cell>
          <cell r="M1817" t="str">
            <v>unknown</v>
          </cell>
          <cell r="N1817" t="str">
            <v>Unknown</v>
          </cell>
          <cell r="O1817" t="str">
            <v>none</v>
          </cell>
          <cell r="P1817" t="str">
            <v>種族なし</v>
          </cell>
          <cell r="R1817">
            <v>1</v>
          </cell>
          <cell r="S1817" t="str">
            <v>NULL</v>
          </cell>
          <cell r="T1817" t="str">
            <v>normal</v>
          </cell>
          <cell r="U1817" t="str">
            <v>NULL</v>
          </cell>
          <cell r="V1817" t="str">
            <v>NULL</v>
          </cell>
          <cell r="W1817" t="str">
            <v>NULL</v>
          </cell>
        </row>
        <row r="1818">
          <cell r="A1818">
            <v>10036</v>
          </cell>
          <cell r="B1818" t="str">
            <v>ja</v>
          </cell>
          <cell r="C1818" t="str">
            <v>テストユニット36</v>
          </cell>
          <cell r="H1818" t="str">
            <v>yellow</v>
          </cell>
          <cell r="I1818">
            <v>6</v>
          </cell>
          <cell r="J1818" t="str">
            <v>PremiumSS</v>
          </cell>
          <cell r="K1818" t="str">
            <v>balance</v>
          </cell>
          <cell r="L1818" t="str">
            <v>バランスタイプ</v>
          </cell>
          <cell r="M1818" t="str">
            <v>unknown</v>
          </cell>
          <cell r="N1818" t="str">
            <v>Unknown</v>
          </cell>
          <cell r="O1818" t="str">
            <v>none</v>
          </cell>
          <cell r="P1818" t="str">
            <v>種族なし</v>
          </cell>
          <cell r="R1818">
            <v>1</v>
          </cell>
          <cell r="S1818" t="str">
            <v>NULL</v>
          </cell>
          <cell r="T1818" t="str">
            <v>normal</v>
          </cell>
          <cell r="U1818" t="str">
            <v>NULL</v>
          </cell>
          <cell r="V1818" t="str">
            <v>NULL</v>
          </cell>
          <cell r="W1818" t="str">
            <v>NULL</v>
          </cell>
        </row>
        <row r="1819">
          <cell r="A1819">
            <v>10037</v>
          </cell>
          <cell r="B1819" t="str">
            <v>ja</v>
          </cell>
          <cell r="C1819" t="str">
            <v>テストユニット37</v>
          </cell>
          <cell r="H1819" t="str">
            <v>red</v>
          </cell>
          <cell r="I1819">
            <v>6</v>
          </cell>
          <cell r="J1819" t="str">
            <v>PremiumSS</v>
          </cell>
          <cell r="K1819" t="str">
            <v>balance</v>
          </cell>
          <cell r="L1819" t="str">
            <v>バランスタイプ</v>
          </cell>
          <cell r="M1819" t="str">
            <v>unknown</v>
          </cell>
          <cell r="N1819" t="str">
            <v>Unknown</v>
          </cell>
          <cell r="O1819" t="str">
            <v>none</v>
          </cell>
          <cell r="P1819" t="str">
            <v>種族なし</v>
          </cell>
          <cell r="R1819">
            <v>1</v>
          </cell>
          <cell r="S1819" t="str">
            <v>NULL</v>
          </cell>
          <cell r="T1819" t="str">
            <v>normal</v>
          </cell>
          <cell r="U1819" t="str">
            <v>NULL</v>
          </cell>
          <cell r="V1819" t="str">
            <v>NULL</v>
          </cell>
          <cell r="W1819" t="str">
            <v>NULL</v>
          </cell>
        </row>
        <row r="1820">
          <cell r="A1820">
            <v>10038</v>
          </cell>
          <cell r="B1820" t="str">
            <v>ja</v>
          </cell>
          <cell r="C1820" t="str">
            <v>テストユニット38</v>
          </cell>
          <cell r="H1820" t="str">
            <v>blue</v>
          </cell>
          <cell r="I1820">
            <v>6</v>
          </cell>
          <cell r="J1820" t="str">
            <v>DropWizS</v>
          </cell>
          <cell r="K1820" t="str">
            <v>balance</v>
          </cell>
          <cell r="L1820" t="str">
            <v>バランスタイプ</v>
          </cell>
          <cell r="M1820" t="str">
            <v>god</v>
          </cell>
          <cell r="N1820" t="str">
            <v>ゴッド</v>
          </cell>
          <cell r="O1820" t="str">
            <v>none</v>
          </cell>
          <cell r="P1820" t="str">
            <v>種族なし</v>
          </cell>
          <cell r="R1820">
            <v>1</v>
          </cell>
          <cell r="S1820" t="str">
            <v>NULL</v>
          </cell>
          <cell r="T1820" t="str">
            <v>normal</v>
          </cell>
          <cell r="U1820" t="str">
            <v>NULL</v>
          </cell>
          <cell r="V1820" t="str">
            <v>NULL</v>
          </cell>
          <cell r="W1820" t="str">
            <v>NULL</v>
          </cell>
        </row>
        <row r="1821">
          <cell r="A1821">
            <v>10039</v>
          </cell>
          <cell r="B1821" t="str">
            <v>ja</v>
          </cell>
          <cell r="C1821" t="str">
            <v>テストユニット39</v>
          </cell>
          <cell r="H1821" t="str">
            <v>green</v>
          </cell>
          <cell r="I1821">
            <v>6</v>
          </cell>
          <cell r="J1821" t="str">
            <v>PremiumSS</v>
          </cell>
          <cell r="K1821" t="str">
            <v>balance</v>
          </cell>
          <cell r="L1821" t="str">
            <v>バランスタイプ</v>
          </cell>
          <cell r="M1821" t="str">
            <v>unknown</v>
          </cell>
          <cell r="N1821" t="str">
            <v>Unknown</v>
          </cell>
          <cell r="O1821" t="str">
            <v>none</v>
          </cell>
          <cell r="P1821" t="str">
            <v>種族なし</v>
          </cell>
          <cell r="R1821">
            <v>1</v>
          </cell>
          <cell r="S1821" t="str">
            <v>NULL</v>
          </cell>
          <cell r="T1821" t="str">
            <v>normal</v>
          </cell>
          <cell r="U1821" t="str">
            <v>NULL</v>
          </cell>
          <cell r="V1821" t="str">
            <v>NULL</v>
          </cell>
          <cell r="W1821" t="str">
            <v>NULL</v>
          </cell>
        </row>
        <row r="1822">
          <cell r="A1822">
            <v>10040</v>
          </cell>
          <cell r="B1822" t="str">
            <v>ja</v>
          </cell>
          <cell r="C1822" t="str">
            <v>テストユニット40</v>
          </cell>
          <cell r="H1822" t="str">
            <v>yellow</v>
          </cell>
          <cell r="I1822">
            <v>6</v>
          </cell>
          <cell r="J1822" t="str">
            <v>PremiumSS</v>
          </cell>
          <cell r="K1822" t="str">
            <v>balance</v>
          </cell>
          <cell r="L1822" t="str">
            <v>バランスタイプ</v>
          </cell>
          <cell r="M1822" t="str">
            <v>unknown</v>
          </cell>
          <cell r="N1822" t="str">
            <v>Unknown</v>
          </cell>
          <cell r="O1822" t="str">
            <v>none</v>
          </cell>
          <cell r="P1822" t="str">
            <v>種族なし</v>
          </cell>
          <cell r="R1822">
            <v>1</v>
          </cell>
          <cell r="S1822" t="str">
            <v>NULL</v>
          </cell>
          <cell r="T1822" t="str">
            <v>normal</v>
          </cell>
          <cell r="U1822" t="str">
            <v>NULL</v>
          </cell>
          <cell r="V1822" t="str">
            <v>NULL</v>
          </cell>
          <cell r="W1822" t="str">
            <v>NULL</v>
          </cell>
        </row>
        <row r="1823">
          <cell r="A1823">
            <v>10041</v>
          </cell>
          <cell r="B1823" t="str">
            <v>ja</v>
          </cell>
          <cell r="C1823" t="str">
            <v>テストユニット41</v>
          </cell>
          <cell r="H1823" t="str">
            <v>red</v>
          </cell>
          <cell r="I1823">
            <v>6</v>
          </cell>
          <cell r="J1823" t="str">
            <v>PremiumSS</v>
          </cell>
          <cell r="K1823" t="str">
            <v>balance</v>
          </cell>
          <cell r="L1823" t="str">
            <v>バランスタイプ</v>
          </cell>
          <cell r="M1823" t="str">
            <v>unknown</v>
          </cell>
          <cell r="N1823" t="str">
            <v>Unknown</v>
          </cell>
          <cell r="O1823" t="str">
            <v>none</v>
          </cell>
          <cell r="P1823" t="str">
            <v>種族なし</v>
          </cell>
          <cell r="R1823">
            <v>1</v>
          </cell>
          <cell r="S1823" t="str">
            <v>NULL</v>
          </cell>
          <cell r="T1823" t="str">
            <v>normal</v>
          </cell>
          <cell r="U1823" t="str">
            <v>NULL</v>
          </cell>
          <cell r="V1823" t="str">
            <v>NULL</v>
          </cell>
          <cell r="W1823" t="str">
            <v>NULL</v>
          </cell>
        </row>
        <row r="1824">
          <cell r="A1824">
            <v>10042</v>
          </cell>
          <cell r="B1824" t="str">
            <v>ja</v>
          </cell>
          <cell r="C1824" t="str">
            <v>テストユニット42</v>
          </cell>
          <cell r="H1824" t="str">
            <v>blue</v>
          </cell>
          <cell r="I1824">
            <v>6</v>
          </cell>
          <cell r="J1824" t="str">
            <v>PremiumSS</v>
          </cell>
          <cell r="K1824" t="str">
            <v>balance</v>
          </cell>
          <cell r="L1824" t="str">
            <v>バランスタイプ</v>
          </cell>
          <cell r="M1824" t="str">
            <v>unknown</v>
          </cell>
          <cell r="N1824" t="str">
            <v>Unknown</v>
          </cell>
          <cell r="O1824" t="str">
            <v>none</v>
          </cell>
          <cell r="P1824" t="str">
            <v>種族なし</v>
          </cell>
          <cell r="R1824">
            <v>1</v>
          </cell>
          <cell r="S1824" t="str">
            <v>NULL</v>
          </cell>
          <cell r="T1824" t="str">
            <v>normal</v>
          </cell>
          <cell r="U1824" t="str">
            <v>NULL</v>
          </cell>
          <cell r="V1824" t="str">
            <v>NULL</v>
          </cell>
          <cell r="W1824" t="str">
            <v>NULL</v>
          </cell>
        </row>
        <row r="1825">
          <cell r="A1825">
            <v>10043</v>
          </cell>
          <cell r="B1825" t="str">
            <v>ja</v>
          </cell>
          <cell r="C1825" t="str">
            <v>テストユニット43</v>
          </cell>
          <cell r="H1825" t="str">
            <v>green</v>
          </cell>
          <cell r="I1825">
            <v>6</v>
          </cell>
          <cell r="J1825" t="str">
            <v>PremiumSS</v>
          </cell>
          <cell r="K1825" t="str">
            <v>balance</v>
          </cell>
          <cell r="L1825" t="str">
            <v>バランスタイプ</v>
          </cell>
          <cell r="M1825" t="str">
            <v>unknown</v>
          </cell>
          <cell r="N1825" t="str">
            <v>Unknown</v>
          </cell>
          <cell r="O1825" t="str">
            <v>none</v>
          </cell>
          <cell r="P1825" t="str">
            <v>種族なし</v>
          </cell>
          <cell r="R1825">
            <v>1</v>
          </cell>
          <cell r="S1825" t="str">
            <v>NULL</v>
          </cell>
          <cell r="T1825" t="str">
            <v>normal</v>
          </cell>
          <cell r="U1825" t="str">
            <v>NULL</v>
          </cell>
          <cell r="V1825" t="str">
            <v>NULL</v>
          </cell>
          <cell r="W1825" t="str">
            <v>NULL</v>
          </cell>
        </row>
        <row r="1826">
          <cell r="A1826">
            <v>10044</v>
          </cell>
          <cell r="B1826" t="str">
            <v>ja</v>
          </cell>
          <cell r="C1826" t="str">
            <v>テストユニット44</v>
          </cell>
          <cell r="H1826" t="str">
            <v>yellow</v>
          </cell>
          <cell r="I1826">
            <v>6</v>
          </cell>
          <cell r="J1826" t="str">
            <v>PremiumSS</v>
          </cell>
          <cell r="K1826" t="str">
            <v>balance</v>
          </cell>
          <cell r="L1826" t="str">
            <v>バランスタイプ</v>
          </cell>
          <cell r="M1826" t="str">
            <v>unknown</v>
          </cell>
          <cell r="N1826" t="str">
            <v>Unknown</v>
          </cell>
          <cell r="O1826" t="str">
            <v>none</v>
          </cell>
          <cell r="P1826" t="str">
            <v>種族なし</v>
          </cell>
          <cell r="R1826">
            <v>1</v>
          </cell>
          <cell r="S1826" t="str">
            <v>NULL</v>
          </cell>
          <cell r="T1826" t="str">
            <v>normal</v>
          </cell>
          <cell r="U1826" t="str">
            <v>NULL</v>
          </cell>
          <cell r="V1826" t="str">
            <v>NULL</v>
          </cell>
          <cell r="W1826" t="str">
            <v>NULL</v>
          </cell>
        </row>
        <row r="1827">
          <cell r="A1827">
            <v>10045</v>
          </cell>
          <cell r="B1827" t="str">
            <v>ja</v>
          </cell>
          <cell r="C1827" t="str">
            <v>テストユニット45</v>
          </cell>
          <cell r="H1827" t="str">
            <v>red</v>
          </cell>
          <cell r="I1827">
            <v>6</v>
          </cell>
          <cell r="J1827" t="str">
            <v>PremiumSS</v>
          </cell>
          <cell r="K1827" t="str">
            <v>balance</v>
          </cell>
          <cell r="L1827" t="str">
            <v>バランスタイプ</v>
          </cell>
          <cell r="M1827" t="str">
            <v>unknown</v>
          </cell>
          <cell r="N1827" t="str">
            <v>Unknown</v>
          </cell>
          <cell r="O1827" t="str">
            <v>none</v>
          </cell>
          <cell r="P1827" t="str">
            <v>種族なし</v>
          </cell>
          <cell r="R1827">
            <v>1</v>
          </cell>
          <cell r="S1827" t="str">
            <v>NULL</v>
          </cell>
          <cell r="T1827" t="str">
            <v>normal</v>
          </cell>
          <cell r="U1827" t="str">
            <v>NULL</v>
          </cell>
          <cell r="V1827" t="str">
            <v>NULL</v>
          </cell>
          <cell r="W1827" t="str">
            <v>NULL</v>
          </cell>
        </row>
        <row r="1828">
          <cell r="A1828">
            <v>10046</v>
          </cell>
          <cell r="B1828" t="str">
            <v>ja</v>
          </cell>
          <cell r="C1828" t="str">
            <v>テストユニット46</v>
          </cell>
          <cell r="H1828" t="str">
            <v>blue</v>
          </cell>
          <cell r="I1828">
            <v>6</v>
          </cell>
          <cell r="J1828" t="str">
            <v>PremiumSS</v>
          </cell>
          <cell r="K1828" t="str">
            <v>balance</v>
          </cell>
          <cell r="L1828" t="str">
            <v>バランスタイプ</v>
          </cell>
          <cell r="M1828" t="str">
            <v>unknown</v>
          </cell>
          <cell r="N1828" t="str">
            <v>Unknown</v>
          </cell>
          <cell r="O1828" t="str">
            <v>none</v>
          </cell>
          <cell r="P1828" t="str">
            <v>種族なし</v>
          </cell>
          <cell r="R1828">
            <v>1</v>
          </cell>
          <cell r="S1828" t="str">
            <v>NULL</v>
          </cell>
          <cell r="T1828" t="str">
            <v>normal</v>
          </cell>
          <cell r="U1828" t="str">
            <v>NULL</v>
          </cell>
          <cell r="V1828" t="str">
            <v>NULL</v>
          </cell>
          <cell r="W1828" t="str">
            <v>NULL</v>
          </cell>
        </row>
        <row r="1829">
          <cell r="A1829">
            <v>10047</v>
          </cell>
          <cell r="B1829" t="str">
            <v>ja</v>
          </cell>
          <cell r="C1829" t="str">
            <v>テストユニット47</v>
          </cell>
          <cell r="H1829" t="str">
            <v>green</v>
          </cell>
          <cell r="I1829">
            <v>6</v>
          </cell>
          <cell r="J1829" t="str">
            <v>PremiumSS</v>
          </cell>
          <cell r="K1829" t="str">
            <v>balance</v>
          </cell>
          <cell r="L1829" t="str">
            <v>バランスタイプ</v>
          </cell>
          <cell r="M1829" t="str">
            <v>unknown</v>
          </cell>
          <cell r="N1829" t="str">
            <v>Unknown</v>
          </cell>
          <cell r="O1829" t="str">
            <v>none</v>
          </cell>
          <cell r="P1829" t="str">
            <v>種族なし</v>
          </cell>
          <cell r="R1829">
            <v>1</v>
          </cell>
          <cell r="S1829" t="str">
            <v>NULL</v>
          </cell>
          <cell r="T1829" t="str">
            <v>normal</v>
          </cell>
          <cell r="U1829" t="str">
            <v>NULL</v>
          </cell>
          <cell r="V1829" t="str">
            <v>NULL</v>
          </cell>
          <cell r="W1829" t="str">
            <v>NULL</v>
          </cell>
        </row>
        <row r="1830">
          <cell r="A1830">
            <v>10048</v>
          </cell>
          <cell r="B1830" t="str">
            <v>ja</v>
          </cell>
          <cell r="C1830" t="str">
            <v>テストユニット48</v>
          </cell>
          <cell r="H1830" t="str">
            <v>yellow</v>
          </cell>
          <cell r="I1830">
            <v>6</v>
          </cell>
          <cell r="J1830" t="str">
            <v>PremiumSS</v>
          </cell>
          <cell r="K1830" t="str">
            <v>balance</v>
          </cell>
          <cell r="L1830" t="str">
            <v>バランスタイプ</v>
          </cell>
          <cell r="M1830" t="str">
            <v>unknown</v>
          </cell>
          <cell r="N1830" t="str">
            <v>Unknown</v>
          </cell>
          <cell r="O1830" t="str">
            <v>none</v>
          </cell>
          <cell r="P1830" t="str">
            <v>種族なし</v>
          </cell>
          <cell r="R1830">
            <v>1</v>
          </cell>
          <cell r="S1830" t="str">
            <v>NULL</v>
          </cell>
          <cell r="T1830" t="str">
            <v>normal</v>
          </cell>
          <cell r="U1830" t="str">
            <v>NULL</v>
          </cell>
          <cell r="V1830" t="str">
            <v>NULL</v>
          </cell>
          <cell r="W1830" t="str">
            <v>NULL</v>
          </cell>
        </row>
        <row r="1831">
          <cell r="A1831">
            <v>10049</v>
          </cell>
          <cell r="B1831" t="str">
            <v>ja</v>
          </cell>
          <cell r="C1831" t="str">
            <v>テストユニット49</v>
          </cell>
          <cell r="H1831" t="str">
            <v>red</v>
          </cell>
          <cell r="I1831">
            <v>6</v>
          </cell>
          <cell r="J1831" t="str">
            <v>PremiumSS</v>
          </cell>
          <cell r="K1831" t="str">
            <v>balance</v>
          </cell>
          <cell r="L1831" t="str">
            <v>バランスタイプ</v>
          </cell>
          <cell r="M1831" t="str">
            <v>unknown</v>
          </cell>
          <cell r="N1831" t="str">
            <v>Unknown</v>
          </cell>
          <cell r="O1831" t="str">
            <v>none</v>
          </cell>
          <cell r="P1831" t="str">
            <v>種族なし</v>
          </cell>
          <cell r="R1831">
            <v>1</v>
          </cell>
          <cell r="S1831" t="str">
            <v>NULL</v>
          </cell>
          <cell r="T1831" t="str">
            <v>normal</v>
          </cell>
          <cell r="U1831" t="str">
            <v>NULL</v>
          </cell>
          <cell r="V1831" t="str">
            <v>NULL</v>
          </cell>
          <cell r="W1831" t="str">
            <v>NULL</v>
          </cell>
        </row>
        <row r="1832">
          <cell r="A1832">
            <v>10050</v>
          </cell>
          <cell r="B1832" t="str">
            <v>ja</v>
          </cell>
          <cell r="C1832" t="str">
            <v>テストユニット50</v>
          </cell>
          <cell r="H1832" t="str">
            <v>blue</v>
          </cell>
          <cell r="I1832">
            <v>6</v>
          </cell>
          <cell r="J1832" t="str">
            <v>PremiumSS</v>
          </cell>
          <cell r="K1832" t="str">
            <v>balance</v>
          </cell>
          <cell r="L1832" t="str">
            <v>バランスタイプ</v>
          </cell>
          <cell r="M1832" t="str">
            <v>unknown</v>
          </cell>
          <cell r="N1832" t="str">
            <v>Unknown</v>
          </cell>
          <cell r="O1832" t="str">
            <v>none</v>
          </cell>
          <cell r="P1832" t="str">
            <v>種族なし</v>
          </cell>
          <cell r="R1832">
            <v>1</v>
          </cell>
          <cell r="S1832" t="str">
            <v>NULL</v>
          </cell>
          <cell r="T1832" t="str">
            <v>normal</v>
          </cell>
          <cell r="U1832" t="str">
            <v>NULL</v>
          </cell>
          <cell r="V1832" t="str">
            <v>NULL</v>
          </cell>
          <cell r="W1832" t="str">
            <v>NULL</v>
          </cell>
        </row>
        <row r="1833">
          <cell r="A1833">
            <v>10051</v>
          </cell>
          <cell r="B1833" t="str">
            <v>ja</v>
          </cell>
          <cell r="C1833" t="str">
            <v>テストユニット51</v>
          </cell>
          <cell r="H1833" t="str">
            <v>green</v>
          </cell>
          <cell r="I1833">
            <v>6</v>
          </cell>
          <cell r="J1833" t="str">
            <v>PremiumSS</v>
          </cell>
          <cell r="K1833" t="str">
            <v>balance</v>
          </cell>
          <cell r="L1833" t="str">
            <v>バランスタイプ</v>
          </cell>
          <cell r="M1833" t="str">
            <v>unknown</v>
          </cell>
          <cell r="N1833" t="str">
            <v>Unknown</v>
          </cell>
          <cell r="O1833" t="str">
            <v>none</v>
          </cell>
          <cell r="P1833" t="str">
            <v>種族なし</v>
          </cell>
          <cell r="R1833">
            <v>1</v>
          </cell>
          <cell r="S1833" t="str">
            <v>NULL</v>
          </cell>
          <cell r="T1833" t="str">
            <v>normal</v>
          </cell>
          <cell r="U1833" t="str">
            <v>NULL</v>
          </cell>
          <cell r="V1833" t="str">
            <v>NULL</v>
          </cell>
          <cell r="W1833" t="str">
            <v>NULL</v>
          </cell>
        </row>
        <row r="1834">
          <cell r="A1834">
            <v>10052</v>
          </cell>
          <cell r="B1834" t="str">
            <v>ja</v>
          </cell>
          <cell r="C1834" t="str">
            <v>テストユニット52</v>
          </cell>
          <cell r="H1834" t="str">
            <v>yellow</v>
          </cell>
          <cell r="I1834">
            <v>6</v>
          </cell>
          <cell r="J1834" t="str">
            <v>PremiumSS</v>
          </cell>
          <cell r="K1834" t="str">
            <v>balance</v>
          </cell>
          <cell r="L1834" t="str">
            <v>バランスタイプ</v>
          </cell>
          <cell r="M1834" t="str">
            <v>unknown</v>
          </cell>
          <cell r="N1834" t="str">
            <v>Unknown</v>
          </cell>
          <cell r="O1834" t="str">
            <v>none</v>
          </cell>
          <cell r="P1834" t="str">
            <v>種族なし</v>
          </cell>
          <cell r="R1834">
            <v>1</v>
          </cell>
          <cell r="S1834" t="str">
            <v>NULL</v>
          </cell>
          <cell r="T1834" t="str">
            <v>normal</v>
          </cell>
          <cell r="U1834" t="str">
            <v>NULL</v>
          </cell>
          <cell r="V1834" t="str">
            <v>NULL</v>
          </cell>
          <cell r="W1834" t="str">
            <v>NULL</v>
          </cell>
        </row>
        <row r="1835">
          <cell r="A1835">
            <v>10053</v>
          </cell>
          <cell r="B1835" t="str">
            <v>ja</v>
          </cell>
          <cell r="C1835" t="str">
            <v>テストユニット53</v>
          </cell>
          <cell r="H1835" t="str">
            <v>red</v>
          </cell>
          <cell r="I1835">
            <v>6</v>
          </cell>
          <cell r="J1835" t="str">
            <v>PremiumSS</v>
          </cell>
          <cell r="K1835" t="str">
            <v>balance</v>
          </cell>
          <cell r="L1835" t="str">
            <v>バランスタイプ</v>
          </cell>
          <cell r="M1835" t="str">
            <v>unknown</v>
          </cell>
          <cell r="N1835" t="str">
            <v>Unknown</v>
          </cell>
          <cell r="O1835" t="str">
            <v>none</v>
          </cell>
          <cell r="P1835" t="str">
            <v>種族なし</v>
          </cell>
          <cell r="R1835">
            <v>1</v>
          </cell>
          <cell r="S1835" t="str">
            <v>NULL</v>
          </cell>
          <cell r="T1835" t="str">
            <v>normal</v>
          </cell>
          <cell r="U1835" t="str">
            <v>NULL</v>
          </cell>
          <cell r="V1835" t="str">
            <v>NULL</v>
          </cell>
          <cell r="W1835" t="str">
            <v>NULL</v>
          </cell>
        </row>
        <row r="1836">
          <cell r="A1836">
            <v>10054</v>
          </cell>
          <cell r="B1836" t="str">
            <v>ja</v>
          </cell>
          <cell r="C1836" t="str">
            <v>テストユニット54</v>
          </cell>
          <cell r="H1836" t="str">
            <v>blue</v>
          </cell>
          <cell r="I1836">
            <v>6</v>
          </cell>
          <cell r="J1836" t="str">
            <v>PremiumSS</v>
          </cell>
          <cell r="K1836" t="str">
            <v>balance</v>
          </cell>
          <cell r="L1836" t="str">
            <v>バランスタイプ</v>
          </cell>
          <cell r="M1836" t="str">
            <v>unknown</v>
          </cell>
          <cell r="N1836" t="str">
            <v>Unknown</v>
          </cell>
          <cell r="O1836" t="str">
            <v>none</v>
          </cell>
          <cell r="P1836" t="str">
            <v>種族なし</v>
          </cell>
          <cell r="R1836">
            <v>1</v>
          </cell>
          <cell r="S1836" t="str">
            <v>NULL</v>
          </cell>
          <cell r="T1836" t="str">
            <v>normal</v>
          </cell>
          <cell r="U1836" t="str">
            <v>NULL</v>
          </cell>
          <cell r="V1836" t="str">
            <v>NULL</v>
          </cell>
          <cell r="W1836" t="str">
            <v>NULL</v>
          </cell>
        </row>
        <row r="1837">
          <cell r="A1837">
            <v>10055</v>
          </cell>
          <cell r="B1837" t="str">
            <v>ja</v>
          </cell>
          <cell r="C1837" t="str">
            <v>テストユニット55</v>
          </cell>
          <cell r="H1837" t="str">
            <v>green</v>
          </cell>
          <cell r="I1837">
            <v>6</v>
          </cell>
          <cell r="J1837" t="str">
            <v>PremiumSS</v>
          </cell>
          <cell r="K1837" t="str">
            <v>balance</v>
          </cell>
          <cell r="L1837" t="str">
            <v>バランスタイプ</v>
          </cell>
          <cell r="M1837" t="str">
            <v>unknown</v>
          </cell>
          <cell r="N1837" t="str">
            <v>Unknown</v>
          </cell>
          <cell r="O1837" t="str">
            <v>none</v>
          </cell>
          <cell r="P1837" t="str">
            <v>種族なし</v>
          </cell>
          <cell r="R1837">
            <v>1</v>
          </cell>
          <cell r="S1837" t="str">
            <v>NULL</v>
          </cell>
          <cell r="T1837" t="str">
            <v>normal</v>
          </cell>
          <cell r="U1837" t="str">
            <v>NULL</v>
          </cell>
          <cell r="V1837" t="str">
            <v>NULL</v>
          </cell>
          <cell r="W1837" t="str">
            <v>NULL</v>
          </cell>
        </row>
        <row r="1838">
          <cell r="A1838">
            <v>10056</v>
          </cell>
          <cell r="B1838" t="str">
            <v>ja</v>
          </cell>
          <cell r="C1838" t="str">
            <v>テストユニット56</v>
          </cell>
          <cell r="H1838" t="str">
            <v>yellow</v>
          </cell>
          <cell r="I1838">
            <v>6</v>
          </cell>
          <cell r="J1838" t="str">
            <v>PremiumSS</v>
          </cell>
          <cell r="K1838" t="str">
            <v>balance</v>
          </cell>
          <cell r="L1838" t="str">
            <v>バランスタイプ</v>
          </cell>
          <cell r="M1838" t="str">
            <v>unknown</v>
          </cell>
          <cell r="N1838" t="str">
            <v>Unknown</v>
          </cell>
          <cell r="O1838" t="str">
            <v>none</v>
          </cell>
          <cell r="P1838" t="str">
            <v>種族なし</v>
          </cell>
          <cell r="R1838">
            <v>1</v>
          </cell>
          <cell r="S1838" t="str">
            <v>NULL</v>
          </cell>
          <cell r="T1838" t="str">
            <v>normal</v>
          </cell>
          <cell r="U1838" t="str">
            <v>NULL</v>
          </cell>
          <cell r="V1838" t="str">
            <v>NULL</v>
          </cell>
          <cell r="W1838" t="str">
            <v>NULL</v>
          </cell>
        </row>
        <row r="1839">
          <cell r="A1839">
            <v>10057</v>
          </cell>
          <cell r="B1839" t="str">
            <v>ja</v>
          </cell>
          <cell r="C1839" t="str">
            <v>テストユニット57</v>
          </cell>
          <cell r="H1839" t="str">
            <v>red</v>
          </cell>
          <cell r="I1839">
            <v>6</v>
          </cell>
          <cell r="J1839" t="str">
            <v>PremiumSS</v>
          </cell>
          <cell r="K1839" t="str">
            <v>balance</v>
          </cell>
          <cell r="L1839" t="str">
            <v>バランスタイプ</v>
          </cell>
          <cell r="M1839" t="str">
            <v>unknown</v>
          </cell>
          <cell r="N1839" t="str">
            <v>Unknown</v>
          </cell>
          <cell r="O1839" t="str">
            <v>none</v>
          </cell>
          <cell r="P1839" t="str">
            <v>種族なし</v>
          </cell>
          <cell r="R1839">
            <v>1</v>
          </cell>
          <cell r="S1839" t="str">
            <v>NULL</v>
          </cell>
          <cell r="T1839" t="str">
            <v>normal</v>
          </cell>
          <cell r="U1839" t="str">
            <v>NULL</v>
          </cell>
          <cell r="V1839" t="str">
            <v>NULL</v>
          </cell>
          <cell r="W1839" t="str">
            <v>NULL</v>
          </cell>
        </row>
        <row r="1840">
          <cell r="A1840">
            <v>10058</v>
          </cell>
          <cell r="B1840" t="str">
            <v>ja</v>
          </cell>
          <cell r="C1840" t="str">
            <v>テストユニット58</v>
          </cell>
          <cell r="H1840" t="str">
            <v>blue</v>
          </cell>
          <cell r="I1840">
            <v>6</v>
          </cell>
          <cell r="J1840" t="str">
            <v>PremiumSS</v>
          </cell>
          <cell r="K1840" t="str">
            <v>balance</v>
          </cell>
          <cell r="L1840" t="str">
            <v>バランスタイプ</v>
          </cell>
          <cell r="M1840" t="str">
            <v>unknown</v>
          </cell>
          <cell r="N1840" t="str">
            <v>Unknown</v>
          </cell>
          <cell r="O1840" t="str">
            <v>none</v>
          </cell>
          <cell r="P1840" t="str">
            <v>種族なし</v>
          </cell>
          <cell r="R1840">
            <v>1</v>
          </cell>
          <cell r="S1840" t="str">
            <v>NULL</v>
          </cell>
          <cell r="T1840" t="str">
            <v>normal</v>
          </cell>
          <cell r="U1840" t="str">
            <v>NULL</v>
          </cell>
          <cell r="V1840" t="str">
            <v>NULL</v>
          </cell>
          <cell r="W1840" t="str">
            <v>NULL</v>
          </cell>
        </row>
        <row r="1841">
          <cell r="A1841">
            <v>10059</v>
          </cell>
          <cell r="B1841" t="str">
            <v>ja</v>
          </cell>
          <cell r="C1841" t="str">
            <v>テストユニット59</v>
          </cell>
          <cell r="H1841" t="str">
            <v>green</v>
          </cell>
          <cell r="I1841">
            <v>6</v>
          </cell>
          <cell r="J1841" t="str">
            <v>PremiumSS</v>
          </cell>
          <cell r="K1841" t="str">
            <v>balance</v>
          </cell>
          <cell r="L1841" t="str">
            <v>バランスタイプ</v>
          </cell>
          <cell r="M1841" t="str">
            <v>unknown</v>
          </cell>
          <cell r="N1841" t="str">
            <v>Unknown</v>
          </cell>
          <cell r="O1841" t="str">
            <v>none</v>
          </cell>
          <cell r="P1841" t="str">
            <v>種族なし</v>
          </cell>
          <cell r="R1841">
            <v>1</v>
          </cell>
          <cell r="S1841" t="str">
            <v>NULL</v>
          </cell>
          <cell r="T1841" t="str">
            <v>normal</v>
          </cell>
          <cell r="U1841" t="str">
            <v>NULL</v>
          </cell>
          <cell r="V1841" t="str">
            <v>NULL</v>
          </cell>
          <cell r="W1841" t="str">
            <v>NULL</v>
          </cell>
        </row>
        <row r="1842">
          <cell r="A1842">
            <v>10060</v>
          </cell>
          <cell r="B1842" t="str">
            <v>ja</v>
          </cell>
          <cell r="C1842" t="str">
            <v>テストユニット60</v>
          </cell>
          <cell r="H1842" t="str">
            <v>yellow</v>
          </cell>
          <cell r="I1842">
            <v>6</v>
          </cell>
          <cell r="J1842" t="str">
            <v>PremiumSS</v>
          </cell>
          <cell r="K1842" t="str">
            <v>balance</v>
          </cell>
          <cell r="L1842" t="str">
            <v>バランスタイプ</v>
          </cell>
          <cell r="M1842" t="str">
            <v>unknown</v>
          </cell>
          <cell r="N1842" t="str">
            <v>Unknown</v>
          </cell>
          <cell r="O1842" t="str">
            <v>none</v>
          </cell>
          <cell r="P1842" t="str">
            <v>種族なし</v>
          </cell>
          <cell r="R1842">
            <v>1</v>
          </cell>
          <cell r="S1842" t="str">
            <v>NULL</v>
          </cell>
          <cell r="T1842" t="str">
            <v>normal</v>
          </cell>
          <cell r="U1842" t="str">
            <v>NULL</v>
          </cell>
          <cell r="V1842" t="str">
            <v>NULL</v>
          </cell>
          <cell r="W1842" t="str">
            <v>NULL</v>
          </cell>
        </row>
        <row r="1843">
          <cell r="A1843">
            <v>10061</v>
          </cell>
          <cell r="B1843" t="str">
            <v>ja</v>
          </cell>
          <cell r="C1843" t="str">
            <v>テストユニット61</v>
          </cell>
          <cell r="H1843" t="str">
            <v>red</v>
          </cell>
          <cell r="I1843">
            <v>6</v>
          </cell>
          <cell r="J1843" t="str">
            <v>PremiumSS</v>
          </cell>
          <cell r="K1843" t="str">
            <v>balance</v>
          </cell>
          <cell r="L1843" t="str">
            <v>バランスタイプ</v>
          </cell>
          <cell r="M1843" t="str">
            <v>unknown</v>
          </cell>
          <cell r="N1843" t="str">
            <v>Unknown</v>
          </cell>
          <cell r="O1843" t="str">
            <v>none</v>
          </cell>
          <cell r="P1843" t="str">
            <v>種族なし</v>
          </cell>
          <cell r="R1843">
            <v>1</v>
          </cell>
          <cell r="S1843" t="str">
            <v>NULL</v>
          </cell>
          <cell r="T1843" t="str">
            <v>normal</v>
          </cell>
          <cell r="U1843" t="str">
            <v>NULL</v>
          </cell>
          <cell r="V1843" t="str">
            <v>NULL</v>
          </cell>
          <cell r="W1843" t="str">
            <v>NULL</v>
          </cell>
        </row>
        <row r="1844">
          <cell r="A1844">
            <v>10062</v>
          </cell>
          <cell r="B1844" t="str">
            <v>ja</v>
          </cell>
          <cell r="C1844" t="str">
            <v>テストユニット62</v>
          </cell>
          <cell r="H1844" t="str">
            <v>blue</v>
          </cell>
          <cell r="I1844">
            <v>6</v>
          </cell>
          <cell r="J1844" t="str">
            <v>PremiumSS</v>
          </cell>
          <cell r="K1844" t="str">
            <v>balance</v>
          </cell>
          <cell r="L1844" t="str">
            <v>バランスタイプ</v>
          </cell>
          <cell r="M1844" t="str">
            <v>unknown</v>
          </cell>
          <cell r="N1844" t="str">
            <v>Unknown</v>
          </cell>
          <cell r="O1844" t="str">
            <v>none</v>
          </cell>
          <cell r="P1844" t="str">
            <v>種族なし</v>
          </cell>
          <cell r="R1844">
            <v>1</v>
          </cell>
          <cell r="S1844" t="str">
            <v>NULL</v>
          </cell>
          <cell r="T1844" t="str">
            <v>normal</v>
          </cell>
          <cell r="U1844" t="str">
            <v>NULL</v>
          </cell>
          <cell r="V1844" t="str">
            <v>NULL</v>
          </cell>
          <cell r="W1844" t="str">
            <v>NULL</v>
          </cell>
        </row>
        <row r="1845">
          <cell r="A1845">
            <v>10063</v>
          </cell>
          <cell r="B1845" t="str">
            <v>ja</v>
          </cell>
          <cell r="C1845" t="str">
            <v>テストユニット63</v>
          </cell>
          <cell r="H1845" t="str">
            <v>green</v>
          </cell>
          <cell r="I1845">
            <v>6</v>
          </cell>
          <cell r="J1845" t="str">
            <v>PremiumSS</v>
          </cell>
          <cell r="K1845" t="str">
            <v>balance</v>
          </cell>
          <cell r="L1845" t="str">
            <v>バランスタイプ</v>
          </cell>
          <cell r="M1845" t="str">
            <v>unknown</v>
          </cell>
          <cell r="N1845" t="str">
            <v>Unknown</v>
          </cell>
          <cell r="O1845" t="str">
            <v>none</v>
          </cell>
          <cell r="P1845" t="str">
            <v>種族なし</v>
          </cell>
          <cell r="R1845">
            <v>1</v>
          </cell>
          <cell r="S1845" t="str">
            <v>NULL</v>
          </cell>
          <cell r="T1845" t="str">
            <v>normal</v>
          </cell>
          <cell r="U1845" t="str">
            <v>NULL</v>
          </cell>
          <cell r="V1845" t="str">
            <v>NULL</v>
          </cell>
          <cell r="W1845" t="str">
            <v>NULL</v>
          </cell>
        </row>
        <row r="1846">
          <cell r="A1846">
            <v>10064</v>
          </cell>
          <cell r="B1846" t="str">
            <v>ja</v>
          </cell>
          <cell r="C1846" t="str">
            <v>テストユニット64</v>
          </cell>
          <cell r="H1846" t="str">
            <v>yellow</v>
          </cell>
          <cell r="I1846">
            <v>6</v>
          </cell>
          <cell r="J1846" t="str">
            <v>PremiumSS</v>
          </cell>
          <cell r="K1846" t="str">
            <v>balance</v>
          </cell>
          <cell r="L1846" t="str">
            <v>バランスタイプ</v>
          </cell>
          <cell r="M1846" t="str">
            <v>unknown</v>
          </cell>
          <cell r="N1846" t="str">
            <v>Unknown</v>
          </cell>
          <cell r="O1846" t="str">
            <v>none</v>
          </cell>
          <cell r="P1846" t="str">
            <v>種族なし</v>
          </cell>
          <cell r="R1846">
            <v>1</v>
          </cell>
          <cell r="S1846" t="str">
            <v>NULL</v>
          </cell>
          <cell r="T1846" t="str">
            <v>normal</v>
          </cell>
          <cell r="U1846" t="str">
            <v>NULL</v>
          </cell>
          <cell r="V1846" t="str">
            <v>NULL</v>
          </cell>
          <cell r="W1846" t="str">
            <v>NULL</v>
          </cell>
        </row>
        <row r="1847">
          <cell r="A1847">
            <v>10065</v>
          </cell>
          <cell r="B1847" t="str">
            <v>ja</v>
          </cell>
          <cell r="C1847" t="str">
            <v>テストユニット65</v>
          </cell>
          <cell r="H1847" t="str">
            <v>red</v>
          </cell>
          <cell r="I1847">
            <v>6</v>
          </cell>
          <cell r="J1847" t="str">
            <v>PremiumSS</v>
          </cell>
          <cell r="K1847" t="str">
            <v>balance</v>
          </cell>
          <cell r="L1847" t="str">
            <v>バランスタイプ</v>
          </cell>
          <cell r="M1847" t="str">
            <v>unknown</v>
          </cell>
          <cell r="N1847" t="str">
            <v>Unknown</v>
          </cell>
          <cell r="O1847" t="str">
            <v>none</v>
          </cell>
          <cell r="P1847" t="str">
            <v>種族なし</v>
          </cell>
          <cell r="R1847">
            <v>1</v>
          </cell>
          <cell r="S1847" t="str">
            <v>NULL</v>
          </cell>
          <cell r="T1847" t="str">
            <v>normal</v>
          </cell>
          <cell r="U1847" t="str">
            <v>NULL</v>
          </cell>
          <cell r="V1847" t="str">
            <v>NULL</v>
          </cell>
          <cell r="W1847" t="str">
            <v>NULL</v>
          </cell>
        </row>
        <row r="1848">
          <cell r="A1848">
            <v>10066</v>
          </cell>
          <cell r="B1848" t="str">
            <v>ja</v>
          </cell>
          <cell r="C1848" t="str">
            <v>テストユニット66</v>
          </cell>
          <cell r="H1848" t="str">
            <v>blue</v>
          </cell>
          <cell r="I1848">
            <v>6</v>
          </cell>
          <cell r="J1848" t="str">
            <v>PremiumSS</v>
          </cell>
          <cell r="K1848" t="str">
            <v>balance</v>
          </cell>
          <cell r="L1848" t="str">
            <v>バランスタイプ</v>
          </cell>
          <cell r="M1848" t="str">
            <v>unknown</v>
          </cell>
          <cell r="N1848" t="str">
            <v>Unknown</v>
          </cell>
          <cell r="O1848" t="str">
            <v>none</v>
          </cell>
          <cell r="P1848" t="str">
            <v>種族なし</v>
          </cell>
          <cell r="R1848">
            <v>1</v>
          </cell>
          <cell r="S1848" t="str">
            <v>NULL</v>
          </cell>
          <cell r="T1848" t="str">
            <v>normal</v>
          </cell>
          <cell r="U1848" t="str">
            <v>NULL</v>
          </cell>
          <cell r="V1848" t="str">
            <v>NULL</v>
          </cell>
          <cell r="W1848" t="str">
            <v>NULL</v>
          </cell>
        </row>
        <row r="1849">
          <cell r="A1849">
            <v>10067</v>
          </cell>
          <cell r="B1849" t="str">
            <v>ja</v>
          </cell>
          <cell r="C1849" t="str">
            <v>テストユニット67</v>
          </cell>
          <cell r="H1849" t="str">
            <v>green</v>
          </cell>
          <cell r="I1849">
            <v>6</v>
          </cell>
          <cell r="J1849" t="str">
            <v>PremiumSS</v>
          </cell>
          <cell r="K1849" t="str">
            <v>balance</v>
          </cell>
          <cell r="L1849" t="str">
            <v>バランスタイプ</v>
          </cell>
          <cell r="M1849" t="str">
            <v>unknown</v>
          </cell>
          <cell r="N1849" t="str">
            <v>Unknown</v>
          </cell>
          <cell r="O1849" t="str">
            <v>none</v>
          </cell>
          <cell r="P1849" t="str">
            <v>種族なし</v>
          </cell>
          <cell r="R1849">
            <v>1</v>
          </cell>
          <cell r="S1849" t="str">
            <v>NULL</v>
          </cell>
          <cell r="T1849" t="str">
            <v>normal</v>
          </cell>
          <cell r="U1849" t="str">
            <v>NULL</v>
          </cell>
          <cell r="V1849" t="str">
            <v>NULL</v>
          </cell>
          <cell r="W1849" t="str">
            <v>NULL</v>
          </cell>
        </row>
        <row r="1850">
          <cell r="A1850">
            <v>10068</v>
          </cell>
          <cell r="B1850" t="str">
            <v>ja</v>
          </cell>
          <cell r="C1850" t="str">
            <v>テストユニット68</v>
          </cell>
          <cell r="H1850" t="str">
            <v>yellow</v>
          </cell>
          <cell r="I1850">
            <v>6</v>
          </cell>
          <cell r="J1850" t="str">
            <v>PremiumSS</v>
          </cell>
          <cell r="K1850" t="str">
            <v>balance</v>
          </cell>
          <cell r="L1850" t="str">
            <v>バランスタイプ</v>
          </cell>
          <cell r="M1850" t="str">
            <v>unknown</v>
          </cell>
          <cell r="N1850" t="str">
            <v>Unknown</v>
          </cell>
          <cell r="O1850" t="str">
            <v>none</v>
          </cell>
          <cell r="P1850" t="str">
            <v>種族なし</v>
          </cell>
          <cell r="R1850">
            <v>1</v>
          </cell>
          <cell r="S1850" t="str">
            <v>NULL</v>
          </cell>
          <cell r="T1850" t="str">
            <v>normal</v>
          </cell>
          <cell r="U1850" t="str">
            <v>NULL</v>
          </cell>
          <cell r="V1850" t="str">
            <v>NULL</v>
          </cell>
          <cell r="W1850" t="str">
            <v>NULL</v>
          </cell>
        </row>
        <row r="1851">
          <cell r="A1851">
            <v>10069</v>
          </cell>
          <cell r="B1851" t="str">
            <v>ja</v>
          </cell>
          <cell r="C1851" t="str">
            <v>テストユニット69</v>
          </cell>
          <cell r="H1851" t="str">
            <v>red</v>
          </cell>
          <cell r="I1851">
            <v>6</v>
          </cell>
          <cell r="J1851" t="str">
            <v>PremiumSS</v>
          </cell>
          <cell r="K1851" t="str">
            <v>balance</v>
          </cell>
          <cell r="L1851" t="str">
            <v>バランスタイプ</v>
          </cell>
          <cell r="M1851" t="str">
            <v>unknown</v>
          </cell>
          <cell r="N1851" t="str">
            <v>Unknown</v>
          </cell>
          <cell r="O1851" t="str">
            <v>none</v>
          </cell>
          <cell r="P1851" t="str">
            <v>種族なし</v>
          </cell>
          <cell r="R1851">
            <v>1</v>
          </cell>
          <cell r="S1851" t="str">
            <v>NULL</v>
          </cell>
          <cell r="T1851" t="str">
            <v>normal</v>
          </cell>
          <cell r="U1851" t="str">
            <v>NULL</v>
          </cell>
          <cell r="V1851" t="str">
            <v>NULL</v>
          </cell>
          <cell r="W1851" t="str">
            <v>NULL</v>
          </cell>
        </row>
        <row r="1852">
          <cell r="A1852">
            <v>10070</v>
          </cell>
          <cell r="B1852" t="str">
            <v>ja</v>
          </cell>
          <cell r="C1852" t="str">
            <v>テストユニット70</v>
          </cell>
          <cell r="H1852" t="str">
            <v>blue</v>
          </cell>
          <cell r="I1852">
            <v>6</v>
          </cell>
          <cell r="J1852" t="str">
            <v>PremiumSSS</v>
          </cell>
          <cell r="K1852" t="str">
            <v>heal</v>
          </cell>
          <cell r="L1852" t="str">
            <v>回復タイプ</v>
          </cell>
          <cell r="M1852" t="str">
            <v>academia</v>
          </cell>
          <cell r="N1852" t="str">
            <v>アカデミア</v>
          </cell>
          <cell r="O1852" t="str">
            <v>fantasy</v>
          </cell>
          <cell r="P1852" t="str">
            <v>ファンタジー</v>
          </cell>
          <cell r="R1852">
            <v>1</v>
          </cell>
          <cell r="S1852" t="str">
            <v>NULL</v>
          </cell>
          <cell r="T1852" t="str">
            <v>normal</v>
          </cell>
          <cell r="U1852" t="str">
            <v>NULL</v>
          </cell>
          <cell r="V1852" t="str">
            <v>NULL</v>
          </cell>
          <cell r="W1852" t="str">
            <v>NULL</v>
          </cell>
        </row>
        <row r="1853">
          <cell r="A1853">
            <v>10071</v>
          </cell>
          <cell r="B1853" t="str">
            <v>ja</v>
          </cell>
          <cell r="C1853" t="str">
            <v>テストユニット71</v>
          </cell>
          <cell r="H1853" t="str">
            <v>red</v>
          </cell>
          <cell r="I1853">
            <v>6</v>
          </cell>
          <cell r="J1853" t="str">
            <v>PremiumSSS</v>
          </cell>
          <cell r="K1853" t="str">
            <v>hp</v>
          </cell>
          <cell r="L1853" t="str">
            <v>体力タイプ</v>
          </cell>
          <cell r="M1853" t="str">
            <v>demon</v>
          </cell>
          <cell r="N1853" t="str">
            <v>デーモン</v>
          </cell>
          <cell r="O1853" t="str">
            <v>none</v>
          </cell>
          <cell r="P1853" t="str">
            <v>種族なし</v>
          </cell>
          <cell r="R1853">
            <v>1</v>
          </cell>
          <cell r="S1853" t="str">
            <v>NULL</v>
          </cell>
          <cell r="T1853" t="str">
            <v>normal</v>
          </cell>
          <cell r="U1853" t="str">
            <v>NULL</v>
          </cell>
          <cell r="V1853" t="str">
            <v>NULL</v>
          </cell>
          <cell r="W1853" t="str">
            <v>NULL</v>
          </cell>
        </row>
        <row r="1854">
          <cell r="A1854">
            <v>10072</v>
          </cell>
          <cell r="B1854" t="str">
            <v>ja</v>
          </cell>
          <cell r="C1854" t="str">
            <v>テストユニット72</v>
          </cell>
          <cell r="H1854" t="str">
            <v>green</v>
          </cell>
          <cell r="I1854">
            <v>6</v>
          </cell>
          <cell r="J1854" t="str">
            <v>PremiumSSS</v>
          </cell>
          <cell r="K1854" t="str">
            <v>heal</v>
          </cell>
          <cell r="L1854" t="str">
            <v>回復タイプ</v>
          </cell>
          <cell r="M1854" t="str">
            <v>unknown</v>
          </cell>
          <cell r="N1854" t="str">
            <v>Unknown</v>
          </cell>
          <cell r="O1854" t="str">
            <v>none</v>
          </cell>
          <cell r="P1854" t="str">
            <v>種族なし</v>
          </cell>
          <cell r="R1854">
            <v>1</v>
          </cell>
          <cell r="S1854" t="str">
            <v>NULL</v>
          </cell>
          <cell r="T1854" t="str">
            <v>super</v>
          </cell>
          <cell r="U1854" t="str">
            <v>NULL</v>
          </cell>
          <cell r="V1854" t="str">
            <v>NULL</v>
          </cell>
          <cell r="W1854" t="str">
            <v>NULL</v>
          </cell>
        </row>
        <row r="1855">
          <cell r="A1855">
            <v>10073</v>
          </cell>
          <cell r="B1855" t="str">
            <v>ja</v>
          </cell>
          <cell r="C1855" t="str">
            <v>テストユニット73</v>
          </cell>
          <cell r="H1855" t="str">
            <v>green</v>
          </cell>
          <cell r="I1855">
            <v>6</v>
          </cell>
          <cell r="J1855" t="str">
            <v>PremiumSSS</v>
          </cell>
          <cell r="K1855" t="str">
            <v>attack</v>
          </cell>
          <cell r="L1855" t="str">
            <v>攻撃タイプ</v>
          </cell>
          <cell r="M1855" t="str">
            <v>samurai</v>
          </cell>
          <cell r="N1855" t="str">
            <v>サムライ</v>
          </cell>
          <cell r="O1855" t="str">
            <v>none</v>
          </cell>
          <cell r="P1855" t="str">
            <v>種族なし</v>
          </cell>
          <cell r="R1855">
            <v>1</v>
          </cell>
          <cell r="S1855" t="str">
            <v>NULL</v>
          </cell>
          <cell r="T1855" t="str">
            <v>super</v>
          </cell>
          <cell r="U1855" t="str">
            <v>NULL</v>
          </cell>
          <cell r="V1855" t="str">
            <v>NULL</v>
          </cell>
          <cell r="W1855" t="str">
            <v>NULL</v>
          </cell>
        </row>
        <row r="1856">
          <cell r="A1856">
            <v>10074</v>
          </cell>
          <cell r="B1856" t="str">
            <v>ja</v>
          </cell>
          <cell r="C1856" t="str">
            <v>テストユニット74</v>
          </cell>
          <cell r="H1856" t="str">
            <v>blue</v>
          </cell>
          <cell r="I1856">
            <v>6</v>
          </cell>
          <cell r="J1856" t="str">
            <v>PremiumSSS</v>
          </cell>
          <cell r="K1856" t="str">
            <v>balance</v>
          </cell>
          <cell r="L1856" t="str">
            <v>バランスタイプ</v>
          </cell>
          <cell r="M1856" t="str">
            <v>fantasy</v>
          </cell>
          <cell r="N1856" t="str">
            <v>ファンタジー</v>
          </cell>
          <cell r="O1856" t="str">
            <v>human</v>
          </cell>
          <cell r="P1856" t="str">
            <v>ヒューマン</v>
          </cell>
          <cell r="R1856">
            <v>1</v>
          </cell>
          <cell r="S1856" t="str">
            <v>NULL</v>
          </cell>
          <cell r="T1856" t="str">
            <v>super</v>
          </cell>
          <cell r="U1856" t="str">
            <v>NULL</v>
          </cell>
          <cell r="V1856" t="str">
            <v>NULL</v>
          </cell>
          <cell r="W1856" t="str">
            <v>NULL</v>
          </cell>
        </row>
        <row r="1857">
          <cell r="A1857">
            <v>10075</v>
          </cell>
          <cell r="B1857" t="str">
            <v>ja</v>
          </cell>
          <cell r="C1857" t="str">
            <v>テストユニット75</v>
          </cell>
          <cell r="H1857" t="str">
            <v>yellow</v>
          </cell>
          <cell r="I1857">
            <v>6</v>
          </cell>
          <cell r="J1857" t="str">
            <v>PremiumSS</v>
          </cell>
          <cell r="K1857" t="str">
            <v>balance</v>
          </cell>
          <cell r="L1857" t="str">
            <v>バランスタイプ</v>
          </cell>
          <cell r="M1857" t="str">
            <v>unknown</v>
          </cell>
          <cell r="N1857" t="str">
            <v>Unknown</v>
          </cell>
          <cell r="O1857" t="str">
            <v>none</v>
          </cell>
          <cell r="P1857" t="str">
            <v>種族なし</v>
          </cell>
          <cell r="R1857">
            <v>1</v>
          </cell>
          <cell r="S1857" t="str">
            <v>NULL</v>
          </cell>
          <cell r="T1857" t="str">
            <v>super</v>
          </cell>
          <cell r="U1857" t="str">
            <v>NULL</v>
          </cell>
          <cell r="V1857" t="str">
            <v>NULL</v>
          </cell>
          <cell r="W1857" t="str">
            <v>NULL</v>
          </cell>
        </row>
        <row r="1858">
          <cell r="A1858">
            <v>10076</v>
          </cell>
          <cell r="B1858" t="str">
            <v>ja</v>
          </cell>
          <cell r="C1858" t="str">
            <v>テストユニット76</v>
          </cell>
          <cell r="H1858" t="str">
            <v>yellow</v>
          </cell>
          <cell r="I1858">
            <v>6</v>
          </cell>
          <cell r="J1858" t="str">
            <v>PremiumSS</v>
          </cell>
          <cell r="K1858" t="str">
            <v>balance</v>
          </cell>
          <cell r="L1858" t="str">
            <v>バランスタイプ</v>
          </cell>
          <cell r="M1858" t="str">
            <v>unknown</v>
          </cell>
          <cell r="N1858" t="str">
            <v>Unknown</v>
          </cell>
          <cell r="O1858" t="str">
            <v>none</v>
          </cell>
          <cell r="P1858" t="str">
            <v>種族なし</v>
          </cell>
          <cell r="R1858">
            <v>1</v>
          </cell>
          <cell r="S1858" t="str">
            <v>NULL</v>
          </cell>
          <cell r="T1858" t="str">
            <v>normal</v>
          </cell>
          <cell r="U1858" t="str">
            <v>NULL</v>
          </cell>
          <cell r="V1858" t="str">
            <v>NULL</v>
          </cell>
          <cell r="W1858" t="str">
            <v>NULL</v>
          </cell>
        </row>
        <row r="1859">
          <cell r="A1859">
            <v>10077</v>
          </cell>
          <cell r="B1859" t="str">
            <v>ja</v>
          </cell>
          <cell r="C1859" t="str">
            <v>テストユニット77</v>
          </cell>
          <cell r="H1859" t="str">
            <v>yellow</v>
          </cell>
          <cell r="I1859">
            <v>6</v>
          </cell>
          <cell r="J1859" t="str">
            <v>PremiumSS</v>
          </cell>
          <cell r="K1859" t="str">
            <v>balance</v>
          </cell>
          <cell r="L1859" t="str">
            <v>バランスタイプ</v>
          </cell>
          <cell r="M1859" t="str">
            <v>unknown</v>
          </cell>
          <cell r="N1859" t="str">
            <v>Unknown</v>
          </cell>
          <cell r="O1859" t="str">
            <v>none</v>
          </cell>
          <cell r="P1859" t="str">
            <v>種族なし</v>
          </cell>
          <cell r="R1859">
            <v>1</v>
          </cell>
          <cell r="S1859" t="str">
            <v>NULL</v>
          </cell>
          <cell r="T1859" t="str">
            <v>normal</v>
          </cell>
          <cell r="U1859" t="str">
            <v>NULL</v>
          </cell>
          <cell r="V1859" t="str">
            <v>NULL</v>
          </cell>
          <cell r="W1859" t="str">
            <v>NULL</v>
          </cell>
        </row>
        <row r="1860">
          <cell r="A1860">
            <v>10078</v>
          </cell>
          <cell r="B1860" t="str">
            <v>ja</v>
          </cell>
          <cell r="C1860" t="str">
            <v>テストユニット78</v>
          </cell>
          <cell r="H1860" t="str">
            <v>red</v>
          </cell>
          <cell r="I1860">
            <v>6</v>
          </cell>
          <cell r="J1860" t="str">
            <v>PremiumSSS</v>
          </cell>
          <cell r="K1860" t="str">
            <v>heal</v>
          </cell>
          <cell r="L1860" t="str">
            <v>回復タイプ</v>
          </cell>
          <cell r="M1860" t="str">
            <v>human</v>
          </cell>
          <cell r="N1860" t="str">
            <v>ヒューマン</v>
          </cell>
          <cell r="O1860" t="str">
            <v>none</v>
          </cell>
          <cell r="P1860" t="str">
            <v>種族なし</v>
          </cell>
          <cell r="R1860">
            <v>1</v>
          </cell>
          <cell r="S1860" t="str">
            <v>NULL</v>
          </cell>
          <cell r="T1860" t="str">
            <v>normal</v>
          </cell>
          <cell r="U1860" t="str">
            <v>NULL</v>
          </cell>
          <cell r="V1860" t="str">
            <v>NULL</v>
          </cell>
          <cell r="W1860" t="str">
            <v>NULL</v>
          </cell>
        </row>
        <row r="1861">
          <cell r="A1861">
            <v>10079</v>
          </cell>
          <cell r="B1861" t="str">
            <v>ja</v>
          </cell>
          <cell r="C1861" t="str">
            <v>テストユニット79</v>
          </cell>
          <cell r="H1861" t="str">
            <v>red</v>
          </cell>
          <cell r="I1861">
            <v>6</v>
          </cell>
          <cell r="J1861" t="str">
            <v>PremiumSSS</v>
          </cell>
          <cell r="K1861" t="str">
            <v>heal</v>
          </cell>
          <cell r="L1861" t="str">
            <v>回復タイプ</v>
          </cell>
          <cell r="M1861" t="str">
            <v>human</v>
          </cell>
          <cell r="N1861" t="str">
            <v>ヒューマン</v>
          </cell>
          <cell r="O1861" t="str">
            <v>none</v>
          </cell>
          <cell r="P1861" t="str">
            <v>種族なし</v>
          </cell>
          <cell r="R1861">
            <v>1</v>
          </cell>
          <cell r="S1861" t="str">
            <v>NULL</v>
          </cell>
          <cell r="T1861" t="str">
            <v>normal</v>
          </cell>
          <cell r="U1861" t="str">
            <v>NULL</v>
          </cell>
          <cell r="V1861" t="str">
            <v>NULL</v>
          </cell>
          <cell r="W1861" t="str">
            <v>NULL</v>
          </cell>
        </row>
        <row r="1862">
          <cell r="A1862">
            <v>10080</v>
          </cell>
          <cell r="B1862" t="str">
            <v>ja</v>
          </cell>
          <cell r="C1862" t="str">
            <v>テストユニット80</v>
          </cell>
          <cell r="H1862" t="str">
            <v>yellow</v>
          </cell>
          <cell r="I1862">
            <v>6</v>
          </cell>
          <cell r="J1862" t="str">
            <v>PremiumSS</v>
          </cell>
          <cell r="K1862" t="str">
            <v>balance</v>
          </cell>
          <cell r="L1862" t="str">
            <v>バランスタイプ</v>
          </cell>
          <cell r="M1862" t="str">
            <v>unknown</v>
          </cell>
          <cell r="N1862" t="str">
            <v>Unknown</v>
          </cell>
          <cell r="O1862" t="str">
            <v>none</v>
          </cell>
          <cell r="P1862" t="str">
            <v>種族なし</v>
          </cell>
          <cell r="R1862">
            <v>1</v>
          </cell>
          <cell r="S1862" t="str">
            <v>NULL</v>
          </cell>
          <cell r="T1862" t="str">
            <v>normal</v>
          </cell>
          <cell r="U1862" t="str">
            <v>NULL</v>
          </cell>
          <cell r="V1862" t="str">
            <v>NULL</v>
          </cell>
          <cell r="W1862" t="str">
            <v>NULL</v>
          </cell>
        </row>
        <row r="1863">
          <cell r="A1863">
            <v>10081</v>
          </cell>
          <cell r="B1863" t="str">
            <v>ja</v>
          </cell>
          <cell r="C1863" t="str">
            <v>テストユニット81</v>
          </cell>
          <cell r="H1863" t="str">
            <v>red</v>
          </cell>
          <cell r="I1863">
            <v>6</v>
          </cell>
          <cell r="J1863" t="str">
            <v>PremiumSS</v>
          </cell>
          <cell r="K1863" t="str">
            <v>balance</v>
          </cell>
          <cell r="L1863" t="str">
            <v>バランスタイプ</v>
          </cell>
          <cell r="M1863" t="str">
            <v>unknown</v>
          </cell>
          <cell r="N1863" t="str">
            <v>Unknown</v>
          </cell>
          <cell r="O1863" t="str">
            <v>none</v>
          </cell>
          <cell r="P1863" t="str">
            <v>種族なし</v>
          </cell>
          <cell r="R1863">
            <v>1</v>
          </cell>
          <cell r="S1863" t="str">
            <v>NULL</v>
          </cell>
          <cell r="T1863" t="str">
            <v>normal</v>
          </cell>
          <cell r="U1863" t="str">
            <v>NULL</v>
          </cell>
          <cell r="V1863" t="str">
            <v>NULL</v>
          </cell>
          <cell r="W1863" t="str">
            <v>NULL</v>
          </cell>
        </row>
        <row r="1864">
          <cell r="A1864">
            <v>10082</v>
          </cell>
          <cell r="B1864" t="str">
            <v>ja</v>
          </cell>
          <cell r="C1864" t="str">
            <v>テストユニット82</v>
          </cell>
          <cell r="H1864" t="str">
            <v>blue</v>
          </cell>
          <cell r="I1864">
            <v>6</v>
          </cell>
          <cell r="J1864" t="str">
            <v>PremiumSS</v>
          </cell>
          <cell r="K1864" t="str">
            <v>balance</v>
          </cell>
          <cell r="L1864" t="str">
            <v>バランスタイプ</v>
          </cell>
          <cell r="M1864" t="str">
            <v>unknown</v>
          </cell>
          <cell r="N1864" t="str">
            <v>Unknown</v>
          </cell>
          <cell r="O1864" t="str">
            <v>none</v>
          </cell>
          <cell r="P1864" t="str">
            <v>種族なし</v>
          </cell>
          <cell r="R1864">
            <v>1</v>
          </cell>
          <cell r="S1864" t="str">
            <v>NULL</v>
          </cell>
          <cell r="T1864" t="str">
            <v>normal</v>
          </cell>
          <cell r="U1864" t="str">
            <v>NULL</v>
          </cell>
          <cell r="V1864" t="str">
            <v>NULL</v>
          </cell>
          <cell r="W1864" t="str">
            <v>NULL</v>
          </cell>
        </row>
        <row r="1865">
          <cell r="A1865">
            <v>10083</v>
          </cell>
          <cell r="B1865" t="str">
            <v>ja</v>
          </cell>
          <cell r="C1865" t="str">
            <v>テストユニット83</v>
          </cell>
          <cell r="H1865" t="str">
            <v>green</v>
          </cell>
          <cell r="I1865">
            <v>6</v>
          </cell>
          <cell r="J1865" t="str">
            <v>PremiumSS</v>
          </cell>
          <cell r="K1865" t="str">
            <v>balance</v>
          </cell>
          <cell r="L1865" t="str">
            <v>バランスタイプ</v>
          </cell>
          <cell r="M1865" t="str">
            <v>unknown</v>
          </cell>
          <cell r="N1865" t="str">
            <v>Unknown</v>
          </cell>
          <cell r="O1865" t="str">
            <v>none</v>
          </cell>
          <cell r="P1865" t="str">
            <v>種族なし</v>
          </cell>
          <cell r="R1865">
            <v>1</v>
          </cell>
          <cell r="S1865" t="str">
            <v>NULL</v>
          </cell>
          <cell r="T1865" t="str">
            <v>normal</v>
          </cell>
          <cell r="U1865" t="str">
            <v>NULL</v>
          </cell>
          <cell r="V1865" t="str">
            <v>NULL</v>
          </cell>
          <cell r="W1865" t="str">
            <v>NULL</v>
          </cell>
        </row>
        <row r="1866">
          <cell r="A1866">
            <v>10084</v>
          </cell>
          <cell r="B1866" t="str">
            <v>ja</v>
          </cell>
          <cell r="C1866" t="str">
            <v>テストユニット84</v>
          </cell>
          <cell r="H1866" t="str">
            <v>yellow</v>
          </cell>
          <cell r="I1866">
            <v>6</v>
          </cell>
          <cell r="J1866" t="str">
            <v>PremiumSS</v>
          </cell>
          <cell r="K1866" t="str">
            <v>balance</v>
          </cell>
          <cell r="L1866" t="str">
            <v>バランスタイプ</v>
          </cell>
          <cell r="M1866" t="str">
            <v>unknown</v>
          </cell>
          <cell r="N1866" t="str">
            <v>Unknown</v>
          </cell>
          <cell r="O1866" t="str">
            <v>none</v>
          </cell>
          <cell r="P1866" t="str">
            <v>種族なし</v>
          </cell>
          <cell r="R1866">
            <v>1</v>
          </cell>
          <cell r="S1866" t="str">
            <v>NULL</v>
          </cell>
          <cell r="T1866" t="str">
            <v>normal</v>
          </cell>
          <cell r="U1866" t="str">
            <v>NULL</v>
          </cell>
          <cell r="V1866" t="str">
            <v>NULL</v>
          </cell>
          <cell r="W1866" t="str">
            <v>NULL</v>
          </cell>
        </row>
        <row r="1867">
          <cell r="A1867">
            <v>10085</v>
          </cell>
          <cell r="B1867" t="str">
            <v>ja</v>
          </cell>
          <cell r="C1867" t="str">
            <v>テストユニット85</v>
          </cell>
          <cell r="H1867" t="str">
            <v>red</v>
          </cell>
          <cell r="I1867">
            <v>6</v>
          </cell>
          <cell r="J1867" t="str">
            <v>PremiumSS</v>
          </cell>
          <cell r="K1867" t="str">
            <v>balance</v>
          </cell>
          <cell r="L1867" t="str">
            <v>バランスタイプ</v>
          </cell>
          <cell r="M1867" t="str">
            <v>unknown</v>
          </cell>
          <cell r="N1867" t="str">
            <v>Unknown</v>
          </cell>
          <cell r="O1867" t="str">
            <v>none</v>
          </cell>
          <cell r="P1867" t="str">
            <v>種族なし</v>
          </cell>
          <cell r="R1867">
            <v>1</v>
          </cell>
          <cell r="S1867" t="str">
            <v>NULL</v>
          </cell>
          <cell r="T1867" t="str">
            <v>normal</v>
          </cell>
          <cell r="U1867" t="str">
            <v>NULL</v>
          </cell>
          <cell r="V1867" t="str">
            <v>NULL</v>
          </cell>
          <cell r="W1867" t="str">
            <v>NULL</v>
          </cell>
        </row>
        <row r="1868">
          <cell r="A1868">
            <v>10086</v>
          </cell>
          <cell r="B1868" t="str">
            <v>ja</v>
          </cell>
          <cell r="C1868" t="str">
            <v>テストユニット86</v>
          </cell>
          <cell r="H1868" t="str">
            <v>blue</v>
          </cell>
          <cell r="I1868">
            <v>6</v>
          </cell>
          <cell r="J1868" t="str">
            <v>PremiumSS</v>
          </cell>
          <cell r="K1868" t="str">
            <v>balance</v>
          </cell>
          <cell r="L1868" t="str">
            <v>バランスタイプ</v>
          </cell>
          <cell r="M1868" t="str">
            <v>unknown</v>
          </cell>
          <cell r="N1868" t="str">
            <v>Unknown</v>
          </cell>
          <cell r="O1868" t="str">
            <v>none</v>
          </cell>
          <cell r="P1868" t="str">
            <v>種族なし</v>
          </cell>
          <cell r="R1868">
            <v>1</v>
          </cell>
          <cell r="S1868" t="str">
            <v>NULL</v>
          </cell>
          <cell r="T1868" t="str">
            <v>normal</v>
          </cell>
          <cell r="U1868" t="str">
            <v>NULL</v>
          </cell>
          <cell r="V1868" t="str">
            <v>NULL</v>
          </cell>
          <cell r="W1868" t="str">
            <v>NULL</v>
          </cell>
        </row>
        <row r="1869">
          <cell r="A1869">
            <v>10087</v>
          </cell>
          <cell r="B1869" t="str">
            <v>ja</v>
          </cell>
          <cell r="C1869" t="str">
            <v>テストユニット87</v>
          </cell>
          <cell r="H1869" t="str">
            <v>green</v>
          </cell>
          <cell r="I1869">
            <v>6</v>
          </cell>
          <cell r="J1869" t="str">
            <v>PremiumSS</v>
          </cell>
          <cell r="K1869" t="str">
            <v>balance</v>
          </cell>
          <cell r="L1869" t="str">
            <v>バランスタイプ</v>
          </cell>
          <cell r="M1869" t="str">
            <v>unknown</v>
          </cell>
          <cell r="N1869" t="str">
            <v>Unknown</v>
          </cell>
          <cell r="O1869" t="str">
            <v>none</v>
          </cell>
          <cell r="P1869" t="str">
            <v>種族なし</v>
          </cell>
          <cell r="R1869">
            <v>1</v>
          </cell>
          <cell r="S1869" t="str">
            <v>NULL</v>
          </cell>
          <cell r="T1869" t="str">
            <v>normal</v>
          </cell>
          <cell r="U1869" t="str">
            <v>NULL</v>
          </cell>
          <cell r="V1869" t="str">
            <v>NULL</v>
          </cell>
          <cell r="W1869" t="str">
            <v>NULL</v>
          </cell>
        </row>
        <row r="1870">
          <cell r="A1870">
            <v>10088</v>
          </cell>
          <cell r="B1870" t="str">
            <v>ja</v>
          </cell>
          <cell r="C1870" t="str">
            <v>テストユニット88</v>
          </cell>
          <cell r="H1870" t="str">
            <v>yellow</v>
          </cell>
          <cell r="I1870">
            <v>6</v>
          </cell>
          <cell r="J1870" t="str">
            <v>PremiumSS</v>
          </cell>
          <cell r="K1870" t="str">
            <v>balance</v>
          </cell>
          <cell r="L1870" t="str">
            <v>バランスタイプ</v>
          </cell>
          <cell r="M1870" t="str">
            <v>unknown</v>
          </cell>
          <cell r="N1870" t="str">
            <v>Unknown</v>
          </cell>
          <cell r="O1870" t="str">
            <v>none</v>
          </cell>
          <cell r="P1870" t="str">
            <v>種族なし</v>
          </cell>
          <cell r="R1870">
            <v>1</v>
          </cell>
          <cell r="S1870" t="str">
            <v>NULL</v>
          </cell>
          <cell r="T1870" t="str">
            <v>normal</v>
          </cell>
          <cell r="U1870" t="str">
            <v>NULL</v>
          </cell>
          <cell r="V1870" t="str">
            <v>NULL</v>
          </cell>
          <cell r="W1870" t="str">
            <v>NULL</v>
          </cell>
        </row>
        <row r="1871">
          <cell r="A1871">
            <v>10089</v>
          </cell>
          <cell r="B1871" t="str">
            <v>ja</v>
          </cell>
          <cell r="C1871" t="str">
            <v>テストユニット89</v>
          </cell>
          <cell r="H1871" t="str">
            <v>red</v>
          </cell>
          <cell r="I1871">
            <v>6</v>
          </cell>
          <cell r="J1871" t="str">
            <v>PremiumSS</v>
          </cell>
          <cell r="K1871" t="str">
            <v>balance</v>
          </cell>
          <cell r="L1871" t="str">
            <v>バランスタイプ</v>
          </cell>
          <cell r="M1871" t="str">
            <v>unknown</v>
          </cell>
          <cell r="N1871" t="str">
            <v>Unknown</v>
          </cell>
          <cell r="O1871" t="str">
            <v>none</v>
          </cell>
          <cell r="P1871" t="str">
            <v>種族なし</v>
          </cell>
          <cell r="R1871">
            <v>1</v>
          </cell>
          <cell r="S1871" t="str">
            <v>NULL</v>
          </cell>
          <cell r="T1871" t="str">
            <v>normal</v>
          </cell>
          <cell r="U1871" t="str">
            <v>NULL</v>
          </cell>
          <cell r="V1871" t="str">
            <v>NULL</v>
          </cell>
          <cell r="W1871" t="str">
            <v>NULL</v>
          </cell>
        </row>
        <row r="1872">
          <cell r="A1872">
            <v>10090</v>
          </cell>
          <cell r="B1872" t="str">
            <v>ja</v>
          </cell>
          <cell r="C1872" t="str">
            <v>テストユニット90</v>
          </cell>
          <cell r="H1872" t="str">
            <v>blue</v>
          </cell>
          <cell r="I1872">
            <v>6</v>
          </cell>
          <cell r="J1872" t="str">
            <v>PremiumSS</v>
          </cell>
          <cell r="K1872" t="str">
            <v>balance</v>
          </cell>
          <cell r="L1872" t="str">
            <v>バランスタイプ</v>
          </cell>
          <cell r="M1872" t="str">
            <v>unknown</v>
          </cell>
          <cell r="N1872" t="str">
            <v>Unknown</v>
          </cell>
          <cell r="O1872" t="str">
            <v>none</v>
          </cell>
          <cell r="P1872" t="str">
            <v>種族なし</v>
          </cell>
          <cell r="R1872">
            <v>1</v>
          </cell>
          <cell r="S1872" t="str">
            <v>NULL</v>
          </cell>
          <cell r="T1872" t="str">
            <v>normal</v>
          </cell>
          <cell r="U1872" t="str">
            <v>NULL</v>
          </cell>
          <cell r="V1872" t="str">
            <v>NULL</v>
          </cell>
          <cell r="W1872" t="str">
            <v>NULL</v>
          </cell>
        </row>
        <row r="1873">
          <cell r="A1873">
            <v>10101</v>
          </cell>
          <cell r="B1873" t="str">
            <v>ja</v>
          </cell>
          <cell r="C1873" t="str">
            <v>Usagi-kun</v>
          </cell>
          <cell r="H1873" t="str">
            <v>blue</v>
          </cell>
          <cell r="I1873">
            <v>6</v>
          </cell>
          <cell r="J1873" t="str">
            <v>DropWizS</v>
          </cell>
          <cell r="K1873" t="str">
            <v>balance</v>
          </cell>
          <cell r="L1873" t="str">
            <v>バランスタイプ</v>
          </cell>
          <cell r="M1873" t="str">
            <v>unknown</v>
          </cell>
          <cell r="N1873" t="str">
            <v>Unknown</v>
          </cell>
          <cell r="O1873" t="str">
            <v>none</v>
          </cell>
          <cell r="P1873" t="str">
            <v>種族なし</v>
          </cell>
          <cell r="R1873">
            <v>3</v>
          </cell>
          <cell r="S1873" t="str">
            <v>NULL</v>
          </cell>
          <cell r="T1873" t="str">
            <v>normal</v>
          </cell>
          <cell r="U1873" t="str">
            <v>NULL</v>
          </cell>
          <cell r="V1873" t="str">
            <v>NULL</v>
          </cell>
          <cell r="W1873" t="str">
            <v>NULL</v>
          </cell>
        </row>
        <row r="1874">
          <cell r="A1874">
            <v>10102</v>
          </cell>
          <cell r="B1874" t="str">
            <v>ja</v>
          </cell>
          <cell r="C1874" t="str">
            <v>ローズ</v>
          </cell>
          <cell r="D1874" t="str">
            <v>未定</v>
          </cell>
          <cell r="E1874" t="str">
            <v>執行者</v>
          </cell>
          <cell r="F1874" t="str">
            <v>格好いい</v>
          </cell>
          <cell r="G1874" t="str">
            <v>不明</v>
          </cell>
          <cell r="H1874" t="str">
            <v>red</v>
          </cell>
          <cell r="I1874">
            <v>3</v>
          </cell>
          <cell r="J1874" t="str">
            <v>DropWizSSS</v>
          </cell>
          <cell r="K1874" t="str">
            <v>attack</v>
          </cell>
          <cell r="L1874" t="str">
            <v>攻撃タイプ</v>
          </cell>
          <cell r="M1874" t="str">
            <v>queen</v>
          </cell>
          <cell r="N1874" t="str">
            <v>QUEEN</v>
          </cell>
          <cell r="O1874" t="str">
            <v>demon</v>
          </cell>
          <cell r="P1874" t="str">
            <v>デーモン</v>
          </cell>
          <cell r="Q1874" t="str">
            <v>アタッカー</v>
          </cell>
          <cell r="R1874">
            <v>3</v>
          </cell>
          <cell r="S1874" t="str">
            <v>NULL</v>
          </cell>
          <cell r="T1874" t="str">
            <v>normal</v>
          </cell>
          <cell r="U1874" t="str">
            <v>NULL</v>
          </cell>
          <cell r="V1874" t="str">
            <v>NULL</v>
          </cell>
          <cell r="W1874" t="str">
            <v>NULL</v>
          </cell>
        </row>
        <row r="1875">
          <cell r="A1875">
            <v>10103</v>
          </cell>
          <cell r="B1875" t="str">
            <v>ja</v>
          </cell>
          <cell r="C1875" t="str">
            <v>ローズ</v>
          </cell>
          <cell r="D1875" t="str">
            <v>未定</v>
          </cell>
          <cell r="E1875" t="str">
            <v>執行者</v>
          </cell>
          <cell r="F1875" t="str">
            <v>格好いい</v>
          </cell>
          <cell r="G1875" t="str">
            <v>不明</v>
          </cell>
          <cell r="H1875" t="str">
            <v>red</v>
          </cell>
          <cell r="I1875">
            <v>4</v>
          </cell>
          <cell r="J1875" t="str">
            <v>DropWizSSS</v>
          </cell>
          <cell r="K1875" t="str">
            <v>attack</v>
          </cell>
          <cell r="L1875" t="str">
            <v>攻撃タイプ</v>
          </cell>
          <cell r="M1875" t="str">
            <v>queen</v>
          </cell>
          <cell r="N1875" t="str">
            <v>QUEEN</v>
          </cell>
          <cell r="O1875" t="str">
            <v>demon</v>
          </cell>
          <cell r="P1875" t="str">
            <v>デーモン</v>
          </cell>
          <cell r="Q1875" t="str">
            <v>アタッカー</v>
          </cell>
          <cell r="R1875">
            <v>3</v>
          </cell>
          <cell r="S1875" t="str">
            <v>NULL</v>
          </cell>
          <cell r="T1875" t="str">
            <v>normal</v>
          </cell>
          <cell r="U1875" t="str">
            <v>NULL</v>
          </cell>
          <cell r="V1875" t="str">
            <v>NULL</v>
          </cell>
          <cell r="W1875" t="str">
            <v>NULL</v>
          </cell>
        </row>
      </sheetData>
      <sheetData sheetId="4">
        <row r="1">
          <cell r="A1" t="str">
            <v>character_type_id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タイプなし</v>
          </cell>
          <cell r="D2">
            <v>0</v>
          </cell>
          <cell r="E2">
            <v>0</v>
          </cell>
          <cell r="F2">
            <v>0</v>
          </cell>
          <cell r="G2">
            <v>0</v>
          </cell>
          <cell r="H2">
            <v>0</v>
          </cell>
        </row>
        <row r="3">
          <cell r="A3" t="str">
            <v>attack</v>
          </cell>
          <cell r="B3" t="str">
            <v>ja</v>
          </cell>
          <cell r="C3" t="str">
            <v>攻撃タイプ</v>
          </cell>
          <cell r="D3">
            <v>1</v>
          </cell>
          <cell r="E3">
            <v>1.33</v>
          </cell>
          <cell r="F3">
            <v>1</v>
          </cell>
          <cell r="G3">
            <v>0.67</v>
          </cell>
          <cell r="H3">
            <v>3</v>
          </cell>
        </row>
        <row r="4">
          <cell r="A4" t="str">
            <v>balance</v>
          </cell>
          <cell r="B4" t="str">
            <v>ja</v>
          </cell>
          <cell r="C4" t="str">
            <v>バランスタイプ</v>
          </cell>
          <cell r="D4">
            <v>1</v>
          </cell>
          <cell r="E4">
            <v>1</v>
          </cell>
          <cell r="F4">
            <v>1</v>
          </cell>
          <cell r="G4">
            <v>1</v>
          </cell>
          <cell r="H4">
            <v>3</v>
          </cell>
        </row>
        <row r="5">
          <cell r="A5" t="str">
            <v>hp</v>
          </cell>
          <cell r="B5" t="str">
            <v>ja</v>
          </cell>
          <cell r="C5" t="str">
            <v>体力タイプ</v>
          </cell>
          <cell r="D5">
            <v>1.45</v>
          </cell>
          <cell r="E5">
            <v>0.85</v>
          </cell>
          <cell r="F5">
            <v>1</v>
          </cell>
          <cell r="G5">
            <v>0.7</v>
          </cell>
          <cell r="H5">
            <v>3</v>
          </cell>
        </row>
        <row r="6">
          <cell r="A6" t="str">
            <v>technical</v>
          </cell>
          <cell r="B6" t="str">
            <v>ja</v>
          </cell>
          <cell r="C6" t="str">
            <v>テクニカルタイプ</v>
          </cell>
          <cell r="D6">
            <v>0.9</v>
          </cell>
          <cell r="E6">
            <v>0.9</v>
          </cell>
          <cell r="F6">
            <v>1</v>
          </cell>
          <cell r="G6">
            <v>0.9</v>
          </cell>
          <cell r="H6">
            <v>2.7</v>
          </cell>
        </row>
        <row r="7">
          <cell r="A7" t="str">
            <v>heal</v>
          </cell>
          <cell r="B7" t="str">
            <v>ja</v>
          </cell>
          <cell r="C7" t="str">
            <v>回復タイプ</v>
          </cell>
          <cell r="D7">
            <v>0.8</v>
          </cell>
          <cell r="E7">
            <v>0.78</v>
          </cell>
          <cell r="F7">
            <v>1</v>
          </cell>
          <cell r="G7">
            <v>1.42</v>
          </cell>
          <cell r="H7">
            <v>3</v>
          </cell>
        </row>
        <row r="8">
          <cell r="A8" t="str">
            <v>exp</v>
          </cell>
          <cell r="B8" t="str">
            <v>ja</v>
          </cell>
          <cell r="C8" t="str">
            <v>強化素材タイプ</v>
          </cell>
          <cell r="D8">
            <v>0.1</v>
          </cell>
          <cell r="E8">
            <v>0.05</v>
          </cell>
          <cell r="F8">
            <v>1</v>
          </cell>
          <cell r="G8">
            <v>0.05</v>
          </cell>
          <cell r="H8">
            <v>0.2</v>
          </cell>
        </row>
        <row r="9">
          <cell r="A9" t="str">
            <v>evolution</v>
          </cell>
          <cell r="B9" t="str">
            <v>ja</v>
          </cell>
          <cell r="C9" t="str">
            <v>覚醒素材タイプ</v>
          </cell>
          <cell r="D9">
            <v>0.1</v>
          </cell>
          <cell r="E9">
            <v>0.05</v>
          </cell>
          <cell r="F9">
            <v>1</v>
          </cell>
          <cell r="G9">
            <v>0.05</v>
          </cell>
          <cell r="H9">
            <v>0.2</v>
          </cell>
        </row>
        <row r="10">
          <cell r="A10" t="str">
            <v>coin</v>
          </cell>
          <cell r="B10" t="str">
            <v>ja</v>
          </cell>
          <cell r="C10" t="str">
            <v>コインタイプ</v>
          </cell>
          <cell r="D10">
            <v>0.1</v>
          </cell>
          <cell r="E10">
            <v>0.05</v>
          </cell>
          <cell r="F10">
            <v>1</v>
          </cell>
          <cell r="G10">
            <v>0.05</v>
          </cell>
          <cell r="H10">
            <v>0.2</v>
          </cell>
        </row>
        <row r="11">
          <cell r="A11" t="str">
            <v>limitbreak</v>
          </cell>
          <cell r="B11" t="str">
            <v>ja</v>
          </cell>
          <cell r="C11" t="str">
            <v>限界突破素材</v>
          </cell>
          <cell r="D11">
            <v>0.1</v>
          </cell>
          <cell r="E11">
            <v>0.05</v>
          </cell>
          <cell r="F11">
            <v>1</v>
          </cell>
          <cell r="G11">
            <v>0.05</v>
          </cell>
          <cell r="H11">
            <v>0.2</v>
          </cell>
        </row>
        <row r="12">
          <cell r="A12" t="str">
            <v>skilllevel</v>
          </cell>
          <cell r="B12" t="str">
            <v>ja</v>
          </cell>
          <cell r="C12" t="str">
            <v>スキルレベル素材</v>
          </cell>
          <cell r="D12">
            <v>0.1</v>
          </cell>
          <cell r="E12">
            <v>0.05</v>
          </cell>
          <cell r="F12">
            <v>1</v>
          </cell>
          <cell r="G12">
            <v>0.05</v>
          </cell>
          <cell r="H12">
            <v>0.2</v>
          </cell>
        </row>
        <row r="13">
          <cell r="A13" t="str">
            <v>dr</v>
          </cell>
          <cell r="B13" t="str">
            <v>ja</v>
          </cell>
          <cell r="C13" t="str">
            <v>デュラララ!!</v>
          </cell>
          <cell r="D13">
            <v>1</v>
          </cell>
          <cell r="E13">
            <v>1</v>
          </cell>
          <cell r="F13">
            <v>1</v>
          </cell>
          <cell r="G13">
            <v>1</v>
          </cell>
          <cell r="H13">
            <v>3</v>
          </cell>
        </row>
        <row r="14">
          <cell r="A14" t="str">
            <v>ra</v>
          </cell>
          <cell r="B14" t="str">
            <v>ja</v>
          </cell>
          <cell r="C14" t="str">
            <v>ラグランジュチャレンジ</v>
          </cell>
          <cell r="D14">
            <v>1</v>
          </cell>
          <cell r="E14">
            <v>1</v>
          </cell>
          <cell r="F14">
            <v>1</v>
          </cell>
          <cell r="G14">
            <v>1</v>
          </cell>
          <cell r="H14">
            <v>3</v>
          </cell>
        </row>
        <row r="15">
          <cell r="A15" t="str">
            <v>ra002</v>
          </cell>
          <cell r="B15" t="str">
            <v>ja</v>
          </cell>
          <cell r="C15" t="str">
            <v>ユークリッドチャレンジ</v>
          </cell>
          <cell r="D15">
            <v>1</v>
          </cell>
          <cell r="E15">
            <v>1</v>
          </cell>
          <cell r="F15">
            <v>1</v>
          </cell>
          <cell r="G15">
            <v>1</v>
          </cell>
          <cell r="H15">
            <v>3</v>
          </cell>
        </row>
      </sheetData>
      <sheetData sheetId="5">
        <row r="1">
          <cell r="A1" t="str">
            <v>character_tribe_id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種族なし</v>
          </cell>
          <cell r="D2">
            <v>0</v>
          </cell>
          <cell r="E2">
            <v>0</v>
          </cell>
          <cell r="F2">
            <v>0</v>
          </cell>
          <cell r="G2">
            <v>0</v>
          </cell>
          <cell r="H2">
            <v>0</v>
          </cell>
        </row>
        <row r="3">
          <cell r="A3" t="str">
            <v>human</v>
          </cell>
          <cell r="B3" t="str">
            <v>ja</v>
          </cell>
          <cell r="C3" t="str">
            <v>ヒューマン</v>
          </cell>
          <cell r="D3">
            <v>0.94</v>
          </cell>
          <cell r="E3">
            <v>0.99</v>
          </cell>
          <cell r="F3">
            <v>1</v>
          </cell>
          <cell r="G3">
            <v>1.07</v>
          </cell>
          <cell r="H3">
            <v>3</v>
          </cell>
        </row>
        <row r="4">
          <cell r="A4" t="str">
            <v>animal</v>
          </cell>
          <cell r="B4" t="str">
            <v>ja</v>
          </cell>
          <cell r="C4" t="str">
            <v>アニマル</v>
          </cell>
          <cell r="D4">
            <v>1</v>
          </cell>
          <cell r="E4">
            <v>1.1000000000000001</v>
          </cell>
          <cell r="F4">
            <v>1</v>
          </cell>
          <cell r="G4">
            <v>0.9</v>
          </cell>
          <cell r="H4">
            <v>3</v>
          </cell>
        </row>
        <row r="5">
          <cell r="A5" t="str">
            <v>dragon</v>
          </cell>
          <cell r="B5" t="str">
            <v>ja</v>
          </cell>
          <cell r="C5" t="str">
            <v>ドラゴン</v>
          </cell>
          <cell r="D5">
            <v>1.1499999999999999</v>
          </cell>
          <cell r="E5">
            <v>1.1000000000000001</v>
          </cell>
          <cell r="F5">
            <v>1</v>
          </cell>
          <cell r="G5">
            <v>0.75</v>
          </cell>
          <cell r="H5">
            <v>3</v>
          </cell>
        </row>
        <row r="6">
          <cell r="A6" t="str">
            <v>machine</v>
          </cell>
          <cell r="B6" t="str">
            <v>ja</v>
          </cell>
          <cell r="C6" t="str">
            <v>マシン</v>
          </cell>
          <cell r="D6">
            <v>1</v>
          </cell>
          <cell r="E6">
            <v>1</v>
          </cell>
          <cell r="F6">
            <v>1</v>
          </cell>
          <cell r="G6">
            <v>1</v>
          </cell>
          <cell r="H6">
            <v>3</v>
          </cell>
        </row>
        <row r="7">
          <cell r="A7" t="str">
            <v>god</v>
          </cell>
          <cell r="B7" t="str">
            <v>ja</v>
          </cell>
          <cell r="C7" t="str">
            <v>ゴッド</v>
          </cell>
          <cell r="D7">
            <v>0.96</v>
          </cell>
          <cell r="E7">
            <v>1.02</v>
          </cell>
          <cell r="F7">
            <v>1</v>
          </cell>
          <cell r="G7">
            <v>1.02</v>
          </cell>
          <cell r="H7">
            <v>3</v>
          </cell>
        </row>
        <row r="8">
          <cell r="A8" t="str">
            <v>unknown</v>
          </cell>
          <cell r="B8" t="str">
            <v>ja</v>
          </cell>
          <cell r="C8" t="str">
            <v>Unknown</v>
          </cell>
          <cell r="D8">
            <v>1</v>
          </cell>
          <cell r="E8">
            <v>1</v>
          </cell>
          <cell r="F8">
            <v>1</v>
          </cell>
          <cell r="G8">
            <v>1</v>
          </cell>
          <cell r="H8">
            <v>3</v>
          </cell>
        </row>
        <row r="9">
          <cell r="A9" t="str">
            <v>samurai</v>
          </cell>
          <cell r="B9" t="str">
            <v>ja</v>
          </cell>
          <cell r="C9" t="str">
            <v>サムライ</v>
          </cell>
          <cell r="D9">
            <v>1</v>
          </cell>
          <cell r="E9">
            <v>1</v>
          </cell>
          <cell r="F9">
            <v>1</v>
          </cell>
          <cell r="G9">
            <v>1</v>
          </cell>
          <cell r="H9">
            <v>3</v>
          </cell>
        </row>
        <row r="10">
          <cell r="A10" t="str">
            <v>academia</v>
          </cell>
          <cell r="B10" t="str">
            <v>ja</v>
          </cell>
          <cell r="C10" t="str">
            <v>アカデミア</v>
          </cell>
          <cell r="D10">
            <v>1</v>
          </cell>
          <cell r="E10">
            <v>1</v>
          </cell>
          <cell r="F10">
            <v>1</v>
          </cell>
          <cell r="G10">
            <v>1</v>
          </cell>
          <cell r="H10">
            <v>3</v>
          </cell>
        </row>
        <row r="11">
          <cell r="A11" t="str">
            <v>insect</v>
          </cell>
          <cell r="B11" t="str">
            <v>ja</v>
          </cell>
          <cell r="C11" t="str">
            <v>インセクト</v>
          </cell>
          <cell r="D11">
            <v>1</v>
          </cell>
          <cell r="E11">
            <v>1</v>
          </cell>
          <cell r="F11">
            <v>1</v>
          </cell>
          <cell r="G11">
            <v>1</v>
          </cell>
          <cell r="H11">
            <v>3</v>
          </cell>
        </row>
        <row r="12">
          <cell r="A12" t="str">
            <v>weapon</v>
          </cell>
          <cell r="B12" t="str">
            <v>ja</v>
          </cell>
          <cell r="C12" t="str">
            <v>ウェポン</v>
          </cell>
          <cell r="D12">
            <v>1</v>
          </cell>
          <cell r="E12">
            <v>1</v>
          </cell>
          <cell r="F12">
            <v>1</v>
          </cell>
          <cell r="G12">
            <v>1</v>
          </cell>
          <cell r="H12">
            <v>3</v>
          </cell>
        </row>
        <row r="13">
          <cell r="A13" t="str">
            <v>ti</v>
          </cell>
          <cell r="B13" t="str">
            <v>ja</v>
          </cell>
          <cell r="C13" t="str">
            <v>t</v>
          </cell>
          <cell r="D13">
            <v>1</v>
          </cell>
          <cell r="E13">
            <v>1</v>
          </cell>
          <cell r="F13">
            <v>1</v>
          </cell>
          <cell r="G13">
            <v>1</v>
          </cell>
          <cell r="H13">
            <v>3</v>
          </cell>
        </row>
        <row r="14">
          <cell r="A14" t="str">
            <v>ss</v>
          </cell>
          <cell r="B14" t="str">
            <v>ja</v>
          </cell>
          <cell r="C14" t="str">
            <v>サンリオキャラクターズ</v>
          </cell>
          <cell r="D14">
            <v>1</v>
          </cell>
          <cell r="E14">
            <v>1</v>
          </cell>
          <cell r="F14">
            <v>1</v>
          </cell>
          <cell r="G14">
            <v>1</v>
          </cell>
          <cell r="H14">
            <v>3</v>
          </cell>
        </row>
        <row r="15">
          <cell r="A15" t="str">
            <v>hero</v>
          </cell>
          <cell r="B15" t="str">
            <v>ja</v>
          </cell>
          <cell r="C15" t="str">
            <v>ヒーロー</v>
          </cell>
          <cell r="D15">
            <v>1</v>
          </cell>
          <cell r="E15">
            <v>1</v>
          </cell>
          <cell r="F15">
            <v>1</v>
          </cell>
          <cell r="G15">
            <v>1</v>
          </cell>
          <cell r="H15">
            <v>3</v>
          </cell>
        </row>
        <row r="16">
          <cell r="A16" t="str">
            <v>demon</v>
          </cell>
          <cell r="B16" t="str">
            <v>ja</v>
          </cell>
          <cell r="C16" t="str">
            <v>デーモン</v>
          </cell>
          <cell r="D16">
            <v>1</v>
          </cell>
          <cell r="E16">
            <v>1</v>
          </cell>
          <cell r="F16">
            <v>1</v>
          </cell>
          <cell r="G16">
            <v>1</v>
          </cell>
          <cell r="H16">
            <v>3</v>
          </cell>
        </row>
        <row r="17">
          <cell r="A17" t="str">
            <v>queen</v>
          </cell>
          <cell r="B17" t="str">
            <v>ja</v>
          </cell>
          <cell r="C17" t="str">
            <v>QUEEN</v>
          </cell>
          <cell r="D17">
            <v>1</v>
          </cell>
          <cell r="E17">
            <v>1</v>
          </cell>
          <cell r="F17">
            <v>1</v>
          </cell>
          <cell r="G17">
            <v>1</v>
          </cell>
          <cell r="H17">
            <v>3</v>
          </cell>
        </row>
        <row r="18">
          <cell r="A18" t="str">
            <v>fantasy</v>
          </cell>
          <cell r="B18" t="str">
            <v>ja</v>
          </cell>
          <cell r="C18" t="str">
            <v>ファンタジー</v>
          </cell>
          <cell r="D18">
            <v>1</v>
          </cell>
          <cell r="E18">
            <v>1</v>
          </cell>
          <cell r="F18">
            <v>1</v>
          </cell>
          <cell r="G18">
            <v>1</v>
          </cell>
          <cell r="H18">
            <v>3</v>
          </cell>
        </row>
        <row r="19">
          <cell r="A19" t="str">
            <v>orochi</v>
          </cell>
          <cell r="B19" t="str">
            <v>ja</v>
          </cell>
          <cell r="C19" t="str">
            <v>オロチ一族</v>
          </cell>
          <cell r="D19">
            <v>1</v>
          </cell>
          <cell r="E19">
            <v>1</v>
          </cell>
          <cell r="F19">
            <v>1</v>
          </cell>
          <cell r="G19">
            <v>1</v>
          </cell>
          <cell r="H19">
            <v>3</v>
          </cell>
        </row>
      </sheetData>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units"/>
      <sheetName val="unit_skills"/>
      <sheetName val="crash_skills"/>
      <sheetName val="unit_serifs"/>
      <sheetName val="fork_awake_units"/>
      <sheetName val="awake_materials"/>
      <sheetName val="abilities"/>
      <sheetName val="unit_abilities"/>
      <sheetName val="→base値"/>
      <sheetName val="ghosts_label"/>
      <sheetName val="コスト"/>
      <sheetName val="レベル"/>
      <sheetName val="経験値"/>
      <sheetName val="RC6SV"/>
      <sheetName val="ビット"/>
      <sheetName val="チェックシート"/>
    </sheetNames>
    <sheetDataSet>
      <sheetData sheetId="0"/>
      <sheetData sheetId="1"/>
      <sheetData sheetId="2"/>
      <sheetData sheetId="3"/>
      <sheetData sheetId="4"/>
      <sheetData sheetId="5"/>
      <sheetData sheetId="6"/>
      <sheetData sheetId="7"/>
      <sheetData sheetId="8"/>
      <sheetData sheetId="9"/>
      <sheetData sheetId="10">
        <row r="2">
          <cell r="A2" t="str">
            <v>Drop1T</v>
          </cell>
          <cell r="B2">
            <v>1</v>
          </cell>
        </row>
        <row r="3">
          <cell r="A3" t="str">
            <v>Drop1W</v>
          </cell>
          <cell r="B3">
            <v>1</v>
          </cell>
        </row>
        <row r="4">
          <cell r="A4" t="str">
            <v>Drop1N</v>
          </cell>
          <cell r="B4">
            <v>1</v>
          </cell>
        </row>
        <row r="5">
          <cell r="A5" t="str">
            <v>Drop1S</v>
          </cell>
          <cell r="B5">
            <v>1</v>
          </cell>
        </row>
        <row r="6">
          <cell r="A6" t="str">
            <v>Drop2N</v>
          </cell>
          <cell r="B6">
            <v>1</v>
          </cell>
        </row>
        <row r="7">
          <cell r="A7" t="str">
            <v>Drop2W</v>
          </cell>
          <cell r="B7">
            <v>1</v>
          </cell>
        </row>
        <row r="8">
          <cell r="A8" t="str">
            <v>DropWizW</v>
          </cell>
          <cell r="B8">
            <v>1</v>
          </cell>
        </row>
        <row r="9">
          <cell r="A9" t="str">
            <v>DropWizN</v>
          </cell>
          <cell r="B9">
            <v>1</v>
          </cell>
        </row>
        <row r="10">
          <cell r="A10" t="str">
            <v>DropWizS</v>
          </cell>
          <cell r="B10">
            <v>1</v>
          </cell>
        </row>
        <row r="11">
          <cell r="A11" t="str">
            <v>DropWizSS</v>
          </cell>
          <cell r="B11">
            <v>1</v>
          </cell>
        </row>
        <row r="12">
          <cell r="A12" t="str">
            <v>DropWizSSS</v>
          </cell>
          <cell r="B12">
            <v>1</v>
          </cell>
        </row>
        <row r="13">
          <cell r="A13" t="str">
            <v>Material</v>
          </cell>
          <cell r="B13">
            <v>0</v>
          </cell>
        </row>
        <row r="14">
          <cell r="A14" t="str">
            <v>PremiumW</v>
          </cell>
          <cell r="B14">
            <v>500</v>
          </cell>
        </row>
        <row r="15">
          <cell r="A15" t="str">
            <v>PremiumN</v>
          </cell>
          <cell r="B15">
            <v>600</v>
          </cell>
        </row>
        <row r="16">
          <cell r="A16" t="str">
            <v>PremiumS</v>
          </cell>
          <cell r="B16">
            <v>700</v>
          </cell>
        </row>
        <row r="17">
          <cell r="A17" t="str">
            <v>PremiumSS</v>
          </cell>
          <cell r="B17">
            <v>5500</v>
          </cell>
        </row>
        <row r="18">
          <cell r="A18" t="str">
            <v>PremiumSSw</v>
          </cell>
          <cell r="B18">
            <v>6000</v>
          </cell>
        </row>
        <row r="19">
          <cell r="A19" t="str">
            <v>PremiumSSS</v>
          </cell>
          <cell r="B19">
            <v>30000</v>
          </cell>
        </row>
      </sheetData>
      <sheetData sheetId="11"/>
      <sheetData sheetId="12"/>
      <sheetData sheetId="13"/>
      <sheetData sheetId="14"/>
      <sheetData sheetId="15"/>
      <sheetData sheetId="1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理論値幅"/>
      <sheetName val="fork_awake_units"/>
      <sheetName val="fork_awake_materials"/>
      <sheetName val="awake_material_habitats"/>
      <sheetName val="awake_material_habitats_manual"/>
      <sheetName val="ビット"/>
    </sheetNames>
    <sheetDataSet>
      <sheetData sheetId="0"/>
      <sheetData sheetId="1"/>
      <sheetData sheetId="2">
        <row r="1">
          <cell r="A1" t="str">
            <v>character_id</v>
          </cell>
        </row>
      </sheetData>
      <sheetData sheetId="3"/>
      <sheetData sheetId="4"/>
      <sheetData sheetId="5"/>
      <sheetData sheetId="6">
        <row r="2">
          <cell r="A2" t="str">
            <v>レアレリティ</v>
          </cell>
          <cell r="B2" t="str">
            <v>金額</v>
          </cell>
        </row>
        <row r="3">
          <cell r="A3">
            <v>1</v>
          </cell>
          <cell r="B3">
            <v>5000</v>
          </cell>
        </row>
        <row r="4">
          <cell r="A4">
            <v>2</v>
          </cell>
          <cell r="B4">
            <v>10000</v>
          </cell>
        </row>
        <row r="5">
          <cell r="A5">
            <v>3</v>
          </cell>
          <cell r="B5">
            <v>20000</v>
          </cell>
        </row>
        <row r="6">
          <cell r="A6">
            <v>4</v>
          </cell>
          <cell r="B6">
            <v>50000</v>
          </cell>
        </row>
        <row r="7">
          <cell r="A7">
            <v>5</v>
          </cell>
          <cell r="B7">
            <v>200000</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abilities"/>
      <sheetName val="ability_基礎設計"/>
      <sheetName val="unit_abilities"/>
      <sheetName val="文言管理シート"/>
      <sheetName val="Sheet1"/>
      <sheetName val="アビリティ分類分け"/>
    </sheetNames>
    <sheetDataSet>
      <sheetData sheetId="0"/>
      <sheetData sheetId="1">
        <row r="1">
          <cell r="A1" t="str">
            <v>ability_id</v>
          </cell>
          <cell r="B1" t="str">
            <v>language</v>
          </cell>
          <cell r="C1" t="str">
            <v>name</v>
          </cell>
          <cell r="D1" t="str">
            <v>comment</v>
          </cell>
        </row>
        <row r="2">
          <cell r="A2">
            <v>100</v>
          </cell>
          <cell r="B2" t="str">
            <v>ja</v>
          </cell>
          <cell r="C2" t="str">
            <v>プロテクトブレイク</v>
          </cell>
          <cell r="D2" t="str">
            <v>自身が先頭の時、プロテクトを無視してパネル破壊できる</v>
          </cell>
        </row>
        <row r="3">
          <cell r="A3">
            <v>101</v>
          </cell>
          <cell r="B3" t="str">
            <v>ja</v>
          </cell>
          <cell r="C3" t="str">
            <v>プロテクトブレイクS(仮)</v>
          </cell>
          <cell r="D3" t="str">
            <v>自身が先頭の時、プロテクトを無視してパネル破壊できる</v>
          </cell>
        </row>
        <row r="4">
          <cell r="A4">
            <v>102</v>
          </cell>
          <cell r="B4" t="str">
            <v>ja</v>
          </cell>
          <cell r="C4" t="str">
            <v>プロテクトブレイク</v>
          </cell>
          <cell r="D4" t="str">
            <v>自身が先頭の時、プロテクトを無視してパネル破壊できる</v>
          </cell>
        </row>
        <row r="5">
          <cell r="A5">
            <v>103</v>
          </cell>
          <cell r="B5" t="str">
            <v>ja</v>
          </cell>
          <cell r="C5" t="str">
            <v>お邪魔ブレイク</v>
          </cell>
          <cell r="D5" t="str">
            <v>自身が先頭の時、お邪魔パネルを破壊できる</v>
          </cell>
        </row>
        <row r="6">
          <cell r="A6">
            <v>104</v>
          </cell>
          <cell r="B6" t="str">
            <v>ja</v>
          </cell>
          <cell r="C6" t="str">
            <v>お邪魔ブレイク</v>
          </cell>
          <cell r="D6" t="str">
            <v>自身が先頭の時、お邪魔パネルを破壊できる</v>
          </cell>
        </row>
        <row r="7">
          <cell r="A7">
            <v>105</v>
          </cell>
          <cell r="B7" t="str">
            <v>ja</v>
          </cell>
          <cell r="C7" t="str">
            <v>お邪魔ブレイク</v>
          </cell>
          <cell r="D7" t="str">
            <v>自身が先頭の時、お邪魔パネルを破壊できる</v>
          </cell>
        </row>
        <row r="8">
          <cell r="A8">
            <v>106</v>
          </cell>
          <cell r="B8" t="str">
            <v>ja</v>
          </cell>
          <cell r="C8" t="str">
            <v>時限式ブレイク</v>
          </cell>
          <cell r="D8" t="str">
            <v>自身が先頭の時、時限式ダメージパネルを破壊できる</v>
          </cell>
        </row>
        <row r="9">
          <cell r="A9">
            <v>107</v>
          </cell>
          <cell r="B9" t="str">
            <v>ja</v>
          </cell>
          <cell r="C9" t="str">
            <v>時限式ブレイク</v>
          </cell>
          <cell r="D9" t="str">
            <v>自身が先頭の時、時限式ダメージパネルを破壊できる</v>
          </cell>
        </row>
        <row r="10">
          <cell r="A10">
            <v>108</v>
          </cell>
          <cell r="B10" t="str">
            <v>ja</v>
          </cell>
          <cell r="C10" t="str">
            <v>時限式ブレイク</v>
          </cell>
          <cell r="D10" t="str">
            <v>自身が先頭の時、時限式ダメージパネルを破壊できる</v>
          </cell>
        </row>
        <row r="11">
          <cell r="A11">
            <v>109</v>
          </cell>
          <cell r="B11" t="str">
            <v>ja</v>
          </cell>
          <cell r="C11" t="str">
            <v>ダメージパネルブレイク</v>
          </cell>
          <cell r="D11" t="str">
            <v>自身が先頭の時、ダメージを受けずにダメージパネルを破壊できる</v>
          </cell>
        </row>
        <row r="12">
          <cell r="A12">
            <v>200</v>
          </cell>
          <cell r="B12" t="str">
            <v>ja</v>
          </cell>
          <cell r="C12" t="str">
            <v>ウィルス無効</v>
          </cell>
          <cell r="D12" t="str">
            <v>自身にかかるウィルスを無効化する</v>
          </cell>
        </row>
        <row r="13">
          <cell r="A13">
            <v>201</v>
          </cell>
          <cell r="B13" t="str">
            <v>ja</v>
          </cell>
          <cell r="C13" t="str">
            <v>スキルバインド無効</v>
          </cell>
          <cell r="D13" t="str">
            <v>自身にかかるスキルバインドを無効化する</v>
          </cell>
        </row>
        <row r="14">
          <cell r="A14">
            <v>202</v>
          </cell>
          <cell r="B14" t="str">
            <v>ja</v>
          </cell>
          <cell r="C14" t="str">
            <v>スリープ無効</v>
          </cell>
          <cell r="D14" t="str">
            <v>自身にかかるスリープを無効化する</v>
          </cell>
        </row>
        <row r="15">
          <cell r="A15">
            <v>203</v>
          </cell>
          <cell r="B15" t="str">
            <v>ja</v>
          </cell>
          <cell r="C15" t="str">
            <v>爆風軽減無効</v>
          </cell>
          <cell r="D15" t="str">
            <v>自身が先頭の時、爆風軽減を無効化する</v>
          </cell>
        </row>
        <row r="16">
          <cell r="A16">
            <v>204</v>
          </cell>
          <cell r="B16" t="str">
            <v>ja</v>
          </cell>
          <cell r="C16" t="str">
            <v>爆風強化</v>
          </cell>
          <cell r="D16" t="str">
            <v>自身が先頭の時、ボムの爆風を強化する</v>
          </cell>
        </row>
        <row r="17">
          <cell r="A17">
            <v>205</v>
          </cell>
          <cell r="B17" t="str">
            <v>ja</v>
          </cell>
          <cell r="C17" t="str">
            <v>ハート無効化耐性</v>
          </cell>
          <cell r="D17" t="str">
            <v>自身が先頭の時、ハート無効化の影響を受けない</v>
          </cell>
        </row>
        <row r="18">
          <cell r="A18">
            <v>206</v>
          </cell>
          <cell r="B18" t="str">
            <v>ja</v>
          </cell>
          <cell r="C18" t="str">
            <v>赤・緑パネル無効化耐性</v>
          </cell>
          <cell r="D18" t="str">
            <v>自身が先頭の時、赤・緑パネル無効化の影響を受けない</v>
          </cell>
        </row>
        <row r="19">
          <cell r="A19">
            <v>207</v>
          </cell>
          <cell r="B19" t="str">
            <v>ja</v>
          </cell>
          <cell r="C19" t="str">
            <v>赤・青パネル無効化耐性</v>
          </cell>
          <cell r="D19" t="str">
            <v>自身が先頭の時、赤・青パネル無効化の影響を受けない</v>
          </cell>
        </row>
        <row r="20">
          <cell r="A20">
            <v>208</v>
          </cell>
          <cell r="B20" t="str">
            <v>ja</v>
          </cell>
          <cell r="C20" t="str">
            <v>黄・緑パネル無効化耐性</v>
          </cell>
          <cell r="D20" t="str">
            <v>自身が先頭の時、黄・緑パネル無効化の影響を受けない</v>
          </cell>
        </row>
        <row r="21">
          <cell r="A21">
            <v>209</v>
          </cell>
          <cell r="B21" t="str">
            <v>ja</v>
          </cell>
          <cell r="C21" t="str">
            <v>黄・ハートパネル無効化耐性</v>
          </cell>
          <cell r="D21" t="str">
            <v>自身が先頭の時、黄・ハートパネル無効化の影響を受けない</v>
          </cell>
        </row>
        <row r="22">
          <cell r="A22">
            <v>210</v>
          </cell>
          <cell r="B22" t="str">
            <v>ja</v>
          </cell>
          <cell r="C22" t="str">
            <v>緑・赤・青・黄パネル無効化耐性</v>
          </cell>
          <cell r="D22" t="str">
            <v>自身が先頭の時、緑・赤・青・黄パネル無効化の影響を受けない</v>
          </cell>
        </row>
        <row r="23">
          <cell r="A23">
            <v>211</v>
          </cell>
          <cell r="B23" t="str">
            <v>ja</v>
          </cell>
          <cell r="C23" t="str">
            <v>全パネル無効化耐性</v>
          </cell>
          <cell r="D23" t="str">
            <v>自身が先頭の時、全てのパネル無効化の影響を受けない</v>
          </cell>
        </row>
        <row r="24">
          <cell r="A24">
            <v>300</v>
          </cell>
          <cell r="B24" t="str">
            <v>ja</v>
          </cell>
          <cell r="C24" t="str">
            <v>対ゴッド ダメージUP</v>
          </cell>
          <cell r="D24" t="str">
            <v>自身の攻撃対象が種族ゴッドの場合全ての攻撃の威力をUP</v>
          </cell>
        </row>
        <row r="25">
          <cell r="A25">
            <v>301</v>
          </cell>
          <cell r="B25" t="str">
            <v>ja</v>
          </cell>
          <cell r="C25" t="str">
            <v>対ゴッド ダメージ大UP</v>
          </cell>
          <cell r="D25" t="str">
            <v>自身の攻撃対象が種族ゴッドの場合全ての攻撃の威力をUP</v>
          </cell>
        </row>
        <row r="26">
          <cell r="A26">
            <v>302</v>
          </cell>
          <cell r="B26" t="str">
            <v>ja</v>
          </cell>
          <cell r="C26" t="str">
            <v>対ゴッド ダメージ特大UP</v>
          </cell>
          <cell r="D26" t="str">
            <v>自身の攻撃対象が種族ゴッドの場合全ての攻撃の威力をUP</v>
          </cell>
        </row>
        <row r="27">
          <cell r="A27">
            <v>303</v>
          </cell>
          <cell r="B27" t="str">
            <v>ja</v>
          </cell>
          <cell r="C27" t="str">
            <v>対ゴッド ダメージ超大UP</v>
          </cell>
          <cell r="D27" t="str">
            <v>自身の攻撃対象が種族ゴッドの場合全ての攻撃の威力をUP</v>
          </cell>
        </row>
        <row r="28">
          <cell r="A28">
            <v>304</v>
          </cell>
          <cell r="B28" t="str">
            <v>ja</v>
          </cell>
          <cell r="C28" t="str">
            <v>対ヒューマン ダメージUP</v>
          </cell>
          <cell r="D28" t="str">
            <v>自身の攻撃対象が種族ヒューマンの場合全ての攻撃の威力をUP</v>
          </cell>
        </row>
        <row r="29">
          <cell r="A29">
            <v>305</v>
          </cell>
          <cell r="B29" t="str">
            <v>ja</v>
          </cell>
          <cell r="C29" t="str">
            <v>対ヒューマン ダメージUP</v>
          </cell>
          <cell r="D29" t="str">
            <v>自身の攻撃対象が種族ヒューマンの場合全ての攻撃の威力をUP</v>
          </cell>
        </row>
        <row r="30">
          <cell r="A30">
            <v>306</v>
          </cell>
          <cell r="B30" t="str">
            <v>ja</v>
          </cell>
          <cell r="C30" t="str">
            <v>対ヒューマン ダメージUP</v>
          </cell>
          <cell r="D30" t="str">
            <v>自身の攻撃対象が種族ヒューマンの場合全ての攻撃の威力をUP</v>
          </cell>
        </row>
        <row r="31">
          <cell r="A31">
            <v>307</v>
          </cell>
          <cell r="B31" t="str">
            <v>ja</v>
          </cell>
          <cell r="C31" t="str">
            <v>対ヒューマン ダメージUP</v>
          </cell>
          <cell r="D31" t="str">
            <v>自身の攻撃対象が種族ヒューマンの場合全ての攻撃の威力をUP</v>
          </cell>
        </row>
        <row r="32">
          <cell r="A32">
            <v>308</v>
          </cell>
          <cell r="B32" t="str">
            <v>ja</v>
          </cell>
          <cell r="C32" t="str">
            <v>対アニマル ダメージUP</v>
          </cell>
          <cell r="D32" t="str">
            <v>自身の攻撃対象が種族アニマルの場合全ての攻撃の威力をUP</v>
          </cell>
        </row>
        <row r="33">
          <cell r="A33">
            <v>309</v>
          </cell>
          <cell r="B33" t="str">
            <v>ja</v>
          </cell>
          <cell r="C33" t="str">
            <v>対アニマル ダメージUP</v>
          </cell>
          <cell r="D33" t="str">
            <v>自身の攻撃対象が種族アニマルの場合全ての攻撃の威力をUP</v>
          </cell>
        </row>
        <row r="34">
          <cell r="A34">
            <v>310</v>
          </cell>
          <cell r="B34" t="str">
            <v>ja</v>
          </cell>
          <cell r="C34" t="str">
            <v>対アニマル ダメージUP</v>
          </cell>
          <cell r="D34" t="str">
            <v>自身の攻撃対象が種族アニマルの場合全ての攻撃の威力をUP</v>
          </cell>
        </row>
        <row r="35">
          <cell r="A35">
            <v>311</v>
          </cell>
          <cell r="B35" t="str">
            <v>ja</v>
          </cell>
          <cell r="C35" t="str">
            <v>対アニマル ダメージUP</v>
          </cell>
          <cell r="D35" t="str">
            <v>自身の攻撃対象が種族アニマルの場合全ての攻撃の威力をUP</v>
          </cell>
        </row>
        <row r="36">
          <cell r="A36">
            <v>312</v>
          </cell>
          <cell r="B36" t="str">
            <v>ja</v>
          </cell>
          <cell r="C36" t="str">
            <v>対ドラゴン ダメージUP</v>
          </cell>
          <cell r="D36" t="str">
            <v>自身の攻撃対象が種族ドラゴンの場合全ての攻撃の威力をUP</v>
          </cell>
        </row>
        <row r="37">
          <cell r="A37">
            <v>313</v>
          </cell>
          <cell r="B37" t="str">
            <v>ja</v>
          </cell>
          <cell r="C37" t="str">
            <v>対ドラゴン ダメージUP</v>
          </cell>
          <cell r="D37" t="str">
            <v>自身の攻撃対象が種族ドラゴンの場合全ての攻撃の威力をUP</v>
          </cell>
        </row>
        <row r="38">
          <cell r="A38">
            <v>314</v>
          </cell>
          <cell r="B38" t="str">
            <v>ja</v>
          </cell>
          <cell r="C38" t="str">
            <v>対ドラゴン ダメージUP</v>
          </cell>
          <cell r="D38" t="str">
            <v>自身の攻撃対象が種族ドラゴンの場合全ての攻撃の威力をUP</v>
          </cell>
        </row>
        <row r="39">
          <cell r="A39">
            <v>315</v>
          </cell>
          <cell r="B39" t="str">
            <v>ja</v>
          </cell>
          <cell r="C39" t="str">
            <v>対ドラゴン ダメージUP</v>
          </cell>
          <cell r="D39" t="str">
            <v>自身の攻撃対象が種族ドラゴンの場合全ての攻撃の威力をUP</v>
          </cell>
        </row>
        <row r="40">
          <cell r="A40">
            <v>316</v>
          </cell>
          <cell r="B40" t="str">
            <v>ja</v>
          </cell>
          <cell r="C40" t="str">
            <v>対Unknown ダメージUP</v>
          </cell>
          <cell r="D40" t="str">
            <v>自身の攻撃対象が種族Unknownの場合全ての攻撃の威力をUP</v>
          </cell>
        </row>
        <row r="41">
          <cell r="A41">
            <v>317</v>
          </cell>
          <cell r="B41" t="str">
            <v>ja</v>
          </cell>
          <cell r="C41" t="str">
            <v>対Unknown ダメージUP</v>
          </cell>
          <cell r="D41" t="str">
            <v>自身の攻撃対象が種族Unknownの場合全ての攻撃の威力をUP</v>
          </cell>
        </row>
        <row r="42">
          <cell r="A42">
            <v>318</v>
          </cell>
          <cell r="B42" t="str">
            <v>ja</v>
          </cell>
          <cell r="C42" t="str">
            <v>対Unknown ダメージUP</v>
          </cell>
          <cell r="D42" t="str">
            <v>自身の攻撃対象が種族Unknownの場合全ての攻撃の威力をUP</v>
          </cell>
        </row>
        <row r="43">
          <cell r="A43">
            <v>319</v>
          </cell>
          <cell r="B43" t="str">
            <v>ja</v>
          </cell>
          <cell r="C43" t="str">
            <v>対Unknown ダメージUP</v>
          </cell>
          <cell r="D43" t="str">
            <v>自身の攻撃対象が種族Unknownの場合全ての攻撃の威力をUP</v>
          </cell>
        </row>
        <row r="44">
          <cell r="A44">
            <v>320</v>
          </cell>
          <cell r="B44" t="str">
            <v>ja</v>
          </cell>
          <cell r="C44" t="str">
            <v>対サムライ ダメージUP</v>
          </cell>
          <cell r="D44" t="str">
            <v>自身の攻撃対象が種族サムライの場合全ての攻撃の威力をUP</v>
          </cell>
        </row>
        <row r="45">
          <cell r="A45">
            <v>321</v>
          </cell>
          <cell r="B45" t="str">
            <v>ja</v>
          </cell>
          <cell r="C45" t="str">
            <v>対サムライ ダメージUP</v>
          </cell>
          <cell r="D45" t="str">
            <v>自身の攻撃対象が種族サムライの場合全ての攻撃の威力をUP</v>
          </cell>
        </row>
        <row r="46">
          <cell r="A46">
            <v>322</v>
          </cell>
          <cell r="B46" t="str">
            <v>ja</v>
          </cell>
          <cell r="C46" t="str">
            <v>対サムライ ダメージUP</v>
          </cell>
          <cell r="D46" t="str">
            <v>自身の攻撃対象が種族サムライの場合全ての攻撃の威力をUP</v>
          </cell>
        </row>
        <row r="47">
          <cell r="A47">
            <v>323</v>
          </cell>
          <cell r="B47" t="str">
            <v>ja</v>
          </cell>
          <cell r="C47" t="str">
            <v>対サムライ ダメージUP</v>
          </cell>
          <cell r="D47" t="str">
            <v>自身の攻撃対象が種族サムライの場合全ての攻撃の威力をUP</v>
          </cell>
        </row>
        <row r="48">
          <cell r="A48">
            <v>324</v>
          </cell>
          <cell r="B48" t="str">
            <v>ja</v>
          </cell>
          <cell r="C48" t="str">
            <v>対ウェポン ダメージUP</v>
          </cell>
          <cell r="D48" t="str">
            <v>自身の攻撃対象が種族ウェポンの場合全ての攻撃の威力をUP</v>
          </cell>
        </row>
        <row r="49">
          <cell r="A49">
            <v>325</v>
          </cell>
          <cell r="B49" t="str">
            <v>ja</v>
          </cell>
          <cell r="C49" t="str">
            <v>対ウェポン ダメージUP</v>
          </cell>
          <cell r="D49" t="str">
            <v>自身の攻撃対象が種族ウェポンの場合全ての攻撃の威力をUP</v>
          </cell>
        </row>
        <row r="50">
          <cell r="A50">
            <v>326</v>
          </cell>
          <cell r="B50" t="str">
            <v>ja</v>
          </cell>
          <cell r="C50" t="str">
            <v>対ウェポン ダメージUP</v>
          </cell>
          <cell r="D50" t="str">
            <v>自身の攻撃対象が種族ウェポンの場合全ての攻撃の威力をUP</v>
          </cell>
        </row>
        <row r="51">
          <cell r="A51">
            <v>327</v>
          </cell>
          <cell r="B51" t="str">
            <v>ja</v>
          </cell>
          <cell r="C51" t="str">
            <v>対ウェポン ダメージUP</v>
          </cell>
          <cell r="D51" t="str">
            <v>自身の攻撃対象が種族ウェポンの場合全ての攻撃の威力をUP</v>
          </cell>
        </row>
        <row r="52">
          <cell r="A52">
            <v>328</v>
          </cell>
          <cell r="B52" t="str">
            <v>ja</v>
          </cell>
          <cell r="C52" t="str">
            <v>対アカデミア ダメージUP</v>
          </cell>
          <cell r="D52" t="str">
            <v>自身の攻撃対象が種族アカデミアの場合全ての攻撃の威力をUP</v>
          </cell>
        </row>
        <row r="53">
          <cell r="A53">
            <v>329</v>
          </cell>
          <cell r="B53" t="str">
            <v>ja</v>
          </cell>
          <cell r="C53" t="str">
            <v>対アカデミア ダメージUP</v>
          </cell>
          <cell r="D53" t="str">
            <v>自身の攻撃対象が種族アカデミアの場合全ての攻撃の威力をUP</v>
          </cell>
        </row>
        <row r="54">
          <cell r="A54">
            <v>330</v>
          </cell>
          <cell r="B54" t="str">
            <v>ja</v>
          </cell>
          <cell r="C54" t="str">
            <v>対アカデミア ダメージUP</v>
          </cell>
          <cell r="D54" t="str">
            <v>自身の攻撃対象が種族アカデミアの場合全ての攻撃の威力をUP</v>
          </cell>
        </row>
        <row r="55">
          <cell r="A55">
            <v>331</v>
          </cell>
          <cell r="B55" t="str">
            <v>ja</v>
          </cell>
          <cell r="C55" t="str">
            <v>対アカデミア ダメージUP</v>
          </cell>
          <cell r="D55" t="str">
            <v>自身の攻撃対象が種族アカデミアの場合全ての攻撃の威力をUP</v>
          </cell>
        </row>
        <row r="56">
          <cell r="A56">
            <v>332</v>
          </cell>
          <cell r="B56" t="str">
            <v>ja</v>
          </cell>
          <cell r="C56" t="str">
            <v>対タイタン ダメージUP</v>
          </cell>
          <cell r="D56" t="str">
            <v>自身の攻撃対象が種族タイタンの場合全ての攻撃の威力をUP</v>
          </cell>
        </row>
        <row r="57">
          <cell r="A57">
            <v>333</v>
          </cell>
          <cell r="B57" t="str">
            <v>ja</v>
          </cell>
          <cell r="C57" t="str">
            <v>対タイタン ダメージUP</v>
          </cell>
          <cell r="D57" t="str">
            <v>自身の攻撃対象が種族タイタンの場合全ての攻撃の威力をUP</v>
          </cell>
        </row>
        <row r="58">
          <cell r="A58">
            <v>334</v>
          </cell>
          <cell r="B58" t="str">
            <v>ja</v>
          </cell>
          <cell r="C58" t="str">
            <v>対タイタン ダメージUP</v>
          </cell>
          <cell r="D58" t="str">
            <v>自身の攻撃対象が種族タイタンの場合全ての攻撃の威力をUP</v>
          </cell>
        </row>
        <row r="59">
          <cell r="A59">
            <v>335</v>
          </cell>
          <cell r="B59" t="str">
            <v>ja</v>
          </cell>
          <cell r="C59" t="str">
            <v>対タイタン ダメージUP</v>
          </cell>
          <cell r="D59" t="str">
            <v>自身の攻撃対象が種族タイタンの場合全ての攻撃の威力をUP</v>
          </cell>
        </row>
        <row r="60">
          <cell r="A60">
            <v>336</v>
          </cell>
          <cell r="B60" t="str">
            <v>ja</v>
          </cell>
          <cell r="C60" t="str">
            <v>対マシン ダメージUP</v>
          </cell>
          <cell r="D60" t="str">
            <v>自身の攻撃対象が種族マシンの場合全ての攻撃の威力をUP</v>
          </cell>
        </row>
        <row r="61">
          <cell r="A61">
            <v>337</v>
          </cell>
          <cell r="B61" t="str">
            <v>ja</v>
          </cell>
          <cell r="C61" t="str">
            <v>対マシン ダメージUP</v>
          </cell>
          <cell r="D61" t="str">
            <v>自身の攻撃対象が種族マシンの場合全ての攻撃の威力をUP</v>
          </cell>
        </row>
        <row r="62">
          <cell r="A62">
            <v>338</v>
          </cell>
          <cell r="B62" t="str">
            <v>ja</v>
          </cell>
          <cell r="C62" t="str">
            <v>対マシン ダメージUP</v>
          </cell>
          <cell r="D62" t="str">
            <v>自身の攻撃対象が種族マシンの場合全ての攻撃の威力をUP</v>
          </cell>
        </row>
        <row r="63">
          <cell r="A63">
            <v>339</v>
          </cell>
          <cell r="B63" t="str">
            <v>ja</v>
          </cell>
          <cell r="C63" t="str">
            <v>対マシン ダメージUP</v>
          </cell>
          <cell r="D63" t="str">
            <v>自身の攻撃対象が種族マシンの場合全ての攻撃の威力をUP</v>
          </cell>
        </row>
        <row r="64">
          <cell r="A64">
            <v>400</v>
          </cell>
          <cell r="B64" t="str">
            <v>ja</v>
          </cell>
          <cell r="C64" t="str">
            <v>攻撃タイプキラー</v>
          </cell>
          <cell r="D64" t="str">
            <v>攻撃対象が攻撃タイプの場合威力UP</v>
          </cell>
        </row>
        <row r="65">
          <cell r="A65">
            <v>401</v>
          </cell>
          <cell r="B65" t="str">
            <v>ja</v>
          </cell>
          <cell r="C65" t="str">
            <v>攻撃タイプキラー</v>
          </cell>
          <cell r="D65" t="str">
            <v>攻撃対象が攻撃タイプの場合威力UP</v>
          </cell>
        </row>
        <row r="66">
          <cell r="A66">
            <v>402</v>
          </cell>
          <cell r="B66" t="str">
            <v>ja</v>
          </cell>
          <cell r="C66" t="str">
            <v>攻撃タイプキラー</v>
          </cell>
          <cell r="D66" t="str">
            <v>攻撃対象が攻撃タイプの場合威力UP</v>
          </cell>
        </row>
        <row r="67">
          <cell r="A67">
            <v>403</v>
          </cell>
          <cell r="B67" t="str">
            <v>ja</v>
          </cell>
          <cell r="C67" t="str">
            <v>攻撃タイプキラー</v>
          </cell>
          <cell r="D67" t="str">
            <v>攻撃対象が攻撃タイプの場合威力UP</v>
          </cell>
        </row>
        <row r="68">
          <cell r="A68">
            <v>404</v>
          </cell>
          <cell r="B68" t="str">
            <v>ja</v>
          </cell>
          <cell r="C68" t="str">
            <v>バランスタイプキラー</v>
          </cell>
          <cell r="D68" t="str">
            <v>攻撃対象が攻撃タイプの場合威力UP</v>
          </cell>
        </row>
        <row r="69">
          <cell r="A69">
            <v>405</v>
          </cell>
          <cell r="B69" t="str">
            <v>ja</v>
          </cell>
          <cell r="C69" t="str">
            <v>バランスタイプキラー</v>
          </cell>
          <cell r="D69" t="str">
            <v>攻撃対象が攻撃タイプの場合威力UP</v>
          </cell>
        </row>
        <row r="70">
          <cell r="A70">
            <v>406</v>
          </cell>
          <cell r="B70" t="str">
            <v>ja</v>
          </cell>
          <cell r="C70" t="str">
            <v>バランスタイプキラー</v>
          </cell>
          <cell r="D70" t="str">
            <v>攻撃対象が攻撃タイプの場合威力UP</v>
          </cell>
        </row>
        <row r="71">
          <cell r="A71">
            <v>407</v>
          </cell>
          <cell r="B71" t="str">
            <v>ja</v>
          </cell>
          <cell r="C71" t="str">
            <v>バランスタイプキラー</v>
          </cell>
          <cell r="D71" t="str">
            <v>攻撃対象が攻撃タイプの場合威力UP</v>
          </cell>
        </row>
        <row r="72">
          <cell r="A72">
            <v>408</v>
          </cell>
          <cell r="B72" t="str">
            <v>ja</v>
          </cell>
          <cell r="C72" t="str">
            <v>体力タイプキラー</v>
          </cell>
          <cell r="D72" t="str">
            <v>攻撃対象が攻撃タイプの場合威力UP</v>
          </cell>
        </row>
        <row r="73">
          <cell r="A73">
            <v>409</v>
          </cell>
          <cell r="B73" t="str">
            <v>ja</v>
          </cell>
          <cell r="C73" t="str">
            <v>体力タイプキラー</v>
          </cell>
          <cell r="D73" t="str">
            <v>攻撃対象が攻撃タイプの場合威力UP</v>
          </cell>
        </row>
        <row r="74">
          <cell r="A74">
            <v>410</v>
          </cell>
          <cell r="B74" t="str">
            <v>ja</v>
          </cell>
          <cell r="C74" t="str">
            <v>体力タイプキラー</v>
          </cell>
          <cell r="D74" t="str">
            <v>攻撃対象が攻撃タイプの場合威力UP</v>
          </cell>
        </row>
        <row r="75">
          <cell r="A75">
            <v>411</v>
          </cell>
          <cell r="B75" t="str">
            <v>ja</v>
          </cell>
          <cell r="C75" t="str">
            <v>体力タイプキラー</v>
          </cell>
          <cell r="D75" t="str">
            <v>攻撃対象が攻撃タイプの場合威力UP</v>
          </cell>
        </row>
        <row r="76">
          <cell r="A76">
            <v>412</v>
          </cell>
          <cell r="B76" t="str">
            <v>ja</v>
          </cell>
          <cell r="C76" t="str">
            <v>テクニカルタイプキラー</v>
          </cell>
          <cell r="D76" t="str">
            <v>攻撃対象が攻撃タイプの場合威力UP</v>
          </cell>
        </row>
        <row r="77">
          <cell r="A77">
            <v>413</v>
          </cell>
          <cell r="B77" t="str">
            <v>ja</v>
          </cell>
          <cell r="C77" t="str">
            <v>テクニカルタイプキラー</v>
          </cell>
          <cell r="D77" t="str">
            <v>攻撃対象が攻撃タイプの場合威力UP</v>
          </cell>
        </row>
        <row r="78">
          <cell r="A78">
            <v>414</v>
          </cell>
          <cell r="B78" t="str">
            <v>ja</v>
          </cell>
          <cell r="C78" t="str">
            <v>テクニカルタイプキラー</v>
          </cell>
          <cell r="D78" t="str">
            <v>攻撃対象が攻撃タイプの場合威力UP</v>
          </cell>
        </row>
        <row r="79">
          <cell r="A79">
            <v>415</v>
          </cell>
          <cell r="B79" t="str">
            <v>ja</v>
          </cell>
          <cell r="C79" t="str">
            <v>テクニカルタイプキラー</v>
          </cell>
          <cell r="D79" t="str">
            <v>攻撃対象が攻撃タイプの場合威力UP</v>
          </cell>
        </row>
        <row r="80">
          <cell r="A80">
            <v>416</v>
          </cell>
          <cell r="B80" t="str">
            <v>ja</v>
          </cell>
          <cell r="C80" t="str">
            <v>回復タイプキラー</v>
          </cell>
          <cell r="D80" t="str">
            <v>攻撃対象が攻撃タイプの場合威力UP</v>
          </cell>
        </row>
        <row r="81">
          <cell r="A81">
            <v>417</v>
          </cell>
          <cell r="B81" t="str">
            <v>ja</v>
          </cell>
          <cell r="C81" t="str">
            <v>回復タイプキラー</v>
          </cell>
          <cell r="D81" t="str">
            <v>攻撃対象が攻撃タイプの場合威力UP</v>
          </cell>
        </row>
        <row r="82">
          <cell r="A82">
            <v>418</v>
          </cell>
          <cell r="B82" t="str">
            <v>ja</v>
          </cell>
          <cell r="C82" t="str">
            <v>回復タイプキラー</v>
          </cell>
          <cell r="D82" t="str">
            <v>攻撃対象が攻撃タイプの場合威力UP</v>
          </cell>
        </row>
        <row r="83">
          <cell r="A83">
            <v>419</v>
          </cell>
          <cell r="B83" t="str">
            <v>ja</v>
          </cell>
          <cell r="C83" t="str">
            <v>回復タイプキラー</v>
          </cell>
          <cell r="D83" t="str">
            <v>攻撃対象が攻撃タイプの場合威力UP</v>
          </cell>
        </row>
        <row r="84">
          <cell r="A84">
            <v>420</v>
          </cell>
          <cell r="B84" t="str">
            <v>ja</v>
          </cell>
          <cell r="C84" t="str">
            <v>強化素材タイプキラー</v>
          </cell>
          <cell r="D84" t="str">
            <v>攻撃対象が攻撃タイプの場合威力UP</v>
          </cell>
        </row>
        <row r="85">
          <cell r="A85">
            <v>421</v>
          </cell>
          <cell r="B85" t="str">
            <v>ja</v>
          </cell>
          <cell r="C85" t="str">
            <v>強化素材タイプキラー</v>
          </cell>
          <cell r="D85" t="str">
            <v>攻撃対象が攻撃タイプの場合威力UP</v>
          </cell>
        </row>
        <row r="86">
          <cell r="A86">
            <v>422</v>
          </cell>
          <cell r="B86" t="str">
            <v>ja</v>
          </cell>
          <cell r="C86" t="str">
            <v>強化素材タイプキラー</v>
          </cell>
          <cell r="D86" t="str">
            <v>攻撃対象が攻撃タイプの場合威力UP</v>
          </cell>
        </row>
        <row r="87">
          <cell r="A87">
            <v>423</v>
          </cell>
          <cell r="B87" t="str">
            <v>ja</v>
          </cell>
          <cell r="C87" t="str">
            <v>強化素材タイプキラー</v>
          </cell>
          <cell r="D87" t="str">
            <v>攻撃対象が攻撃タイプの場合威力UP</v>
          </cell>
        </row>
        <row r="88">
          <cell r="A88">
            <v>424</v>
          </cell>
          <cell r="B88" t="str">
            <v>ja</v>
          </cell>
          <cell r="C88" t="str">
            <v>コインタイプキラー</v>
          </cell>
          <cell r="D88" t="str">
            <v>攻撃対象が攻撃タイプの場合威力UP</v>
          </cell>
        </row>
        <row r="89">
          <cell r="A89">
            <v>425</v>
          </cell>
          <cell r="B89" t="str">
            <v>ja</v>
          </cell>
          <cell r="C89" t="str">
            <v>コインタイプキラー</v>
          </cell>
          <cell r="D89" t="str">
            <v>攻撃対象が攻撃タイプの場合威力UP</v>
          </cell>
        </row>
        <row r="90">
          <cell r="A90">
            <v>426</v>
          </cell>
          <cell r="B90" t="str">
            <v>ja</v>
          </cell>
          <cell r="C90" t="str">
            <v>コインタイプキラー</v>
          </cell>
          <cell r="D90" t="str">
            <v>攻撃対象が攻撃タイプの場合威力UP</v>
          </cell>
        </row>
        <row r="91">
          <cell r="A91">
            <v>427</v>
          </cell>
          <cell r="B91" t="str">
            <v>ja</v>
          </cell>
          <cell r="C91" t="str">
            <v>コインタイプキラー</v>
          </cell>
          <cell r="D91" t="str">
            <v>攻撃対象が攻撃タイプの場合威力UP</v>
          </cell>
        </row>
        <row r="92">
          <cell r="A92">
            <v>428</v>
          </cell>
          <cell r="B92" t="str">
            <v>ja</v>
          </cell>
          <cell r="C92" t="str">
            <v>限界突破素材タイプキラー</v>
          </cell>
          <cell r="D92" t="str">
            <v>攻撃対象が攻撃タイプの場合威力UP</v>
          </cell>
        </row>
        <row r="93">
          <cell r="A93">
            <v>429</v>
          </cell>
          <cell r="B93" t="str">
            <v>ja</v>
          </cell>
          <cell r="C93" t="str">
            <v>限界突破素材タイプキラー</v>
          </cell>
          <cell r="D93" t="str">
            <v>攻撃対象が攻撃タイプの場合威力UP</v>
          </cell>
        </row>
        <row r="94">
          <cell r="A94">
            <v>430</v>
          </cell>
          <cell r="B94" t="str">
            <v>ja</v>
          </cell>
          <cell r="C94" t="str">
            <v>限界突破素材タイプキラー</v>
          </cell>
          <cell r="D94" t="str">
            <v>攻撃対象が攻撃タイプの場合威力UP</v>
          </cell>
        </row>
        <row r="95">
          <cell r="A95">
            <v>431</v>
          </cell>
          <cell r="B95" t="str">
            <v>ja</v>
          </cell>
          <cell r="C95" t="str">
            <v>限界突破素材タイプキラー</v>
          </cell>
          <cell r="D95" t="str">
            <v>攻撃対象が攻撃タイプの場合威力UP</v>
          </cell>
        </row>
        <row r="96">
          <cell r="A96">
            <v>432</v>
          </cell>
          <cell r="B96" t="str">
            <v>ja</v>
          </cell>
          <cell r="C96" t="str">
            <v>スキルレベル素材タイプキラー</v>
          </cell>
          <cell r="D96" t="str">
            <v>攻撃対象が攻撃タイプの場合威力UP</v>
          </cell>
        </row>
        <row r="97">
          <cell r="A97">
            <v>433</v>
          </cell>
          <cell r="B97" t="str">
            <v>ja</v>
          </cell>
          <cell r="C97" t="str">
            <v>スキルレベル素材タイプキラー</v>
          </cell>
          <cell r="D97" t="str">
            <v>攻撃対象が攻撃タイプの場合威力UP</v>
          </cell>
        </row>
        <row r="98">
          <cell r="A98">
            <v>434</v>
          </cell>
          <cell r="B98" t="str">
            <v>ja</v>
          </cell>
          <cell r="C98" t="str">
            <v>スキルレベル素材タイプキラー</v>
          </cell>
          <cell r="D98" t="str">
            <v>攻撃対象が攻撃タイプの場合威力UP</v>
          </cell>
        </row>
        <row r="99">
          <cell r="A99">
            <v>435</v>
          </cell>
          <cell r="B99" t="str">
            <v>ja</v>
          </cell>
          <cell r="C99" t="str">
            <v>スキルレベル素材タイプキラー</v>
          </cell>
          <cell r="D99" t="str">
            <v>攻撃対象が攻撃タイプの場合威力UP</v>
          </cell>
        </row>
        <row r="100">
          <cell r="A100">
            <v>600</v>
          </cell>
          <cell r="B100" t="str">
            <v>ja</v>
          </cell>
          <cell r="C100" t="str">
            <v>赤属性耐性25</v>
          </cell>
          <cell r="D100" t="str">
            <v>自身に対する赤属性の敵からの攻撃を25％軽減</v>
          </cell>
        </row>
        <row r="101">
          <cell r="A101">
            <v>601</v>
          </cell>
          <cell r="B101" t="str">
            <v>ja</v>
          </cell>
          <cell r="C101" t="str">
            <v>赤属性耐性25</v>
          </cell>
          <cell r="D101" t="str">
            <v>自身に対する赤属性の敵からの攻撃を25％軽減</v>
          </cell>
        </row>
        <row r="102">
          <cell r="A102">
            <v>602</v>
          </cell>
          <cell r="B102" t="str">
            <v>ja</v>
          </cell>
          <cell r="C102" t="str">
            <v>赤属性耐性25</v>
          </cell>
          <cell r="D102" t="str">
            <v>自身に対する赤属性の敵からの攻撃を25％軽減</v>
          </cell>
        </row>
        <row r="103">
          <cell r="A103">
            <v>603</v>
          </cell>
          <cell r="B103" t="str">
            <v>ja</v>
          </cell>
          <cell r="C103" t="str">
            <v>青属性耐性25</v>
          </cell>
          <cell r="D103" t="str">
            <v>自身に対する青属性の敵からの攻撃を25％軽減</v>
          </cell>
        </row>
        <row r="104">
          <cell r="A104">
            <v>604</v>
          </cell>
          <cell r="B104" t="str">
            <v>ja</v>
          </cell>
          <cell r="C104" t="str">
            <v>青属性耐性25</v>
          </cell>
          <cell r="D104" t="str">
            <v>自身に対する青属性の敵からの攻撃を25％軽減</v>
          </cell>
        </row>
        <row r="105">
          <cell r="A105">
            <v>605</v>
          </cell>
          <cell r="B105" t="str">
            <v>ja</v>
          </cell>
          <cell r="C105" t="str">
            <v>青属性耐性25</v>
          </cell>
          <cell r="D105" t="str">
            <v>自身に対する青属性の敵からの攻撃を25％軽減</v>
          </cell>
        </row>
        <row r="106">
          <cell r="A106">
            <v>606</v>
          </cell>
          <cell r="B106" t="str">
            <v>ja</v>
          </cell>
          <cell r="C106" t="str">
            <v>緑属性耐性25</v>
          </cell>
          <cell r="D106" t="str">
            <v>自身に対する緑属性の敵からの攻撃を25％軽減</v>
          </cell>
        </row>
        <row r="107">
          <cell r="A107">
            <v>607</v>
          </cell>
          <cell r="B107" t="str">
            <v>ja</v>
          </cell>
          <cell r="C107" t="str">
            <v>緑属性耐性25</v>
          </cell>
          <cell r="D107" t="str">
            <v>自身に対する緑属性の敵からの攻撃を25％軽減</v>
          </cell>
        </row>
        <row r="108">
          <cell r="A108">
            <v>608</v>
          </cell>
          <cell r="B108" t="str">
            <v>ja</v>
          </cell>
          <cell r="C108" t="str">
            <v>緑属性耐性25</v>
          </cell>
          <cell r="D108" t="str">
            <v>自身に対する緑属性の敵からの攻撃を25％軽減</v>
          </cell>
        </row>
        <row r="109">
          <cell r="A109">
            <v>609</v>
          </cell>
          <cell r="B109" t="str">
            <v>ja</v>
          </cell>
          <cell r="C109" t="str">
            <v>黄属性耐性25</v>
          </cell>
          <cell r="D109" t="str">
            <v>自身に対する黄属性の敵からの攻撃を25％軽減</v>
          </cell>
        </row>
        <row r="110">
          <cell r="A110">
            <v>610</v>
          </cell>
          <cell r="B110" t="str">
            <v>ja</v>
          </cell>
          <cell r="C110" t="str">
            <v>黄属性耐性25</v>
          </cell>
          <cell r="D110" t="str">
            <v>自身に対する黄属性の敵からの攻撃を25％軽減</v>
          </cell>
        </row>
        <row r="111">
          <cell r="A111">
            <v>611</v>
          </cell>
          <cell r="B111" t="str">
            <v>ja</v>
          </cell>
          <cell r="C111" t="str">
            <v>黄属性耐性25</v>
          </cell>
          <cell r="D111" t="str">
            <v>自身に対する黄属性の敵からの攻撃を25％軽減</v>
          </cell>
        </row>
        <row r="112">
          <cell r="A112">
            <v>612</v>
          </cell>
          <cell r="B112" t="str">
            <v>ja</v>
          </cell>
          <cell r="C112" t="str">
            <v>全属性耐性10</v>
          </cell>
          <cell r="D112" t="str">
            <v>自身に対する全属性の敵からの攻撃を10％軽減</v>
          </cell>
        </row>
        <row r="113">
          <cell r="A113">
            <v>613</v>
          </cell>
          <cell r="B113" t="str">
            <v>ja</v>
          </cell>
          <cell r="C113" t="str">
            <v>赤属性耐性10</v>
          </cell>
          <cell r="D113" t="str">
            <v>自身に対する赤属性の敵からの攻撃を10％軽減</v>
          </cell>
        </row>
        <row r="114">
          <cell r="A114">
            <v>614</v>
          </cell>
          <cell r="B114" t="str">
            <v>ja</v>
          </cell>
          <cell r="C114" t="str">
            <v>青属性耐性10</v>
          </cell>
          <cell r="D114" t="str">
            <v>自身に対する青属性の敵からの攻撃を10％軽減</v>
          </cell>
        </row>
        <row r="115">
          <cell r="A115">
            <v>615</v>
          </cell>
          <cell r="B115" t="str">
            <v>ja</v>
          </cell>
          <cell r="C115" t="str">
            <v>緑属性耐性10</v>
          </cell>
          <cell r="D115" t="str">
            <v>自身に対する緑属性の敵からの攻撃を10％軽減</v>
          </cell>
        </row>
        <row r="116">
          <cell r="A116">
            <v>616</v>
          </cell>
          <cell r="B116" t="str">
            <v>ja</v>
          </cell>
          <cell r="C116" t="str">
            <v>黄属性耐性10</v>
          </cell>
          <cell r="D116" t="str">
            <v>自身に対する黄属性の敵からの攻撃を10％軽減</v>
          </cell>
        </row>
        <row r="117">
          <cell r="A117">
            <v>617</v>
          </cell>
          <cell r="B117" t="str">
            <v>ja</v>
          </cell>
          <cell r="C117" t="str">
            <v>ゴッド種族耐性10</v>
          </cell>
          <cell r="D117" t="str">
            <v>自身に対するゴッド種族の敵からの攻撃を25％軽減</v>
          </cell>
        </row>
        <row r="118">
          <cell r="A118">
            <v>700</v>
          </cell>
          <cell r="B118" t="str">
            <v>ja</v>
          </cell>
          <cell r="C118" t="str">
            <v>フロア 回復</v>
          </cell>
          <cell r="D118" t="str">
            <v>全フロアの1ターン目終了時にパーティの合計HPの20％を回復する</v>
          </cell>
        </row>
        <row r="119">
          <cell r="A119">
            <v>800</v>
          </cell>
          <cell r="B119" t="str">
            <v>ja</v>
          </cell>
          <cell r="C119" t="str">
            <v>パネルブレイク30 攻撃力UP</v>
          </cell>
          <cell r="D119" t="str">
            <v>自身が先頭の時、1ターンの間に合計30個以上パネルを破壊した場合に攻撃力UP</v>
          </cell>
        </row>
        <row r="120">
          <cell r="A120">
            <v>801</v>
          </cell>
          <cell r="B120" t="str">
            <v>ja</v>
          </cell>
          <cell r="C120" t="str">
            <v>パネルブレイク30 回復力UP</v>
          </cell>
          <cell r="D120" t="str">
            <v>自身が先頭の時、1ターンの間に合計30個以上パネルを破壊した場合に回復力UP</v>
          </cell>
        </row>
        <row r="121">
          <cell r="A121">
            <v>802</v>
          </cell>
          <cell r="B121" t="str">
            <v>ja</v>
          </cell>
          <cell r="C121" t="str">
            <v>パネルブレイク30 防御力小UP</v>
          </cell>
          <cell r="D121" t="str">
            <v>自身が先頭の時、1ターンの間に合計30個以上パネルを破壊した場合に防御力小UP</v>
          </cell>
        </row>
        <row r="122">
          <cell r="A122">
            <v>803</v>
          </cell>
          <cell r="B122" t="str">
            <v>ja</v>
          </cell>
          <cell r="C122" t="str">
            <v>パネルブレイク30 防御力UP</v>
          </cell>
          <cell r="D122" t="str">
            <v>自身が先頭の時、1ターンの間に合計30個以上パネルを破壊した場合に防御力UP</v>
          </cell>
        </row>
        <row r="123">
          <cell r="A123">
            <v>804</v>
          </cell>
          <cell r="B123" t="str">
            <v>ja</v>
          </cell>
          <cell r="C123" t="str">
            <v>パネルブレイク30 防御力大UP</v>
          </cell>
          <cell r="D123" t="str">
            <v>自身が先頭の時、1ターンの間に合計30個以上パネルを破壊した場合に防御力大UP</v>
          </cell>
        </row>
        <row r="124">
          <cell r="A124">
            <v>805</v>
          </cell>
          <cell r="B124" t="str">
            <v>ja</v>
          </cell>
          <cell r="C124" t="str">
            <v>パネルブレイク30 防御力特大UP</v>
          </cell>
          <cell r="D124" t="str">
            <v>自身が先頭の時、1ターンの間に合計30個以上パネルを破壊した場合に防御力特大UP</v>
          </cell>
        </row>
        <row r="125">
          <cell r="A125">
            <v>806</v>
          </cell>
          <cell r="B125" t="str">
            <v>ja</v>
          </cell>
          <cell r="C125" t="str">
            <v>ボムブレイク10 防御力UP</v>
          </cell>
          <cell r="D125" t="str">
            <v>自身または味方が1ターンの間に合計10個以上ボムパネルを破壊した場合に防御力UP</v>
          </cell>
        </row>
        <row r="126">
          <cell r="A126">
            <v>807</v>
          </cell>
          <cell r="B126" t="str">
            <v>ja</v>
          </cell>
          <cell r="C126" t="str">
            <v>パネル18 破壊フィーバーゲージ上昇</v>
          </cell>
          <cell r="D126" t="str">
            <v>自身が先頭の時、1ターンの間に合計18個以上パネルを破壊した場合にフィーバーゲージ上昇</v>
          </cell>
        </row>
        <row r="127">
          <cell r="A127">
            <v>808</v>
          </cell>
          <cell r="B127" t="str">
            <v>ja</v>
          </cell>
          <cell r="C127" t="str">
            <v>パネルブレイク40 防御力UP</v>
          </cell>
          <cell r="D127" t="str">
            <v>自身が先頭の時、1ターンの間に合計40個以上パネルを破壊した場合に青属性ユニットの防御力を400UP</v>
          </cell>
        </row>
        <row r="128">
          <cell r="A128">
            <v>809</v>
          </cell>
          <cell r="B128" t="str">
            <v>ja</v>
          </cell>
          <cell r="C128" t="str">
            <v>パネルブレイク40 攻撃力UP</v>
          </cell>
          <cell r="D128" t="str">
            <v>自身が先頭の時、1ターンの間に合計40個以上パネルを破壊した場合に攻撃力UP</v>
          </cell>
        </row>
        <row r="129">
          <cell r="A129">
            <v>810</v>
          </cell>
          <cell r="B129" t="str">
            <v>ja</v>
          </cell>
          <cell r="C129" t="str">
            <v>パネルブレイク40 攻撃力小UP</v>
          </cell>
          <cell r="D129" t="str">
            <v>自身が先頭の時、1ターンの間に合計40個以上パネルを破壊した場合に攻撃力小UP</v>
          </cell>
        </row>
        <row r="130">
          <cell r="A130">
            <v>811</v>
          </cell>
          <cell r="B130" t="str">
            <v>ja</v>
          </cell>
          <cell r="C130" t="str">
            <v>パネルブレイク30 攻撃力小UP</v>
          </cell>
          <cell r="D130" t="str">
            <v>自身が先頭の時、1ターンの間に合計30個以上パネルを破壊した場合に攻撃力小UP</v>
          </cell>
        </row>
        <row r="131">
          <cell r="A131">
            <v>812</v>
          </cell>
          <cell r="B131" t="str">
            <v>ja</v>
          </cell>
          <cell r="C131" t="str">
            <v>パネルブレイク40 HP小回復</v>
          </cell>
          <cell r="D131" t="str">
            <v>自身が先頭の時、1ターンの間に合計40個以上パネルを破壊した場合にターン終了時HP小回復</v>
          </cell>
        </row>
        <row r="132">
          <cell r="A132">
            <v>900</v>
          </cell>
          <cell r="B132" t="str">
            <v>ja</v>
          </cell>
          <cell r="C132" t="str">
            <v>チェイン12 攻撃力UP</v>
          </cell>
          <cell r="D132" t="str">
            <v>自身が先頭の時、1タップで12個以上パネルを繋げた場合に攻撃力UP</v>
          </cell>
        </row>
        <row r="133">
          <cell r="A133">
            <v>901</v>
          </cell>
          <cell r="B133" t="str">
            <v>ja</v>
          </cell>
          <cell r="C133" t="str">
            <v>チェイン12 回復力UP</v>
          </cell>
          <cell r="D133" t="str">
            <v>自身が先頭の時、1タップで12個以上パネルを繋げた場合に回復力UP</v>
          </cell>
        </row>
        <row r="134">
          <cell r="A134">
            <v>902</v>
          </cell>
          <cell r="B134" t="str">
            <v>ja</v>
          </cell>
          <cell r="C134" t="str">
            <v>チェイン12 タップ回数UP</v>
          </cell>
          <cell r="D134" t="str">
            <v>自身が先頭の時、1タップで12個以上パネルを繋げた場合にタップ回数を1回増やす</v>
          </cell>
        </row>
        <row r="135">
          <cell r="A135">
            <v>903</v>
          </cell>
          <cell r="B135" t="str">
            <v>ja</v>
          </cell>
          <cell r="C135" t="str">
            <v>チェイン18 スキルゲージUP</v>
          </cell>
          <cell r="D135" t="str">
            <v>自身が先頭の時、1タップで18個以上パネルを繋げた場合に自身のスキルゲージを1増やす(1ターンに1度だけ発動)</v>
          </cell>
        </row>
        <row r="136">
          <cell r="A136">
            <v>904</v>
          </cell>
          <cell r="B136" t="str">
            <v>ja</v>
          </cell>
          <cell r="C136" t="str">
            <v>チェイン17 回復力UP</v>
          </cell>
          <cell r="D136" t="str">
            <v>自身が先頭の時、1タップで17個以上パネルを繋げた場合に自身の回復力を2017UP</v>
          </cell>
        </row>
        <row r="137">
          <cell r="A137">
            <v>905</v>
          </cell>
          <cell r="B137" t="str">
            <v>ja</v>
          </cell>
          <cell r="C137" t="str">
            <v>チェイン12 攻撃力小UP</v>
          </cell>
          <cell r="D137" t="str">
            <v>自身が先頭の時、1タップで12個以上パネルを繋げた場合に攻撃力小UP</v>
          </cell>
        </row>
        <row r="138">
          <cell r="A138">
            <v>906</v>
          </cell>
          <cell r="B138" t="str">
            <v>ja</v>
          </cell>
          <cell r="C138" t="str">
            <v>チェイン14 回復力小UP</v>
          </cell>
          <cell r="D138" t="str">
            <v>自身が先頭の時、1タップで14個以上パネルを繋げた場合に回復力小UP</v>
          </cell>
        </row>
        <row r="139">
          <cell r="A139">
            <v>907</v>
          </cell>
          <cell r="B139" t="str">
            <v>ja</v>
          </cell>
          <cell r="C139" t="str">
            <v>チェイン14 攻撃力UP</v>
          </cell>
          <cell r="D139" t="str">
            <v>自身が先頭の時、1タップで14個以上パネルを繋げた場合に攻撃力UP</v>
          </cell>
        </row>
        <row r="140">
          <cell r="A140">
            <v>1100</v>
          </cell>
          <cell r="B140" t="str">
            <v>ja</v>
          </cell>
          <cell r="C140" t="str">
            <v>Cパネル生成短縮</v>
          </cell>
          <cell r="D140" t="str">
            <v>自身が先頭の時、Cパネル生成に必要なチェイン数を1短縮する</v>
          </cell>
        </row>
        <row r="141">
          <cell r="A141">
            <v>1101</v>
          </cell>
          <cell r="B141" t="str">
            <v>ja</v>
          </cell>
          <cell r="C141" t="str">
            <v>Cパネル生成短縮(大)</v>
          </cell>
          <cell r="D141" t="str">
            <v>自身が先頭の時、Cパネル生成に必要なチェイン数を2短縮する</v>
          </cell>
        </row>
        <row r="142">
          <cell r="A142">
            <v>1200</v>
          </cell>
          <cell r="B142" t="str">
            <v>ja</v>
          </cell>
          <cell r="C142" t="str">
            <v>フィーバー攻撃UP</v>
          </cell>
          <cell r="D142" t="str">
            <v>自身が先頭の時、フィーバー発動時に緑属性の攻撃力と回復力UP</v>
          </cell>
        </row>
        <row r="143">
          <cell r="A143">
            <v>1300</v>
          </cell>
          <cell r="B143" t="str">
            <v>ja</v>
          </cell>
          <cell r="C143" t="str">
            <v>チェイン12 HP回復</v>
          </cell>
          <cell r="D143" t="str">
            <v>自身が先頭の時、1タップで12個以上パネルを繋げた場合にHPを2000回復(1ターンに1度だけ発動)</v>
          </cell>
        </row>
        <row r="144">
          <cell r="A144">
            <v>1400</v>
          </cell>
          <cell r="B144" t="str">
            <v>ja</v>
          </cell>
          <cell r="C144" t="str">
            <v>カウンター威力UP</v>
          </cell>
          <cell r="D144" t="str">
            <v>4ターン毎に自身のカウンタースキルの威力が1ターンの間UP</v>
          </cell>
        </row>
        <row r="145">
          <cell r="A145">
            <v>1500</v>
          </cell>
          <cell r="B145" t="str">
            <v>ja</v>
          </cell>
          <cell r="C145" t="str">
            <v>バリア15000</v>
          </cell>
          <cell r="D145" t="str">
            <v>戦闘開始時に、自身への直接ダメージを15000まで防ぐバリアを一度だけ展開(バリアは破壊されると復活しない)</v>
          </cell>
        </row>
        <row r="146">
          <cell r="A146">
            <v>1501</v>
          </cell>
          <cell r="B146" t="str">
            <v>ja</v>
          </cell>
          <cell r="C146" t="str">
            <v>バリア</v>
          </cell>
          <cell r="D146" t="str">
            <v>戦闘開始時に、ダメージを25000まで防ぐバリアを一度だけ展開</v>
          </cell>
        </row>
        <row r="147">
          <cell r="A147">
            <v>1502</v>
          </cell>
          <cell r="B147" t="str">
            <v>ja</v>
          </cell>
          <cell r="C147" t="str">
            <v>バリア</v>
          </cell>
          <cell r="D147" t="str">
            <v>戦闘開始時に、ダメージを50000まで防ぐバリアを一度だけ展開</v>
          </cell>
        </row>
        <row r="148">
          <cell r="A148">
            <v>1503</v>
          </cell>
          <cell r="B148" t="str">
            <v>ja</v>
          </cell>
          <cell r="C148" t="str">
            <v>バリア8000</v>
          </cell>
          <cell r="D148" t="str">
            <v>戦闘開始時に、自身への直接ダメージを8000まで防ぐバリアを一度だけ展開(バリアは破壊されると復活しない)</v>
          </cell>
        </row>
        <row r="149">
          <cell r="A149">
            <v>1504</v>
          </cell>
          <cell r="B149" t="str">
            <v>ja</v>
          </cell>
          <cell r="C149" t="str">
            <v>バリア10000</v>
          </cell>
          <cell r="D149" t="str">
            <v>戦闘開始時に、自身への直接ダメージを10000まで防ぐバリアを一度だけ展開(バリアは破壊されると復活しない)</v>
          </cell>
        </row>
        <row r="150">
          <cell r="A150">
            <v>1505</v>
          </cell>
          <cell r="B150" t="str">
            <v>ja</v>
          </cell>
          <cell r="C150" t="str">
            <v>バリア3939</v>
          </cell>
          <cell r="D150" t="str">
            <v>戦闘開始時に、自身への直接ダメージを3939まで防ぐバリアを一度だけ展開(バリアは破壊されると復活しない)</v>
          </cell>
        </row>
        <row r="151">
          <cell r="A151">
            <v>1600</v>
          </cell>
          <cell r="B151" t="str">
            <v>ja</v>
          </cell>
          <cell r="C151" t="str">
            <v>攻撃力・回復力UP</v>
          </cell>
          <cell r="D151" t="str">
            <v>自身の攻撃力と回復力をUP</v>
          </cell>
        </row>
        <row r="152">
          <cell r="A152">
            <v>1700</v>
          </cell>
          <cell r="B152" t="str">
            <v>ja</v>
          </cell>
          <cell r="C152" t="str">
            <v>パネルブレイク30 ターンHP小回復</v>
          </cell>
          <cell r="D152" t="str">
            <v>自身が先頭の時、1ターンの間に合計30個以上パネルを破壊した場合に1ターン HP小回復</v>
          </cell>
        </row>
        <row r="153">
          <cell r="A153">
            <v>1800</v>
          </cell>
          <cell r="B153" t="str">
            <v>ja</v>
          </cell>
          <cell r="C153" t="str">
            <v>フィーバー強化</v>
          </cell>
          <cell r="D153" t="str">
            <v>フィーバー時自身の攻撃力、回復力を特大UP</v>
          </cell>
        </row>
        <row r="154">
          <cell r="A154">
            <v>1900</v>
          </cell>
          <cell r="B154" t="str">
            <v>ja</v>
          </cell>
          <cell r="C154" t="str">
            <v>ハート出現率UP</v>
          </cell>
          <cell r="D154" t="str">
            <v>自身が先頭の時、ハートパネルの出現率UP</v>
          </cell>
        </row>
        <row r="155">
          <cell r="A155">
            <v>2000</v>
          </cell>
          <cell r="B155" t="str">
            <v>ja</v>
          </cell>
          <cell r="C155" t="str">
            <v>赤パネル出現率UP</v>
          </cell>
          <cell r="D155" t="str">
            <v>自身が先頭の時、赤パネルの出現率UP</v>
          </cell>
        </row>
        <row r="156">
          <cell r="A156">
            <v>2100</v>
          </cell>
          <cell r="B156" t="str">
            <v>ja</v>
          </cell>
          <cell r="C156" t="str">
            <v>緑パネル出現率UP</v>
          </cell>
          <cell r="D156" t="str">
            <v>自身が先頭の時、緑パネルの出現率UP</v>
          </cell>
        </row>
        <row r="157">
          <cell r="A157">
            <v>2200</v>
          </cell>
          <cell r="B157" t="str">
            <v>ja</v>
          </cell>
          <cell r="C157" t="str">
            <v>青パネル出現率UP</v>
          </cell>
          <cell r="D157" t="str">
            <v>自身が先頭の時、青パネルの出現率UP</v>
          </cell>
        </row>
        <row r="158">
          <cell r="A158">
            <v>2300</v>
          </cell>
          <cell r="B158" t="str">
            <v>ja</v>
          </cell>
          <cell r="C158" t="str">
            <v>黄パネル出現率UP</v>
          </cell>
          <cell r="D158" t="str">
            <v>自身が先頭の時、黄パネルの出現率UP</v>
          </cell>
        </row>
        <row r="159">
          <cell r="A159">
            <v>2400</v>
          </cell>
          <cell r="B159" t="str">
            <v>ja</v>
          </cell>
          <cell r="C159" t="str">
            <v>ハートボムパネルドロップ</v>
          </cell>
          <cell r="D159" t="str">
            <v>自身が先頭の時、ハートパネルを確率でハートボムパネルに変換しドロップ</v>
          </cell>
        </row>
        <row r="160">
          <cell r="A160">
            <v>2500</v>
          </cell>
          <cell r="B160" t="str">
            <v>ja</v>
          </cell>
          <cell r="C160" t="str">
            <v>青パネルドロップ</v>
          </cell>
          <cell r="D160" t="str">
            <v>自身が先頭の時、緑パネルを確率で青パネルに変換しドロップ</v>
          </cell>
        </row>
        <row r="161">
          <cell r="A161">
            <v>2501</v>
          </cell>
          <cell r="B161" t="str">
            <v>ja</v>
          </cell>
          <cell r="C161" t="str">
            <v>黄パネルドロップ</v>
          </cell>
          <cell r="D161" t="str">
            <v>自身が先頭の時、青パネルを確率で黄パネルに変換しドロップ</v>
          </cell>
        </row>
        <row r="162">
          <cell r="A162">
            <v>2502</v>
          </cell>
          <cell r="B162" t="str">
            <v>ja</v>
          </cell>
          <cell r="C162" t="str">
            <v>赤パネルドロップ</v>
          </cell>
          <cell r="D162" t="str">
            <v>自身が先頭の時、黄パネルを確率で赤パネルに変換しドロップ</v>
          </cell>
        </row>
        <row r="163">
          <cell r="A163">
            <v>2503</v>
          </cell>
          <cell r="B163" t="str">
            <v>ja</v>
          </cell>
          <cell r="C163" t="str">
            <v>黄パネルドロップ</v>
          </cell>
          <cell r="D163" t="str">
            <v>自身が先頭の時、赤パネルを確率で黄パネルに変換しドロップ</v>
          </cell>
        </row>
        <row r="164">
          <cell r="A164">
            <v>2504</v>
          </cell>
          <cell r="B164" t="str">
            <v>ja</v>
          </cell>
          <cell r="C164" t="str">
            <v>SCパネルドロップ</v>
          </cell>
          <cell r="D164" t="str">
            <v>自身が先頭の時、緑パネルを確率でSCパネルに変換しドロップ</v>
          </cell>
        </row>
        <row r="165">
          <cell r="A165">
            <v>2505</v>
          </cell>
          <cell r="B165" t="str">
            <v>ja</v>
          </cell>
          <cell r="C165" t="str">
            <v>緑ボムパネル(大)ドロップ</v>
          </cell>
          <cell r="D165" t="str">
            <v>自身が先頭の時、低確率で緑ボムパネル(大)をドロップ</v>
          </cell>
        </row>
        <row r="166">
          <cell r="A166">
            <v>2600</v>
          </cell>
          <cell r="B166" t="str">
            <v>ja</v>
          </cell>
          <cell r="C166" t="str">
            <v>回復力400UP</v>
          </cell>
          <cell r="D166" t="str">
            <v>自身の回復力を400UP</v>
          </cell>
        </row>
        <row r="167">
          <cell r="A167">
            <v>2601</v>
          </cell>
          <cell r="B167" t="str">
            <v>ja</v>
          </cell>
          <cell r="C167" t="str">
            <v>回復力300UP</v>
          </cell>
          <cell r="D167" t="str">
            <v>自身の回復力を300UP</v>
          </cell>
        </row>
        <row r="168">
          <cell r="A168">
            <v>2700</v>
          </cell>
          <cell r="B168" t="str">
            <v>ja</v>
          </cell>
          <cell r="C168" t="str">
            <v>攻撃力UP</v>
          </cell>
          <cell r="D168" t="str">
            <v>自身の攻撃力を300UP</v>
          </cell>
        </row>
        <row r="169">
          <cell r="A169">
            <v>2701</v>
          </cell>
          <cell r="B169" t="str">
            <v>ja</v>
          </cell>
          <cell r="C169" t="str">
            <v>攻撃力UP</v>
          </cell>
          <cell r="D169" t="str">
            <v>自身の攻撃力を500UP</v>
          </cell>
        </row>
        <row r="170">
          <cell r="A170">
            <v>2800</v>
          </cell>
          <cell r="B170" t="str">
            <v>ja</v>
          </cell>
          <cell r="C170" t="str">
            <v>防御力UP</v>
          </cell>
          <cell r="D170" t="str">
            <v>自身の防御力を250UP</v>
          </cell>
        </row>
        <row r="171">
          <cell r="A171">
            <v>2801</v>
          </cell>
          <cell r="B171" t="str">
            <v>ja</v>
          </cell>
          <cell r="C171" t="str">
            <v>防御力UP</v>
          </cell>
          <cell r="D171" t="str">
            <v>自身の防御力を350UP</v>
          </cell>
        </row>
        <row r="172">
          <cell r="A172">
            <v>2900</v>
          </cell>
          <cell r="B172" t="str">
            <v>ja</v>
          </cell>
          <cell r="C172" t="str">
            <v>フィーバー50 攻撃力小UP</v>
          </cell>
          <cell r="D172" t="str">
            <v>フィーバーゲージが50％以上の時、自身の攻撃力小UP</v>
          </cell>
        </row>
        <row r="173">
          <cell r="A173">
            <v>2901</v>
          </cell>
          <cell r="B173" t="str">
            <v>ja</v>
          </cell>
          <cell r="C173" t="str">
            <v>フィーバー40 攻撃力UP</v>
          </cell>
          <cell r="D173" t="str">
            <v>フィーバーゲージが40％以上の時、自身の攻撃力UP</v>
          </cell>
        </row>
        <row r="174">
          <cell r="A174">
            <v>9000</v>
          </cell>
          <cell r="B174" t="str">
            <v>ja</v>
          </cell>
          <cell r="C174" t="str">
            <v>ハップルチャレンジ ダメージUP</v>
          </cell>
          <cell r="D174" t="str">
            <v>ハップルチャレンジ内で自身の全ての攻撃の威力をUP</v>
          </cell>
        </row>
        <row r="175">
          <cell r="A175">
            <v>119402</v>
          </cell>
          <cell r="B175" t="str">
            <v>ja</v>
          </cell>
          <cell r="C175" t="str">
            <v>ハロウィンナイトパニック！ 威力UP</v>
          </cell>
          <cell r="D175" t="str">
            <v>ハロウィンナイトパニック！内で自身の全ての攻撃の威力を究極UP</v>
          </cell>
        </row>
        <row r="176">
          <cell r="A176">
            <v>2504</v>
          </cell>
          <cell r="B176" t="str">
            <v>ja</v>
          </cell>
          <cell r="C176" t="str">
            <v>SCパネルドロップ</v>
          </cell>
          <cell r="D176" t="str">
            <v>自身が先頭の時、緑パネルを確率でSCパネルに変換しドロップ</v>
          </cell>
        </row>
        <row r="177">
          <cell r="A177">
            <v>2505</v>
          </cell>
          <cell r="B177" t="str">
            <v>ja</v>
          </cell>
          <cell r="C177" t="str">
            <v>緑ボムパネル(大)ドロップ</v>
          </cell>
          <cell r="D177" t="str">
            <v>自身が先頭の時、低確率で緑ボムパネル(大)をドロップ</v>
          </cell>
        </row>
        <row r="178">
          <cell r="A178">
            <v>2506</v>
          </cell>
          <cell r="B178" t="str">
            <v>ja</v>
          </cell>
          <cell r="C178" t="str">
            <v>ハートボムパネル(大)ドロップ</v>
          </cell>
          <cell r="D178" t="str">
            <v>自身が先頭の時、低確率でハートボムパネル(大)をドロップ</v>
          </cell>
        </row>
        <row r="179">
          <cell r="A179">
            <v>2507</v>
          </cell>
          <cell r="B179" t="str">
            <v>ja</v>
          </cell>
          <cell r="C179" t="str">
            <v>Cパネルドロップ</v>
          </cell>
          <cell r="D179" t="str">
            <v>自身が先頭の時、低確率でCパネルをドロップ</v>
          </cell>
        </row>
        <row r="180">
          <cell r="A180">
            <v>2600</v>
          </cell>
          <cell r="B180" t="str">
            <v>ja</v>
          </cell>
          <cell r="C180" t="str">
            <v>回復力400UP</v>
          </cell>
          <cell r="D180" t="str">
            <v>自身の回復力を400UP</v>
          </cell>
        </row>
        <row r="181">
          <cell r="A181">
            <v>2601</v>
          </cell>
          <cell r="B181" t="str">
            <v>ja</v>
          </cell>
          <cell r="C181" t="str">
            <v>回復力300UP</v>
          </cell>
          <cell r="D181" t="str">
            <v>自身の回復力を300UP</v>
          </cell>
        </row>
        <row r="182">
          <cell r="A182">
            <v>2700</v>
          </cell>
          <cell r="B182" t="str">
            <v>ja</v>
          </cell>
          <cell r="C182" t="str">
            <v>攻撃力UP</v>
          </cell>
          <cell r="D182" t="str">
            <v>自身の攻撃力を300UP</v>
          </cell>
        </row>
        <row r="183">
          <cell r="A183">
            <v>2701</v>
          </cell>
          <cell r="B183" t="str">
            <v>ja</v>
          </cell>
          <cell r="C183" t="str">
            <v>攻撃力UP</v>
          </cell>
          <cell r="D183" t="str">
            <v>自身の攻撃力を500UP</v>
          </cell>
        </row>
        <row r="184">
          <cell r="A184">
            <v>2800</v>
          </cell>
          <cell r="B184" t="str">
            <v>ja</v>
          </cell>
          <cell r="C184" t="str">
            <v>防御力UP</v>
          </cell>
          <cell r="D184" t="str">
            <v>自身の防御力を250UP</v>
          </cell>
        </row>
        <row r="185">
          <cell r="A185">
            <v>2801</v>
          </cell>
          <cell r="B185" t="str">
            <v>ja</v>
          </cell>
          <cell r="C185" t="str">
            <v>防御力UP</v>
          </cell>
          <cell r="D185" t="str">
            <v>自身の防御力を350UP</v>
          </cell>
        </row>
        <row r="186">
          <cell r="A186">
            <v>2802</v>
          </cell>
          <cell r="B186" t="str">
            <v>ja</v>
          </cell>
          <cell r="C186" t="str">
            <v>防御力UP</v>
          </cell>
          <cell r="D186" t="str">
            <v>自身の防御力を300UP</v>
          </cell>
        </row>
        <row r="187">
          <cell r="A187">
            <v>2803</v>
          </cell>
          <cell r="B187" t="str">
            <v>ja</v>
          </cell>
          <cell r="C187" t="str">
            <v>防御力UP</v>
          </cell>
          <cell r="D187" t="str">
            <v>自身の防御力を400UP</v>
          </cell>
        </row>
        <row r="188">
          <cell r="A188">
            <v>2900</v>
          </cell>
          <cell r="B188" t="str">
            <v>ja</v>
          </cell>
          <cell r="C188" t="str">
            <v>フィーバー50 攻撃力小UP</v>
          </cell>
          <cell r="D188" t="str">
            <v>フィーバーゲージが50％以上の時、自身の攻撃力小UP</v>
          </cell>
        </row>
        <row r="189">
          <cell r="A189">
            <v>2901</v>
          </cell>
          <cell r="B189" t="str">
            <v>ja</v>
          </cell>
          <cell r="C189" t="str">
            <v>フィーバー40 攻撃力UP</v>
          </cell>
          <cell r="D189" t="str">
            <v>フィーバーゲージが40％以上の時、自身の攻撃力UP</v>
          </cell>
        </row>
        <row r="190">
          <cell r="A190">
            <v>9000</v>
          </cell>
          <cell r="B190" t="str">
            <v>ja</v>
          </cell>
          <cell r="C190" t="str">
            <v>ハップルチャレンジ ダメージUP</v>
          </cell>
          <cell r="D190" t="str">
            <v>ハップルチャレンジ内で自身の全ての攻撃の威力をUP</v>
          </cell>
        </row>
        <row r="191">
          <cell r="A191">
            <v>119402</v>
          </cell>
          <cell r="B191" t="str">
            <v>ja</v>
          </cell>
          <cell r="C191" t="str">
            <v>ハロウィンナイトパニック！ 威力UP</v>
          </cell>
          <cell r="D191" t="str">
            <v>ハロウィンナイトパニック！内で自身の全ての攻撃の威力を究極UP</v>
          </cell>
        </row>
        <row r="192">
          <cell r="A192">
            <v>808082</v>
          </cell>
          <cell r="B192" t="str">
            <v>ja</v>
          </cell>
          <cell r="C192" t="str">
            <v>Cパネルドロップ</v>
          </cell>
          <cell r="D192" t="str">
            <v>自身が先頭の時、低確率でCパネルをドロップ</v>
          </cell>
        </row>
        <row r="193">
          <cell r="A193">
            <v>2000</v>
          </cell>
          <cell r="B193" t="str">
            <v>ja</v>
          </cell>
          <cell r="C193" t="str">
            <v>赤パネル出現率UP</v>
          </cell>
          <cell r="D193" t="str">
            <v>自身が先頭の時、赤パネルの出現率UP</v>
          </cell>
        </row>
        <row r="194">
          <cell r="A194">
            <v>2100</v>
          </cell>
          <cell r="B194" t="str">
            <v>ja</v>
          </cell>
          <cell r="C194" t="str">
            <v>緑パネル出現率UP</v>
          </cell>
          <cell r="D194" t="str">
            <v>自身が先頭の時、緑パネルの出現率UP</v>
          </cell>
        </row>
        <row r="195">
          <cell r="A195">
            <v>2101</v>
          </cell>
          <cell r="B195" t="str">
            <v>ja</v>
          </cell>
          <cell r="C195" t="str">
            <v>緑パネル出現率UP</v>
          </cell>
          <cell r="D195" t="str">
            <v>自身が先頭の時、緑パネルの出現率UP</v>
          </cell>
        </row>
        <row r="196">
          <cell r="A196">
            <v>2200</v>
          </cell>
          <cell r="B196" t="str">
            <v>ja</v>
          </cell>
          <cell r="C196" t="str">
            <v>青パネル出現率UP</v>
          </cell>
          <cell r="D196" t="str">
            <v>自身が先頭の時、青パネルの出現率UP</v>
          </cell>
        </row>
        <row r="197">
          <cell r="A197">
            <v>2201</v>
          </cell>
          <cell r="B197" t="str">
            <v>ja</v>
          </cell>
          <cell r="C197" t="str">
            <v>青パネル出現率UP</v>
          </cell>
          <cell r="D197" t="str">
            <v>自身が先頭の時、青パネルの出現率UP</v>
          </cell>
        </row>
        <row r="198">
          <cell r="A198">
            <v>2300</v>
          </cell>
          <cell r="B198" t="str">
            <v>ja</v>
          </cell>
          <cell r="C198" t="str">
            <v>黄パネル出現率UP</v>
          </cell>
          <cell r="D198" t="str">
            <v>自身が先頭の時、黄パネルの出現率UP</v>
          </cell>
        </row>
        <row r="199">
          <cell r="A199">
            <v>2400</v>
          </cell>
          <cell r="B199" t="str">
            <v>ja</v>
          </cell>
          <cell r="C199" t="str">
            <v>ハートボムパネルドロップ</v>
          </cell>
          <cell r="D199" t="str">
            <v>自身が先頭の時、ハートパネルを確率でハートボムパネルに変換しドロップ</v>
          </cell>
        </row>
        <row r="200">
          <cell r="A200">
            <v>2401</v>
          </cell>
          <cell r="B200" t="str">
            <v>ja</v>
          </cell>
          <cell r="C200" t="str">
            <v>赤ボムパネルドロップ</v>
          </cell>
          <cell r="D200" t="str">
            <v>自身が先頭の時、赤パネルを低確率で赤ボムパネルに変換しドロップ</v>
          </cell>
        </row>
        <row r="201">
          <cell r="A201">
            <v>2402</v>
          </cell>
          <cell r="B201" t="str">
            <v>ja</v>
          </cell>
          <cell r="C201" t="str">
            <v>緑ボムパネルドロップ</v>
          </cell>
          <cell r="D201" t="str">
            <v>自身が先頭の時、緑パネルを低確率で緑ボムパネルに変換しドロップ</v>
          </cell>
        </row>
        <row r="202">
          <cell r="A202">
            <v>2403</v>
          </cell>
          <cell r="B202" t="str">
            <v>ja</v>
          </cell>
          <cell r="C202" t="str">
            <v>青ボムパネルドロップ</v>
          </cell>
          <cell r="D202" t="str">
            <v>自身が先頭の時、青パネルを確率で青ボムパネルに変換しドロップ</v>
          </cell>
        </row>
        <row r="203">
          <cell r="A203">
            <v>2500</v>
          </cell>
          <cell r="B203" t="str">
            <v>ja</v>
          </cell>
          <cell r="C203" t="str">
            <v>青パネルドロップ</v>
          </cell>
          <cell r="D203" t="str">
            <v>自身が先頭の時、緑パネルを確率で青パネルに変換しドロップ</v>
          </cell>
        </row>
        <row r="204">
          <cell r="A204">
            <v>2501</v>
          </cell>
          <cell r="B204" t="str">
            <v>ja</v>
          </cell>
          <cell r="C204" t="str">
            <v>黄パネルドロップ</v>
          </cell>
          <cell r="D204" t="str">
            <v>自身が先頭の時、青パネルを確率で黄パネルに変換しドロップ</v>
          </cell>
        </row>
        <row r="205">
          <cell r="A205">
            <v>2502</v>
          </cell>
          <cell r="B205" t="str">
            <v>ja</v>
          </cell>
          <cell r="C205" t="str">
            <v>赤パネルドロップ</v>
          </cell>
          <cell r="D205" t="str">
            <v>自身が先頭の時、黄パネルを確率で赤パネルに変換しドロップ</v>
          </cell>
        </row>
        <row r="206">
          <cell r="A206">
            <v>2503</v>
          </cell>
          <cell r="B206" t="str">
            <v>ja</v>
          </cell>
          <cell r="C206" t="str">
            <v>黄パネルドロップ</v>
          </cell>
          <cell r="D206" t="str">
            <v>自身が先頭の時、赤パネルを確率で黄パネルに変換しドロップ</v>
          </cell>
        </row>
        <row r="207">
          <cell r="A207">
            <v>2504</v>
          </cell>
          <cell r="B207" t="str">
            <v>ja</v>
          </cell>
          <cell r="C207" t="str">
            <v>SCパネルドロップ</v>
          </cell>
          <cell r="D207" t="str">
            <v>自身が先頭の時、緑パネルを確率でSCパネルに変換しドロップ</v>
          </cell>
        </row>
        <row r="208">
          <cell r="A208">
            <v>2505</v>
          </cell>
          <cell r="B208" t="str">
            <v>ja</v>
          </cell>
          <cell r="C208" t="str">
            <v>緑ボムパネル(大)ドロップ</v>
          </cell>
          <cell r="D208" t="str">
            <v>自身が先頭の時、低確率で緑ボムパネル(大)をドロップ</v>
          </cell>
        </row>
        <row r="209">
          <cell r="A209">
            <v>2506</v>
          </cell>
          <cell r="B209" t="str">
            <v>ja</v>
          </cell>
          <cell r="C209" t="str">
            <v>ハートボムパネル(大)ドロップ</v>
          </cell>
          <cell r="D209" t="str">
            <v>自身が先頭の時、低確率でハートボムパネル(大)をドロップ</v>
          </cell>
        </row>
        <row r="210">
          <cell r="A210">
            <v>2507</v>
          </cell>
          <cell r="B210" t="str">
            <v>ja</v>
          </cell>
          <cell r="C210" t="str">
            <v>Cパネルドロップ</v>
          </cell>
          <cell r="D210" t="str">
            <v>自身が先頭の時、低確率でCパネルをドロップ</v>
          </cell>
        </row>
        <row r="211">
          <cell r="A211">
            <v>2508</v>
          </cell>
          <cell r="B211" t="str">
            <v>ja</v>
          </cell>
          <cell r="C211" t="str">
            <v>黄パネルドロップ</v>
          </cell>
          <cell r="D211" t="str">
            <v>自身が先頭の時、緑パネルを確率で黄パネルに変換しドロップ</v>
          </cell>
        </row>
        <row r="212">
          <cell r="A212">
            <v>2509</v>
          </cell>
          <cell r="B212" t="str">
            <v>ja</v>
          </cell>
          <cell r="C212" t="str">
            <v>赤ボムパネル(大)ドロップ</v>
          </cell>
          <cell r="D212" t="str">
            <v>自身が先頭の時、低確率で赤ボムパネル(大)をドロップ</v>
          </cell>
        </row>
        <row r="213">
          <cell r="A213">
            <v>2510</v>
          </cell>
          <cell r="B213" t="str">
            <v>ja</v>
          </cell>
          <cell r="C213" t="str">
            <v>青ボムパネル(大)ドロップ</v>
          </cell>
          <cell r="D213" t="str">
            <v>自身が先頭の時、低確率で青ボムパネル(大)をドロップ</v>
          </cell>
        </row>
        <row r="214">
          <cell r="A214">
            <v>2511</v>
          </cell>
          <cell r="B214" t="str">
            <v>ja</v>
          </cell>
          <cell r="C214" t="str">
            <v>緑ボムパネルドロップ</v>
          </cell>
          <cell r="D214" t="str">
            <v>自身が先頭の時、ハートパネルを確率で緑ボムパネルに変換しドロップ</v>
          </cell>
        </row>
        <row r="215">
          <cell r="A215">
            <v>2512</v>
          </cell>
          <cell r="B215" t="str">
            <v>ja</v>
          </cell>
          <cell r="C215" t="str">
            <v>ハートボムパネル(大)ドロップ</v>
          </cell>
          <cell r="D215" t="str">
            <v>自身が先頭の時、低確率でハートボムパネル(大)をドロップ</v>
          </cell>
        </row>
        <row r="216">
          <cell r="A216">
            <v>2513</v>
          </cell>
          <cell r="B216" t="str">
            <v>ja</v>
          </cell>
          <cell r="C216" t="str">
            <v>緑ボムパネル(大)ドロップ</v>
          </cell>
          <cell r="D216" t="str">
            <v>自身が先頭の時、低確率で緑ボムパネル(大)をドロップ</v>
          </cell>
        </row>
        <row r="217">
          <cell r="A217">
            <v>2600</v>
          </cell>
          <cell r="B217" t="str">
            <v>ja</v>
          </cell>
          <cell r="C217" t="str">
            <v>回復力400UP</v>
          </cell>
          <cell r="D217" t="str">
            <v>自身の回復力を400UP</v>
          </cell>
        </row>
        <row r="218">
          <cell r="A218">
            <v>2601</v>
          </cell>
          <cell r="B218" t="str">
            <v>ja</v>
          </cell>
          <cell r="C218" t="str">
            <v>回復力300UP</v>
          </cell>
          <cell r="D218" t="str">
            <v>自身の回復力を300UP</v>
          </cell>
        </row>
        <row r="219">
          <cell r="A219">
            <v>2700</v>
          </cell>
          <cell r="B219" t="str">
            <v>ja</v>
          </cell>
          <cell r="C219" t="str">
            <v>攻撃力UP</v>
          </cell>
          <cell r="D219" t="str">
            <v>自身の攻撃力を300UP</v>
          </cell>
        </row>
        <row r="220">
          <cell r="A220">
            <v>2701</v>
          </cell>
          <cell r="B220" t="str">
            <v>ja</v>
          </cell>
          <cell r="C220" t="str">
            <v>攻撃力UP</v>
          </cell>
          <cell r="D220" t="str">
            <v>自身の攻撃力を500UP</v>
          </cell>
        </row>
        <row r="221">
          <cell r="A221">
            <v>2800</v>
          </cell>
          <cell r="B221" t="str">
            <v>ja</v>
          </cell>
          <cell r="C221" t="str">
            <v>防御力UP</v>
          </cell>
          <cell r="D221" t="str">
            <v>自身の防御力を250UP</v>
          </cell>
        </row>
        <row r="222">
          <cell r="A222">
            <v>2801</v>
          </cell>
          <cell r="B222" t="str">
            <v>ja</v>
          </cell>
          <cell r="C222" t="str">
            <v>防御力UP</v>
          </cell>
          <cell r="D222" t="str">
            <v>自身の防御力を350UP</v>
          </cell>
        </row>
        <row r="223">
          <cell r="A223">
            <v>2802</v>
          </cell>
          <cell r="B223" t="str">
            <v>ja</v>
          </cell>
          <cell r="C223" t="str">
            <v>防御力UP</v>
          </cell>
          <cell r="D223" t="str">
            <v>自身の防御力を300UP</v>
          </cell>
        </row>
        <row r="224">
          <cell r="A224">
            <v>2803</v>
          </cell>
          <cell r="B224" t="str">
            <v>ja</v>
          </cell>
          <cell r="C224" t="str">
            <v>防御力UP</v>
          </cell>
          <cell r="D224" t="str">
            <v>自身の防御力を400UP</v>
          </cell>
        </row>
        <row r="225">
          <cell r="A225">
            <v>2804</v>
          </cell>
          <cell r="B225" t="str">
            <v>ja</v>
          </cell>
          <cell r="C225" t="str">
            <v>防御力UP</v>
          </cell>
          <cell r="D225" t="str">
            <v>自身の防御力を280UP</v>
          </cell>
        </row>
        <row r="226">
          <cell r="A226">
            <v>2900</v>
          </cell>
          <cell r="B226" t="str">
            <v>ja</v>
          </cell>
          <cell r="C226" t="str">
            <v>フィーバー50 攻撃力小UP</v>
          </cell>
          <cell r="D226" t="str">
            <v>フィーバーゲージが50％以上の時、自身の攻撃力小UP</v>
          </cell>
        </row>
        <row r="227">
          <cell r="A227">
            <v>2901</v>
          </cell>
          <cell r="B227" t="str">
            <v>ja</v>
          </cell>
          <cell r="C227" t="str">
            <v>フィーバー40 攻撃力UP</v>
          </cell>
          <cell r="D227" t="str">
            <v>フィーバーゲージが40％以上の時、自身の攻撃力UP</v>
          </cell>
        </row>
        <row r="228">
          <cell r="A228">
            <v>2902</v>
          </cell>
          <cell r="B228" t="str">
            <v>ja</v>
          </cell>
          <cell r="C228" t="str">
            <v>フィーバー80 攻撃力大UP</v>
          </cell>
          <cell r="D228" t="str">
            <v>フィーバーゲージが80％以上の時、自身の攻撃力大UP</v>
          </cell>
        </row>
        <row r="229">
          <cell r="A229">
            <v>2903</v>
          </cell>
          <cell r="B229" t="str">
            <v>ja</v>
          </cell>
          <cell r="C229" t="str">
            <v>フィーバー100 攻撃参加</v>
          </cell>
          <cell r="D229" t="str">
            <v>フィーバーゲージが100％の時、自身が先頭以外でも通常攻撃に参加する</v>
          </cell>
        </row>
        <row r="230">
          <cell r="A230">
            <v>3000</v>
          </cell>
          <cell r="B230" t="str">
            <v>ja</v>
          </cell>
          <cell r="C230" t="str">
            <v>攻撃参加</v>
          </cell>
          <cell r="D230" t="str">
            <v>最初の1ターン目と、その後7ターン毎に自身が先頭以外でも通常攻撃に参加する</v>
          </cell>
        </row>
        <row r="231">
          <cell r="A231">
            <v>3001</v>
          </cell>
          <cell r="B231" t="str">
            <v>ja</v>
          </cell>
          <cell r="C231" t="str">
            <v>攻撃参加</v>
          </cell>
          <cell r="D231" t="str">
            <v>最初の1ターン目と、その後6ターン毎に自身が先頭以外でも通常攻撃に参加する</v>
          </cell>
        </row>
        <row r="232">
          <cell r="A232">
            <v>3002</v>
          </cell>
          <cell r="B232" t="str">
            <v>ja</v>
          </cell>
          <cell r="C232" t="str">
            <v>攻撃参加</v>
          </cell>
          <cell r="D232" t="str">
            <v>最初の1ターン目と、その後9ターン毎に自身が先頭以外でも通常攻撃に参加する</v>
          </cell>
        </row>
        <row r="233">
          <cell r="A233">
            <v>3100</v>
          </cell>
          <cell r="B233" t="str">
            <v>ja</v>
          </cell>
          <cell r="C233" t="str">
            <v>ボスフロア Cパネル生成短縮(特大)</v>
          </cell>
          <cell r="D233" t="str">
            <v>ボスフロア内で自身が先頭の時、Cパネル生成に必要なチェイン数を短縮する</v>
          </cell>
        </row>
        <row r="234">
          <cell r="A234">
            <v>3101</v>
          </cell>
          <cell r="B234" t="str">
            <v>ja</v>
          </cell>
          <cell r="C234" t="str">
            <v>ボスフロア時 バリア3000</v>
          </cell>
          <cell r="D234" t="str">
            <v>ボスフロア到達時に自身への直接ダメージを3000まで防ぐバリアを一度だけ展開(バリアは破壊されると復活しない)</v>
          </cell>
        </row>
        <row r="235">
          <cell r="A235">
            <v>3102</v>
          </cell>
          <cell r="B235" t="str">
            <v>ja</v>
          </cell>
          <cell r="C235" t="str">
            <v>ボスフロア時 Cスキル威力UP</v>
          </cell>
          <cell r="D235" t="str">
            <v>ボスフロアの1ターン目終了時に自身のCスキルの威力をUP</v>
          </cell>
        </row>
        <row r="236">
          <cell r="A236">
            <v>3103</v>
          </cell>
          <cell r="B236" t="str">
            <v>ja</v>
          </cell>
          <cell r="C236" t="str">
            <v>ボスフロア 攻撃力UP</v>
          </cell>
          <cell r="D236" t="str">
            <v>ボスフロア内で自身の攻撃力を700UP</v>
          </cell>
        </row>
        <row r="237">
          <cell r="A237">
            <v>3200</v>
          </cell>
          <cell r="B237" t="str">
            <v>ja</v>
          </cell>
          <cell r="C237" t="str">
            <v>HP33%以下 攻撃力UP</v>
          </cell>
          <cell r="D237" t="str">
            <v>自身が先頭の時、残りHPが33%以下で攻撃力特大UP</v>
          </cell>
        </row>
        <row r="238">
          <cell r="A238">
            <v>3201</v>
          </cell>
          <cell r="B238" t="str">
            <v>ja</v>
          </cell>
          <cell r="C238" t="str">
            <v>HP35%以下 回復力UP</v>
          </cell>
          <cell r="D238" t="str">
            <v>自身が先頭の時、残りHPが35%以下で回復力40%UP</v>
          </cell>
        </row>
        <row r="239">
          <cell r="A239">
            <v>3202</v>
          </cell>
          <cell r="B239" t="str">
            <v>ja</v>
          </cell>
          <cell r="C239" t="str">
            <v>HP90%以上 全属性耐性15</v>
          </cell>
          <cell r="D239" t="str">
            <v>自身が先頭の時、残りHPが90%以上で全ユニットに対する全属性の敵からの攻撃を15％軽減</v>
          </cell>
        </row>
        <row r="240">
          <cell r="A240">
            <v>3203</v>
          </cell>
          <cell r="B240" t="str">
            <v>ja</v>
          </cell>
          <cell r="C240" t="str">
            <v>HP50%以下 防御力UP</v>
          </cell>
          <cell r="D240" t="str">
            <v>自身が先頭の時、残りHPが50%以下で防御力398UP</v>
          </cell>
        </row>
        <row r="241">
          <cell r="A241">
            <v>3204</v>
          </cell>
          <cell r="B241" t="str">
            <v>ja</v>
          </cell>
          <cell r="C241" t="str">
            <v>HP30%以下 攻撃力大UP</v>
          </cell>
          <cell r="D241" t="str">
            <v>自身が先頭の時、残りHPが30%以下で攻撃力大UP</v>
          </cell>
        </row>
        <row r="242">
          <cell r="A242">
            <v>3205</v>
          </cell>
          <cell r="B242" t="str">
            <v>ja</v>
          </cell>
          <cell r="C242" t="str">
            <v>HP90%以上 ダメージ軽減</v>
          </cell>
          <cell r="D242" t="str">
            <v>残りHPが90%以上の時、全ユニットが敵からの攻撃を15％軽減</v>
          </cell>
        </row>
        <row r="243">
          <cell r="A243">
            <v>4000</v>
          </cell>
          <cell r="B243" t="str">
            <v>ja</v>
          </cell>
          <cell r="C243" t="str">
            <v>被ダメージ時 HP回復</v>
          </cell>
          <cell r="D243" t="str">
            <v>自身が攻撃を受けた場合、次のターンの開始時にHP500回復する</v>
          </cell>
        </row>
        <row r="244">
          <cell r="A244">
            <v>8000</v>
          </cell>
          <cell r="B244" t="str">
            <v>ja</v>
          </cell>
          <cell r="C244" t="str">
            <v>ユニットが一番右にいるとき 攻撃力UP</v>
          </cell>
          <cell r="D244" t="str">
            <v>自身が一番右にいる場合、全ユニットの攻撃力UP</v>
          </cell>
        </row>
        <row r="245">
          <cell r="A245">
            <v>8001</v>
          </cell>
          <cell r="B245" t="str">
            <v>ja</v>
          </cell>
          <cell r="C245" t="str">
            <v>敵に青属性がいる場合 小カウンター</v>
          </cell>
          <cell r="D245" t="str">
            <v>敵に青属性がいる場合、小カウンター</v>
          </cell>
        </row>
        <row r="246">
          <cell r="A246">
            <v>8002</v>
          </cell>
          <cell r="B246" t="str">
            <v>ja</v>
          </cell>
          <cell r="C246" t="str">
            <v>テスト</v>
          </cell>
          <cell r="D246" t="str">
            <v>フロアスタート時、1ターン全ユニットの攻撃力UP</v>
          </cell>
        </row>
        <row r="247">
          <cell r="A247">
            <v>8003</v>
          </cell>
          <cell r="B247" t="str">
            <v>ja</v>
          </cell>
          <cell r="C247" t="str">
            <v>HP70%以上 ウィルス無効</v>
          </cell>
          <cell r="D247" t="str">
            <v>残りHPが70%以上で自身にかかるウィルスを無効化する</v>
          </cell>
        </row>
        <row r="248">
          <cell r="A248">
            <v>9000</v>
          </cell>
          <cell r="B248" t="str">
            <v>ja</v>
          </cell>
          <cell r="C248" t="str">
            <v>ハップルチャレンジ ダメージUP</v>
          </cell>
          <cell r="D248" t="str">
            <v>ハップルチャレンジ内で自身の全ての攻撃の威力をUP</v>
          </cell>
        </row>
        <row r="249">
          <cell r="A249">
            <v>9001</v>
          </cell>
          <cell r="B249" t="str">
            <v>ja</v>
          </cell>
          <cell r="C249" t="str">
            <v>クロネッカーチャレンジ ダメージUP</v>
          </cell>
          <cell r="D249" t="str">
            <v>クロネッカーチャレンジ内で自身の全ての攻撃の威力をUP</v>
          </cell>
        </row>
        <row r="250">
          <cell r="A250">
            <v>9002</v>
          </cell>
          <cell r="B250" t="str">
            <v>ja</v>
          </cell>
          <cell r="C250" t="str">
            <v>クロネッカーチャレンジ ダメージUP</v>
          </cell>
          <cell r="D250" t="str">
            <v>クロネッカーチャレンジ内で自身の全ての攻撃+カウンターの威力をUP</v>
          </cell>
        </row>
        <row r="251">
          <cell r="A251">
            <v>9003</v>
          </cell>
          <cell r="B251" t="str">
            <v>ja</v>
          </cell>
          <cell r="C251" t="str">
            <v>オイラーチャレンジ ダメージUP</v>
          </cell>
          <cell r="D251" t="str">
            <v>オイラーチャレンジ内で自身の全ての攻撃の威力をUP</v>
          </cell>
        </row>
        <row r="252">
          <cell r="A252">
            <v>9004</v>
          </cell>
          <cell r="B252" t="str">
            <v>ja</v>
          </cell>
          <cell r="C252" t="str">
            <v>オイラーチャレンジ ダメージ究極UP</v>
          </cell>
          <cell r="D252" t="str">
            <v>オイラーチャレンジ内で自身の全ての攻撃の威力を究極UP</v>
          </cell>
        </row>
        <row r="253">
          <cell r="A253">
            <v>119402</v>
          </cell>
          <cell r="B253" t="str">
            <v>ja</v>
          </cell>
          <cell r="C253" t="str">
            <v>ハロウィンナイトパニック！ 威力UP</v>
          </cell>
          <cell r="D253" t="str">
            <v>ハロウィンナイトパニック！内で自身の全ての攻撃の威力を究極UP</v>
          </cell>
        </row>
        <row r="254">
          <cell r="A254">
            <v>500801</v>
          </cell>
          <cell r="B254" t="str">
            <v>ja</v>
          </cell>
          <cell r="C254" t="str">
            <v>パネルブレイク35 攻撃力小UP</v>
          </cell>
          <cell r="D254" t="str">
            <v>自身が先頭の時、1ターンの間に合計35個以上パネルを破壊した場合に攻撃力小UP</v>
          </cell>
        </row>
        <row r="255">
          <cell r="A255">
            <v>808082</v>
          </cell>
          <cell r="B255" t="str">
            <v>ja</v>
          </cell>
          <cell r="C255" t="str">
            <v>Cパネルドロップ</v>
          </cell>
          <cell r="D255" t="str">
            <v>自身が先頭の時、低確率でCパネルをドロップ</v>
          </cell>
        </row>
        <row r="256">
          <cell r="A256">
            <v>900000</v>
          </cell>
          <cell r="B256" t="str">
            <v>ja</v>
          </cell>
          <cell r="C256" t="str">
            <v>フィーバー100 プロテクトブレイク</v>
          </cell>
          <cell r="D256" t="str">
            <v>フィーバーゲージが100％以上の時、1ターンプロテクトブレイク</v>
          </cell>
        </row>
        <row r="257">
          <cell r="A257">
            <v>900001</v>
          </cell>
          <cell r="B257" t="str">
            <v>ja</v>
          </cell>
          <cell r="C257" t="str">
            <v>フィーバー100 お邪魔ブレイク</v>
          </cell>
          <cell r="D257" t="str">
            <v>フィーバーゲージが100％以上の時、1ターンお邪魔ブレイク</v>
          </cell>
        </row>
        <row r="258">
          <cell r="A258">
            <v>900402</v>
          </cell>
          <cell r="B258" t="str">
            <v>ja</v>
          </cell>
          <cell r="C258" t="str">
            <v>バリア3500</v>
          </cell>
          <cell r="D258" t="str">
            <v>戦闘開始時に、自身への直接ダメージを3500まで防ぐバリアを一度だけ展開(バリアは破壊されると復活しない)</v>
          </cell>
        </row>
        <row r="259">
          <cell r="A259">
            <v>810202</v>
          </cell>
          <cell r="B259" t="str">
            <v>ja</v>
          </cell>
          <cell r="C259" t="str">
            <v>パネルブレイク50 ダメージ軽減</v>
          </cell>
          <cell r="D259" t="str">
            <v>自身が先頭の時、1ターンの間に合計50個以上パネルを破壊した場合敵からのダメージを15%軽減（1ターンに1度だけ発動）</v>
          </cell>
        </row>
        <row r="260">
          <cell r="A260">
            <v>2906</v>
          </cell>
          <cell r="B260" t="str">
            <v>ja</v>
          </cell>
          <cell r="C260" t="str">
            <v>フィーバー100 HP1000回復</v>
          </cell>
          <cell r="D260" t="str">
            <v>フィーバーゲージが100%以上の時、毎ターン終了時、HPを1000回復する</v>
          </cell>
        </row>
        <row r="261">
          <cell r="A261">
            <v>2907</v>
          </cell>
          <cell r="B261" t="str">
            <v>ja</v>
          </cell>
          <cell r="C261" t="str">
            <v>フィーバー100 タップ回数UP</v>
          </cell>
          <cell r="D261" t="str">
            <v>フィーバーゲージが100％以上の時、自身のタップ回数を1増加</v>
          </cell>
        </row>
        <row r="262">
          <cell r="A262">
            <v>3000</v>
          </cell>
          <cell r="B262" t="str">
            <v>ja</v>
          </cell>
          <cell r="C262" t="str">
            <v>7ターン毎、攻撃参加</v>
          </cell>
          <cell r="D262" t="str">
            <v>最初の1ターン目と、その後7ターン毎に自身が先頭以外でも通常攻撃に参加する</v>
          </cell>
        </row>
        <row r="263">
          <cell r="A263">
            <v>3001</v>
          </cell>
          <cell r="B263" t="str">
            <v>ja</v>
          </cell>
          <cell r="C263" t="str">
            <v>6ターン毎、攻撃参加</v>
          </cell>
          <cell r="D263" t="str">
            <v>最初の1ターン目と、その後6ターン毎に自身が先頭以外でも通常攻撃に参加する</v>
          </cell>
        </row>
        <row r="264">
          <cell r="A264">
            <v>3002</v>
          </cell>
          <cell r="B264" t="str">
            <v>ja</v>
          </cell>
          <cell r="C264" t="str">
            <v>9ターン毎、攻撃参加</v>
          </cell>
          <cell r="D264" t="str">
            <v>最初の1ターン目と、その後9ターン毎に自身が先頭以外でも通常攻撃に参加する</v>
          </cell>
        </row>
        <row r="265">
          <cell r="A265">
            <v>3100</v>
          </cell>
          <cell r="B265" t="str">
            <v>ja</v>
          </cell>
          <cell r="C265" t="str">
            <v>最終フロア Cパネル生成短縮(特大)</v>
          </cell>
          <cell r="D265" t="str">
            <v>最終フロア内で自身が先頭の時、Cパネル生成に必要なチェイン数を4短縮する</v>
          </cell>
        </row>
        <row r="266">
          <cell r="A266">
            <v>3101</v>
          </cell>
          <cell r="B266" t="str">
            <v>ja</v>
          </cell>
          <cell r="C266" t="str">
            <v>最終フロア バリア3000</v>
          </cell>
          <cell r="D266" t="str">
            <v>最終フロア到達時に自身への直接ダメージを3000まで防ぐバリアを一度だけ展開(バリアは破壊されると復活しない)</v>
          </cell>
        </row>
        <row r="267">
          <cell r="A267">
            <v>3102</v>
          </cell>
          <cell r="B267" t="str">
            <v>ja</v>
          </cell>
          <cell r="C267" t="str">
            <v>最終フロア時 Cスキル威力UP</v>
          </cell>
          <cell r="D267" t="str">
            <v>最終フロアの1ターン目終了時に自身のCスキルの威力をUP</v>
          </cell>
        </row>
        <row r="268">
          <cell r="A268">
            <v>3103</v>
          </cell>
          <cell r="B268" t="str">
            <v>ja</v>
          </cell>
          <cell r="C268" t="str">
            <v>最終フロア 攻撃力UP</v>
          </cell>
          <cell r="D268" t="str">
            <v>最終フロア内で自身の攻撃力を700UP</v>
          </cell>
        </row>
        <row r="269">
          <cell r="A269">
            <v>3104</v>
          </cell>
          <cell r="B269" t="str">
            <v>ja</v>
          </cell>
          <cell r="C269" t="str">
            <v>最終フロア時 バリア5000</v>
          </cell>
          <cell r="D269" t="str">
            <v>最終フロア到達時に自身への直接ダメージを5000まで防ぐバリアを一度だけ展開(バリアは破壊されると復活しない)</v>
          </cell>
        </row>
        <row r="270">
          <cell r="A270">
            <v>3105</v>
          </cell>
          <cell r="B270" t="str">
            <v>ja</v>
          </cell>
          <cell r="C270" t="str">
            <v>最終フロア時 バリア7000</v>
          </cell>
          <cell r="D270" t="str">
            <v>最終フロア到達時に自身への直接ダメージを7000まで防ぐバリアを一度だけ展開(バリアは破壊されると復活しない)</v>
          </cell>
        </row>
        <row r="271">
          <cell r="A271">
            <v>3106</v>
          </cell>
          <cell r="B271" t="str">
            <v>ja</v>
          </cell>
          <cell r="C271" t="str">
            <v>最終フロア HP回復</v>
          </cell>
          <cell r="D271" t="str">
            <v>最終フロアの毎ターン終了時、パーティの合計HPの5%を回復</v>
          </cell>
        </row>
        <row r="272">
          <cell r="A272">
            <v>3107</v>
          </cell>
          <cell r="B272" t="str">
            <v>ja</v>
          </cell>
          <cell r="C272" t="str">
            <v>各フロア タップ回数UP</v>
          </cell>
          <cell r="D272" t="str">
            <v>各フロアの開始時、1ターン全ユニットのタップ回数1増加</v>
          </cell>
        </row>
        <row r="273">
          <cell r="A273">
            <v>3108</v>
          </cell>
          <cell r="B273" t="str">
            <v>ja</v>
          </cell>
          <cell r="C273" t="str">
            <v>最終フロア時 バリア10000</v>
          </cell>
          <cell r="D273" t="str">
            <v>最終フロア到達時に自身への直接ダメージを10000まで防ぐバリアを一度だけ展開(バリアは破壊されると復活しない)</v>
          </cell>
        </row>
        <row r="274">
          <cell r="A274">
            <v>3109</v>
          </cell>
          <cell r="B274" t="str">
            <v>ja</v>
          </cell>
          <cell r="C274" t="str">
            <v>最終フロア 赤ボムパネルドロップ</v>
          </cell>
          <cell r="D274" t="str">
            <v>最終フロア内で青パネルを低確率で赤ボムパネルに変換しドロップ</v>
          </cell>
        </row>
        <row r="275">
          <cell r="A275">
            <v>3200</v>
          </cell>
          <cell r="B275" t="str">
            <v>ja</v>
          </cell>
          <cell r="C275" t="str">
            <v>HP33%以下 攻撃力UP</v>
          </cell>
          <cell r="D275" t="str">
            <v>自身が先頭の時、残りHPが33%以下で攻撃力特大UP</v>
          </cell>
        </row>
        <row r="276">
          <cell r="A276">
            <v>3201</v>
          </cell>
          <cell r="B276" t="str">
            <v>ja</v>
          </cell>
          <cell r="C276" t="str">
            <v>HP35%以下 回復力UP</v>
          </cell>
          <cell r="D276" t="str">
            <v>自身が先頭の時、残りHPが35%以下で回復力40%UP</v>
          </cell>
        </row>
        <row r="277">
          <cell r="A277">
            <v>3202</v>
          </cell>
          <cell r="B277" t="str">
            <v>ja</v>
          </cell>
          <cell r="C277" t="str">
            <v>HP90%以上 全属性耐性15</v>
          </cell>
          <cell r="D277" t="str">
            <v>自身が先頭の時、残りHPが90%以上で全ユニットに対する全属性の敵からの攻撃を15％軽減</v>
          </cell>
        </row>
        <row r="278">
          <cell r="A278">
            <v>3203</v>
          </cell>
          <cell r="B278" t="str">
            <v>ja</v>
          </cell>
          <cell r="C278" t="str">
            <v>HP50%以下 防御力UP</v>
          </cell>
          <cell r="D278" t="str">
            <v>自身が先頭の時、残りHPが50%以下で防御力398UP</v>
          </cell>
        </row>
        <row r="279">
          <cell r="A279">
            <v>3204</v>
          </cell>
          <cell r="B279" t="str">
            <v>ja</v>
          </cell>
          <cell r="C279" t="str">
            <v>HP30%以下 攻撃力大UP</v>
          </cell>
          <cell r="D279" t="str">
            <v>自身が先頭の時、残りHPが30%以下で攻撃力大UP</v>
          </cell>
        </row>
        <row r="280">
          <cell r="A280">
            <v>3205</v>
          </cell>
          <cell r="B280" t="str">
            <v>ja</v>
          </cell>
          <cell r="C280" t="str">
            <v>HP90%以上 ダメージ軽減</v>
          </cell>
          <cell r="D280" t="str">
            <v>残りHPが90%以上の時、全ユニットが敵からの攻撃を15％軽減</v>
          </cell>
        </row>
        <row r="281">
          <cell r="A281">
            <v>3206</v>
          </cell>
          <cell r="B281" t="str">
            <v>ja</v>
          </cell>
          <cell r="C281" t="str">
            <v>HP30%以下 回復力UP</v>
          </cell>
          <cell r="D281" t="str">
            <v>残りHPが30%以下の時、全ユニットの回復力20%UP</v>
          </cell>
        </row>
        <row r="282">
          <cell r="A282">
            <v>3207</v>
          </cell>
          <cell r="B282" t="str">
            <v>ja</v>
          </cell>
          <cell r="C282" t="str">
            <v>HP50%以下 回復力UP</v>
          </cell>
          <cell r="D282" t="str">
            <v>残りHPが50%以下の時、全ユニットの回復力365UP</v>
          </cell>
        </row>
        <row r="283">
          <cell r="A283">
            <v>3208</v>
          </cell>
          <cell r="B283" t="str">
            <v>ja</v>
          </cell>
          <cell r="C283" t="str">
            <v>HP35%以下 防御力UP</v>
          </cell>
          <cell r="D283" t="str">
            <v>残りHPが35%以下の時、自身の防御力800UP</v>
          </cell>
        </row>
        <row r="284">
          <cell r="A284">
            <v>3209</v>
          </cell>
          <cell r="B284" t="str">
            <v>ja</v>
          </cell>
          <cell r="C284" t="str">
            <v>HP80%以下 攻撃力大UP</v>
          </cell>
          <cell r="D284" t="str">
            <v>残りHPが80%以下の時、自身の攻撃力大UP</v>
          </cell>
        </row>
        <row r="285">
          <cell r="A285">
            <v>3210</v>
          </cell>
          <cell r="B285" t="str">
            <v>ja</v>
          </cell>
          <cell r="C285" t="str">
            <v>HP75%以下 Cパネル生成短縮</v>
          </cell>
          <cell r="D285" t="str">
            <v>残りHPが75%以下の時、自身の攻撃力大UP</v>
          </cell>
        </row>
        <row r="286">
          <cell r="A286">
            <v>4000</v>
          </cell>
          <cell r="B286" t="str">
            <v>ja</v>
          </cell>
          <cell r="C286" t="str">
            <v>被ダメージ時 HP回復</v>
          </cell>
          <cell r="D286" t="str">
            <v>自身が攻撃を受けた場合、次のターンの開始時にHP500回復する</v>
          </cell>
        </row>
        <row r="287">
          <cell r="A287">
            <v>5000</v>
          </cell>
          <cell r="B287" t="str">
            <v>ja</v>
          </cell>
          <cell r="C287" t="str">
            <v>パーティー内ゴッド 攻撃力UP</v>
          </cell>
          <cell r="D287" t="str">
            <v>パーティー内に種族ゴッドがいる時、全ユニットの攻撃力を500UP</v>
          </cell>
        </row>
        <row r="288">
          <cell r="A288">
            <v>5001</v>
          </cell>
          <cell r="B288" t="str">
            <v>ja</v>
          </cell>
          <cell r="C288" t="str">
            <v>パーティー内バランス 回復力UP</v>
          </cell>
          <cell r="D288" t="str">
            <v>パーティー内にバランスタイプがいる時、全ユニットの回復力を500UP</v>
          </cell>
        </row>
        <row r="289">
          <cell r="A289">
            <v>5002</v>
          </cell>
          <cell r="B289" t="str">
            <v>ja</v>
          </cell>
          <cell r="C289" t="str">
            <v>パーティー内青属性 攻撃力UP</v>
          </cell>
          <cell r="D289" t="str">
            <v>パーティー内に青属性ユニットがいる時、全ユニットの攻撃力を700UP</v>
          </cell>
        </row>
        <row r="290">
          <cell r="A290">
            <v>5003</v>
          </cell>
          <cell r="B290" t="str">
            <v>ja</v>
          </cell>
          <cell r="C290" t="str">
            <v>パーティー内赤属性 自身攻撃力UP</v>
          </cell>
          <cell r="D290" t="str">
            <v>パーティー内に赤属性ユニットがいる時、自身の攻撃力を1500UP</v>
          </cell>
        </row>
        <row r="291">
          <cell r="A291">
            <v>8000</v>
          </cell>
          <cell r="B291" t="str">
            <v>ja</v>
          </cell>
          <cell r="C291" t="str">
            <v>ユニットが一番右にいるとき 攻撃力UP</v>
          </cell>
          <cell r="D291" t="str">
            <v>自身が一番右にいる場合、全ユニットの攻撃力UP</v>
          </cell>
        </row>
        <row r="292">
          <cell r="A292">
            <v>8001</v>
          </cell>
          <cell r="B292" t="str">
            <v>ja</v>
          </cell>
          <cell r="C292" t="str">
            <v>敵に青属性がいる場合 小カウンター</v>
          </cell>
          <cell r="D292" t="str">
            <v>敵に青属性がいる場合、小カウンター</v>
          </cell>
        </row>
        <row r="293">
          <cell r="A293">
            <v>8002</v>
          </cell>
          <cell r="B293" t="str">
            <v>ja</v>
          </cell>
          <cell r="C293" t="str">
            <v>テスト</v>
          </cell>
          <cell r="D293" t="str">
            <v>フロアスタート時、1ターン全ユニットの攻撃力UP</v>
          </cell>
        </row>
        <row r="294">
          <cell r="A294">
            <v>8003</v>
          </cell>
          <cell r="B294" t="str">
            <v>ja</v>
          </cell>
          <cell r="C294" t="str">
            <v>HP70%以上 ウィルス無効</v>
          </cell>
          <cell r="D294" t="str">
            <v>残りHPが70%以上で自身にかかるウィルスを無効化する</v>
          </cell>
        </row>
        <row r="295">
          <cell r="A295">
            <v>8004</v>
          </cell>
          <cell r="B295" t="str">
            <v>ja</v>
          </cell>
          <cell r="C295" t="str">
            <v>フロアスタート時 スキルブースト</v>
          </cell>
          <cell r="D295" t="str">
            <v>フロアスタート時、1ターンスキルブースト</v>
          </cell>
        </row>
        <row r="296">
          <cell r="A296">
            <v>8005</v>
          </cell>
          <cell r="B296" t="str">
            <v>ja</v>
          </cell>
          <cell r="C296" t="str">
            <v>ハートがハートボム大</v>
          </cell>
          <cell r="D296" t="str">
            <v>ハートがハートボム大</v>
          </cell>
        </row>
        <row r="297">
          <cell r="A297">
            <v>8006</v>
          </cell>
          <cell r="B297" t="str">
            <v>ja</v>
          </cell>
          <cell r="C297" t="str">
            <v>攻撃、回復、体力のCP短縮1</v>
          </cell>
          <cell r="D297" t="str">
            <v>攻撃、回復、体力のCP短縮1</v>
          </cell>
        </row>
        <row r="298">
          <cell r="A298">
            <v>8007</v>
          </cell>
          <cell r="B298" t="str">
            <v>ja</v>
          </cell>
          <cell r="C298" t="str">
            <v>自身の左ユニットが攻撃参加</v>
          </cell>
          <cell r="D298" t="str">
            <v>自身の左ユニットが攻撃参加</v>
          </cell>
        </row>
        <row r="299">
          <cell r="A299">
            <v>8008</v>
          </cell>
          <cell r="B299" t="str">
            <v>ja</v>
          </cell>
          <cell r="C299" t="str">
            <v>ターン経過回復力UP</v>
          </cell>
          <cell r="D299" t="str">
            <v>最初の1ターン目と、その後4ターン毎に2ターン全ユニットの回復力を1500UP</v>
          </cell>
        </row>
        <row r="300">
          <cell r="A300">
            <v>8009</v>
          </cell>
          <cell r="B300" t="str">
            <v>ja</v>
          </cell>
          <cell r="C300" t="str">
            <v>最終フロア Cパネル生成短縮(特大)</v>
          </cell>
          <cell r="D300" t="str">
            <v>最終フロア内で自身が先頭の時、Cパネル生成に必要なチェイン数を4短縮する</v>
          </cell>
        </row>
        <row r="301">
          <cell r="A301">
            <v>8010</v>
          </cell>
          <cell r="B301" t="str">
            <v>ja</v>
          </cell>
          <cell r="C301" t="str">
            <v>対Unknown&amp;青属性 ダメージUP</v>
          </cell>
          <cell r="D301" t="str">
            <v>自身の攻撃対象が種族Unknownで、青属性の場合全ての攻撃の威力をUP</v>
          </cell>
        </row>
        <row r="302">
          <cell r="A302">
            <v>8011</v>
          </cell>
          <cell r="B302" t="str">
            <v>ja</v>
          </cell>
          <cell r="C302" t="str">
            <v>対青属性 スリープ付与</v>
          </cell>
          <cell r="D302" t="str">
            <v>青属性を攻撃するとき、確率で1ターンスリープ付与</v>
          </cell>
        </row>
        <row r="303">
          <cell r="A303">
            <v>9000</v>
          </cell>
          <cell r="B303" t="str">
            <v>ja</v>
          </cell>
          <cell r="C303" t="str">
            <v>ハップルチャレンジ ダメージUP</v>
          </cell>
          <cell r="D303" t="str">
            <v>ハップルチャレンジ内で自身の全ての攻撃の威力をUP</v>
          </cell>
        </row>
        <row r="304">
          <cell r="A304">
            <v>9001</v>
          </cell>
          <cell r="B304" t="str">
            <v>ja</v>
          </cell>
          <cell r="C304" t="str">
            <v>クロネッカーチャレンジ ダメージUP</v>
          </cell>
          <cell r="D304" t="str">
            <v>クロネッカーチャレンジ内で自身の全ての攻撃の威力をUP</v>
          </cell>
        </row>
        <row r="305">
          <cell r="A305">
            <v>9002</v>
          </cell>
          <cell r="B305" t="str">
            <v>ja</v>
          </cell>
          <cell r="C305" t="str">
            <v>クロネッカーチャレンジ ダメージUP</v>
          </cell>
          <cell r="D305" t="str">
            <v>クロネッカーチャレンジ内で自身の全ての攻撃+カウンターの威力をUP</v>
          </cell>
        </row>
        <row r="306">
          <cell r="A306">
            <v>9003</v>
          </cell>
          <cell r="B306" t="str">
            <v>ja</v>
          </cell>
          <cell r="C306" t="str">
            <v>オイラーチャレンジ ダメージUP</v>
          </cell>
          <cell r="D306" t="str">
            <v>オイラーチャレンジ内で自身の全ての攻撃の威力をUP</v>
          </cell>
        </row>
        <row r="307">
          <cell r="A307">
            <v>9004</v>
          </cell>
          <cell r="B307" t="str">
            <v>ja</v>
          </cell>
          <cell r="C307" t="str">
            <v>オイラーチャレンジ ダメージ究極UP</v>
          </cell>
          <cell r="D307" t="str">
            <v>オイラーチャレンジ内で自身の全ての攻撃の威力を究極UP</v>
          </cell>
        </row>
        <row r="308">
          <cell r="A308">
            <v>9005</v>
          </cell>
          <cell r="B308" t="str">
            <v>ja</v>
          </cell>
          <cell r="C308" t="str">
            <v>ヘンペルチャレンジ ダメージUP</v>
          </cell>
          <cell r="D308" t="str">
            <v>ヘンペルチャレンジ内で自身の全ての攻撃の威力をUP</v>
          </cell>
        </row>
        <row r="309">
          <cell r="A309">
            <v>9006</v>
          </cell>
          <cell r="B309" t="str">
            <v>ja</v>
          </cell>
          <cell r="C309" t="str">
            <v>ヘンペルチャレンジ ダメージUP</v>
          </cell>
          <cell r="D309" t="str">
            <v>ヘンペルチャレンジ内で自身の全ての攻撃+カウンターの威力をUP</v>
          </cell>
        </row>
        <row r="310">
          <cell r="A310">
            <v>9007</v>
          </cell>
          <cell r="B310" t="str">
            <v>ja</v>
          </cell>
          <cell r="C310" t="str">
            <v>フロイトチャレンジ ダメージ究極UP</v>
          </cell>
          <cell r="D310" t="str">
            <v>フロイトチャレンジ内で自身の全ての攻撃の威力を究極UP</v>
          </cell>
        </row>
        <row r="311">
          <cell r="A311">
            <v>9008</v>
          </cell>
          <cell r="B311" t="str">
            <v>ja</v>
          </cell>
          <cell r="C311" t="str">
            <v>フロイトチャレンジ ダメージUP</v>
          </cell>
          <cell r="D311" t="str">
            <v>フロイトチャレンジ内で自身の全ての攻撃の威力をUP</v>
          </cell>
        </row>
        <row r="312">
          <cell r="A312">
            <v>9009</v>
          </cell>
          <cell r="B312" t="str">
            <v>ja</v>
          </cell>
          <cell r="C312" t="str">
            <v>フロイトチャレンジ ダメージUP</v>
          </cell>
          <cell r="D312" t="str">
            <v>フロイトチャレンジ内で自身の全ての攻撃+カウンターの威力をUP</v>
          </cell>
        </row>
        <row r="313">
          <cell r="A313">
            <v>9010</v>
          </cell>
          <cell r="B313" t="str">
            <v>ja</v>
          </cell>
          <cell r="C313" t="str">
            <v>ウエディングクエスト ダメージUP</v>
          </cell>
          <cell r="D313" t="str">
            <v>ウエディングクエスト内で自身の全ての攻撃の威力をUP</v>
          </cell>
        </row>
        <row r="314">
          <cell r="A314">
            <v>9011</v>
          </cell>
          <cell r="B314" t="str">
            <v>ja</v>
          </cell>
          <cell r="C314" t="str">
            <v>クリスマスクエストダメージ究極UP</v>
          </cell>
          <cell r="D314" t="str">
            <v>クリスマスクエスト内で自身の全ての攻撃の威力を究極UP</v>
          </cell>
        </row>
        <row r="315">
          <cell r="A315">
            <v>9012</v>
          </cell>
          <cell r="B315" t="str">
            <v>ja</v>
          </cell>
          <cell r="C315" t="str">
            <v>ウエディングクエスト ダメージ大UP</v>
          </cell>
          <cell r="D315" t="str">
            <v>ウエディングクエスト内で自身の全ての攻撃の威力を大UP</v>
          </cell>
        </row>
        <row r="316">
          <cell r="A316">
            <v>9013</v>
          </cell>
          <cell r="B316" t="str">
            <v>ja</v>
          </cell>
          <cell r="C316" t="str">
            <v>ラグランジュチャレンジ ダメージUP</v>
          </cell>
          <cell r="D316" t="str">
            <v>ラグランジュチャレンジ内で自身の全ての攻撃の威力をUP</v>
          </cell>
        </row>
        <row r="317">
          <cell r="A317">
            <v>9014</v>
          </cell>
          <cell r="B317" t="str">
            <v>ja</v>
          </cell>
          <cell r="C317" t="str">
            <v>ラグランジュチャレンジ ダメージ究極UP</v>
          </cell>
          <cell r="D317" t="str">
            <v>ラグランジュチャレンジ内で自身の全ての攻撃の威力を究極UP</v>
          </cell>
        </row>
        <row r="318">
          <cell r="A318">
            <v>9015</v>
          </cell>
          <cell r="B318" t="str">
            <v>ja</v>
          </cell>
          <cell r="C318" t="str">
            <v>ラグランジュチャレンジ ダメージUP</v>
          </cell>
          <cell r="D318" t="str">
            <v>ラグランジュチャレンジ内で自身の全ての攻撃+カウンターの威力をUP</v>
          </cell>
        </row>
        <row r="319">
          <cell r="A319">
            <v>119402</v>
          </cell>
          <cell r="B319" t="str">
            <v>ja</v>
          </cell>
          <cell r="C319" t="str">
            <v>ハロウィンナイトパニック！ 威力UP</v>
          </cell>
          <cell r="D319" t="str">
            <v>ハロウィンナイトパニック！内で自身の全ての攻撃の威力を究極UP</v>
          </cell>
        </row>
        <row r="320">
          <cell r="A320">
            <v>500801</v>
          </cell>
          <cell r="B320" t="str">
            <v>ja</v>
          </cell>
          <cell r="C320" t="str">
            <v>パネルブレイク35 攻撃力小UP</v>
          </cell>
          <cell r="D320" t="str">
            <v>自身が先頭の時、1ターンの間に合計35個以上パネルを破壊した場合に攻撃力小UP</v>
          </cell>
        </row>
        <row r="321">
          <cell r="A321">
            <v>808082</v>
          </cell>
          <cell r="B321" t="str">
            <v>ja</v>
          </cell>
          <cell r="C321" t="str">
            <v>Cパネルドロップ</v>
          </cell>
          <cell r="D321" t="str">
            <v>自身が先頭の時、低確率でCパネルをドロップ</v>
          </cell>
        </row>
        <row r="322">
          <cell r="A322">
            <v>900000</v>
          </cell>
          <cell r="B322" t="str">
            <v>ja</v>
          </cell>
          <cell r="C322" t="str">
            <v>フィーバー100 プロテクトブレイク</v>
          </cell>
          <cell r="D322" t="str">
            <v>フィーバーゲージが100％以上の時、1ターンプロテクトブレイク</v>
          </cell>
        </row>
        <row r="323">
          <cell r="A323">
            <v>900001</v>
          </cell>
          <cell r="B323" t="str">
            <v>ja</v>
          </cell>
          <cell r="C323" t="str">
            <v>フィーバー100 お邪魔ブレイク</v>
          </cell>
          <cell r="D323" t="str">
            <v>フィーバーゲージが100％以上の時、1ターンお邪魔ブレイク</v>
          </cell>
        </row>
        <row r="324">
          <cell r="A324">
            <v>900402</v>
          </cell>
          <cell r="B324" t="str">
            <v>ja</v>
          </cell>
          <cell r="C324" t="str">
            <v>バリア3500</v>
          </cell>
          <cell r="D324" t="str">
            <v>戦闘開始時に、自身への直接ダメージを3500まで防ぐバリアを一度だけ展開(バリアは破壊されると復活しない)</v>
          </cell>
        </row>
        <row r="325">
          <cell r="A325">
            <v>810202</v>
          </cell>
          <cell r="B325" t="str">
            <v>ja</v>
          </cell>
          <cell r="C325" t="str">
            <v>パネルブレイク50 ダメージ軽減</v>
          </cell>
          <cell r="D325" t="str">
            <v>自身が先頭の時、1ターンの間に合計50個以上パネルを破壊した場合敵からのダメージを15%軽減（1ターンに1度だけ発動）</v>
          </cell>
        </row>
        <row r="326">
          <cell r="A326">
            <v>811802</v>
          </cell>
          <cell r="B326" t="str">
            <v>ja</v>
          </cell>
          <cell r="C326" t="str">
            <v>ターン攻撃力UP</v>
          </cell>
          <cell r="D326" t="str">
            <v>最初の1ターン目と、その後6ターン毎に1ターン種族ドラゴン・ファンタジー・アニマルの攻撃力1000UP</v>
          </cell>
        </row>
        <row r="327">
          <cell r="A327">
            <v>812002</v>
          </cell>
          <cell r="B327" t="str">
            <v>ja</v>
          </cell>
          <cell r="C327" t="str">
            <v>ターンタップ増加</v>
          </cell>
          <cell r="D327" t="str">
            <v>最初の1ターン目と、その後6ターン毎に1ターン種族ドラゴン・ファンタジー・アニマルのタップ数1増加</v>
          </cell>
        </row>
        <row r="328">
          <cell r="A328">
            <v>811803</v>
          </cell>
          <cell r="B328" t="str">
            <v>ja</v>
          </cell>
          <cell r="C328" t="str">
            <v>端午クエスト ダメージUP</v>
          </cell>
          <cell r="D328" t="str">
            <v>端午クエスト内で自身の全ての攻撃の威力をUP</v>
          </cell>
        </row>
        <row r="329">
          <cell r="A329">
            <v>900802</v>
          </cell>
          <cell r="B329" t="str">
            <v>ja</v>
          </cell>
          <cell r="C329" t="str">
            <v>ターン攻撃力UP</v>
          </cell>
          <cell r="D329" t="str">
            <v>最初の1ターン目と、その後7ターン毎に1ターン赤属性の攻撃力777UP</v>
          </cell>
        </row>
      </sheetData>
      <sheetData sheetId="2"/>
      <sheetData sheetId="3"/>
      <sheetData sheetId="4"/>
      <sheetData sheetId="5"/>
      <sheetData sheetId="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units"/>
      <sheetName val="unit_skills"/>
      <sheetName val="crash_skills"/>
      <sheetName val="unit_serifs"/>
      <sheetName val="fork_awake_units"/>
      <sheetName val="awake_materials"/>
      <sheetName val="abilities"/>
      <sheetName val="unit_abilities"/>
      <sheetName val="→base値"/>
      <sheetName val="コスト"/>
      <sheetName val="レベル"/>
      <sheetName val="経験値"/>
      <sheetName val="RC6SV"/>
      <sheetName val="ビット"/>
      <sheetName val="ghosts_label"/>
      <sheetName val="チェックシート"/>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1">
          <cell r="A1" t="str">
            <v>ability_id</v>
          </cell>
          <cell r="B1" t="str">
            <v>language</v>
          </cell>
          <cell r="C1" t="str">
            <v>name</v>
          </cell>
          <cell r="D1" t="str">
            <v>comment</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AC15"/>
  <sheetViews>
    <sheetView workbookViewId="0">
      <selection activeCell="B8" sqref="B8"/>
    </sheetView>
  </sheetViews>
  <sheetFormatPr baseColWidth="12" defaultRowHeight="15" x14ac:dyDescent="0.15"/>
  <cols>
    <col min="2" max="2" width="23.6640625" customWidth="1"/>
    <col min="5" max="5" width="17.6640625" bestFit="1" customWidth="1"/>
    <col min="6" max="6" width="22.1640625" bestFit="1" customWidth="1"/>
  </cols>
  <sheetData>
    <row r="1" spans="1:29" x14ac:dyDescent="0.15">
      <c r="A1" s="103" t="s">
        <v>125</v>
      </c>
      <c r="B1" s="103" t="s">
        <v>116</v>
      </c>
      <c r="C1" s="103" t="s">
        <v>117</v>
      </c>
      <c r="D1" s="103" t="s">
        <v>118</v>
      </c>
      <c r="E1" s="103" t="s">
        <v>119</v>
      </c>
      <c r="F1" s="103" t="s">
        <v>120</v>
      </c>
      <c r="G1" s="103" t="s">
        <v>121</v>
      </c>
      <c r="H1" s="103"/>
      <c r="I1" s="103"/>
      <c r="J1" s="103"/>
      <c r="K1" s="103"/>
      <c r="L1" s="104"/>
      <c r="M1" s="104"/>
      <c r="N1" s="104"/>
      <c r="O1" s="104"/>
      <c r="P1" s="104"/>
      <c r="Q1" s="104"/>
      <c r="R1" s="104"/>
      <c r="S1" s="104"/>
      <c r="T1" s="104"/>
      <c r="U1" s="104"/>
      <c r="V1" s="104"/>
      <c r="W1" s="104"/>
    </row>
    <row r="2" spans="1:29" x14ac:dyDescent="0.15">
      <c r="A2" s="105" t="s">
        <v>184</v>
      </c>
      <c r="B2" s="105" t="s">
        <v>129</v>
      </c>
      <c r="C2" s="162" t="s">
        <v>362</v>
      </c>
      <c r="D2" s="105" t="s">
        <v>128</v>
      </c>
      <c r="E2" s="104" t="str">
        <f>B2&amp;C2&amp;D2</f>
        <v>units_buffUpdate01.tmp</v>
      </c>
      <c r="F2" s="105" t="s">
        <v>124</v>
      </c>
      <c r="G2" s="59" t="s">
        <v>17</v>
      </c>
      <c r="H2" s="60" t="s">
        <v>96</v>
      </c>
      <c r="I2" s="60" t="s">
        <v>1</v>
      </c>
      <c r="J2" s="60" t="s">
        <v>3</v>
      </c>
      <c r="K2" s="60" t="s">
        <v>2</v>
      </c>
      <c r="L2" s="60" t="s">
        <v>98</v>
      </c>
      <c r="M2" s="60" t="s">
        <v>20</v>
      </c>
      <c r="N2" s="60" t="s">
        <v>103</v>
      </c>
      <c r="O2" s="60" t="s">
        <v>101</v>
      </c>
      <c r="P2" s="60" t="s">
        <v>39</v>
      </c>
      <c r="Q2" s="60" t="s">
        <v>57</v>
      </c>
      <c r="R2" s="60" t="s">
        <v>338</v>
      </c>
      <c r="S2" s="105"/>
      <c r="T2" s="105"/>
      <c r="U2" s="105"/>
      <c r="V2" s="105"/>
      <c r="W2" s="105"/>
    </row>
    <row r="3" spans="1:29" x14ac:dyDescent="0.15">
      <c r="A3" s="105" t="s">
        <v>184</v>
      </c>
      <c r="B3" s="105" t="s">
        <v>294</v>
      </c>
      <c r="C3" s="162" t="s">
        <v>362</v>
      </c>
      <c r="D3" s="105" t="s">
        <v>128</v>
      </c>
      <c r="E3" s="104" t="str">
        <f>B3&amp;C3&amp;D3</f>
        <v>fork_awake_units_buffUpdate01.tmp</v>
      </c>
      <c r="F3" s="105" t="s">
        <v>295</v>
      </c>
      <c r="G3" s="59" t="s">
        <v>17</v>
      </c>
      <c r="H3" s="60" t="s">
        <v>296</v>
      </c>
      <c r="I3" s="60" t="s">
        <v>297</v>
      </c>
      <c r="J3" s="60" t="s">
        <v>298</v>
      </c>
      <c r="K3" s="108"/>
      <c r="L3" s="108"/>
      <c r="M3" s="108"/>
      <c r="N3" s="108"/>
      <c r="O3" s="108"/>
      <c r="P3" s="108"/>
      <c r="Q3" s="108"/>
      <c r="R3" s="108"/>
      <c r="S3" s="108"/>
      <c r="T3" s="108"/>
      <c r="U3" s="108"/>
      <c r="V3" s="108"/>
      <c r="W3" s="108"/>
    </row>
    <row r="4" spans="1:29" x14ac:dyDescent="0.15">
      <c r="A4" s="105" t="s">
        <v>184</v>
      </c>
      <c r="B4" s="105" t="s">
        <v>130</v>
      </c>
      <c r="C4" s="162" t="s">
        <v>362</v>
      </c>
      <c r="D4" s="105" t="s">
        <v>128</v>
      </c>
      <c r="E4" s="104" t="str">
        <f>B4&amp;C4&amp;D4</f>
        <v>awake_materials_buffUpdate01.tmp</v>
      </c>
      <c r="F4" s="105" t="s">
        <v>123</v>
      </c>
      <c r="G4" s="106" t="s">
        <v>38</v>
      </c>
      <c r="H4" s="107" t="s">
        <v>36</v>
      </c>
      <c r="I4" s="107" t="s">
        <v>37</v>
      </c>
      <c r="J4" s="109" t="s">
        <v>126</v>
      </c>
      <c r="K4" s="108"/>
      <c r="L4" s="108"/>
      <c r="M4" s="108"/>
      <c r="N4" s="108"/>
      <c r="O4" s="108"/>
      <c r="P4" s="108"/>
      <c r="Q4" s="108"/>
      <c r="R4" s="108"/>
      <c r="S4" s="108"/>
      <c r="T4" s="108"/>
      <c r="U4" s="108"/>
      <c r="V4" s="108"/>
      <c r="W4" s="108"/>
    </row>
    <row r="5" spans="1:29" x14ac:dyDescent="0.15">
      <c r="A5" s="105" t="s">
        <v>184</v>
      </c>
      <c r="B5" s="105" t="s">
        <v>293</v>
      </c>
      <c r="C5" s="162" t="s">
        <v>362</v>
      </c>
      <c r="D5" s="105" t="s">
        <v>128</v>
      </c>
      <c r="E5" s="104" t="str">
        <f>B5&amp;C5&amp;D5</f>
        <v>fork_awake_materials_buffUpdate01.tmp</v>
      </c>
      <c r="F5" s="105" t="s">
        <v>123</v>
      </c>
      <c r="G5" s="181" t="s">
        <v>299</v>
      </c>
      <c r="H5" s="181" t="s">
        <v>300</v>
      </c>
      <c r="I5" s="181" t="s">
        <v>36</v>
      </c>
      <c r="J5" s="181" t="s">
        <v>37</v>
      </c>
      <c r="K5" s="181" t="s">
        <v>301</v>
      </c>
      <c r="L5" s="181" t="s">
        <v>302</v>
      </c>
      <c r="M5" s="108"/>
      <c r="N5" s="108"/>
      <c r="O5" s="108"/>
      <c r="P5" s="108"/>
      <c r="Q5" s="108"/>
      <c r="R5" s="108"/>
      <c r="S5" s="108"/>
      <c r="T5" s="108"/>
      <c r="U5" s="108"/>
      <c r="V5" s="108"/>
      <c r="W5" s="108"/>
    </row>
    <row r="6" spans="1:29" x14ac:dyDescent="0.15">
      <c r="A6" s="105" t="s">
        <v>184</v>
      </c>
      <c r="B6" s="105" t="s">
        <v>131</v>
      </c>
      <c r="C6" s="162" t="s">
        <v>362</v>
      </c>
      <c r="D6" s="105" t="s">
        <v>132</v>
      </c>
      <c r="E6" s="104" t="str">
        <f t="shared" ref="E6" si="0">B6&amp;C6&amp;D6</f>
        <v>unit_levels_calc_buffUpdate01.tmp</v>
      </c>
      <c r="F6" s="105" t="s">
        <v>122</v>
      </c>
      <c r="G6" s="55" t="s">
        <v>17</v>
      </c>
      <c r="H6" s="56" t="s">
        <v>2</v>
      </c>
      <c r="I6" s="57" t="s">
        <v>79</v>
      </c>
      <c r="J6" s="57" t="s">
        <v>80</v>
      </c>
      <c r="K6" s="57" t="s">
        <v>81</v>
      </c>
      <c r="L6" s="57" t="s">
        <v>82</v>
      </c>
      <c r="M6" s="57" t="s">
        <v>87</v>
      </c>
      <c r="N6" s="57" t="s">
        <v>88</v>
      </c>
      <c r="O6" s="57" t="s">
        <v>89</v>
      </c>
      <c r="P6" s="57" t="s">
        <v>90</v>
      </c>
      <c r="Q6" s="57" t="s">
        <v>91</v>
      </c>
      <c r="R6" s="57" t="s">
        <v>94</v>
      </c>
      <c r="S6" s="57" t="s">
        <v>92</v>
      </c>
      <c r="T6" s="57" t="s">
        <v>93</v>
      </c>
      <c r="U6" s="57" t="s">
        <v>83</v>
      </c>
      <c r="V6" s="57" t="s">
        <v>84</v>
      </c>
      <c r="W6" s="57" t="s">
        <v>85</v>
      </c>
    </row>
    <row r="7" spans="1:29" x14ac:dyDescent="0.15">
      <c r="A7" s="105" t="s">
        <v>184</v>
      </c>
      <c r="B7" s="105" t="s">
        <v>143</v>
      </c>
      <c r="C7" s="162" t="s">
        <v>362</v>
      </c>
      <c r="D7" s="105" t="s">
        <v>144</v>
      </c>
      <c r="E7" s="104" t="str">
        <f>B7&amp;C7&amp;D7</f>
        <v>unit_skills_data_buffUpdate01.tmp</v>
      </c>
      <c r="F7" s="105" t="s">
        <v>145</v>
      </c>
      <c r="G7" s="112" t="s">
        <v>20</v>
      </c>
      <c r="H7" s="112" t="s">
        <v>146</v>
      </c>
      <c r="I7" s="112" t="s">
        <v>2</v>
      </c>
      <c r="J7" s="112" t="s">
        <v>147</v>
      </c>
      <c r="K7" s="112" t="s">
        <v>148</v>
      </c>
      <c r="L7" s="112" t="s">
        <v>4</v>
      </c>
      <c r="M7" s="57"/>
      <c r="N7" s="57"/>
      <c r="O7" s="57"/>
      <c r="P7" s="57"/>
      <c r="Q7" s="57"/>
      <c r="R7" s="57"/>
      <c r="S7" s="57"/>
      <c r="T7" s="57"/>
      <c r="U7" s="57"/>
      <c r="V7" s="57"/>
      <c r="W7" s="57"/>
    </row>
    <row r="8" spans="1:29" x14ac:dyDescent="0.15">
      <c r="A8" s="105" t="s">
        <v>184</v>
      </c>
      <c r="B8" s="105" t="s">
        <v>149</v>
      </c>
      <c r="C8" s="162" t="s">
        <v>362</v>
      </c>
      <c r="D8" s="105" t="s">
        <v>128</v>
      </c>
      <c r="E8" s="104" t="str">
        <f>B8&amp;C8&amp;D8</f>
        <v>unit_skills_i18n_buffUpdate01.tmp</v>
      </c>
      <c r="F8" s="105" t="s">
        <v>145</v>
      </c>
      <c r="G8" s="112" t="s">
        <v>150</v>
      </c>
      <c r="H8" s="112" t="s">
        <v>134</v>
      </c>
      <c r="I8" s="112" t="s">
        <v>151</v>
      </c>
      <c r="J8" s="112" t="s">
        <v>152</v>
      </c>
      <c r="K8" s="108"/>
      <c r="L8" s="108"/>
      <c r="M8" s="57"/>
      <c r="N8" s="57"/>
      <c r="O8" s="57"/>
      <c r="P8" s="57"/>
      <c r="Q8" s="57"/>
      <c r="R8" s="57"/>
      <c r="S8" s="57"/>
      <c r="T8" s="57"/>
      <c r="U8" s="57"/>
      <c r="V8" s="57"/>
      <c r="W8" s="57"/>
    </row>
    <row r="9" spans="1:29" x14ac:dyDescent="0.15">
      <c r="A9" s="105" t="s">
        <v>360</v>
      </c>
      <c r="B9" s="105" t="s">
        <v>153</v>
      </c>
      <c r="C9" s="162" t="s">
        <v>362</v>
      </c>
      <c r="D9" s="105" t="s">
        <v>154</v>
      </c>
      <c r="E9" s="104" t="str">
        <f>B9&amp;C9&amp;D9</f>
        <v>crash_skills_data_buffUpdate01.tmp</v>
      </c>
      <c r="F9" s="105" t="s">
        <v>155</v>
      </c>
      <c r="G9" s="112" t="s">
        <v>156</v>
      </c>
      <c r="H9" s="112" t="s">
        <v>148</v>
      </c>
      <c r="I9" s="112" t="s">
        <v>4</v>
      </c>
      <c r="J9" s="108"/>
      <c r="K9" s="108"/>
      <c r="L9" s="108"/>
      <c r="M9" s="57"/>
      <c r="N9" s="57"/>
      <c r="O9" s="57"/>
      <c r="P9" s="57"/>
      <c r="Q9" s="57"/>
      <c r="R9" s="57"/>
      <c r="S9" s="57"/>
      <c r="T9" s="57"/>
      <c r="U9" s="57"/>
      <c r="V9" s="57"/>
      <c r="W9" s="57"/>
    </row>
    <row r="10" spans="1:29" x14ac:dyDescent="0.15">
      <c r="A10" s="105" t="s">
        <v>360</v>
      </c>
      <c r="B10" s="105" t="s">
        <v>157</v>
      </c>
      <c r="C10" s="162" t="s">
        <v>362</v>
      </c>
      <c r="D10" s="105" t="s">
        <v>158</v>
      </c>
      <c r="E10" s="104" t="str">
        <f t="shared" ref="E10" si="1">B10&amp;C10&amp;D10</f>
        <v>crash_skills_i18n_buffUpdate01.tmp</v>
      </c>
      <c r="F10" s="105" t="s">
        <v>155</v>
      </c>
      <c r="G10" s="112" t="s">
        <v>159</v>
      </c>
      <c r="H10" s="112" t="s">
        <v>160</v>
      </c>
      <c r="I10" s="112" t="s">
        <v>161</v>
      </c>
      <c r="J10" s="112" t="s">
        <v>162</v>
      </c>
      <c r="K10" s="113"/>
      <c r="L10" s="113"/>
      <c r="M10" s="57"/>
      <c r="N10" s="57"/>
      <c r="O10" s="57"/>
      <c r="P10" s="57"/>
      <c r="Q10" s="57"/>
      <c r="R10" s="57"/>
      <c r="S10" s="57"/>
      <c r="T10" s="57"/>
      <c r="U10" s="57"/>
      <c r="V10" s="57"/>
      <c r="W10" s="57"/>
    </row>
    <row r="11" spans="1:29" x14ac:dyDescent="0.15">
      <c r="A11" s="105" t="s">
        <v>184</v>
      </c>
      <c r="B11" s="108" t="s">
        <v>135</v>
      </c>
      <c r="C11" s="162" t="s">
        <v>362</v>
      </c>
      <c r="D11" s="105" t="s">
        <v>158</v>
      </c>
      <c r="E11" s="104" t="str">
        <f t="shared" ref="E11:E12" si="2">B11&amp;C11&amp;D11</f>
        <v>unit_serifs_data_buffUpdate01.tmp</v>
      </c>
      <c r="F11" s="108" t="s">
        <v>137</v>
      </c>
      <c r="G11" s="111" t="s">
        <v>138</v>
      </c>
      <c r="H11" s="112" t="s">
        <v>139</v>
      </c>
      <c r="I11" s="112" t="s">
        <v>133</v>
      </c>
      <c r="J11" s="110" t="s">
        <v>191</v>
      </c>
      <c r="K11" s="105"/>
      <c r="L11" s="105"/>
      <c r="M11" s="105"/>
      <c r="N11" s="105"/>
      <c r="O11" s="105"/>
      <c r="P11" s="105"/>
      <c r="Q11" s="105"/>
      <c r="R11" s="105"/>
      <c r="S11" s="105"/>
      <c r="T11" s="105"/>
      <c r="U11" s="105"/>
      <c r="V11" s="105"/>
      <c r="W11" s="105"/>
    </row>
    <row r="12" spans="1:29" x14ac:dyDescent="0.15">
      <c r="A12" s="105" t="s">
        <v>184</v>
      </c>
      <c r="B12" s="108" t="s">
        <v>136</v>
      </c>
      <c r="C12" s="162" t="s">
        <v>362</v>
      </c>
      <c r="D12" s="105" t="s">
        <v>158</v>
      </c>
      <c r="E12" s="104" t="str">
        <f t="shared" si="2"/>
        <v>unit_serifs_i18n_buffUpdate01.tmp</v>
      </c>
      <c r="F12" s="108" t="s">
        <v>137</v>
      </c>
      <c r="G12" s="111" t="s">
        <v>140</v>
      </c>
      <c r="H12" s="112" t="s">
        <v>141</v>
      </c>
      <c r="I12" s="112" t="s">
        <v>142</v>
      </c>
      <c r="J12" s="105"/>
      <c r="K12" s="105"/>
      <c r="L12" s="105"/>
      <c r="M12" s="105"/>
      <c r="N12" s="105"/>
      <c r="O12" s="105"/>
      <c r="P12" s="105"/>
      <c r="Q12" s="105"/>
      <c r="R12" s="105"/>
      <c r="S12" s="105"/>
      <c r="T12" s="105"/>
      <c r="U12" s="105"/>
      <c r="V12" s="105"/>
      <c r="W12" s="105"/>
    </row>
    <row r="13" spans="1:29" x14ac:dyDescent="0.15">
      <c r="A13" s="105" t="s">
        <v>360</v>
      </c>
      <c r="B13" s="105" t="s">
        <v>335</v>
      </c>
      <c r="C13" s="162" t="s">
        <v>362</v>
      </c>
      <c r="D13" s="105" t="s">
        <v>254</v>
      </c>
      <c r="E13" s="104" t="str">
        <f>B13&amp;C13&amp;D13</f>
        <v>abilities_tmp_buffUpdate01.tmp</v>
      </c>
      <c r="F13" s="105" t="s">
        <v>255</v>
      </c>
      <c r="G13" s="163" t="s">
        <v>256</v>
      </c>
      <c r="H13" s="163" t="s">
        <v>257</v>
      </c>
      <c r="I13" s="163" t="s">
        <v>258</v>
      </c>
      <c r="J13" s="163"/>
      <c r="K13" s="164"/>
      <c r="L13" s="105"/>
      <c r="M13" s="105"/>
      <c r="N13" s="105"/>
      <c r="O13" s="105"/>
      <c r="P13" s="105"/>
      <c r="Q13" s="105"/>
      <c r="R13" s="105"/>
      <c r="S13" s="105"/>
      <c r="T13" s="105"/>
      <c r="U13" s="105"/>
      <c r="V13" s="105"/>
      <c r="W13" s="105"/>
      <c r="X13" s="105"/>
      <c r="Y13" s="105"/>
      <c r="Z13" s="105"/>
      <c r="AA13" s="105"/>
      <c r="AB13" s="105"/>
      <c r="AC13" s="105"/>
    </row>
    <row r="14" spans="1:29" x14ac:dyDescent="0.15">
      <c r="A14" s="105" t="s">
        <v>360</v>
      </c>
      <c r="B14" s="105" t="s">
        <v>259</v>
      </c>
      <c r="C14" s="162" t="s">
        <v>362</v>
      </c>
      <c r="D14" s="105" t="s">
        <v>128</v>
      </c>
      <c r="E14" s="104" t="str">
        <f>B14&amp;C14&amp;D14</f>
        <v>abilities_i18n_buffUpdate01.tmp</v>
      </c>
      <c r="F14" s="105" t="s">
        <v>260</v>
      </c>
      <c r="G14" s="163" t="s">
        <v>256</v>
      </c>
      <c r="H14" s="163" t="s">
        <v>141</v>
      </c>
      <c r="I14" s="163" t="s">
        <v>261</v>
      </c>
      <c r="J14" s="163" t="s">
        <v>152</v>
      </c>
      <c r="K14" s="164"/>
      <c r="L14" s="105"/>
      <c r="M14" s="105"/>
      <c r="N14" s="105"/>
      <c r="O14" s="105"/>
      <c r="P14" s="105"/>
      <c r="Q14" s="105"/>
      <c r="R14" s="105"/>
      <c r="S14" s="105"/>
      <c r="T14" s="105"/>
      <c r="U14" s="105"/>
      <c r="V14" s="105"/>
      <c r="W14" s="105"/>
      <c r="X14" s="105"/>
      <c r="Y14" s="105"/>
      <c r="Z14" s="105"/>
      <c r="AA14" s="105"/>
      <c r="AB14" s="105"/>
      <c r="AC14" s="105"/>
    </row>
    <row r="15" spans="1:29" x14ac:dyDescent="0.15">
      <c r="A15" s="105" t="s">
        <v>360</v>
      </c>
      <c r="B15" s="105" t="s">
        <v>262</v>
      </c>
      <c r="C15" s="162" t="s">
        <v>362</v>
      </c>
      <c r="D15" s="105" t="s">
        <v>128</v>
      </c>
      <c r="E15" s="104" t="str">
        <f>B15&amp;C15&amp;D15</f>
        <v>unit_abilities_buffUpdate01.tmp</v>
      </c>
      <c r="F15" s="105" t="s">
        <v>263</v>
      </c>
      <c r="G15" s="163" t="s">
        <v>138</v>
      </c>
      <c r="H15" s="165" t="s">
        <v>264</v>
      </c>
      <c r="I15" s="165" t="s">
        <v>265</v>
      </c>
      <c r="J15" s="166" t="s">
        <v>266</v>
      </c>
      <c r="K15" s="163" t="s">
        <v>267</v>
      </c>
      <c r="L15" s="105"/>
      <c r="M15" s="105"/>
      <c r="N15" s="105"/>
      <c r="O15" s="105"/>
      <c r="P15" s="105"/>
      <c r="Q15" s="105"/>
      <c r="R15" s="105"/>
      <c r="S15" s="105"/>
      <c r="T15" s="105"/>
      <c r="U15" s="105"/>
      <c r="V15" s="105"/>
      <c r="W15" s="105"/>
      <c r="X15" s="105"/>
      <c r="Y15" s="105"/>
      <c r="Z15" s="105"/>
      <c r="AA15" s="105"/>
      <c r="AB15" s="105"/>
      <c r="AC15" s="105"/>
    </row>
  </sheetData>
  <phoneticPr fontId="22"/>
  <dataValidations disablePrompts="1" count="1">
    <dataValidation type="list" allowBlank="1" showInputMessage="1" showErrorMessage="1" sqref="A2:A15">
      <formula1>"old,new,skip,both"</formula1>
    </dataValidation>
  </dataValidations>
  <pageMargins left="0.7" right="0.7" top="0.75" bottom="0.75" header="0.3" footer="0.3"/>
  <pageSetup paperSize="9"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enableFormatConditionsCalculation="0">
    <tabColor rgb="FFFF0000"/>
    <outlinePr summaryBelow="0" summaryRight="0"/>
  </sheetPr>
  <dimension ref="A1:BR3"/>
  <sheetViews>
    <sheetView showGridLines="0" workbookViewId="0">
      <pane xSplit="9" ySplit="1" topLeftCell="N2" activePane="bottomRight" state="frozen"/>
      <selection pane="topRight" activeCell="J1" sqref="J1"/>
      <selection pane="bottomLeft" activeCell="A3" sqref="A3"/>
      <selection pane="bottomRight" activeCell="B2" sqref="B2"/>
    </sheetView>
  </sheetViews>
  <sheetFormatPr baseColWidth="12" defaultColWidth="8.83203125" defaultRowHeight="21" customHeight="1" outlineLevelCol="1" x14ac:dyDescent="0.15"/>
  <cols>
    <col min="1" max="1" width="12.83203125" style="11" customWidth="1"/>
    <col min="2" max="2" width="21.5" style="12" bestFit="1" customWidth="1" collapsed="1"/>
    <col min="3" max="3" width="23.6640625" style="12" hidden="1" customWidth="1" outlineLevel="1"/>
    <col min="4" max="4" width="8.6640625" style="12" hidden="1" customWidth="1" outlineLevel="1"/>
    <col min="5" max="5" width="8" style="12" hidden="1" customWidth="1" outlineLevel="1"/>
    <col min="6" max="6" width="7.1640625" style="12" hidden="1" customWidth="1" outlineLevel="1"/>
    <col min="7" max="7" width="9.6640625" style="12" bestFit="1" customWidth="1"/>
    <col min="8" max="8" width="13.6640625" style="12" bestFit="1" customWidth="1"/>
    <col min="9" max="9" width="10.5" style="12" bestFit="1" customWidth="1" collapsed="1"/>
    <col min="10" max="10" width="59.5" style="12" hidden="1" customWidth="1" outlineLevel="1"/>
    <col min="11" max="13" width="13.6640625" style="12" hidden="1" customWidth="1" outlineLevel="1"/>
    <col min="14" max="14" width="10" style="12" bestFit="1" customWidth="1"/>
    <col min="15" max="15" width="13.5" style="12" bestFit="1" customWidth="1"/>
    <col min="16" max="16" width="13.5" style="12" customWidth="1"/>
    <col min="17" max="17" width="18.83203125" style="12" bestFit="1" customWidth="1"/>
    <col min="18" max="18" width="14.1640625" style="12" customWidth="1"/>
    <col min="19" max="19" width="12.33203125" style="12" customWidth="1" outlineLevel="1"/>
    <col min="20" max="22" width="13.6640625" style="12" customWidth="1" outlineLevel="1"/>
    <col min="23" max="23" width="22.83203125" style="11" bestFit="1" customWidth="1"/>
    <col min="24" max="24" width="14.1640625" style="12" customWidth="1"/>
    <col min="25" max="25" width="22" style="12" customWidth="1" outlineLevel="1"/>
    <col min="26" max="26" width="14.1640625" style="12" customWidth="1" outlineLevel="1"/>
    <col min="27" max="27" width="12.33203125" style="12" customWidth="1" outlineLevel="1"/>
    <col min="28" max="30" width="13.6640625" style="12" customWidth="1" outlineLevel="1"/>
    <col min="31" max="31" width="20.1640625" style="11" bestFit="1" customWidth="1"/>
    <col min="32" max="32" width="18.83203125" style="12" bestFit="1" customWidth="1"/>
    <col min="33" max="34" width="18.83203125" style="12" customWidth="1"/>
    <col min="35" max="35" width="15.1640625" style="12" customWidth="1"/>
    <col min="36" max="36" width="13.1640625" style="11" customWidth="1"/>
    <col min="37" max="37" width="15.33203125" style="12" bestFit="1" customWidth="1"/>
    <col min="38" max="38" width="13.33203125" style="12" bestFit="1" customWidth="1"/>
    <col min="39" max="39" width="15.33203125" style="13" bestFit="1" customWidth="1"/>
    <col min="40" max="40" width="14" style="13" bestFit="1" customWidth="1"/>
    <col min="41" max="41" width="16" style="42" bestFit="1" customWidth="1"/>
    <col min="42" max="42" width="14.33203125" style="14" bestFit="1" customWidth="1"/>
    <col min="43" max="43" width="20.83203125" style="12" customWidth="1"/>
    <col min="44" max="44" width="80.6640625" style="12" customWidth="1" outlineLevel="1"/>
    <col min="45" max="45" width="6.83203125" style="12" customWidth="1"/>
    <col min="46" max="46" width="15.6640625" style="11" bestFit="1" customWidth="1"/>
    <col min="47" max="47" width="43.6640625" style="12" customWidth="1"/>
    <col min="48" max="48" width="43.6640625" style="12" customWidth="1" outlineLevel="1"/>
    <col min="49" max="49" width="6.83203125" style="12" customWidth="1"/>
    <col min="50" max="50" width="11.33203125" style="12" bestFit="1" customWidth="1"/>
    <col min="51" max="54" width="8.33203125" style="11" customWidth="1"/>
    <col min="55" max="56" width="12" style="12" bestFit="1" customWidth="1"/>
    <col min="57" max="57" width="14.33203125" style="12" customWidth="1" outlineLevel="1"/>
    <col min="58" max="58" width="16.1640625" style="12" customWidth="1" outlineLevel="1"/>
    <col min="59" max="62" width="11.83203125" style="12" customWidth="1"/>
    <col min="63" max="66" width="11.83203125" style="11" customWidth="1"/>
    <col min="67" max="67" width="12.83203125" style="11" bestFit="1" customWidth="1"/>
    <col min="68" max="68" width="12.6640625" style="11" bestFit="1" customWidth="1"/>
    <col min="69" max="69" width="13.5" style="11" bestFit="1" customWidth="1"/>
    <col min="70" max="16384" width="8.83203125" style="11"/>
  </cols>
  <sheetData>
    <row r="1" spans="1:70" ht="21" customHeight="1" x14ac:dyDescent="0.15">
      <c r="A1" s="77" t="s">
        <v>108</v>
      </c>
      <c r="B1" s="79" t="s">
        <v>44</v>
      </c>
      <c r="C1" s="82" t="s">
        <v>27</v>
      </c>
      <c r="D1" s="82" t="s">
        <v>30</v>
      </c>
      <c r="E1" s="82" t="s">
        <v>28</v>
      </c>
      <c r="F1" s="82" t="s">
        <v>29</v>
      </c>
      <c r="G1" s="77" t="s">
        <v>1</v>
      </c>
      <c r="H1" s="80" t="s">
        <v>19</v>
      </c>
      <c r="I1" s="81" t="s">
        <v>0</v>
      </c>
      <c r="J1" s="83" t="s">
        <v>49</v>
      </c>
      <c r="K1" s="83" t="s">
        <v>48</v>
      </c>
      <c r="L1" s="83" t="s">
        <v>50</v>
      </c>
      <c r="M1" s="83" t="s">
        <v>51</v>
      </c>
      <c r="N1" s="77" t="s">
        <v>3</v>
      </c>
      <c r="O1" s="84" t="s">
        <v>2</v>
      </c>
      <c r="P1" s="77" t="s">
        <v>97</v>
      </c>
      <c r="Q1" s="85" t="s">
        <v>18</v>
      </c>
      <c r="R1" s="76" t="s">
        <v>52</v>
      </c>
      <c r="S1" s="86" t="s">
        <v>23</v>
      </c>
      <c r="T1" s="86" t="s">
        <v>24</v>
      </c>
      <c r="U1" s="86" t="s">
        <v>26</v>
      </c>
      <c r="V1" s="86" t="s">
        <v>25</v>
      </c>
      <c r="W1" s="81" t="s">
        <v>32</v>
      </c>
      <c r="X1" s="82" t="s">
        <v>53</v>
      </c>
      <c r="Y1" s="81" t="s">
        <v>33</v>
      </c>
      <c r="Z1" s="82" t="s">
        <v>53</v>
      </c>
      <c r="AA1" s="83" t="s">
        <v>23</v>
      </c>
      <c r="AB1" s="83" t="s">
        <v>24</v>
      </c>
      <c r="AC1" s="83" t="s">
        <v>26</v>
      </c>
      <c r="AD1" s="83" t="s">
        <v>25</v>
      </c>
      <c r="AE1" s="87" t="s">
        <v>100</v>
      </c>
      <c r="AF1" s="76" t="s">
        <v>45</v>
      </c>
      <c r="AG1" s="88" t="s">
        <v>58</v>
      </c>
      <c r="AH1" s="76" t="s">
        <v>45</v>
      </c>
      <c r="AI1" s="88" t="s">
        <v>46</v>
      </c>
      <c r="AJ1" s="78" t="s">
        <v>67</v>
      </c>
      <c r="AK1" s="76" t="s">
        <v>21</v>
      </c>
      <c r="AL1" s="89" t="s">
        <v>68</v>
      </c>
      <c r="AM1" s="90" t="s">
        <v>66</v>
      </c>
      <c r="AN1" s="90" t="s">
        <v>69</v>
      </c>
      <c r="AO1" s="91" t="s">
        <v>31</v>
      </c>
      <c r="AP1" s="87" t="s">
        <v>20</v>
      </c>
      <c r="AQ1" s="92" t="s">
        <v>113</v>
      </c>
      <c r="AR1" s="92" t="s">
        <v>107</v>
      </c>
      <c r="AS1" s="76" t="s">
        <v>104</v>
      </c>
      <c r="AT1" s="87" t="s">
        <v>102</v>
      </c>
      <c r="AU1" s="76" t="s">
        <v>110</v>
      </c>
      <c r="AV1" s="92" t="s">
        <v>107</v>
      </c>
      <c r="AW1" s="76" t="s">
        <v>104</v>
      </c>
      <c r="AX1" s="82" t="s">
        <v>4</v>
      </c>
      <c r="AY1" s="93" t="s">
        <v>54</v>
      </c>
      <c r="AZ1" s="93" t="s">
        <v>55</v>
      </c>
      <c r="BA1" s="93" t="s">
        <v>114</v>
      </c>
      <c r="BB1" s="93" t="s">
        <v>56</v>
      </c>
      <c r="BC1" s="5" t="s">
        <v>22</v>
      </c>
      <c r="BD1" s="96" t="s">
        <v>34</v>
      </c>
      <c r="BE1" s="94" t="s">
        <v>5</v>
      </c>
      <c r="BF1" s="95" t="s">
        <v>6</v>
      </c>
      <c r="BG1" s="97" t="s">
        <v>70</v>
      </c>
      <c r="BH1" s="97" t="s">
        <v>71</v>
      </c>
      <c r="BI1" s="97" t="s">
        <v>72</v>
      </c>
      <c r="BJ1" s="97" t="s">
        <v>73</v>
      </c>
      <c r="BK1" s="98" t="s">
        <v>74</v>
      </c>
      <c r="BL1" s="98" t="s">
        <v>95</v>
      </c>
      <c r="BM1" s="98" t="s">
        <v>75</v>
      </c>
      <c r="BN1" s="98" t="s">
        <v>76</v>
      </c>
      <c r="BO1" s="99" t="s">
        <v>77</v>
      </c>
      <c r="BP1" s="100" t="s">
        <v>78</v>
      </c>
      <c r="BQ1" s="100" t="s">
        <v>86</v>
      </c>
      <c r="BR1" s="9" t="s">
        <v>339</v>
      </c>
    </row>
    <row r="2" spans="1:70" ht="26" customHeight="1" x14ac:dyDescent="0.15">
      <c r="A2" s="186"/>
      <c r="B2" s="53" t="e">
        <f ca="1">VLOOKUP($A2,OFFSET([1]characters!$A$1,0,0,COUNTA([1]characters!$A:$A),MATCH(B$1,[1]characters!$1:$1,0)-MATCH($A$1,[1]characters!$1:$1,0)+1),MATCH(B$1,[1]characters!$1:$1,0)-MATCH($A$1,[1]characters!$1:$1,0)+1,FALSE)</f>
        <v>#N/A</v>
      </c>
      <c r="C2" s="53" t="e">
        <f ca="1">VLOOKUP($A2,OFFSET([1]characters!$A$1,0,0,COUNTA([1]characters!$A:$A),MATCH(C$1,[1]characters!$1:$1,0)-MATCH($A$1,[1]characters!$1:$1,0)+1),MATCH(C$1,[1]characters!$1:$1,0)-MATCH($A$1,[1]characters!$1:$1,0)+1,FALSE)</f>
        <v>#N/A</v>
      </c>
      <c r="D2" s="53" t="e">
        <f ca="1">VLOOKUP($A2,OFFSET([1]characters!$A$1,0,0,COUNTA([1]characters!$A:$A),MATCH(D$1,[1]characters!$1:$1,0)-MATCH($A$1,[1]characters!$1:$1,0)+1),MATCH(D$1,[1]characters!$1:$1,0)-MATCH($A$1,[1]characters!$1:$1,0)+1,FALSE)</f>
        <v>#N/A</v>
      </c>
      <c r="E2" s="53" t="e">
        <f ca="1">VLOOKUP($A2,OFFSET([1]characters!$A$1,0,0,COUNTA([1]characters!$A:$A),MATCH(E$1,[1]characters!$1:$1,0)-MATCH($A$1,[1]characters!$1:$1,0)+1),MATCH(E$1,[1]characters!$1:$1,0)-MATCH($A$1,[1]characters!$1:$1,0)+1,FALSE)</f>
        <v>#N/A</v>
      </c>
      <c r="F2" s="53" t="e">
        <f ca="1">VLOOKUP($A2,OFFSET([1]characters!$A$1,0,0,COUNTA([1]characters!$A:$A),MATCH(F$1,[1]characters!$1:$1,0)-MATCH($A$1,[1]characters!$1:$1,0)+1),MATCH(F$1,[1]characters!$1:$1,0)-MATCH($A$1,[1]characters!$1:$1,0)+1,FALSE)</f>
        <v>#N/A</v>
      </c>
      <c r="G2" s="53" t="e">
        <f ca="1">VLOOKUP($A2,OFFSET([1]characters!$A$1,0,0,COUNTA([1]characters!$A:$A),MATCH(G$1,[1]characters!$1:$1,0)-MATCH($A$1,[1]characters!$1:$1,0)+1),MATCH(G$1,[1]characters!$1:$1,0)-MATCH($A$1,[1]characters!$1:$1,0)+1,FALSE)</f>
        <v>#N/A</v>
      </c>
      <c r="H2" s="53" t="e">
        <f ca="1">VLOOKUP($A2,OFFSET([1]characters!$A$1,0,0,COUNTA([1]characters!$A:$A),MATCH(H$1,[1]characters!$1:$1,0)-MATCH($A$1,[1]characters!$1:$1,0)+1),MATCH(H$1,[1]characters!$1:$1,0)-MATCH($A$1,[1]characters!$1:$1,0)+1,FALSE)</f>
        <v>#N/A</v>
      </c>
      <c r="I2" s="53" t="e">
        <f ca="1">VLOOKUP($A2,OFFSET([1]characters!$A$1,0,0,COUNTA([1]characters!$A:$A),MATCH(I$1,[1]characters!$1:$1,0)-MATCH($A$1,[1]characters!$1:$1,0)+1),MATCH(I$1,[1]characters!$1:$1,0)-MATCH($A$1,[1]characters!$1:$1,0)+1,FALSE)</f>
        <v>#N/A</v>
      </c>
      <c r="J2" s="10" t="e">
        <f ca="1">VLOOKUP(I2,[1]属性!$A:$E,2,FALSE)</f>
        <v>#N/A</v>
      </c>
      <c r="K2" s="10" t="e">
        <f ca="1">VLOOKUP(I2,[1]属性!$A:$E,3,FALSE)</f>
        <v>#N/A</v>
      </c>
      <c r="L2" s="10" t="e">
        <f ca="1">VLOOKUP(I2,[1]属性!$A:$E,4,FALSE)</f>
        <v>#N/A</v>
      </c>
      <c r="M2" s="10" t="e">
        <f ca="1">VLOOKUP(I2,[1]属性!$A:$E,5,FALSE)</f>
        <v>#N/A</v>
      </c>
      <c r="N2" s="10" t="e">
        <f ca="1">INDEX(コスト!$A$1:$I$21,MATCH(H2,コスト!$A$1:$A$21,FALSE),MATCH(G2,コスト!$A$1:$I$1,FALSE))</f>
        <v>#N/A</v>
      </c>
      <c r="O2" s="10" t="e">
        <f ca="1">INDEX(レベル!$A$1:$I$22,MATCH(H2,レベル!$A$1:$A$22,FALSE),MATCH(G2,レベル!$A$1:$I$1,FALSE))</f>
        <v>#N/A</v>
      </c>
      <c r="P2" s="44" t="e">
        <f t="shared" ref="P2:P3" ca="1" si="0">IF(G2 &gt;= 6, 99,G2*15)</f>
        <v>#N/A</v>
      </c>
      <c r="Q2" s="53" t="e">
        <f ca="1">VLOOKUP($A2,OFFSET([1]characters!$A$1,0,0,COUNTA([1]characters!$A:$A),MATCH(Q$1,[1]characters!$1:$1,0)-MATCH($A$1,[1]characters!$1:$1,0)+1),MATCH(Q$1,[1]characters!$1:$1,0)-MATCH($A$1,[1]characters!$1:$1,0)+1,FALSE)</f>
        <v>#N/A</v>
      </c>
      <c r="R2" s="5" t="e">
        <f ca="1">VLOOKUP(Q2,[1]character_type_i18n!$A:$H,3,FALSE)</f>
        <v>#N/A</v>
      </c>
      <c r="S2" s="10" t="e">
        <f ca="1">VLOOKUP(Q2,[1]character_type_i18n!$A:$H,4,FALSE)</f>
        <v>#N/A</v>
      </c>
      <c r="T2" s="10" t="e">
        <f ca="1">VLOOKUP(Q2,[1]character_type_i18n!$A:$H,5,FALSE)</f>
        <v>#N/A</v>
      </c>
      <c r="U2" s="10" t="e">
        <f ca="1">VLOOKUP(Q2,[1]character_type_i18n!$A:$H,6,FALSE)</f>
        <v>#N/A</v>
      </c>
      <c r="V2" s="10" t="e">
        <f ca="1">VLOOKUP(Q2,[1]character_type_i18n!$A:$H,7,FALSE)</f>
        <v>#N/A</v>
      </c>
      <c r="W2" s="53" t="e">
        <f ca="1">VLOOKUP($A2,OFFSET([1]characters!$A$1,0,0,COUNTA([1]characters!$A:$A),MATCH(W$1,[1]characters!$1:$1,0)-MATCH($A$1,[1]characters!$1:$1,0)+1),MATCH(W$1,[1]characters!$1:$1,0)-MATCH($A$1,[1]characters!$1:$1,0)+1,FALSE)</f>
        <v>#N/A</v>
      </c>
      <c r="X2" s="5" t="e">
        <f ca="1">VLOOKUP(W2,[1]character_tribe_i18n!$A:$H,3,FALSE)</f>
        <v>#N/A</v>
      </c>
      <c r="Y2" s="53" t="e">
        <f ca="1">VLOOKUP($A2,OFFSET([1]characters!$A$1,0,0,COUNTA([1]characters!$A:$A),MATCH(Y$1,[1]characters!$1:$1,0)-MATCH($A$1,[1]characters!$1:$1,0)+1),MATCH(Y$1,[1]characters!$1:$1,0)-MATCH($A$1,[1]characters!$1:$1,0)+1,FALSE)</f>
        <v>#N/A</v>
      </c>
      <c r="Z2" s="5" t="e">
        <f ca="1">VLOOKUP(Y2,[1]character_tribe_i18n!$A:$H,3,FALSE)</f>
        <v>#N/A</v>
      </c>
      <c r="AA2" s="10" t="e">
        <f ca="1">VLOOKUP(W2,[1]character_tribe_i18n!$A:$H,4,FALSE)</f>
        <v>#N/A</v>
      </c>
      <c r="AB2" s="10" t="e">
        <f ca="1">VLOOKUP(W2,[1]character_tribe_i18n!$A:$H,5,FALSE)</f>
        <v>#N/A</v>
      </c>
      <c r="AC2" s="10" t="e">
        <f ca="1">VLOOKUP(W2,[1]character_tribe_i18n!$A:$H,6,FALSE)</f>
        <v>#N/A</v>
      </c>
      <c r="AD2" s="10" t="e">
        <f ca="1">VLOOKUP(W2,[1]character_tribe_i18n!$A:$H,7,FALSE)</f>
        <v>#N/A</v>
      </c>
      <c r="AE2" s="187" t="s">
        <v>317</v>
      </c>
      <c r="AF2" s="58" t="e">
        <f ca="1">IF(AE2="NULL","",VLOOKUP($AE2,OFFSET([1]characters!$A$1,0,0,COUNTA([1]characters!$A:$A),MATCH(AF$1,[1]characters!$1:$1,0)-MATCH($A$1,[1]characters!$1:$1,0)+1),MATCH(AF$1,[1]characters!$1:$1,0)-MATCH($A$1,[1]characters!$1:$1,0)+1,FALSE))</f>
        <v>#N/A</v>
      </c>
      <c r="AG2" s="187" t="s">
        <v>319</v>
      </c>
      <c r="AH2" s="58" t="e">
        <f ca="1">VLOOKUP($AG2,OFFSET([1]characters!$A$1,0,0,COUNTA([1]characters!$A:$A),MATCH(AH$1,[1]characters!$1:$1,0)-MATCH($A$1,[1]characters!$1:$1,0)+1),MATCH(AH$1,[1]characters!$1:$1,0)-MATCH($A$1,[1]characters!$1:$1,0)+1,FALSE)</f>
        <v>#N/A</v>
      </c>
      <c r="AI2" s="10" t="e">
        <f ca="1">IF(AE2="NULL","NULL",VLOOKUP(G2,ビット!$A$2:$B$7,2))</f>
        <v>#N/A</v>
      </c>
      <c r="AJ2" s="6">
        <v>2</v>
      </c>
      <c r="AK2" s="7" t="str">
        <f t="shared" ref="AK2" si="1">IF(AJ2=1,"早熟",IF(AJ2=2,"普通",IF(AJ2=3,"晩成","")))</f>
        <v>普通</v>
      </c>
      <c r="AL2" s="10" t="e">
        <f ca="1">INDEX(経験値!$A$1:$I$21,MATCH(H2,経験値!$A$1:$A$21,FALSE),MATCH(G2,経験値!$A$1:$I$1,FALSE))</f>
        <v>#N/A</v>
      </c>
      <c r="AM2" s="8" t="e">
        <f ca="1">VLOOKUP(G2,経験値!$A$28:$B$32,2)</f>
        <v>#N/A</v>
      </c>
      <c r="AN2" s="16" t="e">
        <f ca="1">VLOOKUP(G2,ビット!$G$2:$H$7,2)</f>
        <v>#N/A</v>
      </c>
      <c r="AO2" s="41"/>
      <c r="AP2" s="63" t="s">
        <v>318</v>
      </c>
      <c r="AQ2" s="53" t="e">
        <f ca="1">VLOOKUP($AP2,OFFSET(unit_skills!$A$1,0,0,COUNTA(unit_skills!$A:$A),MATCH(AQ$1,unit_skills!$1:$1,0)-MATCH($AP$1,unit_skills!$1:$1,0)+1),MATCH(AQ$1,unit_skills!$1:$1,0)-MATCH($AP$1,unit_skills!$1:$1,0)+1,FALSE)</f>
        <v>#N/A</v>
      </c>
      <c r="AR2" s="53" t="e">
        <f ca="1">VLOOKUP($AP2,OFFSET(unit_skills!$A$1,0,0,COUNTA(unit_skills!$A:$A),MATCH(AR$1,unit_skills!$1:$1,0)-MATCH($AP$1,unit_skills!$1:$1,0)+1),MATCH(AR$1,unit_skills!$1:$1,0)-MATCH($AP$1,unit_skills!$1:$1,0)+1,FALSE)</f>
        <v>#N/A</v>
      </c>
      <c r="AS2" s="53" t="e">
        <f ca="1">VLOOKUP($AP2,OFFSET(unit_skills!$A$1,0,0,COUNTA(unit_skills!$A:$A),MATCH(AS$1,unit_skills!$1:$1,0)-MATCH($AP$1,unit_skills!$1:$1,0)+1),MATCH(AS$1,unit_skills!$1:$1,0)-MATCH($AP$1,unit_skills!$1:$1,0)+1,FALSE)</f>
        <v>#N/A</v>
      </c>
      <c r="AT2" s="63" t="s">
        <v>318</v>
      </c>
      <c r="AU2" s="53" t="e">
        <f ca="1">VLOOKUP($AT2,OFFSET(crash_skills!$A$1,0,0,COUNTA(crash_skills!$A:$A),MATCH(AU$1,crash_skills!$1:$1,0)-MATCH($AT$1,crash_skills!$1:$1,0)+1),MATCH(AU$1,crash_skills!$1:$1,0)-MATCH($AT$1,crash_skills!$1:$1,0)+1,FALSE)</f>
        <v>#N/A</v>
      </c>
      <c r="AV2" s="53" t="e">
        <f ca="1">VLOOKUP($AT2,OFFSET(crash_skills!$A$1,0,0,COUNTA(crash_skills!$A:$A),MATCH(AV$1,crash_skills!$1:$1,0)-MATCH($AT$1,crash_skills!$1:$1,0)+1),MATCH(AV$1,crash_skills!$1:$1,0)-MATCH($AT$1,crash_skills!$1:$1,0)+1,FALSE)</f>
        <v>#N/A</v>
      </c>
      <c r="AW2" s="53" t="e">
        <f ca="1">VLOOKUP($AT2,OFFSET(crash_skills!$A$1,0,0,COUNTA(crash_skills!$A:$A),MATCH(AW$1,crash_skills!$1:$1,0)-MATCH($AT$1,crash_skills!$1:$1,0)+1),MATCH(AW$1,crash_skills!$1:$1,0)-MATCH($AT$1,crash_skills!$1:$1,0)+1,FALSE)</f>
        <v>#N/A</v>
      </c>
      <c r="AX2" s="54" t="e">
        <f ca="1">VLOOKUP($A2,OFFSET([1]characters!$A$1,0,0,COUNTA([1]characters!$A:$A),MATCH(AX$1,[1]characters!$1:$1,0)-MATCH($A$1,[1]characters!$1:$1,0)+1),MATCH(AX$1,[1]characters!$1:$1,0)-MATCH($A$1,[1]characters!$1:$1,0)+1,FALSE)</f>
        <v>#N/A</v>
      </c>
      <c r="AY2" s="64">
        <v>1.2</v>
      </c>
      <c r="AZ2" s="64">
        <v>1</v>
      </c>
      <c r="BA2" s="64">
        <v>0</v>
      </c>
      <c r="BB2" s="64">
        <v>1</v>
      </c>
      <c r="BC2" s="10" t="e">
        <f ca="1">INDEX('RC6SV'!$A$1:$G$21,MATCH(H2,'RC6SV'!$A$1:$A$21,FALSE),MATCH(G2,'RC6SV'!$A$1:$G$1,FALSE))</f>
        <v>#N/A</v>
      </c>
      <c r="BD2" s="44" t="e">
        <f t="shared" ref="BD2" ca="1" si="2">ROUND(BC2*IF(AJ2=1,0.95,IF(AJ2=2,1,IF(AJ2,1.05,0))),0)</f>
        <v>#N/A</v>
      </c>
      <c r="BE2" s="10">
        <f ca="1">ROUND(IFERROR(INDIRECT(ADDRESS(MATCH($A2,$AE:$AE,0),MATCH($BC$1,$1:$1,0))),0),0)</f>
        <v>0</v>
      </c>
      <c r="BF2" s="10" t="e">
        <f ca="1">ROUND(IFERROR(INDIRECT(ADDRESS(MATCH($A2,$AE:$AE,0),10)),INDIRECT(ADDRESS(MATCH($A2,$A:$A,0),10))),0)</f>
        <v>#N/A</v>
      </c>
      <c r="BG2" s="15" t="e">
        <f ca="1">IF($BE2&lt;=0,ROUND(BK2*0.5,0), ROUND($BE2*S2*AA2*J2*AY2*0.8*[1]ステータス!$B$2,0))</f>
        <v>#N/A</v>
      </c>
      <c r="BH2" s="15" t="e">
        <f ca="1">IF($BE2&lt;=0,ROUND(BL2*0.5,0), ROUND($BE2*T2*AB2*K2*AZ2*0.8*[1]ステータス!$C$2,0))</f>
        <v>#N/A</v>
      </c>
      <c r="BI2" s="15" t="e">
        <f ca="1">IF($BE2&lt;=0,ROUND(BM2*0.5,0), ROUND($BE2*U2*AC2*L2*BA2*0.8*[1]ステータス!$D$2,0))</f>
        <v>#N/A</v>
      </c>
      <c r="BJ2" s="15" t="e">
        <f ca="1">IF($BE2&lt;=0,ROUND(BN2*0.5,0), ROUND($BE2*V2*AD2*M2*BB2*0.8*[1]ステータス!$E$2,0))</f>
        <v>#N/A</v>
      </c>
      <c r="BK2" s="10" t="e">
        <f ca="1">ROUND(BD2*S2*AA2*J2*AY2*[1]ステータス!$B$2,0)</f>
        <v>#N/A</v>
      </c>
      <c r="BL2" s="10" t="e">
        <f ca="1">ROUND(BD2*T2*AB2*K2*AZ2*[1]ステータス!$C$2,0)</f>
        <v>#N/A</v>
      </c>
      <c r="BM2" s="10" t="e">
        <f ca="1">ROUND(BD2*U2*AC2*L2*BA2*[1]ステータス!$D$2,0)</f>
        <v>#N/A</v>
      </c>
      <c r="BN2" s="10" t="e">
        <f ca="1">ROUND(BD2*V2*AD2*M2*BB2*[1]ステータス!$E$2,0)</f>
        <v>#N/A</v>
      </c>
      <c r="BO2" s="9">
        <v>0</v>
      </c>
      <c r="BP2" s="9">
        <v>1</v>
      </c>
      <c r="BQ2" s="36" t="s">
        <v>47</v>
      </c>
      <c r="BR2" s="9" t="e">
        <f ca="1">VLOOKUP(H2,[2]ghosts_label!$A$2:$B$19,2,FALSE)</f>
        <v>#N/A</v>
      </c>
    </row>
    <row r="3" spans="1:70" ht="26" customHeight="1" x14ac:dyDescent="0.15">
      <c r="A3" s="186"/>
      <c r="B3" s="53" t="e">
        <f ca="1">VLOOKUP($A3,OFFSET([1]characters!$A$1,0,0,COUNTA([1]characters!$A:$A),MATCH(B$1,[1]characters!$1:$1,0)-MATCH($A$1,[1]characters!$1:$1,0)+1),MATCH(B$1,[1]characters!$1:$1,0)-MATCH($A$1,[1]characters!$1:$1,0)+1,FALSE)</f>
        <v>#N/A</v>
      </c>
      <c r="C3" s="53" t="e">
        <f ca="1">VLOOKUP($A3,OFFSET([1]characters!$A$1,0,0,COUNTA([1]characters!$A:$A),MATCH(C$1,[1]characters!$1:$1,0)-MATCH($A$1,[1]characters!$1:$1,0)+1),MATCH(C$1,[1]characters!$1:$1,0)-MATCH($A$1,[1]characters!$1:$1,0)+1,FALSE)</f>
        <v>#N/A</v>
      </c>
      <c r="D3" s="53" t="e">
        <f ca="1">VLOOKUP($A3,OFFSET([1]characters!$A$1,0,0,COUNTA([1]characters!$A:$A),MATCH(D$1,[1]characters!$1:$1,0)-MATCH($A$1,[1]characters!$1:$1,0)+1),MATCH(D$1,[1]characters!$1:$1,0)-MATCH($A$1,[1]characters!$1:$1,0)+1,FALSE)</f>
        <v>#N/A</v>
      </c>
      <c r="E3" s="53" t="e">
        <f ca="1">VLOOKUP($A3,OFFSET([1]characters!$A$1,0,0,COUNTA([1]characters!$A:$A),MATCH(E$1,[1]characters!$1:$1,0)-MATCH($A$1,[1]characters!$1:$1,0)+1),MATCH(E$1,[1]characters!$1:$1,0)-MATCH($A$1,[1]characters!$1:$1,0)+1,FALSE)</f>
        <v>#N/A</v>
      </c>
      <c r="F3" s="53" t="e">
        <f ca="1">VLOOKUP($A3,OFFSET([1]characters!$A$1,0,0,COUNTA([1]characters!$A:$A),MATCH(F$1,[1]characters!$1:$1,0)-MATCH($A$1,[1]characters!$1:$1,0)+1),MATCH(F$1,[1]characters!$1:$1,0)-MATCH($A$1,[1]characters!$1:$1,0)+1,FALSE)</f>
        <v>#N/A</v>
      </c>
      <c r="G3" s="53" t="e">
        <f ca="1">VLOOKUP($A3,OFFSET([1]characters!$A$1,0,0,COUNTA([1]characters!$A:$A),MATCH(G$1,[1]characters!$1:$1,0)-MATCH($A$1,[1]characters!$1:$1,0)+1),MATCH(G$1,[1]characters!$1:$1,0)-MATCH($A$1,[1]characters!$1:$1,0)+1,FALSE)</f>
        <v>#N/A</v>
      </c>
      <c r="H3" s="53" t="e">
        <f ca="1">VLOOKUP($A3,OFFSET([1]characters!$A$1,0,0,COUNTA([1]characters!$A:$A),MATCH(H$1,[1]characters!$1:$1,0)-MATCH($A$1,[1]characters!$1:$1,0)+1),MATCH(H$1,[1]characters!$1:$1,0)-MATCH($A$1,[1]characters!$1:$1,0)+1,FALSE)</f>
        <v>#N/A</v>
      </c>
      <c r="I3" s="53" t="e">
        <f ca="1">VLOOKUP($A3,OFFSET([1]characters!$A$1,0,0,COUNTA([1]characters!$A:$A),MATCH(I$1,[1]characters!$1:$1,0)-MATCH($A$1,[1]characters!$1:$1,0)+1),MATCH(I$1,[1]characters!$1:$1,0)-MATCH($A$1,[1]characters!$1:$1,0)+1,FALSE)</f>
        <v>#N/A</v>
      </c>
      <c r="J3" s="10" t="e">
        <f ca="1">VLOOKUP(I3,[1]属性!$A:$E,2,FALSE)</f>
        <v>#N/A</v>
      </c>
      <c r="K3" s="10" t="e">
        <f ca="1">VLOOKUP(I3,[1]属性!$A:$E,3,FALSE)</f>
        <v>#N/A</v>
      </c>
      <c r="L3" s="10" t="e">
        <f ca="1">VLOOKUP(I3,[1]属性!$A:$E,4,FALSE)</f>
        <v>#N/A</v>
      </c>
      <c r="M3" s="10" t="e">
        <f ca="1">VLOOKUP(I3,[1]属性!$A:$E,5,FALSE)</f>
        <v>#N/A</v>
      </c>
      <c r="N3" s="10" t="e">
        <f ca="1">INDEX(コスト!$A$1:$I$21,MATCH(H3,コスト!$A$1:$A$21,FALSE),MATCH(G3,コスト!$A$1:$I$1,FALSE))</f>
        <v>#N/A</v>
      </c>
      <c r="O3" s="10" t="e">
        <f ca="1">INDEX(レベル!$A$1:$I$22,MATCH(H3,レベル!$A$1:$A$22,FALSE),MATCH(G3,レベル!$A$1:$I$1,FALSE))</f>
        <v>#N/A</v>
      </c>
      <c r="P3" s="44" t="e">
        <f t="shared" ca="1" si="0"/>
        <v>#N/A</v>
      </c>
      <c r="Q3" s="53" t="e">
        <f ca="1">VLOOKUP($A3,OFFSET([1]characters!$A$1,0,0,COUNTA([1]characters!$A:$A),MATCH(Q$1,[1]characters!$1:$1,0)-MATCH($A$1,[1]characters!$1:$1,0)+1),MATCH(Q$1,[1]characters!$1:$1,0)-MATCH($A$1,[1]characters!$1:$1,0)+1,FALSE)</f>
        <v>#N/A</v>
      </c>
      <c r="R3" s="5" t="e">
        <f ca="1">VLOOKUP(Q3,[1]character_type_i18n!$A:$H,3,FALSE)</f>
        <v>#N/A</v>
      </c>
      <c r="S3" s="10" t="e">
        <f ca="1">VLOOKUP(Q3,[1]character_type_i18n!$A:$H,4,FALSE)</f>
        <v>#N/A</v>
      </c>
      <c r="T3" s="10" t="e">
        <f ca="1">VLOOKUP(Q3,[1]character_type_i18n!$A:$H,5,FALSE)</f>
        <v>#N/A</v>
      </c>
      <c r="U3" s="10" t="e">
        <f ca="1">VLOOKUP(Q3,[1]character_type_i18n!$A:$H,6,FALSE)</f>
        <v>#N/A</v>
      </c>
      <c r="V3" s="10" t="e">
        <f ca="1">VLOOKUP(Q3,[1]character_type_i18n!$A:$H,7,FALSE)</f>
        <v>#N/A</v>
      </c>
      <c r="W3" s="53" t="e">
        <f ca="1">VLOOKUP($A3,OFFSET([1]characters!$A$1,0,0,COUNTA([1]characters!$A:$A),MATCH(W$1,[1]characters!$1:$1,0)-MATCH($A$1,[1]characters!$1:$1,0)+1),MATCH(W$1,[1]characters!$1:$1,0)-MATCH($A$1,[1]characters!$1:$1,0)+1,FALSE)</f>
        <v>#N/A</v>
      </c>
      <c r="X3" s="5" t="e">
        <f ca="1">VLOOKUP(W3,[1]character_tribe_i18n!$A:$H,3,FALSE)</f>
        <v>#N/A</v>
      </c>
      <c r="Y3" s="53" t="e">
        <f ca="1">VLOOKUP($A3,OFFSET([1]characters!$A$1,0,0,COUNTA([1]characters!$A:$A),MATCH(Y$1,[1]characters!$1:$1,0)-MATCH($A$1,[1]characters!$1:$1,0)+1),MATCH(Y$1,[1]characters!$1:$1,0)-MATCH($A$1,[1]characters!$1:$1,0)+1,FALSE)</f>
        <v>#N/A</v>
      </c>
      <c r="Z3" s="5" t="e">
        <f ca="1">VLOOKUP(Y3,[1]character_tribe_i18n!$A:$H,3,FALSE)</f>
        <v>#N/A</v>
      </c>
      <c r="AA3" s="10" t="e">
        <f ca="1">VLOOKUP(W3,[1]character_tribe_i18n!$A:$H,4,FALSE)</f>
        <v>#N/A</v>
      </c>
      <c r="AB3" s="10" t="e">
        <f ca="1">VLOOKUP(W3,[1]character_tribe_i18n!$A:$H,5,FALSE)</f>
        <v>#N/A</v>
      </c>
      <c r="AC3" s="10" t="e">
        <f ca="1">VLOOKUP(W3,[1]character_tribe_i18n!$A:$H,6,FALSE)</f>
        <v>#N/A</v>
      </c>
      <c r="AD3" s="10" t="e">
        <f ca="1">VLOOKUP(W3,[1]character_tribe_i18n!$A:$H,7,FALSE)</f>
        <v>#N/A</v>
      </c>
      <c r="AE3" s="187" t="s">
        <v>183</v>
      </c>
      <c r="AF3" s="58" t="str">
        <f ca="1">IF(AE3="NULL","",VLOOKUP($AE3,OFFSET([1]characters!$A$1,0,0,COUNTA([1]characters!$A:$A),MATCH(AF$1,[1]characters!$1:$1,0)-MATCH($A$1,[1]characters!$1:$1,0)+1),MATCH(AF$1,[1]characters!$1:$1,0)-MATCH($A$1,[1]characters!$1:$1,0)+1,FALSE))</f>
        <v/>
      </c>
      <c r="AG3" s="187" t="s">
        <v>319</v>
      </c>
      <c r="AH3" s="58" t="e">
        <f ca="1">VLOOKUP($AG3,OFFSET([1]characters!$A$1,0,0,COUNTA([1]characters!$A:$A),MATCH(AH$1,[1]characters!$1:$1,0)-MATCH($A$1,[1]characters!$1:$1,0)+1),MATCH(AH$1,[1]characters!$1:$1,0)-MATCH($A$1,[1]characters!$1:$1,0)+1,FALSE)</f>
        <v>#N/A</v>
      </c>
      <c r="AI3" s="10" t="str">
        <f>IF(AE3="NULL","NULL",VLOOKUP(G3,ビット!$A$2:$B$7,2))</f>
        <v>NULL</v>
      </c>
      <c r="AJ3" s="6">
        <v>2</v>
      </c>
      <c r="AK3" s="7" t="str">
        <f t="shared" ref="AK3" si="3">IF(AJ3=1,"早熟",IF(AJ3=2,"普通",IF(AJ3=3,"晩成","")))</f>
        <v>普通</v>
      </c>
      <c r="AL3" s="10" t="e">
        <f ca="1">INDEX(経験値!$A$1:$I$21,MATCH(H3,経験値!$A$1:$A$21,FALSE),MATCH(G3,経験値!$A$1:$I$1,FALSE))</f>
        <v>#N/A</v>
      </c>
      <c r="AM3" s="8" t="e">
        <f ca="1">VLOOKUP(G3,経験値!$A$28:$B$32,2)</f>
        <v>#N/A</v>
      </c>
      <c r="AN3" s="16" t="e">
        <f ca="1">VLOOKUP(G3,ビット!$G$2:$H$7,2)</f>
        <v>#N/A</v>
      </c>
      <c r="AO3" s="41"/>
      <c r="AP3" s="63" t="s">
        <v>318</v>
      </c>
      <c r="AQ3" s="53" t="e">
        <f ca="1">VLOOKUP($AP3,OFFSET(unit_skills!$A$1,0,0,COUNTA(unit_skills!$A:$A),MATCH(AQ$1,unit_skills!$1:$1,0)-MATCH($AP$1,unit_skills!$1:$1,0)+1),MATCH(AQ$1,unit_skills!$1:$1,0)-MATCH($AP$1,unit_skills!$1:$1,0)+1,FALSE)</f>
        <v>#N/A</v>
      </c>
      <c r="AR3" s="53" t="e">
        <f ca="1">VLOOKUP($AP3,OFFSET(unit_skills!$A$1,0,0,COUNTA(unit_skills!$A:$A),MATCH(AR$1,unit_skills!$1:$1,0)-MATCH($AP$1,unit_skills!$1:$1,0)+1),MATCH(AR$1,unit_skills!$1:$1,0)-MATCH($AP$1,unit_skills!$1:$1,0)+1,FALSE)</f>
        <v>#N/A</v>
      </c>
      <c r="AS3" s="53" t="e">
        <f ca="1">VLOOKUP($AP3,OFFSET(unit_skills!$A$1,0,0,COUNTA(unit_skills!$A:$A),MATCH(AS$1,unit_skills!$1:$1,0)-MATCH($AP$1,unit_skills!$1:$1,0)+1),MATCH(AS$1,unit_skills!$1:$1,0)-MATCH($AP$1,unit_skills!$1:$1,0)+1,FALSE)</f>
        <v>#N/A</v>
      </c>
      <c r="AT3" s="63" t="s">
        <v>318</v>
      </c>
      <c r="AU3" s="53" t="e">
        <f ca="1">VLOOKUP($AT3,OFFSET(crash_skills!$A$1,0,0,COUNTA(crash_skills!$A:$A),MATCH(AU$1,crash_skills!$1:$1,0)-MATCH($AT$1,crash_skills!$1:$1,0)+1),MATCH(AU$1,crash_skills!$1:$1,0)-MATCH($AT$1,crash_skills!$1:$1,0)+1,FALSE)</f>
        <v>#N/A</v>
      </c>
      <c r="AV3" s="53" t="e">
        <f ca="1">VLOOKUP($AT3,OFFSET(crash_skills!$A$1,0,0,COUNTA(crash_skills!$A:$A),MATCH(AV$1,crash_skills!$1:$1,0)-MATCH($AT$1,crash_skills!$1:$1,0)+1),MATCH(AV$1,crash_skills!$1:$1,0)-MATCH($AT$1,crash_skills!$1:$1,0)+1,FALSE)</f>
        <v>#N/A</v>
      </c>
      <c r="AW3" s="53" t="e">
        <f ca="1">VLOOKUP($AT3,OFFSET(crash_skills!$A$1,0,0,COUNTA(crash_skills!$A:$A),MATCH(AW$1,crash_skills!$1:$1,0)-MATCH($AT$1,crash_skills!$1:$1,0)+1),MATCH(AW$1,crash_skills!$1:$1,0)-MATCH($AT$1,crash_skills!$1:$1,0)+1,FALSE)</f>
        <v>#N/A</v>
      </c>
      <c r="AX3" s="54" t="e">
        <f ca="1">VLOOKUP($A3,OFFSET([1]characters!$A$1,0,0,COUNTA([1]characters!$A:$A),MATCH(AX$1,[1]characters!$1:$1,0)-MATCH($A$1,[1]characters!$1:$1,0)+1),MATCH(AX$1,[1]characters!$1:$1,0)-MATCH($A$1,[1]characters!$1:$1,0)+1,FALSE)</f>
        <v>#N/A</v>
      </c>
      <c r="AY3" s="64">
        <v>1.2</v>
      </c>
      <c r="AZ3" s="64">
        <v>1</v>
      </c>
      <c r="BA3" s="64">
        <v>0</v>
      </c>
      <c r="BB3" s="64">
        <v>1</v>
      </c>
      <c r="BC3" s="10" t="e">
        <f ca="1">INDEX('RC6SV'!$A$1:$G$21,MATCH(H3,'RC6SV'!$A$1:$A$21,FALSE),MATCH(G3,'RC6SV'!$A$1:$G$1,FALSE))</f>
        <v>#N/A</v>
      </c>
      <c r="BD3" s="44" t="e">
        <f t="shared" ref="BD3" ca="1" si="4">ROUND(BC3*IF(AJ3=1,0.95,IF(AJ3=2,1,IF(AJ3,1.05,0))),0)</f>
        <v>#N/A</v>
      </c>
      <c r="BE3" s="10">
        <f ca="1">ROUND(IFERROR(INDIRECT(ADDRESS(MATCH($A3,$AE:$AE,0),MATCH($BC$1,$1:$1,0))),0),0)</f>
        <v>0</v>
      </c>
      <c r="BF3" s="10" t="e">
        <f ca="1">ROUND(IFERROR(INDIRECT(ADDRESS(MATCH($A3,$AE:$AE,0),10)),INDIRECT(ADDRESS(MATCH($A3,$A:$A,0),10))),0)</f>
        <v>#N/A</v>
      </c>
      <c r="BG3" s="15" t="e">
        <f ca="1">IF($BE3&lt;=0,ROUND(BK3*0.5,0), ROUND($BE3*S3*AA3*J3*AY3*0.8*[1]ステータス!$B$2,0))</f>
        <v>#N/A</v>
      </c>
      <c r="BH3" s="15" t="e">
        <f ca="1">IF($BE3&lt;=0,ROUND(BL3*0.5,0), ROUND($BE3*T3*AB3*K3*AZ3*0.8*[1]ステータス!$C$2,0))</f>
        <v>#N/A</v>
      </c>
      <c r="BI3" s="15" t="e">
        <f ca="1">IF($BE3&lt;=0,ROUND(BM3*0.5,0), ROUND($BE3*U3*AC3*L3*BA3*0.8*[1]ステータス!$D$2,0))</f>
        <v>#N/A</v>
      </c>
      <c r="BJ3" s="15" t="e">
        <f ca="1">IF($BE3&lt;=0,ROUND(BN3*0.5,0), ROUND($BE3*V3*AD3*M3*BB3*0.8*[1]ステータス!$E$2,0))</f>
        <v>#N/A</v>
      </c>
      <c r="BK3" s="10" t="e">
        <f ca="1">ROUND(BD3*S3*AA3*J3*AY3*[1]ステータス!$B$2,0)</f>
        <v>#N/A</v>
      </c>
      <c r="BL3" s="10" t="e">
        <f ca="1">ROUND(BD3*T3*AB3*K3*AZ3*[1]ステータス!$C$2,0)</f>
        <v>#N/A</v>
      </c>
      <c r="BM3" s="10" t="e">
        <f ca="1">ROUND(BD3*U3*AC3*L3*BA3*[1]ステータス!$D$2,0)</f>
        <v>#N/A</v>
      </c>
      <c r="BN3" s="10" t="e">
        <f ca="1">ROUND(BD3*V3*AD3*M3*BB3*[1]ステータス!$E$2,0)</f>
        <v>#N/A</v>
      </c>
      <c r="BO3" s="9">
        <v>0</v>
      </c>
      <c r="BP3" s="9">
        <v>1</v>
      </c>
      <c r="BQ3" s="9" t="s">
        <v>47</v>
      </c>
      <c r="BR3" s="9" t="e">
        <f ca="1">VLOOKUP(H3,[2]ghosts_label!$A$2:$B$19,2,FALSE)</f>
        <v>#N/A</v>
      </c>
    </row>
  </sheetData>
  <autoFilter ref="A1:BQ1"/>
  <phoneticPr fontId="10"/>
  <conditionalFormatting sqref="BO1">
    <cfRule type="cellIs" dxfId="32" priority="120" stopIfTrue="1" operator="equal">
      <formula>1</formula>
    </cfRule>
  </conditionalFormatting>
  <conditionalFormatting sqref="BQ1">
    <cfRule type="cellIs" dxfId="31" priority="119" stopIfTrue="1" operator="equal">
      <formula>1</formula>
    </cfRule>
  </conditionalFormatting>
  <pageMargins left="0.75" right="0.75" top="1" bottom="1" header="0.3" footer="0.3"/>
  <pageSetup paperSize="9" orientation="portrait" horizontalDpi="4294967292" verticalDpi="429496729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12"/>
  </sheetPr>
  <dimension ref="A1:S3"/>
  <sheetViews>
    <sheetView showGridLines="0" zoomScale="115" workbookViewId="0">
      <pane xSplit="4" ySplit="1" topLeftCell="U2" activePane="bottomRight" state="frozen"/>
      <selection pane="topRight" activeCell="D1" sqref="D1"/>
      <selection pane="bottomLeft" activeCell="A2" sqref="A2"/>
      <selection pane="bottomRight" activeCell="V3" sqref="V3"/>
    </sheetView>
  </sheetViews>
  <sheetFormatPr baseColWidth="12" defaultColWidth="13" defaultRowHeight="21" customHeight="1" outlineLevelCol="1" x14ac:dyDescent="0.15"/>
  <cols>
    <col min="1" max="1" width="16.1640625" style="126" bestFit="1" customWidth="1"/>
    <col min="2" max="2" width="13" style="126" bestFit="1" customWidth="1"/>
    <col min="3" max="3" width="21.83203125" style="126" customWidth="1"/>
    <col min="4" max="4" width="41.83203125" style="126" customWidth="1"/>
    <col min="5" max="5" width="9" style="126" customWidth="1"/>
    <col min="6" max="6" width="7.83203125" style="126" bestFit="1" customWidth="1"/>
    <col min="7" max="7" width="8.1640625" style="126" bestFit="1" customWidth="1"/>
    <col min="8" max="8" width="13.6640625" style="126" bestFit="1" customWidth="1"/>
    <col min="9" max="10" width="51.6640625" style="126" customWidth="1"/>
    <col min="11" max="11" width="10.83203125" style="126" customWidth="1" outlineLevel="1"/>
    <col min="12" max="17" width="9.5" style="125" customWidth="1" outlineLevel="1"/>
    <col min="18" max="18" width="20.33203125" style="126" customWidth="1" outlineLevel="1"/>
    <col min="19" max="19" width="10.33203125" style="126" bestFit="1" customWidth="1"/>
    <col min="20" max="16384" width="13" style="126"/>
  </cols>
  <sheetData>
    <row r="1" spans="1:19" s="125" customFormat="1" ht="21" customHeight="1" x14ac:dyDescent="0.15">
      <c r="A1" s="114" t="s">
        <v>20</v>
      </c>
      <c r="B1" s="115" t="s">
        <v>134</v>
      </c>
      <c r="C1" s="116" t="s">
        <v>40</v>
      </c>
      <c r="D1" s="117" t="s">
        <v>163</v>
      </c>
      <c r="E1" s="117" t="s">
        <v>164</v>
      </c>
      <c r="F1" s="114" t="s">
        <v>146</v>
      </c>
      <c r="G1" s="118" t="s">
        <v>2</v>
      </c>
      <c r="H1" s="118" t="s">
        <v>165</v>
      </c>
      <c r="I1" s="118" t="s">
        <v>166</v>
      </c>
      <c r="J1" s="119" t="s">
        <v>185</v>
      </c>
      <c r="K1" s="118" t="s">
        <v>4</v>
      </c>
      <c r="L1" s="120" t="s">
        <v>167</v>
      </c>
      <c r="M1" s="121" t="s">
        <v>168</v>
      </c>
      <c r="N1" s="121" t="s">
        <v>169</v>
      </c>
      <c r="O1" s="121" t="s">
        <v>170</v>
      </c>
      <c r="P1" s="121" t="s">
        <v>171</v>
      </c>
      <c r="Q1" s="122" t="s">
        <v>172</v>
      </c>
      <c r="R1" s="123" t="s">
        <v>173</v>
      </c>
      <c r="S1" s="124" t="s">
        <v>174</v>
      </c>
    </row>
    <row r="2" spans="1:19" ht="21" customHeight="1" x14ac:dyDescent="0.15">
      <c r="A2" s="186"/>
      <c r="B2" s="129" t="s">
        <v>186</v>
      </c>
      <c r="C2" s="188" t="s">
        <v>320</v>
      </c>
      <c r="D2" s="188" t="s">
        <v>321</v>
      </c>
      <c r="E2" s="131">
        <f t="shared" ref="E2" si="0">LEN(D2)</f>
        <v>5</v>
      </c>
      <c r="F2" s="63" t="s">
        <v>322</v>
      </c>
      <c r="G2" s="113">
        <v>5</v>
      </c>
      <c r="H2" s="132">
        <f>2001</f>
        <v>2001</v>
      </c>
      <c r="I2" s="189" t="s">
        <v>323</v>
      </c>
      <c r="J2" s="53" t="e">
        <f ca="1">VLOOKUP($A2,OFFSET([1]characters!$A$1,0,0,COUNTA([1]characters!$A:$A),MATCH("name",[1]characters!$1:$1,0)-MATCH("character_id",[1]characters!$1:$1,0)+1),MATCH("name",[1]characters!$1:$1,0)-MATCH("character_id",[1]characters!$1:$1,0)+1,FALSE)</f>
        <v>#N/A</v>
      </c>
      <c r="K2" s="133">
        <f>IFERROR(VLOOKUP(A2,[1]characters!$A:$R,18),0)</f>
        <v>0</v>
      </c>
      <c r="L2" s="134"/>
      <c r="M2" s="135"/>
      <c r="N2" s="135"/>
      <c r="O2" s="135"/>
      <c r="P2" s="135"/>
      <c r="Q2" s="135"/>
      <c r="R2" s="130"/>
      <c r="S2" s="136"/>
    </row>
    <row r="3" spans="1:19" ht="21" customHeight="1" x14ac:dyDescent="0.15">
      <c r="A3" s="186"/>
      <c r="B3" s="129" t="s">
        <v>186</v>
      </c>
      <c r="C3" s="188" t="s">
        <v>320</v>
      </c>
      <c r="D3" s="188" t="s">
        <v>321</v>
      </c>
      <c r="E3" s="131">
        <f t="shared" ref="E3" si="1">LEN(D3)</f>
        <v>5</v>
      </c>
      <c r="F3" s="63" t="s">
        <v>322</v>
      </c>
      <c r="G3" s="113">
        <v>5</v>
      </c>
      <c r="H3" s="132">
        <f>2001</f>
        <v>2001</v>
      </c>
      <c r="I3" s="189" t="s">
        <v>323</v>
      </c>
      <c r="J3" s="53" t="e">
        <f ca="1">VLOOKUP($A3,OFFSET([1]characters!$A$1,0,0,COUNTA([1]characters!$A:$A),MATCH("name",[1]characters!$1:$1,0)-MATCH("character_id",[1]characters!$1:$1,0)+1),MATCH("name",[1]characters!$1:$1,0)-MATCH("character_id",[1]characters!$1:$1,0)+1,FALSE)</f>
        <v>#N/A</v>
      </c>
      <c r="K3" s="133">
        <f>IFERROR(VLOOKUP(A3,[1]characters!$A:$R,18),0)</f>
        <v>0</v>
      </c>
      <c r="L3" s="134"/>
      <c r="M3" s="135"/>
      <c r="N3" s="135"/>
      <c r="O3" s="135"/>
      <c r="P3" s="135"/>
      <c r="Q3" s="135"/>
      <c r="R3" s="130"/>
      <c r="S3" s="136"/>
    </row>
  </sheetData>
  <sheetProtection selectLockedCells="1" selectUnlockedCells="1"/>
  <autoFilter ref="A1:S1">
    <sortState ref="A2:T432">
      <sortCondition ref="A1:A432"/>
    </sortState>
  </autoFilter>
  <phoneticPr fontId="22"/>
  <conditionalFormatting sqref="E1 E4:E1048576">
    <cfRule type="cellIs" dxfId="30" priority="24" operator="greaterThan">
      <formula>41</formula>
    </cfRule>
  </conditionalFormatting>
  <conditionalFormatting sqref="E2">
    <cfRule type="cellIs" dxfId="29" priority="18" operator="greaterThan">
      <formula>41</formula>
    </cfRule>
  </conditionalFormatting>
  <conditionalFormatting sqref="E3">
    <cfRule type="cellIs" dxfId="28" priority="17" operator="greaterThan">
      <formula>41</formula>
    </cfRule>
  </conditionalFormatting>
  <pageMargins left="0.75" right="0.75" top="1" bottom="1" header="0.51180555555555551" footer="0.51180555555555551"/>
  <pageSetup paperSize="9" firstPageNumber="0"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indexed="12"/>
  </sheetPr>
  <dimension ref="A1:S5"/>
  <sheetViews>
    <sheetView showGridLines="0" workbookViewId="0">
      <pane xSplit="4" ySplit="1" topLeftCell="E2" activePane="bottomRight" state="frozen"/>
      <selection pane="topRight" activeCell="D1" sqref="D1"/>
      <selection pane="bottomLeft" activeCell="A3" sqref="A3"/>
      <selection pane="bottomRight" activeCell="C3" sqref="C3"/>
    </sheetView>
  </sheetViews>
  <sheetFormatPr baseColWidth="12" defaultColWidth="13" defaultRowHeight="21" customHeight="1" x14ac:dyDescent="0.15"/>
  <cols>
    <col min="1" max="2" width="12.1640625" style="126" customWidth="1"/>
    <col min="3" max="3" width="48.83203125" style="127" customWidth="1"/>
    <col min="4" max="4" width="23.83203125" style="127" customWidth="1"/>
    <col min="5" max="5" width="10.5" style="127" customWidth="1"/>
    <col min="6" max="7" width="59.1640625" style="127" customWidth="1"/>
    <col min="8" max="8" width="6.83203125" style="126" bestFit="1" customWidth="1"/>
    <col min="9" max="9" width="20.33203125" style="126" customWidth="1"/>
    <col min="10" max="10" width="5" style="126" bestFit="1" customWidth="1"/>
    <col min="11" max="16384" width="13" style="126"/>
  </cols>
  <sheetData>
    <row r="1" spans="1:19" ht="21" customHeight="1" x14ac:dyDescent="0.15">
      <c r="A1" s="114" t="s">
        <v>182</v>
      </c>
      <c r="B1" s="115" t="s">
        <v>181</v>
      </c>
      <c r="C1" s="116" t="s">
        <v>180</v>
      </c>
      <c r="D1" s="117" t="s">
        <v>179</v>
      </c>
      <c r="E1" s="117" t="s">
        <v>178</v>
      </c>
      <c r="F1" s="118" t="s">
        <v>177</v>
      </c>
      <c r="G1" s="119" t="s">
        <v>185</v>
      </c>
      <c r="H1" s="118" t="s">
        <v>176</v>
      </c>
      <c r="I1" s="119" t="s">
        <v>175</v>
      </c>
      <c r="J1" s="123" t="s">
        <v>174</v>
      </c>
    </row>
    <row r="2" spans="1:19" ht="21" customHeight="1" x14ac:dyDescent="0.15">
      <c r="A2" s="186">
        <v>52</v>
      </c>
      <c r="B2" s="129" t="s">
        <v>187</v>
      </c>
      <c r="C2" s="188" t="s">
        <v>366</v>
      </c>
      <c r="D2" s="188" t="s">
        <v>367</v>
      </c>
      <c r="E2" s="131">
        <f t="shared" ref="E2" si="0">LEN(D2)</f>
        <v>16</v>
      </c>
      <c r="F2" s="190" t="s">
        <v>368</v>
      </c>
      <c r="G2" s="53" t="str">
        <f ca="1">VLOOKUP($A2,OFFSET([1]characters!$A$1,0,0,COUNTA([1]characters!$A:$A),MATCH("name",[1]characters!$1:$1,0)-MATCH("character_id",[1]characters!$1:$1,0)+1),MATCH("name",[1]characters!$1:$1,0)-MATCH("character_id",[1]characters!$1:$1,0)+1,FALSE)</f>
        <v>翠槍のレジスタンス マイ</v>
      </c>
      <c r="H2" s="189">
        <v>3</v>
      </c>
      <c r="I2" s="132"/>
      <c r="J2" s="137"/>
      <c r="K2" s="133">
        <v>1</v>
      </c>
      <c r="L2" s="134"/>
      <c r="M2" s="135"/>
      <c r="N2" s="135"/>
      <c r="O2" s="135"/>
      <c r="P2" s="135"/>
      <c r="Q2" s="135"/>
      <c r="R2" s="130"/>
      <c r="S2" s="136"/>
    </row>
    <row r="3" spans="1:19" ht="21" customHeight="1" x14ac:dyDescent="0.15">
      <c r="A3" s="186">
        <v>56</v>
      </c>
      <c r="B3" s="129" t="s">
        <v>187</v>
      </c>
      <c r="C3" s="188" t="s">
        <v>369</v>
      </c>
      <c r="D3" s="188" t="s">
        <v>370</v>
      </c>
      <c r="E3" s="131">
        <f t="shared" ref="E3" si="1">LEN(D3)</f>
        <v>16</v>
      </c>
      <c r="F3" s="190" t="s">
        <v>371</v>
      </c>
      <c r="G3" s="53" t="str">
        <f ca="1">VLOOKUP($A3,OFFSET([1]characters!$A$1,0,0,COUNTA([1]characters!$A:$A),MATCH("name",[1]characters!$1:$1,0)-MATCH("character_id",[1]characters!$1:$1,0)+1),MATCH("name",[1]characters!$1:$1,0)-MATCH("character_id",[1]characters!$1:$1,0)+1,FALSE)</f>
        <v>黄槌のレジスタンス マミコ</v>
      </c>
      <c r="H3" s="132">
        <f>IFERROR(VLOOKUP(A3,[1]characters!$A:$R,18),0)</f>
        <v>3</v>
      </c>
      <c r="I3" s="132"/>
      <c r="J3" s="137"/>
      <c r="K3" s="133">
        <v>1</v>
      </c>
      <c r="L3" s="134"/>
      <c r="M3" s="135"/>
      <c r="N3" s="135"/>
      <c r="O3" s="135"/>
      <c r="P3" s="135"/>
      <c r="Q3" s="135"/>
      <c r="R3" s="130"/>
      <c r="S3" s="136"/>
    </row>
    <row r="4" spans="1:19" ht="21" customHeight="1" x14ac:dyDescent="0.15">
      <c r="A4" s="186">
        <v>41</v>
      </c>
      <c r="B4" s="129" t="s">
        <v>186</v>
      </c>
      <c r="C4" s="188" t="s">
        <v>372</v>
      </c>
      <c r="D4" s="188" t="s">
        <v>373</v>
      </c>
      <c r="E4" s="131">
        <f t="shared" ref="E4:E5" si="2">LEN(D4)</f>
        <v>8</v>
      </c>
      <c r="F4" s="190" t="s">
        <v>376</v>
      </c>
      <c r="G4" s="53" t="str">
        <f ca="1">VLOOKUP($A4,OFFSET([1]characters!$A$1,0,0,COUNTA([1]characters!$A:$A),MATCH("name",[1]characters!$1:$1,0)-MATCH("character_id",[1]characters!$1:$1,0)+1),MATCH("name",[1]characters!$1:$1,0)-MATCH("character_id",[1]characters!$1:$1,0)+1,FALSE)</f>
        <v>ヒュウガ</v>
      </c>
      <c r="H4" s="132">
        <f>IFERROR(VLOOKUP(A4,[1]characters!$A:$R,18),0)</f>
        <v>3</v>
      </c>
      <c r="I4" s="132"/>
      <c r="J4" s="137"/>
      <c r="K4" s="133">
        <v>1</v>
      </c>
      <c r="L4" s="134"/>
      <c r="M4" s="135"/>
      <c r="N4" s="135"/>
      <c r="O4" s="135"/>
      <c r="P4" s="135"/>
      <c r="Q4" s="135"/>
      <c r="R4" s="130"/>
      <c r="S4" s="136"/>
    </row>
    <row r="5" spans="1:19" ht="21" customHeight="1" x14ac:dyDescent="0.15">
      <c r="A5" s="186">
        <v>42</v>
      </c>
      <c r="B5" s="129" t="s">
        <v>186</v>
      </c>
      <c r="C5" s="188" t="s">
        <v>374</v>
      </c>
      <c r="D5" s="188" t="s">
        <v>375</v>
      </c>
      <c r="E5" s="131">
        <f t="shared" si="2"/>
        <v>7</v>
      </c>
      <c r="F5" s="190" t="s">
        <v>377</v>
      </c>
      <c r="G5" s="53" t="str">
        <f ca="1">VLOOKUP($A5,OFFSET([1]characters!$A$1,0,0,COUNTA([1]characters!$A:$A),MATCH("name",[1]characters!$1:$1,0)-MATCH("character_id",[1]characters!$1:$1,0)+1),MATCH("name",[1]characters!$1:$1,0)-MATCH("character_id",[1]characters!$1:$1,0)+1,FALSE)</f>
        <v>燃えゆる吐息 ヒュウガ</v>
      </c>
      <c r="H5" s="132">
        <f>IFERROR(VLOOKUP(A5,[1]characters!$A:$R,18),0)</f>
        <v>3</v>
      </c>
      <c r="I5" s="132"/>
      <c r="J5" s="137"/>
      <c r="K5" s="133">
        <v>1</v>
      </c>
      <c r="L5" s="134"/>
      <c r="M5" s="135"/>
      <c r="N5" s="135"/>
      <c r="O5" s="135"/>
      <c r="P5" s="135"/>
      <c r="Q5" s="135"/>
      <c r="R5" s="130"/>
      <c r="S5" s="136"/>
    </row>
  </sheetData>
  <sheetProtection selectLockedCells="1" selectUnlockedCells="1"/>
  <autoFilter ref="A1:J1"/>
  <phoneticPr fontId="22"/>
  <conditionalFormatting sqref="E2">
    <cfRule type="cellIs" dxfId="27" priority="19" operator="greaterThan">
      <formula>41</formula>
    </cfRule>
  </conditionalFormatting>
  <conditionalFormatting sqref="E3">
    <cfRule type="cellIs" dxfId="26" priority="18" operator="greaterThan">
      <formula>41</formula>
    </cfRule>
  </conditionalFormatting>
  <conditionalFormatting sqref="E4:E5">
    <cfRule type="cellIs" dxfId="25" priority="1" operator="greaterThan">
      <formula>41</formula>
    </cfRule>
  </conditionalFormatting>
  <printOptions gridLines="1"/>
  <pageMargins left="0.75" right="0.75" top="1" bottom="1" header="0.51180555555555551" footer="0.51180555555555551"/>
  <pageSetup paperSize="9" firstPageNumber="0"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0000FF"/>
  </sheetPr>
  <dimension ref="A1:H10"/>
  <sheetViews>
    <sheetView zoomScale="110" workbookViewId="0">
      <selection activeCell="H7" sqref="H7"/>
    </sheetView>
  </sheetViews>
  <sheetFormatPr baseColWidth="12" defaultRowHeight="15" outlineLevelCol="1" x14ac:dyDescent="0.15"/>
  <cols>
    <col min="2" max="2" width="12.83203125" style="139"/>
    <col min="4" max="4" width="12.83203125" style="139" customWidth="1" outlineLevel="1"/>
    <col min="5" max="5" width="12.83203125" style="139"/>
    <col min="8" max="8" width="26" customWidth="1"/>
  </cols>
  <sheetData>
    <row r="1" spans="1:8" x14ac:dyDescent="0.15">
      <c r="A1" s="110" t="s">
        <v>188</v>
      </c>
      <c r="B1" s="138" t="s">
        <v>189</v>
      </c>
      <c r="C1" s="110" t="s">
        <v>190</v>
      </c>
      <c r="D1" s="138" t="s">
        <v>192</v>
      </c>
      <c r="E1" s="138" t="s">
        <v>193</v>
      </c>
      <c r="F1" s="109" t="s">
        <v>194</v>
      </c>
      <c r="G1" s="110" t="s">
        <v>191</v>
      </c>
      <c r="H1" s="109" t="s">
        <v>195</v>
      </c>
    </row>
    <row r="2" spans="1:8" x14ac:dyDescent="0.15">
      <c r="A2" s="105"/>
      <c r="B2" s="138" t="e">
        <f>VLOOKUP(A2,[1]characters!$A:$C,3,FALSE)</f>
        <v>#N/A</v>
      </c>
      <c r="C2" s="105" t="s">
        <v>196</v>
      </c>
      <c r="D2" s="138" t="str">
        <f t="shared" ref="D2" si="0">A2&amp;C2</f>
        <v>skill</v>
      </c>
      <c r="E2" s="138" t="str">
        <f>A2&amp;+(COUNTIF(A2:A$100,A2)-1)</f>
        <v>-1</v>
      </c>
      <c r="F2" s="105" t="s">
        <v>198</v>
      </c>
      <c r="G2" s="162" t="s">
        <v>316</v>
      </c>
      <c r="H2" s="162" t="s">
        <v>337</v>
      </c>
    </row>
    <row r="3" spans="1:8" x14ac:dyDescent="0.15">
      <c r="A3" s="105"/>
      <c r="B3" s="138" t="e">
        <f>VLOOKUP(A3,[1]characters!$A:$C,3,FALSE)</f>
        <v>#N/A</v>
      </c>
      <c r="C3" s="105" t="s">
        <v>199</v>
      </c>
      <c r="D3" s="138" t="str">
        <f>A3&amp;C3</f>
        <v>cskill</v>
      </c>
      <c r="E3" s="138" t="str">
        <f>A3&amp;+(COUNTIF(A3:A$100,A3)-1)</f>
        <v>-1</v>
      </c>
      <c r="F3" s="105" t="s">
        <v>187</v>
      </c>
      <c r="G3" s="162" t="s">
        <v>197</v>
      </c>
      <c r="H3" s="162" t="s">
        <v>326</v>
      </c>
    </row>
    <row r="4" spans="1:8" x14ac:dyDescent="0.15">
      <c r="A4" s="105"/>
      <c r="B4" s="138" t="e">
        <f>VLOOKUP(A4,[1]characters!$A:$C,3,FALSE)</f>
        <v>#N/A</v>
      </c>
      <c r="C4" s="105" t="s">
        <v>199</v>
      </c>
      <c r="D4" s="138" t="str">
        <f>A4&amp;C4</f>
        <v>cskill</v>
      </c>
      <c r="E4" s="138" t="str">
        <f>A4&amp;+(COUNTIF(A4:A$100,A4)-1)</f>
        <v>-1</v>
      </c>
      <c r="F4" s="105" t="s">
        <v>187</v>
      </c>
      <c r="G4" s="162" t="s">
        <v>316</v>
      </c>
      <c r="H4" s="162" t="s">
        <v>324</v>
      </c>
    </row>
    <row r="5" spans="1:8" x14ac:dyDescent="0.15">
      <c r="A5" s="105"/>
      <c r="B5" s="138" t="e">
        <f>VLOOKUP(A5,[1]characters!$A:$C,3,FALSE)</f>
        <v>#N/A</v>
      </c>
      <c r="C5" s="105" t="s">
        <v>199</v>
      </c>
      <c r="D5" s="138" t="str">
        <f>A5&amp;C5</f>
        <v>cskill</v>
      </c>
      <c r="E5" s="138" t="str">
        <f>A5&amp;+(COUNTIF(A5:A$100,A5)-1)</f>
        <v>-1</v>
      </c>
      <c r="F5" s="105" t="s">
        <v>198</v>
      </c>
      <c r="G5" s="162" t="s">
        <v>316</v>
      </c>
      <c r="H5" s="162" t="s">
        <v>325</v>
      </c>
    </row>
    <row r="6" spans="1:8" x14ac:dyDescent="0.15">
      <c r="A6" s="105"/>
      <c r="B6" s="138" t="e">
        <f>VLOOKUP(A6,[1]characters!$A:$C,3,FALSE)</f>
        <v>#N/A</v>
      </c>
      <c r="C6" s="105" t="s">
        <v>196</v>
      </c>
      <c r="D6" s="138" t="str">
        <f t="shared" ref="D6" si="1">A6&amp;C6</f>
        <v>skill</v>
      </c>
      <c r="E6" s="138" t="str">
        <f>A6&amp;+(COUNTIF(A6:A$100,A6)-1)</f>
        <v>-1</v>
      </c>
      <c r="F6" s="105" t="s">
        <v>187</v>
      </c>
      <c r="G6" s="162" t="s">
        <v>316</v>
      </c>
      <c r="H6" s="162" t="s">
        <v>337</v>
      </c>
    </row>
    <row r="7" spans="1:8" x14ac:dyDescent="0.15">
      <c r="A7" s="105"/>
      <c r="B7" s="138" t="e">
        <f>VLOOKUP(A7,[1]characters!$A:$C,3,FALSE)</f>
        <v>#N/A</v>
      </c>
      <c r="C7" s="105" t="s">
        <v>199</v>
      </c>
      <c r="D7" s="138" t="str">
        <f>A7&amp;C7</f>
        <v>cskill</v>
      </c>
      <c r="E7" s="138" t="str">
        <f>A7&amp;+(COUNTIF(A7:A$100,A7)-1)</f>
        <v>-1</v>
      </c>
      <c r="F7" s="105" t="s">
        <v>187</v>
      </c>
      <c r="G7" s="162" t="s">
        <v>197</v>
      </c>
      <c r="H7" s="162" t="s">
        <v>326</v>
      </c>
    </row>
    <row r="8" spans="1:8" x14ac:dyDescent="0.15">
      <c r="A8" s="105"/>
      <c r="B8" s="138" t="e">
        <f>VLOOKUP(A8,[1]characters!$A:$C,3,FALSE)</f>
        <v>#N/A</v>
      </c>
      <c r="C8" s="105" t="s">
        <v>199</v>
      </c>
      <c r="D8" s="138" t="str">
        <f>A8&amp;C8</f>
        <v>cskill</v>
      </c>
      <c r="E8" s="138" t="str">
        <f>A8&amp;+(COUNTIF(A8:A$100,A8)-1)</f>
        <v>-1</v>
      </c>
      <c r="F8" s="105" t="s">
        <v>187</v>
      </c>
      <c r="G8" s="162" t="s">
        <v>316</v>
      </c>
      <c r="H8" s="162" t="s">
        <v>324</v>
      </c>
    </row>
    <row r="9" spans="1:8" x14ac:dyDescent="0.15">
      <c r="A9" s="105"/>
      <c r="B9" s="138" t="e">
        <f>VLOOKUP(A9,[1]characters!$A:$C,3,FALSE)</f>
        <v>#N/A</v>
      </c>
      <c r="C9" s="105" t="s">
        <v>199</v>
      </c>
      <c r="D9" s="138" t="str">
        <f>A9&amp;C9</f>
        <v>cskill</v>
      </c>
      <c r="E9" s="138" t="str">
        <f>A9&amp;+(COUNTIF(A9:A$100,A9)-1)</f>
        <v>-1</v>
      </c>
      <c r="F9" s="105" t="s">
        <v>187</v>
      </c>
      <c r="G9" s="162" t="s">
        <v>316</v>
      </c>
      <c r="H9" s="162" t="s">
        <v>325</v>
      </c>
    </row>
    <row r="10" spans="1:8" x14ac:dyDescent="0.15">
      <c r="A10" s="105"/>
      <c r="B10" s="138" t="e">
        <f>VLOOKUP(A10,[1]characters!$A:$C,3,FALSE)</f>
        <v>#N/A</v>
      </c>
      <c r="C10" s="105" t="s">
        <v>199</v>
      </c>
      <c r="D10" s="138" t="str">
        <f>A10&amp;C10</f>
        <v>cskill</v>
      </c>
      <c r="E10" s="138" t="str">
        <f>A10&amp;+(COUNTIF(A10:A$100,A10)-1)</f>
        <v>-1</v>
      </c>
      <c r="F10" s="105" t="s">
        <v>187</v>
      </c>
      <c r="G10" s="162" t="s">
        <v>197</v>
      </c>
      <c r="H10" s="162" t="s">
        <v>336</v>
      </c>
    </row>
  </sheetData>
  <phoneticPr fontId="22"/>
  <dataValidations count="2">
    <dataValidation type="list" allowBlank="1" showInputMessage="1" showErrorMessage="1" sqref="G2:G10">
      <formula1>"maru,giza,kumo"</formula1>
    </dataValidation>
    <dataValidation type="list" allowBlank="1" showInputMessage="1" showErrorMessage="1" sqref="C2:C10">
      <formula1>"skill,cskill"</formula1>
    </dataValidation>
  </dataValidations>
  <pageMargins left="0.7" right="0.7" top="0.75" bottom="0.75" header="0.3" footer="0.3"/>
  <pageSetup paperSize="9"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enableFormatConditionsCalculation="0">
    <tabColor rgb="FFFF0000"/>
    <outlinePr summaryBelow="0" summaryRight="0"/>
  </sheetPr>
  <dimension ref="A1:U2"/>
  <sheetViews>
    <sheetView showGridLines="0" workbookViewId="0">
      <pane xSplit="9" ySplit="1" topLeftCell="Q2" activePane="bottomRight" state="frozen"/>
      <selection pane="topRight" activeCell="J1" sqref="J1"/>
      <selection pane="bottomLeft" activeCell="A3" sqref="A3"/>
      <selection pane="bottomRight" activeCell="Q2" sqref="Q2"/>
    </sheetView>
  </sheetViews>
  <sheetFormatPr baseColWidth="12" defaultColWidth="8.83203125" defaultRowHeight="21" customHeight="1" outlineLevelCol="1" x14ac:dyDescent="0.15"/>
  <cols>
    <col min="1" max="1" width="12.83203125" style="11" customWidth="1"/>
    <col min="2" max="2" width="21.5" style="12" bestFit="1" customWidth="1" collapsed="1"/>
    <col min="3" max="3" width="23.6640625" style="12" hidden="1" customWidth="1" outlineLevel="1"/>
    <col min="4" max="4" width="8.6640625" style="12" hidden="1" customWidth="1" outlineLevel="1"/>
    <col min="5" max="5" width="8" style="12" hidden="1" customWidth="1" outlineLevel="1"/>
    <col min="6" max="6" width="7.1640625" style="12" hidden="1" customWidth="1" outlineLevel="1"/>
    <col min="7" max="7" width="9.6640625" style="12" bestFit="1" customWidth="1"/>
    <col min="8" max="8" width="13.6640625" style="12" bestFit="1" customWidth="1"/>
    <col min="9" max="9" width="10.5" style="12" bestFit="1" customWidth="1" collapsed="1"/>
    <col min="10" max="10" width="22" style="12" hidden="1" customWidth="1" outlineLevel="1"/>
    <col min="11" max="11" width="14.1640625" style="12" hidden="1" customWidth="1" outlineLevel="1"/>
    <col min="12" max="12" width="12.33203125" style="12" hidden="1" customWidth="1" outlineLevel="1"/>
    <col min="13" max="15" width="13.6640625" style="12" hidden="1" customWidth="1" outlineLevel="1"/>
    <col min="16" max="16" width="15.1640625" style="12" customWidth="1"/>
    <col min="17" max="17" width="20.1640625" style="11" bestFit="1" customWidth="1"/>
    <col min="18" max="18" width="18.83203125" style="12" bestFit="1" customWidth="1"/>
    <col min="19" max="20" width="18.83203125" style="12" customWidth="1"/>
    <col min="21" max="21" width="15.1640625" style="12" customWidth="1"/>
    <col min="22" max="16384" width="8.83203125" style="11"/>
  </cols>
  <sheetData>
    <row r="1" spans="1:21" ht="21" customHeight="1" x14ac:dyDescent="0.15">
      <c r="A1" s="77" t="s">
        <v>276</v>
      </c>
      <c r="B1" s="91" t="s">
        <v>277</v>
      </c>
      <c r="C1" s="82" t="s">
        <v>278</v>
      </c>
      <c r="D1" s="82" t="s">
        <v>279</v>
      </c>
      <c r="E1" s="82" t="s">
        <v>280</v>
      </c>
      <c r="F1" s="82" t="s">
        <v>281</v>
      </c>
      <c r="G1" s="82" t="s">
        <v>1</v>
      </c>
      <c r="H1" s="175" t="s">
        <v>19</v>
      </c>
      <c r="I1" s="82" t="s">
        <v>0</v>
      </c>
      <c r="J1" s="81" t="s">
        <v>282</v>
      </c>
      <c r="K1" s="82" t="s">
        <v>277</v>
      </c>
      <c r="L1" s="83" t="s">
        <v>49</v>
      </c>
      <c r="M1" s="83" t="s">
        <v>48</v>
      </c>
      <c r="N1" s="83" t="s">
        <v>283</v>
      </c>
      <c r="O1" s="83" t="s">
        <v>284</v>
      </c>
      <c r="P1" s="88" t="s">
        <v>285</v>
      </c>
      <c r="Q1" s="87" t="s">
        <v>286</v>
      </c>
      <c r="R1" s="76" t="s">
        <v>277</v>
      </c>
      <c r="S1" s="88" t="s">
        <v>287</v>
      </c>
      <c r="T1" s="76" t="s">
        <v>277</v>
      </c>
      <c r="U1" s="88" t="s">
        <v>288</v>
      </c>
    </row>
    <row r="2" spans="1:21" ht="21" customHeight="1" x14ac:dyDescent="0.15">
      <c r="A2" s="191" t="s">
        <v>327</v>
      </c>
      <c r="B2" s="53" t="e">
        <f ca="1">VLOOKUP($A2,OFFSET([1]characters!$A$1,0,0,COUNTA([1]characters!$A:$A),MATCH(B$1,[1]characters!$1:$1,0)-MATCH($A$1,[1]characters!$1:$1,0)+1),MATCH(B$1,[1]characters!$1:$1,0)-MATCH($A$1,[1]characters!$1:$1,0)+1,FALSE)</f>
        <v>#N/A</v>
      </c>
      <c r="C2" s="53" t="e">
        <f ca="1">VLOOKUP($A2,OFFSET([1]characters!$A$1,0,0,COUNTA([1]characters!$A:$A),MATCH(C$1,[1]characters!$1:$1,0)-MATCH($A$1,[1]characters!$1:$1,0)+1),MATCH(C$1,[1]characters!$1:$1,0)-MATCH($A$1,[1]characters!$1:$1,0)+1,FALSE)</f>
        <v>#N/A</v>
      </c>
      <c r="D2" s="53" t="e">
        <f ca="1">VLOOKUP($A2,OFFSET([1]characters!$A$1,0,0,COUNTA([1]characters!$A:$A),MATCH(D$1,[1]characters!$1:$1,0)-MATCH($A$1,[1]characters!$1:$1,0)+1),MATCH(D$1,[1]characters!$1:$1,0)-MATCH($A$1,[1]characters!$1:$1,0)+1,FALSE)</f>
        <v>#N/A</v>
      </c>
      <c r="E2" s="53" t="e">
        <f ca="1">VLOOKUP($A2,OFFSET([1]characters!$A$1,0,0,COUNTA([1]characters!$A:$A),MATCH(E$1,[1]characters!$1:$1,0)-MATCH($A$1,[1]characters!$1:$1,0)+1),MATCH(E$1,[1]characters!$1:$1,0)-MATCH($A$1,[1]characters!$1:$1,0)+1,FALSE)</f>
        <v>#N/A</v>
      </c>
      <c r="F2" s="53" t="e">
        <f ca="1">VLOOKUP($A2,OFFSET([1]characters!$A$1,0,0,COUNTA([1]characters!$A:$A),MATCH(F$1,[1]characters!$1:$1,0)-MATCH($A$1,[1]characters!$1:$1,0)+1),MATCH(F$1,[1]characters!$1:$1,0)-MATCH($A$1,[1]characters!$1:$1,0)+1,FALSE)</f>
        <v>#N/A</v>
      </c>
      <c r="G2" s="53" t="e">
        <f ca="1">VLOOKUP($A2,OFFSET([1]characters!$A$1,0,0,COUNTA([1]characters!$A:$A),MATCH(G$1,[1]characters!$1:$1,0)-MATCH($A$1,[1]characters!$1:$1,0)+1),MATCH(G$1,[1]characters!$1:$1,0)-MATCH($A$1,[1]characters!$1:$1,0)+1,FALSE)</f>
        <v>#N/A</v>
      </c>
      <c r="H2" s="53" t="e">
        <f ca="1">VLOOKUP($A2,OFFSET([1]characters!$A$1,0,0,COUNTA([1]characters!$A:$A),MATCH(H$1,[1]characters!$1:$1,0)-MATCH($A$1,[1]characters!$1:$1,0)+1),MATCH(H$1,[1]characters!$1:$1,0)-MATCH($A$1,[1]characters!$1:$1,0)+1,FALSE)</f>
        <v>#N/A</v>
      </c>
      <c r="I2" s="53" t="e">
        <f ca="1">VLOOKUP($A2,OFFSET([1]characters!$A$1,0,0,COUNTA([1]characters!$A:$A),MATCH(I$1,[1]characters!$1:$1,0)-MATCH($A$1,[1]characters!$1:$1,0)+1),MATCH(I$1,[1]characters!$1:$1,0)-MATCH($A$1,[1]characters!$1:$1,0)+1,FALSE)</f>
        <v>#N/A</v>
      </c>
      <c r="J2" s="53" t="e">
        <f ca="1">VLOOKUP($A2,OFFSET([1]characters!$A$1,0,0,COUNTA([1]characters!$A:$A),MATCH(J$1,[1]characters!$1:$1,0)-MATCH($A$1,[1]characters!$1:$1,0)+1),MATCH(J$1,[1]characters!$1:$1,0)-MATCH($A$1,[1]characters!$1:$1,0)+1,FALSE)</f>
        <v>#N/A</v>
      </c>
      <c r="K2" s="5" t="e">
        <f ca="1">VLOOKUP(J2,[1]character_tribe_i18n!$A:$H,3,FALSE)</f>
        <v>#N/A</v>
      </c>
      <c r="L2" s="10" t="e">
        <f>VLOOKUP(#REF!,[1]character_tribe_i18n!$A:$H,4,FALSE)</f>
        <v>#REF!</v>
      </c>
      <c r="M2" s="10" t="e">
        <f>VLOOKUP(#REF!,[1]character_tribe_i18n!$A:$H,5,FALSE)</f>
        <v>#REF!</v>
      </c>
      <c r="N2" s="10" t="e">
        <f>VLOOKUP(#REF!,[1]character_tribe_i18n!$A:$H,6,FALSE)</f>
        <v>#REF!</v>
      </c>
      <c r="O2" s="10" t="e">
        <f>VLOOKUP(#REF!,[1]character_tribe_i18n!$A:$H,7,FALSE)</f>
        <v>#REF!</v>
      </c>
      <c r="P2" s="176" t="str">
        <f>VLOOKUP(Q2,[1]characters!$A:$AC,20)</f>
        <v>awaketype</v>
      </c>
      <c r="Q2" s="187" t="s">
        <v>328</v>
      </c>
      <c r="R2" s="58" t="e">
        <f ca="1">IF(Q2="NULL","",VLOOKUP($Q2,OFFSET([1]characters!$A$1,0,0,COUNTA([1]characters!$A:$A),MATCH(R$1,[1]characters!$1:$1,0)-MATCH($A$1,[1]characters!$1:$1,0)+1),MATCH(R$1,[1]characters!$1:$1,0)-MATCH($A$1,[1]characters!$1:$1,0)+1,FALSE))</f>
        <v>#N/A</v>
      </c>
      <c r="S2" s="5" t="str">
        <f ca="1">IF(ISNA(MATCH(A2,Q:Q,0)),A2,INDIRECT(ADDRESS(MATCH(A2,Q:Q,0),COLUMN())))</f>
        <v>覚醒があるユニットのみID入れる</v>
      </c>
      <c r="T2" s="58" t="e">
        <f ca="1">VLOOKUP($S2,OFFSET([1]characters!$A$1,0,0,COUNTA([1]characters!$A:$A),MATCH(T$1,[1]characters!$1:$1,0)-MATCH($A$1,[1]characters!$1:$1,0)+1),MATCH(T$1,[1]characters!$1:$1,0)-MATCH($A$1,[1]characters!$1:$1,0)+1,FALSE)</f>
        <v>#N/A</v>
      </c>
      <c r="U2" s="10" t="e">
        <f ca="1">IF(Q2="NULL","NULL",VLOOKUP(G2,[3]ビット!$A$2:$B$7,2))</f>
        <v>#N/A</v>
      </c>
    </row>
  </sheetData>
  <autoFilter ref="A1:U2"/>
  <phoneticPr fontId="22"/>
  <conditionalFormatting sqref="W1:W1048576">
    <cfRule type="cellIs" dxfId="24" priority="6" operator="equal">
      <formula>"FALSE"</formula>
    </cfRule>
  </conditionalFormatting>
  <pageMargins left="0.75" right="0.75" top="1" bottom="1" header="0.3" footer="0.3"/>
  <pageSetup paperSize="9" orientation="portrait" horizontalDpi="4294967292" verticalDpi="429496729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tabColor indexed="12"/>
  </sheetPr>
  <dimension ref="A1:N5"/>
  <sheetViews>
    <sheetView showGridLines="0" topLeftCell="H1" workbookViewId="0">
      <pane ySplit="1" topLeftCell="A2" activePane="bottomLeft" state="frozen"/>
      <selection pane="bottomLeft" activeCell="H17" sqref="H17"/>
    </sheetView>
  </sheetViews>
  <sheetFormatPr baseColWidth="12" defaultColWidth="13" defaultRowHeight="15" x14ac:dyDescent="0.15"/>
  <cols>
    <col min="1" max="1" width="11.5" style="61" bestFit="1" customWidth="1"/>
    <col min="2" max="2" width="19.1640625" style="3" bestFit="1" customWidth="1"/>
    <col min="3" max="3" width="19.1640625" style="3" customWidth="1"/>
    <col min="4" max="4" width="22.83203125" style="2" bestFit="1" customWidth="1"/>
    <col min="5" max="5" width="9.6640625" style="2" bestFit="1" customWidth="1"/>
    <col min="6" max="6" width="13.6640625" style="2" bestFit="1" customWidth="1"/>
    <col min="7" max="7" width="19.1640625" style="3" customWidth="1"/>
    <col min="8" max="8" width="22.83203125" style="2" bestFit="1" customWidth="1"/>
    <col min="9" max="9" width="21.33203125" style="2" bestFit="1" customWidth="1"/>
    <col min="10" max="10" width="13.5" style="2" bestFit="1" customWidth="1"/>
    <col min="11" max="11" width="17" style="1" bestFit="1" customWidth="1"/>
    <col min="12" max="16384" width="13" style="2"/>
  </cols>
  <sheetData>
    <row r="1" spans="1:14" ht="21" customHeight="1" x14ac:dyDescent="0.15">
      <c r="A1" s="61" t="s">
        <v>99</v>
      </c>
      <c r="B1" s="39" t="s">
        <v>38</v>
      </c>
      <c r="C1" s="177" t="s">
        <v>289</v>
      </c>
      <c r="D1" s="18" t="s">
        <v>40</v>
      </c>
      <c r="E1" s="18" t="s">
        <v>42</v>
      </c>
      <c r="F1" s="18" t="s">
        <v>43</v>
      </c>
      <c r="G1" s="177" t="s">
        <v>290</v>
      </c>
      <c r="H1" s="18" t="s">
        <v>40</v>
      </c>
      <c r="I1" s="40" t="s">
        <v>36</v>
      </c>
      <c r="J1" s="18" t="s">
        <v>41</v>
      </c>
      <c r="K1" s="17" t="s">
        <v>37</v>
      </c>
      <c r="L1" s="179" t="s">
        <v>127</v>
      </c>
      <c r="M1" s="180" t="s">
        <v>292</v>
      </c>
    </row>
    <row r="2" spans="1:14" ht="21" customHeight="1" x14ac:dyDescent="0.15">
      <c r="A2" s="61" t="str">
        <f>B2&amp;"_"&amp;I2</f>
        <v>覚醒ベースユニットのID_素材のID</v>
      </c>
      <c r="B2" s="195" t="s">
        <v>329</v>
      </c>
      <c r="C2" s="178" t="str">
        <f>B2</f>
        <v>覚醒ベースユニットのID</v>
      </c>
      <c r="D2" s="53" t="e">
        <f ca="1">VLOOKUP($C2,OFFSET([1]characters!$A$1,0,0,COUNTA([1]characters!$A:$A),MATCH(D$1,[1]characters!$1:$1,0)-MATCH($C$1,[1]characters!$1:$1,0)+1),MATCH(D$1,[1]characters!$1:$1,0)-MATCH($C$1,[1]characters!$1:$1,0)+1,FALSE)</f>
        <v>#N/A</v>
      </c>
      <c r="E2" s="53" t="e">
        <f ca="1">VLOOKUP($C2,OFFSET([1]characters!$A$1,0,0,COUNTA([1]characters!$A:$A),MATCH(E$1,[1]characters!$1:$1,0)-MATCH($C$1,[1]characters!$1:$1,0)+1),MATCH(E$1,[1]characters!$1:$1,0)-MATCH($C$1,[1]characters!$1:$1,0)+1,FALSE)</f>
        <v>#N/A</v>
      </c>
      <c r="F2" s="53" t="e">
        <f ca="1">VLOOKUP($C2,OFFSET([1]characters!$A$1,0,0,COUNTA([1]characters!$A:$A),MATCH(F$1,[1]characters!$1:$1,0)-MATCH($C$1,[1]characters!$1:$1,0)+1),MATCH(F$1,[1]characters!$1:$1,0)-MATCH($C$1,[1]characters!$1:$1,0)+1,FALSE)</f>
        <v>#N/A</v>
      </c>
      <c r="G2" s="195" t="s">
        <v>330</v>
      </c>
      <c r="H2" s="53" t="e">
        <f ca="1">VLOOKUP($G2,OFFSET([1]characters!$A$1,0,0,COUNTA([1]characters!$A:$A),MATCH(H$1,[1]characters!$1:$1,0)-MATCH($C$1,[1]characters!$1:$1,0)+1),MATCH(H$1,[1]characters!$1:$1,0)-MATCH($C$1,[1]characters!$1:$1,0)+1,FALSE)</f>
        <v>#N/A</v>
      </c>
      <c r="I2" s="194" t="s">
        <v>331</v>
      </c>
      <c r="J2" s="53" t="e">
        <f ca="1">VLOOKUP($I2,OFFSET([1]characters!$A$1,0,0,COUNTA([1]characters!$A:$A),MATCH(J$1,[1]characters!$1:$1,0)-MATCH($C$1,[1]characters!$1:$1,0)+1),MATCH(J$1,[1]characters!$1:$1,0)-MATCH($C$1,[1]characters!$1:$1,0)+1,FALSE)</f>
        <v>#N/A</v>
      </c>
      <c r="K2" s="192" t="s">
        <v>334</v>
      </c>
      <c r="L2" s="193" t="s">
        <v>333</v>
      </c>
      <c r="M2" s="193" t="s">
        <v>332</v>
      </c>
      <c r="N2" s="2" t="s">
        <v>291</v>
      </c>
    </row>
    <row r="3" spans="1:14" ht="21" customHeight="1" x14ac:dyDescent="0.15">
      <c r="A3" s="61" t="str">
        <f>B3&amp;"_"&amp;I3</f>
        <v>覚醒ベースユニットのID_素材のID</v>
      </c>
      <c r="B3" s="195" t="s">
        <v>329</v>
      </c>
      <c r="C3" s="178" t="str">
        <f>B3</f>
        <v>覚醒ベースユニットのID</v>
      </c>
      <c r="D3" s="53" t="e">
        <f ca="1">VLOOKUP($C3,OFFSET([1]characters!$A$1,0,0,COUNTA([1]characters!$A:$A),MATCH(D$1,[1]characters!$1:$1,0)-MATCH($C$1,[1]characters!$1:$1,0)+1),MATCH(D$1,[1]characters!$1:$1,0)-MATCH($C$1,[1]characters!$1:$1,0)+1,FALSE)</f>
        <v>#N/A</v>
      </c>
      <c r="E3" s="53" t="e">
        <f ca="1">VLOOKUP($C3,OFFSET([1]characters!$A$1,0,0,COUNTA([1]characters!$A:$A),MATCH(E$1,[1]characters!$1:$1,0)-MATCH($C$1,[1]characters!$1:$1,0)+1),MATCH(E$1,[1]characters!$1:$1,0)-MATCH($C$1,[1]characters!$1:$1,0)+1,FALSE)</f>
        <v>#N/A</v>
      </c>
      <c r="F3" s="53" t="e">
        <f ca="1">VLOOKUP($C3,OFFSET([1]characters!$A$1,0,0,COUNTA([1]characters!$A:$A),MATCH(F$1,[1]characters!$1:$1,0)-MATCH($C$1,[1]characters!$1:$1,0)+1),MATCH(F$1,[1]characters!$1:$1,0)-MATCH($C$1,[1]characters!$1:$1,0)+1,FALSE)</f>
        <v>#N/A</v>
      </c>
      <c r="G3" s="195" t="s">
        <v>330</v>
      </c>
      <c r="H3" s="53" t="e">
        <f ca="1">VLOOKUP($G3,OFFSET([1]characters!$A$1,0,0,COUNTA([1]characters!$A:$A),MATCH(H$1,[1]characters!$1:$1,0)-MATCH($C$1,[1]characters!$1:$1,0)+1),MATCH(H$1,[1]characters!$1:$1,0)-MATCH($C$1,[1]characters!$1:$1,0)+1,FALSE)</f>
        <v>#N/A</v>
      </c>
      <c r="I3" s="194" t="s">
        <v>331</v>
      </c>
      <c r="J3" s="53" t="e">
        <f ca="1">VLOOKUP($I3,OFFSET([1]characters!$A$1,0,0,COUNTA([1]characters!$A:$A),MATCH(J$1,[1]characters!$1:$1,0)-MATCH($C$1,[1]characters!$1:$1,0)+1),MATCH(J$1,[1]characters!$1:$1,0)-MATCH($C$1,[1]characters!$1:$1,0)+1,FALSE)</f>
        <v>#N/A</v>
      </c>
      <c r="K3" s="192" t="s">
        <v>334</v>
      </c>
      <c r="L3" s="193" t="s">
        <v>333</v>
      </c>
      <c r="M3" s="193" t="s">
        <v>332</v>
      </c>
      <c r="N3" s="2" t="s">
        <v>291</v>
      </c>
    </row>
    <row r="4" spans="1:14" ht="21" customHeight="1" x14ac:dyDescent="0.15">
      <c r="A4" s="61" t="str">
        <f>B4&amp;"_"&amp;I4</f>
        <v>覚醒ベースユニットのID_素材のID</v>
      </c>
      <c r="B4" s="195" t="s">
        <v>329</v>
      </c>
      <c r="C4" s="178" t="str">
        <f>B4</f>
        <v>覚醒ベースユニットのID</v>
      </c>
      <c r="D4" s="53" t="e">
        <f ca="1">VLOOKUP($C4,OFFSET([1]characters!$A$1,0,0,COUNTA([1]characters!$A:$A),MATCH(D$1,[1]characters!$1:$1,0)-MATCH($C$1,[1]characters!$1:$1,0)+1),MATCH(D$1,[1]characters!$1:$1,0)-MATCH($C$1,[1]characters!$1:$1,0)+1,FALSE)</f>
        <v>#N/A</v>
      </c>
      <c r="E4" s="53" t="e">
        <f ca="1">VLOOKUP($C4,OFFSET([1]characters!$A$1,0,0,COUNTA([1]characters!$A:$A),MATCH(E$1,[1]characters!$1:$1,0)-MATCH($C$1,[1]characters!$1:$1,0)+1),MATCH(E$1,[1]characters!$1:$1,0)-MATCH($C$1,[1]characters!$1:$1,0)+1,FALSE)</f>
        <v>#N/A</v>
      </c>
      <c r="F4" s="53" t="e">
        <f ca="1">VLOOKUP($C4,OFFSET([1]characters!$A$1,0,0,COUNTA([1]characters!$A:$A),MATCH(F$1,[1]characters!$1:$1,0)-MATCH($C$1,[1]characters!$1:$1,0)+1),MATCH(F$1,[1]characters!$1:$1,0)-MATCH($C$1,[1]characters!$1:$1,0)+1,FALSE)</f>
        <v>#N/A</v>
      </c>
      <c r="G4" s="195" t="s">
        <v>330</v>
      </c>
      <c r="H4" s="53" t="e">
        <f ca="1">VLOOKUP($G4,OFFSET([1]characters!$A$1,0,0,COUNTA([1]characters!$A:$A),MATCH(H$1,[1]characters!$1:$1,0)-MATCH($C$1,[1]characters!$1:$1,0)+1),MATCH(H$1,[1]characters!$1:$1,0)-MATCH($C$1,[1]characters!$1:$1,0)+1,FALSE)</f>
        <v>#N/A</v>
      </c>
      <c r="I4" s="194" t="s">
        <v>331</v>
      </c>
      <c r="J4" s="53" t="e">
        <f ca="1">VLOOKUP($I4,OFFSET([1]characters!$A$1,0,0,COUNTA([1]characters!$A:$A),MATCH(J$1,[1]characters!$1:$1,0)-MATCH($C$1,[1]characters!$1:$1,0)+1),MATCH(J$1,[1]characters!$1:$1,0)-MATCH($C$1,[1]characters!$1:$1,0)+1,FALSE)</f>
        <v>#N/A</v>
      </c>
      <c r="K4" s="192" t="s">
        <v>334</v>
      </c>
      <c r="L4" s="193" t="s">
        <v>333</v>
      </c>
      <c r="M4" s="193" t="s">
        <v>332</v>
      </c>
      <c r="N4" s="2" t="s">
        <v>291</v>
      </c>
    </row>
    <row r="5" spans="1:14" ht="21" customHeight="1" x14ac:dyDescent="0.15">
      <c r="A5" s="61" t="str">
        <f>B5&amp;"_"&amp;I5</f>
        <v>覚醒ベースユニットのID_素材のID</v>
      </c>
      <c r="B5" s="195" t="s">
        <v>329</v>
      </c>
      <c r="C5" s="178" t="str">
        <f>B5</f>
        <v>覚醒ベースユニットのID</v>
      </c>
      <c r="D5" s="53" t="e">
        <f ca="1">VLOOKUP($C5,OFFSET([1]characters!$A$1,0,0,COUNTA([1]characters!$A:$A),MATCH(D$1,[1]characters!$1:$1,0)-MATCH($C$1,[1]characters!$1:$1,0)+1),MATCH(D$1,[1]characters!$1:$1,0)-MATCH($C$1,[1]characters!$1:$1,0)+1,FALSE)</f>
        <v>#N/A</v>
      </c>
      <c r="E5" s="53" t="e">
        <f ca="1">VLOOKUP($C5,OFFSET([1]characters!$A$1,0,0,COUNTA([1]characters!$A:$A),MATCH(E$1,[1]characters!$1:$1,0)-MATCH($C$1,[1]characters!$1:$1,0)+1),MATCH(E$1,[1]characters!$1:$1,0)-MATCH($C$1,[1]characters!$1:$1,0)+1,FALSE)</f>
        <v>#N/A</v>
      </c>
      <c r="F5" s="53" t="e">
        <f ca="1">VLOOKUP($C5,OFFSET([1]characters!$A$1,0,0,COUNTA([1]characters!$A:$A),MATCH(F$1,[1]characters!$1:$1,0)-MATCH($C$1,[1]characters!$1:$1,0)+1),MATCH(F$1,[1]characters!$1:$1,0)-MATCH($C$1,[1]characters!$1:$1,0)+1,FALSE)</f>
        <v>#N/A</v>
      </c>
      <c r="G5" s="195" t="s">
        <v>330</v>
      </c>
      <c r="H5" s="53" t="e">
        <f ca="1">VLOOKUP($G5,OFFSET([1]characters!$A$1,0,0,COUNTA([1]characters!$A:$A),MATCH(H$1,[1]characters!$1:$1,0)-MATCH($C$1,[1]characters!$1:$1,0)+1),MATCH(H$1,[1]characters!$1:$1,0)-MATCH($C$1,[1]characters!$1:$1,0)+1,FALSE)</f>
        <v>#N/A</v>
      </c>
      <c r="I5" s="194" t="s">
        <v>331</v>
      </c>
      <c r="J5" s="53" t="e">
        <f ca="1">VLOOKUP($I5,OFFSET([1]characters!$A$1,0,0,COUNTA([1]characters!$A:$A),MATCH(J$1,[1]characters!$1:$1,0)-MATCH($C$1,[1]characters!$1:$1,0)+1),MATCH(J$1,[1]characters!$1:$1,0)-MATCH($C$1,[1]characters!$1:$1,0)+1,FALSE)</f>
        <v>#N/A</v>
      </c>
      <c r="K5" s="192" t="s">
        <v>334</v>
      </c>
      <c r="L5" s="193" t="s">
        <v>333</v>
      </c>
      <c r="M5" s="193" t="s">
        <v>332</v>
      </c>
      <c r="N5" s="2" t="s">
        <v>291</v>
      </c>
    </row>
  </sheetData>
  <sheetProtection selectLockedCells="1" selectUnlockedCells="1"/>
  <autoFilter ref="B1:K1"/>
  <phoneticPr fontId="9"/>
  <pageMargins left="0.75" right="0.75" top="1" bottom="1" header="0.51180555555555551" footer="0.51180555555555551"/>
  <pageSetup paperSize="9" firstPageNumber="0"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rgb="FF293173"/>
  </sheetPr>
  <dimension ref="A1:J1"/>
  <sheetViews>
    <sheetView workbookViewId="0">
      <selection activeCell="D18" activeCellId="1" sqref="A2:XFD2 D18"/>
    </sheetView>
  </sheetViews>
  <sheetFormatPr baseColWidth="12" defaultRowHeight="15" x14ac:dyDescent="0.15"/>
  <cols>
    <col min="3" max="3" width="16.5" customWidth="1"/>
    <col min="4" max="4" width="43.6640625" customWidth="1"/>
    <col min="5" max="5" width="10.1640625" customWidth="1"/>
    <col min="6" max="6" width="18" customWidth="1"/>
    <col min="7" max="7" width="66.5" customWidth="1"/>
    <col min="8" max="8" width="11.6640625" customWidth="1"/>
    <col min="9" max="9" width="116.5" hidden="1" customWidth="1"/>
  </cols>
  <sheetData>
    <row r="1" spans="1:10" s="21" customFormat="1" ht="21" customHeight="1" x14ac:dyDescent="0.15">
      <c r="A1" s="167" t="s">
        <v>303</v>
      </c>
      <c r="B1" s="115" t="s">
        <v>304</v>
      </c>
      <c r="C1" s="116" t="s">
        <v>305</v>
      </c>
      <c r="D1" s="117" t="s">
        <v>306</v>
      </c>
      <c r="E1" s="117" t="s">
        <v>307</v>
      </c>
      <c r="F1" s="117" t="s">
        <v>308</v>
      </c>
      <c r="G1" s="117" t="s">
        <v>309</v>
      </c>
      <c r="H1" s="117" t="s">
        <v>310</v>
      </c>
      <c r="I1" s="173" t="s">
        <v>311</v>
      </c>
      <c r="J1" s="168" t="s">
        <v>312</v>
      </c>
    </row>
  </sheetData>
  <phoneticPr fontId="22"/>
  <pageMargins left="0.7" right="0.7" top="0.75" bottom="0.75" header="0.3" footer="0.3"/>
  <pageSetup paperSize="9"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tabColor rgb="FF293173"/>
  </sheetPr>
  <dimension ref="A1:H38"/>
  <sheetViews>
    <sheetView topLeftCell="A16" workbookViewId="0">
      <selection activeCell="B42" sqref="B42"/>
    </sheetView>
  </sheetViews>
  <sheetFormatPr baseColWidth="12" defaultRowHeight="15" x14ac:dyDescent="0.15"/>
  <cols>
    <col min="2" max="2" width="25.6640625" customWidth="1"/>
    <col min="5" max="5" width="22.6640625" customWidth="1"/>
    <col min="6" max="6" width="58.5" customWidth="1"/>
  </cols>
  <sheetData>
    <row r="1" spans="1:8" s="21" customFormat="1" ht="21" customHeight="1" x14ac:dyDescent="0.15">
      <c r="A1" s="167" t="s">
        <v>138</v>
      </c>
      <c r="B1" s="170" t="s">
        <v>268</v>
      </c>
      <c r="C1" s="115" t="s">
        <v>269</v>
      </c>
      <c r="D1" s="115" t="s">
        <v>270</v>
      </c>
      <c r="E1" s="171" t="s">
        <v>271</v>
      </c>
      <c r="F1" s="171" t="s">
        <v>272</v>
      </c>
      <c r="G1" s="118" t="s">
        <v>273</v>
      </c>
      <c r="H1" s="167" t="s">
        <v>274</v>
      </c>
    </row>
    <row r="2" spans="1:8" s="4" customFormat="1" ht="21" customHeight="1" x14ac:dyDescent="0.15">
      <c r="A2" s="169">
        <v>867</v>
      </c>
      <c r="B2" s="172" t="str">
        <f>VLOOKUP(A2,[1]characters!$A:$C,3)</f>
        <v>華麗なる作戦 白雪姫</v>
      </c>
      <c r="C2" s="196">
        <v>1</v>
      </c>
      <c r="D2" s="196">
        <v>200</v>
      </c>
      <c r="E2" s="173" t="str">
        <f>IF(ISERROR(VLOOKUP(D2,[4]abilities!A:D,3,FALSE))=FALSE,VLOOKUP(D2,[4]abilities!A:D,3),IF(ISERROR(VLOOKUP(D2,abilities!A:D,3,FALSE))=FALSE,VLOOKUP(D2,abilities!A:D,3),"なし"))</f>
        <v>ウィルス無効</v>
      </c>
      <c r="F2" s="173" t="str">
        <f>IF(ISERROR(VLOOKUP(D2,[4]abilities!A:D,4,FALSE))=FALSE,VLOOKUP(D2,[4]abilities!A:D,4),IF(ISERROR(VLOOKUP(D2,abilities!A:D,4,FALSE))=FALSE,VLOOKUP(D2,abilities!A:D,4),"なし"))</f>
        <v>自身にかかるウィルスを無効化する</v>
      </c>
      <c r="G2" s="174" t="s">
        <v>275</v>
      </c>
      <c r="H2" s="197" t="s">
        <v>361</v>
      </c>
    </row>
    <row r="3" spans="1:8" s="4" customFormat="1" ht="21" customHeight="1" x14ac:dyDescent="0.15">
      <c r="A3" s="169">
        <v>851</v>
      </c>
      <c r="B3" s="172" t="str">
        <f>VLOOKUP(A3,[1]characters!$A:$C,3)</f>
        <v>寡黙なる凶王 バアル</v>
      </c>
      <c r="C3" s="196">
        <v>1</v>
      </c>
      <c r="D3" s="196">
        <v>200</v>
      </c>
      <c r="E3" s="173" t="str">
        <f>IF(ISERROR(VLOOKUP(D3,[4]abilities!A:D,3,FALSE))=FALSE,VLOOKUP(D3,[4]abilities!A:D,3),IF(ISERROR(VLOOKUP(D3,abilities!A:D,3,FALSE))=FALSE,VLOOKUP(D3,abilities!A:D,3),"なし"))</f>
        <v>ウィルス無効</v>
      </c>
      <c r="F3" s="173" t="str">
        <f>IF(ISERROR(VLOOKUP(D3,[4]abilities!A:D,4,FALSE))=FALSE,VLOOKUP(D3,[4]abilities!A:D,4),IF(ISERROR(VLOOKUP(D3,abilities!A:D,4,FALSE))=FALSE,VLOOKUP(D3,abilities!A:D,4),"なし"))</f>
        <v>自身にかかるウィルスを無効化する</v>
      </c>
      <c r="G3" s="174" t="s">
        <v>275</v>
      </c>
      <c r="H3" s="197" t="s">
        <v>361</v>
      </c>
    </row>
    <row r="4" spans="1:8" s="4" customFormat="1" ht="21" customHeight="1" x14ac:dyDescent="0.15">
      <c r="A4" s="169">
        <v>851</v>
      </c>
      <c r="B4" s="172" t="str">
        <f>VLOOKUP(A4,[1]characters!$A:$C,3)</f>
        <v>寡黙なる凶王 バアル</v>
      </c>
      <c r="C4" s="196">
        <v>2</v>
      </c>
      <c r="D4" s="196">
        <v>9001</v>
      </c>
      <c r="E4" s="173" t="str">
        <f>IF(ISERROR(VLOOKUP(D4,[4]abilities!A:D,3,FALSE))=FALSE,VLOOKUP(D4,[4]abilities!A:D,3),IF(ISERROR(VLOOKUP(D4,abilities!A:D,3,FALSE))=FALSE,VLOOKUP(D4,abilities!A:D,3),"なし"))</f>
        <v>ハップルチャレンジ ダメージUP</v>
      </c>
      <c r="F4" s="173" t="str">
        <f>IF(ISERROR(VLOOKUP(D4,[4]abilities!A:D,4,FALSE))=FALSE,VLOOKUP(D4,[4]abilities!A:D,4),IF(ISERROR(VLOOKUP(D4,abilities!A:D,4,FALSE))=FALSE,VLOOKUP(D4,abilities!A:D,4),"なし"))</f>
        <v>ハップルチャレンジ内で自身の全ての攻撃の威力をUP</v>
      </c>
      <c r="G4" s="174" t="s">
        <v>275</v>
      </c>
      <c r="H4" s="197" t="s">
        <v>361</v>
      </c>
    </row>
    <row r="5" spans="1:8" s="4" customFormat="1" ht="21" customHeight="1" x14ac:dyDescent="0.15">
      <c r="A5" s="169">
        <v>849</v>
      </c>
      <c r="B5" s="172" t="str">
        <f>VLOOKUP(A5,[1]characters!$A:$C,3)</f>
        <v>燦然たる天使 メタトロン・ラヴァ</v>
      </c>
      <c r="C5" s="196">
        <v>1</v>
      </c>
      <c r="D5" s="196">
        <v>100</v>
      </c>
      <c r="E5" s="173" t="str">
        <f>IF(ISERROR(VLOOKUP(D5,[4]abilities!A:D,3,FALSE))=FALSE,VLOOKUP(D5,[4]abilities!A:D,3),IF(ISERROR(VLOOKUP(D5,abilities!A:D,3,FALSE))=FALSE,VLOOKUP(D5,abilities!A:D,3),"なし"))</f>
        <v>プロテクトブレイク</v>
      </c>
      <c r="F5" s="173" t="str">
        <f>IF(ISERROR(VLOOKUP(D5,[4]abilities!A:D,4,FALSE))=FALSE,VLOOKUP(D5,[4]abilities!A:D,4),IF(ISERROR(VLOOKUP(D5,abilities!A:D,4,FALSE))=FALSE,VLOOKUP(D5,abilities!A:D,4),"なし"))</f>
        <v>自身が先頭の時、プロテクトを無視してパネル破壊できる</v>
      </c>
      <c r="G5" s="174" t="s">
        <v>275</v>
      </c>
      <c r="H5" s="197" t="s">
        <v>361</v>
      </c>
    </row>
    <row r="6" spans="1:8" s="4" customFormat="1" ht="21" customHeight="1" x14ac:dyDescent="0.15">
      <c r="A6" s="169">
        <v>938</v>
      </c>
      <c r="B6" s="172" t="str">
        <f>VLOOKUP(A6,[1]characters!$A:$C,3)</f>
        <v>炎焔宿す革命皇 ナポレオン</v>
      </c>
      <c r="C6" s="196">
        <v>1</v>
      </c>
      <c r="D6" s="196">
        <v>100</v>
      </c>
      <c r="E6" s="173" t="str">
        <f>IF(ISERROR(VLOOKUP(D6,[4]abilities!A:D,3,FALSE))=FALSE,VLOOKUP(D6,[4]abilities!A:D,3),IF(ISERROR(VLOOKUP(D6,abilities!A:D,3,FALSE))=FALSE,VLOOKUP(D6,abilities!A:D,3),"なし"))</f>
        <v>プロテクトブレイク</v>
      </c>
      <c r="F6" s="173" t="str">
        <f>IF(ISERROR(VLOOKUP(D6,[4]abilities!A:D,4,FALSE))=FALSE,VLOOKUP(D6,[4]abilities!A:D,4),IF(ISERROR(VLOOKUP(D6,abilities!A:D,4,FALSE))=FALSE,VLOOKUP(D6,abilities!A:D,4),"なし"))</f>
        <v>自身が先頭の時、プロテクトを無視してパネル破壊できる</v>
      </c>
      <c r="G6" s="174" t="s">
        <v>275</v>
      </c>
      <c r="H6" s="197" t="s">
        <v>361</v>
      </c>
    </row>
    <row r="7" spans="1:8" s="4" customFormat="1" ht="21" customHeight="1" x14ac:dyDescent="0.15">
      <c r="A7" s="169">
        <v>743</v>
      </c>
      <c r="B7" s="172" t="str">
        <f>VLOOKUP(A7,[1]characters!$A:$C,3)</f>
        <v>弩級の洸源 アポロン</v>
      </c>
      <c r="C7" s="196">
        <v>1</v>
      </c>
      <c r="D7" s="196">
        <v>109</v>
      </c>
      <c r="E7" s="173" t="str">
        <f>IF(ISERROR(VLOOKUP(D7,[4]abilities!A:D,3,FALSE))=FALSE,VLOOKUP(D7,[4]abilities!A:D,3),IF(ISERROR(VLOOKUP(D7,abilities!A:D,3,FALSE))=FALSE,VLOOKUP(D7,abilities!A:D,3),"なし"))</f>
        <v>ダメージパネルブレイク</v>
      </c>
      <c r="F7" s="173" t="str">
        <f>IF(ISERROR(VLOOKUP(D7,[4]abilities!A:D,4,FALSE))=FALSE,VLOOKUP(D7,[4]abilities!A:D,4),IF(ISERROR(VLOOKUP(D7,abilities!A:D,4,FALSE))=FALSE,VLOOKUP(D7,abilities!A:D,4),"なし"))</f>
        <v>自身が先頭の時、ダメージを受けずにダメージパネルを破壊できる</v>
      </c>
      <c r="G7" s="174" t="s">
        <v>275</v>
      </c>
      <c r="H7" s="197" t="s">
        <v>361</v>
      </c>
    </row>
    <row r="8" spans="1:8" s="4" customFormat="1" ht="21" customHeight="1" x14ac:dyDescent="0.15">
      <c r="A8" s="169">
        <v>733</v>
      </c>
      <c r="B8" s="172" t="str">
        <f>VLOOKUP(A8,[1]characters!$A:$C,3)</f>
        <v>夢幻の千刃 上杉謙信</v>
      </c>
      <c r="C8" s="196">
        <v>1</v>
      </c>
      <c r="D8" s="196">
        <v>100</v>
      </c>
      <c r="E8" s="173" t="str">
        <f>IF(ISERROR(VLOOKUP(D8,[4]abilities!A:D,3,FALSE))=FALSE,VLOOKUP(D8,[4]abilities!A:D,3),IF(ISERROR(VLOOKUP(D8,abilities!A:D,3,FALSE))=FALSE,VLOOKUP(D8,abilities!A:D,3),"なし"))</f>
        <v>プロテクトブレイク</v>
      </c>
      <c r="F8" s="173" t="str">
        <f>IF(ISERROR(VLOOKUP(D8,[4]abilities!A:D,4,FALSE))=FALSE,VLOOKUP(D8,[4]abilities!A:D,4),IF(ISERROR(VLOOKUP(D8,abilities!A:D,4,FALSE))=FALSE,VLOOKUP(D8,abilities!A:D,4),"なし"))</f>
        <v>自身が先頭の時、プロテクトを無視してパネル破壊できる</v>
      </c>
      <c r="G8" s="174" t="s">
        <v>275</v>
      </c>
      <c r="H8" s="197" t="s">
        <v>361</v>
      </c>
    </row>
    <row r="9" spans="1:8" s="4" customFormat="1" ht="21" customHeight="1" x14ac:dyDescent="0.15">
      <c r="A9" s="169">
        <v>733</v>
      </c>
      <c r="B9" s="172" t="str">
        <f>VLOOKUP(A9,[1]characters!$A:$C,3)</f>
        <v>夢幻の千刃 上杉謙信</v>
      </c>
      <c r="C9" s="196">
        <v>2</v>
      </c>
      <c r="D9" s="196">
        <v>9008</v>
      </c>
      <c r="E9" s="173" t="str">
        <f>IF(ISERROR(VLOOKUP(D9,[4]abilities!A:D,3,FALSE))=FALSE,VLOOKUP(D9,[4]abilities!A:D,3),IF(ISERROR(VLOOKUP(D9,abilities!A:D,3,FALSE))=FALSE,VLOOKUP(D9,abilities!A:D,3),"なし"))</f>
        <v>ハップルチャレンジ ダメージUP</v>
      </c>
      <c r="F9" s="173" t="str">
        <f>IF(ISERROR(VLOOKUP(D9,[4]abilities!A:D,4,FALSE))=FALSE,VLOOKUP(D9,[4]abilities!A:D,4),IF(ISERROR(VLOOKUP(D9,abilities!A:D,4,FALSE))=FALSE,VLOOKUP(D9,abilities!A:D,4),"なし"))</f>
        <v>ハップルチャレンジ内で自身の全ての攻撃の威力をUP</v>
      </c>
      <c r="G9" s="174" t="s">
        <v>275</v>
      </c>
      <c r="H9" s="197" t="s">
        <v>361</v>
      </c>
    </row>
    <row r="10" spans="1:8" s="4" customFormat="1" ht="21" customHeight="1" x14ac:dyDescent="0.15">
      <c r="A10" s="169">
        <v>735</v>
      </c>
      <c r="B10" s="172" t="str">
        <f>VLOOKUP(A10,[1]characters!$A:$C,3)</f>
        <v>破天の隻眼 伊達政宗</v>
      </c>
      <c r="C10" s="196">
        <v>1</v>
      </c>
      <c r="D10" s="196">
        <v>103</v>
      </c>
      <c r="E10" s="173" t="str">
        <f>IF(ISERROR(VLOOKUP(D10,[4]abilities!A:D,3,FALSE))=FALSE,VLOOKUP(D10,[4]abilities!A:D,3),IF(ISERROR(VLOOKUP(D10,abilities!A:D,3,FALSE))=FALSE,VLOOKUP(D10,abilities!A:D,3),"なし"))</f>
        <v>お邪魔ブレイク</v>
      </c>
      <c r="F10" s="173" t="str">
        <f>IF(ISERROR(VLOOKUP(D10,[4]abilities!A:D,4,FALSE))=FALSE,VLOOKUP(D10,[4]abilities!A:D,4),IF(ISERROR(VLOOKUP(D10,abilities!A:D,4,FALSE))=FALSE,VLOOKUP(D10,abilities!A:D,4),"なし"))</f>
        <v>自身が先頭の時、お邪魔パネルを破壊できる</v>
      </c>
      <c r="G10" s="174" t="s">
        <v>275</v>
      </c>
      <c r="H10" s="197" t="s">
        <v>361</v>
      </c>
    </row>
    <row r="11" spans="1:8" s="4" customFormat="1" ht="21" customHeight="1" x14ac:dyDescent="0.15">
      <c r="A11" s="169">
        <v>869</v>
      </c>
      <c r="B11" s="172" t="str">
        <f>VLOOKUP(A11,[1]characters!$A:$C,3)</f>
        <v xml:space="preserve">マスター･アラジンと殲滅機兵LAMP </v>
      </c>
      <c r="C11" s="196">
        <v>1</v>
      </c>
      <c r="D11" s="196">
        <v>200</v>
      </c>
      <c r="E11" s="173" t="str">
        <f>IF(ISERROR(VLOOKUP(D11,[4]abilities!A:D,3,FALSE))=FALSE,VLOOKUP(D11,[4]abilities!A:D,3),IF(ISERROR(VLOOKUP(D11,abilities!A:D,3,FALSE))=FALSE,VLOOKUP(D11,abilities!A:D,3),"なし"))</f>
        <v>ウィルス無効</v>
      </c>
      <c r="F11" s="173" t="str">
        <f>IF(ISERROR(VLOOKUP(D11,[4]abilities!A:D,4,FALSE))=FALSE,VLOOKUP(D11,[4]abilities!A:D,4),IF(ISERROR(VLOOKUP(D11,abilities!A:D,4,FALSE))=FALSE,VLOOKUP(D11,abilities!A:D,4),"なし"))</f>
        <v>自身にかかるウィルスを無効化する</v>
      </c>
      <c r="G11" s="174" t="s">
        <v>275</v>
      </c>
      <c r="H11" s="197" t="s">
        <v>361</v>
      </c>
    </row>
    <row r="12" spans="1:8" s="4" customFormat="1" ht="21" customHeight="1" x14ac:dyDescent="0.15">
      <c r="A12" s="169">
        <v>869</v>
      </c>
      <c r="B12" s="172" t="str">
        <f>VLOOKUP(A12,[1]characters!$A:$C,3)</f>
        <v xml:space="preserve">マスター･アラジンと殲滅機兵LAMP </v>
      </c>
      <c r="C12" s="196">
        <v>2</v>
      </c>
      <c r="D12" s="196">
        <v>9006</v>
      </c>
      <c r="E12" s="173" t="str">
        <f>IF(ISERROR(VLOOKUP(D12,[4]abilities!A:D,3,FALSE))=FALSE,VLOOKUP(D12,[4]abilities!A:D,3),IF(ISERROR(VLOOKUP(D12,abilities!A:D,3,FALSE))=FALSE,VLOOKUP(D12,abilities!A:D,3),"なし"))</f>
        <v>ハップルチャレンジ ダメージUP</v>
      </c>
      <c r="F12" s="173" t="str">
        <f>IF(ISERROR(VLOOKUP(D12,[4]abilities!A:D,4,FALSE))=FALSE,VLOOKUP(D12,[4]abilities!A:D,4),IF(ISERROR(VLOOKUP(D12,abilities!A:D,4,FALSE))=FALSE,VLOOKUP(D12,abilities!A:D,4),"なし"))</f>
        <v>ハップルチャレンジ内で自身の全ての攻撃の威力をUP</v>
      </c>
      <c r="G12" s="174" t="s">
        <v>275</v>
      </c>
      <c r="H12" s="197" t="s">
        <v>361</v>
      </c>
    </row>
    <row r="13" spans="1:8" s="4" customFormat="1" ht="21" customHeight="1" x14ac:dyDescent="0.15">
      <c r="A13" s="169">
        <v>944</v>
      </c>
      <c r="B13" s="172" t="str">
        <f>VLOOKUP(A13,[1]characters!$A:$C,3)</f>
        <v>王敬の執行者 サンソン</v>
      </c>
      <c r="C13" s="196">
        <v>1</v>
      </c>
      <c r="D13" s="196">
        <v>109</v>
      </c>
      <c r="E13" s="173" t="str">
        <f>IF(ISERROR(VLOOKUP(D13,[4]abilities!A:D,3,FALSE))=FALSE,VLOOKUP(D13,[4]abilities!A:D,3),IF(ISERROR(VLOOKUP(D13,abilities!A:D,3,FALSE))=FALSE,VLOOKUP(D13,abilities!A:D,3),"なし"))</f>
        <v>ダメージパネルブレイク</v>
      </c>
      <c r="F13" s="173" t="str">
        <f>IF(ISERROR(VLOOKUP(D13,[4]abilities!A:D,4,FALSE))=FALSE,VLOOKUP(D13,[4]abilities!A:D,4),IF(ISERROR(VLOOKUP(D13,abilities!A:D,4,FALSE))=FALSE,VLOOKUP(D13,abilities!A:D,4),"なし"))</f>
        <v>自身が先頭の時、ダメージを受けずにダメージパネルを破壊できる</v>
      </c>
      <c r="G13" s="174" t="s">
        <v>275</v>
      </c>
      <c r="H13" s="197" t="s">
        <v>361</v>
      </c>
    </row>
    <row r="14" spans="1:8" s="4" customFormat="1" ht="21" customHeight="1" x14ac:dyDescent="0.15">
      <c r="A14" s="169">
        <v>942</v>
      </c>
      <c r="B14" s="172" t="str">
        <f>VLOOKUP(A14,[1]characters!$A:$C,3)</f>
        <v>華戯たる傲妃 アントワネット</v>
      </c>
      <c r="C14" s="196">
        <v>1</v>
      </c>
      <c r="D14" s="196">
        <v>109</v>
      </c>
      <c r="E14" s="173" t="str">
        <f>IF(ISERROR(VLOOKUP(D14,[4]abilities!A:D,3,FALSE))=FALSE,VLOOKUP(D14,[4]abilities!A:D,3),IF(ISERROR(VLOOKUP(D14,abilities!A:D,3,FALSE))=FALSE,VLOOKUP(D14,abilities!A:D,3),"なし"))</f>
        <v>ダメージパネルブレイク</v>
      </c>
      <c r="F14" s="173" t="str">
        <f>IF(ISERROR(VLOOKUP(D14,[4]abilities!A:D,4,FALSE))=FALSE,VLOOKUP(D14,[4]abilities!A:D,4),IF(ISERROR(VLOOKUP(D14,abilities!A:D,4,FALSE))=FALSE,VLOOKUP(D14,abilities!A:D,4),"なし"))</f>
        <v>自身が先頭の時、ダメージを受けずにダメージパネルを破壊できる</v>
      </c>
      <c r="G14" s="174" t="s">
        <v>275</v>
      </c>
      <c r="H14" s="197" t="s">
        <v>361</v>
      </c>
    </row>
    <row r="15" spans="1:8" s="4" customFormat="1" ht="21" customHeight="1" x14ac:dyDescent="0.15">
      <c r="A15" s="169">
        <v>745</v>
      </c>
      <c r="B15" s="172" t="str">
        <f>VLOOKUP(A15,[1]characters!$A:$C,3)</f>
        <v>望羅の発神 ヘルメス</v>
      </c>
      <c r="C15" s="196">
        <v>1</v>
      </c>
      <c r="D15" s="196">
        <v>203</v>
      </c>
      <c r="E15" s="173" t="str">
        <f>IF(ISERROR(VLOOKUP(D15,[4]abilities!A:D,3,FALSE))=FALSE,VLOOKUP(D15,[4]abilities!A:D,3),IF(ISERROR(VLOOKUP(D15,abilities!A:D,3,FALSE))=FALSE,VLOOKUP(D15,abilities!A:D,3),"なし"))</f>
        <v>爆風軽減無効</v>
      </c>
      <c r="F15" s="173" t="str">
        <f>IF(ISERROR(VLOOKUP(D15,[4]abilities!A:D,4,FALSE))=FALSE,VLOOKUP(D15,[4]abilities!A:D,4),IF(ISERROR(VLOOKUP(D15,abilities!A:D,4,FALSE))=FALSE,VLOOKUP(D15,abilities!A:D,4),"なし"))</f>
        <v>自身が先頭の時、爆風軽減を無効化する</v>
      </c>
      <c r="G15" s="174" t="s">
        <v>275</v>
      </c>
      <c r="H15" s="197" t="s">
        <v>361</v>
      </c>
    </row>
    <row r="16" spans="1:8" s="4" customFormat="1" ht="21" customHeight="1" x14ac:dyDescent="0.15">
      <c r="A16" s="169">
        <v>745</v>
      </c>
      <c r="B16" s="172" t="str">
        <f>VLOOKUP(A16,[1]characters!$A:$C,3)</f>
        <v>望羅の発神 ヘルメス</v>
      </c>
      <c r="C16" s="196">
        <v>2</v>
      </c>
      <c r="D16" s="196">
        <v>9001</v>
      </c>
      <c r="E16" s="173" t="str">
        <f>IF(ISERROR(VLOOKUP(D16,[4]abilities!A:D,3,FALSE))=FALSE,VLOOKUP(D16,[4]abilities!A:D,3),IF(ISERROR(VLOOKUP(D16,abilities!A:D,3,FALSE))=FALSE,VLOOKUP(D16,abilities!A:D,3),"なし"))</f>
        <v>ハップルチャレンジ ダメージUP</v>
      </c>
      <c r="F16" s="173" t="str">
        <f>IF(ISERROR(VLOOKUP(D16,[4]abilities!A:D,4,FALSE))=FALSE,VLOOKUP(D16,[4]abilities!A:D,4),IF(ISERROR(VLOOKUP(D16,abilities!A:D,4,FALSE))=FALSE,VLOOKUP(D16,abilities!A:D,4),"なし"))</f>
        <v>ハップルチャレンジ内で自身の全ての攻撃の威力をUP</v>
      </c>
      <c r="G16" s="174" t="s">
        <v>275</v>
      </c>
      <c r="H16" s="197" t="s">
        <v>361</v>
      </c>
    </row>
    <row r="17" spans="1:8" s="4" customFormat="1" ht="21" customHeight="1" x14ac:dyDescent="0.15">
      <c r="A17" s="169">
        <v>713</v>
      </c>
      <c r="B17" s="172" t="str">
        <f>VLOOKUP(A17,[1]characters!$A:$C,3)</f>
        <v>始まりの創始者　竜ヶ峰帝人</v>
      </c>
      <c r="C17" s="196">
        <v>1</v>
      </c>
      <c r="D17" s="196">
        <v>100</v>
      </c>
      <c r="E17" s="173" t="str">
        <f>IF(ISERROR(VLOOKUP(D17,[4]abilities!A:D,3,FALSE))=FALSE,VLOOKUP(D17,[4]abilities!A:D,3),IF(ISERROR(VLOOKUP(D17,[5]abilities!A:D,3,FALSE))=FALSE,VLOOKUP(D17,[5]abilities!A:D,3),"なし"))</f>
        <v>プロテクトブレイク</v>
      </c>
      <c r="F17" s="173" t="str">
        <f>IF(ISERROR(VLOOKUP(D17,[4]abilities!A:D,4,FALSE))=FALSE,VLOOKUP(D17,[4]abilities!A:D,4),IF(ISERROR(VLOOKUP(D17,[5]abilities!A:D,4,FALSE))=FALSE,VLOOKUP(D17,[5]abilities!A:D,4),"なし"))</f>
        <v>自身が先頭の時、プロテクトを無視してパネル破壊できる</v>
      </c>
      <c r="G17" s="174" t="s">
        <v>275</v>
      </c>
      <c r="H17" s="197" t="s">
        <v>361</v>
      </c>
    </row>
    <row r="18" spans="1:8" s="4" customFormat="1" ht="21" customHeight="1" x14ac:dyDescent="0.15">
      <c r="A18" s="169">
        <v>717</v>
      </c>
      <c r="B18" s="172" t="str">
        <f>VLOOKUP(A18,[1]characters!$A:$C,3)</f>
        <v>池袋最強の暴走 平和島静雄</v>
      </c>
      <c r="C18" s="196">
        <v>1</v>
      </c>
      <c r="D18" s="196">
        <v>100</v>
      </c>
      <c r="E18" s="173" t="str">
        <f>IF(ISERROR(VLOOKUP(D18,[4]abilities!A:D,3,FALSE))=FALSE,VLOOKUP(D18,[4]abilities!A:D,3),IF(ISERROR(VLOOKUP(D18,[5]abilities!A:D,3,FALSE))=FALSE,VLOOKUP(D18,[5]abilities!A:D,3),"なし"))</f>
        <v>プロテクトブレイク</v>
      </c>
      <c r="F18" s="173" t="str">
        <f>IF(ISERROR(VLOOKUP(D18,[4]abilities!A:D,4,FALSE))=FALSE,VLOOKUP(D18,[4]abilities!A:D,4),IF(ISERROR(VLOOKUP(D18,[5]abilities!A:D,4,FALSE))=FALSE,VLOOKUP(D18,[5]abilities!A:D,4),"なし"))</f>
        <v>自身が先頭の時、プロテクトを無視してパネル破壊できる</v>
      </c>
      <c r="G18" s="174" t="s">
        <v>275</v>
      </c>
      <c r="H18" s="197" t="s">
        <v>361</v>
      </c>
    </row>
    <row r="19" spans="1:8" s="4" customFormat="1" ht="21" customHeight="1" x14ac:dyDescent="0.15">
      <c r="A19" s="169">
        <v>701</v>
      </c>
      <c r="B19" s="172" t="str">
        <f>VLOOKUP(A19,[1]characters!$A:$C,3)</f>
        <v>謀略の情報屋 折原臨也</v>
      </c>
      <c r="C19" s="196">
        <v>1</v>
      </c>
      <c r="D19" s="196">
        <v>100</v>
      </c>
      <c r="E19" s="173" t="str">
        <f>IF(ISERROR(VLOOKUP(D19,[4]abilities!A:D,3,FALSE))=FALSE,VLOOKUP(D19,[4]abilities!A:D,3),IF(ISERROR(VLOOKUP(D19,[5]abilities!A:D,3,FALSE))=FALSE,VLOOKUP(D19,[5]abilities!A:D,3),"なし"))</f>
        <v>プロテクトブレイク</v>
      </c>
      <c r="F19" s="173" t="str">
        <f>IF(ISERROR(VLOOKUP(D19,[4]abilities!A:D,4,FALSE))=FALSE,VLOOKUP(D19,[4]abilities!A:D,4),IF(ISERROR(VLOOKUP(D19,[5]abilities!A:D,4,FALSE))=FALSE,VLOOKUP(D19,[5]abilities!A:D,4),"なし"))</f>
        <v>自身が先頭の時、プロテクトを無視してパネル破壊できる</v>
      </c>
      <c r="G19" s="174" t="s">
        <v>275</v>
      </c>
      <c r="H19" s="197" t="s">
        <v>361</v>
      </c>
    </row>
    <row r="20" spans="1:8" s="4" customFormat="1" ht="21" customHeight="1" x14ac:dyDescent="0.15">
      <c r="A20" s="169">
        <v>701</v>
      </c>
      <c r="B20" s="172" t="str">
        <f>VLOOKUP(A20,[1]characters!$A:$C,3)</f>
        <v>謀略の情報屋 折原臨也</v>
      </c>
      <c r="C20" s="196">
        <v>2</v>
      </c>
      <c r="D20" s="196">
        <v>2800</v>
      </c>
      <c r="E20" s="173" t="str">
        <f>IF(ISERROR(VLOOKUP(D20,[4]abilities!A:D,3,FALSE))=FALSE,VLOOKUP(D20,[4]abilities!A:D,3),IF(ISERROR(VLOOKUP(D20,[5]abilities!A:D,3,FALSE))=FALSE,VLOOKUP(D20,[5]abilities!A:D,3),"なし"))</f>
        <v>防御力UP</v>
      </c>
      <c r="F20" s="173" t="str">
        <f>IF(ISERROR(VLOOKUP(D20,[4]abilities!A:D,4,FALSE))=FALSE,VLOOKUP(D20,[4]abilities!A:D,4),IF(ISERROR(VLOOKUP(D20,[5]abilities!A:D,4,FALSE))=FALSE,VLOOKUP(D20,[5]abilities!A:D,4),"なし"))</f>
        <v>自身の防御力を250UP</v>
      </c>
      <c r="G20" s="174" t="s">
        <v>275</v>
      </c>
      <c r="H20" s="197" t="s">
        <v>363</v>
      </c>
    </row>
    <row r="21" spans="1:8" s="4" customFormat="1" ht="21" customHeight="1" x14ac:dyDescent="0.15">
      <c r="A21" s="169">
        <v>699</v>
      </c>
      <c r="B21" s="172" t="str">
        <f>VLOOKUP(A21,[1]characters!$A:$C,3)</f>
        <v>依存の母愛　園原杏里</v>
      </c>
      <c r="C21" s="196">
        <v>1</v>
      </c>
      <c r="D21" s="196">
        <v>100</v>
      </c>
      <c r="E21" s="173" t="str">
        <f>IF(ISERROR(VLOOKUP(D21,[4]abilities!A:D,3,FALSE))=FALSE,VLOOKUP(D21,[4]abilities!A:D,3),IF(ISERROR(VLOOKUP(D21,[5]abilities!A:D,3,FALSE))=FALSE,VLOOKUP(D21,[5]abilities!A:D,3),"なし"))</f>
        <v>プロテクトブレイク</v>
      </c>
      <c r="F21" s="173" t="str">
        <f>IF(ISERROR(VLOOKUP(D21,[4]abilities!A:D,4,FALSE))=FALSE,VLOOKUP(D21,[4]abilities!A:D,4),IF(ISERROR(VLOOKUP(D21,[5]abilities!A:D,4,FALSE))=FALSE,VLOOKUP(D21,[5]abilities!A:D,4),"なし"))</f>
        <v>自身が先頭の時、プロテクトを無視してパネル破壊できる</v>
      </c>
      <c r="G21" s="174" t="s">
        <v>275</v>
      </c>
      <c r="H21" s="197" t="s">
        <v>361</v>
      </c>
    </row>
    <row r="22" spans="1:8" s="4" customFormat="1" ht="21" customHeight="1" x14ac:dyDescent="0.15">
      <c r="A22" s="169">
        <v>699</v>
      </c>
      <c r="B22" s="172" t="str">
        <f>VLOOKUP(A22,[1]characters!$A:$C,3)</f>
        <v>依存の母愛　園原杏里</v>
      </c>
      <c r="C22" s="196">
        <v>2</v>
      </c>
      <c r="D22" s="196">
        <v>810</v>
      </c>
      <c r="E22" s="173" t="str">
        <f>IF(ISERROR(VLOOKUP(D22,[4]abilities!A:D,3,FALSE))=FALSE,VLOOKUP(D22,[4]abilities!A:D,3),IF(ISERROR(VLOOKUP(D22,[5]abilities!A:D,3,FALSE))=FALSE,VLOOKUP(D22,[5]abilities!A:D,3),"なし"))</f>
        <v>パネルブレイク40 攻撃力小UP</v>
      </c>
      <c r="F22" s="173" t="str">
        <f>IF(ISERROR(VLOOKUP(D22,[4]abilities!A:D,4,FALSE))=FALSE,VLOOKUP(D22,[4]abilities!A:D,4),IF(ISERROR(VLOOKUP(D22,[5]abilities!A:D,4,FALSE))=FALSE,VLOOKUP(D22,[5]abilities!A:D,4),"なし"))</f>
        <v>自身が先頭の時、1ターンの間に合計40個以上パネルを破壊した場合に攻撃力小UP</v>
      </c>
      <c r="G22" s="174" t="s">
        <v>275</v>
      </c>
      <c r="H22" s="197" t="s">
        <v>363</v>
      </c>
    </row>
    <row r="23" spans="1:8" x14ac:dyDescent="0.15">
      <c r="A23" s="169">
        <v>861</v>
      </c>
      <c r="B23" s="172" t="str">
        <f>VLOOKUP(A23,[1]characters!$A:$C,3)</f>
        <v>青燈の巨躯 ジーナ</v>
      </c>
      <c r="C23" s="196">
        <v>1</v>
      </c>
      <c r="D23" s="196">
        <v>100</v>
      </c>
      <c r="E23" s="173" t="str">
        <f>IF(ISERROR(VLOOKUP(D23,[4]abilities!A:D,3,FALSE))=FALSE,VLOOKUP(D23,[4]abilities!A:D,3),IF(ISERROR(VLOOKUP(D23,[5]abilities!A:D,3,FALSE))=FALSE,VLOOKUP(D23,[5]abilities!A:D,3),"なし"))</f>
        <v>プロテクトブレイク</v>
      </c>
      <c r="F23" s="173" t="str">
        <f>IF(ISERROR(VLOOKUP(D23,[4]abilities!A:D,4,FALSE))=FALSE,VLOOKUP(D23,[4]abilities!A:D,4),IF(ISERROR(VLOOKUP(D23,[5]abilities!A:D,4,FALSE))=FALSE,VLOOKUP(D23,[5]abilities!A:D,4),"なし"))</f>
        <v>自身が先頭の時、プロテクトを無視してパネル破壊できる</v>
      </c>
      <c r="G23" s="174" t="s">
        <v>275</v>
      </c>
      <c r="H23" s="197" t="s">
        <v>364</v>
      </c>
    </row>
    <row r="24" spans="1:8" x14ac:dyDescent="0.15">
      <c r="A24" s="169">
        <v>861</v>
      </c>
      <c r="B24" s="172" t="str">
        <f>VLOOKUP(A24,[1]characters!$A:$C,3)</f>
        <v>青燈の巨躯 ジーナ</v>
      </c>
      <c r="C24" s="196">
        <v>2</v>
      </c>
      <c r="D24" s="196">
        <v>2701</v>
      </c>
      <c r="E24" s="173" t="str">
        <f>IF(ISERROR(VLOOKUP(D24,[4]abilities!A:D,3,FALSE))=FALSE,VLOOKUP(D24,[4]abilities!A:D,3),IF(ISERROR(VLOOKUP(D24,[5]abilities!A:D,3,FALSE))=FALSE,VLOOKUP(D24,[5]abilities!A:D,3),"なし"))</f>
        <v>攻撃力UP</v>
      </c>
      <c r="F24" s="173" t="str">
        <f>IF(ISERROR(VLOOKUP(D24,[4]abilities!A:D,4,FALSE))=FALSE,VLOOKUP(D24,[4]abilities!A:D,4),IF(ISERROR(VLOOKUP(D24,[5]abilities!A:D,4,FALSE))=FALSE,VLOOKUP(D24,[5]abilities!A:D,4),"なし"))</f>
        <v>自身の攻撃力を500UP</v>
      </c>
      <c r="G24" s="174" t="s">
        <v>275</v>
      </c>
      <c r="H24" s="197" t="s">
        <v>365</v>
      </c>
    </row>
    <row r="25" spans="1:8" x14ac:dyDescent="0.15">
      <c r="A25" s="169">
        <v>731</v>
      </c>
      <c r="B25" s="172" t="str">
        <f>VLOOKUP(A25,[1]characters!$A:$C,3)</f>
        <v>敬虔なる追銃 ガラシャ</v>
      </c>
      <c r="C25" s="196">
        <v>1</v>
      </c>
      <c r="D25" s="196">
        <v>9000</v>
      </c>
      <c r="E25" s="173" t="str">
        <f>IF(ISERROR(VLOOKUP(D25,[4]abilities!A:D,3,FALSE))=FALSE,VLOOKUP(D25,[4]abilities!A:D,3),IF(ISERROR(VLOOKUP(D25,[5]abilities!A:D,3,FALSE))=FALSE,VLOOKUP(D25,[5]abilities!A:D,3),"なし"))</f>
        <v>ハップルチャレンジ ダメージUP</v>
      </c>
      <c r="F25" s="173" t="str">
        <f>IF(ISERROR(VLOOKUP(D25,[4]abilities!A:D,4,FALSE))=FALSE,VLOOKUP(D25,[4]abilities!A:D,4),IF(ISERROR(VLOOKUP(D25,[5]abilities!A:D,4,FALSE))=FALSE,VLOOKUP(D25,[5]abilities!A:D,4),"なし"))</f>
        <v>ハップルチャレンジ内で自身の全ての攻撃の威力をUP</v>
      </c>
      <c r="G25" s="174" t="s">
        <v>275</v>
      </c>
      <c r="H25" s="197" t="s">
        <v>361</v>
      </c>
    </row>
    <row r="26" spans="1:8" s="4" customFormat="1" ht="21" customHeight="1" x14ac:dyDescent="0.15">
      <c r="A26" s="169">
        <v>673</v>
      </c>
      <c r="B26" s="172" t="str">
        <f>VLOOKUP(A26,[1]characters!$A:$C,3)</f>
        <v>変幻自在の猿王 ハヌマーン</v>
      </c>
      <c r="C26" s="196">
        <v>1</v>
      </c>
      <c r="D26" s="196">
        <v>9001</v>
      </c>
      <c r="E26" s="173" t="str">
        <f>IF(ISERROR(VLOOKUP(D26,[4]abilities!A:D,3,FALSE))=FALSE,VLOOKUP(D26,[4]abilities!A:D,3),IF(ISERROR(VLOOKUP(D26,[5]abilities!A:D,3,FALSE))=FALSE,VLOOKUP(D26,[5]abilities!A:D,3),"なし"))</f>
        <v>ハップルチャレンジ ダメージUP</v>
      </c>
      <c r="F26" s="173" t="str">
        <f>IF(ISERROR(VLOOKUP(D26,[4]abilities!A:D,4,FALSE))=FALSE,VLOOKUP(D26,[4]abilities!A:D,4),IF(ISERROR(VLOOKUP(D26,[5]abilities!A:D,4,FALSE))=FALSE,VLOOKUP(D26,[5]abilities!A:D,4),"なし"))</f>
        <v>ハップルチャレンジ内で自身の全ての攻撃の威力をUP</v>
      </c>
      <c r="G26" s="174" t="s">
        <v>275</v>
      </c>
      <c r="H26" s="197" t="s">
        <v>361</v>
      </c>
    </row>
    <row r="27" spans="1:8" s="4" customFormat="1" ht="21" customHeight="1" x14ac:dyDescent="0.15">
      <c r="A27" s="169">
        <v>940</v>
      </c>
      <c r="B27" s="172" t="str">
        <f>VLOOKUP(A27,[1]characters!$A:$C,3)</f>
        <v>不壊の大要塞 バスティーユ</v>
      </c>
      <c r="C27" s="196">
        <v>1</v>
      </c>
      <c r="D27" s="196">
        <v>9002</v>
      </c>
      <c r="E27" s="173" t="str">
        <f>IF(ISERROR(VLOOKUP(D27,[4]abilities!A:D,3,FALSE))=FALSE,VLOOKUP(D27,[4]abilities!A:D,3),IF(ISERROR(VLOOKUP(D27,[5]abilities!A:D,3,FALSE))=FALSE,VLOOKUP(D27,[5]abilities!A:D,3),"なし"))</f>
        <v>ハップルチャレンジ ダメージUP</v>
      </c>
      <c r="F27" s="173" t="str">
        <f>IF(ISERROR(VLOOKUP(D27,[4]abilities!A:D,4,FALSE))=FALSE,VLOOKUP(D27,[4]abilities!A:D,4),IF(ISERROR(VLOOKUP(D27,[5]abilities!A:D,4,FALSE))=FALSE,VLOOKUP(D27,[5]abilities!A:D,4),"なし"))</f>
        <v>ハップルチャレンジ内で自身の全ての攻撃の威力をUP</v>
      </c>
      <c r="G27" s="174" t="s">
        <v>275</v>
      </c>
      <c r="H27" s="197" t="s">
        <v>361</v>
      </c>
    </row>
    <row r="28" spans="1:8" x14ac:dyDescent="0.15">
      <c r="A28" s="169">
        <v>725</v>
      </c>
      <c r="B28" s="172" t="str">
        <f>VLOOKUP(A28,[1]characters!$A:$C,3)</f>
        <v>泰然の暴虎 武田信玄</v>
      </c>
      <c r="C28" s="196">
        <v>1</v>
      </c>
      <c r="D28" s="196">
        <v>200</v>
      </c>
      <c r="E28" s="173" t="str">
        <f>IF(ISERROR(VLOOKUP(D28,[4]abilities!A:D,3,FALSE))=FALSE,VLOOKUP(D28,[4]abilities!A:D,3),IF(ISERROR(VLOOKUP(D28,[5]abilities!A:D,3,FALSE))=FALSE,VLOOKUP(D28,[5]abilities!A:D,3),"なし"))</f>
        <v>ウィルス無効</v>
      </c>
      <c r="F28" s="173" t="str">
        <f>IF(ISERROR(VLOOKUP(D28,[4]abilities!A:D,4,FALSE))=FALSE,VLOOKUP(D28,[4]abilities!A:D,4),IF(ISERROR(VLOOKUP(D28,[5]abilities!A:D,4,FALSE))=FALSE,VLOOKUP(D28,[5]abilities!A:D,4),"なし"))</f>
        <v>自身にかかるウィルスを無効化する</v>
      </c>
      <c r="G28" s="174" t="s">
        <v>275</v>
      </c>
      <c r="H28" s="197" t="s">
        <v>361</v>
      </c>
    </row>
    <row r="29" spans="1:8" x14ac:dyDescent="0.15">
      <c r="A29" s="169">
        <v>725</v>
      </c>
      <c r="B29" s="172" t="str">
        <f>VLOOKUP(A29,[1]characters!$A:$C,3)</f>
        <v>泰然の暴虎 武田信玄</v>
      </c>
      <c r="C29" s="196">
        <v>2</v>
      </c>
      <c r="D29" s="196">
        <v>2804</v>
      </c>
      <c r="E29" s="173" t="str">
        <f>IF(ISERROR(VLOOKUP(D29,[4]abilities!A:D,3,FALSE))=FALSE,VLOOKUP(D29,[4]abilities!A:D,3),IF(ISERROR(VLOOKUP(D29,[5]abilities!A:D,3,FALSE))=FALSE,VLOOKUP(D29,[5]abilities!A:D,3),"なし"))</f>
        <v>防御力UP</v>
      </c>
      <c r="F29" s="173" t="str">
        <f>IF(ISERROR(VLOOKUP(D29,[4]abilities!A:D,4,FALSE))=FALSE,VLOOKUP(D29,[4]abilities!A:D,4),IF(ISERROR(VLOOKUP(D29,[5]abilities!A:D,4,FALSE))=FALSE,VLOOKUP(D29,[5]abilities!A:D,4),"なし"))</f>
        <v>自身の防御力を400UP</v>
      </c>
      <c r="G29" s="174" t="s">
        <v>275</v>
      </c>
      <c r="H29" s="197" t="s">
        <v>365</v>
      </c>
    </row>
    <row r="30" spans="1:8" x14ac:dyDescent="0.15">
      <c r="A30" s="169">
        <v>845</v>
      </c>
      <c r="B30" s="172" t="str">
        <f>VLOOKUP(A30,[1]characters!$A:$C,3)</f>
        <v>妖艶なる蝿王 ベルゼブブ</v>
      </c>
      <c r="C30" s="196">
        <v>1</v>
      </c>
      <c r="D30" s="196">
        <v>100</v>
      </c>
      <c r="E30" s="173" t="str">
        <f>IF(ISERROR(VLOOKUP(D30,[4]abilities!A:D,3,FALSE))=FALSE,VLOOKUP(D30,[4]abilities!A:D,3),IF(ISERROR(VLOOKUP(D30,[5]abilities!A:D,3,FALSE))=FALSE,VLOOKUP(D30,[5]abilities!A:D,3),"なし"))</f>
        <v>プロテクトブレイク</v>
      </c>
      <c r="F30" s="173" t="str">
        <f>IF(ISERROR(VLOOKUP(D30,[4]abilities!A:D,4,FALSE))=FALSE,VLOOKUP(D30,[4]abilities!A:D,4),IF(ISERROR(VLOOKUP(D30,[5]abilities!A:D,4,FALSE))=FALSE,VLOOKUP(D30,[5]abilities!A:D,4),"なし"))</f>
        <v>自身が先頭の時、プロテクトを無視してパネル破壊できる</v>
      </c>
      <c r="G30" s="174" t="s">
        <v>275</v>
      </c>
      <c r="H30" s="197" t="s">
        <v>361</v>
      </c>
    </row>
    <row r="31" spans="1:8" x14ac:dyDescent="0.15">
      <c r="A31" s="169">
        <v>845</v>
      </c>
      <c r="B31" s="172" t="str">
        <f>VLOOKUP(A31,[1]characters!$A:$C,3)</f>
        <v>妖艶なる蝿王 ベルゼブブ</v>
      </c>
      <c r="C31" s="196">
        <v>2</v>
      </c>
      <c r="D31" s="196">
        <v>2804</v>
      </c>
      <c r="E31" s="173" t="str">
        <f>IF(ISERROR(VLOOKUP(D31,[4]abilities!A:D,3,FALSE))=FALSE,VLOOKUP(D31,[4]abilities!A:D,3),IF(ISERROR(VLOOKUP(D31,[5]abilities!A:D,3,FALSE))=FALSE,VLOOKUP(D31,[5]abilities!A:D,3),"なし"))</f>
        <v>防御力UP</v>
      </c>
      <c r="F31" s="173" t="str">
        <f>IF(ISERROR(VLOOKUP(D31,[4]abilities!A:D,4,FALSE))=FALSE,VLOOKUP(D31,[4]abilities!A:D,4),IF(ISERROR(VLOOKUP(D31,[5]abilities!A:D,4,FALSE))=FALSE,VLOOKUP(D31,[5]abilities!A:D,4),"なし"))</f>
        <v>自身の防御力を400UP</v>
      </c>
      <c r="G31" s="174" t="s">
        <v>275</v>
      </c>
      <c r="H31" s="197" t="s">
        <v>365</v>
      </c>
    </row>
    <row r="32" spans="1:8" x14ac:dyDescent="0.15">
      <c r="A32" s="169">
        <v>936</v>
      </c>
      <c r="B32" s="172" t="str">
        <f>VLOOKUP(A32,[1]characters!$A:$C,3)</f>
        <v>憲誓の煉王 ルイ16世</v>
      </c>
      <c r="C32" s="196">
        <v>1</v>
      </c>
      <c r="D32" s="196">
        <v>807</v>
      </c>
      <c r="E32" s="173" t="str">
        <f>IF(ISERROR(VLOOKUP(D32,[4]abilities!A:D,3,FALSE))=FALSE,VLOOKUP(D32,[4]abilities!A:D,3),IF(ISERROR(VLOOKUP(D32,[5]abilities!A:D,3,FALSE))=FALSE,VLOOKUP(D32,[5]abilities!A:D,3),"なし"))</f>
        <v>パネル18 破壊フィーバーゲージ上昇</v>
      </c>
      <c r="F32" s="173" t="str">
        <f>IF(ISERROR(VLOOKUP(D32,[4]abilities!A:D,4,FALSE))=FALSE,VLOOKUP(D32,[4]abilities!A:D,4),IF(ISERROR(VLOOKUP(D32,[5]abilities!A:D,4,FALSE))=FALSE,VLOOKUP(D32,[5]abilities!A:D,4),"なし"))</f>
        <v>自身が先頭の時、1ターンの間に合計18個以上パネルを破壊した場合にフィーバーゲージ上昇</v>
      </c>
      <c r="G32" s="174" t="s">
        <v>275</v>
      </c>
      <c r="H32" s="197" t="s">
        <v>361</v>
      </c>
    </row>
    <row r="33" spans="1:8" x14ac:dyDescent="0.15">
      <c r="A33" s="169">
        <v>936</v>
      </c>
      <c r="B33" s="172" t="str">
        <f>VLOOKUP(A33,[1]characters!$A:$C,3)</f>
        <v>憲誓の煉王 ルイ16世</v>
      </c>
      <c r="C33" s="196">
        <v>2</v>
      </c>
      <c r="D33" s="196">
        <v>308</v>
      </c>
      <c r="E33" s="173" t="str">
        <f>IF(ISERROR(VLOOKUP(D33,[4]abilities!A:D,3,FALSE))=FALSE,VLOOKUP(D33,[4]abilities!A:D,3),IF(ISERROR(VLOOKUP(D33,[5]abilities!A:D,3,FALSE))=FALSE,VLOOKUP(D33,[5]abilities!A:D,3),"なし"))</f>
        <v>対アニマル ダメージUP</v>
      </c>
      <c r="F33" s="173" t="str">
        <f>IF(ISERROR(VLOOKUP(D33,[4]abilities!A:D,4,FALSE))=FALSE,VLOOKUP(D33,[4]abilities!A:D,4),IF(ISERROR(VLOOKUP(D33,[5]abilities!A:D,4,FALSE))=FALSE,VLOOKUP(D33,[5]abilities!A:D,4),"なし"))</f>
        <v>自身の攻撃対象が種族アニマルの場合全ての攻撃の威力をUP</v>
      </c>
      <c r="G33" s="174" t="s">
        <v>275</v>
      </c>
      <c r="H33" s="197" t="s">
        <v>365</v>
      </c>
    </row>
    <row r="34" spans="1:8" s="4" customFormat="1" ht="21" customHeight="1" x14ac:dyDescent="0.15">
      <c r="A34" s="169">
        <v>1068</v>
      </c>
      <c r="B34" s="172" t="str">
        <f>VLOOKUP(A34,[1]characters!$A:$C,3)</f>
        <v>想母の羽龍 ウシュムガル</v>
      </c>
      <c r="C34" s="196">
        <v>1</v>
      </c>
      <c r="D34" s="196">
        <v>9003</v>
      </c>
      <c r="E34" s="173" t="str">
        <f>IF(ISERROR(VLOOKUP(D34,[4]abilities!A:D,3,FALSE))=FALSE,VLOOKUP(D34,[4]abilities!A:D,3),IF(ISERROR(VLOOKUP(D34,[5]abilities!A:D,3,FALSE))=FALSE,VLOOKUP(D34,[5]abilities!A:D,3),"なし"))</f>
        <v>ハップルチャレンジ ダメージUP</v>
      </c>
      <c r="F34" s="173" t="str">
        <f>IF(ISERROR(VLOOKUP(D34,[4]abilities!A:D,4,FALSE))=FALSE,VLOOKUP(D34,[4]abilities!A:D,4),IF(ISERROR(VLOOKUP(D34,[5]abilities!A:D,4,FALSE))=FALSE,VLOOKUP(D34,[5]abilities!A:D,4),"なし"))</f>
        <v>ハップルチャレンジ内で自身の全ての攻撃の威力をUP</v>
      </c>
      <c r="G34" s="174" t="s">
        <v>275</v>
      </c>
      <c r="H34" s="197" t="s">
        <v>361</v>
      </c>
    </row>
    <row r="35" spans="1:8" s="4" customFormat="1" ht="21" customHeight="1" x14ac:dyDescent="0.15">
      <c r="A35" s="169">
        <v>598</v>
      </c>
      <c r="B35" s="172" t="str">
        <f>VLOOKUP(A35,[1]characters!$A:$C,3)</f>
        <v>焼燃の情熱 ムスペルヘイム</v>
      </c>
      <c r="C35" s="196">
        <v>1</v>
      </c>
      <c r="D35" s="196">
        <v>9003</v>
      </c>
      <c r="E35" s="173" t="str">
        <f>IF(ISERROR(VLOOKUP(D35,[4]abilities!A:D,3,FALSE))=FALSE,VLOOKUP(D35,[4]abilities!A:D,3),IF(ISERROR(VLOOKUP(D35,[5]abilities!A:D,3,FALSE))=FALSE,VLOOKUP(D35,[5]abilities!A:D,3),"なし"))</f>
        <v>ハップルチャレンジ ダメージUP</v>
      </c>
      <c r="F35" s="173" t="str">
        <f>IF(ISERROR(VLOOKUP(D35,[4]abilities!A:D,4,FALSE))=FALSE,VLOOKUP(D35,[4]abilities!A:D,4),IF(ISERROR(VLOOKUP(D35,[5]abilities!A:D,4,FALSE))=FALSE,VLOOKUP(D35,[5]abilities!A:D,4),"なし"))</f>
        <v>ハップルチャレンジ内で自身の全ての攻撃の威力をUP</v>
      </c>
      <c r="G35" s="174" t="s">
        <v>275</v>
      </c>
      <c r="H35" s="197" t="s">
        <v>361</v>
      </c>
    </row>
    <row r="36" spans="1:8" s="4" customFormat="1" ht="21" customHeight="1" x14ac:dyDescent="0.15">
      <c r="A36" s="169">
        <v>776</v>
      </c>
      <c r="B36" s="172" t="str">
        <f>VLOOKUP(A36,[1]characters!$A:$C,3)</f>
        <v>水竜底主 ミズチ</v>
      </c>
      <c r="C36" s="196">
        <v>1</v>
      </c>
      <c r="D36" s="196">
        <v>9008</v>
      </c>
      <c r="E36" s="173" t="str">
        <f>IF(ISERROR(VLOOKUP(D36,[4]abilities!A:D,3,FALSE))=FALSE,VLOOKUP(D36,[4]abilities!A:D,3),IF(ISERROR(VLOOKUP(D36,[5]abilities!A:D,3,FALSE))=FALSE,VLOOKUP(D36,[5]abilities!A:D,3),"なし"))</f>
        <v>ハップルチャレンジ ダメージUP</v>
      </c>
      <c r="F36" s="173" t="str">
        <f>IF(ISERROR(VLOOKUP(D36,[4]abilities!A:D,4,FALSE))=FALSE,VLOOKUP(D36,[4]abilities!A:D,4),IF(ISERROR(VLOOKUP(D36,[5]abilities!A:D,4,FALSE))=FALSE,VLOOKUP(D36,[5]abilities!A:D,4),"なし"))</f>
        <v>ハップルチャレンジ内で自身の全ての攻撃の威力をUP</v>
      </c>
      <c r="G36" s="174" t="s">
        <v>275</v>
      </c>
      <c r="H36" s="197" t="s">
        <v>361</v>
      </c>
    </row>
    <row r="37" spans="1:8" s="4" customFormat="1" ht="21" customHeight="1" x14ac:dyDescent="0.15">
      <c r="A37" s="169">
        <v>397</v>
      </c>
      <c r="B37" s="172" t="str">
        <f>VLOOKUP(A37,[1]characters!$A:$C,3)</f>
        <v>禁断の追箱 乙姫</v>
      </c>
      <c r="C37" s="196">
        <v>1</v>
      </c>
      <c r="D37" s="196">
        <v>9008</v>
      </c>
      <c r="E37" s="173" t="str">
        <f>IF(ISERROR(VLOOKUP(D37,[4]abilities!A:D,3,FALSE))=FALSE,VLOOKUP(D37,[4]abilities!A:D,3),IF(ISERROR(VLOOKUP(D37,[5]abilities!A:D,3,FALSE))=FALSE,VLOOKUP(D37,[5]abilities!A:D,3),"なし"))</f>
        <v>ハップルチャレンジ ダメージUP</v>
      </c>
      <c r="F37" s="173" t="str">
        <f>IF(ISERROR(VLOOKUP(D37,[4]abilities!A:D,4,FALSE))=FALSE,VLOOKUP(D37,[4]abilities!A:D,4),IF(ISERROR(VLOOKUP(D37,[5]abilities!A:D,4,FALSE))=FALSE,VLOOKUP(D37,[5]abilities!A:D,4),"なし"))</f>
        <v>ハップルチャレンジ内で自身の全ての攻撃の威力をUP</v>
      </c>
      <c r="G37" s="174" t="s">
        <v>275</v>
      </c>
      <c r="H37" s="197" t="s">
        <v>361</v>
      </c>
    </row>
    <row r="38" spans="1:8" s="4" customFormat="1" ht="21" customHeight="1" x14ac:dyDescent="0.15">
      <c r="A38" s="169">
        <v>664</v>
      </c>
      <c r="B38" s="172" t="str">
        <f>VLOOKUP(A38,[1]characters!$A:$C,3)</f>
        <v>山掴み国造り ダイダラ</v>
      </c>
      <c r="C38" s="196">
        <v>1</v>
      </c>
      <c r="D38" s="196">
        <v>9013</v>
      </c>
      <c r="E38" s="173" t="str">
        <f>IF(ISERROR(VLOOKUP(D38,[4]abilities!A:D,3,FALSE))=FALSE,VLOOKUP(D38,[4]abilities!A:D,3),IF(ISERROR(VLOOKUP(D38,[5]abilities!A:D,3,FALSE))=FALSE,VLOOKUP(D38,[5]abilities!A:D,3),"なし"))</f>
        <v>ハップルチャレンジ ダメージUP</v>
      </c>
      <c r="F38" s="173" t="str">
        <f>IF(ISERROR(VLOOKUP(D38,[4]abilities!A:D,4,FALSE))=FALSE,VLOOKUP(D38,[4]abilities!A:D,4),IF(ISERROR(VLOOKUP(D38,[5]abilities!A:D,4,FALSE))=FALSE,VLOOKUP(D38,[5]abilities!A:D,4),"なし"))</f>
        <v>ハップルチャレンジ内で自身の全ての攻撃の威力をUP</v>
      </c>
      <c r="G38" s="174" t="s">
        <v>275</v>
      </c>
      <c r="H38" s="197" t="s">
        <v>361</v>
      </c>
    </row>
  </sheetData>
  <phoneticPr fontId="2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
  <sheetViews>
    <sheetView workbookViewId="0"/>
  </sheetViews>
  <sheetFormatPr baseColWidth="12" defaultRowHeight="15" x14ac:dyDescent="0.15"/>
  <sheetData/>
  <phoneticPr fontId="22"/>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enableFormatConditionsCalculation="0">
    <tabColor indexed="17"/>
  </sheetPr>
  <dimension ref="A1:I21"/>
  <sheetViews>
    <sheetView showGridLines="0" tabSelected="1" workbookViewId="0">
      <selection activeCell="I14" sqref="I14"/>
    </sheetView>
  </sheetViews>
  <sheetFormatPr baseColWidth="12" defaultColWidth="13" defaultRowHeight="21" customHeight="1" x14ac:dyDescent="0.15"/>
  <cols>
    <col min="1" max="1" width="13" style="4"/>
    <col min="2" max="16384" width="13" style="21"/>
  </cols>
  <sheetData>
    <row r="1" spans="1:9" s="4" customFormat="1" ht="21" customHeight="1" x14ac:dyDescent="0.15">
      <c r="A1" s="28" t="s">
        <v>235</v>
      </c>
      <c r="B1" s="30">
        <v>1</v>
      </c>
      <c r="C1" s="30">
        <v>2</v>
      </c>
      <c r="D1" s="30">
        <v>3</v>
      </c>
      <c r="E1" s="30">
        <v>4</v>
      </c>
      <c r="F1" s="30">
        <v>5</v>
      </c>
      <c r="G1" s="30">
        <v>6</v>
      </c>
      <c r="H1" s="30">
        <v>7</v>
      </c>
      <c r="I1" s="30">
        <v>8</v>
      </c>
    </row>
    <row r="2" spans="1:9" s="4" customFormat="1" ht="21" customHeight="1" x14ac:dyDescent="0.15">
      <c r="A2" s="141" t="s">
        <v>236</v>
      </c>
      <c r="B2" s="142"/>
      <c r="C2" s="143"/>
      <c r="D2" s="144" t="s">
        <v>237</v>
      </c>
      <c r="E2" s="144">
        <v>30</v>
      </c>
      <c r="F2" s="144">
        <v>40</v>
      </c>
      <c r="G2" s="144">
        <f>15+F2</f>
        <v>55</v>
      </c>
      <c r="H2" s="143"/>
      <c r="I2" s="143"/>
    </row>
    <row r="3" spans="1:9" s="4" customFormat="1" ht="21" customHeight="1" x14ac:dyDescent="0.15">
      <c r="A3" s="141" t="s">
        <v>238</v>
      </c>
      <c r="B3" s="145"/>
      <c r="C3" s="146"/>
      <c r="D3" s="147" t="s">
        <v>237</v>
      </c>
      <c r="E3" s="147">
        <v>25</v>
      </c>
      <c r="F3" s="147">
        <v>35</v>
      </c>
      <c r="G3" s="144">
        <f t="shared" ref="G3:G4" si="0">15+F3</f>
        <v>50</v>
      </c>
      <c r="H3" s="146"/>
      <c r="I3" s="146"/>
    </row>
    <row r="4" spans="1:9" s="4" customFormat="1" ht="21" customHeight="1" x14ac:dyDescent="0.15">
      <c r="A4" s="141" t="s">
        <v>239</v>
      </c>
      <c r="B4" s="148"/>
      <c r="C4" s="149"/>
      <c r="D4" s="150">
        <v>10</v>
      </c>
      <c r="E4" s="150">
        <v>20</v>
      </c>
      <c r="F4" s="150">
        <v>30</v>
      </c>
      <c r="G4" s="150">
        <f t="shared" si="0"/>
        <v>45</v>
      </c>
      <c r="H4" s="149"/>
      <c r="I4" s="149"/>
    </row>
    <row r="5" spans="1:9" s="4" customFormat="1" ht="21" customHeight="1" x14ac:dyDescent="0.15">
      <c r="A5" s="160" t="s">
        <v>240</v>
      </c>
      <c r="B5" s="155"/>
      <c r="C5" s="156"/>
      <c r="D5" s="26">
        <v>9</v>
      </c>
      <c r="E5" s="26">
        <v>18</v>
      </c>
      <c r="F5" s="26">
        <v>28</v>
      </c>
      <c r="G5" s="37">
        <v>38</v>
      </c>
      <c r="H5" s="156"/>
      <c r="I5" s="156"/>
    </row>
    <row r="6" spans="1:9" s="4" customFormat="1" ht="21" customHeight="1" x14ac:dyDescent="0.15">
      <c r="A6" s="160" t="s">
        <v>241</v>
      </c>
      <c r="B6" s="155"/>
      <c r="C6" s="156"/>
      <c r="D6" s="26">
        <v>7</v>
      </c>
      <c r="E6" s="26">
        <v>16</v>
      </c>
      <c r="F6" s="65" t="s">
        <v>11</v>
      </c>
      <c r="G6" s="65" t="s">
        <v>11</v>
      </c>
      <c r="H6" s="156"/>
      <c r="I6" s="156"/>
    </row>
    <row r="7" spans="1:9" ht="21" customHeight="1" x14ac:dyDescent="0.15">
      <c r="A7" s="70" t="s">
        <v>242</v>
      </c>
      <c r="B7" s="43" t="s">
        <v>11</v>
      </c>
      <c r="C7" s="43" t="s">
        <v>11</v>
      </c>
      <c r="D7" s="37" t="s">
        <v>237</v>
      </c>
      <c r="E7" s="37" t="s">
        <v>237</v>
      </c>
      <c r="F7" s="37" t="s">
        <v>237</v>
      </c>
      <c r="G7" s="37" t="s">
        <v>237</v>
      </c>
      <c r="H7" s="37" t="s">
        <v>237</v>
      </c>
      <c r="I7" s="37" t="s">
        <v>237</v>
      </c>
    </row>
    <row r="8" spans="1:9" ht="21" customHeight="1" x14ac:dyDescent="0.15">
      <c r="A8" s="71" t="s">
        <v>243</v>
      </c>
      <c r="B8" s="43" t="s">
        <v>11</v>
      </c>
      <c r="C8" s="43" t="s">
        <v>11</v>
      </c>
      <c r="D8" s="37" t="s">
        <v>237</v>
      </c>
      <c r="E8" s="37">
        <v>30</v>
      </c>
      <c r="F8" s="37">
        <v>40</v>
      </c>
      <c r="G8" s="37">
        <f>15+F8</f>
        <v>55</v>
      </c>
      <c r="H8" s="37" t="s">
        <v>237</v>
      </c>
      <c r="I8" s="37" t="s">
        <v>237</v>
      </c>
    </row>
    <row r="9" spans="1:9" s="42" customFormat="1" ht="21" customHeight="1" x14ac:dyDescent="0.15">
      <c r="A9" s="72" t="s">
        <v>313</v>
      </c>
      <c r="B9" s="26" t="s">
        <v>11</v>
      </c>
      <c r="C9" s="26" t="s">
        <v>11</v>
      </c>
      <c r="D9" s="102" t="s">
        <v>109</v>
      </c>
      <c r="E9" s="102" t="s">
        <v>109</v>
      </c>
      <c r="F9" s="102">
        <v>38</v>
      </c>
      <c r="G9" s="37">
        <f>15+F9</f>
        <v>53</v>
      </c>
      <c r="H9" s="102" t="s">
        <v>109</v>
      </c>
      <c r="I9" s="102" t="s">
        <v>109</v>
      </c>
    </row>
    <row r="10" spans="1:9" s="42" customFormat="1" ht="21" customHeight="1" x14ac:dyDescent="0.15">
      <c r="A10" s="72" t="s">
        <v>244</v>
      </c>
      <c r="B10" s="26" t="s">
        <v>11</v>
      </c>
      <c r="C10" s="26" t="s">
        <v>11</v>
      </c>
      <c r="D10" s="102" t="s">
        <v>237</v>
      </c>
      <c r="E10" s="102">
        <v>25</v>
      </c>
      <c r="F10" s="102">
        <v>35</v>
      </c>
      <c r="G10" s="37">
        <f t="shared" ref="G10:G11" si="1">15+F10</f>
        <v>50</v>
      </c>
      <c r="H10" s="102" t="s">
        <v>237</v>
      </c>
      <c r="I10" s="102" t="s">
        <v>237</v>
      </c>
    </row>
    <row r="11" spans="1:9" ht="21" customHeight="1" x14ac:dyDescent="0.15">
      <c r="A11" s="72" t="s">
        <v>9</v>
      </c>
      <c r="B11" s="65" t="s">
        <v>11</v>
      </c>
      <c r="C11" s="65" t="s">
        <v>11</v>
      </c>
      <c r="D11" s="26">
        <v>10</v>
      </c>
      <c r="E11" s="26">
        <v>20</v>
      </c>
      <c r="F11" s="26">
        <v>30</v>
      </c>
      <c r="G11" s="37">
        <f t="shared" si="1"/>
        <v>45</v>
      </c>
      <c r="H11" s="65" t="s">
        <v>11</v>
      </c>
      <c r="I11" s="65" t="s">
        <v>11</v>
      </c>
    </row>
    <row r="12" spans="1:9" ht="21" customHeight="1" x14ac:dyDescent="0.15">
      <c r="A12" s="72" t="s">
        <v>245</v>
      </c>
      <c r="B12" s="65" t="s">
        <v>11</v>
      </c>
      <c r="C12" s="65" t="s">
        <v>11</v>
      </c>
      <c r="D12" s="26">
        <v>9</v>
      </c>
      <c r="E12" s="26">
        <v>18</v>
      </c>
      <c r="F12" s="26">
        <v>28</v>
      </c>
      <c r="G12" s="37">
        <v>38</v>
      </c>
      <c r="H12" s="65" t="s">
        <v>11</v>
      </c>
      <c r="I12" s="65" t="s">
        <v>11</v>
      </c>
    </row>
    <row r="13" spans="1:9" ht="21" customHeight="1" x14ac:dyDescent="0.15">
      <c r="A13" s="72" t="s">
        <v>246</v>
      </c>
      <c r="B13" s="65" t="s">
        <v>11</v>
      </c>
      <c r="C13" s="65" t="s">
        <v>11</v>
      </c>
      <c r="D13" s="26">
        <v>7</v>
      </c>
      <c r="E13" s="26">
        <v>16</v>
      </c>
      <c r="F13" s="183">
        <v>26</v>
      </c>
      <c r="G13" s="65" t="s">
        <v>11</v>
      </c>
      <c r="H13" s="65" t="s">
        <v>11</v>
      </c>
      <c r="I13" s="65" t="s">
        <v>11</v>
      </c>
    </row>
    <row r="14" spans="1:9" ht="21" customHeight="1" x14ac:dyDescent="0.15">
      <c r="A14" s="101" t="s">
        <v>247</v>
      </c>
      <c r="B14" s="65" t="s">
        <v>11</v>
      </c>
      <c r="C14" s="65" t="s">
        <v>11</v>
      </c>
      <c r="D14" s="26">
        <v>8</v>
      </c>
      <c r="E14" s="26">
        <v>17</v>
      </c>
      <c r="F14" s="26">
        <v>26</v>
      </c>
      <c r="G14" s="65" t="s">
        <v>11</v>
      </c>
      <c r="H14" s="65" t="s">
        <v>11</v>
      </c>
      <c r="I14" s="65" t="s">
        <v>11</v>
      </c>
    </row>
    <row r="15" spans="1:9" ht="21" customHeight="1" x14ac:dyDescent="0.15">
      <c r="A15" s="72" t="s">
        <v>248</v>
      </c>
      <c r="B15" s="65" t="s">
        <v>11</v>
      </c>
      <c r="C15" s="65" t="s">
        <v>11</v>
      </c>
      <c r="D15" s="26">
        <v>8</v>
      </c>
      <c r="E15" s="26">
        <v>17</v>
      </c>
      <c r="F15" s="26">
        <v>26</v>
      </c>
      <c r="G15" s="65" t="s">
        <v>11</v>
      </c>
      <c r="H15" s="65" t="s">
        <v>11</v>
      </c>
      <c r="I15" s="65" t="s">
        <v>11</v>
      </c>
    </row>
    <row r="16" spans="1:9" ht="21" customHeight="1" x14ac:dyDescent="0.15">
      <c r="A16" s="72" t="s">
        <v>249</v>
      </c>
      <c r="B16" s="65" t="s">
        <v>11</v>
      </c>
      <c r="C16" s="65" t="s">
        <v>11</v>
      </c>
      <c r="D16" s="26">
        <v>6</v>
      </c>
      <c r="E16" s="26">
        <v>14</v>
      </c>
      <c r="F16" s="65" t="s">
        <v>11</v>
      </c>
      <c r="G16" s="65" t="s">
        <v>11</v>
      </c>
      <c r="H16" s="65" t="s">
        <v>11</v>
      </c>
      <c r="I16" s="65" t="s">
        <v>11</v>
      </c>
    </row>
    <row r="17" spans="1:9" ht="21" customHeight="1" x14ac:dyDescent="0.15">
      <c r="A17" s="72" t="s">
        <v>250</v>
      </c>
      <c r="B17" s="65" t="s">
        <v>11</v>
      </c>
      <c r="C17" s="26">
        <v>4</v>
      </c>
      <c r="D17" s="26">
        <v>6</v>
      </c>
      <c r="E17" s="26">
        <v>14</v>
      </c>
      <c r="F17" s="65" t="s">
        <v>11</v>
      </c>
      <c r="G17" s="65" t="s">
        <v>11</v>
      </c>
      <c r="H17" s="65" t="s">
        <v>11</v>
      </c>
      <c r="I17" s="65" t="s">
        <v>11</v>
      </c>
    </row>
    <row r="18" spans="1:9" ht="21" customHeight="1" x14ac:dyDescent="0.15">
      <c r="A18" s="72" t="s">
        <v>8</v>
      </c>
      <c r="B18" s="26">
        <v>2</v>
      </c>
      <c r="C18" s="26">
        <v>4</v>
      </c>
      <c r="D18" s="26">
        <v>6</v>
      </c>
      <c r="E18" s="65" t="s">
        <v>11</v>
      </c>
      <c r="F18" s="65" t="s">
        <v>11</v>
      </c>
      <c r="G18" s="65" t="s">
        <v>11</v>
      </c>
      <c r="H18" s="65" t="s">
        <v>11</v>
      </c>
      <c r="I18" s="65" t="s">
        <v>11</v>
      </c>
    </row>
    <row r="19" spans="1:9" ht="21" customHeight="1" x14ac:dyDescent="0.15">
      <c r="A19" s="73" t="s">
        <v>7</v>
      </c>
      <c r="B19" s="29">
        <v>1</v>
      </c>
      <c r="C19" s="29">
        <v>2</v>
      </c>
      <c r="D19" s="66" t="s">
        <v>11</v>
      </c>
      <c r="E19" s="66" t="s">
        <v>11</v>
      </c>
      <c r="F19" s="66" t="s">
        <v>11</v>
      </c>
      <c r="G19" s="66" t="s">
        <v>11</v>
      </c>
      <c r="H19" s="66" t="s">
        <v>11</v>
      </c>
      <c r="I19" s="66" t="s">
        <v>11</v>
      </c>
    </row>
    <row r="20" spans="1:9" ht="21" customHeight="1" x14ac:dyDescent="0.15">
      <c r="A20" s="74" t="s">
        <v>251</v>
      </c>
      <c r="B20" s="24">
        <v>1</v>
      </c>
      <c r="C20" s="24">
        <v>1</v>
      </c>
      <c r="D20" s="66" t="s">
        <v>11</v>
      </c>
      <c r="E20" s="66" t="s">
        <v>11</v>
      </c>
      <c r="F20" s="66" t="s">
        <v>11</v>
      </c>
      <c r="G20" s="66" t="s">
        <v>11</v>
      </c>
      <c r="H20" s="66" t="s">
        <v>11</v>
      </c>
      <c r="I20" s="66" t="s">
        <v>11</v>
      </c>
    </row>
    <row r="21" spans="1:9" ht="21" customHeight="1" x14ac:dyDescent="0.15">
      <c r="A21" s="35" t="s">
        <v>252</v>
      </c>
      <c r="B21" s="34">
        <v>99</v>
      </c>
      <c r="C21" s="34">
        <v>99</v>
      </c>
      <c r="D21" s="34">
        <v>99</v>
      </c>
      <c r="E21" s="34">
        <v>99</v>
      </c>
      <c r="F21" s="34">
        <v>99</v>
      </c>
      <c r="G21" s="34">
        <v>99</v>
      </c>
      <c r="H21" s="34">
        <v>99</v>
      </c>
      <c r="I21" s="34">
        <v>99</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enableFormatConditionsCalculation="0">
    <tabColor indexed="17"/>
  </sheetPr>
  <dimension ref="A1:I21"/>
  <sheetViews>
    <sheetView showGridLines="0" workbookViewId="0">
      <selection activeCell="J17" sqref="J17"/>
    </sheetView>
  </sheetViews>
  <sheetFormatPr baseColWidth="12" defaultColWidth="13" defaultRowHeight="21" customHeight="1" x14ac:dyDescent="0.15"/>
  <cols>
    <col min="1" max="1" width="13" style="4"/>
    <col min="2" max="16384" width="13" style="21"/>
  </cols>
  <sheetData>
    <row r="1" spans="1:9" ht="21" customHeight="1" x14ac:dyDescent="0.15">
      <c r="A1" s="30" t="s">
        <v>10</v>
      </c>
      <c r="B1" s="20">
        <v>1</v>
      </c>
      <c r="C1" s="20">
        <v>2</v>
      </c>
      <c r="D1" s="20">
        <v>3</v>
      </c>
      <c r="E1" s="20">
        <v>4</v>
      </c>
      <c r="F1" s="20">
        <v>5</v>
      </c>
      <c r="G1" s="20">
        <v>6</v>
      </c>
      <c r="H1" s="20">
        <v>7</v>
      </c>
      <c r="I1" s="20">
        <v>8</v>
      </c>
    </row>
    <row r="2" spans="1:9" s="4" customFormat="1" ht="21" customHeight="1" x14ac:dyDescent="0.15">
      <c r="A2" s="141" t="s">
        <v>236</v>
      </c>
      <c r="B2" s="157"/>
      <c r="C2" s="143"/>
      <c r="D2" s="151" t="s">
        <v>109</v>
      </c>
      <c r="E2" s="151">
        <v>60</v>
      </c>
      <c r="F2" s="151">
        <v>80</v>
      </c>
      <c r="G2" s="151">
        <v>99</v>
      </c>
      <c r="H2" s="143"/>
      <c r="I2" s="143"/>
    </row>
    <row r="3" spans="1:9" s="4" customFormat="1" ht="21" customHeight="1" x14ac:dyDescent="0.15">
      <c r="A3" s="141" t="s">
        <v>238</v>
      </c>
      <c r="B3" s="158"/>
      <c r="C3" s="146"/>
      <c r="D3" s="151" t="s">
        <v>109</v>
      </c>
      <c r="E3" s="151">
        <v>60</v>
      </c>
      <c r="F3" s="151">
        <v>80</v>
      </c>
      <c r="G3" s="151">
        <v>99</v>
      </c>
      <c r="H3" s="146"/>
      <c r="I3" s="146"/>
    </row>
    <row r="4" spans="1:9" s="4" customFormat="1" ht="21" customHeight="1" x14ac:dyDescent="0.15">
      <c r="A4" s="141" t="s">
        <v>232</v>
      </c>
      <c r="B4" s="159"/>
      <c r="C4" s="149"/>
      <c r="D4" s="151">
        <v>40</v>
      </c>
      <c r="E4" s="151">
        <v>60</v>
      </c>
      <c r="F4" s="151">
        <v>80</v>
      </c>
      <c r="G4" s="151">
        <v>99</v>
      </c>
      <c r="H4" s="149"/>
      <c r="I4" s="149"/>
    </row>
    <row r="5" spans="1:9" s="4" customFormat="1" ht="21" customHeight="1" x14ac:dyDescent="0.15">
      <c r="A5" s="160" t="s">
        <v>240</v>
      </c>
      <c r="B5" s="155"/>
      <c r="C5" s="156"/>
      <c r="D5" s="151">
        <v>40</v>
      </c>
      <c r="E5" s="151">
        <v>60</v>
      </c>
      <c r="F5" s="151">
        <v>80</v>
      </c>
      <c r="G5" s="151">
        <v>99</v>
      </c>
      <c r="H5" s="156"/>
      <c r="I5" s="156"/>
    </row>
    <row r="6" spans="1:9" s="4" customFormat="1" ht="21" customHeight="1" x14ac:dyDescent="0.15">
      <c r="A6" s="160" t="s">
        <v>241</v>
      </c>
      <c r="B6" s="155"/>
      <c r="C6" s="156"/>
      <c r="D6" s="151">
        <v>40</v>
      </c>
      <c r="E6" s="151">
        <v>60</v>
      </c>
      <c r="F6" s="151" t="s">
        <v>109</v>
      </c>
      <c r="G6" s="151" t="s">
        <v>109</v>
      </c>
      <c r="H6" s="156"/>
      <c r="I6" s="156"/>
    </row>
    <row r="7" spans="1:9" ht="21" customHeight="1" x14ac:dyDescent="0.15">
      <c r="A7" s="70" t="s">
        <v>208</v>
      </c>
      <c r="B7" s="38" t="s">
        <v>109</v>
      </c>
      <c r="C7" s="38" t="s">
        <v>109</v>
      </c>
      <c r="D7" s="38" t="s">
        <v>109</v>
      </c>
      <c r="E7" s="38" t="s">
        <v>109</v>
      </c>
      <c r="F7" s="38" t="s">
        <v>109</v>
      </c>
      <c r="G7" s="38" t="s">
        <v>109</v>
      </c>
      <c r="H7" s="38" t="s">
        <v>109</v>
      </c>
      <c r="I7" s="38" t="s">
        <v>109</v>
      </c>
    </row>
    <row r="8" spans="1:9" ht="21" customHeight="1" x14ac:dyDescent="0.15">
      <c r="A8" s="71" t="s">
        <v>243</v>
      </c>
      <c r="B8" s="38" t="s">
        <v>109</v>
      </c>
      <c r="C8" s="38" t="s">
        <v>109</v>
      </c>
      <c r="D8" s="38" t="s">
        <v>109</v>
      </c>
      <c r="E8" s="38">
        <v>60</v>
      </c>
      <c r="F8" s="38">
        <v>80</v>
      </c>
      <c r="G8" s="38">
        <v>99</v>
      </c>
      <c r="H8" s="38" t="s">
        <v>109</v>
      </c>
      <c r="I8" s="38" t="s">
        <v>109</v>
      </c>
    </row>
    <row r="9" spans="1:9" s="42" customFormat="1" ht="21" customHeight="1" x14ac:dyDescent="0.15">
      <c r="A9" s="72" t="s">
        <v>314</v>
      </c>
      <c r="B9" s="62" t="s">
        <v>109</v>
      </c>
      <c r="C9" s="62" t="s">
        <v>109</v>
      </c>
      <c r="D9" s="62" t="s">
        <v>109</v>
      </c>
      <c r="E9" s="62" t="s">
        <v>109</v>
      </c>
      <c r="F9" s="62">
        <v>80</v>
      </c>
      <c r="G9" s="62">
        <v>99</v>
      </c>
      <c r="H9" s="62" t="s">
        <v>109</v>
      </c>
      <c r="I9" s="62" t="s">
        <v>109</v>
      </c>
    </row>
    <row r="10" spans="1:9" s="42" customFormat="1" ht="21" customHeight="1" x14ac:dyDescent="0.15">
      <c r="A10" s="72" t="s">
        <v>244</v>
      </c>
      <c r="B10" s="62" t="s">
        <v>109</v>
      </c>
      <c r="C10" s="62" t="s">
        <v>109</v>
      </c>
      <c r="D10" s="62" t="s">
        <v>109</v>
      </c>
      <c r="E10" s="62">
        <v>60</v>
      </c>
      <c r="F10" s="62">
        <v>80</v>
      </c>
      <c r="G10" s="62">
        <v>99</v>
      </c>
      <c r="H10" s="62" t="s">
        <v>109</v>
      </c>
      <c r="I10" s="62" t="s">
        <v>109</v>
      </c>
    </row>
    <row r="11" spans="1:9" ht="21" customHeight="1" x14ac:dyDescent="0.15">
      <c r="A11" s="72" t="s">
        <v>9</v>
      </c>
      <c r="B11" s="67" t="s">
        <v>109</v>
      </c>
      <c r="C11" s="67" t="s">
        <v>109</v>
      </c>
      <c r="D11" s="34">
        <v>40</v>
      </c>
      <c r="E11" s="34">
        <v>60</v>
      </c>
      <c r="F11" s="34">
        <v>80</v>
      </c>
      <c r="G11" s="38">
        <v>99</v>
      </c>
      <c r="H11" s="67" t="s">
        <v>109</v>
      </c>
      <c r="I11" s="67" t="s">
        <v>109</v>
      </c>
    </row>
    <row r="12" spans="1:9" ht="21" customHeight="1" x14ac:dyDescent="0.15">
      <c r="A12" s="72" t="s">
        <v>211</v>
      </c>
      <c r="B12" s="67" t="s">
        <v>109</v>
      </c>
      <c r="C12" s="67" t="s">
        <v>109</v>
      </c>
      <c r="D12" s="34">
        <v>40</v>
      </c>
      <c r="E12" s="34">
        <v>60</v>
      </c>
      <c r="F12" s="34">
        <v>80</v>
      </c>
      <c r="G12" s="62">
        <v>99</v>
      </c>
      <c r="H12" s="67" t="s">
        <v>109</v>
      </c>
      <c r="I12" s="67" t="s">
        <v>109</v>
      </c>
    </row>
    <row r="13" spans="1:9" ht="21" customHeight="1" x14ac:dyDescent="0.15">
      <c r="A13" s="72" t="s">
        <v>207</v>
      </c>
      <c r="B13" s="67" t="s">
        <v>109</v>
      </c>
      <c r="C13" s="67" t="s">
        <v>109</v>
      </c>
      <c r="D13" s="34">
        <v>40</v>
      </c>
      <c r="E13" s="34">
        <v>60</v>
      </c>
      <c r="F13" s="184">
        <v>80</v>
      </c>
      <c r="G13" s="67" t="s">
        <v>109</v>
      </c>
      <c r="H13" s="67" t="s">
        <v>109</v>
      </c>
      <c r="I13" s="67" t="s">
        <v>109</v>
      </c>
    </row>
    <row r="14" spans="1:9" ht="21" customHeight="1" x14ac:dyDescent="0.15">
      <c r="A14" s="101" t="s">
        <v>247</v>
      </c>
      <c r="B14" s="67" t="s">
        <v>109</v>
      </c>
      <c r="C14" s="67" t="s">
        <v>109</v>
      </c>
      <c r="D14" s="34">
        <v>40</v>
      </c>
      <c r="E14" s="34">
        <v>60</v>
      </c>
      <c r="F14" s="34">
        <v>80</v>
      </c>
      <c r="G14" s="67" t="s">
        <v>109</v>
      </c>
      <c r="H14" s="67" t="s">
        <v>109</v>
      </c>
      <c r="I14" s="67" t="s">
        <v>109</v>
      </c>
    </row>
    <row r="15" spans="1:9" ht="21" customHeight="1" x14ac:dyDescent="0.15">
      <c r="A15" s="72" t="s">
        <v>248</v>
      </c>
      <c r="B15" s="67" t="s">
        <v>109</v>
      </c>
      <c r="C15" s="67" t="s">
        <v>109</v>
      </c>
      <c r="D15" s="34">
        <v>40</v>
      </c>
      <c r="E15" s="34">
        <v>60</v>
      </c>
      <c r="F15" s="34">
        <v>80</v>
      </c>
      <c r="G15" s="67" t="s">
        <v>109</v>
      </c>
      <c r="H15" s="67" t="s">
        <v>109</v>
      </c>
      <c r="I15" s="67" t="s">
        <v>109</v>
      </c>
    </row>
    <row r="16" spans="1:9" ht="21" customHeight="1" x14ac:dyDescent="0.15">
      <c r="A16" s="72" t="s">
        <v>105</v>
      </c>
      <c r="B16" s="67" t="s">
        <v>109</v>
      </c>
      <c r="C16" s="34">
        <v>30</v>
      </c>
      <c r="D16" s="34">
        <v>40</v>
      </c>
      <c r="E16" s="34">
        <v>60</v>
      </c>
      <c r="F16" s="67" t="s">
        <v>109</v>
      </c>
      <c r="G16" s="67" t="s">
        <v>109</v>
      </c>
      <c r="H16" s="67" t="s">
        <v>109</v>
      </c>
      <c r="I16" s="67" t="s">
        <v>109</v>
      </c>
    </row>
    <row r="17" spans="1:9" ht="21" customHeight="1" x14ac:dyDescent="0.15">
      <c r="A17" s="72" t="s">
        <v>250</v>
      </c>
      <c r="B17" s="67" t="s">
        <v>109</v>
      </c>
      <c r="C17" s="34">
        <v>30</v>
      </c>
      <c r="D17" s="34">
        <v>40</v>
      </c>
      <c r="E17" s="34">
        <v>60</v>
      </c>
      <c r="F17" s="67" t="s">
        <v>109</v>
      </c>
      <c r="G17" s="67" t="s">
        <v>109</v>
      </c>
      <c r="H17" s="67" t="s">
        <v>109</v>
      </c>
      <c r="I17" s="67" t="s">
        <v>109</v>
      </c>
    </row>
    <row r="18" spans="1:9" ht="21" customHeight="1" x14ac:dyDescent="0.15">
      <c r="A18" s="72" t="s">
        <v>8</v>
      </c>
      <c r="B18" s="34">
        <v>15</v>
      </c>
      <c r="C18" s="34">
        <v>30</v>
      </c>
      <c r="D18" s="34">
        <v>40</v>
      </c>
      <c r="E18" s="67" t="s">
        <v>109</v>
      </c>
      <c r="F18" s="67" t="s">
        <v>109</v>
      </c>
      <c r="G18" s="67" t="s">
        <v>109</v>
      </c>
      <c r="H18" s="67" t="s">
        <v>109</v>
      </c>
      <c r="I18" s="67" t="s">
        <v>109</v>
      </c>
    </row>
    <row r="19" spans="1:9" ht="21" customHeight="1" x14ac:dyDescent="0.15">
      <c r="A19" s="73" t="s">
        <v>7</v>
      </c>
      <c r="B19" s="34">
        <v>15</v>
      </c>
      <c r="C19" s="34">
        <v>30</v>
      </c>
      <c r="D19" s="34">
        <v>40</v>
      </c>
      <c r="E19" s="67" t="s">
        <v>217</v>
      </c>
      <c r="F19" s="67" t="s">
        <v>217</v>
      </c>
      <c r="G19" s="67" t="s">
        <v>217</v>
      </c>
      <c r="H19" s="67" t="s">
        <v>217</v>
      </c>
      <c r="I19" s="67" t="s">
        <v>217</v>
      </c>
    </row>
    <row r="20" spans="1:9" ht="21" customHeight="1" x14ac:dyDescent="0.15">
      <c r="A20" s="74" t="s">
        <v>251</v>
      </c>
      <c r="B20" s="34">
        <v>10</v>
      </c>
      <c r="C20" s="34">
        <v>20</v>
      </c>
      <c r="D20" s="67" t="s">
        <v>217</v>
      </c>
      <c r="E20" s="67" t="s">
        <v>217</v>
      </c>
      <c r="F20" s="67" t="s">
        <v>217</v>
      </c>
      <c r="G20" s="67" t="s">
        <v>217</v>
      </c>
      <c r="H20" s="67" t="s">
        <v>217</v>
      </c>
      <c r="I20" s="67" t="s">
        <v>217</v>
      </c>
    </row>
    <row r="21" spans="1:9" ht="21" customHeight="1" x14ac:dyDescent="0.15">
      <c r="A21" s="35" t="s">
        <v>252</v>
      </c>
      <c r="B21" s="34">
        <v>1</v>
      </c>
      <c r="C21" s="34">
        <v>1</v>
      </c>
      <c r="D21" s="34">
        <v>1</v>
      </c>
      <c r="E21" s="34">
        <v>1</v>
      </c>
      <c r="F21" s="34">
        <v>1</v>
      </c>
      <c r="G21" s="34">
        <v>1</v>
      </c>
      <c r="H21" s="34">
        <v>1</v>
      </c>
      <c r="I21" s="34">
        <v>1</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indexed="17"/>
  </sheetPr>
  <dimension ref="A1:K32"/>
  <sheetViews>
    <sheetView showGridLines="0" workbookViewId="0">
      <selection activeCell="F15" sqref="F15"/>
    </sheetView>
  </sheetViews>
  <sheetFormatPr baseColWidth="12" defaultColWidth="13" defaultRowHeight="21" customHeight="1" x14ac:dyDescent="0.15"/>
  <cols>
    <col min="1" max="16384" width="13" style="21"/>
  </cols>
  <sheetData>
    <row r="1" spans="1:11" ht="21" customHeight="1" x14ac:dyDescent="0.15">
      <c r="A1" s="45" t="s">
        <v>10</v>
      </c>
      <c r="B1" s="46">
        <v>1</v>
      </c>
      <c r="C1" s="46">
        <v>2</v>
      </c>
      <c r="D1" s="46">
        <v>3</v>
      </c>
      <c r="E1" s="46">
        <v>4</v>
      </c>
      <c r="F1" s="46">
        <v>5</v>
      </c>
      <c r="G1" s="46">
        <v>6</v>
      </c>
      <c r="H1" s="46">
        <v>7</v>
      </c>
      <c r="I1" s="46">
        <v>8</v>
      </c>
    </row>
    <row r="2" spans="1:11" s="4" customFormat="1" ht="21" customHeight="1" x14ac:dyDescent="0.15">
      <c r="A2" s="141" t="s">
        <v>236</v>
      </c>
      <c r="B2" s="142"/>
      <c r="C2" s="143"/>
      <c r="D2" s="151" t="s">
        <v>109</v>
      </c>
      <c r="E2" s="152" t="s">
        <v>59</v>
      </c>
      <c r="F2" s="152" t="s">
        <v>59</v>
      </c>
      <c r="G2" s="152" t="s">
        <v>253</v>
      </c>
      <c r="H2" s="143"/>
      <c r="I2" s="143"/>
    </row>
    <row r="3" spans="1:11" s="4" customFormat="1" ht="21" customHeight="1" x14ac:dyDescent="0.15">
      <c r="A3" s="141" t="s">
        <v>238</v>
      </c>
      <c r="B3" s="145"/>
      <c r="C3" s="146"/>
      <c r="D3" s="152" t="s">
        <v>59</v>
      </c>
      <c r="E3" s="152" t="s">
        <v>59</v>
      </c>
      <c r="F3" s="152" t="s">
        <v>59</v>
      </c>
      <c r="G3" s="152" t="s">
        <v>231</v>
      </c>
      <c r="H3" s="146"/>
      <c r="I3" s="146"/>
    </row>
    <row r="4" spans="1:11" s="4" customFormat="1" ht="21" customHeight="1" x14ac:dyDescent="0.15">
      <c r="A4" s="141" t="s">
        <v>232</v>
      </c>
      <c r="B4" s="148"/>
      <c r="C4" s="149"/>
      <c r="D4" s="153" t="s">
        <v>59</v>
      </c>
      <c r="E4" s="153" t="s">
        <v>59</v>
      </c>
      <c r="F4" s="153" t="s">
        <v>59</v>
      </c>
      <c r="G4" s="152" t="s">
        <v>231</v>
      </c>
      <c r="H4" s="149"/>
      <c r="I4" s="149"/>
    </row>
    <row r="5" spans="1:11" s="4" customFormat="1" ht="21" customHeight="1" x14ac:dyDescent="0.15">
      <c r="A5" s="160" t="s">
        <v>240</v>
      </c>
      <c r="B5" s="155"/>
      <c r="C5" s="156"/>
      <c r="D5" s="153" t="s">
        <v>59</v>
      </c>
      <c r="E5" s="153" t="s">
        <v>59</v>
      </c>
      <c r="F5" s="153" t="s">
        <v>59</v>
      </c>
      <c r="G5" s="152" t="s">
        <v>221</v>
      </c>
      <c r="H5" s="156"/>
      <c r="I5" s="156"/>
    </row>
    <row r="6" spans="1:11" s="4" customFormat="1" ht="21" customHeight="1" x14ac:dyDescent="0.15">
      <c r="A6" s="160" t="s">
        <v>241</v>
      </c>
      <c r="B6" s="155"/>
      <c r="C6" s="156"/>
      <c r="D6" s="161" t="s">
        <v>60</v>
      </c>
      <c r="E6" s="161" t="s">
        <v>60</v>
      </c>
      <c r="F6" s="151" t="s">
        <v>109</v>
      </c>
      <c r="G6" s="151" t="s">
        <v>109</v>
      </c>
      <c r="H6" s="156"/>
      <c r="I6" s="156"/>
    </row>
    <row r="7" spans="1:11" ht="21" customHeight="1" x14ac:dyDescent="0.15">
      <c r="A7" s="70" t="s">
        <v>208</v>
      </c>
      <c r="B7" s="38" t="s">
        <v>109</v>
      </c>
      <c r="C7" s="38" t="s">
        <v>109</v>
      </c>
      <c r="D7" s="38" t="s">
        <v>109</v>
      </c>
      <c r="E7" s="38" t="s">
        <v>109</v>
      </c>
      <c r="F7" s="38" t="s">
        <v>109</v>
      </c>
      <c r="G7" s="38" t="s">
        <v>109</v>
      </c>
      <c r="H7" s="38" t="s">
        <v>109</v>
      </c>
      <c r="I7" s="38" t="s">
        <v>109</v>
      </c>
    </row>
    <row r="8" spans="1:11" ht="21" customHeight="1" x14ac:dyDescent="0.15">
      <c r="A8" s="71" t="s">
        <v>243</v>
      </c>
      <c r="B8" s="38" t="s">
        <v>109</v>
      </c>
      <c r="C8" s="38" t="s">
        <v>109</v>
      </c>
      <c r="D8" s="38" t="s">
        <v>218</v>
      </c>
      <c r="E8" s="48" t="s">
        <v>115</v>
      </c>
      <c r="F8" s="48" t="s">
        <v>115</v>
      </c>
      <c r="G8" s="48" t="s">
        <v>219</v>
      </c>
      <c r="H8" s="38" t="s">
        <v>218</v>
      </c>
      <c r="I8" s="38" t="s">
        <v>109</v>
      </c>
    </row>
    <row r="9" spans="1:11" s="42" customFormat="1" ht="21" customHeight="1" x14ac:dyDescent="0.15">
      <c r="A9" s="72" t="s">
        <v>313</v>
      </c>
      <c r="B9" s="62" t="s">
        <v>109</v>
      </c>
      <c r="C9" s="62" t="s">
        <v>109</v>
      </c>
      <c r="D9" s="62" t="s">
        <v>109</v>
      </c>
      <c r="E9" s="62" t="s">
        <v>109</v>
      </c>
      <c r="F9" s="48" t="s">
        <v>59</v>
      </c>
      <c r="G9" s="48" t="s">
        <v>115</v>
      </c>
      <c r="H9" s="62" t="s">
        <v>109</v>
      </c>
      <c r="I9" s="62" t="s">
        <v>109</v>
      </c>
    </row>
    <row r="10" spans="1:11" s="42" customFormat="1" ht="21" customHeight="1" x14ac:dyDescent="0.15">
      <c r="A10" s="72" t="s">
        <v>244</v>
      </c>
      <c r="B10" s="62" t="s">
        <v>109</v>
      </c>
      <c r="C10" s="62" t="s">
        <v>109</v>
      </c>
      <c r="D10" s="62" t="s">
        <v>109</v>
      </c>
      <c r="E10" s="48" t="s">
        <v>59</v>
      </c>
      <c r="F10" s="48" t="s">
        <v>59</v>
      </c>
      <c r="G10" s="48" t="s">
        <v>115</v>
      </c>
      <c r="H10" s="62" t="s">
        <v>220</v>
      </c>
      <c r="I10" s="62" t="s">
        <v>220</v>
      </c>
    </row>
    <row r="11" spans="1:11" ht="21" customHeight="1" x14ac:dyDescent="0.15">
      <c r="A11" s="72" t="s">
        <v>9</v>
      </c>
      <c r="B11" s="67" t="s">
        <v>109</v>
      </c>
      <c r="C11" s="67" t="s">
        <v>109</v>
      </c>
      <c r="D11" s="48" t="s">
        <v>59</v>
      </c>
      <c r="E11" s="48" t="s">
        <v>59</v>
      </c>
      <c r="F11" s="48" t="s">
        <v>59</v>
      </c>
      <c r="G11" s="48" t="s">
        <v>221</v>
      </c>
      <c r="H11" s="67" t="s">
        <v>220</v>
      </c>
      <c r="I11" s="67" t="s">
        <v>220</v>
      </c>
      <c r="K11" s="25" t="s">
        <v>12</v>
      </c>
    </row>
    <row r="12" spans="1:11" ht="21" customHeight="1" x14ac:dyDescent="0.15">
      <c r="A12" s="72" t="s">
        <v>211</v>
      </c>
      <c r="B12" s="67" t="s">
        <v>109</v>
      </c>
      <c r="C12" s="67" t="s">
        <v>109</v>
      </c>
      <c r="D12" s="49" t="s">
        <v>59</v>
      </c>
      <c r="E12" s="49" t="s">
        <v>59</v>
      </c>
      <c r="F12" s="49" t="s">
        <v>59</v>
      </c>
      <c r="G12" s="48" t="s">
        <v>221</v>
      </c>
      <c r="H12" s="67" t="s">
        <v>220</v>
      </c>
      <c r="I12" s="67" t="s">
        <v>220</v>
      </c>
      <c r="K12" s="27" t="s">
        <v>13</v>
      </c>
    </row>
    <row r="13" spans="1:11" ht="21" customHeight="1" x14ac:dyDescent="0.15">
      <c r="A13" s="72" t="s">
        <v>207</v>
      </c>
      <c r="B13" s="67" t="s">
        <v>109</v>
      </c>
      <c r="C13" s="67" t="s">
        <v>109</v>
      </c>
      <c r="D13" s="50" t="s">
        <v>60</v>
      </c>
      <c r="E13" s="50" t="s">
        <v>60</v>
      </c>
      <c r="F13" s="185" t="s">
        <v>59</v>
      </c>
      <c r="G13" s="67" t="s">
        <v>109</v>
      </c>
      <c r="H13" s="67" t="s">
        <v>109</v>
      </c>
      <c r="I13" s="67" t="s">
        <v>109</v>
      </c>
      <c r="K13" s="68" t="s">
        <v>35</v>
      </c>
    </row>
    <row r="14" spans="1:11" ht="21" customHeight="1" x14ac:dyDescent="0.15">
      <c r="A14" s="101" t="s">
        <v>247</v>
      </c>
      <c r="B14" s="67" t="s">
        <v>109</v>
      </c>
      <c r="C14" s="67" t="s">
        <v>109</v>
      </c>
      <c r="D14" s="51" t="s">
        <v>59</v>
      </c>
      <c r="E14" s="51" t="s">
        <v>59</v>
      </c>
      <c r="F14" s="51" t="s">
        <v>59</v>
      </c>
      <c r="G14" s="67" t="s">
        <v>109</v>
      </c>
      <c r="H14" s="67" t="s">
        <v>109</v>
      </c>
      <c r="I14" s="67" t="s">
        <v>109</v>
      </c>
      <c r="K14" s="69"/>
    </row>
    <row r="15" spans="1:11" ht="21" customHeight="1" x14ac:dyDescent="0.15">
      <c r="A15" s="72" t="s">
        <v>248</v>
      </c>
      <c r="B15" s="67" t="s">
        <v>109</v>
      </c>
      <c r="C15" s="67" t="s">
        <v>109</v>
      </c>
      <c r="D15" s="51" t="s">
        <v>59</v>
      </c>
      <c r="E15" s="51" t="s">
        <v>59</v>
      </c>
      <c r="F15" s="51" t="s">
        <v>59</v>
      </c>
      <c r="G15" s="67" t="s">
        <v>109</v>
      </c>
      <c r="H15" s="67" t="s">
        <v>109</v>
      </c>
      <c r="I15" s="67" t="s">
        <v>109</v>
      </c>
    </row>
    <row r="16" spans="1:11" ht="21" customHeight="1" x14ac:dyDescent="0.15">
      <c r="A16" s="72" t="s">
        <v>105</v>
      </c>
      <c r="B16" s="67" t="s">
        <v>109</v>
      </c>
      <c r="C16" s="67" t="s">
        <v>109</v>
      </c>
      <c r="D16" s="51" t="s">
        <v>60</v>
      </c>
      <c r="E16" s="51" t="s">
        <v>60</v>
      </c>
      <c r="F16" s="67" t="s">
        <v>109</v>
      </c>
      <c r="G16" s="67" t="s">
        <v>109</v>
      </c>
      <c r="H16" s="67" t="s">
        <v>109</v>
      </c>
      <c r="I16" s="67" t="s">
        <v>109</v>
      </c>
    </row>
    <row r="17" spans="1:9" ht="21" customHeight="1" x14ac:dyDescent="0.15">
      <c r="A17" s="72" t="s">
        <v>250</v>
      </c>
      <c r="B17" s="67" t="s">
        <v>109</v>
      </c>
      <c r="C17" s="51" t="s">
        <v>60</v>
      </c>
      <c r="D17" s="51" t="s">
        <v>60</v>
      </c>
      <c r="E17" s="51" t="s">
        <v>60</v>
      </c>
      <c r="F17" s="67" t="s">
        <v>109</v>
      </c>
      <c r="G17" s="67" t="s">
        <v>109</v>
      </c>
      <c r="H17" s="67" t="s">
        <v>109</v>
      </c>
      <c r="I17" s="67" t="s">
        <v>109</v>
      </c>
    </row>
    <row r="18" spans="1:9" ht="21" customHeight="1" x14ac:dyDescent="0.15">
      <c r="A18" s="72" t="s">
        <v>8</v>
      </c>
      <c r="B18" s="52" t="s">
        <v>61</v>
      </c>
      <c r="C18" s="52" t="s">
        <v>61</v>
      </c>
      <c r="D18" s="52" t="s">
        <v>61</v>
      </c>
      <c r="E18" s="67" t="s">
        <v>109</v>
      </c>
      <c r="F18" s="67" t="s">
        <v>109</v>
      </c>
      <c r="G18" s="67" t="s">
        <v>109</v>
      </c>
      <c r="H18" s="67" t="s">
        <v>109</v>
      </c>
      <c r="I18" s="67" t="s">
        <v>109</v>
      </c>
    </row>
    <row r="19" spans="1:9" ht="21" customHeight="1" x14ac:dyDescent="0.15">
      <c r="A19" s="73" t="s">
        <v>7</v>
      </c>
      <c r="B19" s="47" t="s">
        <v>62</v>
      </c>
      <c r="C19" s="47" t="s">
        <v>62</v>
      </c>
      <c r="D19" s="67" t="s">
        <v>109</v>
      </c>
      <c r="E19" s="67" t="s">
        <v>109</v>
      </c>
      <c r="F19" s="67" t="s">
        <v>109</v>
      </c>
      <c r="G19" s="67" t="s">
        <v>109</v>
      </c>
      <c r="H19" s="67" t="s">
        <v>109</v>
      </c>
      <c r="I19" s="67" t="s">
        <v>109</v>
      </c>
    </row>
    <row r="20" spans="1:9" ht="21" customHeight="1" x14ac:dyDescent="0.15">
      <c r="A20" s="74" t="s">
        <v>251</v>
      </c>
      <c r="B20" s="49" t="s">
        <v>63</v>
      </c>
      <c r="C20" s="49" t="s">
        <v>63</v>
      </c>
      <c r="D20" s="67" t="s">
        <v>109</v>
      </c>
      <c r="E20" s="67" t="s">
        <v>109</v>
      </c>
      <c r="F20" s="67" t="s">
        <v>109</v>
      </c>
      <c r="G20" s="67" t="s">
        <v>109</v>
      </c>
      <c r="H20" s="67" t="s">
        <v>109</v>
      </c>
      <c r="I20" s="67" t="s">
        <v>109</v>
      </c>
    </row>
    <row r="21" spans="1:9" ht="21" customHeight="1" x14ac:dyDescent="0.15">
      <c r="A21" s="35" t="s">
        <v>252</v>
      </c>
      <c r="B21" s="75" t="s">
        <v>47</v>
      </c>
      <c r="C21" s="75" t="s">
        <v>47</v>
      </c>
      <c r="D21" s="75" t="s">
        <v>47</v>
      </c>
      <c r="E21" s="75" t="s">
        <v>47</v>
      </c>
      <c r="F21" s="75" t="s">
        <v>47</v>
      </c>
      <c r="G21" s="75" t="s">
        <v>47</v>
      </c>
      <c r="H21" s="75" t="s">
        <v>47</v>
      </c>
      <c r="I21" s="75" t="s">
        <v>47</v>
      </c>
    </row>
    <row r="26" spans="1:9" ht="21" customHeight="1" x14ac:dyDescent="0.15">
      <c r="A26" s="21" t="s">
        <v>14</v>
      </c>
    </row>
    <row r="27" spans="1:9" ht="21" customHeight="1" x14ac:dyDescent="0.15">
      <c r="A27" s="19" t="s">
        <v>64</v>
      </c>
      <c r="B27" s="19" t="s">
        <v>65</v>
      </c>
    </row>
    <row r="28" spans="1:9" ht="21" customHeight="1" x14ac:dyDescent="0.15">
      <c r="A28" s="22">
        <v>1</v>
      </c>
      <c r="B28" s="22">
        <v>200</v>
      </c>
    </row>
    <row r="29" spans="1:9" ht="21" customHeight="1" x14ac:dyDescent="0.15">
      <c r="A29" s="22">
        <v>2</v>
      </c>
      <c r="B29" s="22">
        <v>600</v>
      </c>
    </row>
    <row r="30" spans="1:9" ht="21" customHeight="1" x14ac:dyDescent="0.15">
      <c r="A30" s="22">
        <v>3</v>
      </c>
      <c r="B30" s="22">
        <v>1500</v>
      </c>
    </row>
    <row r="31" spans="1:9" ht="21" customHeight="1" x14ac:dyDescent="0.15">
      <c r="A31" s="22">
        <v>4</v>
      </c>
      <c r="B31" s="22">
        <v>3400</v>
      </c>
    </row>
    <row r="32" spans="1:9" ht="21" customHeight="1" x14ac:dyDescent="0.15">
      <c r="A32" s="22">
        <v>5</v>
      </c>
      <c r="B32" s="22">
        <v>6400</v>
      </c>
    </row>
  </sheetData>
  <sheetProtection selectLockedCells="1" selectUnlockedCells="1"/>
  <phoneticPr fontId="9"/>
  <conditionalFormatting sqref="A35:I65541 J1:IV1 J11:J14 L11:IV14 J15:IV65541 J7:IV7">
    <cfRule type="cellIs" dxfId="23" priority="28" stopIfTrue="1" operator="equal">
      <formula>1</formula>
    </cfRule>
  </conditionalFormatting>
  <conditionalFormatting sqref="A25:B26 A33:B34 C25:I34">
    <cfRule type="cellIs" dxfId="22" priority="27" stopIfTrue="1" operator="equal">
      <formula>1</formula>
    </cfRule>
  </conditionalFormatting>
  <conditionalFormatting sqref="K11:K14">
    <cfRule type="cellIs" dxfId="21" priority="23" stopIfTrue="1" operator="equal">
      <formula>1</formula>
    </cfRule>
  </conditionalFormatting>
  <conditionalFormatting sqref="J8:IV8">
    <cfRule type="cellIs" dxfId="20" priority="22" stopIfTrue="1" operator="equal">
      <formula>1</formula>
    </cfRule>
  </conditionalFormatting>
  <conditionalFormatting sqref="J10:IV10">
    <cfRule type="cellIs" dxfId="19" priority="21" stopIfTrue="1" operator="equal">
      <formula>1</formula>
    </cfRule>
  </conditionalFormatting>
  <conditionalFormatting sqref="G20:I20">
    <cfRule type="cellIs" dxfId="18" priority="13" stopIfTrue="1" operator="equal">
      <formula>1</formula>
    </cfRule>
  </conditionalFormatting>
  <conditionalFormatting sqref="D19:G19 F16:G18 H16:I19">
    <cfRule type="cellIs" dxfId="17" priority="12" stopIfTrue="1" operator="equal">
      <formula>1</formula>
    </cfRule>
  </conditionalFormatting>
  <conditionalFormatting sqref="F18:G18">
    <cfRule type="cellIs" dxfId="16" priority="11" stopIfTrue="1" operator="equal">
      <formula>1</formula>
    </cfRule>
  </conditionalFormatting>
  <conditionalFormatting sqref="A21">
    <cfRule type="cellIs" dxfId="15" priority="10" stopIfTrue="1" operator="equal">
      <formula>1</formula>
    </cfRule>
  </conditionalFormatting>
  <conditionalFormatting sqref="G13:I15 H11:I12">
    <cfRule type="cellIs" dxfId="14" priority="9" stopIfTrue="1" operator="equal">
      <formula>1</formula>
    </cfRule>
  </conditionalFormatting>
  <conditionalFormatting sqref="B11:C16">
    <cfRule type="cellIs" dxfId="13" priority="8" stopIfTrue="1" operator="equal">
      <formula>1</formula>
    </cfRule>
  </conditionalFormatting>
  <conditionalFormatting sqref="B17">
    <cfRule type="cellIs" dxfId="12" priority="7" stopIfTrue="1" operator="equal">
      <formula>1</formula>
    </cfRule>
  </conditionalFormatting>
  <conditionalFormatting sqref="E18">
    <cfRule type="cellIs" dxfId="11" priority="6" stopIfTrue="1" operator="equal">
      <formula>1</formula>
    </cfRule>
  </conditionalFormatting>
  <conditionalFormatting sqref="J2:IV6">
    <cfRule type="cellIs" dxfId="10" priority="4" stopIfTrue="1" operator="equal">
      <formula>1</formula>
    </cfRule>
  </conditionalFormatting>
  <conditionalFormatting sqref="G6">
    <cfRule type="cellIs" dxfId="9" priority="3" stopIfTrue="1" operator="equal">
      <formula>1</formula>
    </cfRule>
  </conditionalFormatting>
  <conditionalFormatting sqref="F6">
    <cfRule type="cellIs" dxfId="8" priority="2" stopIfTrue="1" operator="equal">
      <formula>1</formula>
    </cfRule>
  </conditionalFormatting>
  <conditionalFormatting sqref="J9:IV9">
    <cfRule type="cellIs" dxfId="7"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indexed="17"/>
  </sheetPr>
  <dimension ref="A1:I21"/>
  <sheetViews>
    <sheetView showGridLines="0" workbookViewId="0">
      <selection activeCell="G15" sqref="G15"/>
    </sheetView>
  </sheetViews>
  <sheetFormatPr baseColWidth="12" defaultColWidth="13" defaultRowHeight="21" customHeight="1" x14ac:dyDescent="0.15"/>
  <cols>
    <col min="1" max="1" width="13" style="4"/>
    <col min="2" max="16384" width="13" style="21"/>
  </cols>
  <sheetData>
    <row r="1" spans="1:9" s="4" customFormat="1" ht="21" customHeight="1" x14ac:dyDescent="0.15">
      <c r="A1" s="30" t="s">
        <v>10</v>
      </c>
      <c r="B1" s="30">
        <v>1</v>
      </c>
      <c r="C1" s="30">
        <v>2</v>
      </c>
      <c r="D1" s="30">
        <v>3</v>
      </c>
      <c r="E1" s="30">
        <v>4</v>
      </c>
      <c r="F1" s="30">
        <v>5</v>
      </c>
      <c r="G1" s="30">
        <v>6</v>
      </c>
      <c r="H1" s="30">
        <v>7</v>
      </c>
      <c r="I1" s="30">
        <v>8</v>
      </c>
    </row>
    <row r="2" spans="1:9" s="4" customFormat="1" ht="21" customHeight="1" x14ac:dyDescent="0.15">
      <c r="A2" s="141" t="s">
        <v>229</v>
      </c>
      <c r="B2" s="142"/>
      <c r="C2" s="143"/>
      <c r="D2" s="154" t="s">
        <v>11</v>
      </c>
      <c r="E2" s="154">
        <v>8000</v>
      </c>
      <c r="F2" s="154">
        <v>10000</v>
      </c>
      <c r="G2" s="154">
        <v>14000</v>
      </c>
      <c r="H2" s="143"/>
      <c r="I2" s="143"/>
    </row>
    <row r="3" spans="1:9" s="4" customFormat="1" ht="21" customHeight="1" x14ac:dyDescent="0.15">
      <c r="A3" s="141" t="s">
        <v>230</v>
      </c>
      <c r="B3" s="145"/>
      <c r="C3" s="146"/>
      <c r="D3" s="154" t="s">
        <v>11</v>
      </c>
      <c r="E3" s="154">
        <v>7500</v>
      </c>
      <c r="F3" s="154">
        <v>9500</v>
      </c>
      <c r="G3" s="154">
        <v>13000</v>
      </c>
      <c r="H3" s="146"/>
      <c r="I3" s="146"/>
    </row>
    <row r="4" spans="1:9" s="4" customFormat="1" ht="21" customHeight="1" x14ac:dyDescent="0.15">
      <c r="A4" s="141" t="s">
        <v>232</v>
      </c>
      <c r="B4" s="148"/>
      <c r="C4" s="149"/>
      <c r="D4" s="154">
        <v>5000</v>
      </c>
      <c r="E4" s="154">
        <v>7000</v>
      </c>
      <c r="F4" s="154">
        <v>9000</v>
      </c>
      <c r="G4" s="154">
        <v>12000</v>
      </c>
      <c r="H4" s="149"/>
      <c r="I4" s="149"/>
    </row>
    <row r="5" spans="1:9" s="4" customFormat="1" ht="21" customHeight="1" x14ac:dyDescent="0.15">
      <c r="A5" s="160" t="s">
        <v>233</v>
      </c>
      <c r="B5" s="155"/>
      <c r="C5" s="156"/>
      <c r="D5" s="154">
        <v>4900</v>
      </c>
      <c r="E5" s="154">
        <v>6700</v>
      </c>
      <c r="F5" s="154">
        <v>8500</v>
      </c>
      <c r="G5" s="154">
        <v>11000</v>
      </c>
      <c r="H5" s="156"/>
      <c r="I5" s="156"/>
    </row>
    <row r="6" spans="1:9" s="4" customFormat="1" ht="21" customHeight="1" x14ac:dyDescent="0.15">
      <c r="A6" s="160" t="s">
        <v>234</v>
      </c>
      <c r="B6" s="155"/>
      <c r="C6" s="156"/>
      <c r="D6" s="154">
        <v>4800</v>
      </c>
      <c r="E6" s="154">
        <v>6600</v>
      </c>
      <c r="F6" s="154" t="s">
        <v>11</v>
      </c>
      <c r="G6" s="154" t="s">
        <v>11</v>
      </c>
      <c r="H6" s="156"/>
      <c r="I6" s="156"/>
    </row>
    <row r="7" spans="1:9" ht="21" customHeight="1" x14ac:dyDescent="0.15">
      <c r="A7" s="70" t="s">
        <v>208</v>
      </c>
      <c r="B7" s="43" t="s">
        <v>11</v>
      </c>
      <c r="C7" s="43" t="s">
        <v>11</v>
      </c>
      <c r="D7" s="43" t="s">
        <v>11</v>
      </c>
      <c r="E7" s="43" t="s">
        <v>11</v>
      </c>
      <c r="F7" s="43" t="s">
        <v>11</v>
      </c>
      <c r="G7" s="43" t="s">
        <v>11</v>
      </c>
      <c r="H7" s="43" t="s">
        <v>11</v>
      </c>
      <c r="I7" s="43" t="s">
        <v>11</v>
      </c>
    </row>
    <row r="8" spans="1:9" ht="21" customHeight="1" x14ac:dyDescent="0.15">
      <c r="A8" s="71" t="s">
        <v>209</v>
      </c>
      <c r="B8" s="43" t="s">
        <v>11</v>
      </c>
      <c r="C8" s="43" t="s">
        <v>11</v>
      </c>
      <c r="D8" s="43" t="s">
        <v>11</v>
      </c>
      <c r="E8" s="43">
        <v>8000</v>
      </c>
      <c r="F8" s="26">
        <v>10000</v>
      </c>
      <c r="G8" s="43">
        <v>14000</v>
      </c>
      <c r="H8" s="43" t="s">
        <v>11</v>
      </c>
      <c r="I8" s="43" t="s">
        <v>11</v>
      </c>
    </row>
    <row r="9" spans="1:9" s="42" customFormat="1" ht="21" customHeight="1" x14ac:dyDescent="0.15">
      <c r="A9" s="182" t="s">
        <v>315</v>
      </c>
      <c r="B9" s="26" t="s">
        <v>11</v>
      </c>
      <c r="C9" s="26" t="s">
        <v>11</v>
      </c>
      <c r="D9" s="26" t="s">
        <v>11</v>
      </c>
      <c r="E9" s="26" t="s">
        <v>11</v>
      </c>
      <c r="F9" s="26">
        <v>10000</v>
      </c>
      <c r="G9" s="43">
        <v>14000</v>
      </c>
      <c r="H9" s="26" t="s">
        <v>11</v>
      </c>
      <c r="I9" s="26" t="s">
        <v>11</v>
      </c>
    </row>
    <row r="10" spans="1:9" s="42" customFormat="1" ht="21" customHeight="1" x14ac:dyDescent="0.15">
      <c r="A10" s="72" t="s">
        <v>210</v>
      </c>
      <c r="B10" s="26" t="s">
        <v>11</v>
      </c>
      <c r="C10" s="26" t="s">
        <v>11</v>
      </c>
      <c r="D10" s="26" t="s">
        <v>11</v>
      </c>
      <c r="E10" s="26">
        <v>7500</v>
      </c>
      <c r="F10" s="26">
        <v>9500</v>
      </c>
      <c r="G10" s="43">
        <v>13000</v>
      </c>
      <c r="H10" s="26" t="s">
        <v>11</v>
      </c>
      <c r="I10" s="26" t="s">
        <v>11</v>
      </c>
    </row>
    <row r="11" spans="1:9" ht="21" customHeight="1" x14ac:dyDescent="0.15">
      <c r="A11" s="72" t="s">
        <v>9</v>
      </c>
      <c r="B11" s="65" t="s">
        <v>11</v>
      </c>
      <c r="C11" s="65" t="s">
        <v>11</v>
      </c>
      <c r="D11" s="26">
        <v>5000</v>
      </c>
      <c r="E11" s="26">
        <v>7000</v>
      </c>
      <c r="F11" s="26">
        <v>9000</v>
      </c>
      <c r="G11" s="43">
        <v>12000</v>
      </c>
      <c r="H11" s="65" t="s">
        <v>11</v>
      </c>
      <c r="I11" s="65" t="s">
        <v>11</v>
      </c>
    </row>
    <row r="12" spans="1:9" ht="21" customHeight="1" x14ac:dyDescent="0.15">
      <c r="A12" s="72" t="s">
        <v>211</v>
      </c>
      <c r="B12" s="65" t="s">
        <v>11</v>
      </c>
      <c r="C12" s="65" t="s">
        <v>11</v>
      </c>
      <c r="D12" s="26">
        <v>4900</v>
      </c>
      <c r="E12" s="26">
        <v>6700</v>
      </c>
      <c r="F12" s="26">
        <v>8500</v>
      </c>
      <c r="G12" s="43">
        <v>11000</v>
      </c>
      <c r="H12" s="65" t="s">
        <v>11</v>
      </c>
      <c r="I12" s="65" t="s">
        <v>11</v>
      </c>
    </row>
    <row r="13" spans="1:9" ht="21" customHeight="1" x14ac:dyDescent="0.15">
      <c r="A13" s="72" t="s">
        <v>106</v>
      </c>
      <c r="B13" s="65" t="s">
        <v>11</v>
      </c>
      <c r="C13" s="65" t="s">
        <v>11</v>
      </c>
      <c r="D13" s="26">
        <v>4800</v>
      </c>
      <c r="E13" s="26">
        <v>6600</v>
      </c>
      <c r="F13" s="183">
        <v>9000</v>
      </c>
      <c r="G13" s="65" t="s">
        <v>11</v>
      </c>
      <c r="H13" s="65" t="s">
        <v>11</v>
      </c>
      <c r="I13" s="65" t="s">
        <v>11</v>
      </c>
    </row>
    <row r="14" spans="1:9" ht="21" customHeight="1" x14ac:dyDescent="0.15">
      <c r="A14" s="72" t="s">
        <v>212</v>
      </c>
      <c r="B14" s="65" t="s">
        <v>11</v>
      </c>
      <c r="C14" s="65" t="s">
        <v>11</v>
      </c>
      <c r="D14" s="65" t="s">
        <v>11</v>
      </c>
      <c r="E14" s="26">
        <v>6300</v>
      </c>
      <c r="F14" s="65" t="s">
        <v>11</v>
      </c>
      <c r="G14" s="65" t="s">
        <v>11</v>
      </c>
      <c r="H14" s="65" t="s">
        <v>11</v>
      </c>
      <c r="I14" s="65" t="s">
        <v>11</v>
      </c>
    </row>
    <row r="15" spans="1:9" ht="21" customHeight="1" x14ac:dyDescent="0.15">
      <c r="A15" s="72" t="s">
        <v>213</v>
      </c>
      <c r="B15" s="65" t="s">
        <v>11</v>
      </c>
      <c r="C15" s="65" t="s">
        <v>11</v>
      </c>
      <c r="D15" s="26">
        <v>4600</v>
      </c>
      <c r="E15" s="26">
        <v>5800</v>
      </c>
      <c r="F15" s="26">
        <v>7600</v>
      </c>
      <c r="G15" s="65" t="s">
        <v>11</v>
      </c>
      <c r="H15" s="65" t="s">
        <v>11</v>
      </c>
      <c r="I15" s="65" t="s">
        <v>11</v>
      </c>
    </row>
    <row r="16" spans="1:9" ht="21" customHeight="1" x14ac:dyDescent="0.15">
      <c r="A16" s="72" t="s">
        <v>105</v>
      </c>
      <c r="B16" s="65" t="s">
        <v>11</v>
      </c>
      <c r="C16" s="65" t="s">
        <v>11</v>
      </c>
      <c r="D16" s="26">
        <v>4400</v>
      </c>
      <c r="E16" s="26">
        <v>5600</v>
      </c>
      <c r="F16" s="65" t="s">
        <v>11</v>
      </c>
      <c r="G16" s="65" t="s">
        <v>11</v>
      </c>
      <c r="H16" s="65" t="s">
        <v>11</v>
      </c>
      <c r="I16" s="65" t="s">
        <v>11</v>
      </c>
    </row>
    <row r="17" spans="1:9" ht="21" customHeight="1" x14ac:dyDescent="0.15">
      <c r="A17" s="72" t="s">
        <v>214</v>
      </c>
      <c r="B17" s="65" t="s">
        <v>11</v>
      </c>
      <c r="C17" s="26">
        <v>3000</v>
      </c>
      <c r="D17" s="26">
        <v>4200</v>
      </c>
      <c r="E17" s="26">
        <v>5400</v>
      </c>
      <c r="F17" s="65" t="s">
        <v>11</v>
      </c>
      <c r="G17" s="65" t="s">
        <v>11</v>
      </c>
      <c r="H17" s="65" t="s">
        <v>11</v>
      </c>
      <c r="I17" s="65" t="s">
        <v>11</v>
      </c>
    </row>
    <row r="18" spans="1:9" ht="21" customHeight="1" x14ac:dyDescent="0.15">
      <c r="A18" s="72" t="s">
        <v>8</v>
      </c>
      <c r="B18" s="26">
        <v>2000</v>
      </c>
      <c r="C18" s="26">
        <v>2800</v>
      </c>
      <c r="D18" s="26">
        <v>4000</v>
      </c>
      <c r="E18" s="65" t="s">
        <v>11</v>
      </c>
      <c r="F18" s="65" t="s">
        <v>11</v>
      </c>
      <c r="G18" s="65" t="s">
        <v>11</v>
      </c>
      <c r="H18" s="65" t="s">
        <v>11</v>
      </c>
      <c r="I18" s="65" t="s">
        <v>11</v>
      </c>
    </row>
    <row r="19" spans="1:9" ht="21" customHeight="1" x14ac:dyDescent="0.15">
      <c r="A19" s="73" t="s">
        <v>7</v>
      </c>
      <c r="B19" s="26">
        <v>1750</v>
      </c>
      <c r="C19" s="26">
        <v>2550</v>
      </c>
      <c r="D19" s="65" t="s">
        <v>11</v>
      </c>
      <c r="E19" s="65" t="s">
        <v>11</v>
      </c>
      <c r="F19" s="65" t="s">
        <v>11</v>
      </c>
      <c r="G19" s="65" t="s">
        <v>11</v>
      </c>
      <c r="H19" s="65" t="s">
        <v>11</v>
      </c>
      <c r="I19" s="65" t="s">
        <v>11</v>
      </c>
    </row>
    <row r="20" spans="1:9" ht="21" customHeight="1" x14ac:dyDescent="0.15">
      <c r="A20" s="73" t="s">
        <v>215</v>
      </c>
      <c r="B20" s="26">
        <v>1500</v>
      </c>
      <c r="C20" s="26">
        <v>2300</v>
      </c>
      <c r="D20" s="65" t="s">
        <v>11</v>
      </c>
      <c r="E20" s="65" t="s">
        <v>11</v>
      </c>
      <c r="F20" s="65" t="s">
        <v>11</v>
      </c>
      <c r="G20" s="65" t="s">
        <v>11</v>
      </c>
      <c r="H20" s="65" t="s">
        <v>11</v>
      </c>
      <c r="I20" s="65" t="s">
        <v>11</v>
      </c>
    </row>
    <row r="21" spans="1:9" ht="21" customHeight="1" x14ac:dyDescent="0.15">
      <c r="A21" s="35" t="s">
        <v>216</v>
      </c>
      <c r="B21" s="34">
        <v>1000</v>
      </c>
      <c r="C21" s="34">
        <v>1000</v>
      </c>
      <c r="D21" s="34">
        <v>1000</v>
      </c>
      <c r="E21" s="34">
        <v>1000</v>
      </c>
      <c r="F21" s="34">
        <v>1000</v>
      </c>
      <c r="G21" s="34">
        <v>1000</v>
      </c>
      <c r="H21" s="34">
        <v>1000</v>
      </c>
      <c r="I21" s="34">
        <v>1000</v>
      </c>
    </row>
  </sheetData>
  <sheetProtection selectLockedCells="1" selectUnlockedCells="1"/>
  <phoneticPr fontId="9"/>
  <conditionalFormatting sqref="L23:R65542 J1:IU1 J7:IU8 J10:K1048576 S10:IU1048576 L10:R20">
    <cfRule type="cellIs" dxfId="6" priority="8" stopIfTrue="1" operator="equal">
      <formula>1</formula>
    </cfRule>
  </conditionalFormatting>
  <conditionalFormatting sqref="A22:I65542">
    <cfRule type="cellIs" dxfId="5" priority="9" stopIfTrue="1" operator="equal">
      <formula>1</formula>
    </cfRule>
  </conditionalFormatting>
  <conditionalFormatting sqref="A21:I21">
    <cfRule type="cellIs" dxfId="4" priority="6" stopIfTrue="1" operator="equal">
      <formula>1</formula>
    </cfRule>
  </conditionalFormatting>
  <conditionalFormatting sqref="J2:IV4">
    <cfRule type="cellIs" dxfId="3" priority="5" stopIfTrue="1" operator="equal">
      <formula>1</formula>
    </cfRule>
  </conditionalFormatting>
  <conditionalFormatting sqref="J5:IV6">
    <cfRule type="cellIs" dxfId="2" priority="4" stopIfTrue="1" operator="equal">
      <formula>1</formula>
    </cfRule>
  </conditionalFormatting>
  <conditionalFormatting sqref="J9:IU9">
    <cfRule type="cellIs" dxfId="1"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tabColor indexed="17"/>
  </sheetPr>
  <dimension ref="A1:H10"/>
  <sheetViews>
    <sheetView showGridLines="0" zoomScale="115" zoomScaleNormal="115" zoomScalePageLayoutView="115" workbookViewId="0">
      <selection activeCell="I14" sqref="I14"/>
    </sheetView>
  </sheetViews>
  <sheetFormatPr baseColWidth="12" defaultColWidth="13" defaultRowHeight="21" customHeight="1" x14ac:dyDescent="0.15"/>
  <cols>
    <col min="1" max="16384" width="13" style="21"/>
  </cols>
  <sheetData>
    <row r="1" spans="1:8" ht="21" customHeight="1" x14ac:dyDescent="0.15">
      <c r="A1" s="21" t="s">
        <v>111</v>
      </c>
      <c r="G1" s="21" t="s">
        <v>112</v>
      </c>
    </row>
    <row r="2" spans="1:8" ht="21" customHeight="1" x14ac:dyDescent="0.15">
      <c r="A2" s="19" t="s">
        <v>15</v>
      </c>
      <c r="B2" s="19" t="s">
        <v>16</v>
      </c>
      <c r="G2" s="19" t="s">
        <v>15</v>
      </c>
      <c r="H2" s="19" t="s">
        <v>16</v>
      </c>
    </row>
    <row r="3" spans="1:8" ht="21" customHeight="1" x14ac:dyDescent="0.15">
      <c r="A3" s="22">
        <v>1</v>
      </c>
      <c r="B3" s="31">
        <v>5000</v>
      </c>
      <c r="G3" s="22">
        <v>1</v>
      </c>
      <c r="H3" s="22">
        <v>75</v>
      </c>
    </row>
    <row r="4" spans="1:8" ht="21" customHeight="1" x14ac:dyDescent="0.15">
      <c r="A4" s="22">
        <v>2</v>
      </c>
      <c r="B4" s="23">
        <v>10000</v>
      </c>
      <c r="G4" s="22">
        <v>2</v>
      </c>
      <c r="H4" s="22">
        <v>150</v>
      </c>
    </row>
    <row r="5" spans="1:8" ht="21" customHeight="1" x14ac:dyDescent="0.15">
      <c r="A5" s="22">
        <v>3</v>
      </c>
      <c r="B5" s="23">
        <v>20000</v>
      </c>
      <c r="G5" s="22">
        <v>3</v>
      </c>
      <c r="H5" s="22">
        <v>300</v>
      </c>
    </row>
    <row r="6" spans="1:8" ht="21" customHeight="1" x14ac:dyDescent="0.15">
      <c r="A6" s="22">
        <v>4</v>
      </c>
      <c r="B6" s="23">
        <v>50000</v>
      </c>
      <c r="G6" s="22">
        <v>4</v>
      </c>
      <c r="H6" s="22">
        <v>600</v>
      </c>
    </row>
    <row r="7" spans="1:8" ht="21" customHeight="1" x14ac:dyDescent="0.15">
      <c r="A7" s="22">
        <v>5</v>
      </c>
      <c r="B7" s="23">
        <v>200000</v>
      </c>
      <c r="G7" s="22">
        <v>5</v>
      </c>
      <c r="H7" s="22">
        <v>900</v>
      </c>
    </row>
    <row r="8" spans="1:8" ht="21" customHeight="1" x14ac:dyDescent="0.15">
      <c r="A8" s="22">
        <v>6</v>
      </c>
      <c r="B8" s="32">
        <v>0</v>
      </c>
      <c r="G8" s="22">
        <v>6</v>
      </c>
      <c r="H8" s="33">
        <v>1200</v>
      </c>
    </row>
    <row r="9" spans="1:8" ht="21" customHeight="1" x14ac:dyDescent="0.15">
      <c r="A9" s="22">
        <v>7</v>
      </c>
      <c r="B9" s="32"/>
      <c r="G9" s="22">
        <v>7</v>
      </c>
      <c r="H9" s="32"/>
    </row>
    <row r="10" spans="1:8" ht="21" customHeight="1" x14ac:dyDescent="0.15">
      <c r="A10" s="22">
        <v>8</v>
      </c>
      <c r="B10" s="32"/>
      <c r="G10" s="22">
        <v>8</v>
      </c>
      <c r="H10" s="32"/>
    </row>
  </sheetData>
  <sheetProtection selectLockedCells="1" selectUnlockedCells="1"/>
  <phoneticPr fontId="9"/>
  <conditionalFormatting sqref="A1:B1 A11:B65536 C1:F1048576 G1:H1 G11:H65536 I1:IV1048576 B8:B10 H8:H10">
    <cfRule type="cellIs" dxfId="0"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indexed="17"/>
  </sheetPr>
  <dimension ref="A1:B19"/>
  <sheetViews>
    <sheetView workbookViewId="0">
      <selection sqref="A1:B19"/>
    </sheetView>
  </sheetViews>
  <sheetFormatPr baseColWidth="12" defaultRowHeight="15" x14ac:dyDescent="0.15"/>
  <sheetData>
    <row r="1" spans="1:2" x14ac:dyDescent="0.15">
      <c r="A1" t="s">
        <v>340</v>
      </c>
      <c r="B1" t="s">
        <v>341</v>
      </c>
    </row>
    <row r="2" spans="1:2" x14ac:dyDescent="0.15">
      <c r="A2" t="s">
        <v>342</v>
      </c>
      <c r="B2">
        <v>1</v>
      </c>
    </row>
    <row r="3" spans="1:2" x14ac:dyDescent="0.15">
      <c r="A3" t="s">
        <v>343</v>
      </c>
      <c r="B3">
        <v>1</v>
      </c>
    </row>
    <row r="4" spans="1:2" x14ac:dyDescent="0.15">
      <c r="A4" t="s">
        <v>344</v>
      </c>
      <c r="B4">
        <v>1</v>
      </c>
    </row>
    <row r="5" spans="1:2" x14ac:dyDescent="0.15">
      <c r="A5" t="s">
        <v>345</v>
      </c>
      <c r="B5">
        <v>1</v>
      </c>
    </row>
    <row r="6" spans="1:2" x14ac:dyDescent="0.15">
      <c r="A6" t="s">
        <v>346</v>
      </c>
      <c r="B6">
        <v>1</v>
      </c>
    </row>
    <row r="7" spans="1:2" x14ac:dyDescent="0.15">
      <c r="A7" t="s">
        <v>347</v>
      </c>
      <c r="B7">
        <v>1</v>
      </c>
    </row>
    <row r="8" spans="1:2" x14ac:dyDescent="0.15">
      <c r="A8" t="s">
        <v>348</v>
      </c>
      <c r="B8">
        <v>1</v>
      </c>
    </row>
    <row r="9" spans="1:2" x14ac:dyDescent="0.15">
      <c r="A9" t="s">
        <v>349</v>
      </c>
      <c r="B9">
        <v>1</v>
      </c>
    </row>
    <row r="10" spans="1:2" x14ac:dyDescent="0.15">
      <c r="A10" t="s">
        <v>350</v>
      </c>
      <c r="B10">
        <v>1</v>
      </c>
    </row>
    <row r="11" spans="1:2" x14ac:dyDescent="0.15">
      <c r="A11" t="s">
        <v>351</v>
      </c>
      <c r="B11">
        <v>1</v>
      </c>
    </row>
    <row r="12" spans="1:2" x14ac:dyDescent="0.15">
      <c r="A12" t="s">
        <v>352</v>
      </c>
      <c r="B12">
        <v>1</v>
      </c>
    </row>
    <row r="13" spans="1:2" x14ac:dyDescent="0.15">
      <c r="A13" t="s">
        <v>353</v>
      </c>
      <c r="B13">
        <v>0</v>
      </c>
    </row>
    <row r="14" spans="1:2" x14ac:dyDescent="0.15">
      <c r="A14" t="s">
        <v>354</v>
      </c>
      <c r="B14">
        <v>500</v>
      </c>
    </row>
    <row r="15" spans="1:2" x14ac:dyDescent="0.15">
      <c r="A15" t="s">
        <v>355</v>
      </c>
      <c r="B15">
        <v>600</v>
      </c>
    </row>
    <row r="16" spans="1:2" x14ac:dyDescent="0.15">
      <c r="A16" t="s">
        <v>356</v>
      </c>
      <c r="B16">
        <v>700</v>
      </c>
    </row>
    <row r="17" spans="1:2" x14ac:dyDescent="0.15">
      <c r="A17" t="s">
        <v>357</v>
      </c>
      <c r="B17">
        <v>5500</v>
      </c>
    </row>
    <row r="18" spans="1:2" x14ac:dyDescent="0.15">
      <c r="A18" t="s">
        <v>358</v>
      </c>
      <c r="B18">
        <v>6000</v>
      </c>
    </row>
    <row r="19" spans="1:2" x14ac:dyDescent="0.15">
      <c r="A19" t="s">
        <v>359</v>
      </c>
      <c r="B19">
        <v>30000</v>
      </c>
    </row>
  </sheetData>
  <phoneticPr fontId="22"/>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2:D55"/>
  <sheetViews>
    <sheetView topLeftCell="A5" workbookViewId="0">
      <selection activeCell="H21" sqref="H21"/>
    </sheetView>
  </sheetViews>
  <sheetFormatPr baseColWidth="12" defaultRowHeight="15" x14ac:dyDescent="0.15"/>
  <sheetData>
    <row r="2" spans="1:4" x14ac:dyDescent="0.15">
      <c r="A2" t="s">
        <v>200</v>
      </c>
      <c r="B2" s="11">
        <v>591</v>
      </c>
    </row>
    <row r="3" spans="1:4" x14ac:dyDescent="0.15">
      <c r="A3" t="s">
        <v>201</v>
      </c>
      <c r="B3" s="128">
        <v>592</v>
      </c>
    </row>
    <row r="4" spans="1:4" x14ac:dyDescent="0.15">
      <c r="A4" t="s">
        <v>202</v>
      </c>
      <c r="B4" s="128">
        <v>593</v>
      </c>
    </row>
    <row r="7" spans="1:4" x14ac:dyDescent="0.15">
      <c r="A7" t="s">
        <v>203</v>
      </c>
    </row>
    <row r="8" spans="1:4" x14ac:dyDescent="0.15">
      <c r="A8" t="str">
        <f>A2 &amp;" "&amp;IF(B2="","",B2)&amp;" "&amp; IFERROR(VLOOKUP(B2,units!A:B,2),"なし")</f>
        <v>R3 591 なし</v>
      </c>
    </row>
    <row r="9" spans="1:4" x14ac:dyDescent="0.15">
      <c r="A9" t="str">
        <f>A3 &amp;" "&amp;IF(B3="","",B3)&amp;" "&amp; IFERROR(VLOOKUP(B3,units!A:B,2),"なし")</f>
        <v>R4 592 なし</v>
      </c>
    </row>
    <row r="10" spans="1:4" x14ac:dyDescent="0.15">
      <c r="A10" t="str">
        <f>A4 &amp;" "&amp;IF(B4="","",B4)&amp;" "&amp; IFERROR(VLOOKUP(B4,units!A:B,2),"なし")</f>
        <v>R5 593 なし</v>
      </c>
    </row>
    <row r="12" spans="1:4" x14ac:dyDescent="0.15">
      <c r="A12" t="s">
        <v>222</v>
      </c>
    </row>
    <row r="13" spans="1:4" x14ac:dyDescent="0.15">
      <c r="B13" t="s">
        <v>226</v>
      </c>
      <c r="C13" t="s">
        <v>227</v>
      </c>
      <c r="D13" t="s">
        <v>228</v>
      </c>
    </row>
    <row r="14" spans="1:4" x14ac:dyDescent="0.15">
      <c r="A14" t="s">
        <v>224</v>
      </c>
      <c r="B14" t="e">
        <f>VLOOKUP($B2,units!$A:$BN,63)</f>
        <v>#N/A</v>
      </c>
      <c r="C14" t="e">
        <f>VLOOKUP($B2,units!$A:$BN,64)</f>
        <v>#N/A</v>
      </c>
      <c r="D14" t="e">
        <f>VLOOKUP($B2,units!$A:$BN,66)</f>
        <v>#N/A</v>
      </c>
    </row>
    <row r="15" spans="1:4" x14ac:dyDescent="0.15">
      <c r="A15" t="s">
        <v>225</v>
      </c>
      <c r="B15" t="e">
        <f>VLOOKUP($B3,units!$A:$BN,63)</f>
        <v>#N/A</v>
      </c>
      <c r="C15" t="e">
        <f>VLOOKUP($B3,units!$A:$BN,64)</f>
        <v>#N/A</v>
      </c>
      <c r="D15" t="e">
        <f>VLOOKUP($B3,units!$A:$BN,66)</f>
        <v>#N/A</v>
      </c>
    </row>
    <row r="16" spans="1:4" x14ac:dyDescent="0.15">
      <c r="A16" t="s">
        <v>223</v>
      </c>
      <c r="B16" t="e">
        <f>VLOOKUP($B4,units!$A:$BN,63)</f>
        <v>#N/A</v>
      </c>
      <c r="C16" t="e">
        <f>VLOOKUP($B4,units!$A:$BN,64)</f>
        <v>#N/A</v>
      </c>
      <c r="D16" t="e">
        <f>VLOOKUP($B4,units!$A:$BN,66)</f>
        <v>#N/A</v>
      </c>
    </row>
    <row r="19" spans="1:1" ht="19" customHeight="1" x14ac:dyDescent="0.15">
      <c r="A19" t="s">
        <v>204</v>
      </c>
    </row>
    <row r="20" spans="1:1" x14ac:dyDescent="0.15">
      <c r="A20" t="str">
        <f>IFERROR(VLOOKUP($B$2,unit_skills!A:I,3),"なし")</f>
        <v>なし</v>
      </c>
    </row>
    <row r="21" spans="1:1" x14ac:dyDescent="0.15">
      <c r="A21" t="str">
        <f>IFERROR(VLOOKUP($B$2,unit_skills!A:I,4),"なし")</f>
        <v>なし</v>
      </c>
    </row>
    <row r="22" spans="1:1" x14ac:dyDescent="0.15">
      <c r="A22" t="str">
        <f>"cost:"&amp;IFERROR(VLOOKUP($B$2,unit_skills!A:I,6),"なし")</f>
        <v>cost:なし</v>
      </c>
    </row>
    <row r="23" spans="1:1" x14ac:dyDescent="0.15">
      <c r="A23" t="str">
        <f>IFERROR(VLOOKUP($B$2,unit_skills!A:I,9),"なし")</f>
        <v>なし</v>
      </c>
    </row>
    <row r="25" spans="1:1" x14ac:dyDescent="0.15">
      <c r="A25" t="str">
        <f>IFERROR(VLOOKUP($B$3,unit_skills!A:I,3),"なし")</f>
        <v>なし</v>
      </c>
    </row>
    <row r="26" spans="1:1" x14ac:dyDescent="0.15">
      <c r="A26" t="str">
        <f>IFERROR(VLOOKUP($B$3,unit_skills!A:I,4),"なし")</f>
        <v>なし</v>
      </c>
    </row>
    <row r="27" spans="1:1" x14ac:dyDescent="0.15">
      <c r="A27" t="str">
        <f>"cost:"&amp;IFERROR(VLOOKUP($B$3,unit_skills!A:I,6),"なし")</f>
        <v>cost:なし</v>
      </c>
    </row>
    <row r="28" spans="1:1" x14ac:dyDescent="0.15">
      <c r="A28" t="str">
        <f>IFERROR(VLOOKUP($B$3,unit_skills!A:I,9),"なし")</f>
        <v>なし</v>
      </c>
    </row>
    <row r="30" spans="1:1" x14ac:dyDescent="0.15">
      <c r="A30" t="str">
        <f>IFERROR(VLOOKUP($B$4,unit_skills!A:I,3),"なし")</f>
        <v>なし</v>
      </c>
    </row>
    <row r="31" spans="1:1" x14ac:dyDescent="0.15">
      <c r="A31" t="str">
        <f>IFERROR(VLOOKUP($B$4,unit_skills!A:I,4),"なし")</f>
        <v>なし</v>
      </c>
    </row>
    <row r="32" spans="1:1" x14ac:dyDescent="0.15">
      <c r="A32" t="str">
        <f>"cost:"&amp;IFERROR(VLOOKUP($B$4,unit_skills!A:I,6),"なし")</f>
        <v>cost:なし</v>
      </c>
    </row>
    <row r="33" spans="1:1" x14ac:dyDescent="0.15">
      <c r="A33" t="str">
        <f>IFERROR(VLOOKUP($B$4,unit_skills!A:I,9),"なし")</f>
        <v>なし</v>
      </c>
    </row>
    <row r="35" spans="1:1" x14ac:dyDescent="0.15">
      <c r="A35" t="s">
        <v>205</v>
      </c>
    </row>
    <row r="36" spans="1:1" x14ac:dyDescent="0.15">
      <c r="A36" t="str">
        <f>IFERROR(VLOOKUP($B$2,crash_skills!A:I,3),"なし")</f>
        <v>フレイムバーンナップ</v>
      </c>
    </row>
    <row r="37" spans="1:1" x14ac:dyDescent="0.15">
      <c r="A37" t="str">
        <f>IFERROR(VLOOKUP($B$2,crash_skills!A:I,4),"なし")</f>
        <v>1体にダメージ</v>
      </c>
    </row>
    <row r="38" spans="1:1" x14ac:dyDescent="0.15">
      <c r="A38" t="str">
        <f>IFERROR(VLOOKUP($B$2,crash_skills!A:I,6),"なし")</f>
        <v>[effect:damage, target:enemy_one, color:red, val:1.75, animation:damage_one_red05]</v>
      </c>
    </row>
    <row r="40" spans="1:1" x14ac:dyDescent="0.15">
      <c r="A40" t="str">
        <f>IFERROR(VLOOKUP($B$3,crash_skills!A:I,3),"なし")</f>
        <v>フレイムバーンナップ</v>
      </c>
    </row>
    <row r="41" spans="1:1" x14ac:dyDescent="0.15">
      <c r="A41" t="str">
        <f>IFERROR(VLOOKUP($B$3,crash_skills!A:I,4),"なし")</f>
        <v>1体にダメージ</v>
      </c>
    </row>
    <row r="42" spans="1:1" x14ac:dyDescent="0.15">
      <c r="A42" t="str">
        <f>IFERROR(VLOOKUP($B$3,crash_skills!A:I,6),"なし")</f>
        <v>[effect:damage, target:enemy_one, color:red, val:1.75, animation:damage_one_red05]</v>
      </c>
    </row>
    <row r="44" spans="1:1" x14ac:dyDescent="0.15">
      <c r="A44" t="str">
        <f>IFERROR(VLOOKUP($B$4,crash_skills!A:I,3),"なし")</f>
        <v>フレイムバーンナップ</v>
      </c>
    </row>
    <row r="45" spans="1:1" x14ac:dyDescent="0.15">
      <c r="A45" t="str">
        <f>IFERROR(VLOOKUP($B$4,crash_skills!A:I,4),"なし")</f>
        <v>1体にダメージ</v>
      </c>
    </row>
    <row r="46" spans="1:1" x14ac:dyDescent="0.15">
      <c r="A46" t="str">
        <f>IFERROR(VLOOKUP($B$4,crash_skills!A:I,6),"なし")</f>
        <v>[effect:damage, target:enemy_one, color:red, val:1.75, animation:damage_one_red05]</v>
      </c>
    </row>
    <row r="48" spans="1:1" x14ac:dyDescent="0.15">
      <c r="A48" t="s">
        <v>206</v>
      </c>
    </row>
    <row r="49" spans="1:1" x14ac:dyDescent="0.15">
      <c r="A49" t="str">
        <f>IFERROR(VLOOKUP($B$3,awake_materials!A:L,2),"なし")</f>
        <v>なし</v>
      </c>
    </row>
    <row r="50" spans="1:1" x14ac:dyDescent="0.15">
      <c r="A50" t="str">
        <f>IFERROR(VLOOKUP($B$3,awake_materials!A:L,2),"なし")</f>
        <v>なし</v>
      </c>
    </row>
    <row r="51" spans="1:1" x14ac:dyDescent="0.15">
      <c r="A51" t="str">
        <f>IFERROR(VLOOKUP($B$3,awake_materials!A:L,2),"なし")</f>
        <v>なし</v>
      </c>
    </row>
    <row r="52" spans="1:1" x14ac:dyDescent="0.15">
      <c r="A52" t="str">
        <f>IFERROR(VLOOKUP($B$3,awake_materials!A:L,2),"なし")</f>
        <v>なし</v>
      </c>
    </row>
    <row r="53" spans="1:1" x14ac:dyDescent="0.15">
      <c r="A53" t="str">
        <f>IFERROR(VLOOKUP($B$3,awake_materials!A:L,2),"なし")</f>
        <v>なし</v>
      </c>
    </row>
    <row r="55" spans="1:1" x14ac:dyDescent="0.15">
      <c r="A55" s="140"/>
    </row>
  </sheetData>
  <phoneticPr fontId="2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17</vt:i4>
      </vt:variant>
    </vt:vector>
  </HeadingPairs>
  <TitlesOfParts>
    <vt:vector size="17" baseType="lpstr">
      <vt:lpstr>output</vt:lpstr>
      <vt:lpstr>units</vt:lpstr>
      <vt:lpstr>unit_skills</vt:lpstr>
      <vt:lpstr>crash_skills</vt:lpstr>
      <vt:lpstr>unit_serifs</vt:lpstr>
      <vt:lpstr>fork_awake_units</vt:lpstr>
      <vt:lpstr>awake_materials</vt:lpstr>
      <vt:lpstr>abilities</vt:lpstr>
      <vt:lpstr>unit_abilities</vt:lpstr>
      <vt:lpstr>→base値</vt:lpstr>
      <vt:lpstr>コスト</vt:lpstr>
      <vt:lpstr>レベル</vt:lpstr>
      <vt:lpstr>経験値</vt:lpstr>
      <vt:lpstr>RC6SV</vt:lpstr>
      <vt:lpstr>ビット</vt:lpstr>
      <vt:lpstr>ghosts_label</vt:lpstr>
      <vt:lpstr>チェックシート</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OmataY</dc:creator>
  <cp:lastModifiedBy>Microsoft Office ユーザー</cp:lastModifiedBy>
  <dcterms:created xsi:type="dcterms:W3CDTF">2014-07-07T06:45:59Z</dcterms:created>
  <dcterms:modified xsi:type="dcterms:W3CDTF">2017-06-06T07:29:11Z</dcterms:modified>
</cp:coreProperties>
</file>