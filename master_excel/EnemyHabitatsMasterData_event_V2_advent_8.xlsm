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120" yWindow="560" windowWidth="20480" windowHeight="17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enemy_habitat_S!$B$1:$Y$1</definedName>
    <definedName name="_xlnm._FilterDatabase" localSheetId="2" hidden="1">enemy_habitats!$B$1:$AH$1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9" i="10" l="1"/>
  <c r="T69" i="10"/>
  <c r="W69" i="10"/>
  <c r="V69" i="10"/>
  <c r="X69" i="10"/>
  <c r="U69" i="10"/>
  <c r="Y69" i="10"/>
  <c r="M53" i="10"/>
  <c r="N53" i="10"/>
  <c r="Q53" i="10"/>
  <c r="P53" i="10"/>
  <c r="R53" i="10"/>
  <c r="O53" i="10"/>
  <c r="S53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J59" i="11"/>
  <c r="J58" i="11"/>
  <c r="J57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J56" i="11"/>
  <c r="J55" i="11"/>
  <c r="J54" i="11"/>
  <c r="M68" i="10"/>
  <c r="T68" i="10"/>
  <c r="W68" i="10"/>
  <c r="V68" i="10"/>
  <c r="X68" i="10"/>
  <c r="U68" i="10"/>
  <c r="Y68" i="10"/>
  <c r="M48" i="10"/>
  <c r="M35" i="10"/>
  <c r="M59" i="10"/>
  <c r="N59" i="10"/>
  <c r="Q59" i="10"/>
  <c r="P59" i="10"/>
  <c r="R59" i="10"/>
  <c r="O59" i="10"/>
  <c r="S59" i="10"/>
  <c r="N35" i="10"/>
  <c r="Q35" i="10"/>
  <c r="P35" i="10"/>
  <c r="R35" i="10"/>
  <c r="O35" i="10"/>
  <c r="S35" i="10"/>
  <c r="N48" i="10"/>
  <c r="Q48" i="10"/>
  <c r="P48" i="10"/>
  <c r="R48" i="10"/>
  <c r="O48" i="10"/>
  <c r="S4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M47" i="10"/>
  <c r="M31" i="10"/>
  <c r="M58" i="10"/>
  <c r="N58" i="10"/>
  <c r="Q58" i="10"/>
  <c r="P58" i="10"/>
  <c r="R58" i="10"/>
  <c r="O58" i="10"/>
  <c r="S58" i="10"/>
  <c r="N31" i="10"/>
  <c r="Q31" i="10"/>
  <c r="P31" i="10"/>
  <c r="R31" i="10"/>
  <c r="O31" i="10"/>
  <c r="S31" i="10"/>
  <c r="N47" i="10"/>
  <c r="Q47" i="10"/>
  <c r="P47" i="10"/>
  <c r="R47" i="10"/>
  <c r="O47" i="10"/>
  <c r="S4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M46" i="10"/>
  <c r="M30" i="10"/>
  <c r="M62" i="10"/>
  <c r="M42" i="10"/>
  <c r="N42" i="10"/>
  <c r="Q42" i="10"/>
  <c r="P42" i="10"/>
  <c r="R42" i="10"/>
  <c r="O42" i="10"/>
  <c r="S42" i="10"/>
  <c r="N62" i="10"/>
  <c r="Q62" i="10"/>
  <c r="P62" i="10"/>
  <c r="R62" i="10"/>
  <c r="O62" i="10"/>
  <c r="S62" i="10"/>
  <c r="N30" i="10"/>
  <c r="Q30" i="10"/>
  <c r="P30" i="10"/>
  <c r="R30" i="10"/>
  <c r="O30" i="10"/>
  <c r="S30" i="10"/>
  <c r="N46" i="10"/>
  <c r="Q46" i="10"/>
  <c r="P46" i="10"/>
  <c r="R46" i="10"/>
  <c r="O46" i="10"/>
  <c r="S4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9" i="9"/>
  <c r="N79" i="9"/>
  <c r="M79" i="9"/>
  <c r="L79" i="9"/>
  <c r="K79" i="9"/>
  <c r="J79" i="9"/>
  <c r="I79" i="9"/>
  <c r="H79" i="9"/>
  <c r="G79" i="9"/>
  <c r="E79" i="9"/>
  <c r="D79" i="9"/>
  <c r="A79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M65" i="10"/>
  <c r="T65" i="10"/>
  <c r="W65" i="10"/>
  <c r="V65" i="10"/>
  <c r="X65" i="10"/>
  <c r="U65" i="10"/>
  <c r="Y65" i="10"/>
  <c r="M45" i="10"/>
  <c r="M29" i="10"/>
  <c r="M57" i="10"/>
  <c r="M41" i="10"/>
  <c r="N41" i="10"/>
  <c r="Q41" i="10"/>
  <c r="P41" i="10"/>
  <c r="R41" i="10"/>
  <c r="O41" i="10"/>
  <c r="S41" i="10"/>
  <c r="N57" i="10"/>
  <c r="Q57" i="10"/>
  <c r="P57" i="10"/>
  <c r="R57" i="10"/>
  <c r="O57" i="10"/>
  <c r="S57" i="10"/>
  <c r="N29" i="10"/>
  <c r="Q29" i="10"/>
  <c r="P29" i="10"/>
  <c r="R29" i="10"/>
  <c r="O29" i="10"/>
  <c r="S29" i="10"/>
  <c r="N45" i="10"/>
  <c r="Q45" i="10"/>
  <c r="P45" i="10"/>
  <c r="R45" i="10"/>
  <c r="O45" i="10"/>
  <c r="S4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M44" i="10"/>
  <c r="M10" i="10"/>
  <c r="N10" i="10"/>
  <c r="Q10" i="10"/>
  <c r="P10" i="10"/>
  <c r="R10" i="10"/>
  <c r="O10" i="10"/>
  <c r="S10" i="10"/>
  <c r="N44" i="10"/>
  <c r="Q44" i="10"/>
  <c r="P44" i="10"/>
  <c r="R44" i="10"/>
  <c r="O44" i="10"/>
  <c r="S4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M43" i="10"/>
  <c r="M17" i="10"/>
  <c r="M56" i="10"/>
  <c r="N56" i="10"/>
  <c r="Q56" i="10"/>
  <c r="P56" i="10"/>
  <c r="R56" i="10"/>
  <c r="O56" i="10"/>
  <c r="S56" i="10"/>
  <c r="N17" i="10"/>
  <c r="Q17" i="10"/>
  <c r="P17" i="10"/>
  <c r="R17" i="10"/>
  <c r="O17" i="10"/>
  <c r="S17" i="10"/>
  <c r="N43" i="10"/>
  <c r="Q43" i="10"/>
  <c r="P43" i="10"/>
  <c r="R43" i="10"/>
  <c r="O43" i="10"/>
  <c r="S4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J53" i="11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T58" i="10"/>
  <c r="W58" i="10"/>
  <c r="V58" i="10"/>
  <c r="X58" i="10"/>
  <c r="U58" i="10"/>
  <c r="Y58" i="10"/>
  <c r="G58" i="10"/>
  <c r="J58" i="10"/>
  <c r="I58" i="10"/>
  <c r="K58" i="10"/>
  <c r="H58" i="10"/>
  <c r="L58" i="10"/>
  <c r="R10" i="7"/>
  <c r="Q10" i="7"/>
  <c r="P10" i="7"/>
  <c r="O10" i="7"/>
  <c r="N10" i="7"/>
  <c r="H10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10" i="7"/>
  <c r="I10" i="7"/>
  <c r="D10" i="7"/>
  <c r="F10" i="7"/>
  <c r="E10" i="7"/>
  <c r="A10" i="7"/>
  <c r="R9" i="7"/>
  <c r="Q9" i="7"/>
  <c r="P9" i="7"/>
  <c r="O9" i="7"/>
  <c r="N9" i="7"/>
  <c r="H9" i="7"/>
  <c r="J9" i="7"/>
  <c r="I9" i="7"/>
  <c r="D9" i="7"/>
  <c r="F9" i="7"/>
  <c r="E9" i="7"/>
  <c r="A9" i="7"/>
  <c r="R8" i="7"/>
  <c r="Q8" i="7"/>
  <c r="P8" i="7"/>
  <c r="O8" i="7"/>
  <c r="N8" i="7"/>
  <c r="H8" i="7"/>
  <c r="J8" i="7"/>
  <c r="I8" i="7"/>
  <c r="D8" i="7"/>
  <c r="F8" i="7"/>
  <c r="E8" i="7"/>
  <c r="A8" i="7"/>
  <c r="AD18" i="1"/>
  <c r="AG18" i="1"/>
  <c r="AE18" i="1"/>
  <c r="AC18" i="1"/>
  <c r="E76" i="9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E66" i="9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E63" i="9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E60" i="9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E52" i="9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T62" i="10"/>
  <c r="W62" i="10"/>
  <c r="V62" i="10"/>
  <c r="X62" i="10"/>
  <c r="U62" i="10"/>
  <c r="Y62" i="10"/>
  <c r="G62" i="10"/>
  <c r="J62" i="10"/>
  <c r="I62" i="10"/>
  <c r="K62" i="10"/>
  <c r="H62" i="10"/>
  <c r="L62" i="10"/>
  <c r="O26" i="21"/>
  <c r="B26" i="21"/>
  <c r="I26" i="21"/>
  <c r="J26" i="21"/>
  <c r="G26" i="21"/>
  <c r="F26" i="21"/>
  <c r="D26" i="21"/>
  <c r="C26" i="21"/>
  <c r="O25" i="21"/>
  <c r="B25" i="21"/>
  <c r="I25" i="21"/>
  <c r="J25" i="21"/>
  <c r="G25" i="21"/>
  <c r="F25" i="21"/>
  <c r="D25" i="21"/>
  <c r="C25" i="21"/>
  <c r="O24" i="21"/>
  <c r="B24" i="21"/>
  <c r="I24" i="21"/>
  <c r="J24" i="21"/>
  <c r="G24" i="21"/>
  <c r="F24" i="21"/>
  <c r="D24" i="21"/>
  <c r="C24" i="21"/>
  <c r="O23" i="21"/>
  <c r="B23" i="21"/>
  <c r="I23" i="21"/>
  <c r="J23" i="21"/>
  <c r="G23" i="21"/>
  <c r="F23" i="21"/>
  <c r="D23" i="21"/>
  <c r="C23" i="21"/>
  <c r="O22" i="21"/>
  <c r="B22" i="21"/>
  <c r="I22" i="21"/>
  <c r="J22" i="21"/>
  <c r="G22" i="21"/>
  <c r="F22" i="21"/>
  <c r="D22" i="21"/>
  <c r="C22" i="21"/>
  <c r="O21" i="21"/>
  <c r="B21" i="21"/>
  <c r="I21" i="21"/>
  <c r="J21" i="21"/>
  <c r="G21" i="21"/>
  <c r="F21" i="21"/>
  <c r="D21" i="21"/>
  <c r="C21" i="21"/>
  <c r="O20" i="21"/>
  <c r="B20" i="21"/>
  <c r="I20" i="21"/>
  <c r="J20" i="21"/>
  <c r="G20" i="21"/>
  <c r="F20" i="21"/>
  <c r="D20" i="21"/>
  <c r="C20" i="21"/>
  <c r="O19" i="21"/>
  <c r="B19" i="21"/>
  <c r="I19" i="21"/>
  <c r="J19" i="21"/>
  <c r="G19" i="21"/>
  <c r="F19" i="21"/>
  <c r="D19" i="21"/>
  <c r="C19" i="21"/>
  <c r="O7" i="21"/>
  <c r="B7" i="21"/>
  <c r="I7" i="21"/>
  <c r="J7" i="21"/>
  <c r="G7" i="21"/>
  <c r="F7" i="21"/>
  <c r="D7" i="21"/>
  <c r="C7" i="21"/>
  <c r="O11" i="21"/>
  <c r="O12" i="21"/>
  <c r="O13" i="21"/>
  <c r="O14" i="21"/>
  <c r="O15" i="21"/>
  <c r="O16" i="21"/>
  <c r="O17" i="21"/>
  <c r="O18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O3" i="21"/>
  <c r="O4" i="21"/>
  <c r="O5" i="21"/>
  <c r="O6" i="21"/>
  <c r="O8" i="21"/>
  <c r="O9" i="21"/>
  <c r="O10" i="21"/>
  <c r="O2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T57" i="10"/>
  <c r="W57" i="10"/>
  <c r="V57" i="10"/>
  <c r="X57" i="10"/>
  <c r="U57" i="10"/>
  <c r="Y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O81" i="9"/>
  <c r="N81" i="9"/>
  <c r="M81" i="9"/>
  <c r="L81" i="9"/>
  <c r="K81" i="9"/>
  <c r="J81" i="9"/>
  <c r="I81" i="9"/>
  <c r="H81" i="9"/>
  <c r="G81" i="9"/>
  <c r="E81" i="9"/>
  <c r="D81" i="9"/>
  <c r="A81" i="9"/>
  <c r="O83" i="9"/>
  <c r="N83" i="9"/>
  <c r="M83" i="9"/>
  <c r="L83" i="9"/>
  <c r="K83" i="9"/>
  <c r="J83" i="9"/>
  <c r="I83" i="9"/>
  <c r="H83" i="9"/>
  <c r="G83" i="9"/>
  <c r="E83" i="9"/>
  <c r="D83" i="9"/>
  <c r="A83" i="9"/>
  <c r="M50" i="10"/>
  <c r="M40" i="10"/>
  <c r="N40" i="10"/>
  <c r="Q40" i="10"/>
  <c r="P40" i="10"/>
  <c r="R40" i="10"/>
  <c r="O40" i="10"/>
  <c r="S40" i="10"/>
  <c r="M51" i="10"/>
  <c r="N51" i="10"/>
  <c r="Q51" i="10"/>
  <c r="P51" i="10"/>
  <c r="R51" i="10"/>
  <c r="O51" i="10"/>
  <c r="S51" i="10"/>
  <c r="N50" i="10"/>
  <c r="Q50" i="10"/>
  <c r="P50" i="10"/>
  <c r="R50" i="10"/>
  <c r="O50" i="10"/>
  <c r="S50" i="10"/>
  <c r="M39" i="10"/>
  <c r="N39" i="10"/>
  <c r="Q39" i="10"/>
  <c r="P39" i="10"/>
  <c r="R39" i="10"/>
  <c r="O39" i="10"/>
  <c r="S39" i="10"/>
  <c r="M52" i="10"/>
  <c r="T52" i="10"/>
  <c r="W52" i="10"/>
  <c r="V52" i="10"/>
  <c r="X52" i="10"/>
  <c r="U52" i="10"/>
  <c r="Y52" i="10"/>
  <c r="M36" i="10"/>
  <c r="N36" i="10"/>
  <c r="Q36" i="10"/>
  <c r="P36" i="10"/>
  <c r="R36" i="10"/>
  <c r="O36" i="10"/>
  <c r="S36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3" i="18"/>
  <c r="A2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2" i="9"/>
  <c r="N82" i="9"/>
  <c r="M82" i="9"/>
  <c r="L82" i="9"/>
  <c r="K82" i="9"/>
  <c r="J82" i="9"/>
  <c r="I82" i="9"/>
  <c r="H82" i="9"/>
  <c r="G82" i="9"/>
  <c r="E82" i="9"/>
  <c r="D82" i="9"/>
  <c r="A82" i="9"/>
  <c r="O80" i="9"/>
  <c r="N80" i="9"/>
  <c r="M80" i="9"/>
  <c r="L80" i="9"/>
  <c r="K80" i="9"/>
  <c r="J80" i="9"/>
  <c r="I80" i="9"/>
  <c r="H80" i="9"/>
  <c r="G80" i="9"/>
  <c r="E80" i="9"/>
  <c r="D80" i="9"/>
  <c r="A80" i="9"/>
  <c r="O76" i="9"/>
  <c r="N76" i="9"/>
  <c r="M76" i="9"/>
  <c r="L76" i="9"/>
  <c r="K76" i="9"/>
  <c r="J76" i="9"/>
  <c r="I76" i="9"/>
  <c r="H76" i="9"/>
  <c r="G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J6" i="11"/>
  <c r="O56" i="9"/>
  <c r="N56" i="9"/>
  <c r="M56" i="9"/>
  <c r="L56" i="9"/>
  <c r="K56" i="9"/>
  <c r="J56" i="9"/>
  <c r="I56" i="9"/>
  <c r="H56" i="9"/>
  <c r="G56" i="9"/>
  <c r="E56" i="9"/>
  <c r="D56" i="9"/>
  <c r="A56" i="9"/>
  <c r="J5" i="11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D52" i="9"/>
  <c r="A52" i="9"/>
  <c r="H3" i="7"/>
  <c r="I3" i="7"/>
  <c r="J3" i="7"/>
  <c r="H4" i="7"/>
  <c r="I4" i="7"/>
  <c r="J4" i="7"/>
  <c r="H5" i="7"/>
  <c r="I5" i="7"/>
  <c r="J5" i="7"/>
  <c r="H6" i="7"/>
  <c r="I6" i="7"/>
  <c r="J6" i="7"/>
  <c r="H7" i="7"/>
  <c r="I7" i="7"/>
  <c r="J7" i="7"/>
  <c r="H2" i="7"/>
  <c r="J2" i="7"/>
  <c r="I2" i="7"/>
  <c r="H9" i="1"/>
  <c r="I9" i="1"/>
  <c r="J9" i="1"/>
  <c r="H10" i="1"/>
  <c r="I10" i="1"/>
  <c r="J10" i="1"/>
  <c r="H11" i="1"/>
  <c r="I11" i="1"/>
  <c r="J11" i="1"/>
  <c r="H12" i="1"/>
  <c r="I12" i="1"/>
  <c r="J12" i="1"/>
  <c r="H13" i="1"/>
  <c r="I13" i="1"/>
  <c r="J13" i="1"/>
  <c r="H3" i="1"/>
  <c r="I3" i="1"/>
  <c r="J3" i="1"/>
  <c r="H4" i="1"/>
  <c r="I4" i="1"/>
  <c r="J4" i="1"/>
  <c r="H5" i="1"/>
  <c r="I5" i="1"/>
  <c r="J5" i="1"/>
  <c r="H6" i="1"/>
  <c r="I6" i="1"/>
  <c r="J6" i="1"/>
  <c r="H7" i="1"/>
  <c r="I7" i="1"/>
  <c r="J7" i="1"/>
  <c r="H8" i="1"/>
  <c r="I8" i="1"/>
  <c r="J8" i="1"/>
  <c r="H2" i="1"/>
  <c r="I2" i="1"/>
  <c r="J2" i="1"/>
  <c r="T51" i="10"/>
  <c r="W51" i="10"/>
  <c r="V51" i="10"/>
  <c r="X51" i="10"/>
  <c r="U51" i="10"/>
  <c r="Y51" i="10"/>
  <c r="G51" i="10"/>
  <c r="J51" i="10"/>
  <c r="I51" i="10"/>
  <c r="K51" i="10"/>
  <c r="H51" i="10"/>
  <c r="L51" i="10"/>
  <c r="R7" i="7"/>
  <c r="Q7" i="7"/>
  <c r="P7" i="7"/>
  <c r="O7" i="7"/>
  <c r="N7" i="7"/>
  <c r="D7" i="7"/>
  <c r="F7" i="7"/>
  <c r="E7" i="7"/>
  <c r="A7" i="7"/>
  <c r="R6" i="7"/>
  <c r="Q6" i="7"/>
  <c r="P6" i="7"/>
  <c r="O6" i="7"/>
  <c r="N6" i="7"/>
  <c r="D6" i="7"/>
  <c r="F6" i="7"/>
  <c r="E6" i="7"/>
  <c r="A6" i="7"/>
  <c r="R5" i="7"/>
  <c r="Q5" i="7"/>
  <c r="P5" i="7"/>
  <c r="O5" i="7"/>
  <c r="N5" i="7"/>
  <c r="D5" i="7"/>
  <c r="F5" i="7"/>
  <c r="E5" i="7"/>
  <c r="A5" i="7"/>
  <c r="AD13" i="1"/>
  <c r="AG13" i="1"/>
  <c r="AE13" i="1"/>
  <c r="AC13" i="1"/>
  <c r="E26" i="9"/>
  <c r="V13" i="1"/>
  <c r="Q13" i="1"/>
  <c r="P13" i="1"/>
  <c r="O13" i="1"/>
  <c r="N13" i="1"/>
  <c r="M13" i="1"/>
  <c r="D13" i="1"/>
  <c r="F13" i="1"/>
  <c r="E13" i="1"/>
  <c r="A13" i="1"/>
  <c r="AB12" i="1"/>
  <c r="AD12" i="1"/>
  <c r="AG12" i="1"/>
  <c r="AE12" i="1"/>
  <c r="AC12" i="1"/>
  <c r="E16" i="9"/>
  <c r="V12" i="1"/>
  <c r="Q12" i="1"/>
  <c r="P12" i="1"/>
  <c r="O12" i="1"/>
  <c r="N12" i="1"/>
  <c r="M12" i="1"/>
  <c r="D12" i="1"/>
  <c r="F12" i="1"/>
  <c r="E12" i="1"/>
  <c r="A12" i="1"/>
  <c r="AB11" i="1"/>
  <c r="AD11" i="1"/>
  <c r="AG11" i="1"/>
  <c r="AE11" i="1"/>
  <c r="AC11" i="1"/>
  <c r="E13" i="9"/>
  <c r="V11" i="1"/>
  <c r="Q11" i="1"/>
  <c r="P11" i="1"/>
  <c r="O11" i="1"/>
  <c r="N11" i="1"/>
  <c r="M11" i="1"/>
  <c r="D11" i="1"/>
  <c r="F11" i="1"/>
  <c r="E11" i="1"/>
  <c r="A11" i="1"/>
  <c r="AB10" i="1"/>
  <c r="AD10" i="1"/>
  <c r="AG10" i="1"/>
  <c r="AE10" i="1"/>
  <c r="AC10" i="1"/>
  <c r="E10" i="9"/>
  <c r="V10" i="1"/>
  <c r="Q10" i="1"/>
  <c r="P10" i="1"/>
  <c r="O10" i="1"/>
  <c r="N10" i="1"/>
  <c r="M10" i="1"/>
  <c r="D10" i="1"/>
  <c r="F10" i="1"/>
  <c r="E10" i="1"/>
  <c r="A10" i="1"/>
  <c r="AB9" i="1"/>
  <c r="AD9" i="1"/>
  <c r="AG9" i="1"/>
  <c r="AE9" i="1"/>
  <c r="AC9" i="1"/>
  <c r="E2" i="9"/>
  <c r="V9" i="1"/>
  <c r="Q9" i="1"/>
  <c r="P9" i="1"/>
  <c r="O9" i="1"/>
  <c r="N9" i="1"/>
  <c r="M9" i="1"/>
  <c r="D9" i="1"/>
  <c r="F9" i="1"/>
  <c r="E9" i="1"/>
  <c r="A9" i="1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V3" i="1"/>
  <c r="V4" i="1"/>
  <c r="V5" i="1"/>
  <c r="V6" i="1"/>
  <c r="E36" i="9"/>
  <c r="V7" i="1"/>
  <c r="E38" i="9"/>
  <c r="V8" i="1"/>
  <c r="R4" i="7"/>
  <c r="Q4" i="7"/>
  <c r="P4" i="7"/>
  <c r="O4" i="7"/>
  <c r="N4" i="7"/>
  <c r="D4" i="7"/>
  <c r="F4" i="7"/>
  <c r="E4" i="7"/>
  <c r="A4" i="7"/>
  <c r="R3" i="7"/>
  <c r="Q3" i="7"/>
  <c r="P3" i="7"/>
  <c r="O3" i="7"/>
  <c r="N3" i="7"/>
  <c r="D3" i="7"/>
  <c r="F3" i="7"/>
  <c r="E3" i="7"/>
  <c r="A3" i="7"/>
  <c r="R2" i="7"/>
  <c r="Q2" i="7"/>
  <c r="P2" i="7"/>
  <c r="O2" i="7"/>
  <c r="N2" i="7"/>
  <c r="D2" i="7"/>
  <c r="F2" i="7"/>
  <c r="E2" i="7"/>
  <c r="A2" i="7"/>
  <c r="J46" i="11"/>
  <c r="J44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4" i="11"/>
  <c r="J3" i="11"/>
  <c r="J2" i="1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L40" i="19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L27" i="19"/>
  <c r="K27" i="19"/>
  <c r="B27" i="19"/>
  <c r="G27" i="19"/>
  <c r="F27" i="19"/>
  <c r="D27" i="19"/>
  <c r="C27" i="19"/>
  <c r="L26" i="19"/>
  <c r="K26" i="19"/>
  <c r="B26" i="19"/>
  <c r="G26" i="19"/>
  <c r="F26" i="19"/>
  <c r="D26" i="19"/>
  <c r="C26" i="19"/>
  <c r="L25" i="19"/>
  <c r="K25" i="19"/>
  <c r="B25" i="19"/>
  <c r="G25" i="19"/>
  <c r="F25" i="19"/>
  <c r="D25" i="19"/>
  <c r="C25" i="19"/>
  <c r="L24" i="19"/>
  <c r="K24" i="19"/>
  <c r="B24" i="19"/>
  <c r="G24" i="19"/>
  <c r="F24" i="19"/>
  <c r="D24" i="19"/>
  <c r="C24" i="19"/>
  <c r="L23" i="19"/>
  <c r="K23" i="19"/>
  <c r="B23" i="19"/>
  <c r="G23" i="19"/>
  <c r="F23" i="19"/>
  <c r="D23" i="19"/>
  <c r="C23" i="19"/>
  <c r="L22" i="19"/>
  <c r="K22" i="19"/>
  <c r="B22" i="19"/>
  <c r="G22" i="19"/>
  <c r="F22" i="19"/>
  <c r="D22" i="19"/>
  <c r="C22" i="19"/>
  <c r="L21" i="19"/>
  <c r="K21" i="19"/>
  <c r="B21" i="19"/>
  <c r="G21" i="19"/>
  <c r="F21" i="19"/>
  <c r="D21" i="19"/>
  <c r="C21" i="19"/>
  <c r="L20" i="19"/>
  <c r="K20" i="19"/>
  <c r="B20" i="19"/>
  <c r="G20" i="19"/>
  <c r="F20" i="19"/>
  <c r="D20" i="19"/>
  <c r="C20" i="19"/>
  <c r="L19" i="19"/>
  <c r="K19" i="19"/>
  <c r="B19" i="19"/>
  <c r="G19" i="19"/>
  <c r="F19" i="19"/>
  <c r="D19" i="19"/>
  <c r="C19" i="19"/>
  <c r="L18" i="19"/>
  <c r="K18" i="19"/>
  <c r="B18" i="19"/>
  <c r="G18" i="19"/>
  <c r="F18" i="19"/>
  <c r="D18" i="19"/>
  <c r="C18" i="19"/>
  <c r="L17" i="19"/>
  <c r="K17" i="19"/>
  <c r="B17" i="19"/>
  <c r="G17" i="19"/>
  <c r="F17" i="19"/>
  <c r="D17" i="19"/>
  <c r="C17" i="19"/>
  <c r="L16" i="19"/>
  <c r="K16" i="19"/>
  <c r="B16" i="19"/>
  <c r="G16" i="19"/>
  <c r="F16" i="19"/>
  <c r="D16" i="19"/>
  <c r="C16" i="19"/>
  <c r="L15" i="19"/>
  <c r="K15" i="19"/>
  <c r="B15" i="19"/>
  <c r="G15" i="19"/>
  <c r="F15" i="19"/>
  <c r="D15" i="19"/>
  <c r="C15" i="19"/>
  <c r="O13" i="9"/>
  <c r="N13" i="9"/>
  <c r="M13" i="9"/>
  <c r="L13" i="9"/>
  <c r="K13" i="9"/>
  <c r="J13" i="9"/>
  <c r="I13" i="9"/>
  <c r="H13" i="9"/>
  <c r="G13" i="9"/>
  <c r="D13" i="9"/>
  <c r="A13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5" i="9"/>
  <c r="N35" i="9"/>
  <c r="M35" i="9"/>
  <c r="L35" i="9"/>
  <c r="K35" i="9"/>
  <c r="J35" i="9"/>
  <c r="I35" i="9"/>
  <c r="H35" i="9"/>
  <c r="G35" i="9"/>
  <c r="E35" i="9"/>
  <c r="D35" i="9"/>
  <c r="A35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D38" i="9"/>
  <c r="A38" i="9"/>
  <c r="O34" i="9"/>
  <c r="N34" i="9"/>
  <c r="M34" i="9"/>
  <c r="L34" i="9"/>
  <c r="K34" i="9"/>
  <c r="J34" i="9"/>
  <c r="I34" i="9"/>
  <c r="H34" i="9"/>
  <c r="G34" i="9"/>
  <c r="E34" i="9"/>
  <c r="D34" i="9"/>
  <c r="A34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D36" i="9"/>
  <c r="A36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T10" i="10"/>
  <c r="W10" i="10"/>
  <c r="V10" i="10"/>
  <c r="X10" i="10"/>
  <c r="U10" i="10"/>
  <c r="Y10" i="10"/>
  <c r="G10" i="10"/>
  <c r="J10" i="10"/>
  <c r="I10" i="10"/>
  <c r="K10" i="10"/>
  <c r="H10" i="10"/>
  <c r="L10" i="10"/>
  <c r="T17" i="10"/>
  <c r="W17" i="10"/>
  <c r="V17" i="10"/>
  <c r="X17" i="10"/>
  <c r="U17" i="10"/>
  <c r="Y17" i="10"/>
  <c r="G17" i="10"/>
  <c r="J17" i="10"/>
  <c r="I17" i="10"/>
  <c r="K17" i="10"/>
  <c r="H17" i="10"/>
  <c r="L17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H4" i="2"/>
  <c r="E4" i="2"/>
  <c r="D4" i="2"/>
  <c r="B4" i="2"/>
  <c r="H3" i="2"/>
  <c r="E3" i="2"/>
  <c r="D3" i="2"/>
  <c r="B3" i="2"/>
  <c r="AB8" i="1"/>
  <c r="AD8" i="1"/>
  <c r="AG8" i="1"/>
  <c r="AE8" i="1"/>
  <c r="AC8" i="1"/>
  <c r="Q8" i="1"/>
  <c r="P8" i="1"/>
  <c r="O8" i="1"/>
  <c r="N8" i="1"/>
  <c r="M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D7" i="1"/>
  <c r="F7" i="1"/>
  <c r="E7" i="1"/>
  <c r="A7" i="1"/>
  <c r="V2" i="1"/>
  <c r="AB6" i="1"/>
  <c r="AD6" i="1"/>
  <c r="AG6" i="1"/>
  <c r="AE6" i="1"/>
  <c r="AC6" i="1"/>
  <c r="Q6" i="1"/>
  <c r="P6" i="1"/>
  <c r="O6" i="1"/>
  <c r="N6" i="1"/>
  <c r="M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D4" i="1"/>
  <c r="F4" i="1"/>
  <c r="E4" i="1"/>
  <c r="A4" i="1"/>
  <c r="AB3" i="1"/>
  <c r="AD3" i="1"/>
  <c r="AG3" i="1"/>
  <c r="AE3" i="1"/>
  <c r="AC3" i="1"/>
  <c r="Q3" i="1"/>
  <c r="P3" i="1"/>
  <c r="O3" i="1"/>
  <c r="N3" i="1"/>
  <c r="M3" i="1"/>
  <c r="D3" i="1"/>
  <c r="F3" i="1"/>
  <c r="E3" i="1"/>
  <c r="A3" i="1"/>
  <c r="AB2" i="1"/>
  <c r="AD2" i="1"/>
  <c r="AG2" i="1"/>
  <c r="AE2" i="1"/>
  <c r="AC2" i="1"/>
  <c r="Q2" i="1"/>
  <c r="P2" i="1"/>
  <c r="O2" i="1"/>
  <c r="N2" i="1"/>
  <c r="M2" i="1"/>
  <c r="D2" i="1"/>
  <c r="F2" i="1"/>
  <c r="E2" i="1"/>
  <c r="A2" i="1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E8" i="16"/>
  <c r="E7" i="16"/>
  <c r="E6" i="16"/>
  <c r="E5" i="16"/>
  <c r="E4" i="16"/>
  <c r="E3" i="16"/>
  <c r="E2" i="16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<sst xmlns="http://schemas.openxmlformats.org/spreadsheetml/2006/main" count="1173" uniqueCount="412">
  <si>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</si>
  <si>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</si>
  <si>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</si>
  <si>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</si>
  <si>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</si>
  <si>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</si>
  <si>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</si>
  <si>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</si>
  <si>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</si>
  <si>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</si>
  <si>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</si>
  <si>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</si>
  <si>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</si>
  <si>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</si>
  <si>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</si>
  <si>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</si>
  <si>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</si>
  <si>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</si>
  <si>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</si>
  <si>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</si>
  <si>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</si>
  <si>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</si>
  <si>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</si>
  <si>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</si>
  <si>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</si>
  <si>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</si>
  <si>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</si>
  <si>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</si>
  <si>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</si>
  <si>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</si>
  <si>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</si>
  <si>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</si>
  <si>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</si>
  <si>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</si>
  <si>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</si>
  <si>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</si>
  <si>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</si>
  <si>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</si>
  <si>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</si>
  <si>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</si>
  <si>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</si>
  <si>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</si>
  <si>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</si>
  <si>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</si>
  <si>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</si>
  <si>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</si>
  <si>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</si>
  <si>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</si>
  <si>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</si>
  <si>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</si>
  <si>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</si>
  <si>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</si>
  <si>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</si>
  <si>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</si>
  <si>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</si>
  <si>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</si>
  <si>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</si>
  <si>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</si>
  <si>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</si>
  <si>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</si>
  <si>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</si>
  <si>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</si>
  <si>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</si>
  <si>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</si>
  <si>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</si>
  <si>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</si>
  <si>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</si>
  <si>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</si>
  <si>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</si>
  <si>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</si>
  <si>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</si>
  <si>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</si>
  <si>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</si>
  <si>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</si>
  <si>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</si>
  <si>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</si>
  <si>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</si>
  <si>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</si>
  <si>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</si>
  <si>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</si>
  <si>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</si>
  <si>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</si>
  <si>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</si>
  <si>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</si>
  <si>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</si>
  <si>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</si>
  <si>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</si>
  <si>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</si>
  <si>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</si>
  <si>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</si>
  <si>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</si>
  <si>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</si>
  <si>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</si>
  <si>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</si>
  <si>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</si>
  <si>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</si>
  <si>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</si>
  <si>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</si>
  <si>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</si>
  <si>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</si>
  <si>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</si>
  <si>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</si>
  <si>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</si>
  <si>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</si>
  <si>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</si>
  <si>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</si>
  <si>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</si>
  <si>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</si>
  <si>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</si>
  <si>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</si>
  <si>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</si>
  <si>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</si>
  <si>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</si>
  <si>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</si>
  <si>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</si>
  <si>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</si>
  <si>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</si>
  <si>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</si>
  <si>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</si>
  <si>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</si>
  <si>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</si>
  <si>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</si>
  <si>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</si>
  <si>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</si>
  <si>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</si>
  <si>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</si>
  <si>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</si>
  <si>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</si>
  <si>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</si>
  <si>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</si>
  <si>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</si>
  <si>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</si>
  <si>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</si>
  <si>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</si>
  <si>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</si>
  <si>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</si>
  <si>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</si>
  <si>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</si>
  <si>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</si>
  <si>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</si>
  <si>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</si>
  <si>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</si>
  <si>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</si>
  <si>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</si>
  <si>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</si>
  <si>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</si>
  <si>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</si>
  <si>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</si>
  <si>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</si>
  <si>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</si>
  <si>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</si>
  <si>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</si>
  <si>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</si>
  <si>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</si>
  <si>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</si>
  <si>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</si>
  <si>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</si>
  <si>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</si>
  <si>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</si>
  <si>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</si>
  <si>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</si>
  <si>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</si>
  <si>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</si>
  <si>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</si>
  <si>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</si>
  <si>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</si>
  <si>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</si>
  <si>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</si>
  <si>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</si>
  <si>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</si>
  <si>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</si>
  <si>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</si>
  <si>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</si>
  <si>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</si>
  <si>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</si>
  <si>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</si>
  <si>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</si>
  <si>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</si>
  <si>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</si>
  <si>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</si>
  <si>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</si>
  <si>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</si>
  <si>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</si>
  <si>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</si>
  <si>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</si>
  <si>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</si>
  <si>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</si>
  <si>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</si>
  <si>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</si>
  <si>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</si>
  <si>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</si>
  <si>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</si>
  <si>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</si>
  <si>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</si>
  <si>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</si>
  <si>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</si>
  <si>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</si>
  <si>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</si>
  <si>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</si>
  <si>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</si>
  <si>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</si>
  <si>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</si>
  <si>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</si>
  <si>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</si>
  <si>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</si>
  <si>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</si>
  <si>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</si>
  <si>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</si>
  <si>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</si>
  <si>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</si>
  <si>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</si>
  <si>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</si>
  <si>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</si>
  <si>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[effect:fix_speed,target:myself,turn:2]</t>
    <phoneticPr fontId="5"/>
  </si>
  <si>
    <t>うぅ…痛いですぅ…</t>
    <rPh sb="3" eb="4">
      <t>イタ</t>
    </rPh>
    <phoneticPr fontId="5"/>
  </si>
  <si>
    <t>ケルベロスが転んでいる</t>
    <rPh sb="6" eb="7">
      <t>コロ</t>
    </rPh>
    <phoneticPr fontId="5"/>
  </si>
  <si>
    <t>[effect:nothing]</t>
    <phoneticPr fontId="5"/>
  </si>
  <si>
    <t>ここはどこですぅ…？</t>
    <phoneticPr fontId="5"/>
  </si>
  <si>
    <t>どうやら迷子になってしまったようだ</t>
    <rPh sb="4" eb="6">
      <t>マイゴ</t>
    </rPh>
    <phoneticPr fontId="5"/>
  </si>
  <si>
    <t>[effect:freq_turn, target:myself, turn:-1, val:1, animation:enemy_freq_turn]</t>
    <phoneticPr fontId="5"/>
  </si>
  <si>
    <t>ja</t>
  </si>
  <si>
    <t>みんなを探さなくちゃ…</t>
    <rPh sb="4" eb="5">
      <t>サガ</t>
    </rPh>
    <phoneticPr fontId="5"/>
  </si>
  <si>
    <t>この戦闘の間攻撃頻度が1ターンにUP</t>
    <phoneticPr fontId="5"/>
  </si>
  <si>
    <t>[effect:dis_panel, target:block_red, turn:-1, animation:enemy_dis_red]</t>
  </si>
  <si>
    <t>赤パネルを / ディスパネル</t>
  </si>
  <si>
    <t>[effect:dis_panel, target:block_blue, turn:-1, animation:enemy_dis_blue],[effect:dis_panel, target:block_yellow, turn:-1, animation:enemy_dis_yellow]</t>
  </si>
  <si>
    <t>[effect:dis_panel, target:block_blue, turn:-1, animation:enemy_dis_blue]</t>
  </si>
  <si>
    <t>青パネルを / ディスパネル</t>
  </si>
  <si>
    <t>[effect:dis_panel, target:block_yellow, turn:-1, animation:enemy_dis_yellow]</t>
  </si>
  <si>
    <t>黄色パネルを / ディスパネル</t>
  </si>
  <si>
    <t>[effect:rush, count:5, val:0.25]</t>
    <phoneticPr fontId="5"/>
  </si>
  <si>
    <t>がるるるるぅ…！</t>
    <phoneticPr fontId="5"/>
  </si>
  <si>
    <t>5回連続攻撃</t>
    <rPh sb="1" eb="2">
      <t>カイ</t>
    </rPh>
    <rPh sb="2" eb="6">
      <t>レンゾクコウゲキ</t>
    </rPh>
    <phoneticPr fontId="5"/>
  </si>
  <si>
    <t>そこをどくですぅ！</t>
    <phoneticPr fontId="5"/>
  </si>
  <si>
    <t>まとめて増強ですぅ！</t>
    <rPh sb="4" eb="6">
      <t>ゾウキョウ</t>
    </rPh>
    <phoneticPr fontId="5"/>
  </si>
  <si>
    <t>4ターン攻撃力＆防御力UP</t>
    <rPh sb="4" eb="7">
      <t>コウゲキリョク</t>
    </rPh>
    <rPh sb="8" eb="11">
      <t>ボウギョリョク</t>
    </rPh>
    <phoneticPr fontId="5"/>
  </si>
  <si>
    <t>なんだか苦しいですぅ…</t>
    <rPh sb="4" eb="5">
      <t>クル</t>
    </rPh>
    <phoneticPr fontId="5"/>
  </si>
  <si>
    <t>嫌な予感がする</t>
    <rPh sb="0" eb="1">
      <t>イヤ</t>
    </rPh>
    <rPh sb="2" eb="4">
      <t>ヨカン</t>
    </rPh>
    <phoneticPr fontId="5"/>
  </si>
  <si>
    <t>はやりやまい</t>
    <phoneticPr fontId="5"/>
  </si>
  <si>
    <t>10ターン強力なウィルス</t>
    <rPh sb="5" eb="7">
      <t>キョウリョク</t>
    </rPh>
    <phoneticPr fontId="5"/>
  </si>
  <si>
    <t>リー！リー！</t>
    <phoneticPr fontId="5"/>
  </si>
  <si>
    <t>[effect:suicide, val:1, dead_type:escape, target:enemy_all]</t>
    <phoneticPr fontId="5"/>
  </si>
  <si>
    <t>[effect:suicide, val:1, dead_type:escape, target:enemy_all]</t>
    <phoneticPr fontId="5"/>
  </si>
  <si>
    <t>リ…リリリリッ…</t>
    <phoneticPr fontId="5"/>
  </si>
  <si>
    <t>ジェリーは怖気付いて逃げ出した</t>
    <rPh sb="5" eb="7">
      <t>オジケヅ</t>
    </rPh>
    <rPh sb="7" eb="8">
      <t>ヅ</t>
    </rPh>
    <rPh sb="10" eb="11">
      <t>ニ</t>
    </rPh>
    <rPh sb="12" eb="13">
      <t>ダ</t>
    </rPh>
    <phoneticPr fontId="5"/>
  </si>
  <si>
    <t>リッ！リッ！</t>
    <phoneticPr fontId="5"/>
  </si>
  <si>
    <t>リ…リリリリッ…</t>
    <phoneticPr fontId="5"/>
  </si>
  <si>
    <t>[effect:fix_speed,target:myself,turn:1]</t>
    <phoneticPr fontId="5"/>
  </si>
  <si>
    <t>…何しにきたの？</t>
    <rPh sb="1" eb="2">
      <t>ナニ</t>
    </rPh>
    <phoneticPr fontId="5"/>
  </si>
  <si>
    <t>この先は危ないよ？</t>
    <rPh sb="2" eb="3">
      <t>サキ</t>
    </rPh>
    <rPh sb="4" eb="5">
      <t>アブ</t>
    </rPh>
    <phoneticPr fontId="5"/>
  </si>
  <si>
    <t>ja</t>
    <phoneticPr fontId="5"/>
  </si>
  <si>
    <t>ストームブレード</t>
    <phoneticPr fontId="5"/>
  </si>
  <si>
    <t>属性変化＋2回連続攻撃</t>
    <rPh sb="0" eb="2">
      <t>ゾクセイ</t>
    </rPh>
    <rPh sb="2" eb="4">
      <t>ヘンカ</t>
    </rPh>
    <rPh sb="6" eb="7">
      <t>カイ</t>
    </rPh>
    <rPh sb="7" eb="9">
      <t>レンゾク</t>
    </rPh>
    <rPh sb="9" eb="11">
      <t>コウゲキ</t>
    </rPh>
    <phoneticPr fontId="5"/>
  </si>
  <si>
    <t>ウィンドライズ</t>
    <phoneticPr fontId="5"/>
  </si>
  <si>
    <t>引き返してほしいな</t>
    <rPh sb="0" eb="1">
      <t>ヒ</t>
    </rPh>
    <rPh sb="2" eb="3">
      <t>カエ</t>
    </rPh>
    <phoneticPr fontId="5"/>
  </si>
  <si>
    <t>あの子たちに見つかる前に…</t>
    <rPh sb="2" eb="3">
      <t>コ</t>
    </rPh>
    <rPh sb="6" eb="7">
      <t>ミ</t>
    </rPh>
    <rPh sb="10" eb="11">
      <t>マエ</t>
    </rPh>
    <phoneticPr fontId="5"/>
  </si>
  <si>
    <t>[effect:spread, val:0.35],[effect:rush, count:4, val:0.15]</t>
    <phoneticPr fontId="5"/>
  </si>
  <si>
    <t>フェアリーブラスト</t>
    <phoneticPr fontId="5"/>
  </si>
  <si>
    <t>強力な全体攻撃</t>
    <rPh sb="0" eb="2">
      <t>キョウリョク</t>
    </rPh>
    <rPh sb="3" eb="7">
      <t>ゼンタイコウゲキ</t>
    </rPh>
    <phoneticPr fontId="5"/>
  </si>
  <si>
    <t>ja</t>
    <phoneticPr fontId="5"/>
  </si>
  <si>
    <t>どうしても行くのなら</t>
    <rPh sb="5" eb="6">
      <t>イ</t>
    </rPh>
    <phoneticPr fontId="5"/>
  </si>
  <si>
    <t>見せてよ　キミの覚悟を！</t>
    <rPh sb="0" eb="1">
      <t>ミ</t>
    </rPh>
    <rPh sb="8" eb="10">
      <t>カクゴ</t>
    </rPh>
    <phoneticPr fontId="5"/>
  </si>
  <si>
    <t>[effect:hungup, target:unit_all, turn:5, rate:1, animation:hungup01],[effect:suicide, val:1, dead_type:escape, target:myself, animation:enemy_suicide]</t>
    <phoneticPr fontId="5"/>
  </si>
  <si>
    <t>これじゃダメ…</t>
    <phoneticPr fontId="5"/>
  </si>
  <si>
    <t>あの子たちを救うには…足りないよ…</t>
    <rPh sb="2" eb="3">
      <t>コ</t>
    </rPh>
    <rPh sb="6" eb="7">
      <t>スク</t>
    </rPh>
    <rPh sb="11" eb="12">
      <t>タ</t>
    </rPh>
    <phoneticPr fontId="5"/>
  </si>
  <si>
    <t>[effect:suicide, val:1, dead_type:escape, target:myself, animation:enemy_suicide]</t>
    <phoneticPr fontId="5"/>
  </si>
  <si>
    <t>うん…いい感じだね</t>
    <rPh sb="5" eb="6">
      <t>カン</t>
    </rPh>
    <phoneticPr fontId="5"/>
  </si>
  <si>
    <t>キミ達なら　もしかしたら…</t>
    <rPh sb="2" eb="3">
      <t>タチ</t>
    </rPh>
    <phoneticPr fontId="5"/>
  </si>
  <si>
    <t>キミの気持ち伝わったよ</t>
    <rPh sb="3" eb="5">
      <t>キモ</t>
    </rPh>
    <rPh sb="6" eb="7">
      <t>ツタ</t>
    </rPh>
    <phoneticPr fontId="5"/>
  </si>
  <si>
    <t>私も力を貸してあげる…がんばって…</t>
    <rPh sb="0" eb="1">
      <t>ワタシ</t>
    </rPh>
    <rPh sb="2" eb="3">
      <t>チカラ</t>
    </rPh>
    <rPh sb="4" eb="5">
      <t>カ</t>
    </rPh>
    <phoneticPr fontId="5"/>
  </si>
  <si>
    <t>ja</t>
    <phoneticPr fontId="5"/>
  </si>
  <si>
    <t>[effect:fix_speed,target:myself,turn:1],[effect:tolerance, target:myself, turn:-1, tolerance_effect:hungup, count:-1, animation:enemy_tolerance]</t>
    <phoneticPr fontId="5"/>
  </si>
  <si>
    <t>ja</t>
    <phoneticPr fontId="5"/>
  </si>
  <si>
    <t>新しいオモチャだ！</t>
    <rPh sb="0" eb="1">
      <t>アタラ</t>
    </rPh>
    <phoneticPr fontId="5"/>
  </si>
  <si>
    <t>【！】15ターン後に即死攻撃発動【！】</t>
    <rPh sb="8" eb="9">
      <t>ゴ</t>
    </rPh>
    <rPh sb="10" eb="14">
      <t>ソクシコウゲキ</t>
    </rPh>
    <rPh sb="14" eb="16">
      <t>ハツドウ</t>
    </rPh>
    <phoneticPr fontId="5"/>
  </si>
  <si>
    <t>[effect:freq_turn, target:enemy_green, turn:2, val:1, animation:enemy_freq_turn]</t>
    <phoneticPr fontId="5"/>
  </si>
  <si>
    <t>今日からお友達だよ！</t>
    <rPh sb="0" eb="2">
      <t>キョウ</t>
    </rPh>
    <rPh sb="5" eb="7">
      <t>トモダチ</t>
    </rPh>
    <phoneticPr fontId="5"/>
  </si>
  <si>
    <t>2ターン緑属性エネミーの攻撃頻度UP</t>
    <rPh sb="4" eb="7">
      <t>ミドリゾクセイ</t>
    </rPh>
    <rPh sb="12" eb="16">
      <t>コウゲキヒンド</t>
    </rPh>
    <phoneticPr fontId="5"/>
  </si>
  <si>
    <t>[effect:enhance_enemy, target:enemy_blue, turn:1, status:attack, val:0.4, animation:enemy_enhance_attack]</t>
    <phoneticPr fontId="5"/>
  </si>
  <si>
    <t>ja</t>
    <phoneticPr fontId="5"/>
  </si>
  <si>
    <t>一緒に遊んでね！</t>
    <rPh sb="0" eb="2">
      <t>イッショ</t>
    </rPh>
    <rPh sb="3" eb="4">
      <t>アソ</t>
    </rPh>
    <phoneticPr fontId="5"/>
  </si>
  <si>
    <t>1ターン青属性エネミーの攻撃力大UP</t>
    <rPh sb="4" eb="7">
      <t>アオゾクセイ</t>
    </rPh>
    <rPh sb="12" eb="15">
      <t>コウゲキリョク</t>
    </rPh>
    <rPh sb="15" eb="16">
      <t>ダイ</t>
    </rPh>
    <phoneticPr fontId="5"/>
  </si>
  <si>
    <t>[effect:sleep, target:unit_all, turn:1, rate:1, animation:sleep01]</t>
    <phoneticPr fontId="5"/>
  </si>
  <si>
    <t>おひるねの時間</t>
    <rPh sb="5" eb="7">
      <t>ジカン</t>
    </rPh>
    <phoneticPr fontId="5"/>
  </si>
  <si>
    <t>1ターン全体スリープ
【！】残り12ターン【！】</t>
    <rPh sb="4" eb="6">
      <t>ゼンタイ</t>
    </rPh>
    <rPh sb="14" eb="15">
      <t>ノコ</t>
    </rPh>
    <phoneticPr fontId="5"/>
  </si>
  <si>
    <t>[effect:remove_enhancement, target:unit_all, target_effect:all, target_type:buff, animation:frozen_wave],[effect:spread, val:5.0]</t>
    <phoneticPr fontId="5"/>
  </si>
  <si>
    <t>ja</t>
    <phoneticPr fontId="5"/>
  </si>
  <si>
    <t>…飽きた</t>
    <rPh sb="1" eb="2">
      <t>ア</t>
    </rPh>
    <phoneticPr fontId="5"/>
  </si>
  <si>
    <t>全てのプラス効果を解除＋即死級攻撃</t>
    <rPh sb="0" eb="1">
      <t>スベ</t>
    </rPh>
    <rPh sb="6" eb="8">
      <t>コウカ</t>
    </rPh>
    <rPh sb="9" eb="11">
      <t>カイジョ</t>
    </rPh>
    <rPh sb="12" eb="15">
      <t>ソクシキュウ</t>
    </rPh>
    <rPh sb="15" eb="17">
      <t>コウゲキ</t>
    </rPh>
    <phoneticPr fontId="5"/>
  </si>
  <si>
    <t>ムニャムニャ</t>
    <phoneticPr fontId="5"/>
  </si>
  <si>
    <t>呪文のような言葉を唱えている</t>
    <rPh sb="0" eb="2">
      <t>ジュモン</t>
    </rPh>
    <rPh sb="6" eb="8">
      <t>コトバ</t>
    </rPh>
    <rPh sb="9" eb="10">
      <t>トナ</t>
    </rPh>
    <phoneticPr fontId="5"/>
  </si>
  <si>
    <t>[effect:remove_enhancement, target:unit_all, target_effect:all, target_type:buff, animation:frozen_wave]</t>
    <phoneticPr fontId="5"/>
  </si>
  <si>
    <t>ディスペル</t>
    <phoneticPr fontId="5"/>
  </si>
  <si>
    <t>全てのプラス効果を解除</t>
    <rPh sb="0" eb="1">
      <t>スベ</t>
    </rPh>
    <rPh sb="6" eb="8">
      <t>コウカ</t>
    </rPh>
    <rPh sb="9" eb="11">
      <t>カイジョ</t>
    </rPh>
    <phoneticPr fontId="5"/>
  </si>
  <si>
    <t>れんぞくかみつき</t>
    <phoneticPr fontId="5"/>
  </si>
  <si>
    <t>5回連続攻撃</t>
    <rPh sb="1" eb="2">
      <t>カイ</t>
    </rPh>
    <rPh sb="2" eb="4">
      <t>レンゾク</t>
    </rPh>
    <rPh sb="4" eb="6">
      <t>コウゲキ</t>
    </rPh>
    <phoneticPr fontId="5"/>
  </si>
  <si>
    <t>[effect:critical, val:1.5]</t>
    <phoneticPr fontId="5"/>
  </si>
  <si>
    <t>噛み砕き</t>
    <rPh sb="0" eb="1">
      <t>カ</t>
    </rPh>
    <rPh sb="2" eb="3">
      <t>クダ</t>
    </rPh>
    <phoneticPr fontId="5"/>
  </si>
  <si>
    <t>攻撃力*1.5倍の攻撃</t>
    <rPh sb="0" eb="3">
      <t>コウゲキリョク</t>
    </rPh>
    <rPh sb="7" eb="8">
      <t>バイ</t>
    </rPh>
    <rPh sb="9" eb="11">
      <t>コウゲキ</t>
    </rPh>
    <phoneticPr fontId="5"/>
  </si>
  <si>
    <t>[effect:suicide, val:1, dead_type:suicide, target:enemy_green, animation:enemy_suicide],[effect:suicide, val:1, dead_type:suicide, target:enemy_blue, animation:enemy_suicide],[effect:tolerance, target:myself, turn:-1, tolerance_effect:hungup, count:-1, animation:enemy_tolerance]</t>
    <phoneticPr fontId="5"/>
  </si>
  <si>
    <t>古いオモチャはもういいやー</t>
    <rPh sb="0" eb="1">
      <t>フル</t>
    </rPh>
    <phoneticPr fontId="5"/>
  </si>
  <si>
    <t>周囲のエネミーが全滅する</t>
    <rPh sb="0" eb="2">
      <t>シュウイ</t>
    </rPh>
    <rPh sb="8" eb="10">
      <t>ゼンメツ</t>
    </rPh>
    <phoneticPr fontId="5"/>
  </si>
  <si>
    <t>もっと遊ぼうよ！</t>
    <rPh sb="3" eb="4">
      <t>アソ</t>
    </rPh>
    <phoneticPr fontId="5"/>
  </si>
  <si>
    <t>フィーバーゲージ減少＋攻撃</t>
    <rPh sb="8" eb="10">
      <t>ゲンショウ</t>
    </rPh>
    <rPh sb="11" eb="13">
      <t>コウゲキ</t>
    </rPh>
    <phoneticPr fontId="5"/>
  </si>
  <si>
    <t>[effect:rush, count:10, val:0.15]</t>
    <phoneticPr fontId="5"/>
  </si>
  <si>
    <t>くらえ必殺！</t>
    <rPh sb="3" eb="5">
      <t>ヒッサツ</t>
    </rPh>
    <phoneticPr fontId="5"/>
  </si>
  <si>
    <t>10回連続攻撃</t>
    <rPh sb="2" eb="3">
      <t>カイ</t>
    </rPh>
    <rPh sb="3" eb="5">
      <t>レンゾク</t>
    </rPh>
    <rPh sb="5" eb="7">
      <t>コウゲキ</t>
    </rPh>
    <phoneticPr fontId="5"/>
  </si>
  <si>
    <t>じたばたしないでー！</t>
    <phoneticPr fontId="5"/>
  </si>
  <si>
    <t>言うこと聞けよぉ！</t>
    <rPh sb="0" eb="1">
      <t>イ</t>
    </rPh>
    <rPh sb="4" eb="5">
      <t>キ</t>
    </rPh>
    <phoneticPr fontId="5"/>
  </si>
  <si>
    <t>[effect:hungup, target:unit_all, turn:8, rate:1, animation:hungup01]</t>
    <phoneticPr fontId="5"/>
  </si>
  <si>
    <t>残骸の怨念</t>
    <rPh sb="0" eb="2">
      <t>ザンガイ</t>
    </rPh>
    <rPh sb="3" eb="5">
      <t>オンネン</t>
    </rPh>
    <phoneticPr fontId="5"/>
  </si>
  <si>
    <t>全てのユニットに8ターンスキルバインド</t>
    <rPh sb="0" eb="1">
      <t>ゼンタイ</t>
    </rPh>
    <phoneticPr fontId="5"/>
  </si>
  <si>
    <t>[effect:enhance_enemy, target:myself, turn:10, status:attack, val:0.5, animation:enemy_enhance_attack]</t>
    <phoneticPr fontId="5"/>
  </si>
  <si>
    <t>残骸の思慕</t>
    <rPh sb="0" eb="2">
      <t>ザンガイ</t>
    </rPh>
    <rPh sb="3" eb="5">
      <t>シボ</t>
    </rPh>
    <phoneticPr fontId="5"/>
  </si>
  <si>
    <t>10ターン攻撃力大UP</t>
    <rPh sb="5" eb="8">
      <t>コウゲキリョク</t>
    </rPh>
    <rPh sb="8" eb="9">
      <t>ダイ</t>
    </rPh>
    <phoneticPr fontId="5"/>
  </si>
  <si>
    <t>[effect:fix_speed,target:myself,turn:1],[effect:tolerance, target:myself, turn:-1, tolerance_effect:hungup, count:-1, animation:enemy_tolerance],[effect:dis_panel, target:block_red, turn:-1],[effect:dis_panel, target:block_blue, turn:-1],[effect:dis_panel, target:block_yellow, turn:-1]</t>
    <phoneticPr fontId="5"/>
  </si>
  <si>
    <t>私達も入れてー！</t>
    <rPh sb="0" eb="1">
      <t>ワタシ</t>
    </rPh>
    <rPh sb="1" eb="2">
      <t>タチ</t>
    </rPh>
    <rPh sb="3" eb="4">
      <t>イ</t>
    </rPh>
    <phoneticPr fontId="5"/>
  </si>
  <si>
    <t>他の子供たちが現れ　パネルを封印した！</t>
    <rPh sb="0" eb="1">
      <t>ホカ</t>
    </rPh>
    <rPh sb="2" eb="4">
      <t>コドモタチ</t>
    </rPh>
    <rPh sb="7" eb="8">
      <t>アラワ</t>
    </rPh>
    <rPh sb="14" eb="16">
      <t>フウイン</t>
    </rPh>
    <phoneticPr fontId="5"/>
  </si>
  <si>
    <t>ja</t>
    <phoneticPr fontId="5"/>
  </si>
  <si>
    <t>オモチャ返してよー！</t>
    <rPh sb="4" eb="5">
      <t>カエ</t>
    </rPh>
    <phoneticPr fontId="5"/>
  </si>
  <si>
    <t>HPを10%消費して全体攻撃</t>
    <rPh sb="6" eb="8">
      <t>ショウヒ</t>
    </rPh>
    <rPh sb="10" eb="14">
      <t>ゼンタイコウゲキ</t>
    </rPh>
    <phoneticPr fontId="5"/>
  </si>
  <si>
    <t>散らかしちゃダメー！</t>
    <rPh sb="0" eb="1">
      <t>チ</t>
    </rPh>
    <phoneticPr fontId="5"/>
  </si>
  <si>
    <t>あたま…いたい…</t>
    <phoneticPr fontId="5"/>
  </si>
  <si>
    <t>次のターン超強力な一撃</t>
    <rPh sb="0" eb="1">
      <t>ツギ</t>
    </rPh>
    <rPh sb="5" eb="8">
      <t>チョウキョウリョク</t>
    </rPh>
    <rPh sb="9" eb="11">
      <t>イチゲキ</t>
    </rPh>
    <phoneticPr fontId="5"/>
  </si>
  <si>
    <t>純粋悪意の放出</t>
    <rPh sb="0" eb="4">
      <t>ジュンスイアクイ</t>
    </rPh>
    <rPh sb="5" eb="7">
      <t>ホウシュツ</t>
    </rPh>
    <phoneticPr fontId="5"/>
  </si>
  <si>
    <t>アクアブレード</t>
    <phoneticPr fontId="5"/>
  </si>
  <si>
    <t>[effect:sleep, target:unit_all, turn:1, rate:1, animation:sleep01]</t>
    <phoneticPr fontId="5"/>
  </si>
  <si>
    <t>1ターン全体スリープ
【！】残り9ターン【！】</t>
    <rPh sb="4" eb="6">
      <t>ゼンタイ</t>
    </rPh>
    <rPh sb="14" eb="15">
      <t>ノコ</t>
    </rPh>
    <phoneticPr fontId="5"/>
  </si>
  <si>
    <t>1ターン全体スリープ
【！】残り6ターン【！】</t>
    <rPh sb="4" eb="6">
      <t>ゼンタイ</t>
    </rPh>
    <rPh sb="14" eb="15">
      <t>ノコ</t>
    </rPh>
    <phoneticPr fontId="5"/>
  </si>
  <si>
    <t>1ターン全体スリープ
【！】残り3ターン【！】</t>
    <rPh sb="4" eb="6">
      <t>ゼンタイ</t>
    </rPh>
    <rPh sb="14" eb="15">
      <t>ノコ</t>
    </rPh>
    <phoneticPr fontId="5"/>
  </si>
  <si>
    <t>緑の断末魔</t>
    <rPh sb="0" eb="1">
      <t>ミドリ</t>
    </rPh>
    <rPh sb="2" eb="5">
      <t>ダンマツマ</t>
    </rPh>
    <phoneticPr fontId="5"/>
  </si>
  <si>
    <t>青の断末魔</t>
    <rPh sb="0" eb="1">
      <t>アオ</t>
    </rPh>
    <rPh sb="2" eb="5">
      <t>ダンマツマ</t>
    </rPh>
    <phoneticPr fontId="5"/>
  </si>
  <si>
    <t>転がりタックル</t>
    <rPh sb="0" eb="1">
      <t>コロガリ</t>
    </rPh>
    <phoneticPr fontId="5"/>
  </si>
  <si>
    <t>[effect:rush, count:1, val:1.1]</t>
    <phoneticPr fontId="5"/>
  </si>
  <si>
    <t>黄属性のユニットに5ターンスキルバインド</t>
    <rPh sb="0" eb="1">
      <t>キイロ</t>
    </rPh>
    <rPh sb="1" eb="3">
      <t>ゾクセイ</t>
    </rPh>
    <phoneticPr fontId="5"/>
  </si>
  <si>
    <t>赤属性のユニットに5ターンスキルバインド</t>
    <rPh sb="0" eb="1">
      <t>アカ</t>
    </rPh>
    <rPh sb="1" eb="3">
      <t>ゾクセイ</t>
    </rPh>
    <phoneticPr fontId="5"/>
  </si>
  <si>
    <t>[effect:hungup, target:unit_red, turn:5, rate:1, animation:hungup01]</t>
    <phoneticPr fontId="5"/>
  </si>
  <si>
    <t>[effect:hungup, target:unit_yellow, turn:5, rate:1, animation:hungup01]</t>
    <phoneticPr fontId="5"/>
  </si>
  <si>
    <t>5ターン攻撃力50%DOWN</t>
    <rPh sb="4" eb="6">
      <t>コウゲキ</t>
    </rPh>
    <phoneticPr fontId="5"/>
  </si>
  <si>
    <t>5ターン回復力50%DOWN</t>
    <rPh sb="4" eb="7">
      <t>カイフクリョク</t>
    </rPh>
    <phoneticPr fontId="5"/>
  </si>
  <si>
    <t>[effect:degrade_unit, target:unit_all, turn:5, status:heal, val:0.5]</t>
    <phoneticPr fontId="5"/>
  </si>
  <si>
    <t>[effect:degrade_unit, target:unit_all, turn:5, status:attack, val:0.5]</t>
    <phoneticPr fontId="5"/>
  </si>
  <si>
    <t>null</t>
  </si>
  <si>
    <t>null</t>
    <phoneticPr fontId="5"/>
  </si>
  <si>
    <t>null</t>
    <phoneticPr fontId="5"/>
  </si>
  <si>
    <t>old</t>
  </si>
  <si>
    <t>link</t>
  </si>
  <si>
    <t>unit</t>
  </si>
  <si>
    <t>[effect:suicide, val:0.1, dead_type:suicide, target:myself, animation:enemy_suicide],[effect:spread, val:0.4]</t>
    <phoneticPr fontId="5"/>
  </si>
  <si>
    <t>赤・黄属性のユニットに5ターンスキルバインド</t>
    <rPh sb="0" eb="1">
      <t>アカ</t>
    </rPh>
    <rPh sb="2" eb="3">
      <t>キイロ</t>
    </rPh>
    <rPh sb="3" eb="5">
      <t>ゾクセイ</t>
    </rPh>
    <phoneticPr fontId="5"/>
  </si>
  <si>
    <t>[effect:hungup, target:unit_red, turn:5, rate:1, animation:hungup01],[effect:hungup, target:unit_yellow, turn:5, rate:1, animation:hungup01]</t>
    <phoneticPr fontId="5"/>
  </si>
  <si>
    <t>そんなの効かないよーだ！</t>
    <rPh sb="4" eb="5">
      <t>キカナイ</t>
    </rPh>
    <phoneticPr fontId="5"/>
  </si>
  <si>
    <t>全体攻撃</t>
    <rPh sb="0" eb="4">
      <t>ゼンタイコウゲキ</t>
    </rPh>
    <phoneticPr fontId="5"/>
  </si>
  <si>
    <t>[effect:spread, val:0.3]</t>
    <phoneticPr fontId="5"/>
  </si>
  <si>
    <t>解除されるまで防御力UP</t>
    <rPh sb="0" eb="2">
      <t>カイジョ</t>
    </rPh>
    <rPh sb="7" eb="10">
      <t>ボウギョリョク</t>
    </rPh>
    <phoneticPr fontId="5"/>
  </si>
  <si>
    <t>8回連続攻撃</t>
    <rPh sb="1" eb="2">
      <t>カイ</t>
    </rPh>
    <rPh sb="2" eb="4">
      <t>レンゾク</t>
    </rPh>
    <rPh sb="4" eb="6">
      <t>コウゲキ</t>
    </rPh>
    <phoneticPr fontId="5"/>
  </si>
  <si>
    <t>クリティカル！</t>
    <phoneticPr fontId="5"/>
  </si>
  <si>
    <t>[effect:virus, turn:10, rate:1, val:0.25, animation:enemy_virus]</t>
    <phoneticPr fontId="5"/>
  </si>
  <si>
    <t>もっともーっと遊ぼー！</t>
    <rPh sb="7" eb="8">
      <t>アソボウ</t>
    </rPh>
    <phoneticPr fontId="5"/>
  </si>
  <si>
    <t>1ターン全体スキルバインド＋全体攻撃</t>
    <rPh sb="4" eb="6">
      <t>ゼンタイ</t>
    </rPh>
    <rPh sb="14" eb="16">
      <t>ゼンタイ</t>
    </rPh>
    <rPh sb="16" eb="18">
      <t>コウゲキ</t>
    </rPh>
    <phoneticPr fontId="5"/>
  </si>
  <si>
    <t>3ターンCパネル変換禁止＋全体攻撃</t>
    <rPh sb="8" eb="10">
      <t>ヘンカn</t>
    </rPh>
    <rPh sb="10" eb="12">
      <t>キンシ</t>
    </rPh>
    <rPh sb="13" eb="15">
      <t>ゼンタイ</t>
    </rPh>
    <rPh sb="15" eb="17">
      <t>コウゲキ</t>
    </rPh>
    <phoneticPr fontId="5"/>
  </si>
  <si>
    <t>HPを99%消費して激烈クリティカル！</t>
    <rPh sb="10" eb="12">
      <t>ゲキレツ</t>
    </rPh>
    <phoneticPr fontId="5"/>
  </si>
  <si>
    <t>新ワザいっくよー！</t>
    <rPh sb="0" eb="1">
      <t>シン</t>
    </rPh>
    <phoneticPr fontId="5"/>
  </si>
  <si>
    <t>うごくな！手をあげろー！</t>
    <rPh sb="5" eb="6">
      <t>テヲ</t>
    </rPh>
    <phoneticPr fontId="5"/>
  </si>
  <si>
    <t>いっせいこうげきー！</t>
    <phoneticPr fontId="5"/>
  </si>
  <si>
    <t>お供のジェリーを2体とも先に倒すと
強力なウィルスを受けてしまいます
倒す順番を工夫して戦いましょう</t>
    <rPh sb="1" eb="2">
      <t>トモ</t>
    </rPh>
    <rPh sb="9" eb="10">
      <t>カラダ</t>
    </rPh>
    <rPh sb="12" eb="13">
      <t>サキ</t>
    </rPh>
    <rPh sb="14" eb="15">
      <t>タオ</t>
    </rPh>
    <rPh sb="18" eb="20">
      <t>キョウリョク</t>
    </rPh>
    <rPh sb="26" eb="27">
      <t>ウ</t>
    </rPh>
    <rPh sb="36" eb="37">
      <t>タオ</t>
    </rPh>
    <rPh sb="38" eb="40">
      <t>ジュンバン</t>
    </rPh>
    <rPh sb="41" eb="43">
      <t>クフウ</t>
    </rPh>
    <rPh sb="45" eb="46">
      <t>タタカ</t>
    </rPh>
    <phoneticPr fontId="5"/>
  </si>
  <si>
    <t>ケルベロスの攻撃は激しいですが
攻撃開始まで一定の猶予があります
その間に戦闘態勢を整えておきましょう</t>
    <rPh sb="6" eb="8">
      <t>コウゲキ</t>
    </rPh>
    <rPh sb="9" eb="10">
      <t>ハゲ</t>
    </rPh>
    <rPh sb="16" eb="20">
      <t>コウゲキカイシ</t>
    </rPh>
    <rPh sb="22" eb="24">
      <t>イッテイ</t>
    </rPh>
    <rPh sb="25" eb="27">
      <t>ユウヨ</t>
    </rPh>
    <rPh sb="36" eb="37">
      <t>アイダ</t>
    </rPh>
    <rPh sb="38" eb="42">
      <t>セントウタイセイ</t>
    </rPh>
    <rPh sb="43" eb="44">
      <t>トトノ</t>
    </rPh>
    <phoneticPr fontId="5"/>
  </si>
  <si>
    <t>ファータのスキルには攻撃と同時に
自身の属性を変化させるものがあります
戦況を見極めて臨機応変に戦いましょう</t>
    <rPh sb="10" eb="12">
      <t>コウゲキ</t>
    </rPh>
    <rPh sb="13" eb="15">
      <t>ドウジ</t>
    </rPh>
    <rPh sb="17" eb="19">
      <t>ジシン</t>
    </rPh>
    <rPh sb="20" eb="22">
      <t>ゾクセイ</t>
    </rPh>
    <rPh sb="23" eb="25">
      <t>ヘンカ</t>
    </rPh>
    <rPh sb="37" eb="39">
      <t>センキョウ</t>
    </rPh>
    <rPh sb="40" eb="42">
      <t>ミキワ</t>
    </rPh>
    <rPh sb="44" eb="48">
      <t>リンキオウヘン</t>
    </rPh>
    <rPh sb="49" eb="50">
      <t>タタカ</t>
    </rPh>
    <phoneticPr fontId="5"/>
  </si>
  <si>
    <t>ファータは定期的に緑パネルを吸収して
攻撃力をUPするので警戒して戦いましょう</t>
    <rPh sb="5" eb="8">
      <t>テイキテキ</t>
    </rPh>
    <rPh sb="9" eb="10">
      <t>ミドリ</t>
    </rPh>
    <rPh sb="14" eb="16">
      <t>キュウシュウ</t>
    </rPh>
    <rPh sb="19" eb="22">
      <t>コウゲキリョク</t>
    </rPh>
    <rPh sb="29" eb="31">
      <t>ケイカイ</t>
    </rPh>
    <rPh sb="33" eb="34">
      <t>タタカ</t>
    </rPh>
    <phoneticPr fontId="5"/>
  </si>
  <si>
    <t>Gスター・チルドレンは最後の最後に
想像を絶する大ダメージを放ってきます
ダメージ軽減スキルがあると非常に有用です</t>
    <rPh sb="11" eb="13">
      <t>サイゴ</t>
    </rPh>
    <rPh sb="14" eb="16">
      <t>サイゴ</t>
    </rPh>
    <rPh sb="18" eb="20">
      <t>ソウゾウ</t>
    </rPh>
    <rPh sb="21" eb="22">
      <t>ゼッ</t>
    </rPh>
    <rPh sb="24" eb="25">
      <t>ダイ</t>
    </rPh>
    <rPh sb="30" eb="31">
      <t>ハナ</t>
    </rPh>
    <rPh sb="42" eb="44">
      <t>ケイゲン</t>
    </rPh>
    <rPh sb="51" eb="53">
      <t>ヒジョウ</t>
    </rPh>
    <rPh sb="54" eb="56">
      <t>ユウヨウ</t>
    </rPh>
    <phoneticPr fontId="5"/>
  </si>
  <si>
    <t>Gスター・チルドレンが1ゲージ目で放つ
即死攻撃は防ぐことができません
スキルやフィーバーで素早く突破しましょう</t>
    <rPh sb="17" eb="18">
      <t>ハナツ</t>
    </rPh>
    <rPh sb="20" eb="22">
      <t>ソクシキュウ</t>
    </rPh>
    <rPh sb="22" eb="24">
      <t>コウゲキハ</t>
    </rPh>
    <rPh sb="25" eb="26">
      <t>フセグ</t>
    </rPh>
    <rPh sb="47" eb="49">
      <t>スバヤク</t>
    </rPh>
    <rPh sb="50" eb="52">
      <t>トッパ</t>
    </rPh>
    <phoneticPr fontId="5"/>
  </si>
  <si>
    <t>お供のジョーとポチが消滅すると
状況により特定の妨害スキルが発動します
対策したうえでの早期撃破が重要です</t>
    <rPh sb="1" eb="2">
      <t>トモ</t>
    </rPh>
    <rPh sb="10" eb="12">
      <t>ショウメツ</t>
    </rPh>
    <rPh sb="16" eb="18">
      <t>ジョウキョウ</t>
    </rPh>
    <rPh sb="21" eb="23">
      <t>トクテイ</t>
    </rPh>
    <rPh sb="24" eb="26">
      <t>ボウガイ</t>
    </rPh>
    <rPh sb="30" eb="32">
      <t>ハツドウ</t>
    </rPh>
    <rPh sb="37" eb="39">
      <t>タイサク</t>
    </rPh>
    <rPh sb="45" eb="47">
      <t>ソウキ</t>
    </rPh>
    <rPh sb="47" eb="49">
      <t>ゲキハ</t>
    </rPh>
    <rPh sb="50" eb="52">
      <t>ジュウヨウ</t>
    </rPh>
    <phoneticPr fontId="5"/>
  </si>
  <si>
    <t>Gスター・チルドレンは2ゲージ目以降
ボムパネル破壊攻撃を使うようになります
不意の大ダメージに注意しましょう</t>
    <rPh sb="16" eb="18">
      <t>イコウ</t>
    </rPh>
    <rPh sb="24" eb="26">
      <t>ハカイ</t>
    </rPh>
    <rPh sb="26" eb="28">
      <t>コウゲキ</t>
    </rPh>
    <rPh sb="29" eb="30">
      <t>ツカ</t>
    </rPh>
    <rPh sb="40" eb="42">
      <t>フイ</t>
    </rPh>
    <rPh sb="43" eb="44">
      <t>ダイ</t>
    </rPh>
    <rPh sb="49" eb="51">
      <t>チュウイ</t>
    </rPh>
    <phoneticPr fontId="5"/>
  </si>
  <si>
    <t>[effect:break_attack, val:0.5, lowest_val:6250, count:6, block:crack_bomb, target:unit_one]</t>
    <phoneticPr fontId="5"/>
  </si>
  <si>
    <t>ボムパネル吸収攻撃（最大6個）</t>
    <rPh sb="5" eb="7">
      <t>キュウシュウ</t>
    </rPh>
    <rPh sb="10" eb="12">
      <t>サイダイ</t>
    </rPh>
    <rPh sb="13" eb="14">
      <t>コ</t>
    </rPh>
    <phoneticPr fontId="5"/>
  </si>
  <si>
    <t>[effect:break_attack, val:0.5, lowest_val:12500, count:6, block:crack_bomb, target:unit_one],[effect:freq_turn, target:myself, turn:-1, val:1, animation:enemy_freq_turn]</t>
    <phoneticPr fontId="5"/>
  </si>
  <si>
    <t>ボムパネル吸収攻撃（最大6個）＋攻撃頻度UP</t>
    <rPh sb="16" eb="20">
      <t>コウゲキヒンド</t>
    </rPh>
    <phoneticPr fontId="5"/>
  </si>
  <si>
    <t>[effect:fix_speed,target:myself,turn:2],[effect:tolerance, target:myself, turn:-1, tolerance_effect:hungup, count:-1, animation:enemy_tolerance],[effect:degrade_fever, val:1000, animation:fevergauge_down],</t>
    <phoneticPr fontId="5"/>
  </si>
  <si>
    <t>[effect:suicide, val:0.99, dead_type:suicide, target:myself, animation:enemy_suicide],[effect:critical, val:3.6]</t>
    <phoneticPr fontId="5"/>
  </si>
  <si>
    <t>[effect:enhance_enemy, target:myself, turn:-1, status:defense, val:3000, calc:add, animation:enemy_enhance_defense]</t>
    <phoneticPr fontId="5"/>
  </si>
  <si>
    <t>[effect:fix_speed,target:myself,turn:1],[effect:tolerance, target:myself, turn:-1, tolerance_effect:hungup, count:-1, animation:enemy_tolerance],[effect:dis_panel, target:block_red, turn:-1],[effect:dis_panel, target:block_blue, turn:-1],[effect:dis_panel, target:block_yellow, turn:-1],[effect:enhance_enemy, target:myself, turn:-1, status:defense, val:3000, calc:add, animation:enemy_enhance_defense]</t>
    <phoneticPr fontId="5"/>
  </si>
  <si>
    <t>[effect:change_attribute, target:myself, color:green, turn:-1, animation:change_attribute_green],[effect:rush, count:2, val:0.6]</t>
    <phoneticPr fontId="5"/>
  </si>
  <si>
    <t>[effect:change_attribute, target:myself, color:blue, turn:-1, animation:change_attribute_blue],[effect:rush, count:2, val:0.6]</t>
    <phoneticPr fontId="5"/>
  </si>
  <si>
    <t>【！】12ターン後に即死攻撃発動【！】</t>
    <rPh sb="8" eb="9">
      <t>ゴ</t>
    </rPh>
    <rPh sb="10" eb="14">
      <t>ソクシコウゲキ</t>
    </rPh>
    <rPh sb="14" eb="16">
      <t>ハツドウ</t>
    </rPh>
    <phoneticPr fontId="5"/>
  </si>
  <si>
    <t>[effect:break_enchance_enemy, val:0.05, lowest_val:0.01, count :8, status:attack, turn:3, block:block_green, target:myself, calc:mul, animation:enemy_enhance_attack]</t>
    <phoneticPr fontId="5"/>
  </si>
  <si>
    <t>3ターン緑パネル吸収攻撃力UP（最大8個）</t>
    <rPh sb="4" eb="5">
      <t>ミドリ</t>
    </rPh>
    <rPh sb="8" eb="10">
      <t>キュウシュウ</t>
    </rPh>
    <rPh sb="10" eb="12">
      <t>コウゲキ</t>
    </rPh>
    <rPh sb="12" eb="13">
      <t>チカラ</t>
    </rPh>
    <rPh sb="16" eb="18">
      <t>サイダイ</t>
    </rPh>
    <rPh sb="19" eb="20">
      <t>コ</t>
    </rPh>
    <phoneticPr fontId="5"/>
  </si>
  <si>
    <t>[effect:enhance_enemy, target:enemy_all, turn:4, status:attack, val:0.3, animation:enemy_enhance_attack],[effect:enhance_enemy, target:enemy_all, turn:4, status:defense, val:1500, calc:add, animation:enemy_enhance_defense]</t>
    <phoneticPr fontId="5"/>
  </si>
  <si>
    <t>えい！やぁ！はぁ！とぉ！</t>
    <phoneticPr fontId="5"/>
  </si>
  <si>
    <t>[effect:invalidate_change_block, target:unit_all, block_type01:crash, turn:3, animation:panel_conversion_off],[effect:spread, val:0.25]</t>
    <phoneticPr fontId="5"/>
  </si>
  <si>
    <t>[effect:suicide, val:0.9, dead_type:suicide, target:myself, animation:enemy_suicide],[effect:critical, val:3.6]</t>
    <phoneticPr fontId="5"/>
  </si>
  <si>
    <t>[effect:rush, count:8, val:0.16]</t>
    <phoneticPr fontId="5"/>
  </si>
  <si>
    <t>5ターン攻撃力＆回復力100%DOWN</t>
    <rPh sb="4" eb="7">
      <t>コウゲキリョク</t>
    </rPh>
    <rPh sb="8" eb="11">
      <t>カイフクリョク</t>
    </rPh>
    <phoneticPr fontId="5"/>
  </si>
  <si>
    <t>[effect:degrade_unit, target:unit_all, turn:5, status:attack, val:1.0],[effect:degrade_unit, target:unit_all, turn:5, status:heal, val:1.0]</t>
    <phoneticPr fontId="5"/>
  </si>
  <si>
    <t>みんな！グリムが来たよー！</t>
    <rPh sb="8" eb="9">
      <t>キタ</t>
    </rPh>
    <phoneticPr fontId="5"/>
  </si>
  <si>
    <t>ならば！これならどうだー！</t>
    <phoneticPr fontId="5"/>
  </si>
  <si>
    <t>赤・青・黄パネル無効＋自身の防御力UP</t>
    <rPh sb="0" eb="1">
      <t>アカ</t>
    </rPh>
    <rPh sb="2" eb="3">
      <t>アオ</t>
    </rPh>
    <rPh sb="4" eb="5">
      <t>キイロ</t>
    </rPh>
    <rPh sb="8" eb="10">
      <t>ムコウ</t>
    </rPh>
    <rPh sb="11" eb="13">
      <t>ジシンノ</t>
    </rPh>
    <rPh sb="14" eb="17">
      <t>ボウギョリョク</t>
    </rPh>
    <phoneticPr fontId="5"/>
  </si>
  <si>
    <t>しゅぎょーの成果みせてあげよー！
【！】12ターン後に即死攻撃発動【！】</t>
    <rPh sb="6" eb="8">
      <t>セイカヲ</t>
    </rPh>
    <rPh sb="25" eb="26">
      <t>ゴ</t>
    </rPh>
    <rPh sb="27" eb="31">
      <t>ソクシコウゲキ</t>
    </rPh>
    <rPh sb="31" eb="33">
      <t>ハツドウ</t>
    </rPh>
    <phoneticPr fontId="5"/>
  </si>
  <si>
    <t>また来てね　グリム</t>
    <phoneticPr fontId="5"/>
  </si>
  <si>
    <t>純粋悪意の波動砲</t>
    <rPh sb="5" eb="7">
      <t>ハドウ</t>
    </rPh>
    <rPh sb="7" eb="8">
      <t>ホウ</t>
    </rPh>
    <phoneticPr fontId="5"/>
  </si>
  <si>
    <t>そろそろエピローグ…かな！？</t>
    <phoneticPr fontId="5"/>
  </si>
  <si>
    <t>次はもっと強くなってるから…！</t>
    <rPh sb="0" eb="1">
      <t>ツギハ</t>
    </rPh>
    <rPh sb="5" eb="6">
      <t>ツヨクナル</t>
    </rPh>
    <phoneticPr fontId="5"/>
  </si>
  <si>
    <t>[effect:enemy_message, val1:1.4, val2:2.2, dead_type:escape]</t>
    <phoneticPr fontId="5"/>
  </si>
  <si>
    <t>大丈夫！こんな時のために秘密兵器が…！
【！】次のターン超強力な一撃【！】</t>
    <rPh sb="0" eb="3">
      <t>ダイジョウブ</t>
    </rPh>
    <rPh sb="12" eb="16">
      <t>ヒミツヘイキ</t>
    </rPh>
    <rPh sb="23" eb="24">
      <t>ツギノ</t>
    </rPh>
    <rPh sb="28" eb="31">
      <t>チョウキョウリョク</t>
    </rPh>
    <rPh sb="32" eb="34">
      <t>イチゲキ</t>
    </rPh>
    <phoneticPr fontId="5"/>
  </si>
  <si>
    <t>[effect:rush, count:5, val:0.23]</t>
    <phoneticPr fontId="5"/>
  </si>
  <si>
    <t>[effect:hungup, target:unit_all, turn:1, rate:1.0, animation:hungup01],[effect:spread, val:0.18]</t>
    <phoneticPr fontId="5"/>
  </si>
  <si>
    <t>HPを90%消費して超強力な一撃！</t>
    <rPh sb="6" eb="8">
      <t>ショウヒ</t>
    </rPh>
    <rPh sb="10" eb="13">
      <t>チョウキョウリョク</t>
    </rPh>
    <rPh sb="14" eb="16">
      <t>イチゲキ</t>
    </rPh>
    <phoneticPr fontId="5"/>
  </si>
  <si>
    <t>ちょっとピンチかもー！？</t>
    <phoneticPr fontId="5"/>
  </si>
  <si>
    <t>ファータの全体攻撃連発は強力ですが
攻撃回数が多いので防御力UPが有効です</t>
    <rPh sb="5" eb="7">
      <t>ゼンタイ</t>
    </rPh>
    <rPh sb="7" eb="9">
      <t>コウゲキ</t>
    </rPh>
    <rPh sb="9" eb="11">
      <t>レンパツ</t>
    </rPh>
    <rPh sb="12" eb="14">
      <t>キョウリョク</t>
    </rPh>
    <rPh sb="18" eb="22">
      <t>コウゲキカイスウ</t>
    </rPh>
    <rPh sb="23" eb="24">
      <t>オオ</t>
    </rPh>
    <rPh sb="27" eb="30">
      <t>ボウギョリョク</t>
    </rPh>
    <rPh sb="33" eb="35">
      <t>ユウコウ</t>
    </rPh>
    <phoneticPr fontId="5"/>
  </si>
  <si>
    <t>フィーバーゲージ減少+状態異常耐性</t>
    <rPh sb="8" eb="10">
      <t>ゲンショウ</t>
    </rPh>
    <phoneticPr fontId="5"/>
  </si>
  <si>
    <t>[effect:degrade_fever, val:150, animation:fevergauge_down],[effect:rush, count:1, val:1.3]</t>
    <phoneticPr fontId="5"/>
  </si>
  <si>
    <t>[effect:fix_speed,target:myself,turn:1],[effect:tolerance, target:myself, turn:-1, tolerance_effect:hungup, count:-1],[effect:tolerance, target:myself, turn:-1, tolerance_effect:sleep, count:-1, animation:enemy_tolerance],[effect:ability_lock, target:unit_all, turn:1],[effect:hungup, target:unit_all, turn:1, rate:1, animation:hungup01],[effect:force_change_block, new_block:jammer, target:block_all, count:0, val:0, animation:change_block],[effect:enhance_fever, val:1000.0, animation:fevergauge_up04]</t>
    <phoneticPr fontId="5"/>
  </si>
  <si>
    <t>[effect:force_change_block, new_block:crack_bomb, target:block_all, ignore01:block_positive, ignore02:block_negative, color:block_green, count:3, val:36, animation:change_block],[effect:suicide, val:1, dead_type:escape, target:myself, animation:enemy_suicide]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</si>
</sst>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D9D9D9"/>
        <bgColor rgb="FF000000"/>
      </patternFill>
    </fill>
    <fill>
      <patternFill patternType="solid">
        <fgColor theme="3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0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13" borderId="3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13" borderId="7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0" fontId="6" fillId="13" borderId="24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6" fillId="31" borderId="26" xfId="0" applyFont="1" applyFill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1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 wrapText="1"/>
    </xf>
    <xf numFmtId="0" fontId="11" fillId="32" borderId="10" xfId="0" applyFont="1" applyFill="1" applyBorder="1" applyAlignment="1">
      <alignment horizontal="left" vertical="center" wrapText="1"/>
    </xf>
    <xf numFmtId="0" fontId="11" fillId="32" borderId="10" xfId="0" applyFont="1" applyFill="1" applyBorder="1" applyAlignment="1">
      <alignment vertical="center"/>
    </xf>
    <xf numFmtId="14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 wrapText="1"/>
    </xf>
    <xf numFmtId="0" fontId="16" fillId="0" borderId="7" xfId="0" applyFont="1" applyFill="1" applyBorder="1" applyAlignment="1">
      <alignment vertical="center" wrapText="1"/>
    </xf>
    <xf numFmtId="0" fontId="51" fillId="0" borderId="7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4" fillId="7" borderId="30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51" fillId="0" borderId="7" xfId="0" applyFont="1" applyBorder="1" applyAlignment="1">
      <alignment vertical="center"/>
    </xf>
    <xf numFmtId="0" fontId="51" fillId="0" borderId="10" xfId="0" applyFont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6" fillId="31" borderId="31" xfId="0" applyFont="1" applyFill="1" applyBorder="1" applyAlignment="1">
      <alignment vertical="center"/>
    </xf>
    <xf numFmtId="0" fontId="16" fillId="0" borderId="25" xfId="0" applyFont="1" applyFill="1" applyBorder="1" applyAlignment="1">
      <alignment horizontal="left" vertical="center"/>
    </xf>
    <xf numFmtId="0" fontId="16" fillId="0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horizontal="left" vertical="center" wrapText="1"/>
    </xf>
    <xf numFmtId="14" fontId="16" fillId="0" borderId="25" xfId="0" applyNumberFormat="1" applyFont="1" applyFill="1" applyBorder="1" applyAlignment="1">
      <alignment horizontal="left" vertical="center"/>
    </xf>
    <xf numFmtId="0" fontId="6" fillId="5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6" fillId="5" borderId="34" xfId="0" applyFont="1" applyFill="1" applyBorder="1" applyAlignment="1">
      <alignment vertical="center"/>
    </xf>
    <xf numFmtId="0" fontId="6" fillId="5" borderId="35" xfId="0" applyFont="1" applyFill="1" applyBorder="1" applyAlignment="1">
      <alignment vertical="center"/>
    </xf>
    <xf numFmtId="0" fontId="6" fillId="5" borderId="36" xfId="0" applyFont="1" applyFill="1" applyBorder="1" applyAlignment="1">
      <alignment vertical="center"/>
    </xf>
    <xf numFmtId="0" fontId="6" fillId="5" borderId="37" xfId="0" applyFont="1" applyFill="1" applyBorder="1" applyAlignment="1">
      <alignment vertical="center"/>
    </xf>
    <xf numFmtId="0" fontId="6" fillId="5" borderId="38" xfId="0" applyFont="1" applyFill="1" applyBorder="1" applyAlignment="1">
      <alignment vertical="center"/>
    </xf>
    <xf numFmtId="0" fontId="6" fillId="5" borderId="39" xfId="0" applyFont="1" applyFill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6" fillId="5" borderId="41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25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42" xfId="0" applyFont="1" applyFill="1" applyBorder="1" applyAlignment="1">
      <alignment vertical="center"/>
    </xf>
    <xf numFmtId="0" fontId="16" fillId="0" borderId="43" xfId="0" applyFont="1" applyFill="1" applyBorder="1" applyAlignment="1">
      <alignment vertical="center"/>
    </xf>
    <xf numFmtId="0" fontId="16" fillId="3" borderId="43" xfId="0" applyFont="1" applyFill="1" applyBorder="1" applyAlignment="1">
      <alignment horizontal="left" vertical="center"/>
    </xf>
    <xf numFmtId="0" fontId="16" fillId="3" borderId="43" xfId="0" applyFont="1" applyFill="1" applyBorder="1" applyAlignment="1">
      <alignment vertical="center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44" xfId="0" applyBorder="1"/>
    <xf numFmtId="0" fontId="0" fillId="0" borderId="45" xfId="0" applyBorder="1"/>
    <xf numFmtId="0" fontId="0" fillId="0" borderId="43" xfId="0" applyBorder="1"/>
    <xf numFmtId="0" fontId="0" fillId="0" borderId="25" xfId="0" applyBorder="1"/>
    <xf numFmtId="0" fontId="0" fillId="3" borderId="25" xfId="0" applyFill="1" applyBorder="1"/>
    <xf numFmtId="0" fontId="0" fillId="0" borderId="46" xfId="0" applyBorder="1"/>
    <xf numFmtId="0" fontId="4" fillId="0" borderId="0" xfId="0" applyFont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176" fontId="4" fillId="0" borderId="47" xfId="0" applyNumberFormat="1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3" borderId="43" xfId="0" applyFont="1" applyFill="1" applyBorder="1" applyAlignment="1">
      <alignment horizontal="center" vertical="center"/>
    </xf>
    <xf numFmtId="0" fontId="6" fillId="5" borderId="47" xfId="0" applyFont="1" applyFill="1" applyBorder="1" applyAlignment="1">
      <alignment vertical="center"/>
    </xf>
    <xf numFmtId="0" fontId="6" fillId="0" borderId="43" xfId="0" applyFont="1" applyFill="1" applyBorder="1" applyAlignment="1">
      <alignment vertical="center"/>
    </xf>
    <xf numFmtId="0" fontId="4" fillId="0" borderId="43" xfId="0" applyFont="1" applyBorder="1" applyAlignment="1">
      <alignment horizontal="center" vertical="center"/>
    </xf>
    <xf numFmtId="0" fontId="6" fillId="5" borderId="48" xfId="0" applyFont="1" applyFill="1" applyBorder="1" applyAlignment="1">
      <alignment vertical="center"/>
    </xf>
    <xf numFmtId="0" fontId="8" fillId="0" borderId="49" xfId="0" applyFont="1" applyBorder="1" applyAlignment="1">
      <alignment vertical="center"/>
    </xf>
    <xf numFmtId="177" fontId="8" fillId="0" borderId="49" xfId="0" applyNumberFormat="1" applyFont="1" applyBorder="1" applyAlignment="1">
      <alignment vertical="center"/>
    </xf>
    <xf numFmtId="0" fontId="6" fillId="13" borderId="47" xfId="0" applyFont="1" applyFill="1" applyBorder="1" applyAlignment="1">
      <alignment vertical="center"/>
    </xf>
    <xf numFmtId="0" fontId="4" fillId="0" borderId="47" xfId="0" applyFont="1" applyBorder="1" applyAlignment="1">
      <alignment vertical="center"/>
    </xf>
    <xf numFmtId="0" fontId="6" fillId="31" borderId="48" xfId="0" applyFont="1" applyFill="1" applyBorder="1" applyAlignment="1">
      <alignment vertical="center"/>
    </xf>
    <xf numFmtId="0" fontId="4" fillId="3" borderId="43" xfId="0" applyFont="1" applyFill="1" applyBorder="1" applyAlignment="1">
      <alignment vertical="center"/>
    </xf>
    <xf numFmtId="0" fontId="4" fillId="0" borderId="43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4" fillId="0" borderId="42" xfId="0" applyFont="1" applyBorder="1" applyAlignment="1">
      <alignment vertical="center"/>
    </xf>
    <xf numFmtId="0" fontId="12" fillId="7" borderId="42" xfId="0" applyFont="1" applyFill="1" applyBorder="1" applyAlignment="1">
      <alignment vertical="center"/>
    </xf>
    <xf numFmtId="176" fontId="4" fillId="0" borderId="50" xfId="0" applyNumberFormat="1" applyFont="1" applyFill="1" applyBorder="1" applyAlignment="1">
      <alignment horizontal="center" vertical="center"/>
    </xf>
    <xf numFmtId="0" fontId="6" fillId="5" borderId="50" xfId="0" applyFont="1" applyFill="1" applyBorder="1" applyAlignment="1">
      <alignment vertical="center"/>
    </xf>
    <xf numFmtId="0" fontId="6" fillId="5" borderId="51" xfId="0" applyFont="1" applyFill="1" applyBorder="1" applyAlignment="1">
      <alignment vertical="center"/>
    </xf>
    <xf numFmtId="0" fontId="6" fillId="5" borderId="52" xfId="0" applyFont="1" applyFill="1" applyBorder="1" applyAlignment="1">
      <alignment vertical="center"/>
    </xf>
    <xf numFmtId="0" fontId="6" fillId="13" borderId="50" xfId="0" applyFont="1" applyFill="1" applyBorder="1" applyAlignment="1">
      <alignment vertical="center"/>
    </xf>
    <xf numFmtId="0" fontId="6" fillId="31" borderId="39" xfId="0" applyFont="1" applyFill="1" applyBorder="1" applyAlignment="1">
      <alignment vertical="center"/>
    </xf>
    <xf numFmtId="0" fontId="12" fillId="0" borderId="40" xfId="0" applyFont="1" applyFill="1" applyBorder="1" applyAlignment="1">
      <alignment vertical="center"/>
    </xf>
    <xf numFmtId="0" fontId="4" fillId="3" borderId="40" xfId="0" applyFont="1" applyFill="1" applyBorder="1" applyAlignment="1">
      <alignment vertical="center"/>
    </xf>
    <xf numFmtId="0" fontId="4" fillId="0" borderId="40" xfId="0" applyFont="1" applyBorder="1" applyAlignment="1">
      <alignment horizontal="center" vertical="center"/>
    </xf>
    <xf numFmtId="0" fontId="0" fillId="0" borderId="42" xfId="0" applyBorder="1"/>
    <xf numFmtId="0" fontId="0" fillId="0" borderId="40" xfId="0" applyBorder="1"/>
    <xf numFmtId="0" fontId="52" fillId="0" borderId="7" xfId="0" applyFont="1" applyFill="1" applyBorder="1" applyAlignment="1">
      <alignment horizontal="left" vertical="center" wrapText="1"/>
    </xf>
    <xf numFmtId="0" fontId="0" fillId="0" borderId="7" xfId="0" applyFill="1" applyBorder="1"/>
    <xf numFmtId="0" fontId="27" fillId="0" borderId="12" xfId="0" applyFont="1" applyFill="1" applyBorder="1"/>
    <xf numFmtId="0" fontId="27" fillId="0" borderId="25" xfId="0" applyFont="1" applyFill="1" applyBorder="1"/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65525_1</v>
          </cell>
        </row>
        <row r="978">
          <cell r="A978" t="str">
            <v>65526_1</v>
          </cell>
        </row>
        <row r="979">
          <cell r="A979" t="str">
            <v>65526_2</v>
          </cell>
        </row>
        <row r="980">
          <cell r="A980" t="str">
            <v>65527_1</v>
          </cell>
        </row>
        <row r="981">
          <cell r="A981" t="str">
            <v>65528_1</v>
          </cell>
        </row>
        <row r="982">
          <cell r="A982" t="str">
            <v>65529_1</v>
          </cell>
        </row>
        <row r="983">
          <cell r="A983" t="str">
            <v>65530_1</v>
          </cell>
        </row>
        <row r="984">
          <cell r="A984" t="str">
            <v>65531_1</v>
          </cell>
        </row>
        <row r="985">
          <cell r="A985" t="str">
            <v>65531_2</v>
          </cell>
        </row>
        <row r="986">
          <cell r="A986" t="str">
            <v>65532_1</v>
          </cell>
        </row>
        <row r="987">
          <cell r="A987" t="str">
            <v>65532_2</v>
          </cell>
        </row>
        <row r="988">
          <cell r="A988" t="str">
            <v>65533_1</v>
          </cell>
        </row>
        <row r="989">
          <cell r="A989" t="str">
            <v>65533_2</v>
          </cell>
        </row>
        <row r="990">
          <cell r="A990" t="str">
            <v>65534_1</v>
          </cell>
        </row>
        <row r="991">
          <cell r="A991" t="str">
            <v>65534_2</v>
          </cell>
        </row>
        <row r="992">
          <cell r="A992" t="str">
            <v>65535_1</v>
          </cell>
        </row>
        <row r="993">
          <cell r="A993" t="str">
            <v>65535_2</v>
          </cell>
        </row>
        <row r="994">
          <cell r="A994" t="str">
            <v>65535_3</v>
          </cell>
        </row>
        <row r="995">
          <cell r="A995" t="str">
            <v>65535_4</v>
          </cell>
        </row>
        <row r="996">
          <cell r="A996" t="str">
            <v>65535_5</v>
          </cell>
        </row>
        <row r="997">
          <cell r="A997" t="str">
            <v>65535_6</v>
          </cell>
        </row>
        <row r="998">
          <cell r="A998" t="str">
            <v>65535_7</v>
          </cell>
        </row>
        <row r="999">
          <cell r="A999" t="str">
            <v>65535_8</v>
          </cell>
        </row>
        <row r="1000">
          <cell r="A1000" t="str">
            <v>65535_9</v>
          </cell>
        </row>
        <row r="1001">
          <cell r="A10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1551</v>
          </cell>
        </row>
        <row r="1502">
          <cell r="A1502">
            <v>1552</v>
          </cell>
        </row>
        <row r="1503">
          <cell r="A1503">
            <v>1553</v>
          </cell>
        </row>
        <row r="1504">
          <cell r="A1504">
            <v>1554</v>
          </cell>
        </row>
        <row r="1505">
          <cell r="A1505">
            <v>1555</v>
          </cell>
        </row>
        <row r="1506">
          <cell r="A1506">
            <v>1556</v>
          </cell>
        </row>
        <row r="1507">
          <cell r="A1507">
            <v>1557</v>
          </cell>
        </row>
        <row r="1508">
          <cell r="A1508">
            <v>1558</v>
          </cell>
        </row>
        <row r="1509">
          <cell r="A1509">
            <v>1559</v>
          </cell>
        </row>
        <row r="1510">
          <cell r="A1510">
            <v>1560</v>
          </cell>
        </row>
        <row r="1511">
          <cell r="A1511">
            <v>1561</v>
          </cell>
        </row>
        <row r="1512">
          <cell r="A1512">
            <v>1562</v>
          </cell>
        </row>
        <row r="1513">
          <cell r="A1513">
            <v>1563</v>
          </cell>
        </row>
        <row r="1514">
          <cell r="A1514">
            <v>1564</v>
          </cell>
        </row>
        <row r="1515">
          <cell r="A1515">
            <v>1565</v>
          </cell>
        </row>
        <row r="1516">
          <cell r="A1516">
            <v>1566</v>
          </cell>
        </row>
        <row r="1517">
          <cell r="A1517">
            <v>1567</v>
          </cell>
        </row>
        <row r="1518">
          <cell r="A1518">
            <v>1568</v>
          </cell>
        </row>
        <row r="1519">
          <cell r="A1519">
            <v>1569</v>
          </cell>
        </row>
        <row r="1520">
          <cell r="A1520">
            <v>1570</v>
          </cell>
        </row>
        <row r="1521">
          <cell r="A1521">
            <v>1571</v>
          </cell>
        </row>
        <row r="1522">
          <cell r="A1522">
            <v>1572</v>
          </cell>
        </row>
        <row r="1523">
          <cell r="A1523">
            <v>1573</v>
          </cell>
        </row>
        <row r="1524">
          <cell r="A1524">
            <v>1574</v>
          </cell>
        </row>
        <row r="1525">
          <cell r="A1525">
            <v>1575</v>
          </cell>
        </row>
        <row r="1526">
          <cell r="A1526">
            <v>1576</v>
          </cell>
        </row>
        <row r="1527">
          <cell r="A1527">
            <v>1577</v>
          </cell>
        </row>
        <row r="1528">
          <cell r="A1528">
            <v>1578</v>
          </cell>
        </row>
        <row r="1529">
          <cell r="A1529">
            <v>1579</v>
          </cell>
        </row>
        <row r="1530">
          <cell r="A1530">
            <v>1580</v>
          </cell>
        </row>
        <row r="1531">
          <cell r="A1531">
            <v>1581</v>
          </cell>
        </row>
        <row r="1532">
          <cell r="A1532">
            <v>1582</v>
          </cell>
        </row>
        <row r="1533">
          <cell r="A1533">
            <v>1583</v>
          </cell>
        </row>
        <row r="1534">
          <cell r="A1534">
            <v>1584</v>
          </cell>
        </row>
        <row r="1535">
          <cell r="A1535">
            <v>1585</v>
          </cell>
        </row>
        <row r="1536">
          <cell r="A1536">
            <v>1586</v>
          </cell>
        </row>
        <row r="1537">
          <cell r="A1537">
            <v>1587</v>
          </cell>
        </row>
        <row r="1538">
          <cell r="A1538">
            <v>1588</v>
          </cell>
        </row>
        <row r="1539">
          <cell r="A1539">
            <v>5001</v>
          </cell>
        </row>
        <row r="1540">
          <cell r="A1540">
            <v>5002</v>
          </cell>
        </row>
        <row r="1541">
          <cell r="A1541">
            <v>5003</v>
          </cell>
        </row>
        <row r="1542">
          <cell r="A1542">
            <v>5004</v>
          </cell>
        </row>
        <row r="1543">
          <cell r="A1543">
            <v>5005</v>
          </cell>
        </row>
        <row r="1544">
          <cell r="A1544">
            <v>5006</v>
          </cell>
        </row>
        <row r="1545">
          <cell r="A1545">
            <v>5007</v>
          </cell>
        </row>
        <row r="1546">
          <cell r="A1546">
            <v>5008</v>
          </cell>
        </row>
        <row r="1547">
          <cell r="A1547">
            <v>6001</v>
          </cell>
        </row>
        <row r="1548">
          <cell r="A1548">
            <v>6002</v>
          </cell>
        </row>
        <row r="1549">
          <cell r="A1549">
            <v>6003</v>
          </cell>
        </row>
        <row r="1550">
          <cell r="A1550">
            <v>6004</v>
          </cell>
        </row>
        <row r="1551">
          <cell r="A1551">
            <v>6005</v>
          </cell>
        </row>
        <row r="1552">
          <cell r="A1552">
            <v>6006</v>
          </cell>
        </row>
        <row r="1553">
          <cell r="A1553">
            <v>6007</v>
          </cell>
        </row>
        <row r="1554">
          <cell r="A1554">
            <v>6008</v>
          </cell>
        </row>
        <row r="1555">
          <cell r="A1555">
            <v>6009</v>
          </cell>
        </row>
        <row r="1556">
          <cell r="A1556">
            <v>6010</v>
          </cell>
        </row>
        <row r="1557">
          <cell r="A1557">
            <v>6011</v>
          </cell>
        </row>
        <row r="1558">
          <cell r="A1558">
            <v>6012</v>
          </cell>
        </row>
        <row r="1559">
          <cell r="A1559">
            <v>6013</v>
          </cell>
        </row>
        <row r="1560">
          <cell r="A1560">
            <v>6014</v>
          </cell>
        </row>
        <row r="1561">
          <cell r="A1561">
            <v>6015</v>
          </cell>
        </row>
        <row r="1562">
          <cell r="A1562">
            <v>6016</v>
          </cell>
        </row>
        <row r="1563">
          <cell r="A1563">
            <v>6017</v>
          </cell>
        </row>
        <row r="1564">
          <cell r="A1564">
            <v>6018</v>
          </cell>
        </row>
        <row r="1565">
          <cell r="A1565">
            <v>6019</v>
          </cell>
        </row>
        <row r="1566">
          <cell r="A1566">
            <v>6020</v>
          </cell>
        </row>
        <row r="1567">
          <cell r="A1567">
            <v>8001</v>
          </cell>
        </row>
        <row r="1568">
          <cell r="A1568">
            <v>8002</v>
          </cell>
        </row>
        <row r="1569">
          <cell r="A1569">
            <v>8003</v>
          </cell>
        </row>
        <row r="1570">
          <cell r="A1570">
            <v>8004</v>
          </cell>
        </row>
        <row r="1571">
          <cell r="A1571">
            <v>8005</v>
          </cell>
        </row>
        <row r="1572">
          <cell r="A1572">
            <v>8006</v>
          </cell>
        </row>
        <row r="1573">
          <cell r="A1573">
            <v>8007</v>
          </cell>
        </row>
        <row r="1574">
          <cell r="A1574">
            <v>8008</v>
          </cell>
        </row>
        <row r="1575">
          <cell r="A1575">
            <v>8009</v>
          </cell>
        </row>
        <row r="1576">
          <cell r="A1576">
            <v>8010</v>
          </cell>
        </row>
        <row r="1577">
          <cell r="A1577">
            <v>8011</v>
          </cell>
        </row>
        <row r="1578">
          <cell r="A1578">
            <v>8012</v>
          </cell>
        </row>
        <row r="1579">
          <cell r="A1579">
            <v>8013</v>
          </cell>
        </row>
        <row r="1580">
          <cell r="A1580">
            <v>8014</v>
          </cell>
        </row>
        <row r="1581">
          <cell r="A1581">
            <v>8015</v>
          </cell>
        </row>
        <row r="1582">
          <cell r="A1582">
            <v>8016</v>
          </cell>
        </row>
        <row r="1583">
          <cell r="A1583">
            <v>8017</v>
          </cell>
        </row>
        <row r="1584">
          <cell r="A1584">
            <v>8018</v>
          </cell>
        </row>
        <row r="1585">
          <cell r="A1585">
            <v>8019</v>
          </cell>
        </row>
        <row r="1586">
          <cell r="A1586">
            <v>8020</v>
          </cell>
        </row>
        <row r="1587">
          <cell r="A1587">
            <v>8021</v>
          </cell>
        </row>
        <row r="1588">
          <cell r="A1588">
            <v>8022</v>
          </cell>
        </row>
        <row r="1589">
          <cell r="A1589">
            <v>8023</v>
          </cell>
        </row>
        <row r="1590">
          <cell r="A1590">
            <v>8024</v>
          </cell>
        </row>
        <row r="1591">
          <cell r="A1591">
            <v>8025</v>
          </cell>
        </row>
        <row r="1592">
          <cell r="A1592">
            <v>8026</v>
          </cell>
        </row>
        <row r="1593">
          <cell r="A1593">
            <v>8027</v>
          </cell>
        </row>
        <row r="1594">
          <cell r="A1594">
            <v>8028</v>
          </cell>
        </row>
        <row r="1595">
          <cell r="A1595">
            <v>8029</v>
          </cell>
        </row>
        <row r="1596">
          <cell r="A1596">
            <v>8030</v>
          </cell>
        </row>
        <row r="1597">
          <cell r="A1597">
            <v>8031</v>
          </cell>
        </row>
        <row r="1598">
          <cell r="A1598">
            <v>8032</v>
          </cell>
        </row>
        <row r="1599">
          <cell r="A1599">
            <v>8033</v>
          </cell>
        </row>
        <row r="1600">
          <cell r="A1600">
            <v>8034</v>
          </cell>
        </row>
        <row r="1601">
          <cell r="A1601">
            <v>8035</v>
          </cell>
        </row>
        <row r="1602">
          <cell r="A1602">
            <v>8036</v>
          </cell>
        </row>
        <row r="1603">
          <cell r="A1603">
            <v>8037</v>
          </cell>
        </row>
        <row r="1604">
          <cell r="A1604">
            <v>8038</v>
          </cell>
        </row>
        <row r="1605">
          <cell r="A1605">
            <v>8039</v>
          </cell>
        </row>
        <row r="1606">
          <cell r="A1606">
            <v>8040</v>
          </cell>
        </row>
        <row r="1607">
          <cell r="A1607">
            <v>8041</v>
          </cell>
        </row>
        <row r="1608">
          <cell r="A1608">
            <v>8042</v>
          </cell>
        </row>
        <row r="1609">
          <cell r="A1609">
            <v>8043</v>
          </cell>
        </row>
        <row r="1610">
          <cell r="A1610">
            <v>8044</v>
          </cell>
        </row>
        <row r="1611">
          <cell r="A1611">
            <v>8045</v>
          </cell>
        </row>
        <row r="1612">
          <cell r="A1612">
            <v>8046</v>
          </cell>
        </row>
        <row r="1613">
          <cell r="A1613">
            <v>8047</v>
          </cell>
        </row>
        <row r="1614">
          <cell r="A1614">
            <v>8048</v>
          </cell>
        </row>
        <row r="1615">
          <cell r="A1615">
            <v>8049</v>
          </cell>
        </row>
        <row r="1616">
          <cell r="A1616">
            <v>8050</v>
          </cell>
        </row>
        <row r="1617">
          <cell r="A1617">
            <v>8051</v>
          </cell>
        </row>
        <row r="1618">
          <cell r="A1618">
            <v>8052</v>
          </cell>
        </row>
        <row r="1619">
          <cell r="A1619">
            <v>8053</v>
          </cell>
        </row>
        <row r="1620">
          <cell r="A1620">
            <v>8054</v>
          </cell>
        </row>
        <row r="1621">
          <cell r="A1621">
            <v>8055</v>
          </cell>
        </row>
        <row r="1622">
          <cell r="A1622">
            <v>8056</v>
          </cell>
        </row>
        <row r="1623">
          <cell r="A1623">
            <v>8057</v>
          </cell>
        </row>
        <row r="1624">
          <cell r="A1624">
            <v>8058</v>
          </cell>
        </row>
        <row r="1625">
          <cell r="A1625">
            <v>8059</v>
          </cell>
        </row>
        <row r="1626">
          <cell r="A1626">
            <v>8060</v>
          </cell>
        </row>
        <row r="1627">
          <cell r="A1627">
            <v>8061</v>
          </cell>
        </row>
        <row r="1628">
          <cell r="A1628">
            <v>8062</v>
          </cell>
        </row>
        <row r="1629">
          <cell r="A1629">
            <v>8063</v>
          </cell>
        </row>
        <row r="1630">
          <cell r="A1630">
            <v>8064</v>
          </cell>
        </row>
        <row r="1631">
          <cell r="A1631">
            <v>8065</v>
          </cell>
        </row>
        <row r="1632">
          <cell r="A1632">
            <v>8066</v>
          </cell>
        </row>
        <row r="1633">
          <cell r="A1633">
            <v>8067</v>
          </cell>
        </row>
        <row r="1634">
          <cell r="A1634">
            <v>8068</v>
          </cell>
        </row>
        <row r="1635">
          <cell r="A1635">
            <v>8069</v>
          </cell>
        </row>
        <row r="1636">
          <cell r="A1636">
            <v>8070</v>
          </cell>
        </row>
        <row r="1637">
          <cell r="A1637">
            <v>8071</v>
          </cell>
        </row>
        <row r="1638">
          <cell r="A1638">
            <v>8072</v>
          </cell>
        </row>
        <row r="1639">
          <cell r="A1639">
            <v>8073</v>
          </cell>
        </row>
        <row r="1640">
          <cell r="A1640">
            <v>8074</v>
          </cell>
        </row>
        <row r="1641">
          <cell r="A1641">
            <v>8075</v>
          </cell>
        </row>
        <row r="1642">
          <cell r="A1642">
            <v>8076</v>
          </cell>
        </row>
        <row r="1643">
          <cell r="A1643">
            <v>8077</v>
          </cell>
        </row>
        <row r="1644">
          <cell r="A1644">
            <v>8078</v>
          </cell>
        </row>
        <row r="1645">
          <cell r="A1645">
            <v>8079</v>
          </cell>
        </row>
        <row r="1646">
          <cell r="A1646">
            <v>8080</v>
          </cell>
        </row>
        <row r="1647">
          <cell r="A1647">
            <v>8081</v>
          </cell>
        </row>
        <row r="1648">
          <cell r="A1648">
            <v>8082</v>
          </cell>
        </row>
        <row r="1649">
          <cell r="A1649">
            <v>8083</v>
          </cell>
        </row>
        <row r="1650">
          <cell r="A1650">
            <v>8084</v>
          </cell>
        </row>
        <row r="1651">
          <cell r="A1651">
            <v>8085</v>
          </cell>
        </row>
        <row r="1652">
          <cell r="A1652">
            <v>8086</v>
          </cell>
        </row>
        <row r="1653">
          <cell r="A1653">
            <v>8087</v>
          </cell>
        </row>
        <row r="1654">
          <cell r="A1654">
            <v>8088</v>
          </cell>
        </row>
        <row r="1655">
          <cell r="A1655">
            <v>8089</v>
          </cell>
        </row>
        <row r="1656">
          <cell r="A1656">
            <v>8090</v>
          </cell>
        </row>
        <row r="1657">
          <cell r="A1657">
            <v>8095</v>
          </cell>
        </row>
        <row r="1658">
          <cell r="A1658">
            <v>8096</v>
          </cell>
        </row>
        <row r="1659">
          <cell r="A1659">
            <v>8097</v>
          </cell>
        </row>
        <row r="1660">
          <cell r="A1660">
            <v>8098</v>
          </cell>
        </row>
        <row r="1661">
          <cell r="A1661">
            <v>8099</v>
          </cell>
        </row>
        <row r="1662">
          <cell r="A1662">
            <v>8100</v>
          </cell>
        </row>
        <row r="1663">
          <cell r="A1663">
            <v>8101</v>
          </cell>
        </row>
        <row r="1664">
          <cell r="A1664">
            <v>8102</v>
          </cell>
        </row>
        <row r="1665">
          <cell r="A1665">
            <v>8103</v>
          </cell>
        </row>
        <row r="1666">
          <cell r="A1666">
            <v>8104</v>
          </cell>
        </row>
        <row r="1667">
          <cell r="A1667">
            <v>8105</v>
          </cell>
        </row>
        <row r="1668">
          <cell r="A1668">
            <v>8106</v>
          </cell>
        </row>
        <row r="1669">
          <cell r="A1669">
            <v>9001</v>
          </cell>
        </row>
        <row r="1670">
          <cell r="A1670">
            <v>9002</v>
          </cell>
        </row>
        <row r="1671">
          <cell r="A1671">
            <v>9003</v>
          </cell>
        </row>
        <row r="1672">
          <cell r="A1672">
            <v>9004</v>
          </cell>
        </row>
        <row r="1673">
          <cell r="A1673">
            <v>9005</v>
          </cell>
        </row>
        <row r="1674">
          <cell r="A1674">
            <v>9006</v>
          </cell>
        </row>
        <row r="1675">
          <cell r="A1675">
            <v>9007</v>
          </cell>
        </row>
        <row r="1676">
          <cell r="A1676">
            <v>9008</v>
          </cell>
        </row>
        <row r="1677">
          <cell r="A1677">
            <v>10001</v>
          </cell>
        </row>
        <row r="1678">
          <cell r="A1678">
            <v>10002</v>
          </cell>
        </row>
        <row r="1679">
          <cell r="A1679">
            <v>10003</v>
          </cell>
        </row>
        <row r="1680">
          <cell r="A1680">
            <v>10004</v>
          </cell>
        </row>
        <row r="1681">
          <cell r="A1681">
            <v>10005</v>
          </cell>
        </row>
        <row r="1682">
          <cell r="A1682">
            <v>10006</v>
          </cell>
        </row>
        <row r="1683">
          <cell r="A1683">
            <v>10007</v>
          </cell>
        </row>
        <row r="1684">
          <cell r="A1684">
            <v>10008</v>
          </cell>
        </row>
        <row r="1685">
          <cell r="A1685">
            <v>10009</v>
          </cell>
        </row>
        <row r="1686">
          <cell r="A1686">
            <v>10010</v>
          </cell>
        </row>
        <row r="1687">
          <cell r="A1687">
            <v>10011</v>
          </cell>
        </row>
        <row r="1688">
          <cell r="A1688">
            <v>10012</v>
          </cell>
        </row>
        <row r="1689">
          <cell r="A1689">
            <v>10013</v>
          </cell>
        </row>
        <row r="1690">
          <cell r="A1690">
            <v>10014</v>
          </cell>
        </row>
        <row r="1691">
          <cell r="A1691">
            <v>10015</v>
          </cell>
        </row>
        <row r="1692">
          <cell r="A1692">
            <v>10016</v>
          </cell>
        </row>
        <row r="1693">
          <cell r="A1693">
            <v>10017</v>
          </cell>
        </row>
        <row r="1694">
          <cell r="A1694">
            <v>10018</v>
          </cell>
        </row>
        <row r="1695">
          <cell r="A1695">
            <v>10019</v>
          </cell>
        </row>
        <row r="1696">
          <cell r="A1696">
            <v>10020</v>
          </cell>
        </row>
        <row r="1697">
          <cell r="A1697">
            <v>10021</v>
          </cell>
        </row>
        <row r="1698">
          <cell r="A1698">
            <v>10022</v>
          </cell>
        </row>
        <row r="1699">
          <cell r="A1699">
            <v>10023</v>
          </cell>
        </row>
        <row r="1700">
          <cell r="A1700">
            <v>10024</v>
          </cell>
        </row>
        <row r="1701">
          <cell r="A1701">
            <v>10025</v>
          </cell>
        </row>
        <row r="1702">
          <cell r="A1702">
            <v>10026</v>
          </cell>
        </row>
        <row r="1703">
          <cell r="A1703">
            <v>10027</v>
          </cell>
        </row>
        <row r="1704">
          <cell r="A1704">
            <v>10028</v>
          </cell>
        </row>
        <row r="1705">
          <cell r="A1705">
            <v>10029</v>
          </cell>
        </row>
        <row r="1706">
          <cell r="A1706">
            <v>10030</v>
          </cell>
        </row>
        <row r="1707">
          <cell r="A1707">
            <v>10031</v>
          </cell>
        </row>
        <row r="1708">
          <cell r="A1708">
            <v>10032</v>
          </cell>
        </row>
        <row r="1709">
          <cell r="A1709">
            <v>10033</v>
          </cell>
        </row>
        <row r="1710">
          <cell r="A1710">
            <v>10034</v>
          </cell>
        </row>
        <row r="1711">
          <cell r="A1711">
            <v>10035</v>
          </cell>
        </row>
        <row r="1712">
          <cell r="A1712">
            <v>10036</v>
          </cell>
        </row>
        <row r="1713">
          <cell r="A1713">
            <v>10037</v>
          </cell>
        </row>
        <row r="1714">
          <cell r="A1714">
            <v>10038</v>
          </cell>
        </row>
        <row r="1715">
          <cell r="A1715">
            <v>10039</v>
          </cell>
        </row>
        <row r="1716">
          <cell r="A1716">
            <v>10040</v>
          </cell>
        </row>
        <row r="1717">
          <cell r="A1717">
            <v>10041</v>
          </cell>
        </row>
        <row r="1718">
          <cell r="A1718">
            <v>10042</v>
          </cell>
        </row>
        <row r="1719">
          <cell r="A1719">
            <v>10043</v>
          </cell>
        </row>
        <row r="1720">
          <cell r="A1720">
            <v>10044</v>
          </cell>
        </row>
        <row r="1721">
          <cell r="A1721">
            <v>10045</v>
          </cell>
        </row>
        <row r="1722">
          <cell r="A1722">
            <v>10046</v>
          </cell>
        </row>
        <row r="1723">
          <cell r="A1723">
            <v>10047</v>
          </cell>
        </row>
        <row r="1724">
          <cell r="A1724">
            <v>10048</v>
          </cell>
        </row>
        <row r="1725">
          <cell r="A1725">
            <v>10049</v>
          </cell>
        </row>
        <row r="1726">
          <cell r="A1726">
            <v>10050</v>
          </cell>
        </row>
        <row r="1727">
          <cell r="A1727">
            <v>10051</v>
          </cell>
        </row>
        <row r="1728">
          <cell r="A1728">
            <v>10052</v>
          </cell>
        </row>
        <row r="1729">
          <cell r="A1729">
            <v>10053</v>
          </cell>
        </row>
        <row r="1730">
          <cell r="A1730">
            <v>10054</v>
          </cell>
        </row>
        <row r="1731">
          <cell r="A1731">
            <v>10055</v>
          </cell>
        </row>
        <row r="1732">
          <cell r="A1732">
            <v>10056</v>
          </cell>
        </row>
        <row r="1733">
          <cell r="A1733">
            <v>10057</v>
          </cell>
        </row>
        <row r="1734">
          <cell r="A1734">
            <v>10058</v>
          </cell>
        </row>
        <row r="1735">
          <cell r="A1735">
            <v>10059</v>
          </cell>
        </row>
        <row r="1736">
          <cell r="A1736">
            <v>10060</v>
          </cell>
        </row>
        <row r="1737">
          <cell r="A1737">
            <v>10061</v>
          </cell>
        </row>
        <row r="1738">
          <cell r="A1738">
            <v>10062</v>
          </cell>
        </row>
        <row r="1739">
          <cell r="A1739">
            <v>10063</v>
          </cell>
        </row>
        <row r="1740">
          <cell r="A1740">
            <v>10064</v>
          </cell>
        </row>
        <row r="1741">
          <cell r="A1741">
            <v>10065</v>
          </cell>
        </row>
        <row r="1742">
          <cell r="A1742">
            <v>10066</v>
          </cell>
        </row>
        <row r="1743">
          <cell r="A1743">
            <v>10067</v>
          </cell>
        </row>
        <row r="1744">
          <cell r="A1744">
            <v>10068</v>
          </cell>
        </row>
        <row r="1745">
          <cell r="A1745">
            <v>10069</v>
          </cell>
        </row>
        <row r="1746">
          <cell r="A1746">
            <v>10070</v>
          </cell>
        </row>
        <row r="1747">
          <cell r="A1747">
            <v>10071</v>
          </cell>
        </row>
        <row r="1748">
          <cell r="A1748">
            <v>10072</v>
          </cell>
        </row>
        <row r="1749">
          <cell r="A1749">
            <v>10073</v>
          </cell>
        </row>
        <row r="1750">
          <cell r="A1750">
            <v>10074</v>
          </cell>
        </row>
        <row r="1751">
          <cell r="A1751">
            <v>10075</v>
          </cell>
        </row>
        <row r="1752">
          <cell r="A1752">
            <v>10076</v>
          </cell>
        </row>
        <row r="1753">
          <cell r="A1753">
            <v>10077</v>
          </cell>
        </row>
        <row r="1754">
          <cell r="A1754">
            <v>10078</v>
          </cell>
        </row>
        <row r="1755">
          <cell r="A1755">
            <v>10079</v>
          </cell>
        </row>
        <row r="1756">
          <cell r="A1756">
            <v>10080</v>
          </cell>
        </row>
        <row r="1757">
          <cell r="A1757">
            <v>10081</v>
          </cell>
        </row>
        <row r="1758">
          <cell r="A1758">
            <v>10082</v>
          </cell>
        </row>
        <row r="1759">
          <cell r="A1759">
            <v>10083</v>
          </cell>
        </row>
        <row r="1760">
          <cell r="A1760">
            <v>10084</v>
          </cell>
        </row>
        <row r="1761">
          <cell r="A1761">
            <v>10085</v>
          </cell>
        </row>
        <row r="1762">
          <cell r="A1762">
            <v>10086</v>
          </cell>
        </row>
        <row r="1763">
          <cell r="A1763">
            <v>10087</v>
          </cell>
        </row>
        <row r="1764">
          <cell r="A1764">
            <v>10088</v>
          </cell>
        </row>
        <row r="1765">
          <cell r="A1765">
            <v>10089</v>
          </cell>
        </row>
        <row r="1766">
          <cell r="A1766">
            <v>10090</v>
          </cell>
        </row>
        <row r="1767">
          <cell r="A1767">
            <v>10101</v>
          </cell>
        </row>
        <row r="1768">
          <cell r="A1768">
            <v>10102</v>
          </cell>
        </row>
        <row r="1769">
          <cell r="A176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E20" sqref="E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30" x14ac:dyDescent="0.15">
      <c r="A2" s="59" t="s">
        <v>345</v>
      </c>
      <c r="B2" s="55" t="s">
        <v>105</v>
      </c>
      <c r="C2" s="60">
        <v>41008</v>
      </c>
      <c r="D2" s="55" t="s">
        <v>106</v>
      </c>
      <c r="E2" s="54" t="str">
        <f>B2&amp;C2&amp;D2</f>
        <v>floors_41008.tmp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</row>
    <row r="3" spans="1:30" x14ac:dyDescent="0.15">
      <c r="A3" s="59" t="s">
        <v>345</v>
      </c>
      <c r="B3" s="55" t="s">
        <v>108</v>
      </c>
      <c r="C3" s="60">
        <f>C$2</f>
        <v>41008</v>
      </c>
      <c r="D3" s="55" t="s">
        <v>106</v>
      </c>
      <c r="E3" s="54" t="str">
        <f>B3&amp;C3&amp;D3</f>
        <v>enemy_habitats_41008.tmp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177</v>
      </c>
    </row>
    <row r="4" spans="1:30" x14ac:dyDescent="0.15">
      <c r="A4" s="59" t="s">
        <v>345</v>
      </c>
      <c r="B4" s="55" t="s">
        <v>110</v>
      </c>
      <c r="C4" s="60">
        <f t="shared" ref="C4:C12" si="0">C$2</f>
        <v>41008</v>
      </c>
      <c r="D4" s="55" t="s">
        <v>106</v>
      </c>
      <c r="E4" s="54" t="str">
        <f>B4&amp;C4&amp;D4</f>
        <v>enemy_habitat_S_41008.tmp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</row>
    <row r="5" spans="1:30" x14ac:dyDescent="0.15">
      <c r="A5" s="59" t="s">
        <v>345</v>
      </c>
      <c r="B5" s="55" t="s">
        <v>112</v>
      </c>
      <c r="C5" s="60">
        <f t="shared" si="0"/>
        <v>41008</v>
      </c>
      <c r="D5" s="55" t="s">
        <v>106</v>
      </c>
      <c r="E5" s="54" t="str">
        <f>B5&amp;C5&amp;D5</f>
        <v>enemy_skill_sets_41008.tmp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</row>
    <row r="6" spans="1:30" x14ac:dyDescent="0.15">
      <c r="A6" s="59" t="s">
        <v>345</v>
      </c>
      <c r="B6" s="55" t="s">
        <v>114</v>
      </c>
      <c r="C6" s="60">
        <f t="shared" si="0"/>
        <v>41008</v>
      </c>
      <c r="D6" s="55" t="s">
        <v>115</v>
      </c>
      <c r="E6" s="54" t="str">
        <f t="shared" ref="E6:E10" si="1">B6&amp;C6&amp;D6</f>
        <v>enemy_skills_tmp_41008.tmp</v>
      </c>
      <c r="F6" s="55" t="s">
        <v>89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</row>
    <row r="7" spans="1:30" x14ac:dyDescent="0.15">
      <c r="A7" s="59" t="s">
        <v>345</v>
      </c>
      <c r="B7" s="55" t="s">
        <v>116</v>
      </c>
      <c r="C7" s="60">
        <f t="shared" si="0"/>
        <v>41008</v>
      </c>
      <c r="D7" s="55" t="s">
        <v>106</v>
      </c>
      <c r="E7" s="54" t="str">
        <f>B7&amp;C7&amp;D7</f>
        <v>enemy_skills_i18n_41008.tmp</v>
      </c>
      <c r="F7" s="55" t="s">
        <v>117</v>
      </c>
      <c r="G7" s="56" t="s">
        <v>78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</row>
    <row r="8" spans="1:30" x14ac:dyDescent="0.15">
      <c r="A8" s="59" t="s">
        <v>345</v>
      </c>
      <c r="B8" s="55" t="s">
        <v>118</v>
      </c>
      <c r="C8" s="60">
        <f t="shared" si="0"/>
        <v>41008</v>
      </c>
      <c r="D8" s="55" t="s">
        <v>119</v>
      </c>
      <c r="E8" s="54" t="str">
        <f t="shared" si="1"/>
        <v>enemy_skill_triggers_41008.tmp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</row>
    <row r="9" spans="1:30" x14ac:dyDescent="0.15">
      <c r="A9" s="59" t="s">
        <v>345</v>
      </c>
      <c r="B9" s="65" t="s">
        <v>176</v>
      </c>
      <c r="C9" s="60">
        <f t="shared" si="0"/>
        <v>41008</v>
      </c>
      <c r="D9" s="65" t="s">
        <v>170</v>
      </c>
      <c r="E9" s="66" t="str">
        <f t="shared" si="1"/>
        <v>stage_bug_bonuses_41008.tmp</v>
      </c>
      <c r="F9" s="65" t="s">
        <v>171</v>
      </c>
      <c r="G9" s="62" t="s">
        <v>149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</row>
    <row r="10" spans="1:30" s="73" customFormat="1" x14ac:dyDescent="0.15">
      <c r="A10" s="59" t="s">
        <v>345</v>
      </c>
      <c r="B10" s="65" t="s">
        <v>200</v>
      </c>
      <c r="C10" s="60">
        <f>C$2</f>
        <v>41008</v>
      </c>
      <c r="D10" s="65" t="s">
        <v>179</v>
      </c>
      <c r="E10" s="66" t="str">
        <f t="shared" si="1"/>
        <v>stage_hints_data_c_41008.tmp</v>
      </c>
      <c r="F10" s="65" t="s">
        <v>208</v>
      </c>
      <c r="G10" s="70" t="s">
        <v>180</v>
      </c>
      <c r="H10" s="70" t="s">
        <v>172</v>
      </c>
      <c r="I10" s="71" t="s">
        <v>181</v>
      </c>
      <c r="J10" s="64" t="s">
        <v>182</v>
      </c>
      <c r="K10" s="72" t="s">
        <v>183</v>
      </c>
    </row>
    <row r="11" spans="1:30" s="73" customFormat="1" x14ac:dyDescent="0.15">
      <c r="A11" s="59" t="s">
        <v>345</v>
      </c>
      <c r="B11" s="65" t="s">
        <v>201</v>
      </c>
      <c r="C11" s="60">
        <f t="shared" si="0"/>
        <v>41008</v>
      </c>
      <c r="D11" s="65" t="s">
        <v>170</v>
      </c>
      <c r="E11" s="66" t="str">
        <f t="shared" ref="E11:E12" si="2">B11&amp;C11&amp;D11</f>
        <v>stage_hints_data_f_41008.tmp</v>
      </c>
      <c r="F11" s="65" t="s">
        <v>210</v>
      </c>
      <c r="G11" s="70" t="s">
        <v>180</v>
      </c>
      <c r="H11" s="70" t="s">
        <v>172</v>
      </c>
      <c r="I11" s="71" t="s">
        <v>181</v>
      </c>
      <c r="J11" s="64" t="s">
        <v>182</v>
      </c>
      <c r="K11" s="72" t="s">
        <v>183</v>
      </c>
    </row>
    <row r="12" spans="1:30" s="73" customFormat="1" x14ac:dyDescent="0.15">
      <c r="A12" s="59" t="s">
        <v>345</v>
      </c>
      <c r="B12" s="65" t="s">
        <v>202</v>
      </c>
      <c r="C12" s="60">
        <f t="shared" si="0"/>
        <v>41008</v>
      </c>
      <c r="D12" s="65" t="s">
        <v>170</v>
      </c>
      <c r="E12" s="66" t="str">
        <f t="shared" si="2"/>
        <v>stage_hints_i18n_41008.tmp</v>
      </c>
      <c r="F12" s="65" t="s">
        <v>211</v>
      </c>
      <c r="G12" s="71" t="s">
        <v>203</v>
      </c>
      <c r="H12" s="93" t="s">
        <v>204</v>
      </c>
      <c r="I12" s="70" t="s">
        <v>205</v>
      </c>
      <c r="J12" s="94" t="s">
        <v>206</v>
      </c>
      <c r="K12" s="72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zoomScale="90" zoomScaleNormal="90" zoomScalePageLayoutView="90" workbookViewId="0">
      <pane ySplit="1" topLeftCell="A2" activePane="bottomLeft" state="frozen"/>
      <selection activeCell="V2" sqref="V2:X34"/>
      <selection pane="bottomLeft" activeCell="P17" sqref="P1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0" si="0">G2&amp;"-"&amp;I2</f>
        <v>41008_1-1</v>
      </c>
      <c r="B2" s="16" t="str">
        <f>IF(COUNTIF(enemy_habitats!$H:$H,A2),"OK","NG")</f>
        <v>OK</v>
      </c>
      <c r="C2" s="7">
        <v>41008</v>
      </c>
      <c r="D2" s="11" t="str">
        <f ca="1">VLOOKUP($C2,OFFSET([2]quests!$A$1,0,0,COUNTA([2]quests!$A:$A),MATCH(D$1,[2]quests!$1:$1,0)-MATCH($C$1,[2]quests!$1:$1,0)+1),MATCH(D$1,[2]quests!$1:$1,0)-MATCH($C$1,[2]quests!$1:$1,0)+1,FALSE)</f>
        <v>Gスター襲来！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</v>
      </c>
      <c r="F2" s="20">
        <v>1</v>
      </c>
      <c r="G2" s="22" t="str">
        <f t="shared" ref="G2:G10" si="1">C2&amp;"_"&amp;F2</f>
        <v>41008_1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【超絶級】Gスター襲来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41008_1-2</v>
      </c>
      <c r="B3" s="16" t="str">
        <f>IF(COUNTIF(enemy_habitats!$H:$H,A3),"OK","NG")</f>
        <v>OK</v>
      </c>
      <c r="C3" s="7">
        <v>41008</v>
      </c>
      <c r="D3" s="11" t="str">
        <f ca="1">VLOOKUP($C3,OFFSET([2]quests!$A$1,0,0,COUNTA([2]quests!$A:$A),MATCH(D$1,[2]quests!$1:$1,0)-MATCH($C$1,[2]quests!$1:$1,0)+1),MATCH(D$1,[2]quests!$1:$1,0)-MATCH($C$1,[2]quests!$1:$1,0)+1,FALSE)</f>
        <v>Gスター襲来！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</v>
      </c>
      <c r="F3" s="20">
        <v>1</v>
      </c>
      <c r="G3" s="22" t="str">
        <f t="shared" si="1"/>
        <v>41008_1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【超絶級】Gスター襲来</v>
      </c>
      <c r="I3" s="20">
        <v>2</v>
      </c>
      <c r="J3" s="12">
        <v>60</v>
      </c>
      <c r="K3" s="12">
        <v>60</v>
      </c>
    </row>
    <row r="4" spans="1:11" ht="21" customHeight="1" thickBot="1" x14ac:dyDescent="0.2">
      <c r="A4" s="103" t="str">
        <f t="shared" si="0"/>
        <v>41008_1-3</v>
      </c>
      <c r="B4" s="103" t="str">
        <f>IF(COUNTIF(enemy_habitats!$H:$H,A4),"OK","NG")</f>
        <v>OK</v>
      </c>
      <c r="C4" s="117">
        <v>41008</v>
      </c>
      <c r="D4" s="138" t="str">
        <f ca="1">VLOOKUP($C4,OFFSET([2]quests!$A$1,0,0,COUNTA([2]quests!$A:$A),MATCH(D$1,[2]quests!$1:$1,0)-MATCH($C$1,[2]quests!$1:$1,0)+1),MATCH(D$1,[2]quests!$1:$1,0)-MATCH($C$1,[2]quests!$1:$1,0)+1,FALSE)</f>
        <v>Gスター襲来！</v>
      </c>
      <c r="E4" s="138" t="str">
        <f ca="1">VLOOKUP($C4,OFFSET([2]quests!$A$1,0,0,COUNTA([2]quests!$A:$A),MATCH(E$1,[2]quests!$1:$1,0)-MATCH($C$1,[2]quests!$1:$1,0)+1),MATCH(E$1,[2]quests!$1:$1,0)-MATCH($C$1,[2]quests!$1:$1,0)+1,FALSE)</f>
        <v>降臨1</v>
      </c>
      <c r="F4" s="105">
        <v>1</v>
      </c>
      <c r="G4" s="139" t="str">
        <f t="shared" si="1"/>
        <v>41008_1</v>
      </c>
      <c r="H4" s="106" t="str">
        <f ca="1">VLOOKUP($G4,OFFSET([2]stages!$A$1,0,0,COUNTA([2]stages!$A:$A),MATCH(H$1,[2]stages!$2:$2,0)-MATCH($G$1,[2]stages!$2:$2,0)+1),MATCH(H$1,[2]stages!$2:$2,0)-MATCH($G$1,[2]stages!$2:$2,0)+1,FALSE)</f>
        <v>【超絶級】Gスター襲来</v>
      </c>
      <c r="I4" s="105">
        <v>3</v>
      </c>
      <c r="J4" s="108">
        <v>60</v>
      </c>
      <c r="K4" s="108">
        <v>60</v>
      </c>
    </row>
    <row r="5" spans="1:11" ht="21" customHeight="1" x14ac:dyDescent="0.15">
      <c r="A5" s="16" t="str">
        <f t="shared" si="0"/>
        <v>41008_2-1</v>
      </c>
      <c r="B5" s="16" t="str">
        <f>IF(COUNTIF(enemy_habitats!$H:$H,A5),"OK","NG")</f>
        <v>OK</v>
      </c>
      <c r="C5" s="7">
        <v>41008</v>
      </c>
      <c r="D5" s="11" t="str">
        <f ca="1">VLOOKUP($C5,OFFSET([2]quests!$A$1,0,0,COUNTA([2]quests!$A:$A),MATCH(D$1,[2]quests!$1:$1,0)-MATCH($C$1,[2]quests!$1:$1,0)+1),MATCH(D$1,[2]quests!$1:$1,0)-MATCH($C$1,[2]quests!$1:$1,0)+1,FALSE)</f>
        <v>Gスター襲来！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</v>
      </c>
      <c r="F5" s="20">
        <v>2</v>
      </c>
      <c r="G5" s="22" t="str">
        <f t="shared" si="1"/>
        <v>41008_2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【ウィザード級】Gスター襲来</v>
      </c>
      <c r="I5" s="20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41008_2-2</v>
      </c>
      <c r="B6" s="16" t="str">
        <f>IF(COUNTIF(enemy_habitats!$H:$H,A6),"OK","NG")</f>
        <v>OK</v>
      </c>
      <c r="C6" s="7">
        <v>41008</v>
      </c>
      <c r="D6" s="11" t="str">
        <f ca="1">VLOOKUP($C6,OFFSET([2]quests!$A$1,0,0,COUNTA([2]quests!$A:$A),MATCH(D$1,[2]quests!$1:$1,0)-MATCH($C$1,[2]quests!$1:$1,0)+1),MATCH(D$1,[2]quests!$1:$1,0)-MATCH($C$1,[2]quests!$1:$1,0)+1,FALSE)</f>
        <v>Gスター襲来！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降臨1</v>
      </c>
      <c r="F6" s="20">
        <v>2</v>
      </c>
      <c r="G6" s="22" t="str">
        <f t="shared" si="1"/>
        <v>41008_2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【ウィザード級】Gスター襲来</v>
      </c>
      <c r="I6" s="20">
        <v>2</v>
      </c>
      <c r="J6" s="12">
        <v>60</v>
      </c>
      <c r="K6" s="12">
        <v>60</v>
      </c>
    </row>
    <row r="7" spans="1:11" ht="21" customHeight="1" thickBot="1" x14ac:dyDescent="0.2">
      <c r="A7" s="103" t="str">
        <f t="shared" si="0"/>
        <v>41008_2-3</v>
      </c>
      <c r="B7" s="103" t="str">
        <f>IF(COUNTIF(enemy_habitats!$H:$H,A7),"OK","NG")</f>
        <v>OK</v>
      </c>
      <c r="C7" s="117">
        <v>41008</v>
      </c>
      <c r="D7" s="138" t="str">
        <f ca="1">VLOOKUP($C7,OFFSET([2]quests!$A$1,0,0,COUNTA([2]quests!$A:$A),MATCH(D$1,[2]quests!$1:$1,0)-MATCH($C$1,[2]quests!$1:$1,0)+1),MATCH(D$1,[2]quests!$1:$1,0)-MATCH($C$1,[2]quests!$1:$1,0)+1,FALSE)</f>
        <v>Gスター襲来！</v>
      </c>
      <c r="E7" s="138" t="str">
        <f ca="1">VLOOKUP($C7,OFFSET([2]quests!$A$1,0,0,COUNTA([2]quests!$A:$A),MATCH(E$1,[2]quests!$1:$1,0)-MATCH($C$1,[2]quests!$1:$1,0)+1),MATCH(E$1,[2]quests!$1:$1,0)-MATCH($C$1,[2]quests!$1:$1,0)+1,FALSE)</f>
        <v>降臨1</v>
      </c>
      <c r="F7" s="105">
        <v>2</v>
      </c>
      <c r="G7" s="139" t="str">
        <f t="shared" si="1"/>
        <v>41008_2</v>
      </c>
      <c r="H7" s="106" t="str">
        <f ca="1">VLOOKUP($G7,OFFSET([2]stages!$A$1,0,0,COUNTA([2]stages!$A:$A),MATCH(H$1,[2]stages!$2:$2,0)-MATCH($G$1,[2]stages!$2:$2,0)+1),MATCH(H$1,[2]stages!$2:$2,0)-MATCH($G$1,[2]stages!$2:$2,0)+1,FALSE)</f>
        <v>【ウィザード級】Gスター襲来</v>
      </c>
      <c r="I7" s="105">
        <v>3</v>
      </c>
      <c r="J7" s="108">
        <v>60</v>
      </c>
      <c r="K7" s="108">
        <v>60</v>
      </c>
    </row>
    <row r="8" spans="1:11" ht="21" customHeight="1" x14ac:dyDescent="0.15">
      <c r="A8" s="16" t="str">
        <f t="shared" si="0"/>
        <v>41008_3-1</v>
      </c>
      <c r="B8" s="16" t="str">
        <f>IF(COUNTIF(enemy_habitats!$H:$H,A8),"OK","NG")</f>
        <v>OK</v>
      </c>
      <c r="C8" s="7">
        <v>41008</v>
      </c>
      <c r="D8" s="11" t="str">
        <f ca="1">VLOOKUP($C8,OFFSET([2]quests!$A$1,0,0,COUNTA([2]quests!$A:$A),MATCH(D$1,[2]quests!$1:$1,0)-MATCH($C$1,[2]quests!$1:$1,0)+1),MATCH(D$1,[2]quests!$1:$1,0)-MATCH($C$1,[2]quests!$1:$1,0)+1,FALSE)</f>
        <v>Gスター襲来！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降臨1</v>
      </c>
      <c r="F8" s="20">
        <v>3</v>
      </c>
      <c r="G8" s="22" t="str">
        <f t="shared" si="1"/>
        <v>41008_3</v>
      </c>
      <c r="H8" s="15" t="str">
        <f ca="1">VLOOKUP($G8,OFFSET([2]stages!$A$1,0,0,COUNTA([2]stages!$A:$A),MATCH(H$1,[2]stages!$2:$2,0)-MATCH($G$1,[2]stages!$2:$2,0)+1),MATCH(H$1,[2]stages!$2:$2,0)-MATCH($G$1,[2]stages!$2:$2,0)+1,FALSE)</f>
        <v>【ノーコンテニュー】Gスター襲来</v>
      </c>
      <c r="I8" s="20">
        <v>1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41008_3-2</v>
      </c>
      <c r="B9" s="16" t="str">
        <f>IF(COUNTIF(enemy_habitats!$H:$H,A9),"OK","NG")</f>
        <v>OK</v>
      </c>
      <c r="C9" s="7">
        <v>41008</v>
      </c>
      <c r="D9" s="11" t="str">
        <f ca="1">VLOOKUP($C9,OFFSET([2]quests!$A$1,0,0,COUNTA([2]quests!$A:$A),MATCH(D$1,[2]quests!$1:$1,0)-MATCH($C$1,[2]quests!$1:$1,0)+1),MATCH(D$1,[2]quests!$1:$1,0)-MATCH($C$1,[2]quests!$1:$1,0)+1,FALSE)</f>
        <v>Gスター襲来！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降臨1</v>
      </c>
      <c r="F9" s="20">
        <v>3</v>
      </c>
      <c r="G9" s="22" t="str">
        <f t="shared" si="1"/>
        <v>41008_3</v>
      </c>
      <c r="H9" s="15" t="str">
        <f ca="1">VLOOKUP($G9,OFFSET([2]stages!$A$1,0,0,COUNTA([2]stages!$A:$A),MATCH(H$1,[2]stages!$2:$2,0)-MATCH($G$1,[2]stages!$2:$2,0)+1),MATCH(H$1,[2]stages!$2:$2,0)-MATCH($G$1,[2]stages!$2:$2,0)+1,FALSE)</f>
        <v>【ノーコンテニュー】Gスター襲来</v>
      </c>
      <c r="I9" s="20">
        <v>2</v>
      </c>
      <c r="J9" s="12">
        <v>60</v>
      </c>
      <c r="K9" s="12">
        <v>60</v>
      </c>
    </row>
    <row r="10" spans="1:11" ht="21" customHeight="1" x14ac:dyDescent="0.15">
      <c r="A10" s="192" t="str">
        <f t="shared" si="0"/>
        <v>41008_3-3</v>
      </c>
      <c r="B10" s="192" t="str">
        <f>IF(COUNTIF(enemy_habitats!$H:$H,A10),"OK","NG")</f>
        <v>OK</v>
      </c>
      <c r="C10" s="100">
        <v>41008</v>
      </c>
      <c r="D10" s="18" t="str">
        <f ca="1">VLOOKUP($C10,OFFSET([2]quests!$A$1,0,0,COUNTA([2]quests!$A:$A),MATCH(D$1,[2]quests!$1:$1,0)-MATCH($C$1,[2]quests!$1:$1,0)+1),MATCH(D$1,[2]quests!$1:$1,0)-MATCH($C$1,[2]quests!$1:$1,0)+1,FALSE)</f>
        <v>Gスター襲来！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降臨1</v>
      </c>
      <c r="F10" s="95">
        <v>3</v>
      </c>
      <c r="G10" s="22" t="str">
        <f t="shared" si="1"/>
        <v>41008_3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【ノーコンテニュー】Gスター襲来</v>
      </c>
      <c r="I10" s="95">
        <v>3</v>
      </c>
      <c r="J10" s="36">
        <v>60</v>
      </c>
      <c r="K10" s="36">
        <v>60</v>
      </c>
    </row>
    <row r="11" spans="1:11" ht="21" customHeight="1" x14ac:dyDescent="0.15">
      <c r="A11" s="199"/>
      <c r="B11" s="199"/>
      <c r="C11" s="153"/>
      <c r="D11" s="153"/>
      <c r="E11" s="153"/>
      <c r="F11" s="153"/>
      <c r="G11" s="199"/>
      <c r="H11" s="153"/>
      <c r="I11" s="153"/>
      <c r="J11" s="153"/>
      <c r="K11" s="153"/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8"/>
  <sheetViews>
    <sheetView showGridLines="0" zoomScale="90" zoomScaleNormal="90" zoomScalePageLayoutView="9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1" sqref="R2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24" t="s">
        <v>50</v>
      </c>
      <c r="U1" s="24" t="s">
        <v>52</v>
      </c>
      <c r="V1" s="27" t="s">
        <v>31</v>
      </c>
      <c r="W1" s="26" t="s">
        <v>4</v>
      </c>
      <c r="X1" s="26" t="s">
        <v>5</v>
      </c>
      <c r="Y1" s="26" t="s">
        <v>6</v>
      </c>
      <c r="Z1" s="26" t="s">
        <v>7</v>
      </c>
      <c r="AA1" s="26" t="s">
        <v>8</v>
      </c>
      <c r="AB1" s="31" t="s">
        <v>9</v>
      </c>
      <c r="AC1" s="32" t="s">
        <v>16</v>
      </c>
      <c r="AD1" s="32" t="s">
        <v>17</v>
      </c>
      <c r="AE1" s="32" t="s">
        <v>27</v>
      </c>
      <c r="AF1" s="31" t="s">
        <v>10</v>
      </c>
      <c r="AG1" s="26" t="s">
        <v>11</v>
      </c>
      <c r="AH1" s="26" t="s">
        <v>12</v>
      </c>
      <c r="AI1" s="26" t="s">
        <v>38</v>
      </c>
      <c r="AJ1" s="26" t="s">
        <v>40</v>
      </c>
      <c r="AK1" s="26" t="s">
        <v>42</v>
      </c>
      <c r="AL1" s="26" t="s">
        <v>44</v>
      </c>
      <c r="AM1" s="26" t="s">
        <v>46</v>
      </c>
      <c r="AN1" s="34" t="s">
        <v>178</v>
      </c>
    </row>
    <row r="2" spans="1:40" ht="21" customHeight="1" x14ac:dyDescent="0.15">
      <c r="A2" s="16" t="str">
        <f t="shared" ref="A2:A8" si="0">B2&amp;"_"&amp;C2&amp;"-"&amp;G2&amp;"/"&amp;L2&amp;"&lt;lv"&amp;R2&amp;"&gt;s"&amp;AA2</f>
        <v>41008_1-1/179&lt;lv50&gt;s2</v>
      </c>
      <c r="B2" s="21">
        <v>41008</v>
      </c>
      <c r="C2" s="95">
        <v>1</v>
      </c>
      <c r="D2" s="15" t="str">
        <f t="shared" ref="D2:D8" si="1">B2&amp;"_"&amp;C2</f>
        <v>41008_1</v>
      </c>
      <c r="E2" s="4" t="str">
        <f ca="1">VLOOKUP($B2,OFFSET([2]quests!$A$1,0,0,COUNTA([2]quests!$A:$A),MATCH(E$1,[2]quests!$1:$1,0)-MATCH($B$1,[2]quests!$1:$1,0)+1),MATCH(E$1,[2]quests!$1:$1,0)-MATCH($B$1,[2]quests!$1:$1,0)+1,FALSE)</f>
        <v>Gスター襲来！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【超絶級】Gスター襲来</v>
      </c>
      <c r="G2" s="95">
        <v>1</v>
      </c>
      <c r="H2" s="15" t="str">
        <f t="shared" ref="H2:H8" si="2">B2&amp;"_"&amp;C2&amp;"-"&amp;G2</f>
        <v>41008_1-1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212</v>
      </c>
      <c r="L2" s="96">
        <v>179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番犬 ケルベロス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50</v>
      </c>
      <c r="S2" s="23">
        <v>1.8</v>
      </c>
      <c r="T2" s="23">
        <v>0.5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ケルベロスが転んでいる</v>
      </c>
      <c r="W2" s="97">
        <v>41008001</v>
      </c>
      <c r="X2" s="6">
        <v>0</v>
      </c>
      <c r="Y2" s="6">
        <v>100</v>
      </c>
      <c r="Z2" s="6">
        <v>1</v>
      </c>
      <c r="AA2" s="98">
        <v>2</v>
      </c>
      <c r="AB2" s="99">
        <f t="shared" ref="AB2:AB8" si="3">L2</f>
        <v>179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番犬 ケルベロス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" s="100">
        <v>1</v>
      </c>
      <c r="AG2" s="99">
        <f t="shared" ref="AG2:AG8" ca="1" si="4">AD2</f>
        <v>4</v>
      </c>
      <c r="AH2" s="8">
        <v>0</v>
      </c>
      <c r="AI2" s="100">
        <v>0</v>
      </c>
      <c r="AJ2" s="100">
        <v>0</v>
      </c>
      <c r="AK2" s="100">
        <v>0</v>
      </c>
      <c r="AL2" s="100">
        <v>0</v>
      </c>
      <c r="AM2" s="100">
        <v>1</v>
      </c>
      <c r="AN2" s="67">
        <v>1</v>
      </c>
    </row>
    <row r="3" spans="1:40" ht="21" customHeight="1" x14ac:dyDescent="0.15">
      <c r="A3" s="16" t="str">
        <f t="shared" si="0"/>
        <v>41008_1-1/2&lt;lv34&gt;s2</v>
      </c>
      <c r="B3" s="21">
        <v>41008</v>
      </c>
      <c r="C3" s="95">
        <v>1</v>
      </c>
      <c r="D3" s="15" t="str">
        <f t="shared" si="1"/>
        <v>41008_1</v>
      </c>
      <c r="E3" s="4" t="str">
        <f ca="1">VLOOKUP($B3,OFFSET([2]quests!$A$1,0,0,COUNTA([2]quests!$A:$A),MATCH(E$1,[2]quests!$1:$1,0)-MATCH($B$1,[2]quests!$1:$1,0)+1),MATCH(E$1,[2]quests!$1:$1,0)-MATCH($B$1,[2]quests!$1:$1,0)+1,FALSE)</f>
        <v>Gスター襲来！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【超絶級】Gスター襲来</v>
      </c>
      <c r="G3" s="95">
        <v>1</v>
      </c>
      <c r="H3" s="15" t="str">
        <f t="shared" si="2"/>
        <v>41008_1-1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212</v>
      </c>
      <c r="L3" s="96">
        <v>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イレギュラー・ジェリー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34</v>
      </c>
      <c r="S3" s="23">
        <v>7.5</v>
      </c>
      <c r="T3" s="23">
        <v>0.9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3" s="97">
        <v>41008002</v>
      </c>
      <c r="X3" s="6">
        <v>0</v>
      </c>
      <c r="Y3" s="6">
        <v>100</v>
      </c>
      <c r="Z3" s="6">
        <v>2</v>
      </c>
      <c r="AA3" s="98">
        <v>2</v>
      </c>
      <c r="AB3" s="99">
        <f t="shared" si="3"/>
        <v>2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100">
        <v>1</v>
      </c>
      <c r="AG3" s="99">
        <f t="shared" ca="1" si="4"/>
        <v>2</v>
      </c>
      <c r="AH3" s="8">
        <v>0</v>
      </c>
      <c r="AI3" s="100">
        <v>0</v>
      </c>
      <c r="AJ3" s="100">
        <v>0</v>
      </c>
      <c r="AK3" s="100">
        <v>0</v>
      </c>
      <c r="AL3" s="100">
        <v>0</v>
      </c>
      <c r="AM3" s="100">
        <v>1</v>
      </c>
      <c r="AN3" s="67">
        <v>1</v>
      </c>
    </row>
    <row r="4" spans="1:40" ht="21" customHeight="1" x14ac:dyDescent="0.15">
      <c r="A4" s="16" t="str">
        <f t="shared" si="0"/>
        <v>41008_1-1/2&lt;lv35&gt;s2</v>
      </c>
      <c r="B4" s="21">
        <v>41008</v>
      </c>
      <c r="C4" s="95">
        <v>1</v>
      </c>
      <c r="D4" s="15" t="str">
        <f t="shared" si="1"/>
        <v>41008_1</v>
      </c>
      <c r="E4" s="4" t="str">
        <f ca="1">VLOOKUP($B4,OFFSET([2]quests!$A$1,0,0,COUNTA([2]quests!$A:$A),MATCH(E$1,[2]quests!$1:$1,0)-MATCH($B$1,[2]quests!$1:$1,0)+1),MATCH(E$1,[2]quests!$1:$1,0)-MATCH($B$1,[2]quests!$1:$1,0)+1,FALSE)</f>
        <v>Gスター襲来！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【超絶級】Gスター襲来</v>
      </c>
      <c r="G4" s="95">
        <v>1</v>
      </c>
      <c r="H4" s="15" t="str">
        <f t="shared" si="2"/>
        <v>41008_1-1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212</v>
      </c>
      <c r="L4" s="96">
        <v>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イレギュラー・ジェリー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35</v>
      </c>
      <c r="S4" s="23">
        <v>7.5</v>
      </c>
      <c r="T4" s="23">
        <v>0.9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4" s="97">
        <v>41008003</v>
      </c>
      <c r="X4" s="6">
        <v>0</v>
      </c>
      <c r="Y4" s="6">
        <v>100</v>
      </c>
      <c r="Z4" s="6">
        <v>0</v>
      </c>
      <c r="AA4" s="98">
        <v>2</v>
      </c>
      <c r="AB4" s="99">
        <f t="shared" si="3"/>
        <v>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Drop1T</v>
      </c>
      <c r="AF4" s="100">
        <v>1</v>
      </c>
      <c r="AG4" s="99">
        <f t="shared" ca="1" si="4"/>
        <v>2</v>
      </c>
      <c r="AH4" s="8">
        <v>0</v>
      </c>
      <c r="AI4" s="100">
        <v>0</v>
      </c>
      <c r="AJ4" s="100">
        <v>0</v>
      </c>
      <c r="AK4" s="100">
        <v>0</v>
      </c>
      <c r="AL4" s="100">
        <v>0</v>
      </c>
      <c r="AM4" s="100">
        <v>1</v>
      </c>
      <c r="AN4" s="67">
        <v>1</v>
      </c>
    </row>
    <row r="5" spans="1:40" ht="21" customHeight="1" x14ac:dyDescent="0.15">
      <c r="A5" s="16" t="str">
        <f t="shared" si="0"/>
        <v>41008_1-2/478&lt;lv50&gt;s1</v>
      </c>
      <c r="B5" s="21">
        <v>41008</v>
      </c>
      <c r="C5" s="95">
        <v>1</v>
      </c>
      <c r="D5" s="15" t="str">
        <f t="shared" si="1"/>
        <v>41008_1</v>
      </c>
      <c r="E5" s="4" t="str">
        <f ca="1">VLOOKUP($B5,OFFSET([2]quests!$A$1,0,0,COUNTA([2]quests!$A:$A),MATCH(E$1,[2]quests!$1:$1,0)-MATCH($B$1,[2]quests!$1:$1,0)+1),MATCH(E$1,[2]quests!$1:$1,0)-MATCH($B$1,[2]quests!$1:$1,0)+1,FALSE)</f>
        <v>Gスター襲来！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【超絶級】Gスター襲来</v>
      </c>
      <c r="G5" s="95">
        <v>2</v>
      </c>
      <c r="H5" s="15" t="str">
        <f t="shared" si="2"/>
        <v>41008_1-2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>
        <v>1</v>
      </c>
      <c r="L5" s="96">
        <v>478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時計仕掛けの愛羽妖精 ファータ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50</v>
      </c>
      <c r="S5" s="23">
        <v>3</v>
      </c>
      <c r="T5" s="23">
        <v>1.1000000000000001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この先は危ないよ？</v>
      </c>
      <c r="W5" s="97">
        <v>41008004</v>
      </c>
      <c r="X5" s="6">
        <v>0</v>
      </c>
      <c r="Y5" s="6">
        <v>100</v>
      </c>
      <c r="Z5" s="6">
        <v>1</v>
      </c>
      <c r="AA5" s="98">
        <v>1</v>
      </c>
      <c r="AB5" s="99">
        <f t="shared" si="3"/>
        <v>478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時計仕掛けの愛羽妖精 ファータ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100">
        <v>1</v>
      </c>
      <c r="AG5" s="99">
        <f t="shared" ca="1" si="4"/>
        <v>5</v>
      </c>
      <c r="AH5" s="8">
        <v>0</v>
      </c>
      <c r="AI5" s="100">
        <v>0</v>
      </c>
      <c r="AJ5" s="100">
        <v>0</v>
      </c>
      <c r="AK5" s="100">
        <v>0</v>
      </c>
      <c r="AL5" s="100">
        <v>0</v>
      </c>
      <c r="AM5" s="100">
        <v>1</v>
      </c>
      <c r="AN5" s="67">
        <v>1</v>
      </c>
    </row>
    <row r="6" spans="1:40" ht="21" customHeight="1" x14ac:dyDescent="0.15">
      <c r="A6" s="16" t="str">
        <f t="shared" si="0"/>
        <v>41008_1-3/508&lt;lv50&gt;s1</v>
      </c>
      <c r="B6" s="21">
        <v>41008</v>
      </c>
      <c r="C6" s="95">
        <v>1</v>
      </c>
      <c r="D6" s="15" t="str">
        <f t="shared" si="1"/>
        <v>41008_1</v>
      </c>
      <c r="E6" s="4" t="str">
        <f ca="1">VLOOKUP($B6,OFFSET([2]quests!$A$1,0,0,COUNTA([2]quests!$A:$A),MATCH(E$1,[2]quests!$1:$1,0)-MATCH($B$1,[2]quests!$1:$1,0)+1),MATCH(E$1,[2]quests!$1:$1,0)-MATCH($B$1,[2]quests!$1:$1,0)+1,FALSE)</f>
        <v>Gスター襲来！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【超絶級】Gスター襲来</v>
      </c>
      <c r="G6" s="95">
        <v>3</v>
      </c>
      <c r="H6" s="15" t="str">
        <f t="shared" si="2"/>
        <v>41008_1-3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>
        <v>2</v>
      </c>
      <c r="L6" s="96">
        <v>508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Gスター・チルドレン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50</v>
      </c>
      <c r="S6" s="23">
        <v>3.8</v>
      </c>
      <c r="T6" s="23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【！】15ターン後に即死攻撃発動【！】</v>
      </c>
      <c r="W6" s="97">
        <v>41008006</v>
      </c>
      <c r="X6" s="6">
        <v>0</v>
      </c>
      <c r="Y6" s="6">
        <v>100</v>
      </c>
      <c r="Z6" s="6">
        <v>1</v>
      </c>
      <c r="AA6" s="98">
        <v>1</v>
      </c>
      <c r="AB6" s="101">
        <f t="shared" si="3"/>
        <v>508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Gスター・チルドレン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100">
        <v>1</v>
      </c>
      <c r="AG6" s="99">
        <f t="shared" ca="1" si="4"/>
        <v>4</v>
      </c>
      <c r="AH6" s="102">
        <v>15</v>
      </c>
      <c r="AI6" s="100">
        <v>0</v>
      </c>
      <c r="AJ6" s="100">
        <v>0</v>
      </c>
      <c r="AK6" s="100">
        <v>0</v>
      </c>
      <c r="AL6" s="100">
        <v>0</v>
      </c>
      <c r="AM6" s="100">
        <v>1</v>
      </c>
      <c r="AN6" s="67">
        <v>1</v>
      </c>
    </row>
    <row r="7" spans="1:40" ht="21" customHeight="1" x14ac:dyDescent="0.15">
      <c r="A7" s="16" t="str">
        <f t="shared" si="0"/>
        <v>41008_1-3/4&lt;lv35&gt;s2</v>
      </c>
      <c r="B7" s="21">
        <v>41008</v>
      </c>
      <c r="C7" s="95">
        <v>1</v>
      </c>
      <c r="D7" s="15" t="str">
        <f t="shared" si="1"/>
        <v>41008_1</v>
      </c>
      <c r="E7" s="4" t="str">
        <f ca="1">VLOOKUP($B7,OFFSET([2]quests!$A$1,0,0,COUNTA([2]quests!$A:$A),MATCH(E$1,[2]quests!$1:$1,0)-MATCH($B$1,[2]quests!$1:$1,0)+1),MATCH(E$1,[2]quests!$1:$1,0)-MATCH($B$1,[2]quests!$1:$1,0)+1,FALSE)</f>
        <v>Gスター襲来！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【超絶級】Gスター襲来</v>
      </c>
      <c r="G7" s="95">
        <v>3</v>
      </c>
      <c r="H7" s="15" t="str">
        <f t="shared" si="2"/>
        <v>41008_1-3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 t="s">
        <v>88</v>
      </c>
      <c r="L7" s="96">
        <v>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エースエージェント ジョー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Drop1T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35</v>
      </c>
      <c r="S7" s="23">
        <v>12</v>
      </c>
      <c r="T7" s="23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呪文のような言葉を唱えている</v>
      </c>
      <c r="W7" s="97">
        <v>41008007</v>
      </c>
      <c r="X7" s="6">
        <v>0</v>
      </c>
      <c r="Y7" s="6">
        <v>100</v>
      </c>
      <c r="Z7" s="6">
        <v>2</v>
      </c>
      <c r="AA7" s="98">
        <v>2</v>
      </c>
      <c r="AB7" s="99">
        <f t="shared" si="3"/>
        <v>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Drop1T</v>
      </c>
      <c r="AF7" s="100">
        <v>1</v>
      </c>
      <c r="AG7" s="99">
        <f t="shared" ca="1" si="4"/>
        <v>2</v>
      </c>
      <c r="AH7" s="8">
        <v>0</v>
      </c>
      <c r="AI7" s="100">
        <v>0</v>
      </c>
      <c r="AJ7" s="100">
        <v>0</v>
      </c>
      <c r="AK7" s="100">
        <v>0</v>
      </c>
      <c r="AL7" s="100">
        <v>0</v>
      </c>
      <c r="AM7" s="100">
        <v>1</v>
      </c>
      <c r="AN7" s="67">
        <v>1</v>
      </c>
    </row>
    <row r="8" spans="1:40" s="171" customFormat="1" ht="21" customHeight="1" thickBot="1" x14ac:dyDescent="0.2">
      <c r="A8" s="103" t="str">
        <f t="shared" si="0"/>
        <v>41008_1-3/6&lt;lv35&gt;s1</v>
      </c>
      <c r="B8" s="104">
        <v>41008</v>
      </c>
      <c r="C8" s="105">
        <v>1</v>
      </c>
      <c r="D8" s="106" t="str">
        <f t="shared" si="1"/>
        <v>41008_1</v>
      </c>
      <c r="E8" s="107" t="str">
        <f ca="1">VLOOKUP($B8,OFFSET([2]quests!$A$1,0,0,COUNTA([2]quests!$A:$A),MATCH(E$1,[2]quests!$1:$1,0)-MATCH($B$1,[2]quests!$1:$1,0)+1),MATCH(E$1,[2]quests!$1:$1,0)-MATCH($B$1,[2]quests!$1:$1,0)+1,FALSE)</f>
        <v>Gスター襲来！</v>
      </c>
      <c r="F8" s="107" t="str">
        <f ca="1">VLOOKUP($D8,OFFSET([2]stages!$A$1,0,0,COUNTA([2]stages!$A:$A),MATCH(F$1,[2]stages!$2:$2,0)-MATCH($D$1,[2]stages!$2:$2,0)+1),MATCH(F$1,[2]stages!$2:$2,0)-MATCH($D$1,[2]stages!$2:$2,0)+1,FALSE)</f>
        <v>【超絶級】Gスター襲来</v>
      </c>
      <c r="G8" s="105">
        <v>3</v>
      </c>
      <c r="H8" s="106" t="str">
        <f t="shared" si="2"/>
        <v>41008_1-3</v>
      </c>
      <c r="I8" s="145">
        <f ca="1">VLOOKUP($H8,OFFSET(floors!$A$1,0,0,COUNTA(floors!$A:$A),MATCH(I$1,floors!$1:$1,0)-MATCH($H$1,floors!$1:$1,0)+1),MATCH(I$1,floors!$1:$1,0)-MATCH($H$1,floors!$1:$1,0)+1,FALSE)</f>
        <v>60</v>
      </c>
      <c r="J8" s="146">
        <f ca="1">VLOOKUP($H8,OFFSET(floors!$A$1,0,0,COUNTA(floors!$A:$A),MATCH(J$1,floors!$1:$1,0)-MATCH($H$1,floors!$1:$1,0)+1),MATCH(J$1,floors!$1:$1,0)-MATCH($H$1,floors!$1:$1,0)+1,FALSE)</f>
        <v>60</v>
      </c>
      <c r="K8" s="108" t="s">
        <v>212</v>
      </c>
      <c r="L8" s="109">
        <v>6</v>
      </c>
      <c r="M8" s="110" t="str">
        <f ca="1">VLOOKUP($L8,OFFSET([3]enemies!$A$1,0,0,COUNTA([3]enemies!$A:$A),MATCH(M$1,[3]enemies!$1:$1,0)-MATCH($L$1,[3]enemies!$1:$1,0)+1),MATCH(M$1,[3]enemies!$1:$1,0)-MATCH($L$1,[3]enemies!$1:$1,0)+1,FALSE)</f>
        <v>パトドッグリーダー ポチ</v>
      </c>
      <c r="N8" s="110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10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10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10">
        <f ca="1">VLOOKUP($L8,OFFSET([3]enemies!$A$1,0,0,COUNTA([3]enemies!$A:$A),MATCH(Q$1,[3]enemies!$1:$1,0)-MATCH($L$1,[3]enemies!$1:$1,0)+1),MATCH(Q$1,[3]enemies!$1:$1,0)-MATCH($L$1,[3]enemies!$1:$1,0)+1,FALSE)</f>
        <v>15</v>
      </c>
      <c r="R8" s="111">
        <v>35</v>
      </c>
      <c r="S8" s="112">
        <v>15</v>
      </c>
      <c r="T8" s="112">
        <v>2.5</v>
      </c>
      <c r="U8" s="111">
        <v>0</v>
      </c>
      <c r="V8" s="107" t="str">
        <f ca="1">VLOOKUP($W8,OFFSET(enemy_skill_sets!$B$1,0,0,COUNTA(enemy_skill_sets!$B:$B),MATCH(M$1,enemy_skill_sets!$1:$1,0)-MATCH($W$1,enemy_skill_sets!$1:$1,0)+2),MATCH(M$1,enemy_skill_sets!$1:$1,0)-MATCH($W$1,enemy_skill_sets!$1:$1,0)+2,FALSE)</f>
        <v>5回連続攻撃</v>
      </c>
      <c r="W8" s="113">
        <v>41008008</v>
      </c>
      <c r="X8" s="114">
        <v>0</v>
      </c>
      <c r="Y8" s="114">
        <v>100</v>
      </c>
      <c r="Z8" s="114">
        <v>0</v>
      </c>
      <c r="AA8" s="115">
        <v>1</v>
      </c>
      <c r="AB8" s="116">
        <f t="shared" si="3"/>
        <v>6</v>
      </c>
      <c r="AC8" s="107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8" s="107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107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Drop1T</v>
      </c>
      <c r="AF8" s="117">
        <v>1</v>
      </c>
      <c r="AG8" s="116">
        <f t="shared" ca="1" si="4"/>
        <v>2</v>
      </c>
      <c r="AH8" s="118">
        <v>0</v>
      </c>
      <c r="AI8" s="117">
        <v>0</v>
      </c>
      <c r="AJ8" s="117">
        <v>0</v>
      </c>
      <c r="AK8" s="117">
        <v>0</v>
      </c>
      <c r="AL8" s="117">
        <v>0</v>
      </c>
      <c r="AM8" s="117">
        <v>1</v>
      </c>
      <c r="AN8" s="119">
        <v>1</v>
      </c>
    </row>
    <row r="9" spans="1:40" s="171" customFormat="1" ht="21" customHeight="1" x14ac:dyDescent="0.15">
      <c r="A9" s="172" t="str">
        <f t="shared" ref="A9:A13" si="5">B9&amp;"_"&amp;C9&amp;"-"&amp;G9&amp;"/"&amp;L9&amp;"&lt;lv"&amp;R9&amp;"&gt;s"&amp;AA9</f>
        <v>41008_2-1/179&lt;lv60&gt;s2</v>
      </c>
      <c r="B9" s="173">
        <v>41008</v>
      </c>
      <c r="C9" s="174">
        <v>2</v>
      </c>
      <c r="D9" s="175" t="str">
        <f t="shared" ref="D9:D13" si="6">B9&amp;"_"&amp;C9</f>
        <v>41008_2</v>
      </c>
      <c r="E9" s="176" t="str">
        <f ca="1">VLOOKUP($B9,OFFSET([2]quests!$A$1,0,0,COUNTA([2]quests!$A:$A),MATCH(E$1,[2]quests!$1:$1,0)-MATCH($B$1,[2]quests!$1:$1,0)+1),MATCH(E$1,[2]quests!$1:$1,0)-MATCH($B$1,[2]quests!$1:$1,0)+1,FALSE)</f>
        <v>Gスター襲来！</v>
      </c>
      <c r="F9" s="176" t="str">
        <f ca="1">VLOOKUP($D9,OFFSET([2]stages!$A$1,0,0,COUNTA([2]stages!$A:$A),MATCH(F$1,[2]stages!$2:$2,0)-MATCH($D$1,[2]stages!$2:$2,0)+1),MATCH(F$1,[2]stages!$2:$2,0)-MATCH($D$1,[2]stages!$2:$2,0)+1,FALSE)</f>
        <v>【ウィザード級】Gスター襲来</v>
      </c>
      <c r="G9" s="174">
        <v>1</v>
      </c>
      <c r="H9" s="175" t="str">
        <f t="shared" ref="H9:H13" si="7">B9&amp;"_"&amp;C9&amp;"-"&amp;G9</f>
        <v>41008_2-1</v>
      </c>
      <c r="I9" s="149">
        <f ca="1">VLOOKUP($H9,OFFSET(floors!$A$1,0,0,COUNTA(floors!$A:$A),MATCH(I$1,floors!$1:$1,0)-MATCH($H$1,floors!$1:$1,0)+1),MATCH(I$1,floors!$1:$1,0)-MATCH($H$1,floors!$1:$1,0)+1,FALSE)</f>
        <v>60</v>
      </c>
      <c r="J9" s="150">
        <f ca="1">VLOOKUP($H9,OFFSET(floors!$A$1,0,0,COUNTA(floors!$A:$A),MATCH(J$1,floors!$1:$1,0)-MATCH($H$1,floors!$1:$1,0)+1),MATCH(J$1,floors!$1:$1,0)-MATCH($H$1,floors!$1:$1,0)+1,FALSE)</f>
        <v>60</v>
      </c>
      <c r="K9" s="177" t="s">
        <v>212</v>
      </c>
      <c r="L9" s="178">
        <v>179</v>
      </c>
      <c r="M9" s="179" t="str">
        <f ca="1">VLOOKUP($L9,OFFSET([3]enemies!$A$1,0,0,COUNTA([3]enemies!$A:$A),MATCH(M$1,[3]enemies!$1:$1,0)-MATCH($L$1,[3]enemies!$1:$1,0)+1),MATCH(M$1,[3]enemies!$1:$1,0)-MATCH($L$1,[3]enemies!$1:$1,0)+1,FALSE)</f>
        <v>番犬 ケルベロス</v>
      </c>
      <c r="N9" s="179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9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79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9">
        <f ca="1">VLOOKUP($L9,OFFSET([3]enemies!$A$1,0,0,COUNTA([3]enemies!$A:$A),MATCH(Q$1,[3]enemies!$1:$1,0)-MATCH($L$1,[3]enemies!$1:$1,0)+1),MATCH(Q$1,[3]enemies!$1:$1,0)-MATCH($L$1,[3]enemies!$1:$1,0)+1,FALSE)</f>
        <v>30</v>
      </c>
      <c r="R9" s="180">
        <v>60</v>
      </c>
      <c r="S9" s="181">
        <v>1.8</v>
      </c>
      <c r="T9" s="181">
        <v>0.5</v>
      </c>
      <c r="U9" s="180">
        <v>0</v>
      </c>
      <c r="V9" s="176" t="str">
        <f ca="1">VLOOKUP($W9,OFFSET(enemy_skill_sets!$B$1,0,0,COUNTA(enemy_skill_sets!$B:$B),MATCH(M$1,enemy_skill_sets!$1:$1,0)-MATCH($W$1,enemy_skill_sets!$1:$1,0)+2),MATCH(M$1,enemy_skill_sets!$1:$1,0)-MATCH($W$1,enemy_skill_sets!$1:$1,0)+2,FALSE)</f>
        <v>ケルベロスが転んでいる</v>
      </c>
      <c r="W9" s="182">
        <v>41008011</v>
      </c>
      <c r="X9" s="183">
        <v>0</v>
      </c>
      <c r="Y9" s="183">
        <v>100</v>
      </c>
      <c r="Z9" s="183">
        <v>1</v>
      </c>
      <c r="AA9" s="184">
        <v>2</v>
      </c>
      <c r="AB9" s="185">
        <f t="shared" ref="AB9:AB12" si="8">L9</f>
        <v>179</v>
      </c>
      <c r="AC9" s="176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番犬 ケルベロス</v>
      </c>
      <c r="AD9" s="176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176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9" s="186">
        <v>1</v>
      </c>
      <c r="AG9" s="185">
        <f t="shared" ref="AG9:AG13" ca="1" si="9">AD9</f>
        <v>4</v>
      </c>
      <c r="AH9" s="187">
        <v>0</v>
      </c>
      <c r="AI9" s="186">
        <v>0</v>
      </c>
      <c r="AJ9" s="186">
        <v>0</v>
      </c>
      <c r="AK9" s="186">
        <v>0</v>
      </c>
      <c r="AL9" s="186">
        <v>0</v>
      </c>
      <c r="AM9" s="186">
        <v>1</v>
      </c>
      <c r="AN9" s="188">
        <v>1</v>
      </c>
    </row>
    <row r="10" spans="1:40" ht="21" customHeight="1" x14ac:dyDescent="0.15">
      <c r="A10" s="16" t="str">
        <f t="shared" si="5"/>
        <v>41008_2-1/2&lt;lv44&gt;s2</v>
      </c>
      <c r="B10" s="21">
        <v>41008</v>
      </c>
      <c r="C10" s="95">
        <v>2</v>
      </c>
      <c r="D10" s="15" t="str">
        <f t="shared" si="6"/>
        <v>41008_2</v>
      </c>
      <c r="E10" s="4" t="str">
        <f ca="1">VLOOKUP($B10,OFFSET([2]quests!$A$1,0,0,COUNTA([2]quests!$A:$A),MATCH(E$1,[2]quests!$1:$1,0)-MATCH($B$1,[2]quests!$1:$1,0)+1),MATCH(E$1,[2]quests!$1:$1,0)-MATCH($B$1,[2]quests!$1:$1,0)+1,FALSE)</f>
        <v>Gスター襲来！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【ウィザード級】Gスター襲来</v>
      </c>
      <c r="G10" s="95">
        <v>1</v>
      </c>
      <c r="H10" s="15" t="str">
        <f t="shared" si="7"/>
        <v>41008_2-1</v>
      </c>
      <c r="I10" s="151">
        <f ca="1">VLOOKUP($H10,OFFSET(floors!$A$1,0,0,COUNTA(floors!$A:$A),MATCH(I$1,floors!$1:$1,0)-MATCH($H$1,floors!$1:$1,0)+1),MATCH(I$1,floors!$1:$1,0)-MATCH($H$1,floors!$1:$1,0)+1,FALSE)</f>
        <v>60</v>
      </c>
      <c r="J10" s="152">
        <f ca="1">VLOOKUP($H10,OFFSET(floors!$A$1,0,0,COUNTA(floors!$A:$A),MATCH(J$1,floors!$1:$1,0)-MATCH($H$1,floors!$1:$1,0)+1),MATCH(J$1,floors!$1:$1,0)-MATCH($H$1,floors!$1:$1,0)+1,FALSE)</f>
        <v>60</v>
      </c>
      <c r="K10" s="36" t="s">
        <v>212</v>
      </c>
      <c r="L10" s="96">
        <v>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イレギュラー・ジェリー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Drop1T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44</v>
      </c>
      <c r="S10" s="23">
        <v>7.5</v>
      </c>
      <c r="T10" s="23">
        <v>0.9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0" s="97">
        <v>41008012</v>
      </c>
      <c r="X10" s="6">
        <v>0</v>
      </c>
      <c r="Y10" s="6">
        <v>100</v>
      </c>
      <c r="Z10" s="6">
        <v>2</v>
      </c>
      <c r="AA10" s="98">
        <v>2</v>
      </c>
      <c r="AB10" s="99">
        <f t="shared" si="8"/>
        <v>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" s="100">
        <v>1</v>
      </c>
      <c r="AG10" s="99">
        <f t="shared" ca="1" si="9"/>
        <v>2</v>
      </c>
      <c r="AH10" s="8">
        <v>0</v>
      </c>
      <c r="AI10" s="100">
        <v>0</v>
      </c>
      <c r="AJ10" s="100">
        <v>0</v>
      </c>
      <c r="AK10" s="100">
        <v>0</v>
      </c>
      <c r="AL10" s="100">
        <v>0</v>
      </c>
      <c r="AM10" s="100">
        <v>1</v>
      </c>
      <c r="AN10" s="67">
        <v>1</v>
      </c>
    </row>
    <row r="11" spans="1:40" ht="21" customHeight="1" x14ac:dyDescent="0.15">
      <c r="A11" s="16" t="str">
        <f t="shared" si="5"/>
        <v>41008_2-1/2&lt;lv45&gt;s2</v>
      </c>
      <c r="B11" s="21">
        <v>41008</v>
      </c>
      <c r="C11" s="95">
        <v>2</v>
      </c>
      <c r="D11" s="15" t="str">
        <f t="shared" si="6"/>
        <v>41008_2</v>
      </c>
      <c r="E11" s="4" t="str">
        <f ca="1">VLOOKUP($B11,OFFSET([2]quests!$A$1,0,0,COUNTA([2]quests!$A:$A),MATCH(E$1,[2]quests!$1:$1,0)-MATCH($B$1,[2]quests!$1:$1,0)+1),MATCH(E$1,[2]quests!$1:$1,0)-MATCH($B$1,[2]quests!$1:$1,0)+1,FALSE)</f>
        <v>Gスター襲来！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【ウィザード級】Gスター襲来</v>
      </c>
      <c r="G11" s="95">
        <v>1</v>
      </c>
      <c r="H11" s="15" t="str">
        <f t="shared" si="7"/>
        <v>41008_2-1</v>
      </c>
      <c r="I11" s="151">
        <f ca="1">VLOOKUP($H11,OFFSET(floors!$A$1,0,0,COUNTA(floors!$A:$A),MATCH(I$1,floors!$1:$1,0)-MATCH($H$1,floors!$1:$1,0)+1),MATCH(I$1,floors!$1:$1,0)-MATCH($H$1,floors!$1:$1,0)+1,FALSE)</f>
        <v>60</v>
      </c>
      <c r="J11" s="152">
        <f ca="1">VLOOKUP($H11,OFFSET(floors!$A$1,0,0,COUNTA(floors!$A:$A),MATCH(J$1,floors!$1:$1,0)-MATCH($H$1,floors!$1:$1,0)+1),MATCH(J$1,floors!$1:$1,0)-MATCH($H$1,floors!$1:$1,0)+1,FALSE)</f>
        <v>60</v>
      </c>
      <c r="K11" s="36" t="s">
        <v>212</v>
      </c>
      <c r="L11" s="96">
        <v>2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イレギュラー・ジェリー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Drop1T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45</v>
      </c>
      <c r="S11" s="23">
        <v>7.5</v>
      </c>
      <c r="T11" s="23">
        <v>0.9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1" s="97">
        <v>41008013</v>
      </c>
      <c r="X11" s="6">
        <v>0</v>
      </c>
      <c r="Y11" s="6">
        <v>100</v>
      </c>
      <c r="Z11" s="6">
        <v>0</v>
      </c>
      <c r="AA11" s="98">
        <v>2</v>
      </c>
      <c r="AB11" s="99">
        <f t="shared" si="8"/>
        <v>2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Drop1T</v>
      </c>
      <c r="AF11" s="100">
        <v>1</v>
      </c>
      <c r="AG11" s="99">
        <f t="shared" ca="1" si="9"/>
        <v>2</v>
      </c>
      <c r="AH11" s="8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1</v>
      </c>
      <c r="AN11" s="67">
        <v>1</v>
      </c>
    </row>
    <row r="12" spans="1:40" ht="21" customHeight="1" x14ac:dyDescent="0.15">
      <c r="A12" s="16" t="str">
        <f t="shared" si="5"/>
        <v>41008_2-2/478&lt;lv60&gt;s1</v>
      </c>
      <c r="B12" s="21">
        <v>41008</v>
      </c>
      <c r="C12" s="95">
        <v>2</v>
      </c>
      <c r="D12" s="15" t="str">
        <f t="shared" si="6"/>
        <v>41008_2</v>
      </c>
      <c r="E12" s="4" t="str">
        <f ca="1">VLOOKUP($B12,OFFSET([2]quests!$A$1,0,0,COUNTA([2]quests!$A:$A),MATCH(E$1,[2]quests!$1:$1,0)-MATCH($B$1,[2]quests!$1:$1,0)+1),MATCH(E$1,[2]quests!$1:$1,0)-MATCH($B$1,[2]quests!$1:$1,0)+1,FALSE)</f>
        <v>Gスター襲来！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【ウィザード級】Gスター襲来</v>
      </c>
      <c r="G12" s="95">
        <v>2</v>
      </c>
      <c r="H12" s="15" t="str">
        <f t="shared" si="7"/>
        <v>41008_2-2</v>
      </c>
      <c r="I12" s="151">
        <f ca="1">VLOOKUP($H12,OFFSET(floors!$A$1,0,0,COUNTA(floors!$A:$A),MATCH(I$1,floors!$1:$1,0)-MATCH($H$1,floors!$1:$1,0)+1),MATCH(I$1,floors!$1:$1,0)-MATCH($H$1,floors!$1:$1,0)+1,FALSE)</f>
        <v>60</v>
      </c>
      <c r="J12" s="152">
        <f ca="1">VLOOKUP($H12,OFFSET(floors!$A$1,0,0,COUNTA(floors!$A:$A),MATCH(J$1,floors!$1:$1,0)-MATCH($H$1,floors!$1:$1,0)+1),MATCH(J$1,floors!$1:$1,0)-MATCH($H$1,floors!$1:$1,0)+1,FALSE)</f>
        <v>60</v>
      </c>
      <c r="K12" s="36">
        <v>1</v>
      </c>
      <c r="L12" s="96">
        <v>478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時計仕掛けの愛羽妖精 ファータ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60</v>
      </c>
      <c r="S12" s="23">
        <v>3</v>
      </c>
      <c r="T12" s="23">
        <v>1.1000000000000001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この先は危ないよ？</v>
      </c>
      <c r="W12" s="97">
        <v>41008014</v>
      </c>
      <c r="X12" s="6">
        <v>0</v>
      </c>
      <c r="Y12" s="6">
        <v>100</v>
      </c>
      <c r="Z12" s="6">
        <v>1</v>
      </c>
      <c r="AA12" s="98">
        <v>1</v>
      </c>
      <c r="AB12" s="99">
        <f t="shared" si="8"/>
        <v>478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時計仕掛けの愛羽妖精 ファータ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5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2" s="100">
        <v>1</v>
      </c>
      <c r="AG12" s="99">
        <f t="shared" ca="1" si="9"/>
        <v>5</v>
      </c>
      <c r="AH12" s="8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1</v>
      </c>
      <c r="AN12" s="67">
        <v>1</v>
      </c>
    </row>
    <row r="13" spans="1:40" ht="21" customHeight="1" thickBot="1" x14ac:dyDescent="0.2">
      <c r="A13" s="16" t="str">
        <f t="shared" si="5"/>
        <v>41008_2-3/509&lt;lv60&gt;s1</v>
      </c>
      <c r="B13" s="21">
        <v>41008</v>
      </c>
      <c r="C13" s="95">
        <v>2</v>
      </c>
      <c r="D13" s="15" t="str">
        <f t="shared" si="6"/>
        <v>41008_2</v>
      </c>
      <c r="E13" s="4" t="str">
        <f ca="1">VLOOKUP($B13,OFFSET([2]quests!$A$1,0,0,COUNTA([2]quests!$A:$A),MATCH(E$1,[2]quests!$1:$1,0)-MATCH($B$1,[2]quests!$1:$1,0)+1),MATCH(E$1,[2]quests!$1:$1,0)-MATCH($B$1,[2]quests!$1:$1,0)+1,FALSE)</f>
        <v>Gスター襲来！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【ウィザード級】Gスター襲来</v>
      </c>
      <c r="G13" s="95">
        <v>3</v>
      </c>
      <c r="H13" s="15" t="str">
        <f t="shared" si="7"/>
        <v>41008_2-3</v>
      </c>
      <c r="I13" s="151">
        <f ca="1">VLOOKUP($H13,OFFSET(floors!$A$1,0,0,COUNTA(floors!$A:$A),MATCH(I$1,floors!$1:$1,0)-MATCH($H$1,floors!$1:$1,0)+1),MATCH(I$1,floors!$1:$1,0)-MATCH($H$1,floors!$1:$1,0)+1,FALSE)</f>
        <v>60</v>
      </c>
      <c r="J13" s="152">
        <f ca="1">VLOOKUP($H13,OFFSET(floors!$A$1,0,0,COUNTA(floors!$A:$A),MATCH(J$1,floors!$1:$1,0)-MATCH($H$1,floors!$1:$1,0)+1),MATCH(J$1,floors!$1:$1,0)-MATCH($H$1,floors!$1:$1,0)+1,FALSE)</f>
        <v>60</v>
      </c>
      <c r="K13" s="36">
        <v>2</v>
      </c>
      <c r="L13" s="96">
        <v>509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純粋悪意 Gスター・チルドレン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60</v>
      </c>
      <c r="S13" s="23">
        <v>3.8</v>
      </c>
      <c r="T13" s="23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【！】12ターン後に即死攻撃発動【！】</v>
      </c>
      <c r="W13" s="97">
        <v>41008016</v>
      </c>
      <c r="X13" s="6">
        <v>0</v>
      </c>
      <c r="Y13" s="6">
        <v>100</v>
      </c>
      <c r="Z13" s="6">
        <v>1</v>
      </c>
      <c r="AA13" s="98">
        <v>1</v>
      </c>
      <c r="AB13" s="101">
        <v>508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Gスター・チルドレン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100">
        <v>1</v>
      </c>
      <c r="AG13" s="99">
        <f t="shared" ca="1" si="9"/>
        <v>4</v>
      </c>
      <c r="AH13" s="102">
        <v>30</v>
      </c>
      <c r="AI13" s="100">
        <v>0</v>
      </c>
      <c r="AJ13" s="100">
        <v>0</v>
      </c>
      <c r="AK13" s="100">
        <v>0</v>
      </c>
      <c r="AL13" s="100">
        <v>0</v>
      </c>
      <c r="AM13" s="100">
        <v>1</v>
      </c>
      <c r="AN13" s="67">
        <v>1</v>
      </c>
    </row>
    <row r="14" spans="1:40" s="171" customFormat="1" ht="21" customHeight="1" x14ac:dyDescent="0.15">
      <c r="A14" s="172" t="str">
        <f t="shared" ref="A14:A18" si="10">B14&amp;"_"&amp;C14&amp;"-"&amp;G14&amp;"/"&amp;L14&amp;"&lt;lv"&amp;R14&amp;"&gt;s"&amp;AA14</f>
        <v>41008_3-1/179&lt;lv60&gt;s2</v>
      </c>
      <c r="B14" s="173">
        <v>41008</v>
      </c>
      <c r="C14" s="174">
        <v>3</v>
      </c>
      <c r="D14" s="175" t="str">
        <f t="shared" ref="D14:D18" si="11">B14&amp;"_"&amp;C14</f>
        <v>41008_3</v>
      </c>
      <c r="E14" s="176" t="str">
        <f ca="1">VLOOKUP($B14,OFFSET([2]quests!$A$1,0,0,COUNTA([2]quests!$A:$A),MATCH(E$1,[2]quests!$1:$1,0)-MATCH($B$1,[2]quests!$1:$1,0)+1),MATCH(E$1,[2]quests!$1:$1,0)-MATCH($B$1,[2]quests!$1:$1,0)+1,FALSE)</f>
        <v>Gスター襲来！</v>
      </c>
      <c r="F14" s="176" t="str">
        <f ca="1">VLOOKUP($D14,OFFSET([2]stages!$A$1,0,0,COUNTA([2]stages!$A:$A),MATCH(F$1,[2]stages!$2:$2,0)-MATCH($D$1,[2]stages!$2:$2,0)+1),MATCH(F$1,[2]stages!$2:$2,0)-MATCH($D$1,[2]stages!$2:$2,0)+1,FALSE)</f>
        <v>【ノーコンテニュー】Gスター襲来</v>
      </c>
      <c r="G14" s="174">
        <v>1</v>
      </c>
      <c r="H14" s="175" t="str">
        <f t="shared" ref="H14:H18" si="12">B14&amp;"_"&amp;C14&amp;"-"&amp;G14</f>
        <v>41008_3-1</v>
      </c>
      <c r="I14" s="149">
        <f ca="1">VLOOKUP($H14,OFFSET(floors!$A$1,0,0,COUNTA(floors!$A:$A),MATCH(I$1,floors!$1:$1,0)-MATCH($H$1,floors!$1:$1,0)+1),MATCH(I$1,floors!$1:$1,0)-MATCH($H$1,floors!$1:$1,0)+1,FALSE)</f>
        <v>60</v>
      </c>
      <c r="J14" s="150">
        <f ca="1">VLOOKUP($H14,OFFSET(floors!$A$1,0,0,COUNTA(floors!$A:$A),MATCH(J$1,floors!$1:$1,0)-MATCH($H$1,floors!$1:$1,0)+1),MATCH(J$1,floors!$1:$1,0)-MATCH($H$1,floors!$1:$1,0)+1,FALSE)</f>
        <v>60</v>
      </c>
      <c r="K14" s="177" t="s">
        <v>88</v>
      </c>
      <c r="L14" s="178">
        <v>179</v>
      </c>
      <c r="M14" s="179" t="str">
        <f ca="1">VLOOKUP($L14,OFFSET([3]enemies!$A$1,0,0,COUNTA([3]enemies!$A:$A),MATCH(M$1,[3]enemies!$1:$1,0)-MATCH($L$1,[3]enemies!$1:$1,0)+1),MATCH(M$1,[3]enemies!$1:$1,0)-MATCH($L$1,[3]enemies!$1:$1,0)+1,FALSE)</f>
        <v>番犬 ケルベロス</v>
      </c>
      <c r="N14" s="179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9" t="str">
        <f ca="1">VLOOKUP($L14,OFFSET([4]characters!$A$1,0,0,COUNTA([4]characters!$A:$A),MATCH(O$1,[4]characters!$1:$1,0)-MATCH($L$1,[4]characters!$1:$1,0)+1),MATCH(O$1,[4]characters!$1:$1,0)-MATCH($L$1,[4]characters!$1:$1,0)+1,FALSE)</f>
        <v>PremiumN</v>
      </c>
      <c r="P14" s="179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9">
        <f ca="1">VLOOKUP($L14,OFFSET([3]enemies!$A$1,0,0,COUNTA([3]enemies!$A:$A),MATCH(Q$1,[3]enemies!$1:$1,0)-MATCH($L$1,[3]enemies!$1:$1,0)+1),MATCH(Q$1,[3]enemies!$1:$1,0)-MATCH($L$1,[3]enemies!$1:$1,0)+1,FALSE)</f>
        <v>30</v>
      </c>
      <c r="R14" s="180">
        <v>60</v>
      </c>
      <c r="S14" s="181">
        <v>1.8</v>
      </c>
      <c r="T14" s="181">
        <v>0.5</v>
      </c>
      <c r="U14" s="180">
        <v>0</v>
      </c>
      <c r="V14" s="176" t="str">
        <f ca="1">VLOOKUP($W14,OFFSET(enemy_skill_sets!$B$1,0,0,COUNTA(enemy_skill_sets!$B:$B),MATCH(M$1,enemy_skill_sets!$1:$1,0)-MATCH($W$1,enemy_skill_sets!$1:$1,0)+2),MATCH(M$1,enemy_skill_sets!$1:$1,0)-MATCH($W$1,enemy_skill_sets!$1:$1,0)+2,FALSE)</f>
        <v>ケルベロスが転んでいる</v>
      </c>
      <c r="W14" s="182">
        <v>41008011</v>
      </c>
      <c r="X14" s="183">
        <v>0</v>
      </c>
      <c r="Y14" s="183">
        <v>100</v>
      </c>
      <c r="Z14" s="183">
        <v>1</v>
      </c>
      <c r="AA14" s="184">
        <v>2</v>
      </c>
      <c r="AB14" s="185">
        <f t="shared" ref="AB14:AB17" si="13">L14</f>
        <v>179</v>
      </c>
      <c r="AC14" s="176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番犬 ケルベロス</v>
      </c>
      <c r="AD14" s="176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176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4" s="186">
        <v>1</v>
      </c>
      <c r="AG14" s="185">
        <f t="shared" ref="AG14:AG18" ca="1" si="14">AD14</f>
        <v>4</v>
      </c>
      <c r="AH14" s="187">
        <v>0</v>
      </c>
      <c r="AI14" s="186">
        <v>0</v>
      </c>
      <c r="AJ14" s="186">
        <v>0</v>
      </c>
      <c r="AK14" s="186">
        <v>0</v>
      </c>
      <c r="AL14" s="186">
        <v>0</v>
      </c>
      <c r="AM14" s="186">
        <v>1</v>
      </c>
      <c r="AN14" s="188">
        <v>1</v>
      </c>
    </row>
    <row r="15" spans="1:40" ht="21" customHeight="1" x14ac:dyDescent="0.15">
      <c r="A15" s="16" t="str">
        <f t="shared" si="10"/>
        <v>41008_3-1/2&lt;lv44&gt;s2</v>
      </c>
      <c r="B15" s="21">
        <v>41008</v>
      </c>
      <c r="C15" s="95">
        <v>3</v>
      </c>
      <c r="D15" s="15" t="str">
        <f t="shared" si="11"/>
        <v>41008_3</v>
      </c>
      <c r="E15" s="4" t="str">
        <f ca="1">VLOOKUP($B15,OFFSET([2]quests!$A$1,0,0,COUNTA([2]quests!$A:$A),MATCH(E$1,[2]quests!$1:$1,0)-MATCH($B$1,[2]quests!$1:$1,0)+1),MATCH(E$1,[2]quests!$1:$1,0)-MATCH($B$1,[2]quests!$1:$1,0)+1,FALSE)</f>
        <v>Gスター襲来！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【ノーコンテニュー】Gスター襲来</v>
      </c>
      <c r="G15" s="95">
        <v>1</v>
      </c>
      <c r="H15" s="15" t="str">
        <f t="shared" si="12"/>
        <v>41008_3-1</v>
      </c>
      <c r="I15" s="151">
        <f ca="1">VLOOKUP($H15,OFFSET(floors!$A$1,0,0,COUNTA(floors!$A:$A),MATCH(I$1,floors!$1:$1,0)-MATCH($H$1,floors!$1:$1,0)+1),MATCH(I$1,floors!$1:$1,0)-MATCH($H$1,floors!$1:$1,0)+1,FALSE)</f>
        <v>60</v>
      </c>
      <c r="J15" s="152">
        <f ca="1">VLOOKUP($H15,OFFSET(floors!$A$1,0,0,COUNTA(floors!$A:$A),MATCH(J$1,floors!$1:$1,0)-MATCH($H$1,floors!$1:$1,0)+1),MATCH(J$1,floors!$1:$1,0)-MATCH($H$1,floors!$1:$1,0)+1,FALSE)</f>
        <v>60</v>
      </c>
      <c r="K15" s="36" t="s">
        <v>88</v>
      </c>
      <c r="L15" s="96">
        <v>2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イレギュラー・ジェリー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Drop1T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44</v>
      </c>
      <c r="S15" s="23">
        <v>7.5</v>
      </c>
      <c r="T15" s="23">
        <v>0.9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5" s="97">
        <v>41008012</v>
      </c>
      <c r="X15" s="6">
        <v>0</v>
      </c>
      <c r="Y15" s="6">
        <v>100</v>
      </c>
      <c r="Z15" s="6">
        <v>2</v>
      </c>
      <c r="AA15" s="98">
        <v>2</v>
      </c>
      <c r="AB15" s="99">
        <f t="shared" si="13"/>
        <v>2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Drop1T</v>
      </c>
      <c r="AF15" s="100">
        <v>1</v>
      </c>
      <c r="AG15" s="99">
        <f t="shared" ca="1" si="14"/>
        <v>2</v>
      </c>
      <c r="AH15" s="8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1</v>
      </c>
      <c r="AN15" s="67">
        <v>1</v>
      </c>
    </row>
    <row r="16" spans="1:40" ht="21" customHeight="1" x14ac:dyDescent="0.15">
      <c r="A16" s="16" t="str">
        <f t="shared" si="10"/>
        <v>41008_3-1/2&lt;lv45&gt;s2</v>
      </c>
      <c r="B16" s="21">
        <v>41008</v>
      </c>
      <c r="C16" s="95">
        <v>3</v>
      </c>
      <c r="D16" s="15" t="str">
        <f t="shared" si="11"/>
        <v>41008_3</v>
      </c>
      <c r="E16" s="4" t="str">
        <f ca="1">VLOOKUP($B16,OFFSET([2]quests!$A$1,0,0,COUNTA([2]quests!$A:$A),MATCH(E$1,[2]quests!$1:$1,0)-MATCH($B$1,[2]quests!$1:$1,0)+1),MATCH(E$1,[2]quests!$1:$1,0)-MATCH($B$1,[2]quests!$1:$1,0)+1,FALSE)</f>
        <v>Gスター襲来！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【ノーコンテニュー】Gスター襲来</v>
      </c>
      <c r="G16" s="95">
        <v>1</v>
      </c>
      <c r="H16" s="15" t="str">
        <f t="shared" si="12"/>
        <v>41008_3-1</v>
      </c>
      <c r="I16" s="151">
        <f ca="1">VLOOKUP($H16,OFFSET(floors!$A$1,0,0,COUNTA(floors!$A:$A),MATCH(I$1,floors!$1:$1,0)-MATCH($H$1,floors!$1:$1,0)+1),MATCH(I$1,floors!$1:$1,0)-MATCH($H$1,floors!$1:$1,0)+1,FALSE)</f>
        <v>60</v>
      </c>
      <c r="J16" s="152">
        <f ca="1">VLOOKUP($H16,OFFSET(floors!$A$1,0,0,COUNTA(floors!$A:$A),MATCH(J$1,floors!$1:$1,0)-MATCH($H$1,floors!$1:$1,0)+1),MATCH(J$1,floors!$1:$1,0)-MATCH($H$1,floors!$1:$1,0)+1,FALSE)</f>
        <v>60</v>
      </c>
      <c r="K16" s="36" t="s">
        <v>88</v>
      </c>
      <c r="L16" s="96">
        <v>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イレギュラー・ジェリー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Drop1T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45</v>
      </c>
      <c r="S16" s="23">
        <v>7.5</v>
      </c>
      <c r="T16" s="23">
        <v>0.9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6" s="97">
        <v>41008013</v>
      </c>
      <c r="X16" s="6">
        <v>0</v>
      </c>
      <c r="Y16" s="6">
        <v>100</v>
      </c>
      <c r="Z16" s="6">
        <v>0</v>
      </c>
      <c r="AA16" s="98">
        <v>2</v>
      </c>
      <c r="AB16" s="99">
        <f t="shared" si="13"/>
        <v>2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Drop1T</v>
      </c>
      <c r="AF16" s="100">
        <v>1</v>
      </c>
      <c r="AG16" s="99">
        <f t="shared" ca="1" si="14"/>
        <v>2</v>
      </c>
      <c r="AH16" s="8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1</v>
      </c>
      <c r="AN16" s="67">
        <v>1</v>
      </c>
    </row>
    <row r="17" spans="1:40" ht="21" customHeight="1" x14ac:dyDescent="0.15">
      <c r="A17" s="16" t="str">
        <f t="shared" si="10"/>
        <v>41008_3-2/478&lt;lv60&gt;s1</v>
      </c>
      <c r="B17" s="21">
        <v>41008</v>
      </c>
      <c r="C17" s="95">
        <v>3</v>
      </c>
      <c r="D17" s="15" t="str">
        <f t="shared" si="11"/>
        <v>41008_3</v>
      </c>
      <c r="E17" s="4" t="str">
        <f ca="1">VLOOKUP($B17,OFFSET([2]quests!$A$1,0,0,COUNTA([2]quests!$A:$A),MATCH(E$1,[2]quests!$1:$1,0)-MATCH($B$1,[2]quests!$1:$1,0)+1),MATCH(E$1,[2]quests!$1:$1,0)-MATCH($B$1,[2]quests!$1:$1,0)+1,FALSE)</f>
        <v>Gスター襲来！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【ノーコンテニュー】Gスター襲来</v>
      </c>
      <c r="G17" s="95">
        <v>2</v>
      </c>
      <c r="H17" s="15" t="str">
        <f t="shared" si="12"/>
        <v>41008_3-2</v>
      </c>
      <c r="I17" s="151">
        <f ca="1">VLOOKUP($H17,OFFSET(floors!$A$1,0,0,COUNTA(floors!$A:$A),MATCH(I$1,floors!$1:$1,0)-MATCH($H$1,floors!$1:$1,0)+1),MATCH(I$1,floors!$1:$1,0)-MATCH($H$1,floors!$1:$1,0)+1,FALSE)</f>
        <v>60</v>
      </c>
      <c r="J17" s="152">
        <f ca="1">VLOOKUP($H17,OFFSET(floors!$A$1,0,0,COUNTA(floors!$A:$A),MATCH(J$1,floors!$1:$1,0)-MATCH($H$1,floors!$1:$1,0)+1),MATCH(J$1,floors!$1:$1,0)-MATCH($H$1,floors!$1:$1,0)+1,FALSE)</f>
        <v>60</v>
      </c>
      <c r="K17" s="36">
        <v>1</v>
      </c>
      <c r="L17" s="96">
        <v>478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時計仕掛けの愛羽妖精 ファータ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60</v>
      </c>
      <c r="R17" s="5">
        <v>60</v>
      </c>
      <c r="S17" s="23">
        <v>3</v>
      </c>
      <c r="T17" s="23">
        <v>1.1000000000000001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この先は危ないよ？</v>
      </c>
      <c r="W17" s="97">
        <v>41008014</v>
      </c>
      <c r="X17" s="6">
        <v>0</v>
      </c>
      <c r="Y17" s="6">
        <v>100</v>
      </c>
      <c r="Z17" s="6">
        <v>1</v>
      </c>
      <c r="AA17" s="98">
        <v>1</v>
      </c>
      <c r="AB17" s="99">
        <f t="shared" si="13"/>
        <v>478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時計仕掛けの愛羽妖精 ファータ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5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7" s="100">
        <v>1</v>
      </c>
      <c r="AG17" s="99">
        <f t="shared" ca="1" si="14"/>
        <v>5</v>
      </c>
      <c r="AH17" s="8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1</v>
      </c>
      <c r="AN17" s="67">
        <v>1</v>
      </c>
    </row>
    <row r="18" spans="1:40" ht="21" customHeight="1" x14ac:dyDescent="0.15">
      <c r="A18" s="16" t="str">
        <f t="shared" si="10"/>
        <v>41008_3-3/509&lt;lv60&gt;s1</v>
      </c>
      <c r="B18" s="21">
        <v>41008</v>
      </c>
      <c r="C18" s="95">
        <v>3</v>
      </c>
      <c r="D18" s="15" t="str">
        <f t="shared" si="11"/>
        <v>41008_3</v>
      </c>
      <c r="E18" s="4" t="str">
        <f ca="1">VLOOKUP($B18,OFFSET([2]quests!$A$1,0,0,COUNTA([2]quests!$A:$A),MATCH(E$1,[2]quests!$1:$1,0)-MATCH($B$1,[2]quests!$1:$1,0)+1),MATCH(E$1,[2]quests!$1:$1,0)-MATCH($B$1,[2]quests!$1:$1,0)+1,FALSE)</f>
        <v>Gスター襲来！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【ノーコンテニュー】Gスター襲来</v>
      </c>
      <c r="G18" s="95">
        <v>3</v>
      </c>
      <c r="H18" s="15" t="str">
        <f t="shared" si="12"/>
        <v>41008_3-3</v>
      </c>
      <c r="I18" s="151">
        <f ca="1">VLOOKUP($H18,OFFSET(floors!$A$1,0,0,COUNTA(floors!$A:$A),MATCH(I$1,floors!$1:$1,0)-MATCH($H$1,floors!$1:$1,0)+1),MATCH(I$1,floors!$1:$1,0)-MATCH($H$1,floors!$1:$1,0)+1,FALSE)</f>
        <v>60</v>
      </c>
      <c r="J18" s="152">
        <f ca="1">VLOOKUP($H18,OFFSET(floors!$A$1,0,0,COUNTA(floors!$A:$A),MATCH(J$1,floors!$1:$1,0)-MATCH($H$1,floors!$1:$1,0)+1),MATCH(J$1,floors!$1:$1,0)-MATCH($H$1,floors!$1:$1,0)+1,FALSE)</f>
        <v>60</v>
      </c>
      <c r="K18" s="36">
        <v>2</v>
      </c>
      <c r="L18" s="96">
        <v>509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純粋悪意 Gスター・チルドレン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60</v>
      </c>
      <c r="S18" s="23">
        <v>3.8</v>
      </c>
      <c r="T18" s="23">
        <v>1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【！】12ターン後に即死攻撃発動【！】</v>
      </c>
      <c r="W18" s="97">
        <v>41008016</v>
      </c>
      <c r="X18" s="6">
        <v>0</v>
      </c>
      <c r="Y18" s="6">
        <v>100</v>
      </c>
      <c r="Z18" s="6">
        <v>1</v>
      </c>
      <c r="AA18" s="98">
        <v>1</v>
      </c>
      <c r="AB18" s="101">
        <v>508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Gスター・チルドレン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Drop2N</v>
      </c>
      <c r="AF18" s="100">
        <v>1</v>
      </c>
      <c r="AG18" s="99">
        <f t="shared" ca="1" si="14"/>
        <v>4</v>
      </c>
      <c r="AH18" s="102">
        <v>100</v>
      </c>
      <c r="AI18" s="100">
        <v>0</v>
      </c>
      <c r="AJ18" s="100">
        <v>0</v>
      </c>
      <c r="AK18" s="100">
        <v>0</v>
      </c>
      <c r="AL18" s="100">
        <v>0</v>
      </c>
      <c r="AM18" s="100">
        <v>1</v>
      </c>
      <c r="AN18" s="67">
        <v>1</v>
      </c>
    </row>
  </sheetData>
  <sheetProtection selectLockedCells="1" selectUnlockedCells="1"/>
  <autoFilter ref="B1:AH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1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19" sqref="T19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24" t="s">
        <v>50</v>
      </c>
      <c r="V1" s="24" t="s">
        <v>52</v>
      </c>
      <c r="W1" s="26" t="s">
        <v>128</v>
      </c>
      <c r="X1" s="27" t="s">
        <v>127</v>
      </c>
      <c r="Y1" s="26" t="s">
        <v>8</v>
      </c>
    </row>
    <row r="2" spans="1:25" ht="21" customHeight="1" x14ac:dyDescent="0.15">
      <c r="A2" s="16" t="str">
        <f t="shared" ref="A2:A7" si="0">B2&amp;"_"&amp;C2&amp;"-"&amp;G2&amp;"/"&amp;M2&amp;"&lt;lv"&amp;S2&amp;"&gt;sq"&amp;K2&amp;"st"&amp;L2</f>
        <v>41008_1-2/478&lt;lv50&gt;sq1st2</v>
      </c>
      <c r="B2" s="21">
        <v>41008</v>
      </c>
      <c r="C2" s="95">
        <v>1</v>
      </c>
      <c r="D2" s="15" t="str">
        <f t="shared" ref="D2:D7" si="1">B2&amp;"_"&amp;C2</f>
        <v>41008_1</v>
      </c>
      <c r="E2" s="4" t="str">
        <f ca="1">VLOOKUP($B2,OFFSET([2]quests!$A$1,0,0,COUNTA([2]quests!$A:$A),MATCH(E$1,[2]quests!$1:$1,0)-MATCH($B$1,[2]quests!$1:$1,0)+1),MATCH(E$1,[2]quests!$1:$1,0)-MATCH($B$1,[2]quests!$1:$1,0)+1,FALSE)</f>
        <v>Gスター襲来！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【超絶級】Gスター襲来</v>
      </c>
      <c r="G2" s="95">
        <v>2</v>
      </c>
      <c r="H2" s="15" t="str">
        <f t="shared" ref="H2:H7" si="2">B2&amp;"_"&amp;C2&amp;"-"&amp;G2</f>
        <v>41008_1-2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36">
        <v>2</v>
      </c>
      <c r="M2" s="96">
        <v>478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時計仕掛けの愛羽妖精 ファータ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3">
        <v>3.2</v>
      </c>
      <c r="U2" s="23">
        <v>1</v>
      </c>
      <c r="V2" s="5">
        <v>0</v>
      </c>
      <c r="W2" s="4" t="e">
        <v>#N/A</v>
      </c>
      <c r="X2" s="97">
        <v>41008005</v>
      </c>
      <c r="Y2" s="137">
        <v>1</v>
      </c>
    </row>
    <row r="3" spans="1:25" ht="21" customHeight="1" x14ac:dyDescent="0.15">
      <c r="A3" s="16" t="str">
        <f t="shared" si="0"/>
        <v>41008_1-3/508&lt;lv50&gt;sq2st2</v>
      </c>
      <c r="B3" s="21">
        <v>41008</v>
      </c>
      <c r="C3" s="95">
        <v>1</v>
      </c>
      <c r="D3" s="15" t="str">
        <f t="shared" si="1"/>
        <v>41008_1</v>
      </c>
      <c r="E3" s="4" t="str">
        <f ca="1">VLOOKUP($B3,OFFSET([2]quests!$A$1,0,0,COUNTA([2]quests!$A:$A),MATCH(E$1,[2]quests!$1:$1,0)-MATCH($B$1,[2]quests!$1:$1,0)+1),MATCH(E$1,[2]quests!$1:$1,0)-MATCH($B$1,[2]quests!$1:$1,0)+1,FALSE)</f>
        <v>Gスター襲来！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【超絶級】Gスター襲来</v>
      </c>
      <c r="G3" s="95">
        <v>3</v>
      </c>
      <c r="H3" s="15" t="str">
        <f t="shared" si="2"/>
        <v>41008_1-3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36">
        <v>2</v>
      </c>
      <c r="M3" s="96">
        <v>508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Gスター・チルドレン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50</v>
      </c>
      <c r="T3" s="23">
        <v>4.8</v>
      </c>
      <c r="U3" s="23">
        <v>1.5</v>
      </c>
      <c r="V3" s="5">
        <v>0</v>
      </c>
      <c r="W3" s="4" t="e">
        <v>#N/A</v>
      </c>
      <c r="X3" s="97">
        <v>41008009</v>
      </c>
      <c r="Y3" s="137">
        <v>2</v>
      </c>
    </row>
    <row r="4" spans="1:25" ht="21" customHeight="1" thickBot="1" x14ac:dyDescent="0.2">
      <c r="A4" s="103" t="str">
        <f t="shared" si="0"/>
        <v>41008_1-3/509&lt;lv50&gt;sq2st3</v>
      </c>
      <c r="B4" s="104">
        <v>41008</v>
      </c>
      <c r="C4" s="105">
        <v>1</v>
      </c>
      <c r="D4" s="106" t="str">
        <f t="shared" si="1"/>
        <v>41008_1</v>
      </c>
      <c r="E4" s="107" t="str">
        <f ca="1">VLOOKUP($B4,OFFSET([2]quests!$A$1,0,0,COUNTA([2]quests!$A:$A),MATCH(E$1,[2]quests!$1:$1,0)-MATCH($B$1,[2]quests!$1:$1,0)+1),MATCH(E$1,[2]quests!$1:$1,0)-MATCH($B$1,[2]quests!$1:$1,0)+1,FALSE)</f>
        <v>Gスター襲来！</v>
      </c>
      <c r="F4" s="107" t="str">
        <f ca="1">VLOOKUP($D4,OFFSET([2]stages!$A$1,0,0,COUNTA([2]stages!$A:$A),MATCH(F$1,[2]stages!$2:$2,0)-MATCH($D$1,[2]stages!$2:$2,0)+1),MATCH(F$1,[2]stages!$2:$2,0)-MATCH($D$1,[2]stages!$2:$2,0)+1,FALSE)</f>
        <v>【超絶級】Gスター襲来</v>
      </c>
      <c r="G4" s="105">
        <v>3</v>
      </c>
      <c r="H4" s="106" t="str">
        <f t="shared" si="2"/>
        <v>41008_1-3</v>
      </c>
      <c r="I4" s="145">
        <f ca="1">VLOOKUP($H4,OFFSET(floors!$A$1,0,0,COUNTA(floors!$A:$A),MATCH(I$1,floors!$1:$1,0)-MATCH($H$1,floors!$1:$1,0)+1),MATCH(I$1,floors!$1:$1,0)-MATCH($H$1,floors!$1:$1,0)+1,FALSE)</f>
        <v>60</v>
      </c>
      <c r="J4" s="146">
        <f ca="1">VLOOKUP($H4,OFFSET(floors!$A$1,0,0,COUNTA(floors!$A:$A),MATCH(J$1,floors!$1:$1,0)-MATCH($H$1,floors!$1:$1,0)+1),MATCH(J$1,floors!$1:$1,0)-MATCH($H$1,floors!$1:$1,0)+1,FALSE)</f>
        <v>60</v>
      </c>
      <c r="K4" s="108">
        <v>2</v>
      </c>
      <c r="L4" s="108">
        <v>3</v>
      </c>
      <c r="M4" s="109">
        <v>509</v>
      </c>
      <c r="N4" s="110" t="str">
        <f ca="1">VLOOKUP($M4,OFFSET([3]enemies!$A$1,0,0,COUNTA([3]enemies!$A:$A),MATCH(N$1,[3]enemies!$1:$1,0)-MATCH($M$1,[3]enemies!$1:$1,0)+1),MATCH(N$1,[3]enemies!$1:$1,0)-MATCH($M$1,[3]enemies!$1:$1,0)+1,FALSE)</f>
        <v>純粋悪意 Gスター・チルドレン</v>
      </c>
      <c r="O4" s="110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10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10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10">
        <f ca="1">VLOOKUP($M4,OFFSET([3]enemies!$A$1,0,0,COUNTA([3]enemies!$A:$A),MATCH(R$1,[3]enemies!$1:$1,0)-MATCH($M$1,[3]enemies!$1:$1,0)+1),MATCH(R$1,[3]enemies!$1:$1,0)-MATCH($M$1,[3]enemies!$1:$1,0)+1,FALSE)</f>
        <v>60</v>
      </c>
      <c r="S4" s="111">
        <v>50</v>
      </c>
      <c r="T4" s="112">
        <v>9</v>
      </c>
      <c r="U4" s="112">
        <v>1</v>
      </c>
      <c r="V4" s="111">
        <v>0</v>
      </c>
      <c r="W4" s="107" t="e">
        <v>#N/A</v>
      </c>
      <c r="X4" s="113">
        <v>41008010</v>
      </c>
      <c r="Y4" s="140">
        <v>1</v>
      </c>
    </row>
    <row r="5" spans="1:25" ht="21" customHeight="1" x14ac:dyDescent="0.15">
      <c r="A5" s="16" t="str">
        <f t="shared" si="0"/>
        <v>41008_2-2/478&lt;lv60&gt;sq1st2</v>
      </c>
      <c r="B5" s="21">
        <v>41008</v>
      </c>
      <c r="C5" s="95">
        <v>2</v>
      </c>
      <c r="D5" s="15" t="str">
        <f t="shared" si="1"/>
        <v>41008_2</v>
      </c>
      <c r="E5" s="4" t="str">
        <f ca="1">VLOOKUP($B5,OFFSET([2]quests!$A$1,0,0,COUNTA([2]quests!$A:$A),MATCH(E$1,[2]quests!$1:$1,0)-MATCH($B$1,[2]quests!$1:$1,0)+1),MATCH(E$1,[2]quests!$1:$1,0)-MATCH($B$1,[2]quests!$1:$1,0)+1,FALSE)</f>
        <v>Gスター襲来！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【ウィザード級】Gスター襲来</v>
      </c>
      <c r="G5" s="95">
        <v>2</v>
      </c>
      <c r="H5" s="15" t="str">
        <f t="shared" si="2"/>
        <v>41008_2-2</v>
      </c>
      <c r="I5" s="147">
        <f ca="1">VLOOKUP($H5,OFFSET(floors!$A$1,0,0,COUNTA(floors!$A:$A),MATCH(I$1,floors!$1:$1,0)-MATCH($H$1,floors!$1:$1,0)+1),MATCH(I$1,floors!$1:$1,0)-MATCH($H$1,floors!$1:$1,0)+1,FALSE)</f>
        <v>60</v>
      </c>
      <c r="J5" s="148">
        <f ca="1">VLOOKUP($H5,OFFSET(floors!$A$1,0,0,COUNTA(floors!$A:$A),MATCH(J$1,floors!$1:$1,0)-MATCH($H$1,floors!$1:$1,0)+1),MATCH(J$1,floors!$1:$1,0)-MATCH($H$1,floors!$1:$1,0)+1,FALSE)</f>
        <v>60</v>
      </c>
      <c r="K5" s="36">
        <v>1</v>
      </c>
      <c r="L5" s="36">
        <v>2</v>
      </c>
      <c r="M5" s="96">
        <v>478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時計仕掛けの愛羽妖精 ファータ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3">
        <v>3.2</v>
      </c>
      <c r="U5" s="23">
        <v>1</v>
      </c>
      <c r="V5" s="5">
        <v>0</v>
      </c>
      <c r="W5" s="4" t="e">
        <v>#N/A</v>
      </c>
      <c r="X5" s="97">
        <v>41008015</v>
      </c>
      <c r="Y5" s="137">
        <v>1</v>
      </c>
    </row>
    <row r="6" spans="1:25" ht="21" customHeight="1" x14ac:dyDescent="0.15">
      <c r="A6" s="16" t="str">
        <f t="shared" si="0"/>
        <v>41008_2-3/824&lt;lv60&gt;sq2st2</v>
      </c>
      <c r="B6" s="21">
        <v>41008</v>
      </c>
      <c r="C6" s="95">
        <v>2</v>
      </c>
      <c r="D6" s="15" t="str">
        <f t="shared" si="1"/>
        <v>41008_2</v>
      </c>
      <c r="E6" s="4" t="str">
        <f ca="1">VLOOKUP($B6,OFFSET([2]quests!$A$1,0,0,COUNTA([2]quests!$A:$A),MATCH(E$1,[2]quests!$1:$1,0)-MATCH($B$1,[2]quests!$1:$1,0)+1),MATCH(E$1,[2]quests!$1:$1,0)-MATCH($B$1,[2]quests!$1:$1,0)+1,FALSE)</f>
        <v>Gスター襲来！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【ウィザード級】Gスター襲来</v>
      </c>
      <c r="G6" s="95">
        <v>3</v>
      </c>
      <c r="H6" s="15" t="str">
        <f t="shared" si="2"/>
        <v>41008_2-3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>
        <v>2</v>
      </c>
      <c r="L6" s="36">
        <v>2</v>
      </c>
      <c r="M6" s="96">
        <v>824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悪意の団塊  Gスター・チルドレン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3">
        <v>4.8</v>
      </c>
      <c r="U6" s="23">
        <v>1.4</v>
      </c>
      <c r="V6" s="5">
        <v>0</v>
      </c>
      <c r="W6" s="4" t="e">
        <v>#N/A</v>
      </c>
      <c r="X6" s="97">
        <v>41008017</v>
      </c>
      <c r="Y6" s="137">
        <v>2</v>
      </c>
    </row>
    <row r="7" spans="1:25" ht="21" customHeight="1" thickBot="1" x14ac:dyDescent="0.2">
      <c r="A7" s="103" t="str">
        <f t="shared" si="0"/>
        <v>41008_2-3/824&lt;lv60&gt;sq2st3</v>
      </c>
      <c r="B7" s="104">
        <v>41008</v>
      </c>
      <c r="C7" s="105">
        <v>2</v>
      </c>
      <c r="D7" s="106" t="str">
        <f t="shared" si="1"/>
        <v>41008_2</v>
      </c>
      <c r="E7" s="107" t="str">
        <f ca="1">VLOOKUP($B7,OFFSET([2]quests!$A$1,0,0,COUNTA([2]quests!$A:$A),MATCH(E$1,[2]quests!$1:$1,0)-MATCH($B$1,[2]quests!$1:$1,0)+1),MATCH(E$1,[2]quests!$1:$1,0)-MATCH($B$1,[2]quests!$1:$1,0)+1,FALSE)</f>
        <v>Gスター襲来！</v>
      </c>
      <c r="F7" s="107" t="str">
        <f ca="1">VLOOKUP($D7,OFFSET([2]stages!$A$1,0,0,COUNTA([2]stages!$A:$A),MATCH(F$1,[2]stages!$2:$2,0)-MATCH($D$1,[2]stages!$2:$2,0)+1),MATCH(F$1,[2]stages!$2:$2,0)-MATCH($D$1,[2]stages!$2:$2,0)+1,FALSE)</f>
        <v>【ウィザード級】Gスター襲来</v>
      </c>
      <c r="G7" s="105">
        <v>3</v>
      </c>
      <c r="H7" s="106" t="str">
        <f t="shared" si="2"/>
        <v>41008_2-3</v>
      </c>
      <c r="I7" s="154">
        <f ca="1">VLOOKUP($H7,OFFSET(floors!$A$1,0,0,COUNTA(floors!$A:$A),MATCH(I$1,floors!$1:$1,0)-MATCH($H$1,floors!$1:$1,0)+1),MATCH(I$1,floors!$1:$1,0)-MATCH($H$1,floors!$1:$1,0)+1,FALSE)</f>
        <v>60</v>
      </c>
      <c r="J7" s="154">
        <f ca="1">VLOOKUP($H7,OFFSET(floors!$A$1,0,0,COUNTA(floors!$A:$A),MATCH(J$1,floors!$1:$1,0)-MATCH($H$1,floors!$1:$1,0)+1),MATCH(J$1,floors!$1:$1,0)-MATCH($H$1,floors!$1:$1,0)+1,FALSE)</f>
        <v>60</v>
      </c>
      <c r="K7" s="108">
        <v>2</v>
      </c>
      <c r="L7" s="108">
        <v>3</v>
      </c>
      <c r="M7" s="109">
        <v>824</v>
      </c>
      <c r="N7" s="110" t="str">
        <f ca="1">VLOOKUP($M7,OFFSET([3]enemies!$A$1,0,0,COUNTA([3]enemies!$A:$A),MATCH(N$1,[3]enemies!$1:$1,0)-MATCH($M$1,[3]enemies!$1:$1,0)+1),MATCH(N$1,[3]enemies!$1:$1,0)-MATCH($M$1,[3]enemies!$1:$1,0)+1,FALSE)</f>
        <v>悪意の団塊  Gスター・チルドレン</v>
      </c>
      <c r="O7" s="110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10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10" t="str">
        <f ca="1">VLOOKUP($M7,OFFSET([3]enemies!$A$1,0,0,COUNTA([3]enemies!$A:$A),MATCH(Q$1,[3]enemies!$1:$1,0)-MATCH($M$1,[3]enemies!$1:$1,0)+1),MATCH(Q$1,[3]enemies!$1:$1,0)-MATCH($M$1,[3]enemies!$1:$1,0)+1,FALSE)</f>
        <v>unknown</v>
      </c>
      <c r="R7" s="110">
        <f ca="1">VLOOKUP($M7,OFFSET([3]enemies!$A$1,0,0,COUNTA([3]enemies!$A:$A),MATCH(R$1,[3]enemies!$1:$1,0)-MATCH($M$1,[3]enemies!$1:$1,0)+1),MATCH(R$1,[3]enemies!$1:$1,0)-MATCH($M$1,[3]enemies!$1:$1,0)+1,FALSE)</f>
        <v>60</v>
      </c>
      <c r="S7" s="111">
        <v>60</v>
      </c>
      <c r="T7" s="112">
        <v>9</v>
      </c>
      <c r="U7" s="112">
        <v>0.9</v>
      </c>
      <c r="V7" s="111">
        <v>0</v>
      </c>
      <c r="W7" s="107" t="e">
        <v>#N/A</v>
      </c>
      <c r="X7" s="113">
        <v>41008018</v>
      </c>
      <c r="Y7" s="140">
        <v>1</v>
      </c>
    </row>
    <row r="8" spans="1:25" ht="21" customHeight="1" x14ac:dyDescent="0.15">
      <c r="A8" s="16" t="str">
        <f t="shared" ref="A8:A10" si="3">B8&amp;"_"&amp;C8&amp;"-"&amp;G8&amp;"/"&amp;M8&amp;"&lt;lv"&amp;S8&amp;"&gt;sq"&amp;K8&amp;"st"&amp;L8</f>
        <v>41008_3-2/478&lt;lv60&gt;sq1st2</v>
      </c>
      <c r="B8" s="21">
        <v>41008</v>
      </c>
      <c r="C8" s="95">
        <v>3</v>
      </c>
      <c r="D8" s="15" t="str">
        <f t="shared" ref="D8:D10" si="4">B8&amp;"_"&amp;C8</f>
        <v>41008_3</v>
      </c>
      <c r="E8" s="4" t="str">
        <f ca="1">VLOOKUP($B8,OFFSET([2]quests!$A$1,0,0,COUNTA([2]quests!$A:$A),MATCH(E$1,[2]quests!$1:$1,0)-MATCH($B$1,[2]quests!$1:$1,0)+1),MATCH(E$1,[2]quests!$1:$1,0)-MATCH($B$1,[2]quests!$1:$1,0)+1,FALSE)</f>
        <v>Gスター襲来！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【ノーコンテニュー】Gスター襲来</v>
      </c>
      <c r="G8" s="95">
        <v>2</v>
      </c>
      <c r="H8" s="15" t="str">
        <f t="shared" ref="H8:H10" si="5">B8&amp;"_"&amp;C8&amp;"-"&amp;G8</f>
        <v>41008_3-2</v>
      </c>
      <c r="I8" s="147">
        <f ca="1">VLOOKUP($H8,OFFSET(floors!$A$1,0,0,COUNTA(floors!$A:$A),MATCH(I$1,floors!$1:$1,0)-MATCH($H$1,floors!$1:$1,0)+1),MATCH(I$1,floors!$1:$1,0)-MATCH($H$1,floors!$1:$1,0)+1,FALSE)</f>
        <v>60</v>
      </c>
      <c r="J8" s="148">
        <f ca="1">VLOOKUP($H8,OFFSET(floors!$A$1,0,0,COUNTA(floors!$A:$A),MATCH(J$1,floors!$1:$1,0)-MATCH($H$1,floors!$1:$1,0)+1),MATCH(J$1,floors!$1:$1,0)-MATCH($H$1,floors!$1:$1,0)+1,FALSE)</f>
        <v>60</v>
      </c>
      <c r="K8" s="36">
        <v>1</v>
      </c>
      <c r="L8" s="36">
        <v>2</v>
      </c>
      <c r="M8" s="96">
        <v>478</v>
      </c>
      <c r="N8" s="17" t="str">
        <f ca="1">VLOOKUP($M8,OFFSET([3]enemies!$A$1,0,0,COUNTA([3]enemies!$A:$A),MATCH(N$1,[3]enemies!$1:$1,0)-MATCH($M$1,[3]enemies!$1:$1,0)+1),MATCH(N$1,[3]enemies!$1:$1,0)-MATCH($M$1,[3]enemies!$1:$1,0)+1,FALSE)</f>
        <v>時計仕掛けの愛羽妖精 ファータ</v>
      </c>
      <c r="O8" s="17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PremiumS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unknown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60</v>
      </c>
      <c r="T8" s="23">
        <v>3.2</v>
      </c>
      <c r="U8" s="23">
        <v>1</v>
      </c>
      <c r="V8" s="5">
        <v>0</v>
      </c>
      <c r="W8" s="4" t="e">
        <v>#N/A</v>
      </c>
      <c r="X8" s="97">
        <v>41008015</v>
      </c>
      <c r="Y8" s="137">
        <v>1</v>
      </c>
    </row>
    <row r="9" spans="1:25" ht="21" customHeight="1" x14ac:dyDescent="0.15">
      <c r="A9" s="16" t="str">
        <f t="shared" si="3"/>
        <v>41008_3-3/824&lt;lv60&gt;sq2st2</v>
      </c>
      <c r="B9" s="21">
        <v>41008</v>
      </c>
      <c r="C9" s="95">
        <v>3</v>
      </c>
      <c r="D9" s="15" t="str">
        <f t="shared" si="4"/>
        <v>41008_3</v>
      </c>
      <c r="E9" s="4" t="str">
        <f ca="1">VLOOKUP($B9,OFFSET([2]quests!$A$1,0,0,COUNTA([2]quests!$A:$A),MATCH(E$1,[2]quests!$1:$1,0)-MATCH($B$1,[2]quests!$1:$1,0)+1),MATCH(E$1,[2]quests!$1:$1,0)-MATCH($B$1,[2]quests!$1:$1,0)+1,FALSE)</f>
        <v>Gスター襲来！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【ノーコンテニュー】Gスター襲来</v>
      </c>
      <c r="G9" s="95">
        <v>3</v>
      </c>
      <c r="H9" s="15" t="str">
        <f t="shared" si="5"/>
        <v>41008_3-3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6">
        <v>2</v>
      </c>
      <c r="L9" s="36">
        <v>2</v>
      </c>
      <c r="M9" s="96">
        <v>824</v>
      </c>
      <c r="N9" s="17" t="str">
        <f ca="1">VLOOKUP($M9,OFFSET([3]enemies!$A$1,0,0,COUNTA([3]enemies!$A:$A),MATCH(N$1,[3]enemies!$1:$1,0)-MATCH($M$1,[3]enemies!$1:$1,0)+1),MATCH(N$1,[3]enemies!$1:$1,0)-MATCH($M$1,[3]enemies!$1:$1,0)+1,FALSE)</f>
        <v>悪意の団塊  Gスター・チルドレン</v>
      </c>
      <c r="O9" s="17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unknown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60</v>
      </c>
      <c r="T9" s="23">
        <v>4.8</v>
      </c>
      <c r="U9" s="23">
        <v>1.4</v>
      </c>
      <c r="V9" s="5">
        <v>0</v>
      </c>
      <c r="W9" s="4" t="e">
        <v>#N/A</v>
      </c>
      <c r="X9" s="97">
        <v>41008017</v>
      </c>
      <c r="Y9" s="137">
        <v>2</v>
      </c>
    </row>
    <row r="10" spans="1:25" s="191" customFormat="1" ht="21" customHeight="1" x14ac:dyDescent="0.15">
      <c r="A10" s="192" t="str">
        <f t="shared" si="3"/>
        <v>41008_3-3/824&lt;lv60&gt;sq2st3</v>
      </c>
      <c r="B10" s="193">
        <v>41008</v>
      </c>
      <c r="C10" s="95">
        <v>3</v>
      </c>
      <c r="D10" s="15" t="str">
        <f t="shared" si="4"/>
        <v>41008_3</v>
      </c>
      <c r="E10" s="194" t="str">
        <f ca="1">VLOOKUP($B10,OFFSET([2]quests!$A$1,0,0,COUNTA([2]quests!$A:$A),MATCH(E$1,[2]quests!$1:$1,0)-MATCH($B$1,[2]quests!$1:$1,0)+1),MATCH(E$1,[2]quests!$1:$1,0)-MATCH($B$1,[2]quests!$1:$1,0)+1,FALSE)</f>
        <v>Gスター襲来！</v>
      </c>
      <c r="F10" s="194" t="str">
        <f ca="1">VLOOKUP($D10,OFFSET([2]stages!$A$1,0,0,COUNTA([2]stages!$A:$A),MATCH(F$1,[2]stages!$2:$2,0)-MATCH($D$1,[2]stages!$2:$2,0)+1),MATCH(F$1,[2]stages!$2:$2,0)-MATCH($D$1,[2]stages!$2:$2,0)+1,FALSE)</f>
        <v>【ノーコンテニュー】Gスター襲来</v>
      </c>
      <c r="G10" s="95">
        <v>3</v>
      </c>
      <c r="H10" s="15" t="str">
        <f t="shared" si="5"/>
        <v>41008_3-3</v>
      </c>
      <c r="I10" s="195">
        <f ca="1">VLOOKUP($H10,OFFSET(floors!$A$1,0,0,COUNTA(floors!$A:$A),MATCH(I$1,floors!$1:$1,0)-MATCH($H$1,floors!$1:$1,0)+1),MATCH(I$1,floors!$1:$1,0)-MATCH($H$1,floors!$1:$1,0)+1,FALSE)</f>
        <v>60</v>
      </c>
      <c r="J10" s="195">
        <f ca="1">VLOOKUP($H10,OFFSET(floors!$A$1,0,0,COUNTA(floors!$A:$A),MATCH(J$1,floors!$1:$1,0)-MATCH($H$1,floors!$1:$1,0)+1),MATCH(J$1,floors!$1:$1,0)-MATCH($H$1,floors!$1:$1,0)+1,FALSE)</f>
        <v>60</v>
      </c>
      <c r="K10" s="36">
        <v>2</v>
      </c>
      <c r="L10" s="36">
        <v>3</v>
      </c>
      <c r="M10" s="96">
        <v>824</v>
      </c>
      <c r="N10" s="196" t="str">
        <f ca="1">VLOOKUP($M10,OFFSET([3]enemies!$A$1,0,0,COUNTA([3]enemies!$A:$A),MATCH(N$1,[3]enemies!$1:$1,0)-MATCH($M$1,[3]enemies!$1:$1,0)+1),MATCH(N$1,[3]enemies!$1:$1,0)-MATCH($M$1,[3]enemies!$1:$1,0)+1,FALSE)</f>
        <v>悪意の団塊  Gスター・チルドレン</v>
      </c>
      <c r="O10" s="196" t="str">
        <f ca="1">VLOOKUP($M10,OFFSET([3]enemies!$A$1,0,0,COUNTA([3]enemies!$A:$A),MATCH(O$1,[3]enemies!$1:$1,0)-MATCH($M$1,[3]enemies!$1:$1,0)+1),MATCH(O$1,[3]enemies!$1:$1,0)-MATCH($M$1,[3]enemies!$1:$1,0)+1,FALSE)</f>
        <v>yellow</v>
      </c>
      <c r="P10" s="196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96" t="str">
        <f ca="1">VLOOKUP($M10,OFFSET([3]enemies!$A$1,0,0,COUNTA([3]enemies!$A:$A),MATCH(Q$1,[3]enemies!$1:$1,0)-MATCH($M$1,[3]enemies!$1:$1,0)+1),MATCH(Q$1,[3]enemies!$1:$1,0)-MATCH($M$1,[3]enemies!$1:$1,0)+1,FALSE)</f>
        <v>unknown</v>
      </c>
      <c r="R10" s="196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60</v>
      </c>
      <c r="T10" s="23">
        <v>9</v>
      </c>
      <c r="U10" s="23">
        <v>0.9</v>
      </c>
      <c r="V10" s="5">
        <v>0</v>
      </c>
      <c r="W10" s="194" t="e">
        <v>#N/A</v>
      </c>
      <c r="X10" s="197">
        <v>41008018</v>
      </c>
      <c r="Y10" s="198">
        <v>1</v>
      </c>
    </row>
    <row r="11" spans="1:25" s="153" customFormat="1" ht="21" customHeight="1" x14ac:dyDescent="0.15">
      <c r="A11" s="199"/>
      <c r="D11" s="200"/>
      <c r="M11" s="201"/>
    </row>
  </sheetData>
  <sheetProtection selectLockedCells="1" selectUnlockedCells="1"/>
  <autoFilter ref="B1:Y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3"/>
  <sheetViews>
    <sheetView showGridLines="0" zoomScale="90" zoomScaleNormal="90" zoomScalePageLayoutView="90" workbookViewId="0">
      <pane xSplit="5" ySplit="1" topLeftCell="F66" activePane="bottomRight" state="frozen"/>
      <selection pane="topRight"/>
      <selection pane="bottomLeft"/>
      <selection pane="bottomRight" activeCell="K84" sqref="K84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41008001_41008001</v>
      </c>
      <c r="B2" s="155">
        <v>41008001</v>
      </c>
      <c r="C2" s="155">
        <v>41008001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うぅ…痛いですぅ…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ケルベロスが転んでいる</v>
      </c>
      <c r="F2" s="155">
        <v>41008000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4" si="1">B3&amp;"_"&amp;C3</f>
        <v>41008001_41008002</v>
      </c>
      <c r="B3" s="155">
        <v>41008001</v>
      </c>
      <c r="C3" s="155">
        <v>41008002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ここはどこですぅ…？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どうやら迷子になってしまったようだ</v>
      </c>
      <c r="F3" s="155">
        <v>41008001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1"/>
        <v>41008001_41008003</v>
      </c>
      <c r="B4" s="155">
        <v>41008001</v>
      </c>
      <c r="C4" s="155">
        <v>41008003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みんなを探さなくちゃ…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この戦闘の間攻撃頻度が1ターンにUP</v>
      </c>
      <c r="F4" s="155">
        <v>41008002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ref="A5:A12" si="2">B5&amp;"_"&amp;C5</f>
        <v>41008001_41008004</v>
      </c>
      <c r="B5" s="155">
        <v>41008001</v>
      </c>
      <c r="C5" s="155">
        <v>41008004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がるるるるぅ…！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5" s="155">
        <v>41008003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" s="45"/>
      <c r="Q5" s="45"/>
      <c r="R5" s="45"/>
    </row>
    <row r="6" spans="1:18" ht="21" customHeight="1" x14ac:dyDescent="0.15">
      <c r="A6" s="37" t="str">
        <f t="shared" si="2"/>
        <v>41008001_41008005</v>
      </c>
      <c r="B6" s="155">
        <v>41008001</v>
      </c>
      <c r="C6" s="155">
        <v>41008005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そこをどくですぅ！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1ターン全体スキルバインド＋全体攻撃</v>
      </c>
      <c r="F6" s="155">
        <v>41008004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6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5"/>
      <c r="Q6" s="45"/>
      <c r="R6" s="45"/>
    </row>
    <row r="7" spans="1:18" ht="21" customHeight="1" x14ac:dyDescent="0.15">
      <c r="A7" s="37" t="str">
        <f t="shared" si="2"/>
        <v>41008001_41008006</v>
      </c>
      <c r="B7" s="155">
        <v>41008001</v>
      </c>
      <c r="C7" s="155">
        <v>41008006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まとめて増強ですぅ！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4ターン攻撃力＆防御力UP</v>
      </c>
      <c r="F7" s="155">
        <v>41008005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38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2"/>
        <v>41008001_41008007</v>
      </c>
      <c r="B8" s="155">
        <v>41008001</v>
      </c>
      <c r="C8" s="155">
        <v>41008007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なんだか苦しいですぅ…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嫌な予感がする</v>
      </c>
      <c r="F8" s="155">
        <v>41008006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2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2"/>
        <v>41008001_41008008</v>
      </c>
      <c r="B9" s="155">
        <v>41008001</v>
      </c>
      <c r="C9" s="155">
        <v>41008008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はやりやまい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10ターン強力なウィルス</v>
      </c>
      <c r="F9" s="155">
        <v>41008007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2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2"/>
        <v>41008002_41008009</v>
      </c>
      <c r="B10" s="155">
        <v>41008002</v>
      </c>
      <c r="C10" s="155">
        <v>41008009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転がりタックル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155">
        <v>41008043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2"/>
        <v>41008002_41008010</v>
      </c>
      <c r="B11" s="155">
        <v>41008002</v>
      </c>
      <c r="C11" s="155">
        <v>41008010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リー！リー！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5ターン攻撃力50%DOWN</v>
      </c>
      <c r="F11" s="155">
        <v>41008008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2"/>
        <v>41008002_41008011</v>
      </c>
      <c r="B12" s="155">
        <v>41008002</v>
      </c>
      <c r="C12" s="155">
        <v>41008011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リ…リリリリッ…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ジェリーは怖気付いて逃げ出した</v>
      </c>
      <c r="F12" s="155">
        <v>41008009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179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ref="A13" si="3">B13&amp;"_"&amp;C13</f>
        <v>41008003_41008009</v>
      </c>
      <c r="B13" s="155">
        <v>41008003</v>
      </c>
      <c r="C13" s="155">
        <v>41008009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転がりタックル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3" s="155">
        <v>41008043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ref="A14:A63" si="4">B14&amp;"_"&amp;C14</f>
        <v>41008003_41008012</v>
      </c>
      <c r="B14" s="155">
        <v>41008003</v>
      </c>
      <c r="C14" s="155">
        <v>41008012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リッ！リッ！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5ターン回復力50%DOWN</v>
      </c>
      <c r="F14" s="155">
        <v>41008010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6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4"/>
        <v>41008003_41008013</v>
      </c>
      <c r="B15" s="155">
        <v>41008003</v>
      </c>
      <c r="C15" s="155">
        <v>41008013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リ…リリリリッ…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ジェリーは怖気付いて逃げ出した</v>
      </c>
      <c r="F15" s="155">
        <v>41008011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179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4"/>
        <v>41008004_41008014</v>
      </c>
      <c r="B16" s="155">
        <v>41008004</v>
      </c>
      <c r="C16" s="155">
        <v>41008014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…何しにきたの？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この先は危ないよ？</v>
      </c>
      <c r="F16" s="155">
        <v>41008012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4"/>
        <v>41008004_41008015</v>
      </c>
      <c r="B17" s="155">
        <v>41008004</v>
      </c>
      <c r="C17" s="155">
        <v>41008015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ストームブレード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属性変化＋2回連続攻撃</v>
      </c>
      <c r="F17" s="155">
        <v>41008013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7" s="45"/>
      <c r="Q17" s="45"/>
      <c r="R17" s="45"/>
    </row>
    <row r="18" spans="1:18" ht="21" customHeight="1" x14ac:dyDescent="0.15">
      <c r="A18" s="37" t="str">
        <f t="shared" si="4"/>
        <v>41008004_41008016</v>
      </c>
      <c r="B18" s="155">
        <v>41008004</v>
      </c>
      <c r="C18" s="155">
        <v>41008016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アクアブレード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属性変化＋2回連続攻撃</v>
      </c>
      <c r="F18" s="155">
        <v>41008042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8" s="45"/>
      <c r="Q18" s="45"/>
      <c r="R18" s="45"/>
    </row>
    <row r="19" spans="1:18" ht="21" customHeight="1" x14ac:dyDescent="0.15">
      <c r="A19" s="37" t="str">
        <f t="shared" si="4"/>
        <v>41008004_41008017</v>
      </c>
      <c r="B19" s="155">
        <v>41008004</v>
      </c>
      <c r="C19" s="155">
        <v>41008017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ウィンドライズ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3ターン緑パネル吸収攻撃力UP（最大8個）</v>
      </c>
      <c r="F19" s="155">
        <v>41008014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4"/>
        <v>41008004_41008018</v>
      </c>
      <c r="B20" s="155">
        <v>41008004</v>
      </c>
      <c r="C20" s="155">
        <v>41008018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引き返してほしいな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あの子たちに見つかる前に…</v>
      </c>
      <c r="F20" s="155">
        <v>41008015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4"/>
        <v>41008004_41008019</v>
      </c>
      <c r="B21" s="155">
        <v>41008004</v>
      </c>
      <c r="C21" s="155">
        <v>41008019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フェアリーブラスト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21" s="155">
        <v>41008016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1" s="4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4"/>
        <v>41008005_41008020</v>
      </c>
      <c r="B22" s="155">
        <v>41008005</v>
      </c>
      <c r="C22" s="155">
        <v>41008020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どうしても行くのなら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見せてよ　キミの覚悟を！</v>
      </c>
      <c r="F22" s="155">
        <v>41008017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4"/>
        <v>41008005_41008021</v>
      </c>
      <c r="B23" s="155">
        <v>41008005</v>
      </c>
      <c r="C23" s="155">
        <v>41008021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これじゃダメ…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あの子たちを救うには…足りないよ…</v>
      </c>
      <c r="F23" s="155">
        <v>41008018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si="4"/>
        <v>41008005_41008022</v>
      </c>
      <c r="B24" s="155">
        <v>41008005</v>
      </c>
      <c r="C24" s="155">
        <v>41008022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うん…いい感じだね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キミ達なら　もしかしたら…</v>
      </c>
      <c r="F24" s="155">
        <v>41008019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4" s="46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si="4"/>
        <v>41008005_41008023</v>
      </c>
      <c r="B25" s="155">
        <v>41008005</v>
      </c>
      <c r="C25" s="155">
        <v>41008023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キミの気持ち伝わったよ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私も力を貸してあげる…がんばって…</v>
      </c>
      <c r="F25" s="155">
        <v>41008020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si="4"/>
        <v>41008006_41008024</v>
      </c>
      <c r="B26" s="155">
        <v>41008006</v>
      </c>
      <c r="C26" s="155">
        <v>41008024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新しいオモチャだ！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【！】15ターン後に即死攻撃発動【！】</v>
      </c>
      <c r="F26" s="155">
        <v>41008021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si="4"/>
        <v>41008006_41008025</v>
      </c>
      <c r="B27" s="155">
        <v>41008006</v>
      </c>
      <c r="C27" s="155">
        <v>41008025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今日からお友達だよ！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2ターン緑属性エネミーの攻撃頻度UP</v>
      </c>
      <c r="F27" s="155">
        <v>41008023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6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>B28&amp;"_"&amp;C28</f>
        <v>41008006_41008026</v>
      </c>
      <c r="B28" s="155">
        <v>41008006</v>
      </c>
      <c r="C28" s="155">
        <v>41008026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一緒に遊んでね！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1ターン青属性エネミーの攻撃力大UP</v>
      </c>
      <c r="F28" s="155">
        <v>41008022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6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x14ac:dyDescent="0.15">
      <c r="A29" s="37" t="str">
        <f t="shared" si="4"/>
        <v>41008006_41008027</v>
      </c>
      <c r="B29" s="155">
        <v>41008006</v>
      </c>
      <c r="C29" s="155">
        <v>41008027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1ターン全体スリープ_x000D_【！】残り12ターン【！】</v>
      </c>
      <c r="F29" s="155">
        <v>41008024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x14ac:dyDescent="0.15">
      <c r="A30" s="37" t="str">
        <f t="shared" si="4"/>
        <v>41008006_41008028</v>
      </c>
      <c r="B30" s="155">
        <v>41008006</v>
      </c>
      <c r="C30" s="155">
        <v>41008028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1ターン全体スリープ_x000D_【！】残り9ターン【！】</v>
      </c>
      <c r="F30" s="155">
        <v>41008044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38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6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ht="21" customHeight="1" x14ac:dyDescent="0.15">
      <c r="A31" s="37" t="str">
        <f t="shared" si="4"/>
        <v>41008006_41008029</v>
      </c>
      <c r="B31" s="155">
        <v>41008006</v>
      </c>
      <c r="C31" s="155">
        <v>41008029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1ターン全体スリープ_x000D_【！】残り6ターン【！】</v>
      </c>
      <c r="F31" s="155">
        <v>41008045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37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6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ht="21" customHeight="1" x14ac:dyDescent="0.15">
      <c r="A32" s="37" t="str">
        <f t="shared" si="4"/>
        <v>41008006_41008030</v>
      </c>
      <c r="B32" s="155">
        <v>41008006</v>
      </c>
      <c r="C32" s="155">
        <v>41008030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1ターン全体スリープ_x000D_【！】残り3ターン【！】</v>
      </c>
      <c r="F32" s="155">
        <v>41008046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36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6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ht="21" customHeight="1" x14ac:dyDescent="0.15">
      <c r="A33" s="37" t="str">
        <f t="shared" si="4"/>
        <v>41008006_41008031</v>
      </c>
      <c r="B33" s="155">
        <v>41008006</v>
      </c>
      <c r="C33" s="155">
        <v>41008031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…飽きた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全てのプラス効果を解除＋即死級攻撃</v>
      </c>
      <c r="F33" s="155">
        <v>41008025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6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15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5"/>
      <c r="Q33" s="45"/>
      <c r="R33" s="45"/>
    </row>
    <row r="34" spans="1:18" ht="21" customHeight="1" x14ac:dyDescent="0.15">
      <c r="A34" s="37" t="str">
        <f>B34&amp;"_"&amp;C34</f>
        <v>41008006_41008034</v>
      </c>
      <c r="B34" s="155">
        <v>41008006</v>
      </c>
      <c r="C34" s="155">
        <v>41008034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緑の断末魔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黄属性のユニットに5ターンスキルバインド</v>
      </c>
      <c r="F34" s="155">
        <v>41008047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4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ht="21" customHeight="1" x14ac:dyDescent="0.15">
      <c r="A35" s="37" t="str">
        <f>B35&amp;"_"&amp;C35</f>
        <v>41008006_41008037</v>
      </c>
      <c r="B35" s="155">
        <v>41008006</v>
      </c>
      <c r="C35" s="155">
        <v>41008037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青の断末魔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赤属性のユニットに5ターンスキルバインド</v>
      </c>
      <c r="F35" s="155">
        <v>41008048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6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6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5"/>
      <c r="Q35" s="45"/>
      <c r="R35" s="45"/>
    </row>
    <row r="36" spans="1:18" ht="21" customHeight="1" x14ac:dyDescent="0.15">
      <c r="A36" s="37" t="str">
        <f t="shared" si="4"/>
        <v>41008007_41008032</v>
      </c>
      <c r="B36" s="155">
        <v>41008007</v>
      </c>
      <c r="C36" s="155">
        <v>41008032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ムニャムニャ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呪文のような言葉を唱えている</v>
      </c>
      <c r="F36" s="155">
        <v>41008026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5"/>
      <c r="Q36" s="45"/>
      <c r="R36" s="45"/>
    </row>
    <row r="37" spans="1:18" ht="21" customHeight="1" x14ac:dyDescent="0.15">
      <c r="A37" s="37" t="str">
        <f t="shared" si="4"/>
        <v>41008007_41008033</v>
      </c>
      <c r="B37" s="155">
        <v>41008007</v>
      </c>
      <c r="C37" s="155">
        <v>41008033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ディスペル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37" s="155">
        <v>41008027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6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ht="21" customHeight="1" x14ac:dyDescent="0.15">
      <c r="A38" s="37" t="str">
        <f t="shared" si="4"/>
        <v>41008008_41008035</v>
      </c>
      <c r="B38" s="155">
        <v>41008008</v>
      </c>
      <c r="C38" s="155">
        <v>41008035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れんぞくかみつき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8" s="155">
        <v>41008028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8" s="45"/>
      <c r="Q38" s="45"/>
      <c r="R38" s="45"/>
    </row>
    <row r="39" spans="1:18" ht="21" customHeight="1" x14ac:dyDescent="0.15">
      <c r="A39" s="37" t="str">
        <f t="shared" si="4"/>
        <v>41008008_41008036</v>
      </c>
      <c r="B39" s="155">
        <v>41008008</v>
      </c>
      <c r="C39" s="155">
        <v>41008036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噛み砕き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攻撃力*1.5倍の攻撃</v>
      </c>
      <c r="F39" s="155">
        <v>41008029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9" s="46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9" s="46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9" s="45"/>
      <c r="Q39" s="45"/>
      <c r="R39" s="45"/>
    </row>
    <row r="40" spans="1:18" ht="21" customHeight="1" x14ac:dyDescent="0.15">
      <c r="A40" s="37" t="str">
        <f t="shared" si="4"/>
        <v>41008009_41008038</v>
      </c>
      <c r="B40" s="155">
        <v>41008009</v>
      </c>
      <c r="C40" s="155">
        <v>41008038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古いオモチャはもういいやー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周囲のエネミーが全滅する</v>
      </c>
      <c r="F40" s="155">
        <v>41008030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ht="21" customHeight="1" x14ac:dyDescent="0.15">
      <c r="A41" s="37" t="str">
        <f t="shared" si="4"/>
        <v>41008009_41008039</v>
      </c>
      <c r="B41" s="155">
        <v>41008009</v>
      </c>
      <c r="C41" s="155">
        <v>41008039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もっと遊ぼうよ！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フィーバーゲージ減少＋攻撃</v>
      </c>
      <c r="F41" s="155">
        <v>41008031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5"/>
      <c r="Q41" s="45"/>
      <c r="R41" s="45"/>
    </row>
    <row r="42" spans="1:18" ht="21" customHeight="1" x14ac:dyDescent="0.15">
      <c r="A42" s="37" t="str">
        <f t="shared" si="4"/>
        <v>41008009_41008040</v>
      </c>
      <c r="B42" s="155">
        <v>41008009</v>
      </c>
      <c r="C42" s="155">
        <v>41008040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くらえ必殺！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10回連続攻撃</v>
      </c>
      <c r="F42" s="155">
        <v>41008032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2" s="4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  <row r="43" spans="1:18" ht="21" customHeight="1" x14ac:dyDescent="0.15">
      <c r="A43" s="37" t="str">
        <f t="shared" si="4"/>
        <v>41008009_41008041</v>
      </c>
      <c r="B43" s="155">
        <v>41008009</v>
      </c>
      <c r="C43" s="155">
        <v>41008041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じたばたしないでー！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5ターン攻撃力＆回復力100%DOWN</v>
      </c>
      <c r="F43" s="155">
        <v>41008033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6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6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5"/>
      <c r="Q43" s="45"/>
      <c r="R43" s="45"/>
    </row>
    <row r="44" spans="1:18" ht="21" customHeight="1" x14ac:dyDescent="0.15">
      <c r="A44" s="37" t="str">
        <f t="shared" si="4"/>
        <v>41008009_41008042</v>
      </c>
      <c r="B44" s="155">
        <v>41008009</v>
      </c>
      <c r="C44" s="155">
        <v>41008042</v>
      </c>
      <c r="D44" s="4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言うこと聞けよぉ！</v>
      </c>
      <c r="E44" s="4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ボムパネル吸収攻撃（最大6個）＋攻撃頻度UP</v>
      </c>
      <c r="F44" s="155">
        <v>41008034</v>
      </c>
      <c r="G44" s="4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6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4" s="4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6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5"/>
      <c r="Q44" s="45"/>
      <c r="R44" s="45"/>
    </row>
    <row r="45" spans="1:18" ht="21" customHeight="1" x14ac:dyDescent="0.15">
      <c r="A45" s="37" t="str">
        <f t="shared" si="4"/>
        <v>41008009_41008043</v>
      </c>
      <c r="B45" s="155">
        <v>41008009</v>
      </c>
      <c r="C45" s="155">
        <v>41008043</v>
      </c>
      <c r="D45" s="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残骸の怨念</v>
      </c>
      <c r="E45" s="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全てのユニットに8ターンスキルバインド</v>
      </c>
      <c r="F45" s="155">
        <v>41008035</v>
      </c>
      <c r="G45" s="4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5" s="4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6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6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4</v>
      </c>
      <c r="O45" s="4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5"/>
      <c r="Q45" s="45"/>
      <c r="R45" s="45"/>
    </row>
    <row r="46" spans="1:18" ht="21" customHeight="1" x14ac:dyDescent="0.15">
      <c r="A46" s="37" t="str">
        <f t="shared" si="4"/>
        <v>41008009_41008044</v>
      </c>
      <c r="B46" s="155">
        <v>41008009</v>
      </c>
      <c r="C46" s="155">
        <v>41008044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残骸の思慕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10ターン攻撃力大UP</v>
      </c>
      <c r="F46" s="155">
        <v>41008036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6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6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6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6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5"/>
      <c r="Q46" s="45"/>
      <c r="R46" s="45"/>
    </row>
    <row r="47" spans="1:18" ht="21" customHeight="1" x14ac:dyDescent="0.15">
      <c r="A47" s="37" t="str">
        <f t="shared" si="4"/>
        <v>41008010_41008045</v>
      </c>
      <c r="B47" s="155">
        <v>41008010</v>
      </c>
      <c r="C47" s="155">
        <v>41008045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私達も入れてー！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他の子供たちが現れ　パネルを封印した！</v>
      </c>
      <c r="F47" s="155">
        <v>41008037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6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5"/>
      <c r="Q47" s="45"/>
      <c r="R47" s="45"/>
    </row>
    <row r="48" spans="1:18" ht="21" customHeight="1" x14ac:dyDescent="0.15">
      <c r="A48" s="37" t="str">
        <f t="shared" si="4"/>
        <v>41008010_41008046</v>
      </c>
      <c r="B48" s="155">
        <v>41008010</v>
      </c>
      <c r="C48" s="155">
        <v>41008046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オモチャ返してよー！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HPを10%消費して全体攻撃</v>
      </c>
      <c r="F48" s="155">
        <v>41008038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6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6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6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5"/>
      <c r="Q48" s="45"/>
      <c r="R48" s="45"/>
    </row>
    <row r="49" spans="1:18" ht="21" customHeight="1" x14ac:dyDescent="0.15">
      <c r="A49" s="37" t="str">
        <f t="shared" si="4"/>
        <v>41008010_41008047</v>
      </c>
      <c r="B49" s="155">
        <v>41008010</v>
      </c>
      <c r="C49" s="155">
        <v>41008047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散らかしちゃダメー！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ボムパネル吸収攻撃（最大6個）</v>
      </c>
      <c r="F49" s="155">
        <v>41008039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6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9" s="4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5"/>
      <c r="Q49" s="45"/>
      <c r="R49" s="45"/>
    </row>
    <row r="50" spans="1:18" ht="21" customHeight="1" x14ac:dyDescent="0.15">
      <c r="A50" s="37" t="str">
        <f t="shared" si="4"/>
        <v>41008010_41008048</v>
      </c>
      <c r="B50" s="155">
        <v>41008010</v>
      </c>
      <c r="C50" s="155">
        <v>41008048</v>
      </c>
      <c r="D50" s="4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あたま…いたい…</v>
      </c>
      <c r="E50" s="4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次のターン超強力な一撃</v>
      </c>
      <c r="F50" s="155">
        <v>41008040</v>
      </c>
      <c r="G50" s="4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6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0" s="4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6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0" s="4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6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6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6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5"/>
      <c r="Q50" s="45"/>
      <c r="R50" s="45"/>
    </row>
    <row r="51" spans="1:18" s="157" customFormat="1" ht="21" customHeight="1" thickBot="1" x14ac:dyDescent="0.2">
      <c r="A51" s="129" t="str">
        <f t="shared" si="4"/>
        <v>41008010_41008049</v>
      </c>
      <c r="B51" s="156">
        <v>41008010</v>
      </c>
      <c r="C51" s="156">
        <v>41008049</v>
      </c>
      <c r="D51" s="131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純粋悪意の放出</v>
      </c>
      <c r="E51" s="131" t="str">
        <f ca="1">VLOOKUP($C51,OFFSET(enemy_skills!$A$1,0,0,COUNTA(enemy_skills!$A:$A),MATCH(E$1,enemy_skills!$1:$1,0)-MATCH("enemy_skill_id",enemy_skills!$1:$1,0)+1),MATCH(E$1,enemy_skills!$1:$1,0)-MATCH("enemy_skill_id",enemy_skills!$1:$1,0)+1,FALSE)</f>
        <v>HPを90%消費して超強力な一撃！</v>
      </c>
      <c r="F51" s="156">
        <v>41008041</v>
      </c>
      <c r="G51" s="132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132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51" s="132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32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1" s="132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32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132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132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132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130"/>
      <c r="Q51" s="130"/>
      <c r="R51" s="130"/>
    </row>
    <row r="52" spans="1:18" s="157" customFormat="1" ht="21" customHeight="1" x14ac:dyDescent="0.15">
      <c r="A52" s="133" t="str">
        <f t="shared" si="4"/>
        <v>41008011_41008001</v>
      </c>
      <c r="B52" s="159">
        <v>41008011</v>
      </c>
      <c r="C52" s="159">
        <v>41008001</v>
      </c>
      <c r="D52" s="160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うぅ…痛いですぅ…</v>
      </c>
      <c r="E52" s="160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ケルベロスが転んでいる</v>
      </c>
      <c r="F52" s="159">
        <v>41008000</v>
      </c>
      <c r="G52" s="161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161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2" s="161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61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161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61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161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161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161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159"/>
      <c r="Q52" s="159"/>
      <c r="R52" s="159"/>
    </row>
    <row r="53" spans="1:18" ht="21" customHeight="1" x14ac:dyDescent="0.15">
      <c r="A53" s="37" t="str">
        <f t="shared" si="4"/>
        <v>41008011_41008002</v>
      </c>
      <c r="B53" s="45">
        <v>41008011</v>
      </c>
      <c r="C53" s="45">
        <v>41008002</v>
      </c>
      <c r="D53" s="4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ここはどこですぅ…？</v>
      </c>
      <c r="E53" s="4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どうやら迷子になってしまったようだ</v>
      </c>
      <c r="F53" s="45">
        <v>41008001</v>
      </c>
      <c r="G53" s="4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6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3" s="4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6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6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6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6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5"/>
      <c r="Q53" s="45"/>
      <c r="R53" s="45"/>
    </row>
    <row r="54" spans="1:18" ht="21" customHeight="1" x14ac:dyDescent="0.15">
      <c r="A54" s="37" t="str">
        <f t="shared" si="4"/>
        <v>41008011_41008003</v>
      </c>
      <c r="B54" s="45">
        <v>41008011</v>
      </c>
      <c r="C54" s="45">
        <v>41008003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みんなを探さなくちゃ…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この戦闘の間攻撃頻度が1ターンにUP</v>
      </c>
      <c r="F54" s="45">
        <v>41008002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6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6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6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5"/>
      <c r="Q54" s="45"/>
      <c r="R54" s="45"/>
    </row>
    <row r="55" spans="1:18" ht="21" customHeight="1" x14ac:dyDescent="0.15">
      <c r="A55" s="37" t="str">
        <f t="shared" si="4"/>
        <v>41008011_41008004</v>
      </c>
      <c r="B55" s="45">
        <v>41008011</v>
      </c>
      <c r="C55" s="45">
        <v>41008004</v>
      </c>
      <c r="D55" s="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がるるるるぅ…！</v>
      </c>
      <c r="E55" s="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55" s="45">
        <v>41008003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5" s="4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6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6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5" s="45"/>
      <c r="Q55" s="45"/>
      <c r="R55" s="45"/>
    </row>
    <row r="56" spans="1:18" ht="21" customHeight="1" x14ac:dyDescent="0.15">
      <c r="A56" s="37" t="str">
        <f t="shared" si="4"/>
        <v>41008011_41008005</v>
      </c>
      <c r="B56" s="45">
        <v>41008011</v>
      </c>
      <c r="C56" s="45">
        <v>41008005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そこをどくですぅ！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1ターン全体スキルバインド＋全体攻撃</v>
      </c>
      <c r="F56" s="45">
        <v>41008004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6" s="46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56" s="4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6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6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6" s="46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6" s="45"/>
      <c r="Q56" s="45"/>
      <c r="R56" s="45"/>
    </row>
    <row r="57" spans="1:18" ht="21" customHeight="1" x14ac:dyDescent="0.15">
      <c r="A57" s="37" t="str">
        <f t="shared" si="4"/>
        <v>41008011_41008006</v>
      </c>
      <c r="B57" s="45">
        <v>41008011</v>
      </c>
      <c r="C57" s="45">
        <v>41008006</v>
      </c>
      <c r="D57" s="4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まとめて増強ですぅ！</v>
      </c>
      <c r="E57" s="4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4ターン攻撃力＆防御力UP</v>
      </c>
      <c r="F57" s="45">
        <v>41008005</v>
      </c>
      <c r="G57" s="4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38</v>
      </c>
      <c r="I57" s="4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6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7" s="4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6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6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6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5"/>
      <c r="Q57" s="45"/>
      <c r="R57" s="45"/>
    </row>
    <row r="58" spans="1:18" ht="21" customHeight="1" x14ac:dyDescent="0.15">
      <c r="A58" s="37" t="str">
        <f t="shared" si="4"/>
        <v>41008011_41008007</v>
      </c>
      <c r="B58" s="45">
        <v>41008011</v>
      </c>
      <c r="C58" s="45">
        <v>41008007</v>
      </c>
      <c r="D58" s="4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なんだか苦しいですぅ…</v>
      </c>
      <c r="E58" s="4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嫌な予感がする</v>
      </c>
      <c r="F58" s="45">
        <v>41008006</v>
      </c>
      <c r="G58" s="4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8" s="4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6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6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6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2</v>
      </c>
      <c r="O58" s="4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5"/>
      <c r="Q58" s="45"/>
      <c r="R58" s="45"/>
    </row>
    <row r="59" spans="1:18" ht="21" customHeight="1" x14ac:dyDescent="0.15">
      <c r="A59" s="37" t="str">
        <f t="shared" si="4"/>
        <v>41008011_41008008</v>
      </c>
      <c r="B59" s="45">
        <v>41008011</v>
      </c>
      <c r="C59" s="45">
        <v>41008008</v>
      </c>
      <c r="D59" s="4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はやりやまい</v>
      </c>
      <c r="E59" s="4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10ターン強力なウィルス</v>
      </c>
      <c r="F59" s="45">
        <v>41008007</v>
      </c>
      <c r="G59" s="4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9" s="4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6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6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6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6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2</v>
      </c>
      <c r="O59" s="4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5"/>
      <c r="Q59" s="45"/>
      <c r="R59" s="45"/>
    </row>
    <row r="60" spans="1:18" ht="21" customHeight="1" x14ac:dyDescent="0.15">
      <c r="A60" s="37" t="str">
        <f t="shared" si="4"/>
        <v>41008012_41008009</v>
      </c>
      <c r="B60" s="45">
        <v>41008012</v>
      </c>
      <c r="C60" s="45">
        <v>41008009</v>
      </c>
      <c r="D60" s="4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転がりタックル</v>
      </c>
      <c r="E60" s="4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0" s="45">
        <v>41008043</v>
      </c>
      <c r="G60" s="4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6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0" s="4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60" s="46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6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6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6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5"/>
      <c r="Q60" s="45"/>
      <c r="R60" s="45"/>
    </row>
    <row r="61" spans="1:18" ht="21" customHeight="1" x14ac:dyDescent="0.15">
      <c r="A61" s="37" t="str">
        <f t="shared" si="4"/>
        <v>41008012_41008010</v>
      </c>
      <c r="B61" s="45">
        <v>41008012</v>
      </c>
      <c r="C61" s="45">
        <v>41008010</v>
      </c>
      <c r="D61" s="44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リー！リー！</v>
      </c>
      <c r="E61" s="44" t="str">
        <f ca="1">VLOOKUP($C61,OFFSET(enemy_skills!$A$1,0,0,COUNTA(enemy_skills!$A:$A),MATCH(E$1,enemy_skills!$1:$1,0)-MATCH("enemy_skill_id",enemy_skills!$1:$1,0)+1),MATCH(E$1,enemy_skills!$1:$1,0)-MATCH("enemy_skill_id",enemy_skills!$1:$1,0)+1,FALSE)</f>
        <v>5ターン攻撃力50%DOWN</v>
      </c>
      <c r="F61" s="45">
        <v>41008008</v>
      </c>
      <c r="G61" s="46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6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1" s="46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6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6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6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6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1" s="46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6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5"/>
      <c r="Q61" s="45"/>
      <c r="R61" s="45"/>
    </row>
    <row r="62" spans="1:18" ht="21" customHeight="1" x14ac:dyDescent="0.15">
      <c r="A62" s="37" t="str">
        <f t="shared" si="4"/>
        <v>41008012_41008011</v>
      </c>
      <c r="B62" s="45">
        <v>41008012</v>
      </c>
      <c r="C62" s="45">
        <v>41008011</v>
      </c>
      <c r="D62" s="4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リ…リリリリッ…</v>
      </c>
      <c r="E62" s="4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ジェリーは怖気付いて逃げ出した</v>
      </c>
      <c r="F62" s="45">
        <v>41008009</v>
      </c>
      <c r="G62" s="4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6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2" s="4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6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6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6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6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179</v>
      </c>
      <c r="O62" s="4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5"/>
      <c r="Q62" s="45"/>
      <c r="R62" s="45"/>
    </row>
    <row r="63" spans="1:18" ht="21" customHeight="1" x14ac:dyDescent="0.15">
      <c r="A63" s="37" t="str">
        <f t="shared" si="4"/>
        <v>41008013_41008009</v>
      </c>
      <c r="B63" s="45">
        <v>41008013</v>
      </c>
      <c r="C63" s="45">
        <v>41008009</v>
      </c>
      <c r="D63" s="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転がりタックル</v>
      </c>
      <c r="E63" s="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3" s="45">
        <v>41008043</v>
      </c>
      <c r="G63" s="4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6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3" s="4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63" s="46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6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6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6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5"/>
      <c r="Q63" s="45"/>
      <c r="R63" s="45"/>
    </row>
    <row r="64" spans="1:18" ht="21" customHeight="1" x14ac:dyDescent="0.15">
      <c r="A64" s="37" t="str">
        <f t="shared" ref="A64:A80" si="5">B64&amp;"_"&amp;C64</f>
        <v>41008013_41008012</v>
      </c>
      <c r="B64" s="45">
        <v>41008013</v>
      </c>
      <c r="C64" s="45">
        <v>41008012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リッ！リッ！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5ターン回復力50%DOWN</v>
      </c>
      <c r="F64" s="45">
        <v>41008010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6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6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4" s="46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  <row r="65" spans="1:18" ht="21" customHeight="1" x14ac:dyDescent="0.15">
      <c r="A65" s="37" t="str">
        <f t="shared" si="5"/>
        <v>41008013_41008013</v>
      </c>
      <c r="B65" s="45">
        <v>41008013</v>
      </c>
      <c r="C65" s="45">
        <v>41008013</v>
      </c>
      <c r="D65" s="4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リ…リリリリッ…</v>
      </c>
      <c r="E65" s="4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ジェリーは怖気付いて逃げ出した</v>
      </c>
      <c r="F65" s="45">
        <v>41008011</v>
      </c>
      <c r="G65" s="4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6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5" s="4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6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6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6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179</v>
      </c>
      <c r="O65" s="4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5"/>
      <c r="Q65" s="45"/>
      <c r="R65" s="45"/>
    </row>
    <row r="66" spans="1:18" ht="21" customHeight="1" x14ac:dyDescent="0.15">
      <c r="A66" s="37" t="str">
        <f t="shared" si="5"/>
        <v>41008014_41008014</v>
      </c>
      <c r="B66" s="45">
        <v>41008014</v>
      </c>
      <c r="C66" s="45">
        <v>41008014</v>
      </c>
      <c r="D66" s="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…何しにきたの？</v>
      </c>
      <c r="E66" s="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この先は危ないよ？</v>
      </c>
      <c r="F66" s="45">
        <v>41008012</v>
      </c>
      <c r="G66" s="4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6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6" s="4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6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6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6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5"/>
      <c r="Q66" s="45"/>
      <c r="R66" s="45"/>
    </row>
    <row r="67" spans="1:18" ht="21" customHeight="1" x14ac:dyDescent="0.15">
      <c r="A67" s="37" t="str">
        <f t="shared" si="5"/>
        <v>41008014_41008015</v>
      </c>
      <c r="B67" s="45">
        <v>41008014</v>
      </c>
      <c r="C67" s="45">
        <v>41008015</v>
      </c>
      <c r="D67" s="4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ストームブレード</v>
      </c>
      <c r="E67" s="4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属性変化＋2回連続攻撃</v>
      </c>
      <c r="F67" s="45">
        <v>41008013</v>
      </c>
      <c r="G67" s="4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6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7" s="4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7" s="46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6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6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6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7" s="45"/>
      <c r="Q67" s="45"/>
      <c r="R67" s="45"/>
    </row>
    <row r="68" spans="1:18" ht="21" customHeight="1" x14ac:dyDescent="0.15">
      <c r="A68" s="37" t="str">
        <f t="shared" si="5"/>
        <v>41008014_41008016</v>
      </c>
      <c r="B68" s="45">
        <v>41008014</v>
      </c>
      <c r="C68" s="45">
        <v>41008016</v>
      </c>
      <c r="D68" s="44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アクアブレード</v>
      </c>
      <c r="E68" s="44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属性変化＋2回連続攻撃</v>
      </c>
      <c r="F68" s="45">
        <v>41008042</v>
      </c>
      <c r="G68" s="46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6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68" s="46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68" s="46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6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6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6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6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6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68" s="45"/>
      <c r="Q68" s="45"/>
      <c r="R68" s="45"/>
    </row>
    <row r="69" spans="1:18" ht="21" customHeight="1" x14ac:dyDescent="0.15">
      <c r="A69" s="37" t="str">
        <f t="shared" si="5"/>
        <v>41008014_41008017</v>
      </c>
      <c r="B69" s="45">
        <v>41008014</v>
      </c>
      <c r="C69" s="45">
        <v>41008017</v>
      </c>
      <c r="D69" s="4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ウィンドライズ</v>
      </c>
      <c r="E69" s="4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3ターン緑パネル吸収攻撃力UP（最大8個）</v>
      </c>
      <c r="F69" s="45">
        <v>41008014</v>
      </c>
      <c r="G69" s="4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6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69" s="4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6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6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6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9" s="46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5"/>
      <c r="Q69" s="45"/>
      <c r="R69" s="45"/>
    </row>
    <row r="70" spans="1:18" ht="21" customHeight="1" x14ac:dyDescent="0.15">
      <c r="A70" s="37" t="str">
        <f t="shared" si="5"/>
        <v>41008014_41008018</v>
      </c>
      <c r="B70" s="45">
        <v>41008014</v>
      </c>
      <c r="C70" s="45">
        <v>41008018</v>
      </c>
      <c r="D70" s="4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引き返してほしいな</v>
      </c>
      <c r="E70" s="4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あの子たちに見つかる前に…</v>
      </c>
      <c r="F70" s="45">
        <v>41008015</v>
      </c>
      <c r="G70" s="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0" s="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6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0" s="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6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6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5"/>
      <c r="Q70" s="45"/>
      <c r="R70" s="45"/>
    </row>
    <row r="71" spans="1:18" ht="21" customHeight="1" x14ac:dyDescent="0.15">
      <c r="A71" s="37" t="str">
        <f t="shared" si="5"/>
        <v>41008014_41008019</v>
      </c>
      <c r="B71" s="45">
        <v>41008014</v>
      </c>
      <c r="C71" s="45">
        <v>41008019</v>
      </c>
      <c r="D71" s="4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フェアリーブラスト</v>
      </c>
      <c r="E71" s="4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71" s="45">
        <v>41008016</v>
      </c>
      <c r="G71" s="46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6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71" s="46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6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1" s="46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6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71" s="46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6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6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5"/>
      <c r="Q71" s="45"/>
      <c r="R71" s="45"/>
    </row>
    <row r="72" spans="1:18" ht="21" customHeight="1" x14ac:dyDescent="0.15">
      <c r="A72" s="37" t="str">
        <f t="shared" si="5"/>
        <v>41008015_41008020</v>
      </c>
      <c r="B72" s="45">
        <v>41008015</v>
      </c>
      <c r="C72" s="45">
        <v>41008020</v>
      </c>
      <c r="D72" s="4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どうしても行くのなら</v>
      </c>
      <c r="E72" s="4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見せてよ　キミの覚悟を！</v>
      </c>
      <c r="F72" s="45">
        <v>41008017</v>
      </c>
      <c r="G72" s="46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6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2" s="46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6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6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6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6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6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6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5"/>
      <c r="Q72" s="45"/>
      <c r="R72" s="45"/>
    </row>
    <row r="73" spans="1:18" ht="21" customHeight="1" x14ac:dyDescent="0.15">
      <c r="A73" s="37" t="str">
        <f t="shared" si="5"/>
        <v>41008015_41008021</v>
      </c>
      <c r="B73" s="45">
        <v>41008015</v>
      </c>
      <c r="C73" s="45">
        <v>41008021</v>
      </c>
      <c r="D73" s="4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これじゃダメ…</v>
      </c>
      <c r="E73" s="4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あの子たちを救うには…足りないよ…</v>
      </c>
      <c r="F73" s="45">
        <v>41008018</v>
      </c>
      <c r="G73" s="4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6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3" s="4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6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6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73" s="46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6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6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5"/>
      <c r="Q73" s="45"/>
      <c r="R73" s="45"/>
    </row>
    <row r="74" spans="1:18" ht="21" customHeight="1" x14ac:dyDescent="0.15">
      <c r="A74" s="37" t="str">
        <f t="shared" si="5"/>
        <v>41008015_41008022</v>
      </c>
      <c r="B74" s="45">
        <v>41008015</v>
      </c>
      <c r="C74" s="45">
        <v>41008022</v>
      </c>
      <c r="D74" s="4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うん…いい感じだね</v>
      </c>
      <c r="E74" s="4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キミ達なら　もしかしたら…</v>
      </c>
      <c r="F74" s="45">
        <v>41008019</v>
      </c>
      <c r="G74" s="4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6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74" s="4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6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4" s="46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4" s="46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6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6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5"/>
      <c r="Q74" s="45"/>
      <c r="R74" s="45"/>
    </row>
    <row r="75" spans="1:18" ht="21" customHeight="1" x14ac:dyDescent="0.15">
      <c r="A75" s="37" t="str">
        <f t="shared" si="5"/>
        <v>41008015_41008023</v>
      </c>
      <c r="B75" s="45">
        <v>41008015</v>
      </c>
      <c r="C75" s="45">
        <v>41008023</v>
      </c>
      <c r="D75" s="4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キミの気持ち伝わったよ</v>
      </c>
      <c r="E75" s="4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私も力を貸してあげる…がんばって…</v>
      </c>
      <c r="F75" s="45">
        <v>41008020</v>
      </c>
      <c r="G75" s="4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6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75" s="4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6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5" s="46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6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6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6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5"/>
      <c r="Q75" s="45"/>
      <c r="R75" s="45"/>
    </row>
    <row r="76" spans="1:18" ht="21" customHeight="1" x14ac:dyDescent="0.15">
      <c r="A76" s="37" t="str">
        <f t="shared" si="5"/>
        <v>41008016_41008057</v>
      </c>
      <c r="B76" s="45">
        <v>41008016</v>
      </c>
      <c r="C76" s="45">
        <v>41008057</v>
      </c>
      <c r="D76" s="44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新しいオモチャだ！</v>
      </c>
      <c r="E76" s="44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【！】12ターン後に即死攻撃発動【！】</v>
      </c>
      <c r="F76" s="45">
        <v>41008021</v>
      </c>
      <c r="G76" s="46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6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6" s="46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6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6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6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6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6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6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5"/>
      <c r="Q76" s="45"/>
      <c r="R76" s="45"/>
    </row>
    <row r="77" spans="1:18" ht="21" customHeight="1" x14ac:dyDescent="0.15">
      <c r="A77" s="37" t="str">
        <f t="shared" ref="A77" si="6">B77&amp;"_"&amp;C77</f>
        <v>41008016_41008058</v>
      </c>
      <c r="B77" s="45">
        <v>41008016</v>
      </c>
      <c r="C77" s="45">
        <v>41008058</v>
      </c>
      <c r="D77" s="44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みんな！グリムが来たよー！</v>
      </c>
      <c r="E77" s="44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しゅぎょーの成果みせてあげよー！_x000D_【！】12ターン後に即死攻撃発動【！】</v>
      </c>
      <c r="F77" s="45">
        <v>41008052</v>
      </c>
      <c r="G77" s="46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6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77" s="46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6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6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6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6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6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490</v>
      </c>
      <c r="O77" s="46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5"/>
      <c r="Q77" s="45"/>
      <c r="R77" s="45"/>
    </row>
    <row r="78" spans="1:18" ht="21" customHeight="1" x14ac:dyDescent="0.15">
      <c r="A78" s="37" t="str">
        <f t="shared" ref="A78" si="7">B78&amp;"_"&amp;C78</f>
        <v>41008016_41008059</v>
      </c>
      <c r="B78" s="45">
        <v>41008016</v>
      </c>
      <c r="C78" s="45">
        <v>41008059</v>
      </c>
      <c r="D78" s="44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みんな！グリムが来たよー！</v>
      </c>
      <c r="E78" s="44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しゅぎょーの成果みせてあげよー！_x000D_【！】12ターン後に即死攻撃発動【！】</v>
      </c>
      <c r="F78" s="45">
        <v>41008053</v>
      </c>
      <c r="G78" s="46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6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78" s="46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6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6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6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6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6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491</v>
      </c>
      <c r="O78" s="46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5"/>
      <c r="Q78" s="45"/>
      <c r="R78" s="45"/>
    </row>
    <row r="79" spans="1:18" ht="21" customHeight="1" x14ac:dyDescent="0.15">
      <c r="A79" s="37" t="str">
        <f t="shared" ref="A79" si="8">B79&amp;"_"&amp;C79</f>
        <v>41008016_41008060</v>
      </c>
      <c r="B79" s="45">
        <v>41008016</v>
      </c>
      <c r="C79" s="45">
        <v>41008060</v>
      </c>
      <c r="D79" s="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みんな！グリムが来たよー！</v>
      </c>
      <c r="E79" s="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しゅぎょーの成果みせてあげよー！_x000D_【！】12ターン後に即死攻撃発動【！】</v>
      </c>
      <c r="F79" s="45">
        <v>41008054</v>
      </c>
      <c r="G79" s="46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6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79" s="46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6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6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6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6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6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822</v>
      </c>
      <c r="O79" s="46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5"/>
      <c r="Q79" s="45"/>
      <c r="R79" s="45"/>
    </row>
    <row r="80" spans="1:18" ht="21" customHeight="1" x14ac:dyDescent="0.15">
      <c r="A80" s="37" t="str">
        <f t="shared" si="5"/>
        <v>41008016_41008050</v>
      </c>
      <c r="B80" s="45">
        <v>41008016</v>
      </c>
      <c r="C80" s="45">
        <v>41008050</v>
      </c>
      <c r="D80" s="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そんなの効かないよーだ！</v>
      </c>
      <c r="E80" s="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解除されるまで防御力UP</v>
      </c>
      <c r="F80" s="45">
        <v>41008049</v>
      </c>
      <c r="G80" s="4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6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80" s="4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6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80" s="46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6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6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6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5"/>
      <c r="Q80" s="45"/>
      <c r="R80" s="45"/>
    </row>
    <row r="81" spans="1:18" ht="21" customHeight="1" x14ac:dyDescent="0.15">
      <c r="A81" s="37" t="str">
        <f t="shared" ref="A81" si="9">B81&amp;"_"&amp;C81</f>
        <v>41008016_41008053</v>
      </c>
      <c r="B81" s="45">
        <v>41008016</v>
      </c>
      <c r="C81" s="45">
        <v>41008053</v>
      </c>
      <c r="D81" s="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うごくな！手をあげろー！</v>
      </c>
      <c r="E81" s="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赤・黄属性のユニットに5ターンスキルバインド</v>
      </c>
      <c r="F81" s="45">
        <v>41008050</v>
      </c>
      <c r="G81" s="4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34</v>
      </c>
      <c r="I81" s="4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6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1" s="4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6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6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6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5"/>
      <c r="Q81" s="45"/>
      <c r="R81" s="45"/>
    </row>
    <row r="82" spans="1:18" ht="21" customHeight="1" x14ac:dyDescent="0.15">
      <c r="A82" s="37" t="str">
        <f>B82&amp;"_"&amp;C82</f>
        <v>41008016_41008051</v>
      </c>
      <c r="B82" s="45">
        <v>41008016</v>
      </c>
      <c r="C82" s="45">
        <v>41008051</v>
      </c>
      <c r="D82" s="4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いっせいこうげきー！</v>
      </c>
      <c r="E82" s="4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2" s="45">
        <v>41008022</v>
      </c>
      <c r="G82" s="4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6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82" s="4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6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6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6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6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5"/>
      <c r="Q82" s="45"/>
      <c r="R82" s="45"/>
    </row>
    <row r="83" spans="1:18" ht="21" customHeight="1" x14ac:dyDescent="0.15">
      <c r="A83" s="37" t="str">
        <f t="shared" ref="A83" si="10">B83&amp;"_"&amp;C83</f>
        <v>41008016_41008052</v>
      </c>
      <c r="B83" s="45">
        <v>41008016</v>
      </c>
      <c r="C83" s="45">
        <v>41008052</v>
      </c>
      <c r="D83" s="44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えい！やぁ！はぁ！とぉ！</v>
      </c>
      <c r="E83" s="44" t="str">
        <f ca="1">VLOOKUP($C83,OFFSET(enemy_skills!$A$1,0,0,COUNTA(enemy_skills!$A:$A),MATCH(E$1,enemy_skills!$1:$1,0)-MATCH("enemy_skill_id",enemy_skills!$1:$1,0)+1),MATCH(E$1,enemy_skills!$1:$1,0)-MATCH("enemy_skill_id",enemy_skills!$1:$1,0)+1,FALSE)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83" s="45">
        <v>41008023</v>
      </c>
      <c r="G83" s="46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6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3" s="46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6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6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6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6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3" s="46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6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5"/>
      <c r="Q83" s="45"/>
      <c r="R83" s="45"/>
    </row>
    <row r="84" spans="1:18" ht="21" customHeight="1" x14ac:dyDescent="0.15">
      <c r="A84" s="37" t="str">
        <f t="shared" ref="A84:A87" si="11">B84&amp;"_"&amp;C84</f>
        <v>41008016_41008028</v>
      </c>
      <c r="B84" s="45">
        <v>41008016</v>
      </c>
      <c r="C84" s="45">
        <v>41008028</v>
      </c>
      <c r="D84" s="44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84" s="44" t="str">
        <f ca="1">VLOOKUP($C84,OFFSET(enemy_skills!$A$1,0,0,COUNTA(enemy_skills!$A:$A),MATCH(E$1,enemy_skills!$1:$1,0)-MATCH("enemy_skill_id",enemy_skills!$1:$1,0)+1),MATCH(E$1,enemy_skills!$1:$1,0)-MATCH("enemy_skill_id",enemy_skills!$1:$1,0)+1,FALSE)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1ターン全体スリープ_x000D_【！】残り9ターン【！】</v>
      </c>
      <c r="F84" s="45">
        <v>41008044</v>
      </c>
      <c r="G84" s="46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6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38</v>
      </c>
      <c r="I84" s="46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6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6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6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6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4" s="46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6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5"/>
      <c r="Q84" s="45"/>
      <c r="R84" s="45"/>
    </row>
    <row r="85" spans="1:18" ht="21" customHeight="1" x14ac:dyDescent="0.15">
      <c r="A85" s="37" t="str">
        <f t="shared" si="11"/>
        <v>41008016_41008029</v>
      </c>
      <c r="B85" s="45">
        <v>41008016</v>
      </c>
      <c r="C85" s="45">
        <v>41008029</v>
      </c>
      <c r="D85" s="4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85" s="4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1ターン全体スリープ_x000D_【！】残り6ターン【！】</v>
      </c>
      <c r="F85" s="45">
        <v>41008045</v>
      </c>
      <c r="G85" s="46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6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37</v>
      </c>
      <c r="I85" s="46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6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6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6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6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5" s="46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6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5"/>
      <c r="Q85" s="45"/>
      <c r="R85" s="45"/>
    </row>
    <row r="86" spans="1:18" ht="21" customHeight="1" x14ac:dyDescent="0.15">
      <c r="A86" s="37" t="str">
        <f t="shared" si="11"/>
        <v>41008016_41008030</v>
      </c>
      <c r="B86" s="45">
        <v>41008016</v>
      </c>
      <c r="C86" s="45">
        <v>41008030</v>
      </c>
      <c r="D86" s="44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おひるねの時間</v>
      </c>
      <c r="E86" s="44" t="str">
        <f ca="1">VLOOKUP($C86,OFFSET(enemy_skills!$A$1,0,0,COUNTA(enemy_skills!$A:$A),MATCH(E$1,enemy_skills!$1:$1,0)-MATCH("enemy_skill_id",enemy_skills!$1:$1,0)+1),MATCH(E$1,enemy_skills!$1:$1,0)-MATCH("enemy_skill_id",enemy_skills!$1:$1,0)+1,FALSE)</f>
        <v>1ターン全体スリープ_x000D_【！】残り3ターン【！】</v>
      </c>
      <c r="F86" s="45">
        <v>41008046</v>
      </c>
      <c r="G86" s="46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6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36</v>
      </c>
      <c r="I86" s="46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6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6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6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6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6" s="46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6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5"/>
      <c r="Q86" s="45"/>
      <c r="R86" s="45"/>
    </row>
    <row r="87" spans="1:18" ht="21" customHeight="1" x14ac:dyDescent="0.15">
      <c r="A87" s="37" t="str">
        <f t="shared" si="11"/>
        <v>41008016_41008031</v>
      </c>
      <c r="B87" s="45">
        <v>41008016</v>
      </c>
      <c r="C87" s="45">
        <v>41008031</v>
      </c>
      <c r="D87" s="44" t="str">
        <f ca="1">VLOOKUP($C87,OFFSET(enemy_skills!$A$1,0,0,COUNTA(enemy_skills!$A:$A),MATCH(D$1,enemy_skills!$1:$1,0)-MATCH("enemy_skill_id",enemy_skills!$1:$1,0)+1),MATCH(D$1,enemy_skills!$1:$1,0)-MATCH("enemy_skill_id",enemy_skills!$1:$1,0)+1,FALSE)</f>
        <v>…飽きた</v>
      </c>
      <c r="E87" s="44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全てのプラス効果を解除＋即死級攻撃</v>
      </c>
      <c r="F87" s="45">
        <v>41008051</v>
      </c>
      <c r="G87" s="46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6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87" s="46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6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6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6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6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87" s="46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6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5"/>
      <c r="Q87" s="45"/>
      <c r="R87" s="45"/>
    </row>
    <row r="88" spans="1:18" ht="21" customHeight="1" x14ac:dyDescent="0.15">
      <c r="A88" s="37" t="str">
        <f t="shared" ref="A88:A100" si="12">B88&amp;"_"&amp;C88</f>
        <v>41008017_41008054</v>
      </c>
      <c r="B88" s="45">
        <v>41008017</v>
      </c>
      <c r="C88" s="45">
        <v>41008054</v>
      </c>
      <c r="D88" s="44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もっともーっと遊ぼー！</v>
      </c>
      <c r="E88" s="44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フィーバーゲージ減少+状態異常耐性</v>
      </c>
      <c r="F88" s="45">
        <v>41008030</v>
      </c>
      <c r="G88" s="46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6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8" s="46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6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6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6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6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6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6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5"/>
      <c r="Q88" s="45"/>
      <c r="R88" s="45"/>
    </row>
    <row r="89" spans="1:18" ht="21" customHeight="1" x14ac:dyDescent="0.15">
      <c r="A89" s="37" t="str">
        <f t="shared" si="12"/>
        <v>41008017_41008055</v>
      </c>
      <c r="B89" s="45">
        <v>41008017</v>
      </c>
      <c r="C89" s="45">
        <v>41008055</v>
      </c>
      <c r="D89" s="44" t="str">
        <f ca="1">VLOOKUP($C89,OFFSET(enemy_skills!$A$1,0,0,COUNTA(enemy_skills!$A:$A),MATCH(D$1,enemy_skills!$1:$1,0)-MATCH("enemy_skill_id",enemy_skills!$1:$1,0)+1),MATCH(D$1,enemy_skills!$1:$1,0)-MATCH("enemy_skill_id",enemy_skills!$1:$1,0)+1,FALSE)</f>
        <v>新ワザいっくよー！</v>
      </c>
      <c r="E89" s="44" t="str">
        <f ca="1">VLOOKUP($C89,OFFSET(enemy_skills!$A$1,0,0,COUNTA(enemy_skills!$A:$A),MATCH(E$1,enemy_skills!$1:$1,0)-MATCH("enemy_skill_id",enemy_skills!$1:$1,0)+1),MATCH(E$1,enemy_skills!$1:$1,0)-MATCH("enemy_skill_id",enemy_skills!$1:$1,0)+1,FALSE)</f>
        <v>3ターンCパネル変換禁止＋全体攻撃</v>
      </c>
      <c r="F89" s="45">
        <v>41008031</v>
      </c>
      <c r="G89" s="46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6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9" s="46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9" s="46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6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6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6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6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6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5"/>
      <c r="Q89" s="45"/>
      <c r="R89" s="45"/>
    </row>
    <row r="90" spans="1:18" ht="21" customHeight="1" x14ac:dyDescent="0.15">
      <c r="A90" s="37" t="str">
        <f t="shared" si="12"/>
        <v>41008017_41008040</v>
      </c>
      <c r="B90" s="45">
        <v>41008017</v>
      </c>
      <c r="C90" s="45">
        <v>41008040</v>
      </c>
      <c r="D90" s="44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くらえ必殺！</v>
      </c>
      <c r="E90" s="44" t="str">
        <f ca="1">VLOOKUP($C90,OFFSET(enemy_skills!$A$1,0,0,COUNTA(enemy_skills!$A:$A),MATCH(E$1,enemy_skills!$1:$1,0)-MATCH("enemy_skill_id",enemy_skills!$1:$1,0)+1),MATCH(E$1,enemy_skills!$1:$1,0)-MATCH("enemy_skill_id",enemy_skills!$1:$1,0)+1,FALSE)</f>
        <v>10回連続攻撃</v>
      </c>
      <c r="F90" s="45">
        <v>41008032</v>
      </c>
      <c r="G90" s="46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6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0" s="46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0" s="46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6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6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6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6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6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5"/>
      <c r="Q90" s="45"/>
      <c r="R90" s="45"/>
    </row>
    <row r="91" spans="1:18" ht="21" customHeight="1" x14ac:dyDescent="0.15">
      <c r="A91" s="37" t="str">
        <f t="shared" si="12"/>
        <v>41008017_41008041</v>
      </c>
      <c r="B91" s="45">
        <v>41008017</v>
      </c>
      <c r="C91" s="45">
        <v>41008041</v>
      </c>
      <c r="D91" s="44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じたばたしないでー！</v>
      </c>
      <c r="E91" s="44" t="str">
        <f ca="1">VLOOKUP($C91,OFFSET(enemy_skills!$A$1,0,0,COUNTA(enemy_skills!$A:$A),MATCH(E$1,enemy_skills!$1:$1,0)-MATCH("enemy_skill_id",enemy_skills!$1:$1,0)+1),MATCH(E$1,enemy_skills!$1:$1,0)-MATCH("enemy_skill_id",enemy_skills!$1:$1,0)+1,FALSE)</f>
        <v>5ターン攻撃力＆回復力100%DOWN</v>
      </c>
      <c r="F91" s="45">
        <v>41008033</v>
      </c>
      <c r="G91" s="46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6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91" s="46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6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6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6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6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6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6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5"/>
      <c r="Q91" s="45"/>
      <c r="R91" s="45"/>
    </row>
    <row r="92" spans="1:18" ht="21" customHeight="1" x14ac:dyDescent="0.15">
      <c r="A92" s="37" t="str">
        <f t="shared" si="12"/>
        <v>41008017_41008042</v>
      </c>
      <c r="B92" s="45">
        <v>41008017</v>
      </c>
      <c r="C92" s="45">
        <v>41008042</v>
      </c>
      <c r="D92" s="44" t="str">
        <f ca="1">VLOOKUP($C92,OFFSET(enemy_skills!$A$1,0,0,COUNTA(enemy_skills!$A:$A),MATCH(D$1,enemy_skills!$1:$1,0)-MATCH("enemy_skill_id",enemy_skills!$1:$1,0)+1),MATCH(D$1,enemy_skills!$1:$1,0)-MATCH("enemy_skill_id",enemy_skills!$1:$1,0)+1,FALSE)</f>
        <v>言うこと聞けよぉ！</v>
      </c>
      <c r="E92" s="44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ボムパネル吸収攻撃（最大6個）＋攻撃頻度UP</v>
      </c>
      <c r="F92" s="45">
        <v>41008034</v>
      </c>
      <c r="G92" s="46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6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2" s="46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6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2" s="46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6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6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6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6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5"/>
      <c r="Q92" s="45"/>
      <c r="R92" s="45"/>
    </row>
    <row r="93" spans="1:18" ht="21" customHeight="1" x14ac:dyDescent="0.15">
      <c r="A93" s="37" t="str">
        <f t="shared" si="12"/>
        <v>41008018_41008061</v>
      </c>
      <c r="B93" s="45">
        <v>41008018</v>
      </c>
      <c r="C93" s="45">
        <v>41008061</v>
      </c>
      <c r="D93" s="44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ならば！これならどうだー！</v>
      </c>
      <c r="E93" s="44" t="str">
        <f ca="1">VLOOKUP($C93,OFFSET(enemy_skills!$A$1,0,0,COUNTA(enemy_skills!$A:$A),MATCH(E$1,enemy_skills!$1:$1,0)-MATCH("enemy_skill_id",enemy_skills!$1:$1,0)+1),MATCH(E$1,enemy_skills!$1:$1,0)-MATCH("enemy_skill_id",enemy_skills!$1:$1,0)+1,FALSE)</f>
        <v>赤・青・黄パネル無効＋自身の防御力UP</v>
      </c>
      <c r="F93" s="45">
        <v>41008037</v>
      </c>
      <c r="G93" s="46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6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3" s="46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6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6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6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6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6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6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5"/>
      <c r="Q93" s="45"/>
      <c r="R93" s="45"/>
    </row>
    <row r="94" spans="1:18" ht="21" customHeight="1" x14ac:dyDescent="0.15">
      <c r="A94" s="37" t="str">
        <f t="shared" ref="A94" si="13">B94&amp;"_"&amp;C94</f>
        <v>41008018_41008062</v>
      </c>
      <c r="B94" s="45">
        <v>41008018</v>
      </c>
      <c r="C94" s="45">
        <v>41008062</v>
      </c>
      <c r="D94" s="44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そろそろエピローグ…かな！？</v>
      </c>
      <c r="E94" s="44" t="str">
        <f ca="1">VLOOKUP($C94,OFFSET(enemy_skills!$A$1,0,0,COUNTA(enemy_skills!$A:$A),MATCH(E$1,enemy_skills!$1:$1,0)-MATCH("enemy_skill_id",enemy_skills!$1:$1,0)+1),MATCH(E$1,enemy_skills!$1:$1,0)-MATCH("enemy_skill_id",enemy_skills!$1:$1,0)+1,FALSE)</f>
        <v>赤・青・黄パネル無効＋自身の防御力UP</v>
      </c>
      <c r="F94" s="45">
        <v>41008052</v>
      </c>
      <c r="G94" s="46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6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94" s="46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6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6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6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6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6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490</v>
      </c>
      <c r="O94" s="46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5"/>
      <c r="Q94" s="45"/>
      <c r="R94" s="45"/>
    </row>
    <row r="95" spans="1:18" ht="21" customHeight="1" x14ac:dyDescent="0.15">
      <c r="A95" s="37" t="str">
        <f t="shared" ref="A95" si="14">B95&amp;"_"&amp;C95</f>
        <v>41008018_41008063</v>
      </c>
      <c r="B95" s="45">
        <v>41008018</v>
      </c>
      <c r="C95" s="45">
        <v>41008063</v>
      </c>
      <c r="D95" s="44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そろそろエピローグ…かな！？</v>
      </c>
      <c r="E95" s="44" t="str">
        <f ca="1">VLOOKUP($C95,OFFSET(enemy_skills!$A$1,0,0,COUNTA(enemy_skills!$A:$A),MATCH(E$1,enemy_skills!$1:$1,0)-MATCH("enemy_skill_id",enemy_skills!$1:$1,0)+1),MATCH(E$1,enemy_skills!$1:$1,0)-MATCH("enemy_skill_id",enemy_skills!$1:$1,0)+1,FALSE)</f>
        <v>赤・青・黄パネル無効＋自身の防御力UP</v>
      </c>
      <c r="F95" s="45">
        <v>41008053</v>
      </c>
      <c r="G95" s="46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6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95" s="46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6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6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6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6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6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491</v>
      </c>
      <c r="O95" s="46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5"/>
      <c r="Q95" s="45"/>
      <c r="R95" s="45"/>
    </row>
    <row r="96" spans="1:18" ht="21" customHeight="1" x14ac:dyDescent="0.15">
      <c r="A96" s="37" t="str">
        <f t="shared" ref="A96" si="15">B96&amp;"_"&amp;C96</f>
        <v>41008018_41008064</v>
      </c>
      <c r="B96" s="45">
        <v>41008018</v>
      </c>
      <c r="C96" s="45">
        <v>41008064</v>
      </c>
      <c r="D96" s="44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そろそろエピローグ…かな！？</v>
      </c>
      <c r="E96" s="44" t="str">
        <f ca="1">VLOOKUP($C96,OFFSET(enemy_skills!$A$1,0,0,COUNTA(enemy_skills!$A:$A),MATCH(E$1,enemy_skills!$1:$1,0)-MATCH("enemy_skill_id",enemy_skills!$1:$1,0)+1),MATCH(E$1,enemy_skills!$1:$1,0)-MATCH("enemy_skill_id",enemy_skills!$1:$1,0)+1,FALSE)</f>
        <v>赤・青・黄パネル無効＋自身の防御力UP</v>
      </c>
      <c r="F96" s="45">
        <v>41008054</v>
      </c>
      <c r="G96" s="46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6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96" s="46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6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6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6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6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6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822</v>
      </c>
      <c r="O96" s="46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5"/>
      <c r="Q96" s="45"/>
      <c r="R96" s="45"/>
    </row>
    <row r="97" spans="1:18" ht="21" customHeight="1" x14ac:dyDescent="0.15">
      <c r="A97" s="37" t="str">
        <f t="shared" si="12"/>
        <v>41008018_41008046</v>
      </c>
      <c r="B97" s="45">
        <v>41008018</v>
      </c>
      <c r="C97" s="45">
        <v>41008046</v>
      </c>
      <c r="D97" s="44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オモチャ返してよー！</v>
      </c>
      <c r="E97" s="44" t="str">
        <f ca="1">VLOOKUP($C97,OFFSET(enemy_skills!$A$1,0,0,COUNTA(enemy_skills!$A:$A),MATCH(E$1,enemy_skills!$1:$1,0)-MATCH("enemy_skill_id",enemy_skills!$1:$1,0)+1),MATCH(E$1,enemy_skills!$1:$1,0)-MATCH("enemy_skill_id",enemy_skills!$1:$1,0)+1,FALSE)</f>
        <v>HPを10%消費して全体攻撃</v>
      </c>
      <c r="F97" s="45">
        <v>41008038</v>
      </c>
      <c r="G97" s="46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6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7" s="46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6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6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6" t="str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7" s="46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6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6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5"/>
      <c r="Q97" s="45"/>
      <c r="R97" s="45"/>
    </row>
    <row r="98" spans="1:18" ht="21" customHeight="1" x14ac:dyDescent="0.15">
      <c r="A98" s="37" t="str">
        <f t="shared" si="12"/>
        <v>41008018_41008047</v>
      </c>
      <c r="B98" s="45">
        <v>41008018</v>
      </c>
      <c r="C98" s="45">
        <v>41008047</v>
      </c>
      <c r="D98" s="44" t="str">
        <f ca="1">VLOOKUP($C98,OFFSET(enemy_skills!$A$1,0,0,COUNTA(enemy_skills!$A:$A),MATCH(D$1,enemy_skills!$1:$1,0)-MATCH("enemy_skill_id",enemy_skills!$1:$1,0)+1),MATCH(D$1,enemy_skills!$1:$1,0)-MATCH("enemy_skill_id",enemy_skills!$1:$1,0)+1,FALSE)</f>
        <v>散らかしちゃダメー！</v>
      </c>
      <c r="E98" s="44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ボムパネル吸収攻撃（最大6個）</v>
      </c>
      <c r="F98" s="45">
        <v>41008039</v>
      </c>
      <c r="G98" s="46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6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98" s="46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6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6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6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6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8" s="46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6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5"/>
      <c r="Q98" s="45"/>
      <c r="R98" s="45"/>
    </row>
    <row r="99" spans="1:18" ht="21" customHeight="1" x14ac:dyDescent="0.15">
      <c r="A99" s="37" t="str">
        <f t="shared" si="12"/>
        <v>41008018_41008068</v>
      </c>
      <c r="B99" s="45">
        <v>41008018</v>
      </c>
      <c r="C99" s="45">
        <v>41008068</v>
      </c>
      <c r="D99" s="44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ちょっとピンチかもー！？</v>
      </c>
      <c r="E99" s="44" t="str">
        <f ca="1">VLOOKUP($C99,OFFSET(enemy_skills!$A$1,0,0,COUNTA(enemy_skills!$A:$A),MATCH(E$1,enemy_skills!$1:$1,0)-MATCH("enemy_skill_id",enemy_skills!$1:$1,0)+1),MATCH(E$1,enemy_skills!$1:$1,0)-MATCH("enemy_skill_id",enemy_skills!$1:$1,0)+1,FALSE)</f>
        <v>大丈夫！こんな時のために秘密兵器が…！_x000D_【！】次のターン超強力な一撃【！】</v>
      </c>
      <c r="F99" s="45">
        <v>41008040</v>
      </c>
      <c r="G99" s="46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6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9" s="46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6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99" s="46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6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6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9" s="46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6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5"/>
      <c r="Q99" s="45"/>
      <c r="R99" s="45"/>
    </row>
    <row r="100" spans="1:18" s="157" customFormat="1" ht="21" customHeight="1" x14ac:dyDescent="0.15">
      <c r="A100" s="158" t="str">
        <f t="shared" si="12"/>
        <v>41008018_41008056</v>
      </c>
      <c r="B100" s="45">
        <v>41008018</v>
      </c>
      <c r="C100" s="45">
        <v>41008056</v>
      </c>
      <c r="D100" s="44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純粋悪意の波動砲</v>
      </c>
      <c r="E100" s="44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HPを99%消費して激烈クリティカル！</v>
      </c>
      <c r="F100" s="45">
        <v>41008041</v>
      </c>
      <c r="G100" s="46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6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100" s="46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6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00" s="46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6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6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6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6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5"/>
      <c r="Q100" s="45"/>
      <c r="R100" s="45"/>
    </row>
    <row r="101" spans="1:18" s="157" customFormat="1" ht="21" customHeight="1" x14ac:dyDescent="0.15">
      <c r="A101" s="158" t="str">
        <f t="shared" ref="A101" si="16">B101&amp;"_"&amp;C101</f>
        <v>41008018_41008065</v>
      </c>
      <c r="B101" s="45">
        <v>41008018</v>
      </c>
      <c r="C101" s="45">
        <v>41008065</v>
      </c>
      <c r="D101" s="44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また来てね　グリム</v>
      </c>
      <c r="E101" s="44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次はもっと強くなってるから…！</v>
      </c>
      <c r="F101" s="45">
        <v>41008055</v>
      </c>
      <c r="G101" s="46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6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1" s="46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6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6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6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6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6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490</v>
      </c>
      <c r="O101" s="46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5"/>
      <c r="Q101" s="45"/>
      <c r="R101" s="45"/>
    </row>
    <row r="102" spans="1:18" s="157" customFormat="1" ht="21" customHeight="1" x14ac:dyDescent="0.15">
      <c r="A102" s="158" t="str">
        <f t="shared" ref="A102:A103" si="17">B102&amp;"_"&amp;C102</f>
        <v>41008018_41008066</v>
      </c>
      <c r="B102" s="45">
        <v>41008018</v>
      </c>
      <c r="C102" s="45">
        <v>41008066</v>
      </c>
      <c r="D102" s="44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また来てね　グリム</v>
      </c>
      <c r="E102" s="44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次はもっと強くなってるから…！</v>
      </c>
      <c r="F102" s="45">
        <v>41008056</v>
      </c>
      <c r="G102" s="46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6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2" s="46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6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6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6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6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6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491</v>
      </c>
      <c r="O102" s="46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5"/>
      <c r="Q102" s="45"/>
      <c r="R102" s="45"/>
    </row>
    <row r="103" spans="1:18" s="157" customFormat="1" ht="21" customHeight="1" x14ac:dyDescent="0.15">
      <c r="A103" s="158" t="str">
        <f t="shared" si="17"/>
        <v>41008018_41008067</v>
      </c>
      <c r="B103" s="45">
        <v>41008018</v>
      </c>
      <c r="C103" s="45">
        <v>41008067</v>
      </c>
      <c r="D103" s="44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また来てね　グリム</v>
      </c>
      <c r="E103" s="44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次はもっと強くなってるから…！</v>
      </c>
      <c r="F103" s="45">
        <v>41008057</v>
      </c>
      <c r="G103" s="46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6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3" s="46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6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6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6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6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6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822</v>
      </c>
      <c r="O103" s="46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5"/>
      <c r="Q103" s="45"/>
      <c r="R103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9"/>
  <sheetViews>
    <sheetView showGridLines="0" tabSelected="1" zoomScale="90" zoomScaleNormal="90" zoomScalePageLayoutView="90" workbookViewId="0">
      <pane ySplit="1" topLeftCell="A2" activePane="bottomLeft" state="frozenSplit"/>
      <selection pane="bottomLeft" activeCell="F18" sqref="F18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customWidth="1" outlineLevel="1"/>
    <col min="8" max="8" width="18.33203125" style="47" customWidth="1" outlineLevel="1"/>
    <col min="9" max="11" width="18.6640625" style="47" customWidth="1" outlineLevel="1"/>
    <col min="12" max="12" width="23.6640625" style="47" customWidth="1"/>
    <col min="13" max="18" width="23.6640625" style="47" customWidth="1" outlineLevel="1"/>
    <col min="19" max="19" width="23.6640625" style="47" customWidth="1"/>
    <col min="20" max="24" width="23.6640625" style="47" customWidth="1" outlineLevel="1"/>
    <col min="25" max="25" width="23.6640625" style="47" customWidth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45">
        <v>41008001</v>
      </c>
      <c r="B2" s="45" t="s">
        <v>213</v>
      </c>
      <c r="C2" s="48">
        <v>3</v>
      </c>
      <c r="D2" s="48" t="s">
        <v>126</v>
      </c>
      <c r="E2" s="49" t="s">
        <v>214</v>
      </c>
      <c r="F2" s="49" t="s">
        <v>215</v>
      </c>
      <c r="G2" s="61" t="str">
        <f>IFERROR(LEFT(B2,FIND("],",B2)),B2)</f>
        <v>[effect:fix_speed,target:myself,turn:2]</v>
      </c>
      <c r="H2" s="61">
        <f>FIND("effect:",G2)+7</f>
        <v>9</v>
      </c>
      <c r="I2" s="61">
        <f>IFERROR(FIND(",",G2),LEN(G2))</f>
        <v>18</v>
      </c>
      <c r="J2" s="61">
        <f>FIND("target:",G2)+7</f>
        <v>26</v>
      </c>
      <c r="K2" s="61">
        <f>FIND(",",G2,I2+1)</f>
        <v>32</v>
      </c>
      <c r="L2" s="61" t="str">
        <f>IFERROR(VLOOKUP(MID(G2,J2,K2-J2),[5]skilldef!$C:$D,2,FALSE),"-") &amp; " / " &amp; IFERROR(VLOOKUP(MID(G2,H2,I2-H2),[5]skilldef!$A:$B,2,FALSE),"-")</f>
        <v>自分自身に / 行動値設定</v>
      </c>
      <c r="M2" s="61" t="str">
        <f>IFERROR(RIGHT(B2,LEN(B2)-FIND("],",B2)-1),"none")</f>
        <v>none</v>
      </c>
      <c r="N2" s="46" t="str">
        <f>IFERROR(LEFT(M2,FIND("],",M2)+S14),M2)</f>
        <v>none</v>
      </c>
      <c r="O2" s="61" t="e">
        <f>FIND("effect:",N2)+7</f>
        <v>#VALUE!</v>
      </c>
      <c r="P2" s="61">
        <f>IFERROR(FIND(",",N2),LEN(N2))</f>
        <v>4</v>
      </c>
      <c r="Q2" s="61" t="e">
        <f>FIND("target:",N2)+7</f>
        <v>#VALUE!</v>
      </c>
      <c r="R2" s="61" t="e">
        <f>FIND(",",N2,P2+1)</f>
        <v>#VALUE!</v>
      </c>
      <c r="S2" s="61" t="str">
        <f>IFERROR(VLOOKUP(MID(N2,Q2,R2-Q2),[5]skilldef!$C:$D,2,FALSE),"-") &amp; " / " &amp; IFERROR(VLOOKUP(MID(N2,O2,P2-O2),[5]skilldef!$A:$B,2,FALSE),"-")</f>
        <v>- / -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</row>
    <row r="3" spans="1:28" ht="21" customHeight="1" x14ac:dyDescent="0.15">
      <c r="A3" s="45">
        <v>41008002</v>
      </c>
      <c r="B3" s="45" t="s">
        <v>216</v>
      </c>
      <c r="C3" s="48">
        <v>3</v>
      </c>
      <c r="D3" s="48" t="s">
        <v>126</v>
      </c>
      <c r="E3" s="49" t="s">
        <v>217</v>
      </c>
      <c r="F3" s="49" t="s">
        <v>218</v>
      </c>
      <c r="G3" s="61" t="str">
        <f>IFERROR(LEFT(B3,FIND("],",B3)),B3)</f>
        <v>[effect:nothing]</v>
      </c>
      <c r="H3" s="61">
        <f>FIND("effect:",G3)+7</f>
        <v>9</v>
      </c>
      <c r="I3" s="61">
        <f>IFERROR(FIND(",",G3),LEN(G3))</f>
        <v>16</v>
      </c>
      <c r="J3" s="61" t="e">
        <f>FIND("target:",G3)+7</f>
        <v>#VALUE!</v>
      </c>
      <c r="K3" s="61" t="e">
        <f>FIND(",",G3,I3+1)</f>
        <v>#VALUE!</v>
      </c>
      <c r="L3" s="61" t="str">
        <f>IFERROR(VLOOKUP(MID(G3,J3,K3-J3),[5]skilldef!$C:$D,2,FALSE),"-") &amp; " / " &amp; IFERROR(VLOOKUP(MID(G3,H3,I3-H3),[5]skilldef!$A:$B,2,FALSE),"-")</f>
        <v>- / 何もしない</v>
      </c>
      <c r="M3" s="61" t="str">
        <f>IFERROR(RIGHT(B3,LEN(B3)-FIND("],",B3)-1),"none")</f>
        <v>none</v>
      </c>
      <c r="N3" s="46" t="str">
        <f>IFERROR(LEFT(M3,FIND("],",M3)+S15),M3)</f>
        <v>none</v>
      </c>
      <c r="O3" s="61" t="e">
        <f>FIND("effect:",N3)+7</f>
        <v>#VALUE!</v>
      </c>
      <c r="P3" s="61">
        <f>IFERROR(FIND(",",N3),LEN(N3))</f>
        <v>4</v>
      </c>
      <c r="Q3" s="61" t="e">
        <f>FIND("target:",N3)+7</f>
        <v>#VALUE!</v>
      </c>
      <c r="R3" s="61" t="e">
        <f>FIND(",",N3,P3+1)</f>
        <v>#VALUE!</v>
      </c>
      <c r="S3" s="61" t="str">
        <f>IFERROR(VLOOKUP(MID(N3,Q3,R3-Q3),[5]skilldef!$C:$D,2,FALSE),"-") &amp; " / " &amp; IFERROR(VLOOKUP(MID(N3,O3,P3-O3),[5]skilldef!$A:$B,2,FALSE),"-")</f>
        <v>- / -</v>
      </c>
      <c r="T3" s="46" t="str">
        <f>IFERROR(RIGHT(M3,LEN(M3)-FIND("],",M3)-1),"none")</f>
        <v>none</v>
      </c>
      <c r="U3" s="61" t="e">
        <f>FIND("effect:",T3)+7</f>
        <v>#VALUE!</v>
      </c>
      <c r="V3" s="61">
        <f>IFERROR(FIND(",",T3),LEN(T3))</f>
        <v>4</v>
      </c>
      <c r="W3" s="61" t="e">
        <f>FIND("target:",T3)+7</f>
        <v>#VALUE!</v>
      </c>
      <c r="X3" s="61" t="e">
        <f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</row>
    <row r="4" spans="1:28" ht="21" customHeight="1" x14ac:dyDescent="0.15">
      <c r="A4" s="45">
        <v>41008003</v>
      </c>
      <c r="B4" s="120" t="s">
        <v>219</v>
      </c>
      <c r="C4" s="121">
        <v>3</v>
      </c>
      <c r="D4" s="121" t="s">
        <v>220</v>
      </c>
      <c r="E4" s="49" t="s">
        <v>221</v>
      </c>
      <c r="F4" s="122" t="s">
        <v>222</v>
      </c>
      <c r="G4" s="123" t="s">
        <v>223</v>
      </c>
      <c r="H4" s="123">
        <v>9</v>
      </c>
      <c r="I4" s="123">
        <v>18</v>
      </c>
      <c r="J4" s="123">
        <v>27</v>
      </c>
      <c r="K4" s="123">
        <v>36</v>
      </c>
      <c r="L4" s="123" t="s">
        <v>224</v>
      </c>
      <c r="M4" s="123" t="s">
        <v>225</v>
      </c>
      <c r="N4" s="124" t="s">
        <v>226</v>
      </c>
      <c r="O4" s="123">
        <v>9</v>
      </c>
      <c r="P4" s="123">
        <v>18</v>
      </c>
      <c r="Q4" s="123">
        <v>27</v>
      </c>
      <c r="R4" s="123">
        <v>37</v>
      </c>
      <c r="S4" s="123" t="s">
        <v>227</v>
      </c>
      <c r="T4" s="124" t="s">
        <v>228</v>
      </c>
      <c r="U4" s="123">
        <v>9</v>
      </c>
      <c r="V4" s="123">
        <v>18</v>
      </c>
      <c r="W4" s="123">
        <v>27</v>
      </c>
      <c r="X4" s="123">
        <v>39</v>
      </c>
      <c r="Y4" s="123" t="s">
        <v>229</v>
      </c>
      <c r="Z4" s="121"/>
      <c r="AA4" s="125"/>
      <c r="AB4" s="121"/>
    </row>
    <row r="5" spans="1:28" ht="21" customHeight="1" x14ac:dyDescent="0.15">
      <c r="A5" s="45">
        <v>41008004</v>
      </c>
      <c r="B5" s="120" t="s">
        <v>403</v>
      </c>
      <c r="C5" s="121">
        <v>3</v>
      </c>
      <c r="D5" s="121" t="s">
        <v>220</v>
      </c>
      <c r="E5" s="49" t="s">
        <v>231</v>
      </c>
      <c r="F5" s="122" t="s">
        <v>232</v>
      </c>
      <c r="G5" s="123" t="s">
        <v>223</v>
      </c>
      <c r="H5" s="123">
        <v>9</v>
      </c>
      <c r="I5" s="123">
        <v>18</v>
      </c>
      <c r="J5" s="123">
        <v>27</v>
      </c>
      <c r="K5" s="123">
        <v>36</v>
      </c>
      <c r="L5" s="123" t="s">
        <v>224</v>
      </c>
      <c r="M5" s="123" t="s">
        <v>225</v>
      </c>
      <c r="N5" s="124" t="s">
        <v>226</v>
      </c>
      <c r="O5" s="123">
        <v>9</v>
      </c>
      <c r="P5" s="123">
        <v>18</v>
      </c>
      <c r="Q5" s="123">
        <v>27</v>
      </c>
      <c r="R5" s="123">
        <v>37</v>
      </c>
      <c r="S5" s="123" t="s">
        <v>227</v>
      </c>
      <c r="T5" s="124" t="s">
        <v>228</v>
      </c>
      <c r="U5" s="123">
        <v>9</v>
      </c>
      <c r="V5" s="123">
        <v>18</v>
      </c>
      <c r="W5" s="123">
        <v>27</v>
      </c>
      <c r="X5" s="123">
        <v>39</v>
      </c>
      <c r="Y5" s="123" t="s">
        <v>229</v>
      </c>
      <c r="Z5" s="121"/>
      <c r="AA5" s="125"/>
      <c r="AB5" s="121"/>
    </row>
    <row r="6" spans="1:28" ht="21" customHeight="1" x14ac:dyDescent="0.15">
      <c r="A6" s="45">
        <v>41008005</v>
      </c>
      <c r="B6" s="120" t="s">
        <v>404</v>
      </c>
      <c r="C6" s="121">
        <v>3</v>
      </c>
      <c r="D6" s="121" t="s">
        <v>220</v>
      </c>
      <c r="E6" s="49" t="s">
        <v>233</v>
      </c>
      <c r="F6" s="122" t="s">
        <v>359</v>
      </c>
      <c r="G6" s="123" t="s">
        <v>223</v>
      </c>
      <c r="H6" s="123">
        <v>9</v>
      </c>
      <c r="I6" s="123">
        <v>18</v>
      </c>
      <c r="J6" s="123">
        <v>27</v>
      </c>
      <c r="K6" s="123">
        <v>36</v>
      </c>
      <c r="L6" s="123" t="s">
        <v>224</v>
      </c>
      <c r="M6" s="123" t="s">
        <v>225</v>
      </c>
      <c r="N6" s="124" t="s">
        <v>226</v>
      </c>
      <c r="O6" s="123">
        <v>9</v>
      </c>
      <c r="P6" s="123">
        <v>18</v>
      </c>
      <c r="Q6" s="123">
        <v>27</v>
      </c>
      <c r="R6" s="123">
        <v>37</v>
      </c>
      <c r="S6" s="123" t="s">
        <v>227</v>
      </c>
      <c r="T6" s="124" t="s">
        <v>228</v>
      </c>
      <c r="U6" s="123">
        <v>9</v>
      </c>
      <c r="V6" s="123">
        <v>18</v>
      </c>
      <c r="W6" s="123">
        <v>27</v>
      </c>
      <c r="X6" s="123">
        <v>39</v>
      </c>
      <c r="Y6" s="123" t="s">
        <v>229</v>
      </c>
      <c r="Z6" s="121"/>
      <c r="AA6" s="125"/>
      <c r="AB6" s="121"/>
    </row>
    <row r="7" spans="1:28" ht="21" customHeight="1" x14ac:dyDescent="0.15">
      <c r="A7" s="45">
        <v>41008006</v>
      </c>
      <c r="B7" s="45" t="s">
        <v>386</v>
      </c>
      <c r="C7" s="48">
        <v>3</v>
      </c>
      <c r="D7" s="48" t="s">
        <v>126</v>
      </c>
      <c r="E7" s="49" t="s">
        <v>234</v>
      </c>
      <c r="F7" s="49" t="s">
        <v>235</v>
      </c>
      <c r="G7" s="61" t="str">
        <f>IFERROR(LEFT(B7,FIND("],",B7)),B7)</f>
        <v>[effect:enhance_enemy, target:enemy_all, turn:4, status:attack, val:0.3, animation:enemy_enhance_attack]</v>
      </c>
      <c r="H7" s="61">
        <f>FIND("effect:",G7)+7</f>
        <v>9</v>
      </c>
      <c r="I7" s="61">
        <f>IFERROR(FIND(",",G7),LEN(G7))</f>
        <v>22</v>
      </c>
      <c r="J7" s="61">
        <f>FIND("target:",G7)+7</f>
        <v>31</v>
      </c>
      <c r="K7" s="61">
        <f>FIND(",",G7,I7+1)</f>
        <v>40</v>
      </c>
      <c r="L7" s="61" t="str">
        <f>IFERROR(VLOOKUP(MID(G7,J7,K7-J7),[5]skilldef!$C:$D,2,FALSE),"-") &amp; " / " &amp; IFERROR(VLOOKUP(MID(G7,H7,I7-H7),[5]skilldef!$A:$B,2,FALSE),"-")</f>
        <v>敵全体に / ステータス強化</v>
      </c>
      <c r="M7" s="61" t="str">
        <f>IFERROR(RIGHT(B7,LEN(B7)-FIND("],",B7)-1),"none")</f>
        <v>[effect:enhance_enemy, target:enemy_all, turn:4, status:defense, val:1500, calc:add, animation:enemy_enhance_defense]</v>
      </c>
      <c r="N7" s="46" t="str">
        <f>IFERROR(LEFT(M7,FIND("],",M7)+S21),M7)</f>
        <v>[effect:enhance_enemy, target:enemy_all, turn:4, status:defense, val:1500, calc:add, animation:enemy_enhance_defense]</v>
      </c>
      <c r="O7" s="61">
        <f>FIND("effect:",N7)+7</f>
        <v>9</v>
      </c>
      <c r="P7" s="61">
        <f>IFERROR(FIND(",",N7),LEN(N7))</f>
        <v>22</v>
      </c>
      <c r="Q7" s="61">
        <f>FIND("target:",N7)+7</f>
        <v>31</v>
      </c>
      <c r="R7" s="61">
        <f>FIND(",",N7,P7+1)</f>
        <v>40</v>
      </c>
      <c r="S7" s="61" t="str">
        <f>IFERROR(VLOOKUP(MID(N7,Q7,R7-Q7),[5]skilldef!$C:$D,2,FALSE),"-") &amp; " / " &amp; IFERROR(VLOOKUP(MID(N7,O7,P7-O7),[5]skilldef!$A:$B,2,FALSE),"-")</f>
        <v>敵全体に / ステータス強化</v>
      </c>
      <c r="T7" s="46" t="str">
        <f>IFERROR(RIGHT(M7,LEN(M7)-FIND("],",M7)-1),"none")</f>
        <v>none</v>
      </c>
      <c r="U7" s="61" t="e">
        <f>FIND("effect:",T7)+7</f>
        <v>#VALUE!</v>
      </c>
      <c r="V7" s="61">
        <f>IFERROR(FIND(",",T7),LEN(T7))</f>
        <v>4</v>
      </c>
      <c r="W7" s="61" t="e">
        <f>FIND("target:",T7)+7</f>
        <v>#VALUE!</v>
      </c>
      <c r="X7" s="61" t="e">
        <f>FIND(",",T7,V7+1)</f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</row>
    <row r="8" spans="1:28" ht="21" customHeight="1" x14ac:dyDescent="0.15">
      <c r="A8" s="45">
        <v>41008007</v>
      </c>
      <c r="B8" s="45" t="s">
        <v>216</v>
      </c>
      <c r="C8" s="48">
        <v>3</v>
      </c>
      <c r="D8" s="48" t="s">
        <v>126</v>
      </c>
      <c r="E8" s="49" t="s">
        <v>236</v>
      </c>
      <c r="F8" s="49" t="s">
        <v>237</v>
      </c>
      <c r="G8" s="61" t="str">
        <f>IFERROR(LEFT(B8,FIND("],",B8)),B8)</f>
        <v>[effect:nothing]</v>
      </c>
      <c r="H8" s="61">
        <f>FIND("effect:",G8)+7</f>
        <v>9</v>
      </c>
      <c r="I8" s="61">
        <f>IFERROR(FIND(",",G8),LEN(G8))</f>
        <v>16</v>
      </c>
      <c r="J8" s="61" t="e">
        <f>FIND("target:",G8)+7</f>
        <v>#VALUE!</v>
      </c>
      <c r="K8" s="61" t="e">
        <f>FIND(",",G8,I8+1)</f>
        <v>#VALUE!</v>
      </c>
      <c r="L8" s="61" t="str">
        <f>IFERROR(VLOOKUP(MID(G8,J8,K8-J8),[5]skilldef!$C:$D,2,FALSE),"-") &amp; " / " &amp; IFERROR(VLOOKUP(MID(G8,H8,I8-H8),[5]skilldef!$A:$B,2,FALSE),"-")</f>
        <v>- / 何もしない</v>
      </c>
      <c r="M8" s="61" t="str">
        <f>IFERROR(RIGHT(B8,LEN(B8)-FIND("],",B8)-1),"none")</f>
        <v>none</v>
      </c>
      <c r="N8" s="46" t="str">
        <f>IFERROR(LEFT(M8,FIND("],",M8)+S22),M8)</f>
        <v>none</v>
      </c>
      <c r="O8" s="61" t="e">
        <f>FIND("effect:",N8)+7</f>
        <v>#VALUE!</v>
      </c>
      <c r="P8" s="61">
        <f>IFERROR(FIND(",",N8),LEN(N8))</f>
        <v>4</v>
      </c>
      <c r="Q8" s="61" t="e">
        <f>FIND("target:",N8)+7</f>
        <v>#VALUE!</v>
      </c>
      <c r="R8" s="61" t="e">
        <f>FIND(",",N8,P8+1)</f>
        <v>#VALUE!</v>
      </c>
      <c r="S8" s="61" t="str">
        <f>IFERROR(VLOOKUP(MID(N8,Q8,R8-Q8),[5]skilldef!$C:$D,2,FALSE),"-") &amp; " / " &amp; IFERROR(VLOOKUP(MID(N8,O8,P8-O8),[5]skilldef!$A:$B,2,FALSE),"-")</f>
        <v>- / -</v>
      </c>
      <c r="T8" s="46" t="str">
        <f>IFERROR(RIGHT(M8,LEN(M8)-FIND("],",M8)-1),"none")</f>
        <v>none</v>
      </c>
      <c r="U8" s="61" t="e">
        <f>FIND("effect:",T8)+7</f>
        <v>#VALUE!</v>
      </c>
      <c r="V8" s="61">
        <f>IFERROR(FIND(",",T8),LEN(T8))</f>
        <v>4</v>
      </c>
      <c r="W8" s="61" t="e">
        <f>FIND("target:",T8)+7</f>
        <v>#VALUE!</v>
      </c>
      <c r="X8" s="61" t="e">
        <f>FIND(",",T8,V8+1)</f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</row>
    <row r="9" spans="1:28" ht="21" customHeight="1" x14ac:dyDescent="0.15">
      <c r="A9" s="45">
        <v>41008008</v>
      </c>
      <c r="B9" s="45" t="s">
        <v>357</v>
      </c>
      <c r="C9" s="48">
        <v>3</v>
      </c>
      <c r="D9" s="48" t="s">
        <v>126</v>
      </c>
      <c r="E9" s="49" t="s">
        <v>238</v>
      </c>
      <c r="F9" s="49" t="s">
        <v>239</v>
      </c>
      <c r="G9" s="61" t="str">
        <f>IFERROR(LEFT(B9,FIND("],",B9)),B9)</f>
        <v>[effect:virus, turn:10, rate:1, val:0.25, animation:enemy_virus]</v>
      </c>
      <c r="H9" s="61">
        <f>FIND("effect:",G9)+7</f>
        <v>9</v>
      </c>
      <c r="I9" s="61">
        <f>IFERROR(FIND(",",G9),LEN(G9))</f>
        <v>14</v>
      </c>
      <c r="J9" s="61" t="e">
        <f>FIND("target:",G9)+7</f>
        <v>#VALUE!</v>
      </c>
      <c r="K9" s="61">
        <f>FIND(",",G9,I9+1)</f>
        <v>23</v>
      </c>
      <c r="L9" s="61" t="str">
        <f>IFERROR(VLOOKUP(MID(G9,J9,K9-J9),[5]skilldef!$C:$D,2,FALSE),"-") &amp; " / " &amp; IFERROR(VLOOKUP(MID(G9,H9,I9-H9),[5]skilldef!$A:$B,2,FALSE),"-")</f>
        <v>- / ウィルス</v>
      </c>
      <c r="M9" s="61" t="str">
        <f>IFERROR(RIGHT(B9,LEN(B9)-FIND("],",B9)-1),"none")</f>
        <v>none</v>
      </c>
      <c r="N9" s="46" t="str">
        <f>IFERROR(LEFT(M9,FIND("],",M9)+S23),M9)</f>
        <v>none</v>
      </c>
      <c r="O9" s="61" t="e">
        <f>FIND("effect:",N9)+7</f>
        <v>#VALUE!</v>
      </c>
      <c r="P9" s="61">
        <f>IFERROR(FIND(",",N9),LEN(N9))</f>
        <v>4</v>
      </c>
      <c r="Q9" s="61" t="e">
        <f>FIND("target:",N9)+7</f>
        <v>#VALUE!</v>
      </c>
      <c r="R9" s="61" t="e">
        <f>FIND(",",N9,P9+1)</f>
        <v>#VALUE!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>IFERROR(RIGHT(M9,LEN(M9)-FIND("],",M9)-1),"none")</f>
        <v>none</v>
      </c>
      <c r="U9" s="61" t="e">
        <f>FIND("effect:",T9)+7</f>
        <v>#VALUE!</v>
      </c>
      <c r="V9" s="61">
        <f>IFERROR(FIND(",",T9),LEN(T9))</f>
        <v>4</v>
      </c>
      <c r="W9" s="61" t="e">
        <f>FIND("target:",T9)+7</f>
        <v>#VALUE!</v>
      </c>
      <c r="X9" s="61" t="e">
        <f>FIND(",",T9,V9+1)</f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</row>
    <row r="10" spans="1:28" ht="21" customHeight="1" x14ac:dyDescent="0.15">
      <c r="A10" s="45">
        <v>41008009</v>
      </c>
      <c r="B10" s="45" t="s">
        <v>333</v>
      </c>
      <c r="C10" s="48">
        <v>3</v>
      </c>
      <c r="D10" s="48" t="s">
        <v>270</v>
      </c>
      <c r="E10" s="49" t="s">
        <v>332</v>
      </c>
      <c r="F10" s="49" t="s">
        <v>356</v>
      </c>
      <c r="G10" s="61" t="str">
        <f>IFERROR(LEFT(B10,FIND("],",B10)),B10)</f>
        <v>[effect:rush, count:1, val:1.1]</v>
      </c>
      <c r="H10" s="61">
        <f>FIND("effect:",G10)+7</f>
        <v>9</v>
      </c>
      <c r="I10" s="61">
        <f>IFERROR(FIND(",",G10),LEN(G10))</f>
        <v>13</v>
      </c>
      <c r="J10" s="61" t="e">
        <f>FIND("target:",G10)+7</f>
        <v>#VALUE!</v>
      </c>
      <c r="K10" s="61">
        <f>FIND(",",G10,I10+1)</f>
        <v>22</v>
      </c>
      <c r="L10" s="61" t="str">
        <f>IFERROR(VLOOKUP(MID(G10,J10,K10-J10),[5]skilldef!$C:$D,2,FALSE),"-") &amp; " / " &amp; IFERROR(VLOOKUP(MID(G10,H10,I10-H10),[5]skilldef!$A:$B,2,FALSE),"-")</f>
        <v>- / 連続攻撃</v>
      </c>
      <c r="M10" s="61" t="str">
        <f>IFERROR(RIGHT(B10,LEN(B10)-FIND("],",B10)-1),"none")</f>
        <v>none</v>
      </c>
      <c r="N10" s="46" t="str">
        <f>IFERROR(LEFT(M10,FIND("],",M10)+S57),M10)</f>
        <v>none</v>
      </c>
      <c r="O10" s="61" t="e">
        <f>FIND("effect:",N10)+7</f>
        <v>#VALUE!</v>
      </c>
      <c r="P10" s="61">
        <f>IFERROR(FIND(",",N10),LEN(N10))</f>
        <v>4</v>
      </c>
      <c r="Q10" s="61" t="e">
        <f>FIND("target:",N10)+7</f>
        <v>#VALUE!</v>
      </c>
      <c r="R10" s="61" t="e">
        <f>FIND(",",N10,P10+1)</f>
        <v>#VALUE!</v>
      </c>
      <c r="S10" s="61" t="str">
        <f>IFERROR(VLOOKUP(MID(N10,Q10,R10-Q10),[5]skilldef!$C:$D,2,FALSE),"-") &amp; " / " &amp; IFERROR(VLOOKUP(MID(N10,O10,P10-O10),[5]skilldef!$A:$B,2,FALSE),"-")</f>
        <v>- / -</v>
      </c>
      <c r="T10" s="46" t="str">
        <f>IFERROR(RIGHT(M10,LEN(M10)-FIND("],",M10)-1),"none")</f>
        <v>none</v>
      </c>
      <c r="U10" s="61" t="e">
        <f>FIND("effect:",T10)+7</f>
        <v>#VALUE!</v>
      </c>
      <c r="V10" s="61">
        <f>IFERROR(FIND(",",T10),LEN(T10))</f>
        <v>4</v>
      </c>
      <c r="W10" s="61" t="e">
        <f>FIND("target:",T10)+7</f>
        <v>#VALUE!</v>
      </c>
      <c r="X10" s="61" t="e">
        <f>FIND(",",T10,V10+1)</f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</row>
    <row r="11" spans="1:28" ht="21" customHeight="1" x14ac:dyDescent="0.15">
      <c r="A11" s="45">
        <v>41008010</v>
      </c>
      <c r="B11" s="120" t="s">
        <v>341</v>
      </c>
      <c r="C11" s="121">
        <v>3</v>
      </c>
      <c r="D11" s="121" t="s">
        <v>220</v>
      </c>
      <c r="E11" s="49" t="s">
        <v>240</v>
      </c>
      <c r="F11" s="122" t="s">
        <v>338</v>
      </c>
      <c r="G11" s="123" t="s">
        <v>223</v>
      </c>
      <c r="H11" s="123">
        <v>9</v>
      </c>
      <c r="I11" s="123">
        <v>18</v>
      </c>
      <c r="J11" s="123">
        <v>27</v>
      </c>
      <c r="K11" s="123">
        <v>36</v>
      </c>
      <c r="L11" s="123" t="s">
        <v>224</v>
      </c>
      <c r="M11" s="123" t="s">
        <v>225</v>
      </c>
      <c r="N11" s="124" t="s">
        <v>226</v>
      </c>
      <c r="O11" s="123">
        <v>9</v>
      </c>
      <c r="P11" s="123">
        <v>18</v>
      </c>
      <c r="Q11" s="123">
        <v>27</v>
      </c>
      <c r="R11" s="123">
        <v>37</v>
      </c>
      <c r="S11" s="123" t="s">
        <v>227</v>
      </c>
      <c r="T11" s="124" t="s">
        <v>228</v>
      </c>
      <c r="U11" s="123">
        <v>9</v>
      </c>
      <c r="V11" s="123">
        <v>18</v>
      </c>
      <c r="W11" s="123">
        <v>27</v>
      </c>
      <c r="X11" s="123">
        <v>39</v>
      </c>
      <c r="Y11" s="123" t="s">
        <v>229</v>
      </c>
      <c r="Z11" s="121"/>
      <c r="AA11" s="125"/>
      <c r="AB11" s="121"/>
    </row>
    <row r="12" spans="1:28" ht="21" customHeight="1" x14ac:dyDescent="0.15">
      <c r="A12" s="45">
        <v>41008011</v>
      </c>
      <c r="B12" s="120" t="s">
        <v>242</v>
      </c>
      <c r="C12" s="121">
        <v>3</v>
      </c>
      <c r="D12" s="121" t="s">
        <v>220</v>
      </c>
      <c r="E12" s="49" t="s">
        <v>243</v>
      </c>
      <c r="F12" s="122" t="s">
        <v>244</v>
      </c>
      <c r="G12" s="123" t="s">
        <v>223</v>
      </c>
      <c r="H12" s="123">
        <v>9</v>
      </c>
      <c r="I12" s="123">
        <v>18</v>
      </c>
      <c r="J12" s="123">
        <v>27</v>
      </c>
      <c r="K12" s="123">
        <v>36</v>
      </c>
      <c r="L12" s="123" t="s">
        <v>224</v>
      </c>
      <c r="M12" s="123" t="s">
        <v>225</v>
      </c>
      <c r="N12" s="124" t="s">
        <v>226</v>
      </c>
      <c r="O12" s="123">
        <v>9</v>
      </c>
      <c r="P12" s="123">
        <v>18</v>
      </c>
      <c r="Q12" s="123">
        <v>27</v>
      </c>
      <c r="R12" s="123">
        <v>37</v>
      </c>
      <c r="S12" s="123" t="s">
        <v>227</v>
      </c>
      <c r="T12" s="124" t="s">
        <v>228</v>
      </c>
      <c r="U12" s="123">
        <v>9</v>
      </c>
      <c r="V12" s="123">
        <v>18</v>
      </c>
      <c r="W12" s="123">
        <v>27</v>
      </c>
      <c r="X12" s="123">
        <v>39</v>
      </c>
      <c r="Y12" s="123" t="s">
        <v>229</v>
      </c>
      <c r="Z12" s="121"/>
      <c r="AA12" s="125"/>
      <c r="AB12" s="121"/>
    </row>
    <row r="13" spans="1:28" ht="21" customHeight="1" x14ac:dyDescent="0.15">
      <c r="A13" s="45">
        <v>41008012</v>
      </c>
      <c r="B13" s="120" t="s">
        <v>340</v>
      </c>
      <c r="C13" s="121">
        <v>3</v>
      </c>
      <c r="D13" s="121" t="s">
        <v>220</v>
      </c>
      <c r="E13" s="49" t="s">
        <v>245</v>
      </c>
      <c r="F13" s="122" t="s">
        <v>339</v>
      </c>
      <c r="G13" s="123" t="s">
        <v>223</v>
      </c>
      <c r="H13" s="123">
        <v>9</v>
      </c>
      <c r="I13" s="123">
        <v>18</v>
      </c>
      <c r="J13" s="123">
        <v>27</v>
      </c>
      <c r="K13" s="123">
        <v>36</v>
      </c>
      <c r="L13" s="123" t="s">
        <v>224</v>
      </c>
      <c r="M13" s="123" t="s">
        <v>225</v>
      </c>
      <c r="N13" s="124" t="s">
        <v>226</v>
      </c>
      <c r="O13" s="123">
        <v>9</v>
      </c>
      <c r="P13" s="123">
        <v>18</v>
      </c>
      <c r="Q13" s="123">
        <v>27</v>
      </c>
      <c r="R13" s="123">
        <v>37</v>
      </c>
      <c r="S13" s="123" t="s">
        <v>227</v>
      </c>
      <c r="T13" s="124" t="s">
        <v>228</v>
      </c>
      <c r="U13" s="123">
        <v>9</v>
      </c>
      <c r="V13" s="123">
        <v>18</v>
      </c>
      <c r="W13" s="123">
        <v>27</v>
      </c>
      <c r="X13" s="123">
        <v>39</v>
      </c>
      <c r="Y13" s="123" t="s">
        <v>229</v>
      </c>
      <c r="Z13" s="121"/>
      <c r="AA13" s="125"/>
      <c r="AB13" s="121"/>
    </row>
    <row r="14" spans="1:28" ht="21" customHeight="1" x14ac:dyDescent="0.15">
      <c r="A14" s="45">
        <v>41008013</v>
      </c>
      <c r="B14" s="126" t="s">
        <v>241</v>
      </c>
      <c r="C14" s="121">
        <v>3</v>
      </c>
      <c r="D14" s="121" t="s">
        <v>220</v>
      </c>
      <c r="E14" s="49" t="s">
        <v>246</v>
      </c>
      <c r="F14" s="122" t="s">
        <v>244</v>
      </c>
      <c r="G14" s="123" t="s">
        <v>223</v>
      </c>
      <c r="H14" s="123">
        <v>9</v>
      </c>
      <c r="I14" s="123">
        <v>18</v>
      </c>
      <c r="J14" s="123">
        <v>27</v>
      </c>
      <c r="K14" s="123">
        <v>36</v>
      </c>
      <c r="L14" s="123" t="s">
        <v>224</v>
      </c>
      <c r="M14" s="123" t="s">
        <v>225</v>
      </c>
      <c r="N14" s="124" t="s">
        <v>226</v>
      </c>
      <c r="O14" s="123">
        <v>9</v>
      </c>
      <c r="P14" s="123">
        <v>18</v>
      </c>
      <c r="Q14" s="123">
        <v>27</v>
      </c>
      <c r="R14" s="123">
        <v>37</v>
      </c>
      <c r="S14" s="123" t="s">
        <v>227</v>
      </c>
      <c r="T14" s="124" t="s">
        <v>228</v>
      </c>
      <c r="U14" s="123">
        <v>9</v>
      </c>
      <c r="V14" s="123">
        <v>18</v>
      </c>
      <c r="W14" s="123">
        <v>27</v>
      </c>
      <c r="X14" s="123">
        <v>39</v>
      </c>
      <c r="Y14" s="123" t="s">
        <v>229</v>
      </c>
      <c r="Z14" s="121"/>
      <c r="AA14" s="125"/>
      <c r="AB14" s="121"/>
    </row>
    <row r="15" spans="1:28" ht="21" customHeight="1" x14ac:dyDescent="0.15">
      <c r="A15" s="45">
        <v>41008014</v>
      </c>
      <c r="B15" s="45" t="s">
        <v>247</v>
      </c>
      <c r="C15" s="48">
        <v>3</v>
      </c>
      <c r="D15" s="48" t="s">
        <v>126</v>
      </c>
      <c r="E15" s="49" t="s">
        <v>248</v>
      </c>
      <c r="F15" s="49" t="s">
        <v>249</v>
      </c>
      <c r="G15" s="61" t="str">
        <f t="shared" ref="G15:G50" si="0">IFERROR(LEFT(B15,FIND("],",B15)),B15)</f>
        <v>[effect:fix_speed,target:myself,turn:1]</v>
      </c>
      <c r="H15" s="61">
        <f t="shared" ref="H15:H50" si="1">FIND("effect:",G15)+7</f>
        <v>9</v>
      </c>
      <c r="I15" s="61">
        <f t="shared" ref="I15:I50" si="2">IFERROR(FIND(",",G15),LEN(G15))</f>
        <v>18</v>
      </c>
      <c r="J15" s="61">
        <f t="shared" ref="J15:J50" si="3">FIND("target:",G15)+7</f>
        <v>26</v>
      </c>
      <c r="K15" s="61">
        <f t="shared" ref="K15:K50" si="4">FIND(",",G15,I15+1)</f>
        <v>32</v>
      </c>
      <c r="L15" s="61" t="str">
        <f>IFERROR(VLOOKUP(MID(G15,J15,K15-J15),[5]skilldef!$C:$D,2,FALSE),"-") &amp; " / " &amp; IFERROR(VLOOKUP(MID(G15,H15,I15-H15),[5]skilldef!$A:$B,2,FALSE),"-")</f>
        <v>自分自身に / 行動値設定</v>
      </c>
      <c r="M15" s="61" t="str">
        <f t="shared" ref="M15:M50" si="5">IFERROR(RIGHT(B15,LEN(B15)-FIND("],",B15)-1),"none")</f>
        <v>none</v>
      </c>
      <c r="N15" s="46" t="str">
        <f>IFERROR(LEFT(M15,FIND("],",M15)+S27),M15)</f>
        <v>none</v>
      </c>
      <c r="O15" s="61" t="e">
        <f t="shared" ref="O15:O50" si="6">FIND("effect:",N15)+7</f>
        <v>#VALUE!</v>
      </c>
      <c r="P15" s="61">
        <f t="shared" ref="P15:P50" si="7">IFERROR(FIND(",",N15),LEN(N15))</f>
        <v>4</v>
      </c>
      <c r="Q15" s="61" t="e">
        <f t="shared" ref="Q15:Q50" si="8">FIND("target:",N15)+7</f>
        <v>#VALUE!</v>
      </c>
      <c r="R15" s="61" t="e">
        <f t="shared" ref="R15:R50" si="9">FIND(",",N15,P15+1)</f>
        <v>#VALUE!</v>
      </c>
      <c r="S15" s="61" t="str">
        <f>IFERROR(VLOOKUP(MID(N15,Q15,R15-Q15),[5]skilldef!$C:$D,2,FALSE),"-") &amp; " / " &amp; IFERROR(VLOOKUP(MID(N15,O15,P15-O15),[5]skilldef!$A:$B,2,FALSE),"-")</f>
        <v>- / -</v>
      </c>
      <c r="T15" s="46" t="str">
        <f t="shared" ref="T15:T50" si="10">IFERROR(RIGHT(M15,LEN(M15)-FIND("],",M15)-1),"none")</f>
        <v>none</v>
      </c>
      <c r="U15" s="61" t="e">
        <f t="shared" ref="U15:U50" si="11">FIND("effect:",T15)+7</f>
        <v>#VALUE!</v>
      </c>
      <c r="V15" s="61">
        <f t="shared" ref="V15:V50" si="12">IFERROR(FIND(",",T15),LEN(T15))</f>
        <v>4</v>
      </c>
      <c r="W15" s="61" t="e">
        <f t="shared" ref="W15:W50" si="13">FIND("target:",T15)+7</f>
        <v>#VALUE!</v>
      </c>
      <c r="X15" s="61" t="e">
        <f t="shared" ref="X15:X50" si="14">FIND(",",T15,V15+1)</f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8"/>
      <c r="AA15" s="50"/>
      <c r="AB15" s="48"/>
    </row>
    <row r="16" spans="1:28" ht="21" customHeight="1" x14ac:dyDescent="0.15">
      <c r="A16" s="45">
        <v>41008015</v>
      </c>
      <c r="B16" s="45" t="s">
        <v>381</v>
      </c>
      <c r="C16" s="48">
        <v>3</v>
      </c>
      <c r="D16" s="48" t="s">
        <v>250</v>
      </c>
      <c r="E16" s="49" t="s">
        <v>251</v>
      </c>
      <c r="F16" s="49" t="s">
        <v>252</v>
      </c>
      <c r="G16" s="61" t="str">
        <f t="shared" si="0"/>
        <v>[effect:change_attribute, target:myself, color:green, turn:-1, animation:change_attribute_green]</v>
      </c>
      <c r="H16" s="61">
        <f t="shared" si="1"/>
        <v>9</v>
      </c>
      <c r="I16" s="61">
        <f t="shared" si="2"/>
        <v>25</v>
      </c>
      <c r="J16" s="61">
        <f t="shared" si="3"/>
        <v>34</v>
      </c>
      <c r="K16" s="61">
        <f t="shared" si="4"/>
        <v>40</v>
      </c>
      <c r="L16" s="61" t="str">
        <f>IFERROR(VLOOKUP(MID(G16,J16,K16-J16),[5]skilldef!$C:$D,2,FALSE),"-") &amp; " / " &amp; IFERROR(VLOOKUP(MID(G16,H16,I16-H16),[5]skilldef!$A:$B,2,FALSE),"-")</f>
        <v>自分自身に / -</v>
      </c>
      <c r="M16" s="61" t="str">
        <f t="shared" si="5"/>
        <v>[effect:rush, count:2, val:0.6]</v>
      </c>
      <c r="N16" s="46" t="str">
        <f>IFERROR(LEFT(M16,FIND("],",M16)+S28),M16)</f>
        <v>[effect:rush, count:2, val:0.6]</v>
      </c>
      <c r="O16" s="61">
        <f t="shared" si="6"/>
        <v>9</v>
      </c>
      <c r="P16" s="61">
        <f t="shared" si="7"/>
        <v>13</v>
      </c>
      <c r="Q16" s="61" t="e">
        <f t="shared" si="8"/>
        <v>#VALUE!</v>
      </c>
      <c r="R16" s="61">
        <f t="shared" si="9"/>
        <v>22</v>
      </c>
      <c r="S16" s="61" t="str">
        <f>IFERROR(VLOOKUP(MID(N16,Q16,R16-Q16),[5]skilldef!$C:$D,2,FALSE),"-") &amp; " / " &amp; IFERROR(VLOOKUP(MID(N16,O16,P16-O16),[5]skilldef!$A:$B,2,FALSE),"-")</f>
        <v>- / 連続攻撃</v>
      </c>
      <c r="T16" s="46" t="str">
        <f t="shared" si="10"/>
        <v>none</v>
      </c>
      <c r="U16" s="61" t="e">
        <f t="shared" si="11"/>
        <v>#VALUE!</v>
      </c>
      <c r="V16" s="61">
        <f t="shared" si="12"/>
        <v>4</v>
      </c>
      <c r="W16" s="61" t="e">
        <f t="shared" si="13"/>
        <v>#VALUE!</v>
      </c>
      <c r="X16" s="61" t="e">
        <f t="shared" si="14"/>
        <v>#VALUE!</v>
      </c>
      <c r="Y16" s="61" t="str">
        <f>IFERROR(VLOOKUP(MID(T16,W16,X16-W16),[5]skilldef!$C:$D,2,FALSE),"-") &amp; " / " &amp; IFERROR(VLOOKUP(MID(T16,U16,V16-U16),[5]skilldef!$A:$B,2,FALSE),"-")</f>
        <v>- / -</v>
      </c>
      <c r="Z16" s="48"/>
      <c r="AA16" s="50"/>
      <c r="AB16" s="48"/>
    </row>
    <row r="17" spans="1:28" ht="21" customHeight="1" x14ac:dyDescent="0.15">
      <c r="A17" s="45">
        <v>41008016</v>
      </c>
      <c r="B17" s="45" t="s">
        <v>382</v>
      </c>
      <c r="C17" s="48">
        <v>3</v>
      </c>
      <c r="D17" s="48" t="s">
        <v>270</v>
      </c>
      <c r="E17" s="49" t="s">
        <v>325</v>
      </c>
      <c r="F17" s="49" t="s">
        <v>252</v>
      </c>
      <c r="G17" s="61" t="str">
        <f>IFERROR(LEFT(B17,FIND("],",B17)),B17)</f>
        <v>[effect:change_attribute, target:myself, color:blue, turn:-1, animation:change_attribute_blue]</v>
      </c>
      <c r="H17" s="61">
        <f>FIND("effect:",G17)+7</f>
        <v>9</v>
      </c>
      <c r="I17" s="61">
        <f>IFERROR(FIND(",",G17),LEN(G17))</f>
        <v>25</v>
      </c>
      <c r="J17" s="61">
        <f>FIND("target:",G17)+7</f>
        <v>34</v>
      </c>
      <c r="K17" s="61">
        <f>FIND(",",G17,I17+1)</f>
        <v>40</v>
      </c>
      <c r="L17" s="61" t="str">
        <f>IFERROR(VLOOKUP(MID(G17,J17,K17-J17),[5]skilldef!$C:$D,2,FALSE),"-") &amp; " / " &amp; IFERROR(VLOOKUP(MID(G17,H17,I17-H17),[5]skilldef!$A:$B,2,FALSE),"-")</f>
        <v>自分自身に / -</v>
      </c>
      <c r="M17" s="61" t="str">
        <f>IFERROR(RIGHT(B17,LEN(B17)-FIND("],",B17)-1),"none")</f>
        <v>[effect:rush, count:2, val:0.6]</v>
      </c>
      <c r="N17" s="46" t="str">
        <f>IFERROR(LEFT(M17,FIND("],",M17)+S56),M17)</f>
        <v>[effect:rush, count:2, val:0.6]</v>
      </c>
      <c r="O17" s="61">
        <f>FIND("effect:",N17)+7</f>
        <v>9</v>
      </c>
      <c r="P17" s="61">
        <f>IFERROR(FIND(",",N17),LEN(N17))</f>
        <v>13</v>
      </c>
      <c r="Q17" s="61" t="e">
        <f>FIND("target:",N17)+7</f>
        <v>#VALUE!</v>
      </c>
      <c r="R17" s="61">
        <f>FIND(",",N17,P17+1)</f>
        <v>22</v>
      </c>
      <c r="S17" s="61" t="str">
        <f>IFERROR(VLOOKUP(MID(N17,Q17,R17-Q17),[5]skilldef!$C:$D,2,FALSE),"-") &amp; " / " &amp; IFERROR(VLOOKUP(MID(N17,O17,P17-O17),[5]skilldef!$A:$B,2,FALSE),"-")</f>
        <v>- / 連続攻撃</v>
      </c>
      <c r="T17" s="46" t="str">
        <f>IFERROR(RIGHT(M17,LEN(M17)-FIND("],",M17)-1),"none")</f>
        <v>none</v>
      </c>
      <c r="U17" s="61" t="e">
        <f>FIND("effect:",T17)+7</f>
        <v>#VALUE!</v>
      </c>
      <c r="V17" s="61">
        <f>IFERROR(FIND(",",T17),LEN(T17))</f>
        <v>4</v>
      </c>
      <c r="W17" s="61" t="e">
        <f>FIND("target:",T17)+7</f>
        <v>#VALUE!</v>
      </c>
      <c r="X17" s="61" t="e">
        <f>FIND(",",T17,V17+1)</f>
        <v>#VALUE!</v>
      </c>
      <c r="Y17" s="61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48"/>
    </row>
    <row r="18" spans="1:28" ht="21" customHeight="1" x14ac:dyDescent="0.15">
      <c r="A18" s="45">
        <v>41008017</v>
      </c>
      <c r="B18" s="45" t="s">
        <v>384</v>
      </c>
      <c r="C18" s="48">
        <v>3</v>
      </c>
      <c r="D18" s="48" t="s">
        <v>126</v>
      </c>
      <c r="E18" s="49" t="s">
        <v>253</v>
      </c>
      <c r="F18" s="49" t="s">
        <v>385</v>
      </c>
      <c r="G18" s="61" t="str">
        <f t="shared" si="0"/>
        <v>[effect:break_enchance_enemy, val:0.05, lowest_val:0.01, count :8, status:attack, turn:3, block:block_green, target:myself, calc:mul, animation:enemy_enhance_attack]</v>
      </c>
      <c r="H18" s="61">
        <f t="shared" si="1"/>
        <v>9</v>
      </c>
      <c r="I18" s="61">
        <f t="shared" si="2"/>
        <v>29</v>
      </c>
      <c r="J18" s="61">
        <f t="shared" si="3"/>
        <v>117</v>
      </c>
      <c r="K18" s="61">
        <f t="shared" si="4"/>
        <v>39</v>
      </c>
      <c r="L18" s="61" t="str">
        <f>IFERROR(VLOOKUP(MID(G18,J18,K18-J18),[5]skilldef!$C:$D,2,FALSE),"-") &amp; " / " &amp; IFERROR(VLOOKUP(MID(G18,H18,I18-H18),[5]skilldef!$A:$B,2,FALSE),"-")</f>
        <v>- / -</v>
      </c>
      <c r="M18" s="61" t="str">
        <f t="shared" si="5"/>
        <v>none</v>
      </c>
      <c r="N18" s="46" t="str">
        <f>IFERROR(LEFT(M18,FIND("],",M18)+#REF!),M18)</f>
        <v>none</v>
      </c>
      <c r="O18" s="61" t="e">
        <f t="shared" si="6"/>
        <v>#VALUE!</v>
      </c>
      <c r="P18" s="61">
        <f t="shared" si="7"/>
        <v>4</v>
      </c>
      <c r="Q18" s="61" t="e">
        <f t="shared" si="8"/>
        <v>#VALUE!</v>
      </c>
      <c r="R18" s="61" t="e">
        <f t="shared" si="9"/>
        <v>#VALUE!</v>
      </c>
      <c r="S18" s="61" t="str">
        <f>IFERROR(VLOOKUP(MID(N18,Q18,R18-Q18),[5]skilldef!$C:$D,2,FALSE),"-") &amp; " / " &amp; IFERROR(VLOOKUP(MID(N18,O18,P18-O18),[5]skilldef!$A:$B,2,FALSE),"-")</f>
        <v>- / -</v>
      </c>
      <c r="T18" s="46" t="str">
        <f t="shared" si="10"/>
        <v>none</v>
      </c>
      <c r="U18" s="61" t="e">
        <f t="shared" si="11"/>
        <v>#VALUE!</v>
      </c>
      <c r="V18" s="61">
        <f t="shared" si="12"/>
        <v>4</v>
      </c>
      <c r="W18" s="61" t="e">
        <f t="shared" si="13"/>
        <v>#VALUE!</v>
      </c>
      <c r="X18" s="61" t="e">
        <f t="shared" si="14"/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48"/>
      <c r="AA18" s="50"/>
      <c r="AB18" s="48"/>
    </row>
    <row r="19" spans="1:28" ht="21" customHeight="1" x14ac:dyDescent="0.15">
      <c r="A19" s="45">
        <v>41008018</v>
      </c>
      <c r="B19" s="45" t="s">
        <v>216</v>
      </c>
      <c r="C19" s="48">
        <v>3</v>
      </c>
      <c r="D19" s="48" t="s">
        <v>126</v>
      </c>
      <c r="E19" s="49" t="s">
        <v>254</v>
      </c>
      <c r="F19" s="49" t="s">
        <v>255</v>
      </c>
      <c r="G19" s="61" t="str">
        <f t="shared" si="0"/>
        <v>[effect:nothing]</v>
      </c>
      <c r="H19" s="61">
        <f t="shared" si="1"/>
        <v>9</v>
      </c>
      <c r="I19" s="61">
        <f t="shared" si="2"/>
        <v>16</v>
      </c>
      <c r="J19" s="61" t="e">
        <f t="shared" si="3"/>
        <v>#VALUE!</v>
      </c>
      <c r="K19" s="61" t="e">
        <f t="shared" si="4"/>
        <v>#VALUE!</v>
      </c>
      <c r="L19" s="61" t="str">
        <f>IFERROR(VLOOKUP(MID(G19,J19,K19-J19),[5]skilldef!$C:$D,2,FALSE),"-") &amp; " / " &amp; IFERROR(VLOOKUP(MID(G19,H19,I19-H19),[5]skilldef!$A:$B,2,FALSE),"-")</f>
        <v>- / 何もしない</v>
      </c>
      <c r="M19" s="61" t="str">
        <f t="shared" si="5"/>
        <v>none</v>
      </c>
      <c r="N19" s="46" t="str">
        <f>IFERROR(LEFT(M19,FIND("],",M19)+#REF!),M19)</f>
        <v>none</v>
      </c>
      <c r="O19" s="61" t="e">
        <f t="shared" si="6"/>
        <v>#VALUE!</v>
      </c>
      <c r="P19" s="61">
        <f t="shared" si="7"/>
        <v>4</v>
      </c>
      <c r="Q19" s="61" t="e">
        <f t="shared" si="8"/>
        <v>#VALUE!</v>
      </c>
      <c r="R19" s="61" t="e">
        <f t="shared" si="9"/>
        <v>#VALUE!</v>
      </c>
      <c r="S19" s="61" t="str">
        <f>IFERROR(VLOOKUP(MID(N19,Q19,R19-Q19),[5]skilldef!$C:$D,2,FALSE),"-") &amp; " / " &amp; IFERROR(VLOOKUP(MID(N19,O19,P19-O19),[5]skilldef!$A:$B,2,FALSE),"-")</f>
        <v>- / -</v>
      </c>
      <c r="T19" s="46" t="str">
        <f t="shared" si="10"/>
        <v>none</v>
      </c>
      <c r="U19" s="61" t="e">
        <f t="shared" si="11"/>
        <v>#VALUE!</v>
      </c>
      <c r="V19" s="61">
        <f t="shared" si="12"/>
        <v>4</v>
      </c>
      <c r="W19" s="61" t="e">
        <f t="shared" si="13"/>
        <v>#VALUE!</v>
      </c>
      <c r="X19" s="61" t="e">
        <f t="shared" si="14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48"/>
    </row>
    <row r="20" spans="1:28" ht="21" customHeight="1" x14ac:dyDescent="0.15">
      <c r="A20" s="45">
        <v>41008019</v>
      </c>
      <c r="B20" s="45" t="s">
        <v>256</v>
      </c>
      <c r="C20" s="48">
        <v>3</v>
      </c>
      <c r="D20" s="48" t="s">
        <v>126</v>
      </c>
      <c r="E20" s="49" t="s">
        <v>257</v>
      </c>
      <c r="F20" s="49" t="s">
        <v>258</v>
      </c>
      <c r="G20" s="61" t="str">
        <f t="shared" si="0"/>
        <v>[effect:spread, val:0.35]</v>
      </c>
      <c r="H20" s="61">
        <f t="shared" si="1"/>
        <v>9</v>
      </c>
      <c r="I20" s="61">
        <f t="shared" si="2"/>
        <v>15</v>
      </c>
      <c r="J20" s="61" t="e">
        <f t="shared" si="3"/>
        <v>#VALUE!</v>
      </c>
      <c r="K20" s="61" t="e">
        <f t="shared" si="4"/>
        <v>#VALUE!</v>
      </c>
      <c r="L20" s="61" t="str">
        <f>IFERROR(VLOOKUP(MID(G20,J20,K20-J20),[5]skilldef!$C:$D,2,FALSE),"-") &amp; " / " &amp; IFERROR(VLOOKUP(MID(G20,H20,I20-H20),[5]skilldef!$A:$B,2,FALSE),"-")</f>
        <v>- / 全体攻撃</v>
      </c>
      <c r="M20" s="61" t="str">
        <f t="shared" si="5"/>
        <v>[effect:rush, count:4, val:0.15]</v>
      </c>
      <c r="N20" s="46" t="str">
        <f>IFERROR(LEFT(M20,FIND("],",M20)+S32),M20)</f>
        <v>[effect:rush, count:4, val:0.15]</v>
      </c>
      <c r="O20" s="61">
        <f t="shared" si="6"/>
        <v>9</v>
      </c>
      <c r="P20" s="61">
        <f t="shared" si="7"/>
        <v>13</v>
      </c>
      <c r="Q20" s="61" t="e">
        <f t="shared" si="8"/>
        <v>#VALUE!</v>
      </c>
      <c r="R20" s="61">
        <f t="shared" si="9"/>
        <v>22</v>
      </c>
      <c r="S20" s="61" t="str">
        <f>IFERROR(VLOOKUP(MID(N20,Q20,R20-Q20),[5]skilldef!$C:$D,2,FALSE),"-") &amp; " / " &amp; IFERROR(VLOOKUP(MID(N20,O20,P20-O20),[5]skilldef!$A:$B,2,FALSE),"-")</f>
        <v>- / 連続攻撃</v>
      </c>
      <c r="T20" s="46" t="str">
        <f t="shared" si="10"/>
        <v>none</v>
      </c>
      <c r="U20" s="61" t="e">
        <f t="shared" si="11"/>
        <v>#VALUE!</v>
      </c>
      <c r="V20" s="61">
        <f t="shared" si="12"/>
        <v>4</v>
      </c>
      <c r="W20" s="61" t="e">
        <f t="shared" si="13"/>
        <v>#VALUE!</v>
      </c>
      <c r="X20" s="61" t="e">
        <f t="shared" si="14"/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8"/>
      <c r="AA20" s="50"/>
      <c r="AB20" s="48"/>
    </row>
    <row r="21" spans="1:28" ht="21" customHeight="1" x14ac:dyDescent="0.15">
      <c r="A21" s="45">
        <v>41008020</v>
      </c>
      <c r="B21" s="127" t="s">
        <v>410</v>
      </c>
      <c r="C21" s="48">
        <v>3</v>
      </c>
      <c r="D21" s="48" t="s">
        <v>259</v>
      </c>
      <c r="E21" s="49" t="s">
        <v>260</v>
      </c>
      <c r="F21" s="49" t="s">
        <v>261</v>
      </c>
      <c r="G21" s="61" t="str">
        <f t="shared" si="0"/>
        <v>[effect:fix_speed,target:myself,turn:1]</v>
      </c>
      <c r="H21" s="61">
        <f t="shared" si="1"/>
        <v>9</v>
      </c>
      <c r="I21" s="61">
        <f t="shared" si="2"/>
        <v>18</v>
      </c>
      <c r="J21" s="61">
        <f t="shared" si="3"/>
        <v>26</v>
      </c>
      <c r="K21" s="61">
        <f t="shared" si="4"/>
        <v>32</v>
      </c>
      <c r="L21" s="61" t="str">
        <f>IFERROR(VLOOKUP(MID(G21,J21,K21-J21),[5]skilldef!$C:$D,2,FALSE),"-") &amp; " / " &amp; IFERROR(VLOOKUP(MID(G21,H21,I21-H21),[5]skilldef!$A:$B,2,FALSE),"-")</f>
        <v>自分自身に / 行動値設定</v>
      </c>
      <c r="M21" s="61" t="str">
        <f t="shared" si="5"/>
        <v>[effect:tolerance, target:myself, turn:-1, tolerance_effect:hungup, count:-1],[effect:tolerance, target:myself, turn:-1, tolerance_effect:sleep, count:-1, animation:enemy_tolerance],[effect:ability_lock, target:unit_all, turn:1],[effect:hungup, target:unit_all, turn:1, rate:1, animation:hungup01],[effect:force_change_block, new_block:jammer, target:block_all, count:0, val:0, animation:change_block],[effect:enhance_fever, val:1000.0, animation:fevergauge_up04]</v>
      </c>
      <c r="N21" s="46" t="str">
        <f>IFERROR(LEFT(M21,FIND("],",M21)+S33),M21)</f>
        <v>[effect:tolerance, target:myself, turn:-1, tolerance_effect:hungup, count:-1],[effect:tolerance, target:myself, turn:-1, tolerance_effect:sleep, count:-1, animation:enemy_tolerance],[effect:ability_lock, target:unit_all, turn:1],[effect:hungup, target:unit_all, turn:1, rate:1, animation:hungup01],[effect:force_change_block, new_block:jammer, target:block_all, count:0, val:0, animation:change_block],[effect:enhance_fever, val:1000.0, animation:fevergauge_up04]</v>
      </c>
      <c r="O21" s="61">
        <f t="shared" si="6"/>
        <v>9</v>
      </c>
      <c r="P21" s="61">
        <f t="shared" si="7"/>
        <v>18</v>
      </c>
      <c r="Q21" s="61">
        <f t="shared" si="8"/>
        <v>27</v>
      </c>
      <c r="R21" s="61">
        <f t="shared" si="9"/>
        <v>33</v>
      </c>
      <c r="S21" s="61" t="str">
        <f>IFERROR(VLOOKUP(MID(N21,Q21,R21-Q21),[5]skilldef!$C:$D,2,FALSE),"-") &amp; " / " &amp; IFERROR(VLOOKUP(MID(N21,O21,P21-O21),[5]skilldef!$A:$B,2,FALSE),"-")</f>
        <v>自分自身に / 状態異常耐性</v>
      </c>
      <c r="T21" s="46" t="str">
        <f t="shared" si="10"/>
        <v>[effect:tolerance, target:myself, turn:-1, tolerance_effect:sleep, count:-1, animation:enemy_tolerance],[effect:ability_lock, target:unit_all, turn:1],[effect:hungup, target:unit_all, turn:1, rate:1, animation:hungup01],[effect:force_change_block, new_block:jammer, target:block_all, count:0, val:0, animation:change_block],[effect:enhance_fever, val:1000.0, animation:fevergauge_up04]</v>
      </c>
      <c r="U21" s="61">
        <f t="shared" si="11"/>
        <v>9</v>
      </c>
      <c r="V21" s="61">
        <f t="shared" si="12"/>
        <v>18</v>
      </c>
      <c r="W21" s="61">
        <f t="shared" si="13"/>
        <v>27</v>
      </c>
      <c r="X21" s="61">
        <f t="shared" si="14"/>
        <v>33</v>
      </c>
      <c r="Y21" s="61" t="str">
        <f>IFERROR(VLOOKUP(MID(T21,W21,X21-W21),[5]skilldef!$C:$D,2,FALSE),"-") &amp; " / " &amp; IFERROR(VLOOKUP(MID(T21,U21,V21-U21),[5]skilldef!$A:$B,2,FALSE),"-")</f>
        <v>自分自身に / 状態異常耐性</v>
      </c>
      <c r="Z21" s="48"/>
      <c r="AA21" s="50"/>
      <c r="AB21" s="48"/>
    </row>
    <row r="22" spans="1:28" ht="21" customHeight="1" x14ac:dyDescent="0.15">
      <c r="A22" s="45">
        <v>41008021</v>
      </c>
      <c r="B22" s="45" t="s">
        <v>262</v>
      </c>
      <c r="C22" s="48">
        <v>3</v>
      </c>
      <c r="D22" s="48" t="s">
        <v>126</v>
      </c>
      <c r="E22" s="49" t="s">
        <v>263</v>
      </c>
      <c r="F22" s="49" t="s">
        <v>264</v>
      </c>
      <c r="G22" s="61" t="str">
        <f t="shared" si="0"/>
        <v>[effect:hungup, target:unit_all, turn:5, rate:1, animation:hungup01]</v>
      </c>
      <c r="H22" s="61">
        <f t="shared" si="1"/>
        <v>9</v>
      </c>
      <c r="I22" s="61">
        <f t="shared" si="2"/>
        <v>15</v>
      </c>
      <c r="J22" s="61">
        <f t="shared" si="3"/>
        <v>24</v>
      </c>
      <c r="K22" s="61">
        <f t="shared" si="4"/>
        <v>32</v>
      </c>
      <c r="L22" s="61" t="str">
        <f>IFERROR(VLOOKUP(MID(G22,J22,K22-J22),[5]skilldef!$C:$D,2,FALSE),"-") &amp; " / " &amp; IFERROR(VLOOKUP(MID(G22,H22,I22-H22),[5]skilldef!$A:$B,2,FALSE),"-")</f>
        <v>味方全体に / ハングアップ</v>
      </c>
      <c r="M22" s="61" t="str">
        <f t="shared" si="5"/>
        <v>[effect:suicide, val:1, dead_type:escape, target:myself, animation:enemy_suicide]</v>
      </c>
      <c r="N22" s="46" t="str">
        <f>IFERROR(LEFT(M22,FIND("],",M22)+S34),M22)</f>
        <v>[effect:suicide, val:1, dead_type:escape, target:myself, animation:enemy_suicide]</v>
      </c>
      <c r="O22" s="61">
        <f t="shared" si="6"/>
        <v>9</v>
      </c>
      <c r="P22" s="61">
        <f t="shared" si="7"/>
        <v>16</v>
      </c>
      <c r="Q22" s="61">
        <f t="shared" si="8"/>
        <v>50</v>
      </c>
      <c r="R22" s="61">
        <f t="shared" si="9"/>
        <v>23</v>
      </c>
      <c r="S22" s="61" t="str">
        <f>IFERROR(VLOOKUP(MID(N22,Q22,R22-Q22),[5]skilldef!$C:$D,2,FALSE),"-") &amp; " / " &amp; IFERROR(VLOOKUP(MID(N22,O22,P22-O22),[5]skilldef!$A:$B,2,FALSE),"-")</f>
        <v>- / -</v>
      </c>
      <c r="T22" s="46" t="str">
        <f t="shared" si="10"/>
        <v>none</v>
      </c>
      <c r="U22" s="61" t="e">
        <f t="shared" si="11"/>
        <v>#VALUE!</v>
      </c>
      <c r="V22" s="61">
        <f t="shared" si="12"/>
        <v>4</v>
      </c>
      <c r="W22" s="61" t="e">
        <f t="shared" si="13"/>
        <v>#VALUE!</v>
      </c>
      <c r="X22" s="61" t="e">
        <f t="shared" si="14"/>
        <v>#VALUE!</v>
      </c>
      <c r="Y22" s="61" t="str">
        <f>IFERROR(VLOOKUP(MID(T22,W22,X22-W22),[5]skilldef!$C:$D,2,FALSE),"-") &amp; " / " &amp; IFERROR(VLOOKUP(MID(T22,U22,V22-U22),[5]skilldef!$A:$B,2,FALSE),"-")</f>
        <v>- / -</v>
      </c>
      <c r="Z22" s="48"/>
      <c r="AA22" s="50"/>
      <c r="AB22" s="48"/>
    </row>
    <row r="23" spans="1:28" ht="21" customHeight="1" x14ac:dyDescent="0.15">
      <c r="A23" s="45">
        <v>41008022</v>
      </c>
      <c r="B23" s="45" t="s">
        <v>265</v>
      </c>
      <c r="C23" s="48">
        <v>3</v>
      </c>
      <c r="D23" s="48" t="s">
        <v>126</v>
      </c>
      <c r="E23" s="49" t="s">
        <v>266</v>
      </c>
      <c r="F23" s="49" t="s">
        <v>267</v>
      </c>
      <c r="G23" s="61" t="str">
        <f t="shared" si="0"/>
        <v>[effect:suicide, val:1, dead_type:escape, target:myself, animation:enemy_suicide]</v>
      </c>
      <c r="H23" s="61">
        <f t="shared" si="1"/>
        <v>9</v>
      </c>
      <c r="I23" s="61">
        <f t="shared" si="2"/>
        <v>16</v>
      </c>
      <c r="J23" s="61">
        <f t="shared" si="3"/>
        <v>50</v>
      </c>
      <c r="K23" s="61">
        <f t="shared" si="4"/>
        <v>23</v>
      </c>
      <c r="L23" s="61" t="str">
        <f>IFERROR(VLOOKUP(MID(G23,J23,K23-J23),[5]skilldef!$C:$D,2,FALSE),"-") &amp; " / " &amp; IFERROR(VLOOKUP(MID(G23,H23,I23-H23),[5]skilldef!$A:$B,2,FALSE),"-")</f>
        <v>- / -</v>
      </c>
      <c r="M23" s="61" t="str">
        <f t="shared" si="5"/>
        <v>none</v>
      </c>
      <c r="N23" s="46" t="str">
        <f>IFERROR(LEFT(M23,FIND("],",M23)+S36),M23)</f>
        <v>none</v>
      </c>
      <c r="O23" s="61" t="e">
        <f t="shared" si="6"/>
        <v>#VALUE!</v>
      </c>
      <c r="P23" s="61">
        <f t="shared" si="7"/>
        <v>4</v>
      </c>
      <c r="Q23" s="61" t="e">
        <f t="shared" si="8"/>
        <v>#VALUE!</v>
      </c>
      <c r="R23" s="61" t="e">
        <f t="shared" si="9"/>
        <v>#VALUE!</v>
      </c>
      <c r="S23" s="61" t="str">
        <f>IFERROR(VLOOKUP(MID(N23,Q23,R23-Q23),[5]skilldef!$C:$D,2,FALSE),"-") &amp; " / " &amp; IFERROR(VLOOKUP(MID(N23,O23,P23-O23),[5]skilldef!$A:$B,2,FALSE),"-")</f>
        <v>- / -</v>
      </c>
      <c r="T23" s="46" t="str">
        <f t="shared" si="10"/>
        <v>none</v>
      </c>
      <c r="U23" s="61" t="e">
        <f t="shared" si="11"/>
        <v>#VALUE!</v>
      </c>
      <c r="V23" s="61">
        <f t="shared" si="12"/>
        <v>4</v>
      </c>
      <c r="W23" s="61" t="e">
        <f t="shared" si="13"/>
        <v>#VALUE!</v>
      </c>
      <c r="X23" s="61" t="e">
        <f t="shared" si="14"/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48"/>
      <c r="AA23" s="50"/>
      <c r="AB23" s="48"/>
    </row>
    <row r="24" spans="1:28" ht="21" customHeight="1" x14ac:dyDescent="0.15">
      <c r="A24" s="45">
        <v>41008023</v>
      </c>
      <c r="B24" s="45" t="s">
        <v>411</v>
      </c>
      <c r="C24" s="48">
        <v>3</v>
      </c>
      <c r="D24" s="48" t="s">
        <v>126</v>
      </c>
      <c r="E24" s="49" t="s">
        <v>268</v>
      </c>
      <c r="F24" s="49" t="s">
        <v>269</v>
      </c>
      <c r="G24" s="61" t="str">
        <f t="shared" si="0"/>
        <v>[effect:force_change_block, new_block:crack_bomb, target:block_all, ignore01:block_positive, ignore02:block_negative, color:block_green, count:3, val:36, animation:change_block]</v>
      </c>
      <c r="H24" s="61">
        <f t="shared" si="1"/>
        <v>9</v>
      </c>
      <c r="I24" s="61">
        <f t="shared" si="2"/>
        <v>27</v>
      </c>
      <c r="J24" s="61">
        <f t="shared" si="3"/>
        <v>58</v>
      </c>
      <c r="K24" s="61">
        <f t="shared" si="4"/>
        <v>49</v>
      </c>
      <c r="L24" s="61" t="str">
        <f>IFERROR(VLOOKUP(MID(G24,J24,K24-J24),[5]skilldef!$C:$D,2,FALSE),"-") &amp; " / " &amp; IFERROR(VLOOKUP(MID(G24,H24,I24-H24),[5]skilldef!$A:$B,2,FALSE),"-")</f>
        <v>- / -</v>
      </c>
      <c r="M24" s="61" t="str">
        <f t="shared" si="5"/>
        <v>[effect:suicide, val:1, dead_type:escape, target:myself, animation:enemy_suicide]</v>
      </c>
      <c r="N24" s="46" t="str">
        <f>IFERROR(LEFT(M24,FIND("],",M24)+S37),M24)</f>
        <v>[effect:suicide, val:1, dead_type:escape, target:myself, animation:enemy_suicide]</v>
      </c>
      <c r="O24" s="61">
        <f t="shared" si="6"/>
        <v>9</v>
      </c>
      <c r="P24" s="61">
        <f t="shared" si="7"/>
        <v>16</v>
      </c>
      <c r="Q24" s="61">
        <f t="shared" si="8"/>
        <v>50</v>
      </c>
      <c r="R24" s="61">
        <f t="shared" si="9"/>
        <v>23</v>
      </c>
      <c r="S24" s="61" t="str">
        <f>IFERROR(VLOOKUP(MID(N24,Q24,R24-Q24),[5]skilldef!$C:$D,2,FALSE),"-") &amp; " / " &amp; IFERROR(VLOOKUP(MID(N24,O24,P24-O24),[5]skilldef!$A:$B,2,FALSE),"-")</f>
        <v>- / -</v>
      </c>
      <c r="T24" s="46" t="str">
        <f t="shared" si="10"/>
        <v>none</v>
      </c>
      <c r="U24" s="61" t="e">
        <f t="shared" si="11"/>
        <v>#VALUE!</v>
      </c>
      <c r="V24" s="61">
        <f t="shared" si="12"/>
        <v>4</v>
      </c>
      <c r="W24" s="61" t="e">
        <f t="shared" si="13"/>
        <v>#VALUE!</v>
      </c>
      <c r="X24" s="61" t="e">
        <f t="shared" si="14"/>
        <v>#VALUE!</v>
      </c>
      <c r="Y24" s="61" t="str">
        <f>IFERROR(VLOOKUP(MID(T24,W24,X24-W24),[5]skilldef!$C:$D,2,FALSE),"-") &amp; " / " &amp; IFERROR(VLOOKUP(MID(T24,U24,V24-U24),[5]skilldef!$A:$B,2,FALSE),"-")</f>
        <v>- / -</v>
      </c>
      <c r="Z24" s="48"/>
      <c r="AA24" s="50"/>
      <c r="AB24" s="48"/>
    </row>
    <row r="25" spans="1:28" ht="21" customHeight="1" x14ac:dyDescent="0.15">
      <c r="A25" s="45">
        <v>41008024</v>
      </c>
      <c r="B25" s="45" t="s">
        <v>271</v>
      </c>
      <c r="C25" s="48">
        <v>3</v>
      </c>
      <c r="D25" s="48" t="s">
        <v>272</v>
      </c>
      <c r="E25" s="49" t="s">
        <v>273</v>
      </c>
      <c r="F25" s="49" t="s">
        <v>274</v>
      </c>
      <c r="G25" s="61" t="str">
        <f t="shared" si="0"/>
        <v>[effect:fix_speed,target:myself,turn:1]</v>
      </c>
      <c r="H25" s="61">
        <f t="shared" si="1"/>
        <v>9</v>
      </c>
      <c r="I25" s="61">
        <f t="shared" si="2"/>
        <v>18</v>
      </c>
      <c r="J25" s="61">
        <f t="shared" si="3"/>
        <v>26</v>
      </c>
      <c r="K25" s="61">
        <f t="shared" si="4"/>
        <v>32</v>
      </c>
      <c r="L25" s="61" t="str">
        <f>IFERROR(VLOOKUP(MID(G25,J25,K25-J25),[5]skilldef!$C:$D,2,FALSE),"-") &amp; " / " &amp; IFERROR(VLOOKUP(MID(G25,H25,I25-H25),[5]skilldef!$A:$B,2,FALSE),"-")</f>
        <v>自分自身に / 行動値設定</v>
      </c>
      <c r="M25" s="61" t="str">
        <f t="shared" si="5"/>
        <v>[effect:tolerance, target:myself, turn:-1, tolerance_effect:hungup, count:-1, animation:enemy_tolerance]</v>
      </c>
      <c r="N25" s="46" t="str">
        <f>IFERROR(LEFT(M25,FIND("],",M25)+S41),M25)</f>
        <v>[effect:tolerance, target:myself, turn:-1, tolerance_effect:hungup, count:-1, animation:enemy_tolerance]</v>
      </c>
      <c r="O25" s="61">
        <f t="shared" si="6"/>
        <v>9</v>
      </c>
      <c r="P25" s="61">
        <f t="shared" si="7"/>
        <v>18</v>
      </c>
      <c r="Q25" s="61">
        <f t="shared" si="8"/>
        <v>27</v>
      </c>
      <c r="R25" s="61">
        <f t="shared" si="9"/>
        <v>33</v>
      </c>
      <c r="S25" s="61" t="str">
        <f>IFERROR(VLOOKUP(MID(N25,Q25,R25-Q25),[5]skilldef!$C:$D,2,FALSE),"-") &amp; " / " &amp; IFERROR(VLOOKUP(MID(N25,O25,P25-O25),[5]skilldef!$A:$B,2,FALSE),"-")</f>
        <v>自分自身に / 状態異常耐性</v>
      </c>
      <c r="T25" s="46" t="str">
        <f t="shared" si="10"/>
        <v>none</v>
      </c>
      <c r="U25" s="61" t="e">
        <f t="shared" si="11"/>
        <v>#VALUE!</v>
      </c>
      <c r="V25" s="61">
        <f t="shared" si="12"/>
        <v>4</v>
      </c>
      <c r="W25" s="61" t="e">
        <f t="shared" si="13"/>
        <v>#VALUE!</v>
      </c>
      <c r="X25" s="61" t="e">
        <f t="shared" si="14"/>
        <v>#VALUE!</v>
      </c>
      <c r="Y25" s="61" t="str">
        <f>IFERROR(VLOOKUP(MID(T25,W25,X25-W25),[5]skilldef!$C:$D,2,FALSE),"-") &amp; " / " &amp; IFERROR(VLOOKUP(MID(T25,U25,V25-U25),[5]skilldef!$A:$B,2,FALSE),"-")</f>
        <v>- / -</v>
      </c>
      <c r="Z25" s="48"/>
      <c r="AA25" s="50"/>
      <c r="AB25" s="48"/>
    </row>
    <row r="26" spans="1:28" ht="21" customHeight="1" x14ac:dyDescent="0.15">
      <c r="A26" s="45">
        <v>41008025</v>
      </c>
      <c r="B26" s="45" t="s">
        <v>275</v>
      </c>
      <c r="C26" s="48">
        <v>3</v>
      </c>
      <c r="D26" s="48" t="s">
        <v>126</v>
      </c>
      <c r="E26" s="49" t="s">
        <v>276</v>
      </c>
      <c r="F26" s="49" t="s">
        <v>277</v>
      </c>
      <c r="G26" s="61" t="str">
        <f t="shared" si="0"/>
        <v>[effect:freq_turn, target:enemy_green, turn:2, val:1, animation:enemy_freq_turn]</v>
      </c>
      <c r="H26" s="61">
        <f t="shared" si="1"/>
        <v>9</v>
      </c>
      <c r="I26" s="61">
        <f t="shared" si="2"/>
        <v>18</v>
      </c>
      <c r="J26" s="61">
        <f t="shared" si="3"/>
        <v>27</v>
      </c>
      <c r="K26" s="61">
        <f t="shared" si="4"/>
        <v>38</v>
      </c>
      <c r="L26" s="61" t="str">
        <f>IFERROR(VLOOKUP(MID(G26,J26,K26-J26),[5]skilldef!$C:$D,2,FALSE),"-") &amp; " / " &amp; IFERROR(VLOOKUP(MID(G26,H26,I26-H26),[5]skilldef!$A:$B,2,FALSE),"-")</f>
        <v>緑の敵に / 攻撃頻度がUP</v>
      </c>
      <c r="M26" s="61" t="str">
        <f t="shared" si="5"/>
        <v>none</v>
      </c>
      <c r="N26" s="46" t="str">
        <f>IFERROR(LEFT(M26,FIND("],",M26)+S42),M26)</f>
        <v>none</v>
      </c>
      <c r="O26" s="61" t="e">
        <f t="shared" si="6"/>
        <v>#VALUE!</v>
      </c>
      <c r="P26" s="61">
        <f t="shared" si="7"/>
        <v>4</v>
      </c>
      <c r="Q26" s="61" t="e">
        <f t="shared" si="8"/>
        <v>#VALUE!</v>
      </c>
      <c r="R26" s="61" t="e">
        <f t="shared" si="9"/>
        <v>#VALUE!</v>
      </c>
      <c r="S26" s="61" t="str">
        <f>IFERROR(VLOOKUP(MID(N26,Q26,R26-Q26),[5]skilldef!$C:$D,2,FALSE),"-") &amp; " / " &amp; IFERROR(VLOOKUP(MID(N26,O26,P26-O26),[5]skilldef!$A:$B,2,FALSE),"-")</f>
        <v>- / -</v>
      </c>
      <c r="T26" s="46" t="str">
        <f t="shared" si="10"/>
        <v>none</v>
      </c>
      <c r="U26" s="61" t="e">
        <f t="shared" si="11"/>
        <v>#VALUE!</v>
      </c>
      <c r="V26" s="61">
        <f t="shared" si="12"/>
        <v>4</v>
      </c>
      <c r="W26" s="61" t="e">
        <f t="shared" si="13"/>
        <v>#VALUE!</v>
      </c>
      <c r="X26" s="61" t="e">
        <f t="shared" si="14"/>
        <v>#VALUE!</v>
      </c>
      <c r="Y26" s="61" t="str">
        <f>IFERROR(VLOOKUP(MID(T26,W26,X26-W26),[5]skilldef!$C:$D,2,FALSE),"-") &amp; " / " &amp; IFERROR(VLOOKUP(MID(T26,U26,V26-U26),[5]skilldef!$A:$B,2,FALSE),"-")</f>
        <v>- / -</v>
      </c>
      <c r="Z26" s="48"/>
      <c r="AA26" s="50"/>
      <c r="AB26" s="48"/>
    </row>
    <row r="27" spans="1:28" ht="21" customHeight="1" x14ac:dyDescent="0.15">
      <c r="A27" s="45">
        <v>41008026</v>
      </c>
      <c r="B27" s="45" t="s">
        <v>278</v>
      </c>
      <c r="C27" s="48">
        <v>3</v>
      </c>
      <c r="D27" s="48" t="s">
        <v>279</v>
      </c>
      <c r="E27" s="49" t="s">
        <v>280</v>
      </c>
      <c r="F27" s="49" t="s">
        <v>281</v>
      </c>
      <c r="G27" s="61" t="str">
        <f t="shared" si="0"/>
        <v>[effect:enhance_enemy, target:enemy_blue, turn:1, status:attack, val:0.4, animation:enemy_enhance_attack]</v>
      </c>
      <c r="H27" s="61">
        <f t="shared" si="1"/>
        <v>9</v>
      </c>
      <c r="I27" s="61">
        <f t="shared" si="2"/>
        <v>22</v>
      </c>
      <c r="J27" s="61">
        <f t="shared" si="3"/>
        <v>31</v>
      </c>
      <c r="K27" s="61">
        <f t="shared" si="4"/>
        <v>41</v>
      </c>
      <c r="L27" s="61" t="str">
        <f>IFERROR(VLOOKUP(MID(G27,J27,K27-J27),[5]skilldef!$C:$D,2,FALSE),"-") &amp; " / " &amp; IFERROR(VLOOKUP(MID(G27,H27,I27-H27),[5]skilldef!$A:$B,2,FALSE),"-")</f>
        <v>青の敵に / ステータス強化</v>
      </c>
      <c r="M27" s="61" t="str">
        <f t="shared" si="5"/>
        <v>none</v>
      </c>
      <c r="N27" s="46" t="str">
        <f>IFERROR(LEFT(M27,FIND("],",M27)+S42),M27)</f>
        <v>none</v>
      </c>
      <c r="O27" s="61" t="e">
        <f t="shared" si="6"/>
        <v>#VALUE!</v>
      </c>
      <c r="P27" s="61">
        <f t="shared" si="7"/>
        <v>4</v>
      </c>
      <c r="Q27" s="61" t="e">
        <f t="shared" si="8"/>
        <v>#VALUE!</v>
      </c>
      <c r="R27" s="61" t="e">
        <f t="shared" si="9"/>
        <v>#VALUE!</v>
      </c>
      <c r="S27" s="61" t="str">
        <f>IFERROR(VLOOKUP(MID(N27,Q27,R27-Q27),[5]skilldef!$C:$D,2,FALSE),"-") &amp; " / " &amp; IFERROR(VLOOKUP(MID(N27,O27,P27-O27),[5]skilldef!$A:$B,2,FALSE),"-")</f>
        <v>- / -</v>
      </c>
      <c r="T27" s="46" t="str">
        <f t="shared" si="10"/>
        <v>none</v>
      </c>
      <c r="U27" s="61" t="e">
        <f t="shared" si="11"/>
        <v>#VALUE!</v>
      </c>
      <c r="V27" s="61">
        <f t="shared" si="12"/>
        <v>4</v>
      </c>
      <c r="W27" s="61" t="e">
        <f t="shared" si="13"/>
        <v>#VALUE!</v>
      </c>
      <c r="X27" s="61" t="e">
        <f t="shared" si="14"/>
        <v>#VALUE!</v>
      </c>
      <c r="Y27" s="61" t="str">
        <f>IFERROR(VLOOKUP(MID(T27,W27,X27-W27),[5]skilldef!$C:$D,2,FALSE),"-") &amp; " / " &amp; IFERROR(VLOOKUP(MID(T27,U27,V27-U27),[5]skilldef!$A:$B,2,FALSE),"-")</f>
        <v>- / -</v>
      </c>
      <c r="Z27" s="48"/>
      <c r="AA27" s="50"/>
      <c r="AB27" s="48"/>
    </row>
    <row r="28" spans="1:28" ht="21" customHeight="1" x14ac:dyDescent="0.15">
      <c r="A28" s="45">
        <v>41008027</v>
      </c>
      <c r="B28" s="45" t="s">
        <v>282</v>
      </c>
      <c r="C28" s="48">
        <v>3</v>
      </c>
      <c r="D28" s="48" t="s">
        <v>126</v>
      </c>
      <c r="E28" s="49" t="s">
        <v>283</v>
      </c>
      <c r="F28" s="49" t="s">
        <v>284</v>
      </c>
      <c r="G28" s="61" t="str">
        <f t="shared" si="0"/>
        <v>[effect:sleep, target:unit_all, turn:1, rate:1, animation:sleep01]</v>
      </c>
      <c r="H28" s="61">
        <f t="shared" si="1"/>
        <v>9</v>
      </c>
      <c r="I28" s="61">
        <f t="shared" si="2"/>
        <v>14</v>
      </c>
      <c r="J28" s="61">
        <f t="shared" si="3"/>
        <v>23</v>
      </c>
      <c r="K28" s="61">
        <f t="shared" si="4"/>
        <v>31</v>
      </c>
      <c r="L28" s="61" t="str">
        <f>IFERROR(VLOOKUP(MID(G28,J28,K28-J28),[5]skilldef!$C:$D,2,FALSE),"-") &amp; " / " &amp; IFERROR(VLOOKUP(MID(G28,H28,I28-H28),[5]skilldef!$A:$B,2,FALSE),"-")</f>
        <v>味方全体に / スリープ</v>
      </c>
      <c r="M28" s="61" t="str">
        <f t="shared" si="5"/>
        <v>none</v>
      </c>
      <c r="N28" s="46" t="str">
        <f>IFERROR(LEFT(M28,FIND("],",M28)+S43),M28)</f>
        <v>none</v>
      </c>
      <c r="O28" s="61" t="e">
        <f t="shared" si="6"/>
        <v>#VALUE!</v>
      </c>
      <c r="P28" s="61">
        <f t="shared" si="7"/>
        <v>4</v>
      </c>
      <c r="Q28" s="61" t="e">
        <f t="shared" si="8"/>
        <v>#VALUE!</v>
      </c>
      <c r="R28" s="61" t="e">
        <f t="shared" si="9"/>
        <v>#VALUE!</v>
      </c>
      <c r="S28" s="61" t="str">
        <f>IFERROR(VLOOKUP(MID(N28,Q28,R28-Q28),[5]skilldef!$C:$D,2,FALSE),"-") &amp; " / " &amp; IFERROR(VLOOKUP(MID(N28,O28,P28-O28),[5]skilldef!$A:$B,2,FALSE),"-")</f>
        <v>- / -</v>
      </c>
      <c r="T28" s="46" t="str">
        <f t="shared" si="10"/>
        <v>none</v>
      </c>
      <c r="U28" s="61" t="e">
        <f t="shared" si="11"/>
        <v>#VALUE!</v>
      </c>
      <c r="V28" s="61">
        <f t="shared" si="12"/>
        <v>4</v>
      </c>
      <c r="W28" s="61" t="e">
        <f t="shared" si="13"/>
        <v>#VALUE!</v>
      </c>
      <c r="X28" s="61" t="e">
        <f t="shared" si="14"/>
        <v>#VALUE!</v>
      </c>
      <c r="Y28" s="61" t="str">
        <f>IFERROR(VLOOKUP(MID(T28,W28,X28-W28),[5]skilldef!$C:$D,2,FALSE),"-") &amp; " / " &amp; IFERROR(VLOOKUP(MID(T28,U28,V28-U28),[5]skilldef!$A:$B,2,FALSE),"-")</f>
        <v>- / -</v>
      </c>
      <c r="Z28" s="48"/>
      <c r="AA28" s="50"/>
      <c r="AB28" s="48"/>
    </row>
    <row r="29" spans="1:28" ht="21" customHeight="1" x14ac:dyDescent="0.15">
      <c r="A29" s="45">
        <v>41008028</v>
      </c>
      <c r="B29" s="45" t="s">
        <v>326</v>
      </c>
      <c r="C29" s="48">
        <v>3</v>
      </c>
      <c r="D29" s="48" t="s">
        <v>270</v>
      </c>
      <c r="E29" s="49" t="s">
        <v>283</v>
      </c>
      <c r="F29" s="49" t="s">
        <v>327</v>
      </c>
      <c r="G29" s="61" t="str">
        <f>IFERROR(LEFT(B29,FIND("],",B29)),B29)</f>
        <v>[effect:sleep, target:unit_all, turn:1, rate:1, animation:sleep01]</v>
      </c>
      <c r="H29" s="61">
        <f>FIND("effect:",G29)+7</f>
        <v>9</v>
      </c>
      <c r="I29" s="61">
        <f>IFERROR(FIND(",",G29),LEN(G29))</f>
        <v>14</v>
      </c>
      <c r="J29" s="61">
        <f>FIND("target:",G29)+7</f>
        <v>23</v>
      </c>
      <c r="K29" s="61">
        <f>FIND(",",G29,I29+1)</f>
        <v>31</v>
      </c>
      <c r="L29" s="61" t="str">
        <f>IFERROR(VLOOKUP(MID(G29,J29,K29-J29),[5]skilldef!$C:$D,2,FALSE),"-") &amp; " / " &amp; IFERROR(VLOOKUP(MID(G29,H29,I29-H29),[5]skilldef!$A:$B,2,FALSE),"-")</f>
        <v>味方全体に / スリープ</v>
      </c>
      <c r="M29" s="61" t="str">
        <f>IFERROR(RIGHT(B29,LEN(B29)-FIND("],",B29)-1),"none")</f>
        <v>none</v>
      </c>
      <c r="N29" s="46" t="str">
        <f>IFERROR(LEFT(M29,FIND("],",M29)+S57),M29)</f>
        <v>none</v>
      </c>
      <c r="O29" s="61" t="e">
        <f>FIND("effect:",N29)+7</f>
        <v>#VALUE!</v>
      </c>
      <c r="P29" s="61">
        <f>IFERROR(FIND(",",N29),LEN(N29))</f>
        <v>4</v>
      </c>
      <c r="Q29" s="61" t="e">
        <f>FIND("target:",N29)+7</f>
        <v>#VALUE!</v>
      </c>
      <c r="R29" s="61" t="e">
        <f>FIND(",",N29,P29+1)</f>
        <v>#VALUE!</v>
      </c>
      <c r="S29" s="61" t="str">
        <f>IFERROR(VLOOKUP(MID(N29,Q29,R29-Q29),[5]skilldef!$C:$D,2,FALSE),"-") &amp; " / " &amp; IFERROR(VLOOKUP(MID(N29,O29,P29-O29),[5]skilldef!$A:$B,2,FALSE),"-")</f>
        <v>- / -</v>
      </c>
      <c r="T29" s="46" t="str">
        <f>IFERROR(RIGHT(M29,LEN(M29)-FIND("],",M29)-1),"none")</f>
        <v>none</v>
      </c>
      <c r="U29" s="61" t="e">
        <f>FIND("effect:",T29)+7</f>
        <v>#VALUE!</v>
      </c>
      <c r="V29" s="61">
        <f>IFERROR(FIND(",",T29),LEN(T29))</f>
        <v>4</v>
      </c>
      <c r="W29" s="61" t="e">
        <f>FIND("target:",T29)+7</f>
        <v>#VALUE!</v>
      </c>
      <c r="X29" s="61" t="e">
        <f>FIND(",",T29,V29+1)</f>
        <v>#VALUE!</v>
      </c>
      <c r="Y29" s="61" t="str">
        <f>IFERROR(VLOOKUP(MID(T29,W29,X29-W29),[5]skilldef!$C:$D,2,FALSE),"-") &amp; " / " &amp; IFERROR(VLOOKUP(MID(T29,U29,V29-U29),[5]skilldef!$A:$B,2,FALSE),"-")</f>
        <v>- / -</v>
      </c>
      <c r="Z29" s="48"/>
      <c r="AA29" s="50"/>
      <c r="AB29" s="48"/>
    </row>
    <row r="30" spans="1:28" ht="21" customHeight="1" x14ac:dyDescent="0.15">
      <c r="A30" s="45">
        <v>41008029</v>
      </c>
      <c r="B30" s="45" t="s">
        <v>326</v>
      </c>
      <c r="C30" s="48">
        <v>3</v>
      </c>
      <c r="D30" s="48" t="s">
        <v>270</v>
      </c>
      <c r="E30" s="49" t="s">
        <v>283</v>
      </c>
      <c r="F30" s="49" t="s">
        <v>328</v>
      </c>
      <c r="G30" s="61" t="str">
        <f>IFERROR(LEFT(B30,FIND("],",B30)),B30)</f>
        <v>[effect:sleep, target:unit_all, turn:1, rate:1, animation:sleep01]</v>
      </c>
      <c r="H30" s="61">
        <f>FIND("effect:",G30)+7</f>
        <v>9</v>
      </c>
      <c r="I30" s="61">
        <f>IFERROR(FIND(",",G30),LEN(G30))</f>
        <v>14</v>
      </c>
      <c r="J30" s="61">
        <f>FIND("target:",G30)+7</f>
        <v>23</v>
      </c>
      <c r="K30" s="61">
        <f>FIND(",",G30,I30+1)</f>
        <v>31</v>
      </c>
      <c r="L30" s="61" t="str">
        <f>IFERROR(VLOOKUP(MID(G30,J30,K30-J30),[5]skilldef!$C:$D,2,FALSE),"-") &amp; " / " &amp; IFERROR(VLOOKUP(MID(G30,H30,I30-H30),[5]skilldef!$A:$B,2,FALSE),"-")</f>
        <v>味方全体に / スリープ</v>
      </c>
      <c r="M30" s="61" t="str">
        <f>IFERROR(RIGHT(B30,LEN(B30)-FIND("],",B30)-1),"none")</f>
        <v>none</v>
      </c>
      <c r="N30" s="46" t="str">
        <f>IFERROR(LEFT(M30,FIND("],",M30)+S62),M30)</f>
        <v>none</v>
      </c>
      <c r="O30" s="61" t="e">
        <f>FIND("effect:",N30)+7</f>
        <v>#VALUE!</v>
      </c>
      <c r="P30" s="61">
        <f>IFERROR(FIND(",",N30),LEN(N30))</f>
        <v>4</v>
      </c>
      <c r="Q30" s="61" t="e">
        <f>FIND("target:",N30)+7</f>
        <v>#VALUE!</v>
      </c>
      <c r="R30" s="61" t="e">
        <f>FIND(",",N30,P30+1)</f>
        <v>#VALUE!</v>
      </c>
      <c r="S30" s="61" t="str">
        <f>IFERROR(VLOOKUP(MID(N30,Q30,R30-Q30),[5]skilldef!$C:$D,2,FALSE),"-") &amp; " / " &amp; IFERROR(VLOOKUP(MID(N30,O30,P30-O30),[5]skilldef!$A:$B,2,FALSE),"-")</f>
        <v>- / -</v>
      </c>
      <c r="T30" s="46" t="str">
        <f>IFERROR(RIGHT(M30,LEN(M30)-FIND("],",M30)-1),"none")</f>
        <v>none</v>
      </c>
      <c r="U30" s="61" t="e">
        <f>FIND("effect:",T30)+7</f>
        <v>#VALUE!</v>
      </c>
      <c r="V30" s="61">
        <f>IFERROR(FIND(",",T30),LEN(T30))</f>
        <v>4</v>
      </c>
      <c r="W30" s="61" t="e">
        <f>FIND("target:",T30)+7</f>
        <v>#VALUE!</v>
      </c>
      <c r="X30" s="61" t="e">
        <f>FIND(",",T30,V30+1)</f>
        <v>#VALUE!</v>
      </c>
      <c r="Y30" s="61" t="str">
        <f>IFERROR(VLOOKUP(MID(T30,W30,X30-W30),[5]skilldef!$C:$D,2,FALSE),"-") &amp; " / " &amp; IFERROR(VLOOKUP(MID(T30,U30,V30-U30),[5]skilldef!$A:$B,2,FALSE),"-")</f>
        <v>- / -</v>
      </c>
      <c r="Z30" s="48"/>
      <c r="AA30" s="50"/>
      <c r="AB30" s="48"/>
    </row>
    <row r="31" spans="1:28" ht="21" customHeight="1" x14ac:dyDescent="0.15">
      <c r="A31" s="45">
        <v>41008030</v>
      </c>
      <c r="B31" s="45" t="s">
        <v>326</v>
      </c>
      <c r="C31" s="48">
        <v>3</v>
      </c>
      <c r="D31" s="48" t="s">
        <v>270</v>
      </c>
      <c r="E31" s="49" t="s">
        <v>283</v>
      </c>
      <c r="F31" s="49" t="s">
        <v>329</v>
      </c>
      <c r="G31" s="61" t="str">
        <f>IFERROR(LEFT(B31,FIND("],",B31)),B31)</f>
        <v>[effect:sleep, target:unit_all, turn:1, rate:1, animation:sleep01]</v>
      </c>
      <c r="H31" s="61">
        <f>FIND("effect:",G31)+7</f>
        <v>9</v>
      </c>
      <c r="I31" s="61">
        <f>IFERROR(FIND(",",G31),LEN(G31))</f>
        <v>14</v>
      </c>
      <c r="J31" s="61">
        <f>FIND("target:",G31)+7</f>
        <v>23</v>
      </c>
      <c r="K31" s="61">
        <f>FIND(",",G31,I31+1)</f>
        <v>31</v>
      </c>
      <c r="L31" s="61" t="str">
        <f>IFERROR(VLOOKUP(MID(G31,J31,K31-J31),[5]skilldef!$C:$D,2,FALSE),"-") &amp; " / " &amp; IFERROR(VLOOKUP(MID(G31,H31,I31-H31),[5]skilldef!$A:$B,2,FALSE),"-")</f>
        <v>味方全体に / スリープ</v>
      </c>
      <c r="M31" s="61" t="str">
        <f>IFERROR(RIGHT(B31,LEN(B31)-FIND("],",B31)-1),"none")</f>
        <v>none</v>
      </c>
      <c r="N31" s="46" t="str">
        <f>IFERROR(LEFT(M31,FIND("],",M31)+S58),M31)</f>
        <v>none</v>
      </c>
      <c r="O31" s="61" t="e">
        <f>FIND("effect:",N31)+7</f>
        <v>#VALUE!</v>
      </c>
      <c r="P31" s="61">
        <f>IFERROR(FIND(",",N31),LEN(N31))</f>
        <v>4</v>
      </c>
      <c r="Q31" s="61" t="e">
        <f>FIND("target:",N31)+7</f>
        <v>#VALUE!</v>
      </c>
      <c r="R31" s="61" t="e">
        <f>FIND(",",N31,P31+1)</f>
        <v>#VALUE!</v>
      </c>
      <c r="S31" s="61" t="str">
        <f>IFERROR(VLOOKUP(MID(N31,Q31,R31-Q31),[5]skilldef!$C:$D,2,FALSE),"-") &amp; " / " &amp; IFERROR(VLOOKUP(MID(N31,O31,P31-O31),[5]skilldef!$A:$B,2,FALSE),"-")</f>
        <v>- / -</v>
      </c>
      <c r="T31" s="46" t="str">
        <f>IFERROR(RIGHT(M31,LEN(M31)-FIND("],",M31)-1),"none")</f>
        <v>none</v>
      </c>
      <c r="U31" s="61" t="e">
        <f>FIND("effect:",T31)+7</f>
        <v>#VALUE!</v>
      </c>
      <c r="V31" s="61">
        <f>IFERROR(FIND(",",T31),LEN(T31))</f>
        <v>4</v>
      </c>
      <c r="W31" s="61" t="e">
        <f>FIND("target:",T31)+7</f>
        <v>#VALUE!</v>
      </c>
      <c r="X31" s="61" t="e">
        <f>FIND(",",T31,V31+1)</f>
        <v>#VALUE!</v>
      </c>
      <c r="Y31" s="61" t="str">
        <f>IFERROR(VLOOKUP(MID(T31,W31,X31-W31),[5]skilldef!$C:$D,2,FALSE),"-") &amp; " / " &amp; IFERROR(VLOOKUP(MID(T31,U31,V31-U31),[5]skilldef!$A:$B,2,FALSE),"-")</f>
        <v>- / -</v>
      </c>
      <c r="Z31" s="48"/>
      <c r="AA31" s="50"/>
      <c r="AB31" s="48"/>
    </row>
    <row r="32" spans="1:28" ht="21" customHeight="1" x14ac:dyDescent="0.15">
      <c r="A32" s="45">
        <v>41008031</v>
      </c>
      <c r="B32" s="45" t="s">
        <v>285</v>
      </c>
      <c r="C32" s="48">
        <v>3</v>
      </c>
      <c r="D32" s="48" t="s">
        <v>286</v>
      </c>
      <c r="E32" s="49" t="s">
        <v>287</v>
      </c>
      <c r="F32" s="49" t="s">
        <v>288</v>
      </c>
      <c r="G32" s="61" t="str">
        <f t="shared" si="0"/>
        <v>[effect:remove_enhancement, target:unit_all, target_effect:all, target_type:buff, animation:frozen_wave]</v>
      </c>
      <c r="H32" s="61">
        <f t="shared" si="1"/>
        <v>9</v>
      </c>
      <c r="I32" s="61">
        <f t="shared" si="2"/>
        <v>27</v>
      </c>
      <c r="J32" s="61">
        <f t="shared" si="3"/>
        <v>36</v>
      </c>
      <c r="K32" s="61">
        <f t="shared" si="4"/>
        <v>44</v>
      </c>
      <c r="L32" s="61" t="str">
        <f>IFERROR(VLOOKUP(MID(G32,J32,K32-J32),[5]skilldef!$C:$D,2,FALSE),"-") &amp; " / " &amp; IFERROR(VLOOKUP(MID(G32,H32,I32-H32),[5]skilldef!$A:$B,2,FALSE),"-")</f>
        <v>味方全体に / -</v>
      </c>
      <c r="M32" s="61" t="str">
        <f t="shared" si="5"/>
        <v>[effect:spread, val:5.0]</v>
      </c>
      <c r="N32" s="46" t="str">
        <f>IFERROR(LEFT(M32,FIND("],",M32)+S45),M32)</f>
        <v>[effect:spread, val:5.0]</v>
      </c>
      <c r="O32" s="61">
        <f t="shared" si="6"/>
        <v>9</v>
      </c>
      <c r="P32" s="61">
        <f t="shared" si="7"/>
        <v>15</v>
      </c>
      <c r="Q32" s="61" t="e">
        <f t="shared" si="8"/>
        <v>#VALUE!</v>
      </c>
      <c r="R32" s="61" t="e">
        <f t="shared" si="9"/>
        <v>#VALUE!</v>
      </c>
      <c r="S32" s="61" t="str">
        <f>IFERROR(VLOOKUP(MID(N32,Q32,R32-Q32),[5]skilldef!$C:$D,2,FALSE),"-") &amp; " / " &amp; IFERROR(VLOOKUP(MID(N32,O32,P32-O32),[5]skilldef!$A:$B,2,FALSE),"-")</f>
        <v>- / 全体攻撃</v>
      </c>
      <c r="T32" s="46" t="str">
        <f t="shared" si="10"/>
        <v>none</v>
      </c>
      <c r="U32" s="61" t="e">
        <f t="shared" si="11"/>
        <v>#VALUE!</v>
      </c>
      <c r="V32" s="61">
        <f t="shared" si="12"/>
        <v>4</v>
      </c>
      <c r="W32" s="61" t="e">
        <f t="shared" si="13"/>
        <v>#VALUE!</v>
      </c>
      <c r="X32" s="61" t="e">
        <f t="shared" si="14"/>
        <v>#VALUE!</v>
      </c>
      <c r="Y32" s="61" t="str">
        <f>IFERROR(VLOOKUP(MID(T32,W32,X32-W32),[5]skilldef!$C:$D,2,FALSE),"-") &amp; " / " &amp; IFERROR(VLOOKUP(MID(T32,U32,V32-U32),[5]skilldef!$A:$B,2,FALSE),"-")</f>
        <v>- / -</v>
      </c>
      <c r="Z32" s="48"/>
      <c r="AA32" s="50"/>
      <c r="AB32" s="48"/>
    </row>
    <row r="33" spans="1:28" ht="21" customHeight="1" x14ac:dyDescent="0.15">
      <c r="A33" s="45">
        <v>41008032</v>
      </c>
      <c r="B33" s="45" t="s">
        <v>216</v>
      </c>
      <c r="C33" s="48">
        <v>3</v>
      </c>
      <c r="D33" s="48" t="s">
        <v>126</v>
      </c>
      <c r="E33" s="49" t="s">
        <v>289</v>
      </c>
      <c r="F33" s="49" t="s">
        <v>290</v>
      </c>
      <c r="G33" s="61" t="str">
        <f t="shared" si="0"/>
        <v>[effect:nothing]</v>
      </c>
      <c r="H33" s="61">
        <f t="shared" si="1"/>
        <v>9</v>
      </c>
      <c r="I33" s="61">
        <f t="shared" si="2"/>
        <v>16</v>
      </c>
      <c r="J33" s="61" t="e">
        <f t="shared" si="3"/>
        <v>#VALUE!</v>
      </c>
      <c r="K33" s="61" t="e">
        <f t="shared" si="4"/>
        <v>#VALUE!</v>
      </c>
      <c r="L33" s="61" t="str">
        <f>IFERROR(VLOOKUP(MID(G33,J33,K33-J33),[5]skilldef!$C:$D,2,FALSE),"-") &amp; " / " &amp; IFERROR(VLOOKUP(MID(G33,H33,I33-H33),[5]skilldef!$A:$B,2,FALSE),"-")</f>
        <v>- / 何もしない</v>
      </c>
      <c r="M33" s="61" t="str">
        <f t="shared" si="5"/>
        <v>none</v>
      </c>
      <c r="N33" s="46" t="str">
        <f>IFERROR(LEFT(M33,FIND("],",M33)+S46),M33)</f>
        <v>none</v>
      </c>
      <c r="O33" s="61" t="e">
        <f t="shared" si="6"/>
        <v>#VALUE!</v>
      </c>
      <c r="P33" s="61">
        <f t="shared" si="7"/>
        <v>4</v>
      </c>
      <c r="Q33" s="61" t="e">
        <f t="shared" si="8"/>
        <v>#VALUE!</v>
      </c>
      <c r="R33" s="61" t="e">
        <f t="shared" si="9"/>
        <v>#VALUE!</v>
      </c>
      <c r="S33" s="61" t="str">
        <f>IFERROR(VLOOKUP(MID(N33,Q33,R33-Q33),[5]skilldef!$C:$D,2,FALSE),"-") &amp; " / " &amp; IFERROR(VLOOKUP(MID(N33,O33,P33-O33),[5]skilldef!$A:$B,2,FALSE),"-")</f>
        <v>- / -</v>
      </c>
      <c r="T33" s="46" t="str">
        <f t="shared" si="10"/>
        <v>none</v>
      </c>
      <c r="U33" s="61" t="e">
        <f t="shared" si="11"/>
        <v>#VALUE!</v>
      </c>
      <c r="V33" s="61">
        <f t="shared" si="12"/>
        <v>4</v>
      </c>
      <c r="W33" s="61" t="e">
        <f t="shared" si="13"/>
        <v>#VALUE!</v>
      </c>
      <c r="X33" s="61" t="e">
        <f t="shared" si="14"/>
        <v>#VALUE!</v>
      </c>
      <c r="Y33" s="61" t="str">
        <f>IFERROR(VLOOKUP(MID(T33,W33,X33-W33),[5]skilldef!$C:$D,2,FALSE),"-") &amp; " / " &amp; IFERROR(VLOOKUP(MID(T33,U33,V33-U33),[5]skilldef!$A:$B,2,FALSE),"-")</f>
        <v>- / -</v>
      </c>
      <c r="Z33" s="48"/>
      <c r="AA33" s="50"/>
      <c r="AB33" s="48"/>
    </row>
    <row r="34" spans="1:28" ht="21" customHeight="1" x14ac:dyDescent="0.15">
      <c r="A34" s="45">
        <v>41008033</v>
      </c>
      <c r="B34" s="45" t="s">
        <v>291</v>
      </c>
      <c r="C34" s="48">
        <v>3</v>
      </c>
      <c r="D34" s="48" t="s">
        <v>126</v>
      </c>
      <c r="E34" s="49" t="s">
        <v>292</v>
      </c>
      <c r="F34" s="49" t="s">
        <v>293</v>
      </c>
      <c r="G34" s="61" t="str">
        <f t="shared" si="0"/>
        <v>[effect:remove_enhancement, target:unit_all, target_effect:all, target_type:buff, animation:frozen_wave]</v>
      </c>
      <c r="H34" s="61">
        <f t="shared" si="1"/>
        <v>9</v>
      </c>
      <c r="I34" s="61">
        <f t="shared" si="2"/>
        <v>27</v>
      </c>
      <c r="J34" s="61">
        <f t="shared" si="3"/>
        <v>36</v>
      </c>
      <c r="K34" s="61">
        <f t="shared" si="4"/>
        <v>44</v>
      </c>
      <c r="L34" s="61" t="str">
        <f>IFERROR(VLOOKUP(MID(G34,J34,K34-J34),[5]skilldef!$C:$D,2,FALSE),"-") &amp; " / " &amp; IFERROR(VLOOKUP(MID(G34,H34,I34-H34),[5]skilldef!$A:$B,2,FALSE),"-")</f>
        <v>味方全体に / -</v>
      </c>
      <c r="M34" s="61" t="str">
        <f t="shared" si="5"/>
        <v>none</v>
      </c>
      <c r="N34" s="46" t="str">
        <f>IFERROR(LEFT(M34,FIND("],",M34)+S47),M34)</f>
        <v>none</v>
      </c>
      <c r="O34" s="61" t="e">
        <f t="shared" si="6"/>
        <v>#VALUE!</v>
      </c>
      <c r="P34" s="61">
        <f t="shared" si="7"/>
        <v>4</v>
      </c>
      <c r="Q34" s="61" t="e">
        <f t="shared" si="8"/>
        <v>#VALUE!</v>
      </c>
      <c r="R34" s="61" t="e">
        <f t="shared" si="9"/>
        <v>#VALUE!</v>
      </c>
      <c r="S34" s="61" t="str">
        <f>IFERROR(VLOOKUP(MID(N34,Q34,R34-Q34),[5]skilldef!$C:$D,2,FALSE),"-") &amp; " / " &amp; IFERROR(VLOOKUP(MID(N34,O34,P34-O34),[5]skilldef!$A:$B,2,FALSE),"-")</f>
        <v>- / -</v>
      </c>
      <c r="T34" s="46" t="str">
        <f t="shared" si="10"/>
        <v>none</v>
      </c>
      <c r="U34" s="61" t="e">
        <f t="shared" si="11"/>
        <v>#VALUE!</v>
      </c>
      <c r="V34" s="61">
        <f t="shared" si="12"/>
        <v>4</v>
      </c>
      <c r="W34" s="61" t="e">
        <f t="shared" si="13"/>
        <v>#VALUE!</v>
      </c>
      <c r="X34" s="61" t="e">
        <f t="shared" si="14"/>
        <v>#VALUE!</v>
      </c>
      <c r="Y34" s="61" t="str">
        <f>IFERROR(VLOOKUP(MID(T34,W34,X34-W34),[5]skilldef!$C:$D,2,FALSE),"-") &amp; " / " &amp; IFERROR(VLOOKUP(MID(T34,U34,V34-U34),[5]skilldef!$A:$B,2,FALSE),"-")</f>
        <v>- / -</v>
      </c>
      <c r="Z34" s="48"/>
      <c r="AA34" s="50"/>
      <c r="AB34" s="48"/>
    </row>
    <row r="35" spans="1:28" ht="21" customHeight="1" x14ac:dyDescent="0.15">
      <c r="A35" s="45">
        <v>41008034</v>
      </c>
      <c r="B35" s="45" t="s">
        <v>337</v>
      </c>
      <c r="C35" s="48">
        <v>3</v>
      </c>
      <c r="D35" s="48" t="s">
        <v>270</v>
      </c>
      <c r="E35" s="49" t="s">
        <v>330</v>
      </c>
      <c r="F35" s="49" t="s">
        <v>334</v>
      </c>
      <c r="G35" s="61" t="str">
        <f>IFERROR(LEFT(B35,FIND("],",B35)),B35)</f>
        <v>[effect:hungup, target:unit_yellow, turn:5, rate:1, animation:hungup01]</v>
      </c>
      <c r="H35" s="61">
        <f>FIND("effect:",G35)+7</f>
        <v>9</v>
      </c>
      <c r="I35" s="61">
        <f>IFERROR(FIND(",",G35),LEN(G35))</f>
        <v>15</v>
      </c>
      <c r="J35" s="61">
        <f>FIND("target:",G35)+7</f>
        <v>24</v>
      </c>
      <c r="K35" s="61">
        <f>FIND(",",G35,I35+1)</f>
        <v>35</v>
      </c>
      <c r="L35" s="61" t="str">
        <f>IFERROR(VLOOKUP(MID(G35,J35,K35-J35),[5]skilldef!$C:$D,2,FALSE),"-") &amp; " / " &amp; IFERROR(VLOOKUP(MID(G35,H35,I35-H35),[5]skilldef!$A:$B,2,FALSE),"-")</f>
        <v>黄の味方に / ハングアップ</v>
      </c>
      <c r="M35" s="61" t="str">
        <f>IFERROR(RIGHT(B35,LEN(B35)-FIND("],",B35)-1),"none")</f>
        <v>none</v>
      </c>
      <c r="N35" s="46" t="str">
        <f>IFERROR(LEFT(M35,FIND("],",M35)+S59),M35)</f>
        <v>none</v>
      </c>
      <c r="O35" s="61" t="e">
        <f>FIND("effect:",N35)+7</f>
        <v>#VALUE!</v>
      </c>
      <c r="P35" s="61">
        <f>IFERROR(FIND(",",N35),LEN(N35))</f>
        <v>4</v>
      </c>
      <c r="Q35" s="61" t="e">
        <f>FIND("target:",N35)+7</f>
        <v>#VALUE!</v>
      </c>
      <c r="R35" s="61" t="e">
        <f>FIND(",",N35,P35+1)</f>
        <v>#VALUE!</v>
      </c>
      <c r="S35" s="61" t="str">
        <f>IFERROR(VLOOKUP(MID(N35,Q35,R35-Q35),[5]skilldef!$C:$D,2,FALSE),"-") &amp; " / " &amp; IFERROR(VLOOKUP(MID(N35,O35,P35-O35),[5]skilldef!$A:$B,2,FALSE),"-")</f>
        <v>- / -</v>
      </c>
      <c r="T35" s="46" t="str">
        <f>IFERROR(RIGHT(M35,LEN(M35)-FIND("],",M35)-1),"none")</f>
        <v>none</v>
      </c>
      <c r="U35" s="61" t="e">
        <f>FIND("effect:",T35)+7</f>
        <v>#VALUE!</v>
      </c>
      <c r="V35" s="61">
        <f>IFERROR(FIND(",",T35),LEN(T35))</f>
        <v>4</v>
      </c>
      <c r="W35" s="61" t="e">
        <f>FIND("target:",T35)+7</f>
        <v>#VALUE!</v>
      </c>
      <c r="X35" s="61" t="e">
        <f>FIND(",",T35,V35+1)</f>
        <v>#VALUE!</v>
      </c>
      <c r="Y35" s="61" t="str">
        <f>IFERROR(VLOOKUP(MID(T35,W35,X35-W35),[5]skilldef!$C:$D,2,FALSE),"-") &amp; " / " &amp; IFERROR(VLOOKUP(MID(T35,U35,V35-U35),[5]skilldef!$A:$B,2,FALSE),"-")</f>
        <v>- / -</v>
      </c>
      <c r="Z35" s="48"/>
      <c r="AA35" s="50"/>
      <c r="AB35" s="48"/>
    </row>
    <row r="36" spans="1:28" ht="21" customHeight="1" x14ac:dyDescent="0.15">
      <c r="A36" s="45">
        <v>41008035</v>
      </c>
      <c r="B36" s="45" t="s">
        <v>230</v>
      </c>
      <c r="C36" s="48">
        <v>3</v>
      </c>
      <c r="D36" s="48" t="s">
        <v>126</v>
      </c>
      <c r="E36" s="49" t="s">
        <v>294</v>
      </c>
      <c r="F36" s="49" t="s">
        <v>295</v>
      </c>
      <c r="G36" s="61" t="str">
        <f t="shared" si="0"/>
        <v>[effect:rush, count:5, val:0.25]</v>
      </c>
      <c r="H36" s="61">
        <f t="shared" si="1"/>
        <v>9</v>
      </c>
      <c r="I36" s="61">
        <f t="shared" si="2"/>
        <v>13</v>
      </c>
      <c r="J36" s="61" t="e">
        <f t="shared" si="3"/>
        <v>#VALUE!</v>
      </c>
      <c r="K36" s="61">
        <f t="shared" si="4"/>
        <v>22</v>
      </c>
      <c r="L36" s="61" t="str">
        <f>IFERROR(VLOOKUP(MID(G36,J36,K36-J36),[5]skilldef!$C:$D,2,FALSE),"-") &amp; " / " &amp; IFERROR(VLOOKUP(MID(G36,H36,I36-H36),[5]skilldef!$A:$B,2,FALSE),"-")</f>
        <v>- / 連続攻撃</v>
      </c>
      <c r="M36" s="61" t="str">
        <f t="shared" si="5"/>
        <v>none</v>
      </c>
      <c r="N36" s="46" t="str">
        <f>IFERROR(LEFT(M36,FIND("],",M36)+S48),M36)</f>
        <v>none</v>
      </c>
      <c r="O36" s="61" t="e">
        <f t="shared" si="6"/>
        <v>#VALUE!</v>
      </c>
      <c r="P36" s="61">
        <f t="shared" si="7"/>
        <v>4</v>
      </c>
      <c r="Q36" s="61" t="e">
        <f t="shared" si="8"/>
        <v>#VALUE!</v>
      </c>
      <c r="R36" s="61" t="e">
        <f t="shared" si="9"/>
        <v>#VALUE!</v>
      </c>
      <c r="S36" s="61" t="str">
        <f>IFERROR(VLOOKUP(MID(N36,Q36,R36-Q36),[5]skilldef!$C:$D,2,FALSE),"-") &amp; " / " &amp; IFERROR(VLOOKUP(MID(N36,O36,P36-O36),[5]skilldef!$A:$B,2,FALSE),"-")</f>
        <v>- / -</v>
      </c>
      <c r="T36" s="46" t="str">
        <f t="shared" si="10"/>
        <v>none</v>
      </c>
      <c r="U36" s="61" t="e">
        <f t="shared" si="11"/>
        <v>#VALUE!</v>
      </c>
      <c r="V36" s="61">
        <f t="shared" si="12"/>
        <v>4</v>
      </c>
      <c r="W36" s="61" t="e">
        <f t="shared" si="13"/>
        <v>#VALUE!</v>
      </c>
      <c r="X36" s="61" t="e">
        <f t="shared" si="14"/>
        <v>#VALUE!</v>
      </c>
      <c r="Y36" s="61" t="str">
        <f>IFERROR(VLOOKUP(MID(T36,W36,X36-W36),[5]skilldef!$C:$D,2,FALSE),"-") &amp; " / " &amp; IFERROR(VLOOKUP(MID(T36,U36,V36-U36),[5]skilldef!$A:$B,2,FALSE),"-")</f>
        <v>- / -</v>
      </c>
      <c r="Z36" s="48"/>
      <c r="AA36" s="50"/>
      <c r="AB36" s="48"/>
    </row>
    <row r="37" spans="1:28" ht="21" customHeight="1" x14ac:dyDescent="0.15">
      <c r="A37" s="45">
        <v>41008036</v>
      </c>
      <c r="B37" s="45" t="s">
        <v>296</v>
      </c>
      <c r="C37" s="48">
        <v>3</v>
      </c>
      <c r="D37" s="48" t="s">
        <v>126</v>
      </c>
      <c r="E37" s="49" t="s">
        <v>297</v>
      </c>
      <c r="F37" s="49" t="s">
        <v>298</v>
      </c>
      <c r="G37" s="61" t="str">
        <f t="shared" si="0"/>
        <v>[effect:critical, val:1.5]</v>
      </c>
      <c r="H37" s="61">
        <f t="shared" si="1"/>
        <v>9</v>
      </c>
      <c r="I37" s="61">
        <f t="shared" si="2"/>
        <v>17</v>
      </c>
      <c r="J37" s="61" t="e">
        <f t="shared" si="3"/>
        <v>#VALUE!</v>
      </c>
      <c r="K37" s="61" t="e">
        <f t="shared" si="4"/>
        <v>#VALUE!</v>
      </c>
      <c r="L37" s="61" t="str">
        <f>IFERROR(VLOOKUP(MID(G37,J37,K37-J37),[5]skilldef!$C:$D,2,FALSE),"-") &amp; " / " &amp; IFERROR(VLOOKUP(MID(G37,H37,I37-H37),[5]skilldef!$A:$B,2,FALSE),"-")</f>
        <v>- / 大攻撃</v>
      </c>
      <c r="M37" s="61" t="str">
        <f t="shared" si="5"/>
        <v>none</v>
      </c>
      <c r="N37" s="46" t="str">
        <f>IFERROR(LEFT(M37,FIND("],",M37)+S49),M37)</f>
        <v>none</v>
      </c>
      <c r="O37" s="61" t="e">
        <f t="shared" si="6"/>
        <v>#VALUE!</v>
      </c>
      <c r="P37" s="61">
        <f t="shared" si="7"/>
        <v>4</v>
      </c>
      <c r="Q37" s="61" t="e">
        <f t="shared" si="8"/>
        <v>#VALUE!</v>
      </c>
      <c r="R37" s="61" t="e">
        <f t="shared" si="9"/>
        <v>#VALUE!</v>
      </c>
      <c r="S37" s="61" t="str">
        <f>IFERROR(VLOOKUP(MID(N37,Q37,R37-Q37),[5]skilldef!$C:$D,2,FALSE),"-") &amp; " / " &amp; IFERROR(VLOOKUP(MID(N37,O37,P37-O37),[5]skilldef!$A:$B,2,FALSE),"-")</f>
        <v>- / -</v>
      </c>
      <c r="T37" s="46" t="str">
        <f t="shared" si="10"/>
        <v>none</v>
      </c>
      <c r="U37" s="61" t="e">
        <f t="shared" si="11"/>
        <v>#VALUE!</v>
      </c>
      <c r="V37" s="61">
        <f t="shared" si="12"/>
        <v>4</v>
      </c>
      <c r="W37" s="61" t="e">
        <f t="shared" si="13"/>
        <v>#VALUE!</v>
      </c>
      <c r="X37" s="61" t="e">
        <f t="shared" si="14"/>
        <v>#VALUE!</v>
      </c>
      <c r="Y37" s="61" t="str">
        <f>IFERROR(VLOOKUP(MID(T37,W37,X37-W37),[5]skilldef!$C:$D,2,FALSE),"-") &amp; " / " &amp; IFERROR(VLOOKUP(MID(T37,U37,V37-U37),[5]skilldef!$A:$B,2,FALSE),"-")</f>
        <v>- / -</v>
      </c>
      <c r="Z37" s="48"/>
      <c r="AA37" s="50"/>
      <c r="AB37" s="48"/>
    </row>
    <row r="38" spans="1:28" ht="21" customHeight="1" x14ac:dyDescent="0.15">
      <c r="A38" s="45">
        <v>41008037</v>
      </c>
      <c r="B38" s="45" t="s">
        <v>336</v>
      </c>
      <c r="C38" s="48">
        <v>3</v>
      </c>
      <c r="D38" s="48" t="s">
        <v>270</v>
      </c>
      <c r="E38" s="49" t="s">
        <v>331</v>
      </c>
      <c r="F38" s="49" t="s">
        <v>335</v>
      </c>
      <c r="G38" s="61" t="str">
        <f>IFERROR(LEFT(B38,FIND("],",B38)),B38)</f>
        <v>[effect:hungup, target:unit_red, turn:5, rate:1, animation:hungup01]</v>
      </c>
      <c r="H38" s="61">
        <f>FIND("effect:",G38)+7</f>
        <v>9</v>
      </c>
      <c r="I38" s="61">
        <f>IFERROR(FIND(",",G38),LEN(G38))</f>
        <v>15</v>
      </c>
      <c r="J38" s="61">
        <f>FIND("target:",G38)+7</f>
        <v>24</v>
      </c>
      <c r="K38" s="61">
        <f>FIND(",",G38,I38+1)</f>
        <v>32</v>
      </c>
      <c r="L38" s="61" t="str">
        <f>IFERROR(VLOOKUP(MID(G38,J38,K38-J38),[5]skilldef!$C:$D,2,FALSE),"-") &amp; " / " &amp; IFERROR(VLOOKUP(MID(G38,H38,I38-H38),[5]skilldef!$A:$B,2,FALSE),"-")</f>
        <v>赤の味方に / ハングアップ</v>
      </c>
      <c r="M38" s="61" t="str">
        <f>IFERROR(RIGHT(B38,LEN(B38)-FIND("],",B38)-1),"none")</f>
        <v>none</v>
      </c>
      <c r="N38" s="46" t="str">
        <f>IFERROR(LEFT(M38,FIND("],",M38)+S60),M38)</f>
        <v>none</v>
      </c>
      <c r="O38" s="61" t="e">
        <f>FIND("effect:",N38)+7</f>
        <v>#VALUE!</v>
      </c>
      <c r="P38" s="61">
        <f>IFERROR(FIND(",",N38),LEN(N38))</f>
        <v>4</v>
      </c>
      <c r="Q38" s="61" t="e">
        <f>FIND("target:",N38)+7</f>
        <v>#VALUE!</v>
      </c>
      <c r="R38" s="61" t="e">
        <f>FIND(",",N38,P38+1)</f>
        <v>#VALUE!</v>
      </c>
      <c r="S38" s="61" t="str">
        <f>IFERROR(VLOOKUP(MID(N38,Q38,R38-Q38),[5]skilldef!$C:$D,2,FALSE),"-") &amp; " / " &amp; IFERROR(VLOOKUP(MID(N38,O38,P38-O38),[5]skilldef!$A:$B,2,FALSE),"-")</f>
        <v>- / -</v>
      </c>
      <c r="T38" s="46" t="str">
        <f>IFERROR(RIGHT(M38,LEN(M38)-FIND("],",M38)-1),"none")</f>
        <v>none</v>
      </c>
      <c r="U38" s="61" t="e">
        <f>FIND("effect:",T38)+7</f>
        <v>#VALUE!</v>
      </c>
      <c r="V38" s="61">
        <f>IFERROR(FIND(",",T38),LEN(T38))</f>
        <v>4</v>
      </c>
      <c r="W38" s="61" t="e">
        <f>FIND("target:",T38)+7</f>
        <v>#VALUE!</v>
      </c>
      <c r="X38" s="61" t="e">
        <f>FIND(",",T38,V38+1)</f>
        <v>#VALUE!</v>
      </c>
      <c r="Y38" s="61" t="str">
        <f>IFERROR(VLOOKUP(MID(T38,W38,X38-W38),[5]skilldef!$C:$D,2,FALSE),"-") &amp; " / " &amp; IFERROR(VLOOKUP(MID(T38,U38,V38-U38),[5]skilldef!$A:$B,2,FALSE),"-")</f>
        <v>- / -</v>
      </c>
      <c r="Z38" s="48"/>
      <c r="AA38" s="50"/>
      <c r="AB38" s="48"/>
    </row>
    <row r="39" spans="1:28" ht="21" customHeight="1" x14ac:dyDescent="0.15">
      <c r="A39" s="45">
        <v>41008038</v>
      </c>
      <c r="B39" s="45" t="s">
        <v>299</v>
      </c>
      <c r="C39" s="48">
        <v>3</v>
      </c>
      <c r="D39" s="48" t="s">
        <v>126</v>
      </c>
      <c r="E39" s="49" t="s">
        <v>300</v>
      </c>
      <c r="F39" s="49" t="s">
        <v>301</v>
      </c>
      <c r="G39" s="61" t="str">
        <f t="shared" si="0"/>
        <v>[effect:suicide, val:1, dead_type:suicide, target:enemy_green, animation:enemy_suicide]</v>
      </c>
      <c r="H39" s="61">
        <f t="shared" si="1"/>
        <v>9</v>
      </c>
      <c r="I39" s="61">
        <f t="shared" si="2"/>
        <v>16</v>
      </c>
      <c r="J39" s="61">
        <f t="shared" si="3"/>
        <v>51</v>
      </c>
      <c r="K39" s="61">
        <f t="shared" si="4"/>
        <v>23</v>
      </c>
      <c r="L39" s="61" t="str">
        <f>IFERROR(VLOOKUP(MID(G39,J39,K39-J39),[5]skilldef!$C:$D,2,FALSE),"-") &amp; " / " &amp; IFERROR(VLOOKUP(MID(G39,H39,I39-H39),[5]skilldef!$A:$B,2,FALSE),"-")</f>
        <v>- / -</v>
      </c>
      <c r="M39" s="61" t="str">
        <f t="shared" si="5"/>
        <v>[effect:suicide, val:1, dead_type:suicide, target:enemy_blue, animation:enemy_suicide],[effect:tolerance, target:myself, turn:-1, tolerance_effect:hungup, count:-1, animation:enemy_tolerance]</v>
      </c>
      <c r="N39" s="46" t="str">
        <f t="shared" ref="N39" si="15">IFERROR(LEFT(M39,FIND("],",M39)+S50),M39)</f>
        <v>[effect:suicide, val:1, dead_type:suicide, target:enemy_blue, animation:enemy_suicide],[effect:tolerance, target:myself, turn:-1, tolerance_effect:hungup, count:-1, animation:enemy_tolerance]</v>
      </c>
      <c r="O39" s="61">
        <f t="shared" si="6"/>
        <v>9</v>
      </c>
      <c r="P39" s="61">
        <f t="shared" si="7"/>
        <v>16</v>
      </c>
      <c r="Q39" s="61">
        <f t="shared" si="8"/>
        <v>51</v>
      </c>
      <c r="R39" s="61">
        <f t="shared" si="9"/>
        <v>23</v>
      </c>
      <c r="S39" s="61" t="str">
        <f>IFERROR(VLOOKUP(MID(N39,Q39,R39-Q39),[5]skilldef!$C:$D,2,FALSE),"-") &amp; " / " &amp; IFERROR(VLOOKUP(MID(N39,O39,P39-O39),[5]skilldef!$A:$B,2,FALSE),"-")</f>
        <v>- / -</v>
      </c>
      <c r="T39" s="46" t="str">
        <f t="shared" si="10"/>
        <v>[effect:tolerance, target:myself, turn:-1, tolerance_effect:hungup, count:-1, animation:enemy_tolerance]</v>
      </c>
      <c r="U39" s="61">
        <f t="shared" si="11"/>
        <v>9</v>
      </c>
      <c r="V39" s="61">
        <f t="shared" si="12"/>
        <v>18</v>
      </c>
      <c r="W39" s="61">
        <f t="shared" si="13"/>
        <v>27</v>
      </c>
      <c r="X39" s="61">
        <f t="shared" si="14"/>
        <v>33</v>
      </c>
      <c r="Y39" s="61" t="str">
        <f>IFERROR(VLOOKUP(MID(T39,W39,X39-W39),[5]skilldef!$C:$D,2,FALSE),"-") &amp; " / " &amp; IFERROR(VLOOKUP(MID(T39,U39,V39-U39),[5]skilldef!$A:$B,2,FALSE),"-")</f>
        <v>自分自身に / 状態異常耐性</v>
      </c>
      <c r="Z39" s="48"/>
      <c r="AA39" s="50"/>
      <c r="AB39" s="48"/>
    </row>
    <row r="40" spans="1:28" ht="21" customHeight="1" x14ac:dyDescent="0.15">
      <c r="A40" s="45">
        <v>41008039</v>
      </c>
      <c r="B40" s="45" t="s">
        <v>409</v>
      </c>
      <c r="C40" s="48">
        <v>3</v>
      </c>
      <c r="D40" s="48" t="s">
        <v>126</v>
      </c>
      <c r="E40" s="49" t="s">
        <v>302</v>
      </c>
      <c r="F40" s="49" t="s">
        <v>303</v>
      </c>
      <c r="G40" s="61" t="str">
        <f t="shared" si="0"/>
        <v>[effect:degrade_fever, val:150, animation:fevergauge_down]</v>
      </c>
      <c r="H40" s="61">
        <f t="shared" si="1"/>
        <v>9</v>
      </c>
      <c r="I40" s="61">
        <f t="shared" si="2"/>
        <v>22</v>
      </c>
      <c r="J40" s="61" t="e">
        <f t="shared" si="3"/>
        <v>#VALUE!</v>
      </c>
      <c r="K40" s="61">
        <f t="shared" si="4"/>
        <v>31</v>
      </c>
      <c r="L40" s="61" t="str">
        <f>IFERROR(VLOOKUP(MID(G40,J40,K40-J40),[5]skilldef!$C:$D,2,FALSE),"-") &amp; " / " &amp; IFERROR(VLOOKUP(MID(G40,H40,I40-H40),[5]skilldef!$A:$B,2,FALSE),"-")</f>
        <v>- / フィーバーゲージ減少</v>
      </c>
      <c r="M40" s="61" t="str">
        <f t="shared" si="5"/>
        <v>[effect:rush, count:1, val:1.3]</v>
      </c>
      <c r="N40" s="46" t="str">
        <f>IFERROR(LEFT(M40,FIND("],",M40)+#REF!),M40)</f>
        <v>[effect:rush, count:1, val:1.3]</v>
      </c>
      <c r="O40" s="61">
        <f t="shared" si="6"/>
        <v>9</v>
      </c>
      <c r="P40" s="61">
        <f t="shared" si="7"/>
        <v>13</v>
      </c>
      <c r="Q40" s="61" t="e">
        <f t="shared" si="8"/>
        <v>#VALUE!</v>
      </c>
      <c r="R40" s="61">
        <f t="shared" si="9"/>
        <v>22</v>
      </c>
      <c r="S40" s="61" t="str">
        <f>IFERROR(VLOOKUP(MID(N40,Q40,R40-Q40),[5]skilldef!$C:$D,2,FALSE),"-") &amp; " / " &amp; IFERROR(VLOOKUP(MID(N40,O40,P40-O40),[5]skilldef!$A:$B,2,FALSE),"-")</f>
        <v>- / 連続攻撃</v>
      </c>
      <c r="T40" s="46" t="str">
        <f t="shared" si="10"/>
        <v>none</v>
      </c>
      <c r="U40" s="61" t="e">
        <f t="shared" si="11"/>
        <v>#VALUE!</v>
      </c>
      <c r="V40" s="61">
        <f t="shared" si="12"/>
        <v>4</v>
      </c>
      <c r="W40" s="61" t="e">
        <f t="shared" si="13"/>
        <v>#VALUE!</v>
      </c>
      <c r="X40" s="61" t="e">
        <f t="shared" si="14"/>
        <v>#VALUE!</v>
      </c>
      <c r="Y40" s="61" t="str">
        <f>IFERROR(VLOOKUP(MID(T40,W40,X40-W40),[5]skilldef!$C:$D,2,FALSE),"-") &amp; " / " &amp; IFERROR(VLOOKUP(MID(T40,U40,V40-U40),[5]skilldef!$A:$B,2,FALSE),"-")</f>
        <v>- / -</v>
      </c>
      <c r="Z40" s="48"/>
      <c r="AA40" s="50"/>
      <c r="AB40" s="48"/>
    </row>
    <row r="41" spans="1:28" ht="21" customHeight="1" x14ac:dyDescent="0.15">
      <c r="A41" s="45">
        <v>41008040</v>
      </c>
      <c r="B41" s="45" t="s">
        <v>304</v>
      </c>
      <c r="C41" s="48">
        <v>3</v>
      </c>
      <c r="D41" s="48" t="s">
        <v>126</v>
      </c>
      <c r="E41" s="49" t="s">
        <v>305</v>
      </c>
      <c r="F41" s="49" t="s">
        <v>306</v>
      </c>
      <c r="G41" s="61" t="str">
        <f t="shared" si="0"/>
        <v>[effect:rush, count:10, val:0.15]</v>
      </c>
      <c r="H41" s="61">
        <f t="shared" si="1"/>
        <v>9</v>
      </c>
      <c r="I41" s="61">
        <f t="shared" si="2"/>
        <v>13</v>
      </c>
      <c r="J41" s="61" t="e">
        <f t="shared" si="3"/>
        <v>#VALUE!</v>
      </c>
      <c r="K41" s="61">
        <f t="shared" si="4"/>
        <v>23</v>
      </c>
      <c r="L41" s="61" t="str">
        <f>IFERROR(VLOOKUP(MID(G41,J41,K41-J41),[5]skilldef!$C:$D,2,FALSE),"-") &amp; " / " &amp; IFERROR(VLOOKUP(MID(G41,H41,I41-H41),[5]skilldef!$A:$B,2,FALSE),"-")</f>
        <v>- / 連続攻撃</v>
      </c>
      <c r="M41" s="61" t="str">
        <f t="shared" si="5"/>
        <v>none</v>
      </c>
      <c r="N41" s="46" t="str">
        <f>IFERROR(LEFT(M41,FIND("],",M41)+#REF!),M41)</f>
        <v>none</v>
      </c>
      <c r="O41" s="61" t="e">
        <f t="shared" si="6"/>
        <v>#VALUE!</v>
      </c>
      <c r="P41" s="61">
        <f t="shared" si="7"/>
        <v>4</v>
      </c>
      <c r="Q41" s="61" t="e">
        <f t="shared" si="8"/>
        <v>#VALUE!</v>
      </c>
      <c r="R41" s="61" t="e">
        <f t="shared" si="9"/>
        <v>#VALUE!</v>
      </c>
      <c r="S41" s="61" t="str">
        <f>IFERROR(VLOOKUP(MID(N41,Q41,R41-Q41),[5]skilldef!$C:$D,2,FALSE),"-") &amp; " / " &amp; IFERROR(VLOOKUP(MID(N41,O41,P41-O41),[5]skilldef!$A:$B,2,FALSE),"-")</f>
        <v>- / -</v>
      </c>
      <c r="T41" s="46" t="str">
        <f t="shared" si="10"/>
        <v>none</v>
      </c>
      <c r="U41" s="61" t="e">
        <f t="shared" si="11"/>
        <v>#VALUE!</v>
      </c>
      <c r="V41" s="61">
        <f t="shared" si="12"/>
        <v>4</v>
      </c>
      <c r="W41" s="61" t="e">
        <f t="shared" si="13"/>
        <v>#VALUE!</v>
      </c>
      <c r="X41" s="61" t="e">
        <f t="shared" si="14"/>
        <v>#VALUE!</v>
      </c>
      <c r="Y41" s="61" t="str">
        <f>IFERROR(VLOOKUP(MID(T41,W41,X41-W41),[5]skilldef!$C:$D,2,FALSE),"-") &amp; " / " &amp; IFERROR(VLOOKUP(MID(T41,U41,V41-U41),[5]skilldef!$A:$B,2,FALSE),"-")</f>
        <v>- / -</v>
      </c>
      <c r="Z41" s="48"/>
      <c r="AA41" s="50"/>
      <c r="AB41" s="48"/>
    </row>
    <row r="42" spans="1:28" ht="21" customHeight="1" x14ac:dyDescent="0.15">
      <c r="A42" s="45">
        <v>41008041</v>
      </c>
      <c r="B42" s="45" t="s">
        <v>392</v>
      </c>
      <c r="C42" s="48">
        <v>3</v>
      </c>
      <c r="D42" s="48" t="s">
        <v>126</v>
      </c>
      <c r="E42" s="49" t="s">
        <v>307</v>
      </c>
      <c r="F42" s="49" t="s">
        <v>391</v>
      </c>
      <c r="G42" s="61" t="str">
        <f t="shared" si="0"/>
        <v>[effect:degrade_unit, target:unit_all, turn:5, status:attack, val:1.0]</v>
      </c>
      <c r="H42" s="61">
        <f t="shared" si="1"/>
        <v>9</v>
      </c>
      <c r="I42" s="61">
        <f t="shared" si="2"/>
        <v>21</v>
      </c>
      <c r="J42" s="61">
        <f t="shared" si="3"/>
        <v>30</v>
      </c>
      <c r="K42" s="61">
        <f t="shared" si="4"/>
        <v>38</v>
      </c>
      <c r="L42" s="61" t="str">
        <f>IFERROR(VLOOKUP(MID(G42,J42,K42-J42),[5]skilldef!$C:$D,2,FALSE),"-") &amp; " / " &amp; IFERROR(VLOOKUP(MID(G42,H42,I42-H42),[5]skilldef!$A:$B,2,FALSE),"-")</f>
        <v>味方全体に / ステータスDOWN</v>
      </c>
      <c r="M42" s="61" t="str">
        <f t="shared" si="5"/>
        <v>[effect:degrade_unit, target:unit_all, turn:5, status:heal, val:1.0]</v>
      </c>
      <c r="N42" s="46" t="str">
        <f>IFERROR(LEFT(M42,FIND("],",M42)+#REF!),M42)</f>
        <v>[effect:degrade_unit, target:unit_all, turn:5, status:heal, val:1.0]</v>
      </c>
      <c r="O42" s="61">
        <f t="shared" si="6"/>
        <v>9</v>
      </c>
      <c r="P42" s="61">
        <f t="shared" si="7"/>
        <v>21</v>
      </c>
      <c r="Q42" s="61">
        <f t="shared" si="8"/>
        <v>30</v>
      </c>
      <c r="R42" s="61">
        <f t="shared" si="9"/>
        <v>38</v>
      </c>
      <c r="S42" s="61" t="str">
        <f>IFERROR(VLOOKUP(MID(N42,Q42,R42-Q42),[5]skilldef!$C:$D,2,FALSE),"-") &amp; " / " &amp; IFERROR(VLOOKUP(MID(N42,O42,P42-O42),[5]skilldef!$A:$B,2,FALSE),"-")</f>
        <v>味方全体に / ステータスDOWN</v>
      </c>
      <c r="T42" s="46" t="str">
        <f t="shared" si="10"/>
        <v>none</v>
      </c>
      <c r="U42" s="61" t="e">
        <f t="shared" si="11"/>
        <v>#VALUE!</v>
      </c>
      <c r="V42" s="61">
        <f t="shared" si="12"/>
        <v>4</v>
      </c>
      <c r="W42" s="61" t="e">
        <f t="shared" si="13"/>
        <v>#VALUE!</v>
      </c>
      <c r="X42" s="61" t="e">
        <f t="shared" si="14"/>
        <v>#VALUE!</v>
      </c>
      <c r="Y42" s="61" t="str">
        <f>IFERROR(VLOOKUP(MID(T42,W42,X42-W42),[5]skilldef!$C:$D,2,FALSE),"-") &amp; " / " &amp; IFERROR(VLOOKUP(MID(T42,U42,V42-U42),[5]skilldef!$A:$B,2,FALSE),"-")</f>
        <v>- / -</v>
      </c>
      <c r="Z42" s="48"/>
      <c r="AA42" s="50"/>
      <c r="AB42" s="48"/>
    </row>
    <row r="43" spans="1:28" ht="21" customHeight="1" x14ac:dyDescent="0.15">
      <c r="A43" s="45">
        <v>41008042</v>
      </c>
      <c r="B43" s="45" t="s">
        <v>375</v>
      </c>
      <c r="C43" s="48">
        <v>3</v>
      </c>
      <c r="D43" s="48" t="s">
        <v>126</v>
      </c>
      <c r="E43" s="49" t="s">
        <v>308</v>
      </c>
      <c r="F43" s="49" t="s">
        <v>376</v>
      </c>
      <c r="G43" s="61" t="str">
        <f t="shared" si="0"/>
        <v>[effect:break_attack, val:0.5, lowest_val:12500, count:6, block:crack_bomb, target:unit_one]</v>
      </c>
      <c r="H43" s="61">
        <f t="shared" si="1"/>
        <v>9</v>
      </c>
      <c r="I43" s="61">
        <f t="shared" si="2"/>
        <v>21</v>
      </c>
      <c r="J43" s="61">
        <f t="shared" si="3"/>
        <v>84</v>
      </c>
      <c r="K43" s="61">
        <f t="shared" si="4"/>
        <v>30</v>
      </c>
      <c r="L43" s="61" t="str">
        <f>IFERROR(VLOOKUP(MID(G43,J43,K43-J43),[5]skilldef!$C:$D,2,FALSE),"-") &amp; " / " &amp; IFERROR(VLOOKUP(MID(G43,H43,I43-H43),[5]skilldef!$A:$B,2,FALSE),"-")</f>
        <v>- / -</v>
      </c>
      <c r="M43" s="61" t="str">
        <f t="shared" si="5"/>
        <v>[effect:freq_turn, target:myself, turn:-1, val:1, animation:enemy_freq_turn]</v>
      </c>
      <c r="N43" s="46" t="str">
        <f>IFERROR(LEFT(M43,FIND("],",M43)+S17),M43)</f>
        <v>[effect:freq_turn, target:myself, turn:-1, val:1, animation:enemy_freq_turn]</v>
      </c>
      <c r="O43" s="61">
        <f t="shared" si="6"/>
        <v>9</v>
      </c>
      <c r="P43" s="61">
        <f t="shared" si="7"/>
        <v>18</v>
      </c>
      <c r="Q43" s="61">
        <f t="shared" si="8"/>
        <v>27</v>
      </c>
      <c r="R43" s="61">
        <f t="shared" si="9"/>
        <v>33</v>
      </c>
      <c r="S43" s="61" t="str">
        <f>IFERROR(VLOOKUP(MID(N43,Q43,R43-Q43),[5]skilldef!$C:$D,2,FALSE),"-") &amp; " / " &amp; IFERROR(VLOOKUP(MID(N43,O43,P43-O43),[5]skilldef!$A:$B,2,FALSE),"-")</f>
        <v>自分自身に / 攻撃頻度がUP</v>
      </c>
      <c r="T43" s="46" t="str">
        <f t="shared" si="10"/>
        <v>none</v>
      </c>
      <c r="U43" s="61" t="e">
        <f t="shared" si="11"/>
        <v>#VALUE!</v>
      </c>
      <c r="V43" s="61">
        <f t="shared" si="12"/>
        <v>4</v>
      </c>
      <c r="W43" s="61" t="e">
        <f t="shared" si="13"/>
        <v>#VALUE!</v>
      </c>
      <c r="X43" s="61" t="e">
        <f t="shared" si="14"/>
        <v>#VALUE!</v>
      </c>
      <c r="Y43" s="61" t="str">
        <f>IFERROR(VLOOKUP(MID(T43,W43,X43-W43),[5]skilldef!$C:$D,2,FALSE),"-") &amp; " / " &amp; IFERROR(VLOOKUP(MID(T43,U43,V43-U43),[5]skilldef!$A:$B,2,FALSE),"-")</f>
        <v>- / -</v>
      </c>
      <c r="Z43" s="48"/>
      <c r="AA43" s="50"/>
      <c r="AB43" s="48"/>
    </row>
    <row r="44" spans="1:28" ht="21" customHeight="1" x14ac:dyDescent="0.15">
      <c r="A44" s="45">
        <v>41008043</v>
      </c>
      <c r="B44" s="45" t="s">
        <v>309</v>
      </c>
      <c r="C44" s="48">
        <v>3</v>
      </c>
      <c r="D44" s="48" t="s">
        <v>126</v>
      </c>
      <c r="E44" s="49" t="s">
        <v>310</v>
      </c>
      <c r="F44" s="49" t="s">
        <v>311</v>
      </c>
      <c r="G44" s="61" t="str">
        <f t="shared" si="0"/>
        <v>[effect:hungup, target:unit_all, turn:8, rate:1, animation:hungup01]</v>
      </c>
      <c r="H44" s="61">
        <f t="shared" si="1"/>
        <v>9</v>
      </c>
      <c r="I44" s="61">
        <f t="shared" si="2"/>
        <v>15</v>
      </c>
      <c r="J44" s="61">
        <f t="shared" si="3"/>
        <v>24</v>
      </c>
      <c r="K44" s="61">
        <f t="shared" si="4"/>
        <v>32</v>
      </c>
      <c r="L44" s="61" t="str">
        <f>IFERROR(VLOOKUP(MID(G44,J44,K44-J44),[5]skilldef!$C:$D,2,FALSE),"-") &amp; " / " &amp; IFERROR(VLOOKUP(MID(G44,H44,I44-H44),[5]skilldef!$A:$B,2,FALSE),"-")</f>
        <v>味方全体に / ハングアップ</v>
      </c>
      <c r="M44" s="61" t="str">
        <f t="shared" si="5"/>
        <v>none</v>
      </c>
      <c r="N44" s="46" t="str">
        <f>IFERROR(LEFT(M44,FIND("],",M44)+S10),M44)</f>
        <v>none</v>
      </c>
      <c r="O44" s="61" t="e">
        <f t="shared" si="6"/>
        <v>#VALUE!</v>
      </c>
      <c r="P44" s="61">
        <f t="shared" si="7"/>
        <v>4</v>
      </c>
      <c r="Q44" s="61" t="e">
        <f t="shared" si="8"/>
        <v>#VALUE!</v>
      </c>
      <c r="R44" s="61" t="e">
        <f t="shared" si="9"/>
        <v>#VALUE!</v>
      </c>
      <c r="S44" s="61" t="str">
        <f>IFERROR(VLOOKUP(MID(N44,Q44,R44-Q44),[5]skilldef!$C:$D,2,FALSE),"-") &amp; " / " &amp; IFERROR(VLOOKUP(MID(N44,O44,P44-O44),[5]skilldef!$A:$B,2,FALSE),"-")</f>
        <v>- / -</v>
      </c>
      <c r="T44" s="46" t="str">
        <f t="shared" si="10"/>
        <v>none</v>
      </c>
      <c r="U44" s="61" t="e">
        <f t="shared" si="11"/>
        <v>#VALUE!</v>
      </c>
      <c r="V44" s="61">
        <f t="shared" si="12"/>
        <v>4</v>
      </c>
      <c r="W44" s="61" t="e">
        <f t="shared" si="13"/>
        <v>#VALUE!</v>
      </c>
      <c r="X44" s="61" t="e">
        <f t="shared" si="14"/>
        <v>#VALUE!</v>
      </c>
      <c r="Y44" s="61" t="str">
        <f>IFERROR(VLOOKUP(MID(T44,W44,X44-W44),[5]skilldef!$C:$D,2,FALSE),"-") &amp; " / " &amp; IFERROR(VLOOKUP(MID(T44,U44,V44-U44),[5]skilldef!$A:$B,2,FALSE),"-")</f>
        <v>- / -</v>
      </c>
      <c r="Z44" s="48"/>
      <c r="AA44" s="50"/>
      <c r="AB44" s="48"/>
    </row>
    <row r="45" spans="1:28" ht="21" customHeight="1" x14ac:dyDescent="0.15">
      <c r="A45" s="45">
        <v>41008044</v>
      </c>
      <c r="B45" s="45" t="s">
        <v>312</v>
      </c>
      <c r="C45" s="48">
        <v>3</v>
      </c>
      <c r="D45" s="48" t="s">
        <v>126</v>
      </c>
      <c r="E45" s="49" t="s">
        <v>313</v>
      </c>
      <c r="F45" s="49" t="s">
        <v>314</v>
      </c>
      <c r="G45" s="61" t="str">
        <f t="shared" si="0"/>
        <v>[effect:enhance_enemy, target:myself, turn:10, status:attack, val:0.5, animation:enemy_enhance_attack]</v>
      </c>
      <c r="H45" s="61">
        <f t="shared" si="1"/>
        <v>9</v>
      </c>
      <c r="I45" s="61">
        <f t="shared" si="2"/>
        <v>22</v>
      </c>
      <c r="J45" s="61">
        <f t="shared" si="3"/>
        <v>31</v>
      </c>
      <c r="K45" s="61">
        <f t="shared" si="4"/>
        <v>37</v>
      </c>
      <c r="L45" s="61" t="str">
        <f>IFERROR(VLOOKUP(MID(G45,J45,K45-J45),[5]skilldef!$C:$D,2,FALSE),"-") &amp; " / " &amp; IFERROR(VLOOKUP(MID(G45,H45,I45-H45),[5]skilldef!$A:$B,2,FALSE),"-")</f>
        <v>自分自身に / ステータス強化</v>
      </c>
      <c r="M45" s="61" t="str">
        <f t="shared" si="5"/>
        <v>none</v>
      </c>
      <c r="N45" s="46" t="str">
        <f>IFERROR(LEFT(M45,FIND("],",M45)+S29),M45)</f>
        <v>none</v>
      </c>
      <c r="O45" s="61" t="e">
        <f t="shared" si="6"/>
        <v>#VALUE!</v>
      </c>
      <c r="P45" s="61">
        <f t="shared" si="7"/>
        <v>4</v>
      </c>
      <c r="Q45" s="61" t="e">
        <f t="shared" si="8"/>
        <v>#VALUE!</v>
      </c>
      <c r="R45" s="61" t="e">
        <f t="shared" si="9"/>
        <v>#VALUE!</v>
      </c>
      <c r="S45" s="61" t="str">
        <f>IFERROR(VLOOKUP(MID(N45,Q45,R45-Q45),[5]skilldef!$C:$D,2,FALSE),"-") &amp; " / " &amp; IFERROR(VLOOKUP(MID(N45,O45,P45-O45),[5]skilldef!$A:$B,2,FALSE),"-")</f>
        <v>- / -</v>
      </c>
      <c r="T45" s="46" t="str">
        <f t="shared" si="10"/>
        <v>none</v>
      </c>
      <c r="U45" s="61" t="e">
        <f t="shared" si="11"/>
        <v>#VALUE!</v>
      </c>
      <c r="V45" s="61">
        <f t="shared" si="12"/>
        <v>4</v>
      </c>
      <c r="W45" s="61" t="e">
        <f t="shared" si="13"/>
        <v>#VALUE!</v>
      </c>
      <c r="X45" s="61" t="e">
        <f t="shared" si="14"/>
        <v>#VALUE!</v>
      </c>
      <c r="Y45" s="61" t="str">
        <f>IFERROR(VLOOKUP(MID(T45,W45,X45-W45),[5]skilldef!$C:$D,2,FALSE),"-") &amp; " / " &amp; IFERROR(VLOOKUP(MID(T45,U45,V45-U45),[5]skilldef!$A:$B,2,FALSE),"-")</f>
        <v>- / -</v>
      </c>
      <c r="Z45" s="48"/>
      <c r="AA45" s="50"/>
      <c r="AB45" s="48"/>
    </row>
    <row r="46" spans="1:28" ht="21" customHeight="1" x14ac:dyDescent="0.15">
      <c r="A46" s="45">
        <v>41008045</v>
      </c>
      <c r="B46" s="45" t="s">
        <v>315</v>
      </c>
      <c r="C46" s="48">
        <v>3</v>
      </c>
      <c r="D46" s="48" t="s">
        <v>126</v>
      </c>
      <c r="E46" s="49" t="s">
        <v>316</v>
      </c>
      <c r="F46" s="49" t="s">
        <v>317</v>
      </c>
      <c r="G46" s="61" t="str">
        <f t="shared" si="0"/>
        <v>[effect:fix_speed,target:myself,turn:1]</v>
      </c>
      <c r="H46" s="61">
        <f t="shared" si="1"/>
        <v>9</v>
      </c>
      <c r="I46" s="61">
        <f t="shared" si="2"/>
        <v>18</v>
      </c>
      <c r="J46" s="61">
        <f t="shared" si="3"/>
        <v>26</v>
      </c>
      <c r="K46" s="61">
        <f t="shared" si="4"/>
        <v>32</v>
      </c>
      <c r="L46" s="61" t="str">
        <f>IFERROR(VLOOKUP(MID(G46,J46,K46-J46),[5]skilldef!$C:$D,2,FALSE),"-") &amp; " / " &amp; IFERROR(VLOOKUP(MID(G46,H46,I46-H46),[5]skilldef!$A:$B,2,FALSE),"-")</f>
        <v>自分自身に / 行動値設定</v>
      </c>
      <c r="M46" s="61" t="str">
        <f t="shared" si="5"/>
        <v>[effect:tolerance, target:myself, turn:-1, tolerance_effect:hungup, count:-1, animation:enemy_tolerance],[effect:dis_panel, target:block_red, turn:-1],[effect:dis_panel, target:block_blue, turn:-1],[effect:dis_panel, target:block_yellow, turn:-1]</v>
      </c>
      <c r="N46" s="46" t="str">
        <f>IFERROR(LEFT(M46,FIND("],",M46)+S30),M46)</f>
        <v>[effect:tolerance, target:myself, turn:-1, tolerance_effect:hungup, count:-1, animation:enemy_tolerance],[effect:dis_panel, target:block_red, turn:-1],[effect:dis_panel, target:block_blue, turn:-1],[effect:dis_panel, target:block_yellow, turn:-1]</v>
      </c>
      <c r="O46" s="61">
        <f t="shared" si="6"/>
        <v>9</v>
      </c>
      <c r="P46" s="61">
        <f t="shared" si="7"/>
        <v>18</v>
      </c>
      <c r="Q46" s="61">
        <f t="shared" si="8"/>
        <v>27</v>
      </c>
      <c r="R46" s="61">
        <f t="shared" si="9"/>
        <v>33</v>
      </c>
      <c r="S46" s="61" t="str">
        <f>IFERROR(VLOOKUP(MID(N46,Q46,R46-Q46),[5]skilldef!$C:$D,2,FALSE),"-") &amp; " / " &amp; IFERROR(VLOOKUP(MID(N46,O46,P46-O46),[5]skilldef!$A:$B,2,FALSE),"-")</f>
        <v>自分自身に / 状態異常耐性</v>
      </c>
      <c r="T46" s="46" t="str">
        <f t="shared" si="10"/>
        <v>[effect:dis_panel, target:block_red, turn:-1],[effect:dis_panel, target:block_blue, turn:-1],[effect:dis_panel, target:block_yellow, turn:-1]</v>
      </c>
      <c r="U46" s="61">
        <f t="shared" si="11"/>
        <v>9</v>
      </c>
      <c r="V46" s="61">
        <f t="shared" si="12"/>
        <v>18</v>
      </c>
      <c r="W46" s="61">
        <f t="shared" si="13"/>
        <v>27</v>
      </c>
      <c r="X46" s="61">
        <f t="shared" si="14"/>
        <v>36</v>
      </c>
      <c r="Y46" s="61" t="str">
        <f>IFERROR(VLOOKUP(MID(T46,W46,X46-W46),[5]skilldef!$C:$D,2,FALSE),"-") &amp; " / " &amp; IFERROR(VLOOKUP(MID(T46,U46,V46-U46),[5]skilldef!$A:$B,2,FALSE),"-")</f>
        <v>赤パネルを / ディスパネル</v>
      </c>
      <c r="Z46" s="48"/>
      <c r="AA46" s="50"/>
      <c r="AB46" s="48"/>
    </row>
    <row r="47" spans="1:28" ht="21" customHeight="1" x14ac:dyDescent="0.15">
      <c r="A47" s="45">
        <v>41008046</v>
      </c>
      <c r="B47" s="45" t="s">
        <v>348</v>
      </c>
      <c r="C47" s="48">
        <v>3</v>
      </c>
      <c r="D47" s="48" t="s">
        <v>318</v>
      </c>
      <c r="E47" s="49" t="s">
        <v>319</v>
      </c>
      <c r="F47" s="49" t="s">
        <v>320</v>
      </c>
      <c r="G47" s="61" t="str">
        <f t="shared" si="0"/>
        <v>[effect:suicide, val:0.1, dead_type:suicide, target:myself, animation:enemy_suicide]</v>
      </c>
      <c r="H47" s="61">
        <f t="shared" si="1"/>
        <v>9</v>
      </c>
      <c r="I47" s="61">
        <f t="shared" si="2"/>
        <v>16</v>
      </c>
      <c r="J47" s="61">
        <f t="shared" si="3"/>
        <v>53</v>
      </c>
      <c r="K47" s="61">
        <f t="shared" si="4"/>
        <v>25</v>
      </c>
      <c r="L47" s="61" t="str">
        <f>IFERROR(VLOOKUP(MID(G47,J47,K47-J47),[5]skilldef!$C:$D,2,FALSE),"-") &amp; " / " &amp; IFERROR(VLOOKUP(MID(G47,H47,I47-H47),[5]skilldef!$A:$B,2,FALSE),"-")</f>
        <v>- / -</v>
      </c>
      <c r="M47" s="61" t="str">
        <f t="shared" si="5"/>
        <v>[effect:spread, val:0.4]</v>
      </c>
      <c r="N47" s="46" t="str">
        <f>IFERROR(LEFT(M47,FIND("],",M47)+S31),M47)</f>
        <v>[effect:spread, val:0.4]</v>
      </c>
      <c r="O47" s="61">
        <f t="shared" si="6"/>
        <v>9</v>
      </c>
      <c r="P47" s="61">
        <f t="shared" si="7"/>
        <v>15</v>
      </c>
      <c r="Q47" s="61" t="e">
        <f t="shared" si="8"/>
        <v>#VALUE!</v>
      </c>
      <c r="R47" s="61" t="e">
        <f t="shared" si="9"/>
        <v>#VALUE!</v>
      </c>
      <c r="S47" s="61" t="str">
        <f>IFERROR(VLOOKUP(MID(N47,Q47,R47-Q47),[5]skilldef!$C:$D,2,FALSE),"-") &amp; " / " &amp; IFERROR(VLOOKUP(MID(N47,O47,P47-O47),[5]skilldef!$A:$B,2,FALSE),"-")</f>
        <v>- / 全体攻撃</v>
      </c>
      <c r="T47" s="46" t="str">
        <f t="shared" si="10"/>
        <v>none</v>
      </c>
      <c r="U47" s="61" t="e">
        <f t="shared" si="11"/>
        <v>#VALUE!</v>
      </c>
      <c r="V47" s="61">
        <f t="shared" si="12"/>
        <v>4</v>
      </c>
      <c r="W47" s="61" t="e">
        <f t="shared" si="13"/>
        <v>#VALUE!</v>
      </c>
      <c r="X47" s="61" t="e">
        <f t="shared" si="14"/>
        <v>#VALUE!</v>
      </c>
      <c r="Y47" s="61" t="str">
        <f>IFERROR(VLOOKUP(MID(T47,W47,X47-W47),[5]skilldef!$C:$D,2,FALSE),"-") &amp; " / " &amp; IFERROR(VLOOKUP(MID(T47,U47,V47-U47),[5]skilldef!$A:$B,2,FALSE),"-")</f>
        <v>- / -</v>
      </c>
      <c r="Z47" s="48"/>
      <c r="AA47" s="50"/>
      <c r="AB47" s="48"/>
    </row>
    <row r="48" spans="1:28" ht="21" customHeight="1" x14ac:dyDescent="0.15">
      <c r="A48" s="45">
        <v>41008047</v>
      </c>
      <c r="B48" s="45" t="s">
        <v>373</v>
      </c>
      <c r="C48" s="48">
        <v>3</v>
      </c>
      <c r="D48" s="48" t="s">
        <v>126</v>
      </c>
      <c r="E48" s="49" t="s">
        <v>321</v>
      </c>
      <c r="F48" s="49" t="s">
        <v>374</v>
      </c>
      <c r="G48" s="61" t="str">
        <f t="shared" si="0"/>
        <v>[effect:break_attack, val:0.5, lowest_val:6250, count:6, block:crack_bomb, target:unit_one]</v>
      </c>
      <c r="H48" s="61">
        <f t="shared" si="1"/>
        <v>9</v>
      </c>
      <c r="I48" s="61">
        <f t="shared" si="2"/>
        <v>21</v>
      </c>
      <c r="J48" s="61">
        <f t="shared" si="3"/>
        <v>83</v>
      </c>
      <c r="K48" s="61">
        <f t="shared" si="4"/>
        <v>30</v>
      </c>
      <c r="L48" s="61" t="str">
        <f>IFERROR(VLOOKUP(MID(G48,J48,K48-J48),[5]skilldef!$C:$D,2,FALSE),"-") &amp; " / " &amp; IFERROR(VLOOKUP(MID(G48,H48,I48-H48),[5]skilldef!$A:$B,2,FALSE),"-")</f>
        <v>- / -</v>
      </c>
      <c r="M48" s="61" t="str">
        <f t="shared" si="5"/>
        <v>none</v>
      </c>
      <c r="N48" s="46" t="str">
        <f>IFERROR(LEFT(M48,FIND("],",M48)+S35),M48)</f>
        <v>none</v>
      </c>
      <c r="O48" s="61" t="e">
        <f t="shared" si="6"/>
        <v>#VALUE!</v>
      </c>
      <c r="P48" s="61">
        <f t="shared" si="7"/>
        <v>4</v>
      </c>
      <c r="Q48" s="61" t="e">
        <f t="shared" si="8"/>
        <v>#VALUE!</v>
      </c>
      <c r="R48" s="61" t="e">
        <f t="shared" si="9"/>
        <v>#VALUE!</v>
      </c>
      <c r="S48" s="61" t="str">
        <f>IFERROR(VLOOKUP(MID(N48,Q48,R48-Q48),[5]skilldef!$C:$D,2,FALSE),"-") &amp; " / " &amp; IFERROR(VLOOKUP(MID(N48,O48,P48-O48),[5]skilldef!$A:$B,2,FALSE),"-")</f>
        <v>- / -</v>
      </c>
      <c r="T48" s="46" t="str">
        <f t="shared" si="10"/>
        <v>none</v>
      </c>
      <c r="U48" s="61" t="e">
        <f t="shared" si="11"/>
        <v>#VALUE!</v>
      </c>
      <c r="V48" s="61">
        <f t="shared" si="12"/>
        <v>4</v>
      </c>
      <c r="W48" s="61" t="e">
        <f t="shared" si="13"/>
        <v>#VALUE!</v>
      </c>
      <c r="X48" s="61" t="e">
        <f t="shared" si="14"/>
        <v>#VALUE!</v>
      </c>
      <c r="Y48" s="61" t="str">
        <f>IFERROR(VLOOKUP(MID(T48,W48,X48-W48),[5]skilldef!$C:$D,2,FALSE),"-") &amp; " / " &amp; IFERROR(VLOOKUP(MID(T48,U48,V48-U48),[5]skilldef!$A:$B,2,FALSE),"-")</f>
        <v>- / -</v>
      </c>
      <c r="Z48" s="48"/>
      <c r="AA48" s="50"/>
      <c r="AB48" s="48"/>
    </row>
    <row r="49" spans="1:28" ht="21" customHeight="1" x14ac:dyDescent="0.15">
      <c r="A49" s="45">
        <v>41008048</v>
      </c>
      <c r="B49" s="45" t="s">
        <v>216</v>
      </c>
      <c r="C49" s="48">
        <v>3</v>
      </c>
      <c r="D49" s="48" t="s">
        <v>126</v>
      </c>
      <c r="E49" s="49" t="s">
        <v>322</v>
      </c>
      <c r="F49" s="49" t="s">
        <v>323</v>
      </c>
      <c r="G49" s="61" t="str">
        <f t="shared" si="0"/>
        <v>[effect:nothing]</v>
      </c>
      <c r="H49" s="61">
        <f t="shared" si="1"/>
        <v>9</v>
      </c>
      <c r="I49" s="61">
        <f t="shared" si="2"/>
        <v>16</v>
      </c>
      <c r="J49" s="61" t="e">
        <f t="shared" si="3"/>
        <v>#VALUE!</v>
      </c>
      <c r="K49" s="61" t="e">
        <f t="shared" si="4"/>
        <v>#VALUE!</v>
      </c>
      <c r="L49" s="61" t="str">
        <f>IFERROR(VLOOKUP(MID(G49,J49,K49-J49),[5]skilldef!$C:$D,2,FALSE),"-") &amp; " / " &amp; IFERROR(VLOOKUP(MID(G49,H49,I49-H49),[5]skilldef!$A:$B,2,FALSE),"-")</f>
        <v>- / 何もしない</v>
      </c>
      <c r="M49" s="61" t="str">
        <f t="shared" si="5"/>
        <v>none</v>
      </c>
      <c r="N49" s="46" t="str">
        <f>IFERROR(LEFT(M49,FIND("],",M49)+S38),M49)</f>
        <v>none</v>
      </c>
      <c r="O49" s="61" t="e">
        <f t="shared" si="6"/>
        <v>#VALUE!</v>
      </c>
      <c r="P49" s="61">
        <f t="shared" si="7"/>
        <v>4</v>
      </c>
      <c r="Q49" s="61" t="e">
        <f t="shared" si="8"/>
        <v>#VALUE!</v>
      </c>
      <c r="R49" s="61" t="e">
        <f t="shared" si="9"/>
        <v>#VALUE!</v>
      </c>
      <c r="S49" s="61" t="str">
        <f>IFERROR(VLOOKUP(MID(N49,Q49,R49-Q49),[5]skilldef!$C:$D,2,FALSE),"-") &amp; " / " &amp; IFERROR(VLOOKUP(MID(N49,O49,P49-O49),[5]skilldef!$A:$B,2,FALSE),"-")</f>
        <v>- / -</v>
      </c>
      <c r="T49" s="46" t="str">
        <f t="shared" si="10"/>
        <v>none</v>
      </c>
      <c r="U49" s="61" t="e">
        <f t="shared" si="11"/>
        <v>#VALUE!</v>
      </c>
      <c r="V49" s="61">
        <f t="shared" si="12"/>
        <v>4</v>
      </c>
      <c r="W49" s="61" t="e">
        <f t="shared" si="13"/>
        <v>#VALUE!</v>
      </c>
      <c r="X49" s="61" t="e">
        <f t="shared" si="14"/>
        <v>#VALUE!</v>
      </c>
      <c r="Y49" s="61" t="str">
        <f>IFERROR(VLOOKUP(MID(T49,W49,X49-W49),[5]skilldef!$C:$D,2,FALSE),"-") &amp; " / " &amp; IFERROR(VLOOKUP(MID(T49,U49,V49-U49),[5]skilldef!$A:$B,2,FALSE),"-")</f>
        <v>- / -</v>
      </c>
      <c r="Z49" s="48"/>
      <c r="AA49" s="50"/>
      <c r="AB49" s="48"/>
    </row>
    <row r="50" spans="1:28" ht="21" customHeight="1" thickBot="1" x14ac:dyDescent="0.2">
      <c r="A50" s="130">
        <v>41008049</v>
      </c>
      <c r="B50" s="130" t="s">
        <v>389</v>
      </c>
      <c r="C50" s="141">
        <v>3</v>
      </c>
      <c r="D50" s="141" t="s">
        <v>126</v>
      </c>
      <c r="E50" s="142" t="s">
        <v>324</v>
      </c>
      <c r="F50" s="142" t="s">
        <v>405</v>
      </c>
      <c r="G50" s="143" t="str">
        <f t="shared" si="0"/>
        <v>[effect:suicide, val:0.9, dead_type:suicide, target:myself, animation:enemy_suicide]</v>
      </c>
      <c r="H50" s="143">
        <f t="shared" si="1"/>
        <v>9</v>
      </c>
      <c r="I50" s="143">
        <f t="shared" si="2"/>
        <v>16</v>
      </c>
      <c r="J50" s="143">
        <f t="shared" si="3"/>
        <v>53</v>
      </c>
      <c r="K50" s="143">
        <f t="shared" si="4"/>
        <v>25</v>
      </c>
      <c r="L50" s="143" t="str">
        <f>IFERROR(VLOOKUP(MID(G50,J50,K50-J50),[5]skilldef!$C:$D,2,FALSE),"-") &amp; " / " &amp; IFERROR(VLOOKUP(MID(G50,H50,I50-H50),[5]skilldef!$A:$B,2,FALSE),"-")</f>
        <v>- / -</v>
      </c>
      <c r="M50" s="143" t="str">
        <f t="shared" si="5"/>
        <v>[effect:critical, val:3.6]</v>
      </c>
      <c r="N50" s="132" t="str">
        <f>IFERROR(LEFT(M50,FIND("],",M50)+S51),M50)</f>
        <v>[effect:critical, val:3.6]</v>
      </c>
      <c r="O50" s="143">
        <f t="shared" si="6"/>
        <v>9</v>
      </c>
      <c r="P50" s="143">
        <f t="shared" si="7"/>
        <v>17</v>
      </c>
      <c r="Q50" s="143" t="e">
        <f t="shared" si="8"/>
        <v>#VALUE!</v>
      </c>
      <c r="R50" s="143" t="e">
        <f t="shared" si="9"/>
        <v>#VALUE!</v>
      </c>
      <c r="S50" s="143" t="str">
        <f>IFERROR(VLOOKUP(MID(N50,Q50,R50-Q50),[5]skilldef!$C:$D,2,FALSE),"-") &amp; " / " &amp; IFERROR(VLOOKUP(MID(N50,O50,P50-O50),[5]skilldef!$A:$B,2,FALSE),"-")</f>
        <v>- / 大攻撃</v>
      </c>
      <c r="T50" s="132" t="str">
        <f t="shared" si="10"/>
        <v>none</v>
      </c>
      <c r="U50" s="143" t="e">
        <f t="shared" si="11"/>
        <v>#VALUE!</v>
      </c>
      <c r="V50" s="143">
        <f t="shared" si="12"/>
        <v>4</v>
      </c>
      <c r="W50" s="143" t="e">
        <f t="shared" si="13"/>
        <v>#VALUE!</v>
      </c>
      <c r="X50" s="143" t="e">
        <f t="shared" si="14"/>
        <v>#VALUE!</v>
      </c>
      <c r="Y50" s="143" t="str">
        <f>IFERROR(VLOOKUP(MID(T50,W50,X50-W50),[5]skilldef!$C:$D,2,FALSE),"-") &amp; " / " &amp; IFERROR(VLOOKUP(MID(T50,U50,V50-U50),[5]skilldef!$A:$B,2,FALSE),"-")</f>
        <v>- / -</v>
      </c>
      <c r="Z50" s="141"/>
      <c r="AA50" s="144"/>
      <c r="AB50" s="141"/>
    </row>
    <row r="51" spans="1:28" ht="21" customHeight="1" x14ac:dyDescent="0.15">
      <c r="A51" s="45">
        <v>41008050</v>
      </c>
      <c r="B51" s="45" t="s">
        <v>379</v>
      </c>
      <c r="C51" s="48">
        <v>3</v>
      </c>
      <c r="D51" s="48" t="s">
        <v>126</v>
      </c>
      <c r="E51" s="49" t="s">
        <v>351</v>
      </c>
      <c r="F51" s="49" t="s">
        <v>354</v>
      </c>
      <c r="G51" s="61" t="str">
        <f t="shared" ref="G51:G52" si="16">IFERROR(LEFT(B51,FIND("],",B51)),B51)</f>
        <v>[effect:enhance_enemy, target:myself, turn:-1, status:defense, val:3000, calc:add, animation:enemy_enhance_defense]</v>
      </c>
      <c r="H51" s="61">
        <f t="shared" ref="H51:H52" si="17">FIND("effect:",G51)+7</f>
        <v>9</v>
      </c>
      <c r="I51" s="61">
        <f t="shared" ref="I51:I52" si="18">IFERROR(FIND(",",G51),LEN(G51))</f>
        <v>22</v>
      </c>
      <c r="J51" s="61">
        <f t="shared" ref="J51:J52" si="19">FIND("target:",G51)+7</f>
        <v>31</v>
      </c>
      <c r="K51" s="61">
        <f t="shared" ref="K51:K52" si="20">FIND(",",G51,I51+1)</f>
        <v>37</v>
      </c>
      <c r="L51" s="61" t="str">
        <f>IFERROR(VLOOKUP(MID(G51,J51,K51-J51),[5]skilldef!$C:$D,2,FALSE),"-") &amp; " / " &amp; IFERROR(VLOOKUP(MID(G51,H51,I51-H51),[5]skilldef!$A:$B,2,FALSE),"-")</f>
        <v>自分自身に / ステータス強化</v>
      </c>
      <c r="M51" s="61" t="str">
        <f t="shared" ref="M51:M52" si="21">IFERROR(RIGHT(B51,LEN(B51)-FIND("],",B51)-1),"none")</f>
        <v>none</v>
      </c>
      <c r="N51" s="46" t="str">
        <f>IFERROR(LEFT(M51,FIND("],",M51)+S40),M51)</f>
        <v>none</v>
      </c>
      <c r="O51" s="61" t="e">
        <f t="shared" ref="O51:O52" si="22">FIND("effect:",N51)+7</f>
        <v>#VALUE!</v>
      </c>
      <c r="P51" s="61">
        <f t="shared" ref="P51:P52" si="23">IFERROR(FIND(",",N51),LEN(N51))</f>
        <v>4</v>
      </c>
      <c r="Q51" s="61" t="e">
        <f t="shared" ref="Q51:Q52" si="24">FIND("target:",N51)+7</f>
        <v>#VALUE!</v>
      </c>
      <c r="R51" s="61" t="e">
        <f t="shared" ref="R51:R52" si="25">FIND(",",N51,P51+1)</f>
        <v>#VALUE!</v>
      </c>
      <c r="S51" s="61" t="str">
        <f>IFERROR(VLOOKUP(MID(N51,Q51,R51-Q51),[5]skilldef!$C:$D,2,FALSE),"-") &amp; " / " &amp; IFERROR(VLOOKUP(MID(N51,O51,P51-O51),[5]skilldef!$A:$B,2,FALSE),"-")</f>
        <v>- / -</v>
      </c>
      <c r="T51" s="46" t="str">
        <f t="shared" ref="T51:T52" si="26">IFERROR(RIGHT(M51,LEN(M51)-FIND("],",M51)-1),"none")</f>
        <v>none</v>
      </c>
      <c r="U51" s="61" t="e">
        <f t="shared" ref="U51:U52" si="27">FIND("effect:",T51)+7</f>
        <v>#VALUE!</v>
      </c>
      <c r="V51" s="61">
        <f t="shared" ref="V51:V52" si="28">IFERROR(FIND(",",T51),LEN(T51))</f>
        <v>4</v>
      </c>
      <c r="W51" s="61" t="e">
        <f t="shared" ref="W51:W52" si="29">FIND("target:",T51)+7</f>
        <v>#VALUE!</v>
      </c>
      <c r="X51" s="61" t="e">
        <f t="shared" ref="X51:X52" si="30">FIND(",",T51,V51+1)</f>
        <v>#VALUE!</v>
      </c>
      <c r="Y51" s="61" t="str">
        <f>IFERROR(VLOOKUP(MID(T51,W51,X51-W51),[5]skilldef!$C:$D,2,FALSE),"-") &amp; " / " &amp; IFERROR(VLOOKUP(MID(T51,U51,V51-U51),[5]skilldef!$A:$B,2,FALSE),"-")</f>
        <v>- / -</v>
      </c>
      <c r="Z51" s="48"/>
      <c r="AA51" s="50"/>
      <c r="AB51" s="48"/>
    </row>
    <row r="52" spans="1:28" ht="21" customHeight="1" x14ac:dyDescent="0.15">
      <c r="A52" s="45">
        <v>41008051</v>
      </c>
      <c r="B52" s="45" t="s">
        <v>353</v>
      </c>
      <c r="C52" s="48">
        <v>3</v>
      </c>
      <c r="D52" s="48" t="s">
        <v>318</v>
      </c>
      <c r="E52" s="49" t="s">
        <v>364</v>
      </c>
      <c r="F52" s="49" t="s">
        <v>352</v>
      </c>
      <c r="G52" s="61" t="str">
        <f t="shared" si="16"/>
        <v>[effect:spread, val:0.3]</v>
      </c>
      <c r="H52" s="61">
        <f t="shared" si="17"/>
        <v>9</v>
      </c>
      <c r="I52" s="61">
        <f t="shared" si="18"/>
        <v>15</v>
      </c>
      <c r="J52" s="61" t="e">
        <f t="shared" si="19"/>
        <v>#VALUE!</v>
      </c>
      <c r="K52" s="61" t="e">
        <f t="shared" si="20"/>
        <v>#VALUE!</v>
      </c>
      <c r="L52" s="61" t="str">
        <f>IFERROR(VLOOKUP(MID(G52,J52,K52-J52),[5]skilldef!$C:$D,2,FALSE),"-") &amp; " / " &amp; IFERROR(VLOOKUP(MID(G52,H52,I52-H52),[5]skilldef!$A:$B,2,FALSE),"-")</f>
        <v>- / 全体攻撃</v>
      </c>
      <c r="M52" s="61" t="str">
        <f t="shared" si="21"/>
        <v>none</v>
      </c>
      <c r="N52" s="46" t="str">
        <f>IFERROR(LEFT(M52,FIND("],",M52)+S36),M52)</f>
        <v>none</v>
      </c>
      <c r="O52" s="61" t="e">
        <f t="shared" si="22"/>
        <v>#VALUE!</v>
      </c>
      <c r="P52" s="61">
        <f t="shared" si="23"/>
        <v>4</v>
      </c>
      <c r="Q52" s="61" t="e">
        <f t="shared" si="24"/>
        <v>#VALUE!</v>
      </c>
      <c r="R52" s="61" t="e">
        <f t="shared" si="25"/>
        <v>#VALUE!</v>
      </c>
      <c r="S52" s="61" t="str">
        <f>IFERROR(VLOOKUP(MID(N52,Q52,R52-Q52),[5]skilldef!$C:$D,2,FALSE),"-") &amp; " / " &amp; IFERROR(VLOOKUP(MID(N52,O52,P52-O52),[5]skilldef!$A:$B,2,FALSE),"-")</f>
        <v>- / -</v>
      </c>
      <c r="T52" s="46" t="str">
        <f t="shared" si="26"/>
        <v>none</v>
      </c>
      <c r="U52" s="61" t="e">
        <f t="shared" si="27"/>
        <v>#VALUE!</v>
      </c>
      <c r="V52" s="61">
        <f t="shared" si="28"/>
        <v>4</v>
      </c>
      <c r="W52" s="61" t="e">
        <f t="shared" si="29"/>
        <v>#VALUE!</v>
      </c>
      <c r="X52" s="61" t="e">
        <f t="shared" si="30"/>
        <v>#VALUE!</v>
      </c>
      <c r="Y52" s="61" t="str">
        <f>IFERROR(VLOOKUP(MID(T52,W52,X52-W52),[5]skilldef!$C:$D,2,FALSE),"-") &amp; " / " &amp; IFERROR(VLOOKUP(MID(T52,U52,V52-U52),[5]skilldef!$A:$B,2,FALSE),"-")</f>
        <v>- / -</v>
      </c>
      <c r="Z52" s="48"/>
      <c r="AA52" s="50"/>
      <c r="AB52" s="48"/>
    </row>
    <row r="53" spans="1:28" ht="21" customHeight="1" x14ac:dyDescent="0.15">
      <c r="A53" s="45">
        <v>41008052</v>
      </c>
      <c r="B53" s="45" t="s">
        <v>390</v>
      </c>
      <c r="C53" s="48">
        <v>3</v>
      </c>
      <c r="D53" s="48" t="s">
        <v>126</v>
      </c>
      <c r="E53" s="49" t="s">
        <v>387</v>
      </c>
      <c r="F53" s="49" t="s">
        <v>355</v>
      </c>
      <c r="G53" s="61" t="str">
        <f>IFERROR(LEFT(B53,FIND("],",B53)),B53)</f>
        <v>[effect:rush, count:8, val:0.16]</v>
      </c>
      <c r="H53" s="61">
        <f>FIND("effect:",G53)+7</f>
        <v>9</v>
      </c>
      <c r="I53" s="61">
        <f>IFERROR(FIND(",",G53),LEN(G53))</f>
        <v>13</v>
      </c>
      <c r="J53" s="61" t="e">
        <f>FIND("target:",G53)+7</f>
        <v>#VALUE!</v>
      </c>
      <c r="K53" s="61">
        <f>FIND(",",G53,I53+1)</f>
        <v>22</v>
      </c>
      <c r="L53" s="61" t="str">
        <f>IFERROR(VLOOKUP(MID(G53,J53,K53-J53),[5]skilldef!$C:$D,2,FALSE),"-") &amp; " / " &amp; IFERROR(VLOOKUP(MID(G53,H53,I53-H53),[5]skilldef!$A:$B,2,FALSE),"-")</f>
        <v>- / 連続攻撃</v>
      </c>
      <c r="M53" s="61" t="str">
        <f>IFERROR(RIGHT(B53,LEN(B53)-FIND("],",B53)-1),"none")</f>
        <v>none</v>
      </c>
      <c r="N53" s="46" t="str">
        <f>IFERROR(LEFT(M53,FIND("],",M53)+S75),M53)</f>
        <v>none</v>
      </c>
      <c r="O53" s="61" t="e">
        <f>FIND("effect:",N53)+7</f>
        <v>#VALUE!</v>
      </c>
      <c r="P53" s="61">
        <f>IFERROR(FIND(",",N53),LEN(N53))</f>
        <v>4</v>
      </c>
      <c r="Q53" s="61" t="e">
        <f>FIND("target:",N53)+7</f>
        <v>#VALUE!</v>
      </c>
      <c r="R53" s="61" t="e">
        <f>FIND(",",N53,P53+1)</f>
        <v>#VALUE!</v>
      </c>
      <c r="S53" s="61" t="str">
        <f>IFERROR(VLOOKUP(MID(N53,Q53,R53-Q53),[5]skilldef!$C:$D,2,FALSE),"-") &amp; " / " &amp; IFERROR(VLOOKUP(MID(N53,O53,P53-O53),[5]skilldef!$A:$B,2,FALSE),"-")</f>
        <v>- / -</v>
      </c>
      <c r="T53" s="46" t="str">
        <f>IFERROR(RIGHT(M53,LEN(M53)-FIND("],",M53)-1),"none")</f>
        <v>none</v>
      </c>
      <c r="U53" s="61" t="e">
        <f>FIND("effect:",T53)+7</f>
        <v>#VALUE!</v>
      </c>
      <c r="V53" s="61">
        <f>IFERROR(FIND(",",T53),LEN(T53))</f>
        <v>4</v>
      </c>
      <c r="W53" s="61" t="e">
        <f>FIND("target:",T53)+7</f>
        <v>#VALUE!</v>
      </c>
      <c r="X53" s="61" t="e">
        <f>FIND(",",T53,V53+1)</f>
        <v>#VALUE!</v>
      </c>
      <c r="Y53" s="61" t="str">
        <f>IFERROR(VLOOKUP(MID(T53,W53,X53-W53),[5]skilldef!$C:$D,2,FALSE),"-") &amp; " / " &amp; IFERROR(VLOOKUP(MID(T53,U53,V53-U53),[5]skilldef!$A:$B,2,FALSE),"-")</f>
        <v>- / -</v>
      </c>
      <c r="Z53" s="48"/>
      <c r="AA53" s="50"/>
      <c r="AB53" s="48"/>
    </row>
    <row r="54" spans="1:28" ht="21" customHeight="1" x14ac:dyDescent="0.15">
      <c r="A54" s="45">
        <v>41008053</v>
      </c>
      <c r="B54" s="45" t="s">
        <v>350</v>
      </c>
      <c r="C54" s="48">
        <v>3</v>
      </c>
      <c r="D54" s="48" t="s">
        <v>126</v>
      </c>
      <c r="E54" s="49" t="s">
        <v>363</v>
      </c>
      <c r="F54" s="49" t="s">
        <v>349</v>
      </c>
      <c r="G54" s="61" t="str">
        <f>IFERROR(LEFT(B54,FIND("],",B54)),B54)</f>
        <v>[effect:hungup, target:unit_red, turn:5, rate:1, animation:hungup01]</v>
      </c>
      <c r="H54" s="61">
        <f>FIND("effect:",G54)+7</f>
        <v>9</v>
      </c>
      <c r="I54" s="61">
        <f>IFERROR(FIND(",",G54),LEN(G54))</f>
        <v>15</v>
      </c>
      <c r="J54" s="61">
        <f>FIND("target:",G54)+7</f>
        <v>24</v>
      </c>
      <c r="K54" s="61">
        <f>FIND(",",G54,I54+1)</f>
        <v>32</v>
      </c>
      <c r="L54" s="61" t="str">
        <f>IFERROR(VLOOKUP(MID(G54,J54,K54-J54),[5]skilldef!$C:$D,2,FALSE),"-") &amp; " / " &amp; IFERROR(VLOOKUP(MID(G54,H54,I54-H54),[5]skilldef!$A:$B,2,FALSE),"-")</f>
        <v>赤の味方に / ハングアップ</v>
      </c>
      <c r="M54" s="61" t="str">
        <f>IFERROR(RIGHT(B54,LEN(B54)-FIND("],",B54)-1),"none")</f>
        <v>[effect:hungup, target:unit_yellow, turn:5, rate:1, animation:hungup01]</v>
      </c>
      <c r="N54" s="46" t="str">
        <f>IFERROR(LEFT(M54,FIND("],",M54)+S76),M54)</f>
        <v>[effect:hungup, target:unit_yellow, turn:5, rate:1, animation:hungup01]</v>
      </c>
      <c r="O54" s="61">
        <f>FIND("effect:",N54)+7</f>
        <v>9</v>
      </c>
      <c r="P54" s="61">
        <f>IFERROR(FIND(",",N54),LEN(N54))</f>
        <v>15</v>
      </c>
      <c r="Q54" s="61">
        <f>FIND("target:",N54)+7</f>
        <v>24</v>
      </c>
      <c r="R54" s="61">
        <f>FIND(",",N54,P54+1)</f>
        <v>35</v>
      </c>
      <c r="S54" s="61" t="str">
        <f>IFERROR(VLOOKUP(MID(N54,Q54,R54-Q54),[5]skilldef!$C:$D,2,FALSE),"-") &amp; " / " &amp; IFERROR(VLOOKUP(MID(N54,O54,P54-O54),[5]skilldef!$A:$B,2,FALSE),"-")</f>
        <v>黄の味方に / ハングアップ</v>
      </c>
      <c r="T54" s="46" t="str">
        <f>IFERROR(RIGHT(M54,LEN(M54)-FIND("],",M54)-1),"none")</f>
        <v>none</v>
      </c>
      <c r="U54" s="61" t="e">
        <f>FIND("effect:",T54)+7</f>
        <v>#VALUE!</v>
      </c>
      <c r="V54" s="61">
        <f>IFERROR(FIND(",",T54),LEN(T54))</f>
        <v>4</v>
      </c>
      <c r="W54" s="61" t="e">
        <f>FIND("target:",T54)+7</f>
        <v>#VALUE!</v>
      </c>
      <c r="X54" s="61" t="e">
        <f>FIND(",",T54,V54+1)</f>
        <v>#VALUE!</v>
      </c>
      <c r="Y54" s="61" t="str">
        <f>IFERROR(VLOOKUP(MID(T54,W54,X54-W54),[5]skilldef!$C:$D,2,FALSE),"-") &amp; " / " &amp; IFERROR(VLOOKUP(MID(T54,U54,V54-U54),[5]skilldef!$A:$B,2,FALSE),"-")</f>
        <v>- / -</v>
      </c>
      <c r="Z54" s="48"/>
      <c r="AA54" s="50"/>
      <c r="AB54" s="48"/>
    </row>
    <row r="55" spans="1:28" ht="21" customHeight="1" x14ac:dyDescent="0.15">
      <c r="A55" s="45">
        <v>41008054</v>
      </c>
      <c r="B55" s="45" t="s">
        <v>377</v>
      </c>
      <c r="C55" s="48">
        <v>3</v>
      </c>
      <c r="D55" s="48" t="s">
        <v>126</v>
      </c>
      <c r="E55" s="49" t="s">
        <v>358</v>
      </c>
      <c r="F55" s="49" t="s">
        <v>408</v>
      </c>
      <c r="G55" s="61" t="str">
        <f t="shared" ref="G55" si="31">IFERROR(LEFT(B55,FIND("],",B55)),B55)</f>
        <v>[effect:fix_speed,target:myself,turn:2]</v>
      </c>
      <c r="H55" s="61">
        <f t="shared" ref="H55" si="32">FIND("effect:",G55)+7</f>
        <v>9</v>
      </c>
      <c r="I55" s="61">
        <f t="shared" ref="I55" si="33">IFERROR(FIND(",",G55),LEN(G55))</f>
        <v>18</v>
      </c>
      <c r="J55" s="61">
        <f t="shared" ref="J55" si="34">FIND("target:",G55)+7</f>
        <v>26</v>
      </c>
      <c r="K55" s="61">
        <f t="shared" ref="K55" si="35">FIND(",",G55,I55+1)</f>
        <v>32</v>
      </c>
      <c r="L55" s="61" t="str">
        <f>IFERROR(VLOOKUP(MID(G55,J55,K55-J55),[5]skilldef!$C:$D,2,FALSE),"-") &amp; " / " &amp; IFERROR(VLOOKUP(MID(G55,H55,I55-H55),[5]skilldef!$A:$B,2,FALSE),"-")</f>
        <v>自分自身に / 行動値設定</v>
      </c>
      <c r="M55" s="61" t="str">
        <f t="shared" ref="M55" si="36">IFERROR(RIGHT(B55,LEN(B55)-FIND("],",B55)-1),"none")</f>
        <v>[effect:tolerance, target:myself, turn:-1, tolerance_effect:hungup, count:-1, animation:enemy_tolerance],[effect:degrade_fever, val:1000, animation:fevergauge_down],</v>
      </c>
      <c r="N55" s="46" t="str">
        <f>IFERROR(LEFT(M55,FIND("],",M55)+S65),M55)</f>
        <v>[effect:tolerance, target:myself, turn:-1, tolerance_effect:hungup, count:-1, animation:enemy_tolerance],[effect:degrade_fever, val:1000, animation:fevergauge_down],</v>
      </c>
      <c r="O55" s="61">
        <f t="shared" ref="O55" si="37">FIND("effect:",N55)+7</f>
        <v>9</v>
      </c>
      <c r="P55" s="61">
        <f t="shared" ref="P55" si="38">IFERROR(FIND(",",N55),LEN(N55))</f>
        <v>18</v>
      </c>
      <c r="Q55" s="61">
        <f t="shared" ref="Q55" si="39">FIND("target:",N55)+7</f>
        <v>27</v>
      </c>
      <c r="R55" s="61">
        <f t="shared" ref="R55" si="40">FIND(",",N55,P55+1)</f>
        <v>33</v>
      </c>
      <c r="S55" s="61" t="str">
        <f>IFERROR(VLOOKUP(MID(N55,Q55,R55-Q55),[5]skilldef!$C:$D,2,FALSE),"-") &amp; " / " &amp; IFERROR(VLOOKUP(MID(N55,O55,P55-O55),[5]skilldef!$A:$B,2,FALSE),"-")</f>
        <v>自分自身に / 状態異常耐性</v>
      </c>
      <c r="T55" s="46" t="str">
        <f t="shared" ref="T55" si="41">IFERROR(RIGHT(M55,LEN(M55)-FIND("],",M55)-1),"none")</f>
        <v>[effect:degrade_fever, val:1000, animation:fevergauge_down],</v>
      </c>
      <c r="U55" s="61">
        <f t="shared" ref="U55" si="42">FIND("effect:",T55)+7</f>
        <v>9</v>
      </c>
      <c r="V55" s="61">
        <f t="shared" ref="V55" si="43">IFERROR(FIND(",",T55),LEN(T55))</f>
        <v>22</v>
      </c>
      <c r="W55" s="61" t="e">
        <f t="shared" ref="W55" si="44">FIND("target:",T55)+7</f>
        <v>#VALUE!</v>
      </c>
      <c r="X55" s="61">
        <f t="shared" ref="X55" si="45">FIND(",",T55,V55+1)</f>
        <v>32</v>
      </c>
      <c r="Y55" s="61" t="str">
        <f>IFERROR(VLOOKUP(MID(T55,W55,X55-W55),[5]skilldef!$C:$D,2,FALSE),"-") &amp; " / " &amp; IFERROR(VLOOKUP(MID(T55,U55,V55-U55),[5]skilldef!$A:$B,2,FALSE),"-")</f>
        <v>- / フィーバーゲージ減少</v>
      </c>
      <c r="Z55" s="48"/>
      <c r="AA55" s="50"/>
      <c r="AB55" s="48"/>
    </row>
    <row r="56" spans="1:28" ht="21" customHeight="1" x14ac:dyDescent="0.15">
      <c r="A56" s="45">
        <v>41008055</v>
      </c>
      <c r="B56" s="45" t="s">
        <v>388</v>
      </c>
      <c r="C56" s="48">
        <v>3</v>
      </c>
      <c r="D56" s="48" t="s">
        <v>126</v>
      </c>
      <c r="E56" s="49" t="s">
        <v>362</v>
      </c>
      <c r="F56" s="49" t="s">
        <v>360</v>
      </c>
      <c r="G56" s="61" t="str">
        <f t="shared" ref="G56:G59" si="46">IFERROR(LEFT(B56,FIND("],",B56)),B56)</f>
        <v>[effect:invalidate_change_block, target:unit_all, block_type01:crash, turn:3, animation:panel_conversion_off]</v>
      </c>
      <c r="H56" s="61">
        <f t="shared" ref="H56:H59" si="47">FIND("effect:",G56)+7</f>
        <v>9</v>
      </c>
      <c r="I56" s="61">
        <f t="shared" ref="I56:I59" si="48">IFERROR(FIND(",",G56),LEN(G56))</f>
        <v>32</v>
      </c>
      <c r="J56" s="61">
        <f t="shared" ref="J56:J59" si="49">FIND("target:",G56)+7</f>
        <v>41</v>
      </c>
      <c r="K56" s="61">
        <f t="shared" ref="K56:K59" si="50">FIND(",",G56,I56+1)</f>
        <v>49</v>
      </c>
      <c r="L56" s="61" t="str">
        <f>IFERROR(VLOOKUP(MID(G56,J56,K56-J56),[5]skilldef!$C:$D,2,FALSE),"-") &amp; " / " &amp; IFERROR(VLOOKUP(MID(G56,H56,I56-H56),[5]skilldef!$A:$B,2,FALSE),"-")</f>
        <v>味方全体に / -</v>
      </c>
      <c r="M56" s="61" t="str">
        <f t="shared" ref="M56:M59" si="51">IFERROR(RIGHT(B56,LEN(B56)-FIND("],",B56)-1),"none")</f>
        <v>[effect:spread, val:0.25]</v>
      </c>
      <c r="N56" s="46" t="str">
        <f>IFERROR(LEFT(M56,FIND("],",M56)+S66),M56)</f>
        <v>[effect:spread, val:0.25]</v>
      </c>
      <c r="O56" s="61">
        <f t="shared" ref="O56:O59" si="52">FIND("effect:",N56)+7</f>
        <v>9</v>
      </c>
      <c r="P56" s="61">
        <f t="shared" ref="P56:P59" si="53">IFERROR(FIND(",",N56),LEN(N56))</f>
        <v>15</v>
      </c>
      <c r="Q56" s="61" t="e">
        <f t="shared" ref="Q56:Q59" si="54">FIND("target:",N56)+7</f>
        <v>#VALUE!</v>
      </c>
      <c r="R56" s="61" t="e">
        <f t="shared" ref="R56:R59" si="55">FIND(",",N56,P56+1)</f>
        <v>#VALUE!</v>
      </c>
      <c r="S56" s="61" t="str">
        <f>IFERROR(VLOOKUP(MID(N56,Q56,R56-Q56),[5]skilldef!$C:$D,2,FALSE),"-") &amp; " / " &amp; IFERROR(VLOOKUP(MID(N56,O56,P56-O56),[5]skilldef!$A:$B,2,FALSE),"-")</f>
        <v>- / 全体攻撃</v>
      </c>
      <c r="T56" s="46" t="str">
        <f t="shared" ref="T56:T59" si="56">IFERROR(RIGHT(M56,LEN(M56)-FIND("],",M56)-1),"none")</f>
        <v>none</v>
      </c>
      <c r="U56" s="61" t="e">
        <f t="shared" ref="U56:U59" si="57">FIND("effect:",T56)+7</f>
        <v>#VALUE!</v>
      </c>
      <c r="V56" s="61">
        <f t="shared" ref="V56:V59" si="58">IFERROR(FIND(",",T56),LEN(T56))</f>
        <v>4</v>
      </c>
      <c r="W56" s="61" t="e">
        <f t="shared" ref="W56:W59" si="59">FIND("target:",T56)+7</f>
        <v>#VALUE!</v>
      </c>
      <c r="X56" s="61" t="e">
        <f t="shared" ref="X56:X59" si="60">FIND(",",T56,V56+1)</f>
        <v>#VALUE!</v>
      </c>
      <c r="Y56" s="61" t="str">
        <f>IFERROR(VLOOKUP(MID(T56,W56,X56-W56),[5]skilldef!$C:$D,2,FALSE),"-") &amp; " / " &amp; IFERROR(VLOOKUP(MID(T56,U56,V56-U56),[5]skilldef!$A:$B,2,FALSE),"-")</f>
        <v>- / -</v>
      </c>
      <c r="Z56" s="48"/>
      <c r="AA56" s="50"/>
      <c r="AB56" s="48"/>
    </row>
    <row r="57" spans="1:28" ht="21" customHeight="1" x14ac:dyDescent="0.15">
      <c r="A57" s="45">
        <v>41008056</v>
      </c>
      <c r="B57" s="45" t="s">
        <v>378</v>
      </c>
      <c r="C57" s="48">
        <v>3</v>
      </c>
      <c r="D57" s="48" t="s">
        <v>318</v>
      </c>
      <c r="E57" s="49" t="s">
        <v>398</v>
      </c>
      <c r="F57" s="49" t="s">
        <v>361</v>
      </c>
      <c r="G57" s="61" t="str">
        <f t="shared" si="46"/>
        <v>[effect:suicide, val:0.99, dead_type:suicide, target:myself, animation:enemy_suicide]</v>
      </c>
      <c r="H57" s="61">
        <f t="shared" si="47"/>
        <v>9</v>
      </c>
      <c r="I57" s="61">
        <f t="shared" si="48"/>
        <v>16</v>
      </c>
      <c r="J57" s="61">
        <f t="shared" si="49"/>
        <v>54</v>
      </c>
      <c r="K57" s="61">
        <f t="shared" si="50"/>
        <v>26</v>
      </c>
      <c r="L57" s="61" t="str">
        <f>IFERROR(VLOOKUP(MID(G57,J57,K57-J57),[5]skilldef!$C:$D,2,FALSE),"-") &amp; " / " &amp; IFERROR(VLOOKUP(MID(G57,H57,I57-H57),[5]skilldef!$A:$B,2,FALSE),"-")</f>
        <v>- / -</v>
      </c>
      <c r="M57" s="61" t="str">
        <f t="shared" si="51"/>
        <v>[effect:critical, val:3.6]</v>
      </c>
      <c r="N57" s="46" t="str">
        <f>IFERROR(LEFT(M57,FIND("],",M57)+S41),M57)</f>
        <v>[effect:critical, val:3.6]</v>
      </c>
      <c r="O57" s="61">
        <f t="shared" si="52"/>
        <v>9</v>
      </c>
      <c r="P57" s="61">
        <f t="shared" si="53"/>
        <v>17</v>
      </c>
      <c r="Q57" s="61" t="e">
        <f t="shared" si="54"/>
        <v>#VALUE!</v>
      </c>
      <c r="R57" s="61" t="e">
        <f t="shared" si="55"/>
        <v>#VALUE!</v>
      </c>
      <c r="S57" s="61" t="str">
        <f>IFERROR(VLOOKUP(MID(N57,Q57,R57-Q57),[5]skilldef!$C:$D,2,FALSE),"-") &amp; " / " &amp; IFERROR(VLOOKUP(MID(N57,O57,P57-O57),[5]skilldef!$A:$B,2,FALSE),"-")</f>
        <v>- / 大攻撃</v>
      </c>
      <c r="T57" s="46" t="str">
        <f t="shared" si="56"/>
        <v>none</v>
      </c>
      <c r="U57" s="61" t="e">
        <f t="shared" si="57"/>
        <v>#VALUE!</v>
      </c>
      <c r="V57" s="61">
        <f t="shared" si="58"/>
        <v>4</v>
      </c>
      <c r="W57" s="61" t="e">
        <f t="shared" si="59"/>
        <v>#VALUE!</v>
      </c>
      <c r="X57" s="61" t="e">
        <f t="shared" si="60"/>
        <v>#VALUE!</v>
      </c>
      <c r="Y57" s="61" t="str">
        <f>IFERROR(VLOOKUP(MID(T57,W57,X57-W57),[5]skilldef!$C:$D,2,FALSE),"-") &amp; " / " &amp; IFERROR(VLOOKUP(MID(T57,U57,V57-U57),[5]skilldef!$A:$B,2,FALSE),"-")</f>
        <v>- / -</v>
      </c>
      <c r="Z57" s="48"/>
      <c r="AA57" s="50"/>
      <c r="AB57" s="48"/>
    </row>
    <row r="58" spans="1:28" ht="21" customHeight="1" x14ac:dyDescent="0.15">
      <c r="A58" s="45">
        <v>41008057</v>
      </c>
      <c r="B58" s="45" t="s">
        <v>271</v>
      </c>
      <c r="C58" s="48">
        <v>3</v>
      </c>
      <c r="D58" s="48" t="s">
        <v>259</v>
      </c>
      <c r="E58" s="49" t="s">
        <v>273</v>
      </c>
      <c r="F58" s="49" t="s">
        <v>383</v>
      </c>
      <c r="G58" s="61" t="str">
        <f t="shared" si="46"/>
        <v>[effect:fix_speed,target:myself,turn:1]</v>
      </c>
      <c r="H58" s="61">
        <f t="shared" si="47"/>
        <v>9</v>
      </c>
      <c r="I58" s="61">
        <f t="shared" si="48"/>
        <v>18</v>
      </c>
      <c r="J58" s="61">
        <f t="shared" si="49"/>
        <v>26</v>
      </c>
      <c r="K58" s="61">
        <f t="shared" si="50"/>
        <v>32</v>
      </c>
      <c r="L58" s="61" t="str">
        <f>IFERROR(VLOOKUP(MID(G58,J58,K58-J58),[5]skilldef!$C:$D,2,FALSE),"-") &amp; " / " &amp; IFERROR(VLOOKUP(MID(G58,H58,I58-H58),[5]skilldef!$A:$B,2,FALSE),"-")</f>
        <v>自分自身に / 行動値設定</v>
      </c>
      <c r="M58" s="61" t="str">
        <f t="shared" si="51"/>
        <v>[effect:tolerance, target:myself, turn:-1, tolerance_effect:hungup, count:-1, animation:enemy_tolerance]</v>
      </c>
      <c r="N58" s="46" t="str">
        <f>IFERROR(LEFT(M58,FIND("],",M58)+S74),M58)</f>
        <v>[effect:tolerance, target:myself, turn:-1, tolerance_effect:hungup, count:-1, animation:enemy_tolerance]</v>
      </c>
      <c r="O58" s="61">
        <f t="shared" si="52"/>
        <v>9</v>
      </c>
      <c r="P58" s="61">
        <f t="shared" si="53"/>
        <v>18</v>
      </c>
      <c r="Q58" s="61">
        <f t="shared" si="54"/>
        <v>27</v>
      </c>
      <c r="R58" s="61">
        <f t="shared" si="55"/>
        <v>33</v>
      </c>
      <c r="S58" s="61" t="str">
        <f>IFERROR(VLOOKUP(MID(N58,Q58,R58-Q58),[5]skilldef!$C:$D,2,FALSE),"-") &amp; " / " &amp; IFERROR(VLOOKUP(MID(N58,O58,P58-O58),[5]skilldef!$A:$B,2,FALSE),"-")</f>
        <v>自分自身に / 状態異常耐性</v>
      </c>
      <c r="T58" s="46" t="str">
        <f t="shared" si="56"/>
        <v>none</v>
      </c>
      <c r="U58" s="61" t="e">
        <f t="shared" si="57"/>
        <v>#VALUE!</v>
      </c>
      <c r="V58" s="61">
        <f t="shared" si="58"/>
        <v>4</v>
      </c>
      <c r="W58" s="61" t="e">
        <f t="shared" si="59"/>
        <v>#VALUE!</v>
      </c>
      <c r="X58" s="61" t="e">
        <f t="shared" si="60"/>
        <v>#VALUE!</v>
      </c>
      <c r="Y58" s="61" t="str">
        <f>IFERROR(VLOOKUP(MID(T58,W58,X58-W58),[5]skilldef!$C:$D,2,FALSE),"-") &amp; " / " &amp; IFERROR(VLOOKUP(MID(T58,U58,V58-U58),[5]skilldef!$A:$B,2,FALSE),"-")</f>
        <v>- / -</v>
      </c>
      <c r="Z58" s="48"/>
      <c r="AA58" s="50"/>
      <c r="AB58" s="48"/>
    </row>
    <row r="59" spans="1:28" ht="21" customHeight="1" x14ac:dyDescent="0.15">
      <c r="A59" s="45">
        <v>41008058</v>
      </c>
      <c r="B59" s="45" t="s">
        <v>271</v>
      </c>
      <c r="C59" s="48">
        <v>3</v>
      </c>
      <c r="D59" s="48" t="s">
        <v>259</v>
      </c>
      <c r="E59" s="204" t="s">
        <v>393</v>
      </c>
      <c r="F59" s="204" t="s">
        <v>396</v>
      </c>
      <c r="G59" s="61" t="str">
        <f t="shared" si="46"/>
        <v>[effect:fix_speed,target:myself,turn:1]</v>
      </c>
      <c r="H59" s="61">
        <f t="shared" si="47"/>
        <v>9</v>
      </c>
      <c r="I59" s="61">
        <f t="shared" si="48"/>
        <v>18</v>
      </c>
      <c r="J59" s="61">
        <f t="shared" si="49"/>
        <v>26</v>
      </c>
      <c r="K59" s="61">
        <f t="shared" si="50"/>
        <v>32</v>
      </c>
      <c r="L59" s="61" t="str">
        <f>IFERROR(VLOOKUP(MID(G59,J59,K59-J59),[5]skilldef!$C:$D,2,FALSE),"-") &amp; " / " &amp; IFERROR(VLOOKUP(MID(G59,H59,I59-H59),[5]skilldef!$A:$B,2,FALSE),"-")</f>
        <v>自分自身に / 行動値設定</v>
      </c>
      <c r="M59" s="61" t="str">
        <f t="shared" si="51"/>
        <v>[effect:tolerance, target:myself, turn:-1, tolerance_effect:hungup, count:-1, animation:enemy_tolerance]</v>
      </c>
      <c r="N59" s="46" t="str">
        <f>IFERROR(LEFT(M59,FIND("],",M59)+S75),M59)</f>
        <v>[effect:tolerance, target:myself, turn:-1, tolerance_effect:hungup, count:-1, animation:enemy_tolerance]</v>
      </c>
      <c r="O59" s="61">
        <f t="shared" si="52"/>
        <v>9</v>
      </c>
      <c r="P59" s="61">
        <f t="shared" si="53"/>
        <v>18</v>
      </c>
      <c r="Q59" s="61">
        <f t="shared" si="54"/>
        <v>27</v>
      </c>
      <c r="R59" s="61">
        <f t="shared" si="55"/>
        <v>33</v>
      </c>
      <c r="S59" s="61" t="str">
        <f>IFERROR(VLOOKUP(MID(N59,Q59,R59-Q59),[5]skilldef!$C:$D,2,FALSE),"-") &amp; " / " &amp; IFERROR(VLOOKUP(MID(N59,O59,P59-O59),[5]skilldef!$A:$B,2,FALSE),"-")</f>
        <v>自分自身に / 状態異常耐性</v>
      </c>
      <c r="T59" s="46" t="str">
        <f t="shared" si="56"/>
        <v>none</v>
      </c>
      <c r="U59" s="61" t="e">
        <f t="shared" si="57"/>
        <v>#VALUE!</v>
      </c>
      <c r="V59" s="61">
        <f t="shared" si="58"/>
        <v>4</v>
      </c>
      <c r="W59" s="61" t="e">
        <f t="shared" si="59"/>
        <v>#VALUE!</v>
      </c>
      <c r="X59" s="61" t="e">
        <f t="shared" si="60"/>
        <v>#VALUE!</v>
      </c>
      <c r="Y59" s="61" t="str">
        <f>IFERROR(VLOOKUP(MID(T59,W59,X59-W59),[5]skilldef!$C:$D,2,FALSE),"-") &amp; " / " &amp; IFERROR(VLOOKUP(MID(T59,U59,V59-U59),[5]skilldef!$A:$B,2,FALSE),"-")</f>
        <v>- / -</v>
      </c>
      <c r="Z59" s="48"/>
      <c r="AA59" s="50"/>
      <c r="AB59" s="48"/>
    </row>
    <row r="60" spans="1:28" ht="21" customHeight="1" x14ac:dyDescent="0.15">
      <c r="A60" s="45">
        <v>41008059</v>
      </c>
      <c r="B60" s="45" t="s">
        <v>271</v>
      </c>
      <c r="C60" s="48">
        <v>3</v>
      </c>
      <c r="D60" s="48" t="s">
        <v>259</v>
      </c>
      <c r="E60" s="204" t="s">
        <v>393</v>
      </c>
      <c r="F60" s="204" t="s">
        <v>396</v>
      </c>
      <c r="G60" s="61" t="str">
        <f t="shared" ref="G60:G61" si="61">IFERROR(LEFT(B60,FIND("],",B60)),B60)</f>
        <v>[effect:fix_speed,target:myself,turn:1]</v>
      </c>
      <c r="H60" s="61">
        <f t="shared" ref="H60:H61" si="62">FIND("effect:",G60)+7</f>
        <v>9</v>
      </c>
      <c r="I60" s="61">
        <f t="shared" ref="I60:I61" si="63">IFERROR(FIND(",",G60),LEN(G60))</f>
        <v>18</v>
      </c>
      <c r="J60" s="61">
        <f t="shared" ref="J60:J61" si="64">FIND("target:",G60)+7</f>
        <v>26</v>
      </c>
      <c r="K60" s="61">
        <f t="shared" ref="K60:K61" si="65">FIND(",",G60,I60+1)</f>
        <v>32</v>
      </c>
      <c r="L60" s="61" t="str">
        <f>IFERROR(VLOOKUP(MID(G60,J60,K60-J60),[5]skilldef!$C:$D,2,FALSE),"-") &amp; " / " &amp; IFERROR(VLOOKUP(MID(G60,H60,I60-H60),[5]skilldef!$A:$B,2,FALSE),"-")</f>
        <v>自分自身に / 行動値設定</v>
      </c>
      <c r="M60" s="61" t="str">
        <f t="shared" ref="M60:M61" si="66">IFERROR(RIGHT(B60,LEN(B60)-FIND("],",B60)-1),"none")</f>
        <v>[effect:tolerance, target:myself, turn:-1, tolerance_effect:hungup, count:-1, animation:enemy_tolerance]</v>
      </c>
      <c r="N60" s="46" t="str">
        <f>IFERROR(LEFT(M60,FIND("],",M60)+S76),M60)</f>
        <v>[effect:tolerance, target:myself, turn:-1, tolerance_effect:hungup, count:-1, animation:enemy_tolerance]</v>
      </c>
      <c r="O60" s="61">
        <f t="shared" ref="O60:O61" si="67">FIND("effect:",N60)+7</f>
        <v>9</v>
      </c>
      <c r="P60" s="61">
        <f t="shared" ref="P60:P61" si="68">IFERROR(FIND(",",N60),LEN(N60))</f>
        <v>18</v>
      </c>
      <c r="Q60" s="61">
        <f t="shared" ref="Q60:Q61" si="69">FIND("target:",N60)+7</f>
        <v>27</v>
      </c>
      <c r="R60" s="61">
        <f t="shared" ref="R60:R61" si="70">FIND(",",N60,P60+1)</f>
        <v>33</v>
      </c>
      <c r="S60" s="61" t="str">
        <f>IFERROR(VLOOKUP(MID(N60,Q60,R60-Q60),[5]skilldef!$C:$D,2,FALSE),"-") &amp; " / " &amp; IFERROR(VLOOKUP(MID(N60,O60,P60-O60),[5]skilldef!$A:$B,2,FALSE),"-")</f>
        <v>自分自身に / 状態異常耐性</v>
      </c>
      <c r="T60" s="46" t="str">
        <f t="shared" ref="T60:T61" si="71">IFERROR(RIGHT(M60,LEN(M60)-FIND("],",M60)-1),"none")</f>
        <v>none</v>
      </c>
      <c r="U60" s="61" t="e">
        <f t="shared" ref="U60:U61" si="72">FIND("effect:",T60)+7</f>
        <v>#VALUE!</v>
      </c>
      <c r="V60" s="61">
        <f t="shared" ref="V60:V61" si="73">IFERROR(FIND(",",T60),LEN(T60))</f>
        <v>4</v>
      </c>
      <c r="W60" s="61" t="e">
        <f t="shared" ref="W60:W61" si="74">FIND("target:",T60)+7</f>
        <v>#VALUE!</v>
      </c>
      <c r="X60" s="61" t="e">
        <f t="shared" ref="X60:X61" si="75">FIND(",",T60,V60+1)</f>
        <v>#VALUE!</v>
      </c>
      <c r="Y60" s="61" t="str">
        <f>IFERROR(VLOOKUP(MID(T60,W60,X60-W60),[5]skilldef!$C:$D,2,FALSE),"-") &amp; " / " &amp; IFERROR(VLOOKUP(MID(T60,U60,V60-U60),[5]skilldef!$A:$B,2,FALSE),"-")</f>
        <v>- / -</v>
      </c>
      <c r="Z60" s="48"/>
      <c r="AA60" s="50"/>
      <c r="AB60" s="48"/>
    </row>
    <row r="61" spans="1:28" ht="21" customHeight="1" x14ac:dyDescent="0.15">
      <c r="A61" s="45">
        <v>41008060</v>
      </c>
      <c r="B61" s="45" t="s">
        <v>271</v>
      </c>
      <c r="C61" s="48">
        <v>3</v>
      </c>
      <c r="D61" s="48" t="s">
        <v>259</v>
      </c>
      <c r="E61" s="204" t="s">
        <v>393</v>
      </c>
      <c r="F61" s="204" t="s">
        <v>396</v>
      </c>
      <c r="G61" s="61" t="str">
        <f t="shared" si="61"/>
        <v>[effect:fix_speed,target:myself,turn:1]</v>
      </c>
      <c r="H61" s="61">
        <f t="shared" si="62"/>
        <v>9</v>
      </c>
      <c r="I61" s="61">
        <f t="shared" si="63"/>
        <v>18</v>
      </c>
      <c r="J61" s="61">
        <f t="shared" si="64"/>
        <v>26</v>
      </c>
      <c r="K61" s="61">
        <f t="shared" si="65"/>
        <v>32</v>
      </c>
      <c r="L61" s="61" t="str">
        <f>IFERROR(VLOOKUP(MID(G61,J61,K61-J61),[5]skilldef!$C:$D,2,FALSE),"-") &amp; " / " &amp; IFERROR(VLOOKUP(MID(G61,H61,I61-H61),[5]skilldef!$A:$B,2,FALSE),"-")</f>
        <v>自分自身に / 行動値設定</v>
      </c>
      <c r="M61" s="61" t="str">
        <f t="shared" si="66"/>
        <v>[effect:tolerance, target:myself, turn:-1, tolerance_effect:hungup, count:-1, animation:enemy_tolerance]</v>
      </c>
      <c r="N61" s="46" t="str">
        <f>IFERROR(LEFT(M61,FIND("],",M61)+S77),M61)</f>
        <v>[effect:tolerance, target:myself, turn:-1, tolerance_effect:hungup, count:-1, animation:enemy_tolerance]</v>
      </c>
      <c r="O61" s="61">
        <f t="shared" si="67"/>
        <v>9</v>
      </c>
      <c r="P61" s="61">
        <f t="shared" si="68"/>
        <v>18</v>
      </c>
      <c r="Q61" s="61">
        <f t="shared" si="69"/>
        <v>27</v>
      </c>
      <c r="R61" s="61">
        <f t="shared" si="70"/>
        <v>33</v>
      </c>
      <c r="S61" s="61" t="str">
        <f>IFERROR(VLOOKUP(MID(N61,Q61,R61-Q61),[5]skilldef!$C:$D,2,FALSE),"-") &amp; " / " &amp; IFERROR(VLOOKUP(MID(N61,O61,P61-O61),[5]skilldef!$A:$B,2,FALSE),"-")</f>
        <v>自分自身に / 状態異常耐性</v>
      </c>
      <c r="T61" s="46" t="str">
        <f t="shared" si="71"/>
        <v>none</v>
      </c>
      <c r="U61" s="61" t="e">
        <f t="shared" si="72"/>
        <v>#VALUE!</v>
      </c>
      <c r="V61" s="61">
        <f t="shared" si="73"/>
        <v>4</v>
      </c>
      <c r="W61" s="61" t="e">
        <f t="shared" si="74"/>
        <v>#VALUE!</v>
      </c>
      <c r="X61" s="61" t="e">
        <f t="shared" si="75"/>
        <v>#VALUE!</v>
      </c>
      <c r="Y61" s="61" t="str">
        <f>IFERROR(VLOOKUP(MID(T61,W61,X61-W61),[5]skilldef!$C:$D,2,FALSE),"-") &amp; " / " &amp; IFERROR(VLOOKUP(MID(T61,U61,V61-U61),[5]skilldef!$A:$B,2,FALSE),"-")</f>
        <v>- / -</v>
      </c>
      <c r="Z61" s="48"/>
      <c r="AA61" s="50"/>
      <c r="AB61" s="48"/>
    </row>
    <row r="62" spans="1:28" ht="21" customHeight="1" x14ac:dyDescent="0.15">
      <c r="A62" s="45">
        <v>41008061</v>
      </c>
      <c r="B62" s="45" t="s">
        <v>380</v>
      </c>
      <c r="C62" s="48">
        <v>3</v>
      </c>
      <c r="D62" s="48" t="s">
        <v>126</v>
      </c>
      <c r="E62" s="49" t="s">
        <v>394</v>
      </c>
      <c r="F62" s="49" t="s">
        <v>395</v>
      </c>
      <c r="G62" s="61" t="str">
        <f t="shared" ref="G62:G68" si="76">IFERROR(LEFT(B62,FIND("],",B62)),B62)</f>
        <v>[effect:fix_speed,target:myself,turn:1]</v>
      </c>
      <c r="H62" s="61">
        <f t="shared" ref="H62:H68" si="77">FIND("effect:",G62)+7</f>
        <v>9</v>
      </c>
      <c r="I62" s="61">
        <f t="shared" ref="I62:I68" si="78">IFERROR(FIND(",",G62),LEN(G62))</f>
        <v>18</v>
      </c>
      <c r="J62" s="61">
        <f t="shared" ref="J62:J68" si="79">FIND("target:",G62)+7</f>
        <v>26</v>
      </c>
      <c r="K62" s="61">
        <f t="shared" ref="K62:K68" si="80">FIND(",",G62,I62+1)</f>
        <v>32</v>
      </c>
      <c r="L62" s="61" t="str">
        <f>IFERROR(VLOOKUP(MID(G62,J62,K62-J62),[5]skilldef!$C:$D,2,FALSE),"-") &amp; " / " &amp; IFERROR(VLOOKUP(MID(G62,H62,I62-H62),[5]skilldef!$A:$B,2,FALSE),"-")</f>
        <v>自分自身に / 行動値設定</v>
      </c>
      <c r="M62" s="61" t="str">
        <f t="shared" ref="M62:M68" si="81">IFERROR(RIGHT(B62,LEN(B62)-FIND("],",B62)-1),"none")</f>
        <v>[effect:tolerance, target:myself, turn:-1, tolerance_effect:hungup, count:-1, animation:enemy_tolerance],[effect:dis_panel,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N62" s="46" t="str">
        <f t="shared" ref="N62:N68" si="82">IFERROR(LEFT(M62,FIND("],",M62)+S42),M62)</f>
        <v>[effect:tolerance, target:myself, turn:-1, tolerance_effect:hungup, count:-1, animation:enemy_tolerance],[effect:dis_panel,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O62" s="61">
        <f t="shared" ref="O62:O68" si="83">FIND("effect:",N62)+7</f>
        <v>9</v>
      </c>
      <c r="P62" s="61">
        <f t="shared" ref="P62:P68" si="84">IFERROR(FIND(",",N62),LEN(N62))</f>
        <v>18</v>
      </c>
      <c r="Q62" s="61">
        <f t="shared" ref="Q62:Q68" si="85">FIND("target:",N62)+7</f>
        <v>27</v>
      </c>
      <c r="R62" s="61">
        <f t="shared" ref="R62:R68" si="86">FIND(",",N62,P62+1)</f>
        <v>33</v>
      </c>
      <c r="S62" s="61" t="str">
        <f>IFERROR(VLOOKUP(MID(N62,Q62,R62-Q62),[5]skilldef!$C:$D,2,FALSE),"-") &amp; " / " &amp; IFERROR(VLOOKUP(MID(N62,O62,P62-O62),[5]skilldef!$A:$B,2,FALSE),"-")</f>
        <v>自分自身に / 状態異常耐性</v>
      </c>
      <c r="T62" s="46" t="str">
        <f t="shared" ref="T62:T68" si="87">IFERROR(RIGHT(M62,LEN(M62)-FIND("],",M62)-1),"none")</f>
        <v>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U62" s="61">
        <f t="shared" ref="U62:U68" si="88">FIND("effect:",T62)+7</f>
        <v>9</v>
      </c>
      <c r="V62" s="61">
        <f t="shared" ref="V62:V68" si="89">IFERROR(FIND(",",T62),LEN(T62))</f>
        <v>18</v>
      </c>
      <c r="W62" s="61">
        <f t="shared" ref="W62:W68" si="90">FIND("target:",T62)+7</f>
        <v>27</v>
      </c>
      <c r="X62" s="61">
        <f t="shared" ref="X62:X68" si="91">FIND(",",T62,V62+1)</f>
        <v>36</v>
      </c>
      <c r="Y62" s="61" t="str">
        <f>IFERROR(VLOOKUP(MID(T62,W62,X62-W62),[5]skilldef!$C:$D,2,FALSE),"-") &amp; " / " &amp; IFERROR(VLOOKUP(MID(T62,U62,V62-U62),[5]skilldef!$A:$B,2,FALSE),"-")</f>
        <v>赤パネルを / ディスパネル</v>
      </c>
      <c r="Z62" s="48"/>
      <c r="AA62" s="50"/>
      <c r="AB62" s="48"/>
    </row>
    <row r="63" spans="1:28" ht="21" customHeight="1" x14ac:dyDescent="0.15">
      <c r="A63" s="45">
        <v>41008062</v>
      </c>
      <c r="B63" s="45" t="s">
        <v>380</v>
      </c>
      <c r="C63" s="48">
        <v>3</v>
      </c>
      <c r="D63" s="48" t="s">
        <v>126</v>
      </c>
      <c r="E63" s="204" t="s">
        <v>399</v>
      </c>
      <c r="F63" s="204" t="s">
        <v>395</v>
      </c>
      <c r="G63" s="61" t="str">
        <f t="shared" si="76"/>
        <v>[effect:fix_speed,target:myself,turn:1]</v>
      </c>
      <c r="H63" s="61">
        <f t="shared" si="77"/>
        <v>9</v>
      </c>
      <c r="I63" s="61">
        <f t="shared" si="78"/>
        <v>18</v>
      </c>
      <c r="J63" s="61">
        <f t="shared" si="79"/>
        <v>26</v>
      </c>
      <c r="K63" s="61">
        <f t="shared" si="80"/>
        <v>32</v>
      </c>
      <c r="L63" s="61" t="str">
        <f>IFERROR(VLOOKUP(MID(G63,J63,K63-J63),[5]skilldef!$C:$D,2,FALSE),"-") &amp; " / " &amp; IFERROR(VLOOKUP(MID(G63,H63,I63-H63),[5]skilldef!$A:$B,2,FALSE),"-")</f>
        <v>自分自身に / 行動値設定</v>
      </c>
      <c r="M63" s="61" t="str">
        <f t="shared" si="81"/>
        <v>[effect:tolerance, target:myself, turn:-1, tolerance_effect:hungup, count:-1, animation:enemy_tolerance],[effect:dis_panel,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N63" s="46" t="str">
        <f t="shared" si="82"/>
        <v>[effect:tolerance, target:myself, turn:-1, tolerance_effect:hungup, count:-1, animation:enemy_tolerance],[effect:dis_panel,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O63" s="61">
        <f t="shared" si="83"/>
        <v>9</v>
      </c>
      <c r="P63" s="61">
        <f t="shared" si="84"/>
        <v>18</v>
      </c>
      <c r="Q63" s="61">
        <f t="shared" si="85"/>
        <v>27</v>
      </c>
      <c r="R63" s="61">
        <f t="shared" si="86"/>
        <v>33</v>
      </c>
      <c r="S63" s="61" t="str">
        <f>IFERROR(VLOOKUP(MID(N63,Q63,R63-Q63),[5]skilldef!$C:$D,2,FALSE),"-") &amp; " / " &amp; IFERROR(VLOOKUP(MID(N63,O63,P63-O63),[5]skilldef!$A:$B,2,FALSE),"-")</f>
        <v>自分自身に / 状態異常耐性</v>
      </c>
      <c r="T63" s="46" t="str">
        <f t="shared" si="87"/>
        <v>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U63" s="61">
        <f t="shared" si="88"/>
        <v>9</v>
      </c>
      <c r="V63" s="61">
        <f t="shared" si="89"/>
        <v>18</v>
      </c>
      <c r="W63" s="61">
        <f t="shared" si="90"/>
        <v>27</v>
      </c>
      <c r="X63" s="61">
        <f t="shared" si="91"/>
        <v>36</v>
      </c>
      <c r="Y63" s="61" t="str">
        <f>IFERROR(VLOOKUP(MID(T63,W63,X63-W63),[5]skilldef!$C:$D,2,FALSE),"-") &amp; " / " &amp; IFERROR(VLOOKUP(MID(T63,U63,V63-U63),[5]skilldef!$A:$B,2,FALSE),"-")</f>
        <v>赤パネルを / ディスパネル</v>
      </c>
      <c r="Z63" s="48"/>
      <c r="AA63" s="50"/>
      <c r="AB63" s="48"/>
    </row>
    <row r="64" spans="1:28" ht="21" customHeight="1" x14ac:dyDescent="0.15">
      <c r="A64" s="45">
        <v>41008063</v>
      </c>
      <c r="B64" s="45" t="s">
        <v>380</v>
      </c>
      <c r="C64" s="48">
        <v>3</v>
      </c>
      <c r="D64" s="48" t="s">
        <v>126</v>
      </c>
      <c r="E64" s="204" t="s">
        <v>399</v>
      </c>
      <c r="F64" s="204" t="s">
        <v>395</v>
      </c>
      <c r="G64" s="61" t="str">
        <f t="shared" si="76"/>
        <v>[effect:fix_speed,target:myself,turn:1]</v>
      </c>
      <c r="H64" s="61">
        <f t="shared" si="77"/>
        <v>9</v>
      </c>
      <c r="I64" s="61">
        <f t="shared" si="78"/>
        <v>18</v>
      </c>
      <c r="J64" s="61">
        <f t="shared" si="79"/>
        <v>26</v>
      </c>
      <c r="K64" s="61">
        <f t="shared" si="80"/>
        <v>32</v>
      </c>
      <c r="L64" s="61" t="str">
        <f>IFERROR(VLOOKUP(MID(G64,J64,K64-J64),[5]skilldef!$C:$D,2,FALSE),"-") &amp; " / " &amp; IFERROR(VLOOKUP(MID(G64,H64,I64-H64),[5]skilldef!$A:$B,2,FALSE),"-")</f>
        <v>自分自身に / 行動値設定</v>
      </c>
      <c r="M64" s="61" t="str">
        <f t="shared" si="81"/>
        <v>[effect:tolerance, target:myself, turn:-1, tolerance_effect:hungup, count:-1, animation:enemy_tolerance],[effect:dis_panel,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N64" s="46" t="str">
        <f t="shared" si="82"/>
        <v>[effect:tolerance, target:myself, turn:-1, tolerance_effect:hungup, count:-1, animation:enemy_tolerance],[effect:dis_panel,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O64" s="61">
        <f t="shared" si="83"/>
        <v>9</v>
      </c>
      <c r="P64" s="61">
        <f t="shared" si="84"/>
        <v>18</v>
      </c>
      <c r="Q64" s="61">
        <f t="shared" si="85"/>
        <v>27</v>
      </c>
      <c r="R64" s="61">
        <f t="shared" si="86"/>
        <v>33</v>
      </c>
      <c r="S64" s="61" t="str">
        <f>IFERROR(VLOOKUP(MID(N64,Q64,R64-Q64),[5]skilldef!$C:$D,2,FALSE),"-") &amp; " / " &amp; IFERROR(VLOOKUP(MID(N64,O64,P64-O64),[5]skilldef!$A:$B,2,FALSE),"-")</f>
        <v>自分自身に / 状態異常耐性</v>
      </c>
      <c r="T64" s="46" t="str">
        <f t="shared" si="87"/>
        <v>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U64" s="61">
        <f t="shared" si="88"/>
        <v>9</v>
      </c>
      <c r="V64" s="61">
        <f t="shared" si="89"/>
        <v>18</v>
      </c>
      <c r="W64" s="61">
        <f t="shared" si="90"/>
        <v>27</v>
      </c>
      <c r="X64" s="61">
        <f t="shared" si="91"/>
        <v>36</v>
      </c>
      <c r="Y64" s="61" t="str">
        <f>IFERROR(VLOOKUP(MID(T64,W64,X64-W64),[5]skilldef!$C:$D,2,FALSE),"-") &amp; " / " &amp; IFERROR(VLOOKUP(MID(T64,U64,V64-U64),[5]skilldef!$A:$B,2,FALSE),"-")</f>
        <v>赤パネルを / ディスパネル</v>
      </c>
      <c r="Z64" s="48"/>
      <c r="AA64" s="50"/>
      <c r="AB64" s="48"/>
    </row>
    <row r="65" spans="1:28" ht="21" customHeight="1" x14ac:dyDescent="0.15">
      <c r="A65" s="45">
        <v>41008064</v>
      </c>
      <c r="B65" s="45" t="s">
        <v>380</v>
      </c>
      <c r="C65" s="48">
        <v>3</v>
      </c>
      <c r="D65" s="48" t="s">
        <v>126</v>
      </c>
      <c r="E65" s="204" t="s">
        <v>399</v>
      </c>
      <c r="F65" s="204" t="s">
        <v>395</v>
      </c>
      <c r="G65" s="61" t="str">
        <f t="shared" si="76"/>
        <v>[effect:fix_speed,target:myself,turn:1]</v>
      </c>
      <c r="H65" s="61">
        <f t="shared" si="77"/>
        <v>9</v>
      </c>
      <c r="I65" s="61">
        <f t="shared" si="78"/>
        <v>18</v>
      </c>
      <c r="J65" s="61">
        <f t="shared" si="79"/>
        <v>26</v>
      </c>
      <c r="K65" s="61">
        <f t="shared" si="80"/>
        <v>32</v>
      </c>
      <c r="L65" s="61" t="str">
        <f>IFERROR(VLOOKUP(MID(G65,J65,K65-J65),[5]skilldef!$C:$D,2,FALSE),"-") &amp; " / " &amp; IFERROR(VLOOKUP(MID(G65,H65,I65-H65),[5]skilldef!$A:$B,2,FALSE),"-")</f>
        <v>自分自身に / 行動値設定</v>
      </c>
      <c r="M65" s="61" t="str">
        <f t="shared" si="81"/>
        <v>[effect:tolerance, target:myself, turn:-1, tolerance_effect:hungup, count:-1, animation:enemy_tolerance],[effect:dis_panel,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N65" s="46" t="str">
        <f t="shared" si="82"/>
        <v>[effect:tolerance, target:myself, turn:-1, tolerance_effect:hungup, count:-1, animation:enemy_tolerance],[effect:dis_panel,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O65" s="61">
        <f t="shared" si="83"/>
        <v>9</v>
      </c>
      <c r="P65" s="61">
        <f t="shared" si="84"/>
        <v>18</v>
      </c>
      <c r="Q65" s="61">
        <f t="shared" si="85"/>
        <v>27</v>
      </c>
      <c r="R65" s="61">
        <f t="shared" si="86"/>
        <v>33</v>
      </c>
      <c r="S65" s="61" t="str">
        <f>IFERROR(VLOOKUP(MID(N65,Q65,R65-Q65),[5]skilldef!$C:$D,2,FALSE),"-") &amp; " / " &amp; IFERROR(VLOOKUP(MID(N65,O65,P65-O65),[5]skilldef!$A:$B,2,FALSE),"-")</f>
        <v>自分自身に / 状態異常耐性</v>
      </c>
      <c r="T65" s="46" t="str">
        <f t="shared" si="87"/>
        <v>[effect:dis_panel, target:block_red, turn:-1],[effect:dis_panel, target:block_blue, turn:-1],[effect:dis_panel, target:block_yellow, turn:-1],[effect:enhance_enemy, target:myself, turn:-1, status:defense, val:3000, calc:add, animation:enemy_enhance_defense]</v>
      </c>
      <c r="U65" s="61">
        <f t="shared" si="88"/>
        <v>9</v>
      </c>
      <c r="V65" s="61">
        <f t="shared" si="89"/>
        <v>18</v>
      </c>
      <c r="W65" s="61">
        <f t="shared" si="90"/>
        <v>27</v>
      </c>
      <c r="X65" s="61">
        <f t="shared" si="91"/>
        <v>36</v>
      </c>
      <c r="Y65" s="61" t="str">
        <f>IFERROR(VLOOKUP(MID(T65,W65,X65-W65),[5]skilldef!$C:$D,2,FALSE),"-") &amp; " / " &amp; IFERROR(VLOOKUP(MID(T65,U65,V65-U65),[5]skilldef!$A:$B,2,FALSE),"-")</f>
        <v>赤パネルを / ディスパネル</v>
      </c>
      <c r="Z65" s="48"/>
      <c r="AA65" s="50"/>
      <c r="AB65" s="48"/>
    </row>
    <row r="66" spans="1:28" ht="21" customHeight="1" x14ac:dyDescent="0.15">
      <c r="A66" s="45">
        <v>41008065</v>
      </c>
      <c r="B66" s="45" t="s">
        <v>401</v>
      </c>
      <c r="C66" s="48">
        <v>3</v>
      </c>
      <c r="D66" s="48" t="s">
        <v>126</v>
      </c>
      <c r="E66" s="204" t="s">
        <v>397</v>
      </c>
      <c r="F66" s="204" t="s">
        <v>400</v>
      </c>
      <c r="G66" s="61" t="str">
        <f t="shared" si="76"/>
        <v>[effect:enemy_message, val1:1.4, val2:2.2, dead_type:escape]</v>
      </c>
      <c r="H66" s="61">
        <f t="shared" si="77"/>
        <v>9</v>
      </c>
      <c r="I66" s="61">
        <f t="shared" si="78"/>
        <v>22</v>
      </c>
      <c r="J66" s="61" t="e">
        <f t="shared" si="79"/>
        <v>#VALUE!</v>
      </c>
      <c r="K66" s="61">
        <f t="shared" si="80"/>
        <v>32</v>
      </c>
      <c r="L66" s="61" t="str">
        <f>IFERROR(VLOOKUP(MID(G66,J66,K66-J66),[5]skilldef!$C:$D,2,FALSE),"-") &amp; " / " &amp; IFERROR(VLOOKUP(MID(G66,H66,I66-H66),[5]skilldef!$A:$B,2,FALSE),"-")</f>
        <v>- / -</v>
      </c>
      <c r="M66" s="61" t="str">
        <f t="shared" si="81"/>
        <v>none</v>
      </c>
      <c r="N66" s="46" t="str">
        <f t="shared" si="82"/>
        <v>none</v>
      </c>
      <c r="O66" s="61" t="e">
        <f t="shared" si="83"/>
        <v>#VALUE!</v>
      </c>
      <c r="P66" s="61">
        <f t="shared" si="84"/>
        <v>4</v>
      </c>
      <c r="Q66" s="61" t="e">
        <f t="shared" si="85"/>
        <v>#VALUE!</v>
      </c>
      <c r="R66" s="61" t="e">
        <f t="shared" si="86"/>
        <v>#VALUE!</v>
      </c>
      <c r="S66" s="61" t="str">
        <f>IFERROR(VLOOKUP(MID(N66,Q66,R66-Q66),[5]skilldef!$C:$D,2,FALSE),"-") &amp; " / " &amp; IFERROR(VLOOKUP(MID(N66,O66,P66-O66),[5]skilldef!$A:$B,2,FALSE),"-")</f>
        <v>- / -</v>
      </c>
      <c r="T66" s="46" t="str">
        <f t="shared" si="87"/>
        <v>none</v>
      </c>
      <c r="U66" s="61" t="e">
        <f t="shared" si="88"/>
        <v>#VALUE!</v>
      </c>
      <c r="V66" s="61">
        <f t="shared" si="89"/>
        <v>4</v>
      </c>
      <c r="W66" s="61" t="e">
        <f t="shared" si="90"/>
        <v>#VALUE!</v>
      </c>
      <c r="X66" s="61" t="e">
        <f t="shared" si="91"/>
        <v>#VALUE!</v>
      </c>
      <c r="Y66" s="61" t="str">
        <f>IFERROR(VLOOKUP(MID(T66,W66,X66-W66),[5]skilldef!$C:$D,2,FALSE),"-") &amp; " / " &amp; IFERROR(VLOOKUP(MID(T66,U66,V66-U66),[5]skilldef!$A:$B,2,FALSE),"-")</f>
        <v>- / -</v>
      </c>
      <c r="Z66" s="48"/>
      <c r="AA66" s="50"/>
      <c r="AB66" s="48"/>
    </row>
    <row r="67" spans="1:28" ht="21" customHeight="1" x14ac:dyDescent="0.15">
      <c r="A67" s="45">
        <v>41008066</v>
      </c>
      <c r="B67" s="45" t="s">
        <v>401</v>
      </c>
      <c r="C67" s="48">
        <v>3</v>
      </c>
      <c r="D67" s="48" t="s">
        <v>126</v>
      </c>
      <c r="E67" s="204" t="s">
        <v>397</v>
      </c>
      <c r="F67" s="204" t="s">
        <v>400</v>
      </c>
      <c r="G67" s="61" t="str">
        <f t="shared" si="76"/>
        <v>[effect:enemy_message, val1:1.4, val2:2.2, dead_type:escape]</v>
      </c>
      <c r="H67" s="61">
        <f t="shared" si="77"/>
        <v>9</v>
      </c>
      <c r="I67" s="61">
        <f t="shared" si="78"/>
        <v>22</v>
      </c>
      <c r="J67" s="61" t="e">
        <f t="shared" si="79"/>
        <v>#VALUE!</v>
      </c>
      <c r="K67" s="61">
        <f t="shared" si="80"/>
        <v>32</v>
      </c>
      <c r="L67" s="61" t="str">
        <f>IFERROR(VLOOKUP(MID(G67,J67,K67-J67),[5]skilldef!$C:$D,2,FALSE),"-") &amp; " / " &amp; IFERROR(VLOOKUP(MID(G67,H67,I67-H67),[5]skilldef!$A:$B,2,FALSE),"-")</f>
        <v>- / -</v>
      </c>
      <c r="M67" s="61" t="str">
        <f t="shared" si="81"/>
        <v>none</v>
      </c>
      <c r="N67" s="46" t="str">
        <f t="shared" si="82"/>
        <v>none</v>
      </c>
      <c r="O67" s="61" t="e">
        <f t="shared" si="83"/>
        <v>#VALUE!</v>
      </c>
      <c r="P67" s="61">
        <f t="shared" si="84"/>
        <v>4</v>
      </c>
      <c r="Q67" s="61" t="e">
        <f t="shared" si="85"/>
        <v>#VALUE!</v>
      </c>
      <c r="R67" s="61" t="e">
        <f t="shared" si="86"/>
        <v>#VALUE!</v>
      </c>
      <c r="S67" s="61" t="str">
        <f>IFERROR(VLOOKUP(MID(N67,Q67,R67-Q67),[5]skilldef!$C:$D,2,FALSE),"-") &amp; " / " &amp; IFERROR(VLOOKUP(MID(N67,O67,P67-O67),[5]skilldef!$A:$B,2,FALSE),"-")</f>
        <v>- / -</v>
      </c>
      <c r="T67" s="46" t="str">
        <f t="shared" si="87"/>
        <v>none</v>
      </c>
      <c r="U67" s="61" t="e">
        <f t="shared" si="88"/>
        <v>#VALUE!</v>
      </c>
      <c r="V67" s="61">
        <f t="shared" si="89"/>
        <v>4</v>
      </c>
      <c r="W67" s="61" t="e">
        <f t="shared" si="90"/>
        <v>#VALUE!</v>
      </c>
      <c r="X67" s="61" t="e">
        <f t="shared" si="91"/>
        <v>#VALUE!</v>
      </c>
      <c r="Y67" s="61" t="str">
        <f>IFERROR(VLOOKUP(MID(T67,W67,X67-W67),[5]skilldef!$C:$D,2,FALSE),"-") &amp; " / " &amp; IFERROR(VLOOKUP(MID(T67,U67,V67-U67),[5]skilldef!$A:$B,2,FALSE),"-")</f>
        <v>- / -</v>
      </c>
      <c r="Z67" s="48"/>
      <c r="AA67" s="50"/>
      <c r="AB67" s="48"/>
    </row>
    <row r="68" spans="1:28" ht="21" customHeight="1" x14ac:dyDescent="0.15">
      <c r="A68" s="45">
        <v>41008067</v>
      </c>
      <c r="B68" s="45" t="s">
        <v>401</v>
      </c>
      <c r="C68" s="48">
        <v>3</v>
      </c>
      <c r="D68" s="48" t="s">
        <v>126</v>
      </c>
      <c r="E68" s="204" t="s">
        <v>397</v>
      </c>
      <c r="F68" s="204" t="s">
        <v>400</v>
      </c>
      <c r="G68" s="61" t="str">
        <f t="shared" si="76"/>
        <v>[effect:enemy_message, val1:1.4, val2:2.2, dead_type:escape]</v>
      </c>
      <c r="H68" s="61">
        <f t="shared" si="77"/>
        <v>9</v>
      </c>
      <c r="I68" s="61">
        <f t="shared" si="78"/>
        <v>22</v>
      </c>
      <c r="J68" s="61" t="e">
        <f t="shared" si="79"/>
        <v>#VALUE!</v>
      </c>
      <c r="K68" s="61">
        <f t="shared" si="80"/>
        <v>32</v>
      </c>
      <c r="L68" s="61" t="str">
        <f>IFERROR(VLOOKUP(MID(G68,J68,K68-J68),[5]skilldef!$C:$D,2,FALSE),"-") &amp; " / " &amp; IFERROR(VLOOKUP(MID(G68,H68,I68-H68),[5]skilldef!$A:$B,2,FALSE),"-")</f>
        <v>- / -</v>
      </c>
      <c r="M68" s="61" t="str">
        <f t="shared" si="81"/>
        <v>none</v>
      </c>
      <c r="N68" s="46" t="str">
        <f t="shared" si="82"/>
        <v>none</v>
      </c>
      <c r="O68" s="61" t="e">
        <f t="shared" si="83"/>
        <v>#VALUE!</v>
      </c>
      <c r="P68" s="61">
        <f t="shared" si="84"/>
        <v>4</v>
      </c>
      <c r="Q68" s="61" t="e">
        <f t="shared" si="85"/>
        <v>#VALUE!</v>
      </c>
      <c r="R68" s="61" t="e">
        <f t="shared" si="86"/>
        <v>#VALUE!</v>
      </c>
      <c r="S68" s="61" t="str">
        <f>IFERROR(VLOOKUP(MID(N68,Q68,R68-Q68),[5]skilldef!$C:$D,2,FALSE),"-") &amp; " / " &amp; IFERROR(VLOOKUP(MID(N68,O68,P68-O68),[5]skilldef!$A:$B,2,FALSE),"-")</f>
        <v>- / -</v>
      </c>
      <c r="T68" s="46" t="str">
        <f t="shared" si="87"/>
        <v>none</v>
      </c>
      <c r="U68" s="61" t="e">
        <f t="shared" si="88"/>
        <v>#VALUE!</v>
      </c>
      <c r="V68" s="61">
        <f t="shared" si="89"/>
        <v>4</v>
      </c>
      <c r="W68" s="61" t="e">
        <f t="shared" si="90"/>
        <v>#VALUE!</v>
      </c>
      <c r="X68" s="61" t="e">
        <f t="shared" si="91"/>
        <v>#VALUE!</v>
      </c>
      <c r="Y68" s="61" t="str">
        <f>IFERROR(VLOOKUP(MID(T68,W68,X68-W68),[5]skilldef!$C:$D,2,FALSE),"-") &amp; " / " &amp; IFERROR(VLOOKUP(MID(T68,U68,V68-U68),[5]skilldef!$A:$B,2,FALSE),"-")</f>
        <v>- / -</v>
      </c>
      <c r="Z68" s="48"/>
      <c r="AA68" s="50"/>
      <c r="AB68" s="48"/>
    </row>
    <row r="69" spans="1:28" ht="21" customHeight="1" x14ac:dyDescent="0.15">
      <c r="A69" s="45">
        <v>41008068</v>
      </c>
      <c r="B69" s="45" t="s">
        <v>216</v>
      </c>
      <c r="C69" s="48">
        <v>3</v>
      </c>
      <c r="D69" s="48" t="s">
        <v>318</v>
      </c>
      <c r="E69" s="49" t="s">
        <v>406</v>
      </c>
      <c r="F69" s="49" t="s">
        <v>402</v>
      </c>
      <c r="G69" s="61" t="str">
        <f t="shared" ref="G69" si="92">IFERROR(LEFT(B69,FIND("],",B69)),B69)</f>
        <v>[effect:nothing]</v>
      </c>
      <c r="H69" s="61">
        <f t="shared" ref="H69" si="93">FIND("effect:",G69)+7</f>
        <v>9</v>
      </c>
      <c r="I69" s="61">
        <f t="shared" ref="I69" si="94">IFERROR(FIND(",",G69),LEN(G69))</f>
        <v>16</v>
      </c>
      <c r="J69" s="61" t="e">
        <f t="shared" ref="J69" si="95">FIND("target:",G69)+7</f>
        <v>#VALUE!</v>
      </c>
      <c r="K69" s="61" t="e">
        <f t="shared" ref="K69" si="96">FIND(",",G69,I69+1)</f>
        <v>#VALUE!</v>
      </c>
      <c r="L69" s="61" t="str">
        <f>IFERROR(VLOOKUP(MID(G69,J69,K69-J69),[5]skilldef!$C:$D,2,FALSE),"-") &amp; " / " &amp; IFERROR(VLOOKUP(MID(G69,H69,I69-H69),[5]skilldef!$A:$B,2,FALSE),"-")</f>
        <v>- / 何もしない</v>
      </c>
      <c r="M69" s="61" t="str">
        <f t="shared" ref="M69" si="97">IFERROR(RIGHT(B69,LEN(B69)-FIND("],",B69)-1),"none")</f>
        <v>none</v>
      </c>
      <c r="N69" s="46" t="str">
        <f>IFERROR(LEFT(M69,FIND("],",M69)+S53),M69)</f>
        <v>none</v>
      </c>
      <c r="O69" s="61" t="e">
        <f t="shared" ref="O69" si="98">FIND("effect:",N69)+7</f>
        <v>#VALUE!</v>
      </c>
      <c r="P69" s="61">
        <f t="shared" ref="P69" si="99">IFERROR(FIND(",",N69),LEN(N69))</f>
        <v>4</v>
      </c>
      <c r="Q69" s="61" t="e">
        <f t="shared" ref="Q69" si="100">FIND("target:",N69)+7</f>
        <v>#VALUE!</v>
      </c>
      <c r="R69" s="61" t="e">
        <f t="shared" ref="R69" si="101">FIND(",",N69,P69+1)</f>
        <v>#VALUE!</v>
      </c>
      <c r="S69" s="61" t="str">
        <f>IFERROR(VLOOKUP(MID(N69,Q69,R69-Q69),[5]skilldef!$C:$D,2,FALSE),"-") &amp; " / " &amp; IFERROR(VLOOKUP(MID(N69,O69,P69-O69),[5]skilldef!$A:$B,2,FALSE),"-")</f>
        <v>- / -</v>
      </c>
      <c r="T69" s="46" t="str">
        <f t="shared" ref="T69" si="102">IFERROR(RIGHT(M69,LEN(M69)-FIND("],",M69)-1),"none")</f>
        <v>none</v>
      </c>
      <c r="U69" s="61" t="e">
        <f t="shared" ref="U69" si="103">FIND("effect:",T69)+7</f>
        <v>#VALUE!</v>
      </c>
      <c r="V69" s="61">
        <f t="shared" ref="V69" si="104">IFERROR(FIND(",",T69),LEN(T69))</f>
        <v>4</v>
      </c>
      <c r="W69" s="61" t="e">
        <f t="shared" ref="W69" si="105">FIND("target:",T69)+7</f>
        <v>#VALUE!</v>
      </c>
      <c r="X69" s="61" t="e">
        <f t="shared" ref="X69" si="106">FIND(",",T69,V69+1)</f>
        <v>#VALUE!</v>
      </c>
      <c r="Y69" s="61" t="str">
        <f>IFERROR(VLOOKUP(MID(T69,W69,X69-W69),[5]skilldef!$C:$D,2,FALSE),"-") &amp; " / " &amp; IFERROR(VLOOKUP(MID(T69,U69,V69-U69),[5]skilldef!$A:$B,2,FALSE),"-")</f>
        <v>- / -</v>
      </c>
      <c r="Z69" s="48"/>
      <c r="AA69" s="50"/>
      <c r="AB69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9"/>
  <sheetViews>
    <sheetView showGridLines="0" zoomScale="90" zoomScaleNormal="90" zoomScalePageLayoutView="90" workbookViewId="0">
      <pane ySplit="1" topLeftCell="A27" activePane="bottomLeft" state="frozenSplit"/>
      <selection pane="bottomLeft" activeCell="A59" sqref="A59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1" ht="21" customHeight="1" x14ac:dyDescent="0.15">
      <c r="A2" s="45">
        <v>41008000</v>
      </c>
      <c r="B2" s="45">
        <v>1</v>
      </c>
      <c r="C2" s="45">
        <v>50</v>
      </c>
      <c r="D2" s="45">
        <v>100</v>
      </c>
      <c r="E2" s="45" t="s">
        <v>343</v>
      </c>
      <c r="F2" s="45" t="s">
        <v>343</v>
      </c>
      <c r="G2" s="45">
        <v>1</v>
      </c>
      <c r="H2" s="45" t="s">
        <v>343</v>
      </c>
      <c r="I2" s="45" t="s">
        <v>343</v>
      </c>
      <c r="J2" s="46">
        <f t="shared" ref="J2:J32" si="0">D2</f>
        <v>100</v>
      </c>
    </row>
    <row r="3" spans="1:11" ht="21" customHeight="1" x14ac:dyDescent="0.15">
      <c r="A3" s="45">
        <v>41008001</v>
      </c>
      <c r="B3" s="45">
        <v>0</v>
      </c>
      <c r="C3" s="45">
        <v>40</v>
      </c>
      <c r="D3" s="45">
        <v>100</v>
      </c>
      <c r="E3" s="45" t="s">
        <v>88</v>
      </c>
      <c r="F3" s="45" t="s">
        <v>88</v>
      </c>
      <c r="G3" s="45">
        <v>1</v>
      </c>
      <c r="H3" s="45">
        <v>1</v>
      </c>
      <c r="I3" s="45" t="s">
        <v>88</v>
      </c>
      <c r="J3" s="46">
        <f t="shared" si="0"/>
        <v>100</v>
      </c>
    </row>
    <row r="4" spans="1:11" ht="21" customHeight="1" x14ac:dyDescent="0.15">
      <c r="A4" s="45">
        <v>41008002</v>
      </c>
      <c r="B4" s="45">
        <v>0</v>
      </c>
      <c r="C4" s="45">
        <v>39</v>
      </c>
      <c r="D4" s="45">
        <v>100</v>
      </c>
      <c r="E4" s="45" t="s">
        <v>88</v>
      </c>
      <c r="F4" s="45" t="s">
        <v>88</v>
      </c>
      <c r="G4" s="45">
        <v>1</v>
      </c>
      <c r="H4" s="45">
        <v>1</v>
      </c>
      <c r="I4" s="45" t="s">
        <v>88</v>
      </c>
      <c r="J4" s="46">
        <f t="shared" si="0"/>
        <v>100</v>
      </c>
    </row>
    <row r="5" spans="1:11" ht="21" customHeight="1" x14ac:dyDescent="0.15">
      <c r="A5" s="45">
        <v>41008003</v>
      </c>
      <c r="B5" s="45">
        <v>0</v>
      </c>
      <c r="C5" s="45">
        <v>30</v>
      </c>
      <c r="D5" s="45">
        <v>80</v>
      </c>
      <c r="E5" s="45" t="s">
        <v>88</v>
      </c>
      <c r="F5" s="45" t="s">
        <v>88</v>
      </c>
      <c r="G5" s="45" t="s">
        <v>88</v>
      </c>
      <c r="H5" s="45" t="s">
        <v>88</v>
      </c>
      <c r="I5" s="45" t="s">
        <v>88</v>
      </c>
      <c r="J5" s="46">
        <f t="shared" si="0"/>
        <v>80</v>
      </c>
    </row>
    <row r="6" spans="1:11" ht="21" customHeight="1" x14ac:dyDescent="0.15">
      <c r="A6" s="45">
        <v>41008004</v>
      </c>
      <c r="B6" s="45">
        <v>0</v>
      </c>
      <c r="C6" s="45">
        <v>31</v>
      </c>
      <c r="D6" s="45">
        <v>50</v>
      </c>
      <c r="E6" s="45">
        <v>75</v>
      </c>
      <c r="F6" s="45" t="s">
        <v>88</v>
      </c>
      <c r="G6" s="45" t="s">
        <v>88</v>
      </c>
      <c r="H6" s="45">
        <v>2</v>
      </c>
      <c r="I6" s="45" t="s">
        <v>88</v>
      </c>
      <c r="J6" s="46">
        <f t="shared" si="0"/>
        <v>50</v>
      </c>
    </row>
    <row r="7" spans="1:11" ht="21" customHeight="1" x14ac:dyDescent="0.15">
      <c r="A7" s="45">
        <v>41008005</v>
      </c>
      <c r="B7" s="45">
        <v>0</v>
      </c>
      <c r="C7" s="45">
        <v>38</v>
      </c>
      <c r="D7" s="45">
        <v>100</v>
      </c>
      <c r="E7" s="45">
        <v>50</v>
      </c>
      <c r="F7" s="45" t="s">
        <v>88</v>
      </c>
      <c r="G7" s="45">
        <v>1</v>
      </c>
      <c r="H7" s="45">
        <v>1</v>
      </c>
      <c r="I7" s="45" t="s">
        <v>88</v>
      </c>
      <c r="J7" s="46">
        <f t="shared" si="0"/>
        <v>100</v>
      </c>
    </row>
    <row r="8" spans="1:11" ht="21" customHeight="1" x14ac:dyDescent="0.15">
      <c r="A8" s="45">
        <v>41008006</v>
      </c>
      <c r="B8" s="45">
        <v>0</v>
      </c>
      <c r="C8" s="45">
        <v>2</v>
      </c>
      <c r="D8" s="45">
        <v>100</v>
      </c>
      <c r="E8" s="45" t="s">
        <v>88</v>
      </c>
      <c r="F8" s="45" t="s">
        <v>88</v>
      </c>
      <c r="G8" s="45">
        <v>1</v>
      </c>
      <c r="H8" s="45" t="s">
        <v>88</v>
      </c>
      <c r="I8" s="45">
        <v>2</v>
      </c>
      <c r="J8" s="46">
        <f t="shared" si="0"/>
        <v>100</v>
      </c>
    </row>
    <row r="9" spans="1:11" ht="21" customHeight="1" x14ac:dyDescent="0.15">
      <c r="A9" s="45">
        <v>41008007</v>
      </c>
      <c r="B9" s="45">
        <v>0</v>
      </c>
      <c r="C9" s="45">
        <v>1</v>
      </c>
      <c r="D9" s="45">
        <v>100</v>
      </c>
      <c r="E9" s="45" t="s">
        <v>88</v>
      </c>
      <c r="F9" s="45" t="s">
        <v>88</v>
      </c>
      <c r="G9" s="45">
        <v>1</v>
      </c>
      <c r="H9" s="45" t="s">
        <v>88</v>
      </c>
      <c r="I9" s="45">
        <v>2</v>
      </c>
      <c r="J9" s="46">
        <f t="shared" si="0"/>
        <v>100</v>
      </c>
    </row>
    <row r="10" spans="1:11" ht="21" customHeight="1" x14ac:dyDescent="0.15">
      <c r="A10" s="45">
        <v>41008008</v>
      </c>
      <c r="B10" s="45">
        <v>0</v>
      </c>
      <c r="C10" s="45">
        <v>40</v>
      </c>
      <c r="D10" s="45">
        <v>100</v>
      </c>
      <c r="E10" s="45" t="s">
        <v>88</v>
      </c>
      <c r="F10" s="45" t="s">
        <v>88</v>
      </c>
      <c r="G10" s="45" t="s">
        <v>88</v>
      </c>
      <c r="H10" s="45">
        <v>4</v>
      </c>
      <c r="I10" s="45" t="s">
        <v>88</v>
      </c>
      <c r="J10" s="46">
        <f t="shared" si="0"/>
        <v>100</v>
      </c>
    </row>
    <row r="11" spans="1:11" ht="21" customHeight="1" x14ac:dyDescent="0.15">
      <c r="A11" s="45">
        <v>41008009</v>
      </c>
      <c r="B11" s="45">
        <v>0</v>
      </c>
      <c r="C11" s="45">
        <v>1</v>
      </c>
      <c r="D11" s="45">
        <v>100</v>
      </c>
      <c r="E11" s="45" t="s">
        <v>88</v>
      </c>
      <c r="F11" s="45" t="s">
        <v>88</v>
      </c>
      <c r="G11" s="45" t="s">
        <v>88</v>
      </c>
      <c r="H11" s="45" t="s">
        <v>88</v>
      </c>
      <c r="I11" s="45">
        <v>179</v>
      </c>
      <c r="J11" s="46">
        <f t="shared" si="0"/>
        <v>100</v>
      </c>
    </row>
    <row r="12" spans="1:11" ht="21" customHeight="1" x14ac:dyDescent="0.15">
      <c r="A12" s="45">
        <v>41008010</v>
      </c>
      <c r="B12" s="45">
        <v>0</v>
      </c>
      <c r="C12" s="45">
        <v>40</v>
      </c>
      <c r="D12" s="45">
        <v>100</v>
      </c>
      <c r="E12" s="45" t="s">
        <v>88</v>
      </c>
      <c r="F12" s="45" t="s">
        <v>88</v>
      </c>
      <c r="G12" s="45" t="s">
        <v>88</v>
      </c>
      <c r="H12" s="45">
        <v>4</v>
      </c>
      <c r="I12" s="45" t="s">
        <v>88</v>
      </c>
      <c r="J12" s="46">
        <f t="shared" si="0"/>
        <v>100</v>
      </c>
    </row>
    <row r="13" spans="1:11" ht="21" customHeight="1" x14ac:dyDescent="0.15">
      <c r="A13" s="45">
        <v>41008011</v>
      </c>
      <c r="B13" s="45">
        <v>0</v>
      </c>
      <c r="C13" s="45">
        <v>1</v>
      </c>
      <c r="D13" s="45">
        <v>100</v>
      </c>
      <c r="E13" s="45" t="s">
        <v>88</v>
      </c>
      <c r="F13" s="45" t="s">
        <v>88</v>
      </c>
      <c r="G13" s="45" t="s">
        <v>88</v>
      </c>
      <c r="H13" s="45" t="s">
        <v>88</v>
      </c>
      <c r="I13" s="45">
        <v>179</v>
      </c>
      <c r="J13" s="46">
        <f t="shared" si="0"/>
        <v>100</v>
      </c>
    </row>
    <row r="14" spans="1:11" ht="21" customHeight="1" x14ac:dyDescent="0.15">
      <c r="A14" s="45">
        <v>41008012</v>
      </c>
      <c r="B14" s="45">
        <v>1</v>
      </c>
      <c r="C14" s="45">
        <v>50</v>
      </c>
      <c r="D14" s="45">
        <v>100</v>
      </c>
      <c r="E14" s="45" t="s">
        <v>88</v>
      </c>
      <c r="F14" s="45" t="s">
        <v>88</v>
      </c>
      <c r="G14" s="45">
        <v>1</v>
      </c>
      <c r="H14" s="45" t="s">
        <v>88</v>
      </c>
      <c r="I14" s="45" t="s">
        <v>88</v>
      </c>
      <c r="J14" s="46">
        <f t="shared" si="0"/>
        <v>100</v>
      </c>
    </row>
    <row r="15" spans="1:11" ht="21" customHeight="1" x14ac:dyDescent="0.15">
      <c r="A15" s="45">
        <v>41008013</v>
      </c>
      <c r="B15" s="45">
        <v>0</v>
      </c>
      <c r="C15" s="45">
        <v>30</v>
      </c>
      <c r="D15" s="45">
        <v>40</v>
      </c>
      <c r="E15" s="45" t="s">
        <v>88</v>
      </c>
      <c r="F15" s="45" t="s">
        <v>88</v>
      </c>
      <c r="G15" s="45" t="s">
        <v>88</v>
      </c>
      <c r="H15" s="45" t="s">
        <v>88</v>
      </c>
      <c r="I15" s="45" t="s">
        <v>88</v>
      </c>
      <c r="J15" s="46">
        <f t="shared" si="0"/>
        <v>40</v>
      </c>
    </row>
    <row r="16" spans="1:11" ht="21" customHeight="1" x14ac:dyDescent="0.15">
      <c r="A16" s="45">
        <v>41008014</v>
      </c>
      <c r="B16" s="45">
        <v>0</v>
      </c>
      <c r="C16" s="45">
        <v>31</v>
      </c>
      <c r="D16" s="45">
        <v>100</v>
      </c>
      <c r="E16" s="45" t="s">
        <v>88</v>
      </c>
      <c r="F16" s="45" t="s">
        <v>88</v>
      </c>
      <c r="G16" s="45" t="s">
        <v>88</v>
      </c>
      <c r="H16" s="45">
        <v>3</v>
      </c>
      <c r="I16" s="45" t="s">
        <v>88</v>
      </c>
      <c r="J16" s="46">
        <f t="shared" si="0"/>
        <v>100</v>
      </c>
    </row>
    <row r="17" spans="1:10" ht="21" customHeight="1" x14ac:dyDescent="0.15">
      <c r="A17" s="45">
        <v>41008015</v>
      </c>
      <c r="B17" s="45">
        <v>0</v>
      </c>
      <c r="C17" s="45">
        <v>40</v>
      </c>
      <c r="D17" s="45">
        <v>100</v>
      </c>
      <c r="E17" s="45">
        <v>50</v>
      </c>
      <c r="F17" s="45" t="s">
        <v>88</v>
      </c>
      <c r="G17" s="45">
        <v>1</v>
      </c>
      <c r="H17" s="45">
        <v>1</v>
      </c>
      <c r="I17" s="45" t="s">
        <v>88</v>
      </c>
      <c r="J17" s="46">
        <f t="shared" si="0"/>
        <v>100</v>
      </c>
    </row>
    <row r="18" spans="1:10" ht="21" customHeight="1" x14ac:dyDescent="0.15">
      <c r="A18" s="45">
        <v>41008016</v>
      </c>
      <c r="B18" s="45">
        <v>0</v>
      </c>
      <c r="C18" s="45">
        <v>39</v>
      </c>
      <c r="D18" s="45">
        <v>100</v>
      </c>
      <c r="E18" s="45">
        <v>50</v>
      </c>
      <c r="F18" s="45" t="s">
        <v>88</v>
      </c>
      <c r="G18" s="45">
        <v>3</v>
      </c>
      <c r="H18" s="45">
        <v>1</v>
      </c>
      <c r="I18" s="45" t="s">
        <v>88</v>
      </c>
      <c r="J18" s="46">
        <f t="shared" si="0"/>
        <v>100</v>
      </c>
    </row>
    <row r="19" spans="1:10" ht="21" customHeight="1" x14ac:dyDescent="0.15">
      <c r="A19" s="45">
        <v>41008017</v>
      </c>
      <c r="B19" s="45">
        <v>1</v>
      </c>
      <c r="C19" s="45">
        <v>50</v>
      </c>
      <c r="D19" s="45">
        <v>100</v>
      </c>
      <c r="E19" s="45" t="s">
        <v>88</v>
      </c>
      <c r="F19" s="45" t="s">
        <v>88</v>
      </c>
      <c r="G19" s="45">
        <v>1</v>
      </c>
      <c r="H19" s="45" t="s">
        <v>88</v>
      </c>
      <c r="I19" s="45" t="s">
        <v>88</v>
      </c>
      <c r="J19" s="46">
        <f t="shared" si="0"/>
        <v>100</v>
      </c>
    </row>
    <row r="20" spans="1:10" ht="21" customHeight="1" x14ac:dyDescent="0.15">
      <c r="A20" s="45">
        <v>41008018</v>
      </c>
      <c r="B20" s="45">
        <v>0</v>
      </c>
      <c r="C20" s="45">
        <v>30</v>
      </c>
      <c r="D20" s="45">
        <v>100</v>
      </c>
      <c r="E20" s="45" t="s">
        <v>88</v>
      </c>
      <c r="F20" s="45">
        <v>70</v>
      </c>
      <c r="G20" s="45">
        <v>1</v>
      </c>
      <c r="H20" s="45" t="s">
        <v>88</v>
      </c>
      <c r="I20" s="45" t="s">
        <v>88</v>
      </c>
      <c r="J20" s="46">
        <f t="shared" si="0"/>
        <v>100</v>
      </c>
    </row>
    <row r="21" spans="1:10" ht="21" customHeight="1" x14ac:dyDescent="0.15">
      <c r="A21" s="45">
        <v>41008019</v>
      </c>
      <c r="B21" s="45">
        <v>0</v>
      </c>
      <c r="C21" s="45">
        <v>31</v>
      </c>
      <c r="D21" s="45">
        <v>100</v>
      </c>
      <c r="E21" s="45">
        <v>70</v>
      </c>
      <c r="F21" s="45">
        <v>50</v>
      </c>
      <c r="G21" s="45">
        <v>1</v>
      </c>
      <c r="H21" s="45" t="s">
        <v>88</v>
      </c>
      <c r="I21" s="45" t="s">
        <v>88</v>
      </c>
      <c r="J21" s="46">
        <f t="shared" si="0"/>
        <v>100</v>
      </c>
    </row>
    <row r="22" spans="1:10" ht="21" customHeight="1" x14ac:dyDescent="0.15">
      <c r="A22" s="45">
        <v>41008020</v>
      </c>
      <c r="B22" s="45">
        <v>0</v>
      </c>
      <c r="C22" s="45">
        <v>32</v>
      </c>
      <c r="D22" s="45">
        <v>100</v>
      </c>
      <c r="E22" s="45">
        <v>50</v>
      </c>
      <c r="F22" s="45" t="s">
        <v>88</v>
      </c>
      <c r="G22" s="45">
        <v>1</v>
      </c>
      <c r="H22" s="45" t="s">
        <v>88</v>
      </c>
      <c r="I22" s="45" t="s">
        <v>88</v>
      </c>
      <c r="J22" s="46">
        <f t="shared" si="0"/>
        <v>100</v>
      </c>
    </row>
    <row r="23" spans="1:10" ht="21" customHeight="1" x14ac:dyDescent="0.15">
      <c r="A23" s="45">
        <v>41008021</v>
      </c>
      <c r="B23" s="128">
        <v>1</v>
      </c>
      <c r="C23" s="128">
        <v>50</v>
      </c>
      <c r="D23" s="128">
        <v>100</v>
      </c>
      <c r="E23" s="128" t="s">
        <v>344</v>
      </c>
      <c r="F23" s="128" t="s">
        <v>344</v>
      </c>
      <c r="G23" s="128">
        <v>1</v>
      </c>
      <c r="H23" s="128" t="s">
        <v>344</v>
      </c>
      <c r="I23" s="128" t="s">
        <v>344</v>
      </c>
      <c r="J23" s="46">
        <f t="shared" si="0"/>
        <v>100</v>
      </c>
    </row>
    <row r="24" spans="1:10" ht="21" customHeight="1" x14ac:dyDescent="0.15">
      <c r="A24" s="45">
        <v>41008022</v>
      </c>
      <c r="B24" s="128">
        <v>0</v>
      </c>
      <c r="C24" s="128">
        <v>29</v>
      </c>
      <c r="D24" s="128">
        <v>100</v>
      </c>
      <c r="E24" s="128" t="s">
        <v>344</v>
      </c>
      <c r="F24" s="128" t="s">
        <v>344</v>
      </c>
      <c r="G24" s="128" t="s">
        <v>344</v>
      </c>
      <c r="H24" s="128">
        <v>1</v>
      </c>
      <c r="I24" s="128" t="s">
        <v>344</v>
      </c>
      <c r="J24" s="46">
        <f t="shared" si="0"/>
        <v>100</v>
      </c>
    </row>
    <row r="25" spans="1:10" ht="21" customHeight="1" x14ac:dyDescent="0.15">
      <c r="A25" s="45">
        <v>41008023</v>
      </c>
      <c r="B25" s="128">
        <v>0</v>
      </c>
      <c r="C25" s="128">
        <v>30</v>
      </c>
      <c r="D25" s="128">
        <v>100</v>
      </c>
      <c r="E25" s="128" t="s">
        <v>344</v>
      </c>
      <c r="F25" s="128" t="s">
        <v>344</v>
      </c>
      <c r="G25" s="128" t="s">
        <v>344</v>
      </c>
      <c r="H25" s="128">
        <v>2</v>
      </c>
      <c r="I25" s="128" t="s">
        <v>344</v>
      </c>
      <c r="J25" s="46">
        <f t="shared" si="0"/>
        <v>100</v>
      </c>
    </row>
    <row r="26" spans="1:10" ht="21" customHeight="1" x14ac:dyDescent="0.15">
      <c r="A26" s="45">
        <v>41008024</v>
      </c>
      <c r="B26" s="128">
        <v>0</v>
      </c>
      <c r="C26" s="128">
        <v>39</v>
      </c>
      <c r="D26" s="128">
        <v>100</v>
      </c>
      <c r="E26" s="128" t="s">
        <v>344</v>
      </c>
      <c r="F26" s="128" t="s">
        <v>344</v>
      </c>
      <c r="G26" s="128">
        <v>1</v>
      </c>
      <c r="H26" s="128">
        <v>3</v>
      </c>
      <c r="I26" s="128" t="s">
        <v>344</v>
      </c>
      <c r="J26" s="46">
        <f t="shared" si="0"/>
        <v>100</v>
      </c>
    </row>
    <row r="27" spans="1:10" ht="21" customHeight="1" x14ac:dyDescent="0.15">
      <c r="A27" s="45">
        <v>41008025</v>
      </c>
      <c r="B27" s="128">
        <v>0</v>
      </c>
      <c r="C27" s="128">
        <v>49</v>
      </c>
      <c r="D27" s="128">
        <v>100</v>
      </c>
      <c r="E27" s="128" t="s">
        <v>344</v>
      </c>
      <c r="F27" s="128" t="s">
        <v>344</v>
      </c>
      <c r="G27" s="128">
        <v>1</v>
      </c>
      <c r="H27" s="128">
        <v>15</v>
      </c>
      <c r="I27" s="128" t="s">
        <v>344</v>
      </c>
      <c r="J27" s="46">
        <f t="shared" si="0"/>
        <v>100</v>
      </c>
    </row>
    <row r="28" spans="1:10" ht="21" customHeight="1" x14ac:dyDescent="0.15">
      <c r="A28" s="45">
        <v>41008026</v>
      </c>
      <c r="B28" s="128">
        <v>0</v>
      </c>
      <c r="C28" s="128">
        <v>30</v>
      </c>
      <c r="D28" s="128">
        <v>100</v>
      </c>
      <c r="E28" s="128" t="s">
        <v>344</v>
      </c>
      <c r="F28" s="128" t="s">
        <v>344</v>
      </c>
      <c r="G28" s="128" t="s">
        <v>344</v>
      </c>
      <c r="H28" s="128" t="s">
        <v>344</v>
      </c>
      <c r="I28" s="128" t="s">
        <v>344</v>
      </c>
      <c r="J28" s="46">
        <f t="shared" si="0"/>
        <v>100</v>
      </c>
    </row>
    <row r="29" spans="1:10" ht="21" customHeight="1" x14ac:dyDescent="0.15">
      <c r="A29" s="45">
        <v>41008027</v>
      </c>
      <c r="B29" s="128">
        <v>0</v>
      </c>
      <c r="C29" s="128">
        <v>31</v>
      </c>
      <c r="D29" s="128">
        <v>100</v>
      </c>
      <c r="E29" s="128" t="s">
        <v>344</v>
      </c>
      <c r="F29" s="128" t="s">
        <v>344</v>
      </c>
      <c r="G29" s="128" t="s">
        <v>344</v>
      </c>
      <c r="H29" s="128">
        <v>2</v>
      </c>
      <c r="I29" s="128" t="s">
        <v>344</v>
      </c>
      <c r="J29" s="46">
        <f t="shared" si="0"/>
        <v>100</v>
      </c>
    </row>
    <row r="30" spans="1:10" ht="21" customHeight="1" x14ac:dyDescent="0.15">
      <c r="A30" s="45">
        <v>41008028</v>
      </c>
      <c r="B30" s="45">
        <v>0</v>
      </c>
      <c r="C30" s="45">
        <v>30</v>
      </c>
      <c r="D30" s="45">
        <v>50</v>
      </c>
      <c r="E30" s="45" t="s">
        <v>344</v>
      </c>
      <c r="F30" s="45" t="s">
        <v>344</v>
      </c>
      <c r="G30" s="45" t="s">
        <v>344</v>
      </c>
      <c r="H30" s="45" t="s">
        <v>344</v>
      </c>
      <c r="I30" s="45" t="s">
        <v>344</v>
      </c>
      <c r="J30" s="46">
        <f t="shared" si="0"/>
        <v>50</v>
      </c>
    </row>
    <row r="31" spans="1:10" ht="21" customHeight="1" x14ac:dyDescent="0.15">
      <c r="A31" s="45">
        <v>41008029</v>
      </c>
      <c r="B31" s="134">
        <v>0</v>
      </c>
      <c r="C31" s="120">
        <v>31</v>
      </c>
      <c r="D31" s="120">
        <v>50</v>
      </c>
      <c r="E31" s="120">
        <v>50</v>
      </c>
      <c r="F31" s="120" t="s">
        <v>342</v>
      </c>
      <c r="G31" s="120">
        <v>2</v>
      </c>
      <c r="H31" s="120">
        <v>2</v>
      </c>
      <c r="I31" s="120" t="s">
        <v>342</v>
      </c>
      <c r="J31" s="46">
        <f t="shared" si="0"/>
        <v>50</v>
      </c>
    </row>
    <row r="32" spans="1:10" ht="21" customHeight="1" x14ac:dyDescent="0.15">
      <c r="A32" s="45">
        <v>41008030</v>
      </c>
      <c r="B32" s="45">
        <v>1</v>
      </c>
      <c r="C32" s="45">
        <v>50</v>
      </c>
      <c r="D32" s="45">
        <v>100</v>
      </c>
      <c r="E32" s="45" t="s">
        <v>344</v>
      </c>
      <c r="F32" s="45" t="s">
        <v>344</v>
      </c>
      <c r="G32" s="45">
        <v>1</v>
      </c>
      <c r="H32" s="45" t="s">
        <v>344</v>
      </c>
      <c r="I32" s="45" t="s">
        <v>344</v>
      </c>
      <c r="J32" s="46">
        <f t="shared" si="0"/>
        <v>100</v>
      </c>
    </row>
    <row r="33" spans="1:10" ht="21" customHeight="1" x14ac:dyDescent="0.15">
      <c r="A33" s="45">
        <v>41008031</v>
      </c>
      <c r="B33" s="135">
        <v>0</v>
      </c>
      <c r="C33" s="136">
        <v>30</v>
      </c>
      <c r="D33" s="136">
        <v>50</v>
      </c>
      <c r="E33" s="136" t="s">
        <v>342</v>
      </c>
      <c r="F33" s="136" t="s">
        <v>342</v>
      </c>
      <c r="G33" s="136" t="s">
        <v>342</v>
      </c>
      <c r="H33" s="136" t="s">
        <v>342</v>
      </c>
      <c r="I33" s="136" t="s">
        <v>342</v>
      </c>
      <c r="J33" s="124">
        <v>100</v>
      </c>
    </row>
    <row r="34" spans="1:10" ht="21" customHeight="1" x14ac:dyDescent="0.15">
      <c r="A34" s="45">
        <v>41008032</v>
      </c>
      <c r="B34" s="135">
        <v>0</v>
      </c>
      <c r="C34" s="136">
        <v>30</v>
      </c>
      <c r="D34" s="136">
        <v>50</v>
      </c>
      <c r="E34" s="136" t="s">
        <v>342</v>
      </c>
      <c r="F34" s="136" t="s">
        <v>342</v>
      </c>
      <c r="G34" s="136" t="s">
        <v>342</v>
      </c>
      <c r="H34" s="136" t="s">
        <v>342</v>
      </c>
      <c r="I34" s="136" t="s">
        <v>342</v>
      </c>
      <c r="J34" s="124">
        <v>100</v>
      </c>
    </row>
    <row r="35" spans="1:10" ht="21" customHeight="1" x14ac:dyDescent="0.15">
      <c r="A35" s="45">
        <v>41008033</v>
      </c>
      <c r="B35" s="135">
        <v>0</v>
      </c>
      <c r="C35" s="136">
        <v>39</v>
      </c>
      <c r="D35" s="136">
        <v>100</v>
      </c>
      <c r="E35" s="136" t="s">
        <v>344</v>
      </c>
      <c r="F35" s="136" t="s">
        <v>342</v>
      </c>
      <c r="G35" s="136">
        <v>1</v>
      </c>
      <c r="H35" s="136" t="s">
        <v>342</v>
      </c>
      <c r="I35" s="136" t="s">
        <v>342</v>
      </c>
      <c r="J35" s="124">
        <v>100</v>
      </c>
    </row>
    <row r="36" spans="1:10" ht="21" customHeight="1" x14ac:dyDescent="0.15">
      <c r="A36" s="45">
        <v>41008034</v>
      </c>
      <c r="B36" s="135">
        <v>0</v>
      </c>
      <c r="C36" s="136">
        <v>40</v>
      </c>
      <c r="D36" s="136">
        <v>100</v>
      </c>
      <c r="E36" s="136">
        <v>50</v>
      </c>
      <c r="F36" s="136" t="s">
        <v>342</v>
      </c>
      <c r="G36" s="136">
        <v>1</v>
      </c>
      <c r="H36" s="136" t="s">
        <v>342</v>
      </c>
      <c r="I36" s="136" t="s">
        <v>342</v>
      </c>
      <c r="J36" s="124">
        <v>100</v>
      </c>
    </row>
    <row r="37" spans="1:10" ht="21" customHeight="1" x14ac:dyDescent="0.15">
      <c r="A37" s="45">
        <v>41008035</v>
      </c>
      <c r="B37" s="135">
        <v>0</v>
      </c>
      <c r="C37" s="136">
        <v>49</v>
      </c>
      <c r="D37" s="136">
        <v>100</v>
      </c>
      <c r="E37" s="136" t="s">
        <v>342</v>
      </c>
      <c r="F37" s="136" t="s">
        <v>342</v>
      </c>
      <c r="G37" s="136">
        <v>1</v>
      </c>
      <c r="H37" s="136" t="s">
        <v>342</v>
      </c>
      <c r="I37" s="136">
        <v>4</v>
      </c>
      <c r="J37" s="124">
        <v>100</v>
      </c>
    </row>
    <row r="38" spans="1:10" ht="21" customHeight="1" x14ac:dyDescent="0.15">
      <c r="A38" s="45">
        <v>41008036</v>
      </c>
      <c r="B38" s="135">
        <v>0</v>
      </c>
      <c r="C38" s="136">
        <v>49</v>
      </c>
      <c r="D38" s="136">
        <v>100</v>
      </c>
      <c r="E38" s="136" t="s">
        <v>342</v>
      </c>
      <c r="F38" s="136" t="s">
        <v>342</v>
      </c>
      <c r="G38" s="136">
        <v>1</v>
      </c>
      <c r="H38" s="136" t="s">
        <v>342</v>
      </c>
      <c r="I38" s="136">
        <v>6</v>
      </c>
      <c r="J38" s="124">
        <v>100</v>
      </c>
    </row>
    <row r="39" spans="1:10" ht="21" customHeight="1" x14ac:dyDescent="0.15">
      <c r="A39" s="45">
        <v>41008037</v>
      </c>
      <c r="B39" s="45">
        <v>1</v>
      </c>
      <c r="C39" s="45">
        <v>50</v>
      </c>
      <c r="D39" s="45">
        <v>100</v>
      </c>
      <c r="E39" s="45" t="s">
        <v>344</v>
      </c>
      <c r="F39" s="45" t="s">
        <v>344</v>
      </c>
      <c r="G39" s="45">
        <v>1</v>
      </c>
      <c r="H39" s="45" t="s">
        <v>344</v>
      </c>
      <c r="I39" s="45" t="s">
        <v>344</v>
      </c>
      <c r="J39" s="124">
        <v>100</v>
      </c>
    </row>
    <row r="40" spans="1:10" ht="21" customHeight="1" x14ac:dyDescent="0.15">
      <c r="A40" s="45">
        <v>41008038</v>
      </c>
      <c r="B40" s="135">
        <v>0</v>
      </c>
      <c r="C40" s="136">
        <v>30</v>
      </c>
      <c r="D40" s="136">
        <v>100</v>
      </c>
      <c r="E40" s="136" t="s">
        <v>344</v>
      </c>
      <c r="F40" s="136" t="s">
        <v>342</v>
      </c>
      <c r="G40" s="136" t="s">
        <v>344</v>
      </c>
      <c r="H40" s="136" t="s">
        <v>344</v>
      </c>
      <c r="I40" s="136" t="s">
        <v>342</v>
      </c>
      <c r="J40" s="124">
        <v>100</v>
      </c>
    </row>
    <row r="41" spans="1:10" ht="21" customHeight="1" x14ac:dyDescent="0.15">
      <c r="A41" s="45">
        <v>41008039</v>
      </c>
      <c r="B41" s="135">
        <v>0</v>
      </c>
      <c r="C41" s="136">
        <v>31</v>
      </c>
      <c r="D41" s="136">
        <v>100</v>
      </c>
      <c r="E41" s="136" t="s">
        <v>344</v>
      </c>
      <c r="F41" s="136" t="s">
        <v>342</v>
      </c>
      <c r="G41" s="136" t="s">
        <v>344</v>
      </c>
      <c r="H41" s="136">
        <v>3</v>
      </c>
      <c r="I41" s="136" t="s">
        <v>342</v>
      </c>
      <c r="J41" s="124">
        <v>100</v>
      </c>
    </row>
    <row r="42" spans="1:10" ht="21" customHeight="1" x14ac:dyDescent="0.15">
      <c r="A42" s="45">
        <v>41008040</v>
      </c>
      <c r="B42" s="135">
        <v>0</v>
      </c>
      <c r="C42" s="136">
        <v>40</v>
      </c>
      <c r="D42" s="136">
        <v>100</v>
      </c>
      <c r="E42" s="136">
        <v>40</v>
      </c>
      <c r="F42" s="136" t="s">
        <v>342</v>
      </c>
      <c r="G42" s="136">
        <v>1</v>
      </c>
      <c r="H42" s="136">
        <v>1</v>
      </c>
      <c r="I42" s="136" t="s">
        <v>342</v>
      </c>
      <c r="J42" s="124">
        <v>100</v>
      </c>
    </row>
    <row r="43" spans="1:10" ht="21" customHeight="1" x14ac:dyDescent="0.15">
      <c r="A43" s="45">
        <v>41008041</v>
      </c>
      <c r="B43" s="135">
        <v>0</v>
      </c>
      <c r="C43" s="136">
        <v>39</v>
      </c>
      <c r="D43" s="136">
        <v>100</v>
      </c>
      <c r="E43" s="136">
        <v>40</v>
      </c>
      <c r="F43" s="136" t="s">
        <v>342</v>
      </c>
      <c r="G43" s="136">
        <v>1</v>
      </c>
      <c r="H43" s="136">
        <v>1</v>
      </c>
      <c r="I43" s="136" t="s">
        <v>342</v>
      </c>
      <c r="J43" s="124">
        <v>100</v>
      </c>
    </row>
    <row r="44" spans="1:10" ht="21" customHeight="1" x14ac:dyDescent="0.15">
      <c r="A44" s="45">
        <v>41008042</v>
      </c>
      <c r="B44" s="45">
        <v>0</v>
      </c>
      <c r="C44" s="45">
        <v>29</v>
      </c>
      <c r="D44" s="45">
        <v>70</v>
      </c>
      <c r="E44" s="45" t="s">
        <v>344</v>
      </c>
      <c r="F44" s="45" t="s">
        <v>344</v>
      </c>
      <c r="G44" s="45" t="s">
        <v>344</v>
      </c>
      <c r="H44" s="45" t="s">
        <v>344</v>
      </c>
      <c r="I44" s="45" t="s">
        <v>344</v>
      </c>
      <c r="J44" s="46">
        <f t="shared" ref="J44" si="1">D44</f>
        <v>70</v>
      </c>
    </row>
    <row r="45" spans="1:10" ht="21" customHeight="1" x14ac:dyDescent="0.15">
      <c r="A45" s="45">
        <v>41008043</v>
      </c>
      <c r="B45" s="135">
        <v>0</v>
      </c>
      <c r="C45" s="136">
        <v>30</v>
      </c>
      <c r="D45" s="136">
        <v>70</v>
      </c>
      <c r="E45" s="136" t="s">
        <v>344</v>
      </c>
      <c r="F45" s="136" t="s">
        <v>342</v>
      </c>
      <c r="G45" s="136" t="s">
        <v>344</v>
      </c>
      <c r="H45" s="136" t="s">
        <v>344</v>
      </c>
      <c r="I45" s="136" t="s">
        <v>342</v>
      </c>
      <c r="J45" s="124">
        <v>100</v>
      </c>
    </row>
    <row r="46" spans="1:10" ht="21" customHeight="1" x14ac:dyDescent="0.15">
      <c r="A46" s="45">
        <v>41008044</v>
      </c>
      <c r="B46" s="128">
        <v>0</v>
      </c>
      <c r="C46" s="128">
        <v>38</v>
      </c>
      <c r="D46" s="128">
        <v>100</v>
      </c>
      <c r="E46" s="128" t="s">
        <v>344</v>
      </c>
      <c r="F46" s="128" t="s">
        <v>344</v>
      </c>
      <c r="G46" s="128">
        <v>1</v>
      </c>
      <c r="H46" s="128">
        <v>3</v>
      </c>
      <c r="I46" s="128" t="s">
        <v>344</v>
      </c>
      <c r="J46" s="46">
        <f t="shared" ref="J46" si="2">D46</f>
        <v>100</v>
      </c>
    </row>
    <row r="47" spans="1:10" ht="21" customHeight="1" x14ac:dyDescent="0.15">
      <c r="A47" s="45">
        <v>41008045</v>
      </c>
      <c r="B47" s="136">
        <v>0</v>
      </c>
      <c r="C47" s="136">
        <v>37</v>
      </c>
      <c r="D47" s="136">
        <v>100</v>
      </c>
      <c r="E47" s="136" t="s">
        <v>342</v>
      </c>
      <c r="F47" s="136" t="s">
        <v>342</v>
      </c>
      <c r="G47" s="136">
        <v>1</v>
      </c>
      <c r="H47" s="136">
        <v>3</v>
      </c>
      <c r="I47" s="136" t="s">
        <v>342</v>
      </c>
      <c r="J47" s="124">
        <v>100</v>
      </c>
    </row>
    <row r="48" spans="1:10" ht="21" customHeight="1" x14ac:dyDescent="0.15">
      <c r="A48" s="45">
        <v>41008046</v>
      </c>
      <c r="B48" s="136">
        <v>0</v>
      </c>
      <c r="C48" s="136">
        <v>36</v>
      </c>
      <c r="D48" s="136">
        <v>100</v>
      </c>
      <c r="E48" s="136" t="s">
        <v>342</v>
      </c>
      <c r="F48" s="136" t="s">
        <v>342</v>
      </c>
      <c r="G48" s="136">
        <v>1</v>
      </c>
      <c r="H48" s="136">
        <v>3</v>
      </c>
      <c r="I48" s="136" t="s">
        <v>342</v>
      </c>
      <c r="J48" s="124">
        <v>100</v>
      </c>
    </row>
    <row r="49" spans="1:10" ht="21" customHeight="1" x14ac:dyDescent="0.15">
      <c r="A49" s="45">
        <v>41008047</v>
      </c>
      <c r="B49" s="135">
        <v>0</v>
      </c>
      <c r="C49" s="136">
        <v>49</v>
      </c>
      <c r="D49" s="136">
        <v>100</v>
      </c>
      <c r="E49" s="136" t="s">
        <v>342</v>
      </c>
      <c r="F49" s="136" t="s">
        <v>342</v>
      </c>
      <c r="G49" s="136">
        <v>1</v>
      </c>
      <c r="H49" s="136" t="s">
        <v>342</v>
      </c>
      <c r="I49" s="136">
        <v>4</v>
      </c>
      <c r="J49" s="124">
        <v>100</v>
      </c>
    </row>
    <row r="50" spans="1:10" ht="21" customHeight="1" x14ac:dyDescent="0.15">
      <c r="A50" s="45">
        <v>41008048</v>
      </c>
      <c r="B50" s="135">
        <v>0</v>
      </c>
      <c r="C50" s="136">
        <v>49</v>
      </c>
      <c r="D50" s="136">
        <v>100</v>
      </c>
      <c r="E50" s="136" t="s">
        <v>342</v>
      </c>
      <c r="F50" s="136" t="s">
        <v>342</v>
      </c>
      <c r="G50" s="136">
        <v>1</v>
      </c>
      <c r="H50" s="136" t="s">
        <v>342</v>
      </c>
      <c r="I50" s="136">
        <v>6</v>
      </c>
      <c r="J50" s="124">
        <v>100</v>
      </c>
    </row>
    <row r="51" spans="1:10" ht="21" customHeight="1" x14ac:dyDescent="0.15">
      <c r="A51" s="189">
        <v>41008049</v>
      </c>
      <c r="B51" s="135">
        <v>0</v>
      </c>
      <c r="C51" s="136">
        <v>35</v>
      </c>
      <c r="D51" s="136">
        <v>100</v>
      </c>
      <c r="E51" s="136">
        <v>75</v>
      </c>
      <c r="F51" s="136" t="s">
        <v>342</v>
      </c>
      <c r="G51" s="136">
        <v>1</v>
      </c>
      <c r="H51" s="136">
        <v>1</v>
      </c>
      <c r="I51" s="136" t="s">
        <v>342</v>
      </c>
      <c r="J51" s="124">
        <v>100</v>
      </c>
    </row>
    <row r="52" spans="1:10" ht="21" customHeight="1" x14ac:dyDescent="0.15">
      <c r="A52" s="189">
        <v>41008050</v>
      </c>
      <c r="B52" s="135">
        <v>0</v>
      </c>
      <c r="C52" s="136">
        <v>34</v>
      </c>
      <c r="D52" s="136">
        <v>100</v>
      </c>
      <c r="E52" s="136">
        <v>50</v>
      </c>
      <c r="F52" s="136" t="s">
        <v>342</v>
      </c>
      <c r="G52" s="136">
        <v>1</v>
      </c>
      <c r="H52" s="136">
        <v>1</v>
      </c>
      <c r="I52" s="136" t="s">
        <v>342</v>
      </c>
      <c r="J52" s="124">
        <v>100</v>
      </c>
    </row>
    <row r="53" spans="1:10" ht="21" customHeight="1" x14ac:dyDescent="0.15">
      <c r="A53" s="189">
        <v>41008051</v>
      </c>
      <c r="B53" s="128">
        <v>0</v>
      </c>
      <c r="C53" s="128">
        <v>49</v>
      </c>
      <c r="D53" s="128">
        <v>100</v>
      </c>
      <c r="E53" s="128" t="s">
        <v>212</v>
      </c>
      <c r="F53" s="128" t="s">
        <v>212</v>
      </c>
      <c r="G53" s="128">
        <v>1</v>
      </c>
      <c r="H53" s="128">
        <v>12</v>
      </c>
      <c r="I53" s="128" t="s">
        <v>212</v>
      </c>
      <c r="J53" s="46">
        <f t="shared" ref="J53:J54" si="3">D53</f>
        <v>100</v>
      </c>
    </row>
    <row r="54" spans="1:10" ht="21" customHeight="1" x14ac:dyDescent="0.15">
      <c r="A54" s="189">
        <v>41008052</v>
      </c>
      <c r="B54" s="128">
        <v>1</v>
      </c>
      <c r="C54" s="128">
        <v>51</v>
      </c>
      <c r="D54" s="128">
        <v>100</v>
      </c>
      <c r="E54" s="128" t="s">
        <v>344</v>
      </c>
      <c r="F54" s="128" t="s">
        <v>344</v>
      </c>
      <c r="G54" s="128">
        <v>1</v>
      </c>
      <c r="H54" s="128" t="s">
        <v>344</v>
      </c>
      <c r="I54" s="128">
        <v>490</v>
      </c>
      <c r="J54" s="46">
        <f t="shared" si="3"/>
        <v>100</v>
      </c>
    </row>
    <row r="55" spans="1:10" ht="21" customHeight="1" x14ac:dyDescent="0.15">
      <c r="A55" s="189">
        <v>41008053</v>
      </c>
      <c r="B55" s="128">
        <v>1</v>
      </c>
      <c r="C55" s="128">
        <v>51</v>
      </c>
      <c r="D55" s="128">
        <v>100</v>
      </c>
      <c r="E55" s="128" t="s">
        <v>344</v>
      </c>
      <c r="F55" s="128" t="s">
        <v>344</v>
      </c>
      <c r="G55" s="128">
        <v>1</v>
      </c>
      <c r="H55" s="128" t="s">
        <v>344</v>
      </c>
      <c r="I55" s="128">
        <v>491</v>
      </c>
      <c r="J55" s="46">
        <f t="shared" ref="J55" si="4">D55</f>
        <v>100</v>
      </c>
    </row>
    <row r="56" spans="1:10" ht="21" customHeight="1" x14ac:dyDescent="0.15">
      <c r="A56" s="189">
        <v>41008054</v>
      </c>
      <c r="B56" s="128">
        <v>1</v>
      </c>
      <c r="C56" s="128">
        <v>51</v>
      </c>
      <c r="D56" s="128">
        <v>100</v>
      </c>
      <c r="E56" s="128" t="s">
        <v>344</v>
      </c>
      <c r="F56" s="128" t="s">
        <v>344</v>
      </c>
      <c r="G56" s="128">
        <v>1</v>
      </c>
      <c r="H56" s="128" t="s">
        <v>344</v>
      </c>
      <c r="I56" s="128">
        <v>822</v>
      </c>
      <c r="J56" s="46">
        <f t="shared" ref="J56" si="5">D56</f>
        <v>100</v>
      </c>
    </row>
    <row r="57" spans="1:10" ht="21" customHeight="1" x14ac:dyDescent="0.15">
      <c r="A57" s="189">
        <v>41008055</v>
      </c>
      <c r="B57" s="128">
        <v>0</v>
      </c>
      <c r="C57" s="128">
        <v>1</v>
      </c>
      <c r="D57" s="128">
        <v>100</v>
      </c>
      <c r="E57" s="128" t="s">
        <v>344</v>
      </c>
      <c r="F57" s="128" t="s">
        <v>344</v>
      </c>
      <c r="G57" s="128">
        <v>0</v>
      </c>
      <c r="H57" s="128" t="s">
        <v>344</v>
      </c>
      <c r="I57" s="128">
        <v>490</v>
      </c>
      <c r="J57" s="46">
        <f t="shared" ref="J57" si="6">D57</f>
        <v>100</v>
      </c>
    </row>
    <row r="58" spans="1:10" ht="21" customHeight="1" x14ac:dyDescent="0.15">
      <c r="A58" s="189">
        <v>41008056</v>
      </c>
      <c r="B58" s="128">
        <v>0</v>
      </c>
      <c r="C58" s="128">
        <v>1</v>
      </c>
      <c r="D58" s="128">
        <v>100</v>
      </c>
      <c r="E58" s="128" t="s">
        <v>344</v>
      </c>
      <c r="F58" s="128" t="s">
        <v>344</v>
      </c>
      <c r="G58" s="128">
        <v>0</v>
      </c>
      <c r="H58" s="128" t="s">
        <v>344</v>
      </c>
      <c r="I58" s="128">
        <v>491</v>
      </c>
      <c r="J58" s="46">
        <f t="shared" ref="J58:J59" si="7">D58</f>
        <v>100</v>
      </c>
    </row>
    <row r="59" spans="1:10" ht="21" customHeight="1" x14ac:dyDescent="0.15">
      <c r="A59" s="189">
        <v>41008057</v>
      </c>
      <c r="B59" s="128">
        <v>0</v>
      </c>
      <c r="C59" s="128">
        <v>1</v>
      </c>
      <c r="D59" s="128">
        <v>100</v>
      </c>
      <c r="E59" s="128" t="s">
        <v>344</v>
      </c>
      <c r="F59" s="128" t="s">
        <v>344</v>
      </c>
      <c r="G59" s="128">
        <v>0</v>
      </c>
      <c r="H59" s="128" t="s">
        <v>344</v>
      </c>
      <c r="I59" s="128">
        <v>822</v>
      </c>
      <c r="J59" s="46">
        <f t="shared" si="7"/>
        <v>100</v>
      </c>
    </row>
  </sheetData>
  <autoFilter ref="A1:G1"/>
  <phoneticPr fontId="5"/>
  <conditionalFormatting sqref="K1:K51 K60:K1048576">
    <cfRule type="duplicateValues" dxfId="8" priority="9"/>
  </conditionalFormatting>
  <conditionalFormatting sqref="K52">
    <cfRule type="duplicateValues" dxfId="7" priority="8"/>
  </conditionalFormatting>
  <conditionalFormatting sqref="K53">
    <cfRule type="duplicateValues" dxfId="6" priority="7"/>
  </conditionalFormatting>
  <conditionalFormatting sqref="K54">
    <cfRule type="duplicateValues" dxfId="5" priority="6"/>
  </conditionalFormatting>
  <conditionalFormatting sqref="K55">
    <cfRule type="duplicateValues" dxfId="4" priority="5"/>
  </conditionalFormatting>
  <conditionalFormatting sqref="K56">
    <cfRule type="duplicateValues" dxfId="3" priority="4"/>
  </conditionalFormatting>
  <conditionalFormatting sqref="K57">
    <cfRule type="duplicateValues" dxfId="2" priority="3"/>
  </conditionalFormatting>
  <conditionalFormatting sqref="K58">
    <cfRule type="duplicateValues" dxfId="1" priority="2"/>
  </conditionalFormatting>
  <conditionalFormatting sqref="K5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7"/>
  <sheetViews>
    <sheetView topLeftCell="D1" zoomScale="90" zoomScaleNormal="90" zoomScalePageLayoutView="90" workbookViewId="0">
      <selection activeCell="P18" sqref="P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f>floors!$C$2</f>
        <v>41008</v>
      </c>
      <c r="B2" s="162">
        <v>1</v>
      </c>
      <c r="C2" s="163" t="str">
        <f>A2&amp; "_"&amp;B2</f>
        <v>41008_1</v>
      </c>
      <c r="D2" s="164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62">
        <v>1</v>
      </c>
      <c r="F2" s="162" t="s">
        <v>167</v>
      </c>
      <c r="G2" s="206">
        <v>40000</v>
      </c>
      <c r="H2" s="162" t="s">
        <v>342</v>
      </c>
      <c r="I2" s="162">
        <v>1</v>
      </c>
      <c r="J2" s="162">
        <v>1</v>
      </c>
      <c r="K2" s="162">
        <v>0</v>
      </c>
      <c r="L2" s="162">
        <v>0</v>
      </c>
      <c r="M2" s="162">
        <v>0</v>
      </c>
      <c r="N2" s="162">
        <v>0</v>
      </c>
      <c r="O2" s="162">
        <v>1</v>
      </c>
      <c r="P2" s="162">
        <v>150</v>
      </c>
      <c r="Q2" s="162" t="s">
        <v>168</v>
      </c>
      <c r="R2" s="165" t="s">
        <v>169</v>
      </c>
    </row>
    <row r="3" spans="1:18" x14ac:dyDescent="0.15">
      <c r="A3" s="55">
        <f>floors!$C$2</f>
        <v>41008</v>
      </c>
      <c r="B3" s="55">
        <v>1</v>
      </c>
      <c r="C3" s="68" t="str">
        <f t="shared" ref="C3:C11" si="0">A3&amp; "_"&amp;B3</f>
        <v>41008_1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2</v>
      </c>
      <c r="F3" s="55" t="s">
        <v>346</v>
      </c>
      <c r="G3" s="79">
        <v>30</v>
      </c>
      <c r="H3" s="55" t="s">
        <v>342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150</v>
      </c>
      <c r="Q3" s="55" t="s">
        <v>168</v>
      </c>
      <c r="R3" s="166" t="s">
        <v>169</v>
      </c>
    </row>
    <row r="4" spans="1:18" x14ac:dyDescent="0.15">
      <c r="A4" s="55">
        <f>floors!$C$2</f>
        <v>41008</v>
      </c>
      <c r="B4" s="55">
        <v>1</v>
      </c>
      <c r="C4" s="68" t="str">
        <f t="shared" si="0"/>
        <v>41008_1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3</v>
      </c>
      <c r="F4" s="55" t="s">
        <v>347</v>
      </c>
      <c r="G4" s="79">
        <v>345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28</v>
      </c>
      <c r="Q4" s="55" t="s">
        <v>168</v>
      </c>
      <c r="R4" s="166" t="s">
        <v>169</v>
      </c>
    </row>
    <row r="5" spans="1:18" x14ac:dyDescent="0.15">
      <c r="A5" s="55">
        <f>floors!$C$2</f>
        <v>41008</v>
      </c>
      <c r="B5" s="55">
        <v>1</v>
      </c>
      <c r="C5" s="68" t="str">
        <f t="shared" si="0"/>
        <v>41008_1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4</v>
      </c>
      <c r="F5" s="55" t="s">
        <v>347</v>
      </c>
      <c r="G5" s="79">
        <v>346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112</v>
      </c>
      <c r="Q5" s="55" t="s">
        <v>168</v>
      </c>
      <c r="R5" s="166" t="s">
        <v>169</v>
      </c>
    </row>
    <row r="6" spans="1:18" x14ac:dyDescent="0.15">
      <c r="A6" s="55">
        <f>floors!$C$2</f>
        <v>41008</v>
      </c>
      <c r="B6" s="55">
        <v>1</v>
      </c>
      <c r="C6" s="68" t="str">
        <f t="shared" si="0"/>
        <v>41008_1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5</v>
      </c>
      <c r="F6" s="55" t="s">
        <v>347</v>
      </c>
      <c r="G6" s="79">
        <v>121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205">
        <v>100</v>
      </c>
      <c r="Q6" s="55" t="s">
        <v>168</v>
      </c>
      <c r="R6" s="166" t="s">
        <v>169</v>
      </c>
    </row>
    <row r="7" spans="1:18" x14ac:dyDescent="0.15">
      <c r="A7" s="55">
        <f>floors!$C$2</f>
        <v>41008</v>
      </c>
      <c r="B7" s="55">
        <v>1</v>
      </c>
      <c r="C7" s="68" t="str">
        <f t="shared" si="0"/>
        <v>41008_1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6</v>
      </c>
      <c r="F7" s="55" t="s">
        <v>347</v>
      </c>
      <c r="G7" s="79">
        <v>122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205">
        <v>100</v>
      </c>
      <c r="Q7" s="55" t="s">
        <v>168</v>
      </c>
      <c r="R7" s="166" t="s">
        <v>169</v>
      </c>
    </row>
    <row r="8" spans="1:18" x14ac:dyDescent="0.15">
      <c r="A8" s="55">
        <f>floors!$C$2</f>
        <v>41008</v>
      </c>
      <c r="B8" s="55">
        <v>1</v>
      </c>
      <c r="C8" s="68" t="str">
        <f t="shared" si="0"/>
        <v>41008_1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5">
        <v>7</v>
      </c>
      <c r="F8" s="55" t="s">
        <v>347</v>
      </c>
      <c r="G8" s="79">
        <v>123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205">
        <v>100</v>
      </c>
      <c r="Q8" s="55" t="s">
        <v>168</v>
      </c>
      <c r="R8" s="166" t="s">
        <v>169</v>
      </c>
    </row>
    <row r="9" spans="1:18" x14ac:dyDescent="0.15">
      <c r="A9" s="55">
        <f>floors!$C$2</f>
        <v>41008</v>
      </c>
      <c r="B9" s="55">
        <v>1</v>
      </c>
      <c r="C9" s="68" t="str">
        <f t="shared" si="0"/>
        <v>41008_1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5">
        <v>8</v>
      </c>
      <c r="F9" s="55" t="s">
        <v>347</v>
      </c>
      <c r="G9" s="79">
        <v>125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205">
        <v>10</v>
      </c>
      <c r="Q9" s="55" t="s">
        <v>168</v>
      </c>
      <c r="R9" s="166" t="s">
        <v>169</v>
      </c>
    </row>
    <row r="10" spans="1:18" x14ac:dyDescent="0.15">
      <c r="A10" s="55">
        <f>floors!$C$2</f>
        <v>41008</v>
      </c>
      <c r="B10" s="55">
        <v>1</v>
      </c>
      <c r="C10" s="68" t="str">
        <f t="shared" si="0"/>
        <v>41008_1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5">
        <v>9</v>
      </c>
      <c r="F10" s="55" t="s">
        <v>347</v>
      </c>
      <c r="G10" s="79">
        <v>508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205">
        <v>100</v>
      </c>
      <c r="Q10" s="55" t="s">
        <v>168</v>
      </c>
      <c r="R10" s="166" t="s">
        <v>169</v>
      </c>
    </row>
    <row r="11" spans="1:18" ht="16" thickBot="1" x14ac:dyDescent="0.2">
      <c r="A11" s="168">
        <f>floors!$C$2</f>
        <v>41008</v>
      </c>
      <c r="B11" s="168">
        <v>1</v>
      </c>
      <c r="C11" s="169" t="str">
        <f t="shared" si="0"/>
        <v>41008_1</v>
      </c>
      <c r="D11" s="13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68">
        <v>10</v>
      </c>
      <c r="F11" s="168" t="s">
        <v>347</v>
      </c>
      <c r="G11" s="207">
        <v>354</v>
      </c>
      <c r="H11" s="168">
        <v>1</v>
      </c>
      <c r="I11" s="168">
        <v>1</v>
      </c>
      <c r="J11" s="168">
        <v>1</v>
      </c>
      <c r="K11" s="168">
        <v>0</v>
      </c>
      <c r="L11" s="168">
        <v>0</v>
      </c>
      <c r="M11" s="168">
        <v>0</v>
      </c>
      <c r="N11" s="168">
        <v>0</v>
      </c>
      <c r="O11" s="168">
        <v>1</v>
      </c>
      <c r="P11" s="168">
        <v>150</v>
      </c>
      <c r="Q11" s="168" t="s">
        <v>168</v>
      </c>
      <c r="R11" s="170" t="s">
        <v>169</v>
      </c>
    </row>
    <row r="12" spans="1:18" x14ac:dyDescent="0.15">
      <c r="A12" s="162">
        <f>floors!$C$2</f>
        <v>41008</v>
      </c>
      <c r="B12" s="162">
        <v>2</v>
      </c>
      <c r="C12" s="163" t="str">
        <f t="shared" ref="C12:C18" si="1">A12&amp; "_"&amp;B12</f>
        <v>41008_2</v>
      </c>
      <c r="D12" s="164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2">
        <v>1</v>
      </c>
      <c r="F12" s="162" t="s">
        <v>347</v>
      </c>
      <c r="G12" s="206">
        <v>346</v>
      </c>
      <c r="H12" s="162">
        <v>1</v>
      </c>
      <c r="I12" s="162">
        <v>1</v>
      </c>
      <c r="J12" s="162">
        <v>1</v>
      </c>
      <c r="K12" s="162">
        <v>0</v>
      </c>
      <c r="L12" s="162">
        <v>0</v>
      </c>
      <c r="M12" s="162">
        <v>0</v>
      </c>
      <c r="N12" s="162">
        <v>0</v>
      </c>
      <c r="O12" s="162">
        <v>1</v>
      </c>
      <c r="P12" s="162">
        <v>50</v>
      </c>
      <c r="Q12" s="162" t="s">
        <v>168</v>
      </c>
      <c r="R12" s="165" t="s">
        <v>169</v>
      </c>
    </row>
    <row r="13" spans="1:18" x14ac:dyDescent="0.15">
      <c r="A13" s="55">
        <f>floors!$C$2</f>
        <v>41008</v>
      </c>
      <c r="B13" s="55">
        <v>2</v>
      </c>
      <c r="C13" s="68" t="str">
        <f t="shared" si="1"/>
        <v>41008_2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5">
        <v>2</v>
      </c>
      <c r="F13" s="55" t="s">
        <v>347</v>
      </c>
      <c r="G13" s="79">
        <v>607</v>
      </c>
      <c r="H13" s="55">
        <v>1</v>
      </c>
      <c r="I13" s="55">
        <v>1</v>
      </c>
      <c r="J13" s="55">
        <v>1</v>
      </c>
      <c r="K13" s="55">
        <v>0</v>
      </c>
      <c r="L13" s="55">
        <v>0</v>
      </c>
      <c r="M13" s="55">
        <v>0</v>
      </c>
      <c r="N13" s="55">
        <v>0</v>
      </c>
      <c r="O13" s="55">
        <v>1</v>
      </c>
      <c r="P13" s="55">
        <v>100</v>
      </c>
      <c r="Q13" s="55" t="s">
        <v>168</v>
      </c>
      <c r="R13" s="166" t="s">
        <v>169</v>
      </c>
    </row>
    <row r="14" spans="1:18" x14ac:dyDescent="0.15">
      <c r="A14" s="55">
        <f>floors!$C$2</f>
        <v>41008</v>
      </c>
      <c r="B14" s="55">
        <v>2</v>
      </c>
      <c r="C14" s="68" t="str">
        <f t="shared" si="1"/>
        <v>41008_2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5">
        <v>3</v>
      </c>
      <c r="F14" s="55" t="s">
        <v>347</v>
      </c>
      <c r="G14" s="79">
        <v>608</v>
      </c>
      <c r="H14" s="55">
        <v>1</v>
      </c>
      <c r="I14" s="55">
        <v>1</v>
      </c>
      <c r="J14" s="55">
        <v>1</v>
      </c>
      <c r="K14" s="55">
        <v>0</v>
      </c>
      <c r="L14" s="55">
        <v>0</v>
      </c>
      <c r="M14" s="55">
        <v>0</v>
      </c>
      <c r="N14" s="55">
        <v>0</v>
      </c>
      <c r="O14" s="55">
        <v>1</v>
      </c>
      <c r="P14" s="55">
        <v>100</v>
      </c>
      <c r="Q14" s="55" t="s">
        <v>168</v>
      </c>
      <c r="R14" s="166" t="s">
        <v>169</v>
      </c>
    </row>
    <row r="15" spans="1:18" x14ac:dyDescent="0.15">
      <c r="A15" s="55">
        <f>floors!$C$2</f>
        <v>41008</v>
      </c>
      <c r="B15" s="55">
        <v>2</v>
      </c>
      <c r="C15" s="68" t="str">
        <f t="shared" si="1"/>
        <v>41008_2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5">
        <v>4</v>
      </c>
      <c r="F15" s="55" t="s">
        <v>347</v>
      </c>
      <c r="G15" s="79">
        <v>609</v>
      </c>
      <c r="H15" s="55">
        <v>1</v>
      </c>
      <c r="I15" s="55">
        <v>1</v>
      </c>
      <c r="J15" s="55">
        <v>1</v>
      </c>
      <c r="K15" s="55">
        <v>0</v>
      </c>
      <c r="L15" s="55">
        <v>0</v>
      </c>
      <c r="M15" s="55">
        <v>0</v>
      </c>
      <c r="N15" s="55">
        <v>0</v>
      </c>
      <c r="O15" s="55">
        <v>1</v>
      </c>
      <c r="P15" s="55">
        <v>100</v>
      </c>
      <c r="Q15" s="55" t="s">
        <v>168</v>
      </c>
      <c r="R15" s="166" t="s">
        <v>169</v>
      </c>
    </row>
    <row r="16" spans="1:18" x14ac:dyDescent="0.15">
      <c r="A16" s="55">
        <f>floors!$C$2</f>
        <v>41008</v>
      </c>
      <c r="B16" s="55">
        <v>2</v>
      </c>
      <c r="C16" s="68" t="str">
        <f t="shared" si="1"/>
        <v>41008_2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5">
        <v>5</v>
      </c>
      <c r="F16" s="55" t="s">
        <v>347</v>
      </c>
      <c r="G16" s="79">
        <v>125</v>
      </c>
      <c r="H16" s="55">
        <v>1</v>
      </c>
      <c r="I16" s="55">
        <v>1</v>
      </c>
      <c r="J16" s="55">
        <v>1</v>
      </c>
      <c r="K16" s="55">
        <v>0</v>
      </c>
      <c r="L16" s="55">
        <v>0</v>
      </c>
      <c r="M16" s="55">
        <v>0</v>
      </c>
      <c r="N16" s="55">
        <v>0</v>
      </c>
      <c r="O16" s="55">
        <v>1</v>
      </c>
      <c r="P16" s="55">
        <v>30</v>
      </c>
      <c r="Q16" s="55" t="s">
        <v>168</v>
      </c>
      <c r="R16" s="166" t="s">
        <v>169</v>
      </c>
    </row>
    <row r="17" spans="1:18" x14ac:dyDescent="0.15">
      <c r="A17" s="55">
        <f>floors!$C$2</f>
        <v>41008</v>
      </c>
      <c r="B17" s="55">
        <v>2</v>
      </c>
      <c r="C17" s="68" t="str">
        <f t="shared" si="1"/>
        <v>41008_2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5">
        <v>6</v>
      </c>
      <c r="F17" s="55" t="s">
        <v>347</v>
      </c>
      <c r="G17" s="79">
        <v>508</v>
      </c>
      <c r="H17" s="55">
        <v>1</v>
      </c>
      <c r="I17" s="55">
        <v>1</v>
      </c>
      <c r="J17" s="55">
        <v>1</v>
      </c>
      <c r="K17" s="55">
        <v>0</v>
      </c>
      <c r="L17" s="55">
        <v>0</v>
      </c>
      <c r="M17" s="55">
        <v>0</v>
      </c>
      <c r="N17" s="55">
        <v>0</v>
      </c>
      <c r="O17" s="55">
        <v>1</v>
      </c>
      <c r="P17" s="55">
        <v>500</v>
      </c>
      <c r="Q17" s="55" t="s">
        <v>168</v>
      </c>
      <c r="R17" s="166" t="s">
        <v>169</v>
      </c>
    </row>
    <row r="18" spans="1:18" ht="16" thickBot="1" x14ac:dyDescent="0.2">
      <c r="A18" s="168">
        <f>floors!$C$2</f>
        <v>41008</v>
      </c>
      <c r="B18" s="168">
        <v>2</v>
      </c>
      <c r="C18" s="169" t="str">
        <f t="shared" si="1"/>
        <v>41008_2</v>
      </c>
      <c r="D18" s="13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8">
        <v>7</v>
      </c>
      <c r="F18" s="168" t="s">
        <v>347</v>
      </c>
      <c r="G18" s="207">
        <v>354</v>
      </c>
      <c r="H18" s="168">
        <v>1</v>
      </c>
      <c r="I18" s="168">
        <v>1</v>
      </c>
      <c r="J18" s="168">
        <v>1</v>
      </c>
      <c r="K18" s="168">
        <v>0</v>
      </c>
      <c r="L18" s="168">
        <v>0</v>
      </c>
      <c r="M18" s="168">
        <v>0</v>
      </c>
      <c r="N18" s="168">
        <v>0</v>
      </c>
      <c r="O18" s="168">
        <v>1</v>
      </c>
      <c r="P18" s="168">
        <v>120</v>
      </c>
      <c r="Q18" s="168" t="s">
        <v>168</v>
      </c>
      <c r="R18" s="170" t="s">
        <v>169</v>
      </c>
    </row>
    <row r="19" spans="1:18" x14ac:dyDescent="0.15">
      <c r="A19" s="167">
        <f>floors!$C$2</f>
        <v>41008</v>
      </c>
      <c r="B19" s="162">
        <v>3</v>
      </c>
      <c r="C19" s="163" t="str">
        <f>A19&amp; "_"&amp;B19</f>
        <v>41008_3</v>
      </c>
      <c r="D19" s="164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62">
        <v>1</v>
      </c>
      <c r="F19" s="162" t="s">
        <v>167</v>
      </c>
      <c r="G19" s="206">
        <v>40000</v>
      </c>
      <c r="H19" s="162" t="s">
        <v>342</v>
      </c>
      <c r="I19" s="162">
        <v>1</v>
      </c>
      <c r="J19" s="162">
        <v>1</v>
      </c>
      <c r="K19" s="162">
        <v>0</v>
      </c>
      <c r="L19" s="162">
        <v>0</v>
      </c>
      <c r="M19" s="162">
        <v>0</v>
      </c>
      <c r="N19" s="162">
        <v>0</v>
      </c>
      <c r="O19" s="162">
        <v>1</v>
      </c>
      <c r="P19" s="162">
        <v>150</v>
      </c>
      <c r="Q19" s="162" t="s">
        <v>168</v>
      </c>
      <c r="R19" s="165" t="s">
        <v>169</v>
      </c>
    </row>
    <row r="20" spans="1:18" x14ac:dyDescent="0.15">
      <c r="A20" s="55">
        <f>floors!$C$2</f>
        <v>41008</v>
      </c>
      <c r="B20" s="55">
        <v>3</v>
      </c>
      <c r="C20" s="68" t="str">
        <f t="shared" ref="C20:C26" si="2">A20&amp; "_"&amp;B20</f>
        <v>41008_3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5">
        <v>2</v>
      </c>
      <c r="F20" s="55" t="s">
        <v>347</v>
      </c>
      <c r="G20" s="79">
        <v>346</v>
      </c>
      <c r="H20" s="55">
        <v>1</v>
      </c>
      <c r="I20" s="55">
        <v>1</v>
      </c>
      <c r="J20" s="55">
        <v>1</v>
      </c>
      <c r="K20" s="55">
        <v>0</v>
      </c>
      <c r="L20" s="55">
        <v>0</v>
      </c>
      <c r="M20" s="55">
        <v>0</v>
      </c>
      <c r="N20" s="55">
        <v>0</v>
      </c>
      <c r="O20" s="55">
        <v>1</v>
      </c>
      <c r="P20" s="55">
        <v>150</v>
      </c>
      <c r="Q20" s="55" t="s">
        <v>168</v>
      </c>
      <c r="R20" s="166" t="s">
        <v>169</v>
      </c>
    </row>
    <row r="21" spans="1:18" x14ac:dyDescent="0.15">
      <c r="A21" s="55">
        <f>floors!$C$2</f>
        <v>41008</v>
      </c>
      <c r="B21" s="55">
        <v>3</v>
      </c>
      <c r="C21" s="68" t="str">
        <f t="shared" si="2"/>
        <v>41008_3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5">
        <v>3</v>
      </c>
      <c r="F21" s="55" t="s">
        <v>347</v>
      </c>
      <c r="G21" s="79">
        <v>607</v>
      </c>
      <c r="H21" s="55">
        <v>1</v>
      </c>
      <c r="I21" s="55">
        <v>1</v>
      </c>
      <c r="J21" s="55">
        <v>1</v>
      </c>
      <c r="K21" s="55">
        <v>0</v>
      </c>
      <c r="L21" s="55">
        <v>0</v>
      </c>
      <c r="M21" s="55">
        <v>0</v>
      </c>
      <c r="N21" s="55">
        <v>0</v>
      </c>
      <c r="O21" s="55">
        <v>1</v>
      </c>
      <c r="P21" s="55">
        <v>100</v>
      </c>
      <c r="Q21" s="55" t="s">
        <v>168</v>
      </c>
      <c r="R21" s="166" t="s">
        <v>169</v>
      </c>
    </row>
    <row r="22" spans="1:18" x14ac:dyDescent="0.15">
      <c r="A22" s="55">
        <f>floors!$C$2</f>
        <v>41008</v>
      </c>
      <c r="B22" s="55">
        <v>3</v>
      </c>
      <c r="C22" s="68" t="str">
        <f t="shared" si="2"/>
        <v>41008_3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5">
        <v>4</v>
      </c>
      <c r="F22" s="55" t="s">
        <v>347</v>
      </c>
      <c r="G22" s="79">
        <v>608</v>
      </c>
      <c r="H22" s="55">
        <v>1</v>
      </c>
      <c r="I22" s="55">
        <v>1</v>
      </c>
      <c r="J22" s="55">
        <v>1</v>
      </c>
      <c r="K22" s="55">
        <v>0</v>
      </c>
      <c r="L22" s="55">
        <v>0</v>
      </c>
      <c r="M22" s="55">
        <v>0</v>
      </c>
      <c r="N22" s="55">
        <v>0</v>
      </c>
      <c r="O22" s="55">
        <v>1</v>
      </c>
      <c r="P22" s="55">
        <v>100</v>
      </c>
      <c r="Q22" s="55" t="s">
        <v>168</v>
      </c>
      <c r="R22" s="166" t="s">
        <v>169</v>
      </c>
    </row>
    <row r="23" spans="1:18" x14ac:dyDescent="0.15">
      <c r="A23" s="55">
        <f>floors!$C$2</f>
        <v>41008</v>
      </c>
      <c r="B23" s="55">
        <v>3</v>
      </c>
      <c r="C23" s="68" t="str">
        <f t="shared" si="2"/>
        <v>41008_3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5">
        <v>5</v>
      </c>
      <c r="F23" s="55" t="s">
        <v>347</v>
      </c>
      <c r="G23" s="79">
        <v>609</v>
      </c>
      <c r="H23" s="55">
        <v>1</v>
      </c>
      <c r="I23" s="55">
        <v>1</v>
      </c>
      <c r="J23" s="55">
        <v>1</v>
      </c>
      <c r="K23" s="55">
        <v>0</v>
      </c>
      <c r="L23" s="55">
        <v>0</v>
      </c>
      <c r="M23" s="55">
        <v>0</v>
      </c>
      <c r="N23" s="55">
        <v>0</v>
      </c>
      <c r="O23" s="55">
        <v>1</v>
      </c>
      <c r="P23" s="55">
        <v>100</v>
      </c>
      <c r="Q23" s="55" t="s">
        <v>168</v>
      </c>
      <c r="R23" s="166" t="s">
        <v>169</v>
      </c>
    </row>
    <row r="24" spans="1:18" x14ac:dyDescent="0.15">
      <c r="A24" s="55">
        <f>floors!$C$2</f>
        <v>41008</v>
      </c>
      <c r="B24" s="55">
        <v>3</v>
      </c>
      <c r="C24" s="68" t="str">
        <f t="shared" si="2"/>
        <v>41008_3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5">
        <v>6</v>
      </c>
      <c r="F24" s="55" t="s">
        <v>347</v>
      </c>
      <c r="G24" s="79">
        <v>125</v>
      </c>
      <c r="H24" s="55">
        <v>1</v>
      </c>
      <c r="I24" s="55">
        <v>1</v>
      </c>
      <c r="J24" s="55">
        <v>1</v>
      </c>
      <c r="K24" s="55">
        <v>0</v>
      </c>
      <c r="L24" s="55">
        <v>0</v>
      </c>
      <c r="M24" s="55">
        <v>0</v>
      </c>
      <c r="N24" s="55">
        <v>0</v>
      </c>
      <c r="O24" s="55">
        <v>1</v>
      </c>
      <c r="P24" s="55">
        <v>30</v>
      </c>
      <c r="Q24" s="55" t="s">
        <v>168</v>
      </c>
      <c r="R24" s="166" t="s">
        <v>169</v>
      </c>
    </row>
    <row r="25" spans="1:18" x14ac:dyDescent="0.15">
      <c r="A25" s="55">
        <f>floors!$C$2</f>
        <v>41008</v>
      </c>
      <c r="B25" s="55">
        <v>3</v>
      </c>
      <c r="C25" s="68" t="str">
        <f t="shared" si="2"/>
        <v>41008_3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5">
        <v>7</v>
      </c>
      <c r="F25" s="55" t="s">
        <v>347</v>
      </c>
      <c r="G25" s="79">
        <v>508</v>
      </c>
      <c r="H25" s="55">
        <v>1</v>
      </c>
      <c r="I25" s="55">
        <v>1</v>
      </c>
      <c r="J25" s="55">
        <v>1</v>
      </c>
      <c r="K25" s="55">
        <v>0</v>
      </c>
      <c r="L25" s="55">
        <v>0</v>
      </c>
      <c r="M25" s="55">
        <v>0</v>
      </c>
      <c r="N25" s="55">
        <v>0</v>
      </c>
      <c r="O25" s="55">
        <v>1</v>
      </c>
      <c r="P25" s="55">
        <v>250</v>
      </c>
      <c r="Q25" s="55" t="s">
        <v>168</v>
      </c>
      <c r="R25" s="166" t="s">
        <v>169</v>
      </c>
    </row>
    <row r="26" spans="1:18" s="202" customFormat="1" x14ac:dyDescent="0.15">
      <c r="A26" s="55">
        <f>floors!$C$2</f>
        <v>41008</v>
      </c>
      <c r="B26" s="55">
        <v>3</v>
      </c>
      <c r="C26" s="68" t="str">
        <f t="shared" si="2"/>
        <v>41008_3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5">
        <v>8</v>
      </c>
      <c r="F26" s="55" t="s">
        <v>347</v>
      </c>
      <c r="G26" s="79">
        <v>354</v>
      </c>
      <c r="H26" s="55">
        <v>1</v>
      </c>
      <c r="I26" s="55">
        <v>1</v>
      </c>
      <c r="J26" s="55">
        <v>1</v>
      </c>
      <c r="K26" s="55">
        <v>0</v>
      </c>
      <c r="L26" s="55">
        <v>0</v>
      </c>
      <c r="M26" s="55">
        <v>0</v>
      </c>
      <c r="N26" s="55">
        <v>0</v>
      </c>
      <c r="O26" s="55">
        <v>1</v>
      </c>
      <c r="P26" s="55">
        <v>120</v>
      </c>
      <c r="Q26" s="55" t="s">
        <v>168</v>
      </c>
      <c r="R26" s="166" t="s">
        <v>169</v>
      </c>
    </row>
    <row r="27" spans="1:18" s="203" customFormat="1" x14ac:dyDescent="0.15"/>
  </sheetData>
  <phoneticPr fontId="5"/>
  <dataValidations disablePrompts="1" count="1">
    <dataValidation type="list" allowBlank="1" showInputMessage="1" showErrorMessage="1" sqref="F2 F1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zoomScale="90" zoomScaleNormal="90" zoomScalePageLayoutView="90" workbookViewId="0">
      <pane ySplit="1" topLeftCell="A2" activePane="bottomLeft" state="frozen"/>
      <selection pane="bottomLeft" activeCell="L46" sqref="L4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186</v>
      </c>
      <c r="B1" s="70" t="s">
        <v>187</v>
      </c>
      <c r="C1" s="75" t="s">
        <v>188</v>
      </c>
      <c r="D1" s="75" t="s">
        <v>33</v>
      </c>
      <c r="E1" s="70" t="s">
        <v>189</v>
      </c>
      <c r="F1" s="75" t="s">
        <v>190</v>
      </c>
      <c r="G1" s="75" t="s">
        <v>33</v>
      </c>
      <c r="H1" s="70" t="s">
        <v>191</v>
      </c>
      <c r="I1" s="89" t="s">
        <v>193</v>
      </c>
      <c r="J1" s="77" t="s">
        <v>125</v>
      </c>
      <c r="K1" s="76" t="s">
        <v>185</v>
      </c>
      <c r="L1" s="90" t="s">
        <v>184</v>
      </c>
      <c r="M1" s="78" t="s">
        <v>194</v>
      </c>
    </row>
    <row r="2" spans="1:13" x14ac:dyDescent="0.15">
      <c r="A2" s="79" t="s">
        <v>199</v>
      </c>
      <c r="B2" s="80">
        <f>floors!$C$2</f>
        <v>41008</v>
      </c>
      <c r="C2" s="81" t="str">
        <f ca="1">VLOOKUP($B2,OFFSET([2]quests!$A$1,0,0,COUNTA([2]quests!$A:$A),MATCH(C$1,[2]quests!$1:$1,0)-MATCH($B$1,[2]quests!$1:$1,0)+1),MATCH(C$1,[2]quests!$1:$1,0)-MATCH($B$1,[2]quests!$1:$1,0)+1,FALSE)</f>
        <v>Gスター襲来！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降臨1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【超絶級】Gスター襲来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3">
        <v>0</v>
      </c>
      <c r="I2">
        <v>12</v>
      </c>
      <c r="J2" s="82" t="s">
        <v>196</v>
      </c>
      <c r="K2" s="91" t="str">
        <f>VLOOKUP(I2,[6]stage_hints!$A:$C,3,FALSE)</f>
        <v>ユニットのお気に入り登録</v>
      </c>
      <c r="L2" s="92" t="str">
        <f>VLOOKUP(I2,[6]stage_hints!$A:$D,4,FALSE)</f>
        <v>大事なユニットを誤って消さないように_x000D_フォルダから「お気に入り登録」しましょう</v>
      </c>
      <c r="M2" s="55" t="s">
        <v>209</v>
      </c>
    </row>
    <row r="3" spans="1:13" x14ac:dyDescent="0.15">
      <c r="A3" s="79" t="s">
        <v>199</v>
      </c>
      <c r="B3" s="80">
        <f>floors!$C$2</f>
        <v>41008</v>
      </c>
      <c r="C3" s="81" t="str">
        <f ca="1">VLOOKUP($B3,OFFSET([2]quests!$A$1,0,0,COUNTA([2]quests!$A:$A),MATCH(C$1,[2]quests!$1:$1,0)-MATCH($B$1,[2]quests!$1:$1,0)+1),MATCH(C$1,[2]quests!$1:$1,0)-MATCH($B$1,[2]quests!$1:$1,0)+1,FALSE)</f>
        <v>Gスター襲来！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降臨1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【超絶級】Gスター襲来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3">
        <v>0</v>
      </c>
      <c r="I3">
        <v>17</v>
      </c>
      <c r="J3" s="82" t="s">
        <v>196</v>
      </c>
      <c r="K3" s="91" t="str">
        <f>VLOOKUP(I3,[6]stage_hints!$A:$C,3,FALSE)</f>
        <v>リンクガチャ</v>
      </c>
      <c r="L3" s="92" t="str">
        <f>VLOOKUP(I3,[6]stage_hints!$A:$D,4,FALSE)</f>
        <v>無料のリンクガチャを回して_x000D_経験値素材や売却素材を獲得しましょう</v>
      </c>
      <c r="M3" s="55" t="s">
        <v>209</v>
      </c>
    </row>
    <row r="4" spans="1:13" x14ac:dyDescent="0.15">
      <c r="A4" s="79" t="s">
        <v>199</v>
      </c>
      <c r="B4" s="80">
        <f>floors!$C$2</f>
        <v>41008</v>
      </c>
      <c r="C4" s="81" t="str">
        <f ca="1">VLOOKUP($B4,OFFSET([2]quests!$A$1,0,0,COUNTA([2]quests!$A:$A),MATCH(C$1,[2]quests!$1:$1,0)-MATCH($B$1,[2]quests!$1:$1,0)+1),MATCH(C$1,[2]quests!$1:$1,0)-MATCH($B$1,[2]quests!$1:$1,0)+1,FALSE)</f>
        <v>Gスター襲来！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降臨1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【超絶級】Gスター襲来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3">
        <v>0</v>
      </c>
      <c r="I4">
        <v>19</v>
      </c>
      <c r="J4" s="82" t="s">
        <v>196</v>
      </c>
      <c r="K4" s="91" t="str">
        <f>VLOOKUP(I4,[6]stage_hints!$A:$C,3,FALSE)</f>
        <v>ソロ専用タワーオブザクイーン</v>
      </c>
      <c r="L4" s="92" t="str">
        <f>VLOOKUP(I4,[6]stage_hints!$A:$D,4,FALSE)</f>
        <v>ソロ専用の「タワーオブザクイーン」は_x000D_期間限定で定期的に開催されます_x000D_ここでしか獲得できない報酬もあるようです</v>
      </c>
      <c r="M4" s="55" t="s">
        <v>209</v>
      </c>
    </row>
    <row r="5" spans="1:13" x14ac:dyDescent="0.15">
      <c r="A5" s="79" t="s">
        <v>199</v>
      </c>
      <c r="B5" s="80">
        <f>floors!$C$2</f>
        <v>41008</v>
      </c>
      <c r="C5" s="81" t="str">
        <f ca="1">VLOOKUP($B5,OFFSET([2]quests!$A$1,0,0,COUNTA([2]quests!$A:$A),MATCH(C$1,[2]quests!$1:$1,0)-MATCH($B$1,[2]quests!$1:$1,0)+1),MATCH(C$1,[2]quests!$1:$1,0)-MATCH($B$1,[2]quests!$1:$1,0)+1,FALSE)</f>
        <v>Gスター襲来！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降臨1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【超絶級】Gスター襲来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3">
        <v>0</v>
      </c>
      <c r="I5">
        <v>21</v>
      </c>
      <c r="J5" s="82" t="s">
        <v>196</v>
      </c>
      <c r="K5" s="91" t="str">
        <f>VLOOKUP(I5,[6]stage_hints!$A:$C,3,FALSE)</f>
        <v>スキルを有効に</v>
      </c>
      <c r="L5" s="92" t="str">
        <f>VLOOKUP(I5,[6]stage_hints!$A:$D,4,FALSE)</f>
        <v>ターン経過でユニットのスキルが使えます_x000D_強力スキルでバトルを有利に進めましょう</v>
      </c>
      <c r="M5" s="55" t="s">
        <v>209</v>
      </c>
    </row>
    <row r="6" spans="1:13" x14ac:dyDescent="0.15">
      <c r="A6" s="79" t="s">
        <v>199</v>
      </c>
      <c r="B6" s="80">
        <f>floors!$C$2</f>
        <v>41008</v>
      </c>
      <c r="C6" s="81" t="str">
        <f ca="1">VLOOKUP($B6,OFFSET([2]quests!$A$1,0,0,COUNTA([2]quests!$A:$A),MATCH(C$1,[2]quests!$1:$1,0)-MATCH($B$1,[2]quests!$1:$1,0)+1),MATCH(C$1,[2]quests!$1:$1,0)-MATCH($B$1,[2]quests!$1:$1,0)+1,FALSE)</f>
        <v>Gスター襲来！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降臨1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【超絶級】Gスター襲来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3">
        <v>0</v>
      </c>
      <c r="I6">
        <v>29</v>
      </c>
      <c r="J6" s="82" t="s">
        <v>196</v>
      </c>
      <c r="K6" s="91" t="str">
        <f>VLOOKUP(I6,[6]stage_hints!$A:$C,3,FALSE)</f>
        <v>「バグ」のメリット</v>
      </c>
      <c r="L6" s="92" t="str">
        <f>VLOOKUP(I6,[6]stage_hints!$A:$D,4,FALSE)</f>
        <v>ユニットの「バグ」を増やすと_x000D_報酬をもらえる確率がアップします</v>
      </c>
      <c r="M6" s="55" t="s">
        <v>209</v>
      </c>
    </row>
    <row r="7" spans="1:13" x14ac:dyDescent="0.15">
      <c r="A7" s="79" t="s">
        <v>199</v>
      </c>
      <c r="B7" s="80">
        <f>floors!$C$2</f>
        <v>41008</v>
      </c>
      <c r="C7" s="81" t="str">
        <f ca="1">VLOOKUP($B7,OFFSET([2]quests!$A$1,0,0,COUNTA([2]quests!$A:$A),MATCH(C$1,[2]quests!$1:$1,0)-MATCH($B$1,[2]quests!$1:$1,0)+1),MATCH(C$1,[2]quests!$1:$1,0)-MATCH($B$1,[2]quests!$1:$1,0)+1,FALSE)</f>
        <v>Gスター襲来！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降臨1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【超絶級】Gスター襲来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3">
        <v>0</v>
      </c>
      <c r="I7">
        <v>30</v>
      </c>
      <c r="J7" s="82" t="s">
        <v>196</v>
      </c>
      <c r="K7" s="91" t="str">
        <f>VLOOKUP(I7,[6]stage_hints!$A:$C,3,FALSE)</f>
        <v>「バグ」の増やし方</v>
      </c>
      <c r="L7" s="92" t="str">
        <f>VLOOKUP(I7,[6]stage_hints!$A:$D,4,FALSE)</f>
        <v>同じユニット同士を強化で合成すると_x000D_「バグ」を増やすことができます</v>
      </c>
      <c r="M7" s="55" t="s">
        <v>209</v>
      </c>
    </row>
    <row r="8" spans="1:13" x14ac:dyDescent="0.15">
      <c r="A8" s="79" t="s">
        <v>199</v>
      </c>
      <c r="B8" s="80">
        <f>floors!$C$2</f>
        <v>41008</v>
      </c>
      <c r="C8" s="81" t="str">
        <f ca="1">VLOOKUP($B8,OFFSET([2]quests!$A$1,0,0,COUNTA([2]quests!$A:$A),MATCH(C$1,[2]quests!$1:$1,0)-MATCH($B$1,[2]quests!$1:$1,0)+1),MATCH(C$1,[2]quests!$1:$1,0)-MATCH($B$1,[2]quests!$1:$1,0)+1,FALSE)</f>
        <v>Gスター襲来！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降臨1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【超絶級】Gスター襲来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3">
        <v>0</v>
      </c>
      <c r="I8">
        <v>32</v>
      </c>
      <c r="J8" s="82" t="s">
        <v>196</v>
      </c>
      <c r="K8" s="91" t="str">
        <f>VLOOKUP(I8,[6]stage_hints!$A:$C,3,FALSE)</f>
        <v>敵の連続攻撃には</v>
      </c>
      <c r="L8" s="92" t="str">
        <f>VLOOKUP(I8,[6]stage_hints!$A:$D,4,FALSE)</f>
        <v>カウンタースキルを持つユニットがいれば_x000D_ダメージ回数分の反撃ができます</v>
      </c>
      <c r="M8" s="55" t="s">
        <v>209</v>
      </c>
    </row>
    <row r="9" spans="1:13" x14ac:dyDescent="0.15">
      <c r="A9" s="79" t="s">
        <v>199</v>
      </c>
      <c r="B9" s="80">
        <f>floors!$C$2</f>
        <v>41008</v>
      </c>
      <c r="C9" s="81" t="str">
        <f ca="1">VLOOKUP($B9,OFFSET([2]quests!$A$1,0,0,COUNTA([2]quests!$A:$A),MATCH(C$1,[2]quests!$1:$1,0)-MATCH($B$1,[2]quests!$1:$1,0)+1),MATCH(C$1,[2]quests!$1:$1,0)-MATCH($B$1,[2]quests!$1:$1,0)+1,FALSE)</f>
        <v>Gスター襲来！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降臨1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【超絶級】Gスター襲来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3">
        <v>0</v>
      </c>
      <c r="I9">
        <v>33</v>
      </c>
      <c r="J9" s="82" t="s">
        <v>196</v>
      </c>
      <c r="K9" s="91" t="str">
        <f>VLOOKUP(I9,[6]stage_hints!$A:$C,3,FALSE)</f>
        <v>敵のカウンター攻撃には</v>
      </c>
      <c r="L9" s="92" t="str">
        <f>VLOOKUP(I9,[6]stage_hints!$A:$D,4,FALSE)</f>
        <v>カウンターブレイクスキルを持っていれば_x000D_敵のカウンターを解除して攻撃ができます</v>
      </c>
      <c r="M9" s="55" t="s">
        <v>209</v>
      </c>
    </row>
    <row r="10" spans="1:13" x14ac:dyDescent="0.15">
      <c r="A10" s="79" t="s">
        <v>199</v>
      </c>
      <c r="B10" s="80">
        <f>floors!$C$2</f>
        <v>41008</v>
      </c>
      <c r="C10" s="81" t="str">
        <f ca="1">VLOOKUP($B10,OFFSET([2]quests!$A$1,0,0,COUNTA([2]quests!$A:$A),MATCH(C$1,[2]quests!$1:$1,0)-MATCH($B$1,[2]quests!$1:$1,0)+1),MATCH(C$1,[2]quests!$1:$1,0)-MATCH($B$1,[2]quests!$1:$1,0)+1,FALSE)</f>
        <v>Gスター襲来！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【超絶級】Gスター襲来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3">
        <v>0</v>
      </c>
      <c r="I10">
        <v>34</v>
      </c>
      <c r="J10" s="82" t="s">
        <v>196</v>
      </c>
      <c r="K10" s="91" t="str">
        <f>VLOOKUP(I10,[6]stage_hints!$A:$C,3,FALSE)</f>
        <v>ステータスをスキルで下げられたら</v>
      </c>
      <c r="L10" s="92" t="str">
        <f>VLOOKUP(I10,[6]stage_hints!$A:$D,4,FALSE)</f>
        <v>ステータスダウンのスキルを受けたら_x000D_ステータスアップスキルで上書きしましょう</v>
      </c>
      <c r="M10" s="55" t="s">
        <v>209</v>
      </c>
    </row>
    <row r="11" spans="1:13" x14ac:dyDescent="0.15">
      <c r="A11" s="79" t="s">
        <v>199</v>
      </c>
      <c r="B11" s="80">
        <f>floors!$C$2</f>
        <v>41008</v>
      </c>
      <c r="C11" s="81" t="str">
        <f ca="1">VLOOKUP($B11,OFFSET([2]quests!$A$1,0,0,COUNTA([2]quests!$A:$A),MATCH(C$1,[2]quests!$1:$1,0)-MATCH($B$1,[2]quests!$1:$1,0)+1),MATCH(C$1,[2]quests!$1:$1,0)-MATCH($B$1,[2]quests!$1:$1,0)+1,FALSE)</f>
        <v>Gスター襲来！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【超絶級】Gスター襲来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3">
        <v>0</v>
      </c>
      <c r="I11">
        <v>35</v>
      </c>
      <c r="J11" s="82" t="s">
        <v>196</v>
      </c>
      <c r="K11" s="91" t="str">
        <f>VLOOKUP(I11,[6]stage_hints!$A:$C,3,FALSE)</f>
        <v>敵のステータスがスキルで上がったら</v>
      </c>
      <c r="L11" s="92" t="str">
        <f>VLOOKUP(I11,[6]stage_hints!$A:$D,4,FALSE)</f>
        <v>敵のステータスがスキルでアップしたときは_x000D_ステータスダウンスキルで上書きしましょう</v>
      </c>
      <c r="M11" s="55" t="s">
        <v>209</v>
      </c>
    </row>
    <row r="12" spans="1:13" x14ac:dyDescent="0.15">
      <c r="A12" s="79" t="s">
        <v>199</v>
      </c>
      <c r="B12" s="80">
        <f>floors!$C$2</f>
        <v>41008</v>
      </c>
      <c r="C12" s="81" t="str">
        <f ca="1">VLOOKUP($B12,OFFSET([2]quests!$A$1,0,0,COUNTA([2]quests!$A:$A),MATCH(C$1,[2]quests!$1:$1,0)-MATCH($B$1,[2]quests!$1:$1,0)+1),MATCH(C$1,[2]quests!$1:$1,0)-MATCH($B$1,[2]quests!$1:$1,0)+1,FALSE)</f>
        <v>Gスター襲来！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【超絶級】Gスター襲来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3">
        <v>0</v>
      </c>
      <c r="I12">
        <v>36</v>
      </c>
      <c r="J12" s="82" t="s">
        <v>196</v>
      </c>
      <c r="K12" s="91" t="str">
        <f>VLOOKUP(I12,[6]stage_hints!$A:$C,3,FALSE)</f>
        <v>タワーオブザクイーンのボス</v>
      </c>
      <c r="L12" s="92" t="str">
        <f>VLOOKUP(I12,[6]stage_hints!$A:$D,4,FALSE)</f>
        <v>「タワーオブザクイーン」最上階のボスは_x000D_15階の初回クリア報酬で獲得できるほか_x000D_その階にて低確率でドロップもします</v>
      </c>
      <c r="M12" s="55" t="s">
        <v>209</v>
      </c>
    </row>
    <row r="13" spans="1:13" x14ac:dyDescent="0.15">
      <c r="A13" s="79" t="s">
        <v>199</v>
      </c>
      <c r="B13" s="80">
        <f>floors!$C$2</f>
        <v>41008</v>
      </c>
      <c r="C13" s="81" t="str">
        <f ca="1">VLOOKUP($B13,OFFSET([2]quests!$A$1,0,0,COUNTA([2]quests!$A:$A),MATCH(C$1,[2]quests!$1:$1,0)-MATCH($B$1,[2]quests!$1:$1,0)+1),MATCH(C$1,[2]quests!$1:$1,0)-MATCH($B$1,[2]quests!$1:$1,0)+1,FALSE)</f>
        <v>Gスター襲来！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【超絶級】Gスター襲来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3">
        <v>0</v>
      </c>
      <c r="I13">
        <v>37</v>
      </c>
      <c r="J13" s="82" t="s">
        <v>196</v>
      </c>
      <c r="K13" s="91" t="str">
        <f>VLOOKUP(I13,[6]stage_hints!$A:$C,3,FALSE)</f>
        <v>限界突破値の引き継ぎ</v>
      </c>
      <c r="L13" s="92" t="str">
        <f>VLOOKUP(I13,[6]stage_hints!$A:$D,4,FALSE)</f>
        <v>同じユニットを強化で合成すると_x000D_限界突破値を引き継げます（覚醒前後も可）</v>
      </c>
      <c r="M13" s="55" t="s">
        <v>209</v>
      </c>
    </row>
    <row r="14" spans="1:13" x14ac:dyDescent="0.15">
      <c r="A14" s="79" t="s">
        <v>199</v>
      </c>
      <c r="B14" s="80">
        <f>floors!$C$2</f>
        <v>41008</v>
      </c>
      <c r="C14" s="81" t="str">
        <f ca="1">VLOOKUP($B14,OFFSET([2]quests!$A$1,0,0,COUNTA([2]quests!$A:$A),MATCH(C$1,[2]quests!$1:$1,0)-MATCH($B$1,[2]quests!$1:$1,0)+1),MATCH(C$1,[2]quests!$1:$1,0)-MATCH($B$1,[2]quests!$1:$1,0)+1,FALSE)</f>
        <v>Gスター襲来！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【超絶級】Gスター襲来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3">
        <v>0</v>
      </c>
      <c r="I14">
        <v>39</v>
      </c>
      <c r="J14" s="82" t="s">
        <v>196</v>
      </c>
      <c r="K14" s="91" t="str">
        <f>VLOOKUP(I14,[6]stage_hints!$A:$C,3,FALSE)</f>
        <v>システム適合者を確認</v>
      </c>
      <c r="L14" s="92" t="str">
        <f>VLOOKUP(I14,[6]stage_hints!$A:$D,4,FALSE)</f>
        <v>ALICEが 「アナタ」を呼んでいます</v>
      </c>
      <c r="M14" s="55" t="s">
        <v>209</v>
      </c>
    </row>
    <row r="15" spans="1:13" x14ac:dyDescent="0.15">
      <c r="A15" s="79" t="s">
        <v>199</v>
      </c>
      <c r="B15" s="80">
        <f>floors!$C$2</f>
        <v>41008</v>
      </c>
      <c r="C15" s="81" t="str">
        <f ca="1">VLOOKUP($B15,OFFSET([2]quests!$A$1,0,0,COUNTA([2]quests!$A:$A),MATCH(C$1,[2]quests!$1:$1,0)-MATCH($B$1,[2]quests!$1:$1,0)+1),MATCH(C$1,[2]quests!$1:$1,0)-MATCH($B$1,[2]quests!$1:$1,0)+1,FALSE)</f>
        <v>Gスター襲来！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5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3">
        <v>0</v>
      </c>
      <c r="I15">
        <v>12</v>
      </c>
      <c r="J15" s="82" t="s">
        <v>126</v>
      </c>
      <c r="K15" s="91" t="str">
        <f>VLOOKUP(I15,[6]stage_hints!$A:$C,3,FALSE)</f>
        <v>ユニットのお気に入り登録</v>
      </c>
      <c r="L15" s="92" t="str">
        <f>VLOOKUP(I15,[6]stage_hints!$A:$D,4,FALSE)</f>
        <v>大事なユニットを誤って消さないように_x000D_フォルダから「お気に入り登録」しましょう</v>
      </c>
      <c r="M15" s="55" t="s">
        <v>198</v>
      </c>
    </row>
    <row r="16" spans="1:13" x14ac:dyDescent="0.15">
      <c r="A16" s="79" t="s">
        <v>199</v>
      </c>
      <c r="B16" s="80">
        <f>floors!$C$2</f>
        <v>41008</v>
      </c>
      <c r="C16" s="81" t="str">
        <f ca="1">VLOOKUP($B16,OFFSET([2]quests!$A$1,0,0,COUNTA([2]quests!$A:$A),MATCH(C$1,[2]quests!$1:$1,0)-MATCH($B$1,[2]quests!$1:$1,0)+1),MATCH(C$1,[2]quests!$1:$1,0)-MATCH($B$1,[2]quests!$1:$1,0)+1,FALSE)</f>
        <v>Gスター襲来！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5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3">
        <v>0</v>
      </c>
      <c r="I16">
        <v>17</v>
      </c>
      <c r="J16" s="82" t="s">
        <v>126</v>
      </c>
      <c r="K16" s="91" t="str">
        <f>VLOOKUP(I16,[6]stage_hints!$A:$C,3,FALSE)</f>
        <v>リンクガチャ</v>
      </c>
      <c r="L16" s="92" t="str">
        <f>VLOOKUP(I16,[6]stage_hints!$A:$D,4,FALSE)</f>
        <v>無料のリンクガチャを回して_x000D_経験値素材や売却素材を獲得しましょう</v>
      </c>
      <c r="M16" s="55" t="s">
        <v>198</v>
      </c>
    </row>
    <row r="17" spans="1:13" x14ac:dyDescent="0.15">
      <c r="A17" s="79" t="s">
        <v>199</v>
      </c>
      <c r="B17" s="80">
        <f>floors!$C$2</f>
        <v>41008</v>
      </c>
      <c r="C17" s="81" t="str">
        <f ca="1">VLOOKUP($B17,OFFSET([2]quests!$A$1,0,0,COUNTA([2]quests!$A:$A),MATCH(C$1,[2]quests!$1:$1,0)-MATCH($B$1,[2]quests!$1:$1,0)+1),MATCH(C$1,[2]quests!$1:$1,0)-MATCH($B$1,[2]quests!$1:$1,0)+1,FALSE)</f>
        <v>Gスター襲来！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5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3">
        <v>0</v>
      </c>
      <c r="I17">
        <v>19</v>
      </c>
      <c r="J17" s="82" t="s">
        <v>126</v>
      </c>
      <c r="K17" s="91" t="str">
        <f>VLOOKUP(I17,[6]stage_hints!$A:$C,3,FALSE)</f>
        <v>ソロ専用タワーオブザクイーン</v>
      </c>
      <c r="L17" s="92" t="str">
        <f>VLOOKUP(I17,[6]stage_hints!$A:$D,4,FALSE)</f>
        <v>ソロ専用の「タワーオブザクイーン」は_x000D_期間限定で定期的に開催されます_x000D_ここでしか獲得できない報酬もあるようです</v>
      </c>
      <c r="M17" s="55" t="s">
        <v>198</v>
      </c>
    </row>
    <row r="18" spans="1:13" x14ac:dyDescent="0.15">
      <c r="A18" s="79" t="s">
        <v>199</v>
      </c>
      <c r="B18" s="80">
        <f>floors!$C$2</f>
        <v>41008</v>
      </c>
      <c r="C18" s="81" t="str">
        <f ca="1">VLOOKUP($B18,OFFSET([2]quests!$A$1,0,0,COUNTA([2]quests!$A:$A),MATCH(C$1,[2]quests!$1:$1,0)-MATCH($B$1,[2]quests!$1:$1,0)+1),MATCH(C$1,[2]quests!$1:$1,0)-MATCH($B$1,[2]quests!$1:$1,0)+1,FALSE)</f>
        <v>Gスター襲来！</v>
      </c>
      <c r="D18" s="81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5">
        <v>2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3">
        <v>0</v>
      </c>
      <c r="I18">
        <v>21</v>
      </c>
      <c r="J18" s="82" t="s">
        <v>126</v>
      </c>
      <c r="K18" s="91" t="str">
        <f>VLOOKUP(I18,[6]stage_hints!$A:$C,3,FALSE)</f>
        <v>スキルを有効に</v>
      </c>
      <c r="L18" s="92" t="str">
        <f>VLOOKUP(I18,[6]stage_hints!$A:$D,4,FALSE)</f>
        <v>ターン経過でユニットのスキルが使えます_x000D_強力スキルでバトルを有利に進めましょう</v>
      </c>
      <c r="M18" s="55" t="s">
        <v>198</v>
      </c>
    </row>
    <row r="19" spans="1:13" x14ac:dyDescent="0.15">
      <c r="A19" s="79" t="s">
        <v>199</v>
      </c>
      <c r="B19" s="80">
        <f>floors!$C$2</f>
        <v>41008</v>
      </c>
      <c r="C19" s="81" t="str">
        <f ca="1">VLOOKUP($B19,OFFSET([2]quests!$A$1,0,0,COUNTA([2]quests!$A:$A),MATCH(C$1,[2]quests!$1:$1,0)-MATCH($B$1,[2]quests!$1:$1,0)+1),MATCH(C$1,[2]quests!$1:$1,0)-MATCH($B$1,[2]quests!$1:$1,0)+1,FALSE)</f>
        <v>Gスター襲来！</v>
      </c>
      <c r="D19" s="81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5">
        <v>2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3">
        <v>0</v>
      </c>
      <c r="I19">
        <v>29</v>
      </c>
      <c r="J19" s="82" t="s">
        <v>126</v>
      </c>
      <c r="K19" s="91" t="str">
        <f>VLOOKUP(I19,[6]stage_hints!$A:$C,3,FALSE)</f>
        <v>「バグ」のメリット</v>
      </c>
      <c r="L19" s="92" t="str">
        <f>VLOOKUP(I19,[6]stage_hints!$A:$D,4,FALSE)</f>
        <v>ユニットの「バグ」を増やすと_x000D_報酬をもらえる確率がアップします</v>
      </c>
      <c r="M19" s="55" t="s">
        <v>198</v>
      </c>
    </row>
    <row r="20" spans="1:13" x14ac:dyDescent="0.15">
      <c r="A20" s="79" t="s">
        <v>199</v>
      </c>
      <c r="B20" s="80">
        <f>floors!$C$2</f>
        <v>41008</v>
      </c>
      <c r="C20" s="81" t="str">
        <f ca="1">VLOOKUP($B20,OFFSET([2]quests!$A$1,0,0,COUNTA([2]quests!$A:$A),MATCH(C$1,[2]quests!$1:$1,0)-MATCH($B$1,[2]quests!$1:$1,0)+1),MATCH(C$1,[2]quests!$1:$1,0)-MATCH($B$1,[2]quests!$1:$1,0)+1,FALSE)</f>
        <v>Gスター襲来！</v>
      </c>
      <c r="D20" s="81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5">
        <v>2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3">
        <v>0</v>
      </c>
      <c r="I20">
        <v>30</v>
      </c>
      <c r="J20" s="82" t="s">
        <v>126</v>
      </c>
      <c r="K20" s="91" t="str">
        <f>VLOOKUP(I20,[6]stage_hints!$A:$C,3,FALSE)</f>
        <v>「バグ」の増やし方</v>
      </c>
      <c r="L20" s="92" t="str">
        <f>VLOOKUP(I20,[6]stage_hints!$A:$D,4,FALSE)</f>
        <v>同じユニット同士を強化で合成すると_x000D_「バグ」を増やすことができます</v>
      </c>
      <c r="M20" s="55" t="s">
        <v>198</v>
      </c>
    </row>
    <row r="21" spans="1:13" x14ac:dyDescent="0.15">
      <c r="A21" s="79" t="s">
        <v>199</v>
      </c>
      <c r="B21" s="80">
        <f>floors!$C$2</f>
        <v>41008</v>
      </c>
      <c r="C21" s="81" t="str">
        <f ca="1">VLOOKUP($B21,OFFSET([2]quests!$A$1,0,0,COUNTA([2]quests!$A:$A),MATCH(C$1,[2]quests!$1:$1,0)-MATCH($B$1,[2]quests!$1:$1,0)+1),MATCH(C$1,[2]quests!$1:$1,0)-MATCH($B$1,[2]quests!$1:$1,0)+1,FALSE)</f>
        <v>Gスター襲来！</v>
      </c>
      <c r="D21" s="81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5">
        <v>2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3">
        <v>0</v>
      </c>
      <c r="I21">
        <v>32</v>
      </c>
      <c r="J21" s="82" t="s">
        <v>126</v>
      </c>
      <c r="K21" s="91" t="str">
        <f>VLOOKUP(I21,[6]stage_hints!$A:$C,3,FALSE)</f>
        <v>敵の連続攻撃には</v>
      </c>
      <c r="L21" s="92" t="str">
        <f>VLOOKUP(I21,[6]stage_hints!$A:$D,4,FALSE)</f>
        <v>カウンタースキルを持つユニットがいれば_x000D_ダメージ回数分の反撃ができます</v>
      </c>
      <c r="M21" s="55" t="s">
        <v>198</v>
      </c>
    </row>
    <row r="22" spans="1:13" x14ac:dyDescent="0.15">
      <c r="A22" s="79" t="s">
        <v>199</v>
      </c>
      <c r="B22" s="80">
        <f>floors!$C$2</f>
        <v>41008</v>
      </c>
      <c r="C22" s="81" t="str">
        <f ca="1">VLOOKUP($B22,OFFSET([2]quests!$A$1,0,0,COUNTA([2]quests!$A:$A),MATCH(C$1,[2]quests!$1:$1,0)-MATCH($B$1,[2]quests!$1:$1,0)+1),MATCH(C$1,[2]quests!$1:$1,0)-MATCH($B$1,[2]quests!$1:$1,0)+1,FALSE)</f>
        <v>Gスター襲来！</v>
      </c>
      <c r="D22" s="81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5">
        <v>2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3">
        <v>0</v>
      </c>
      <c r="I22">
        <v>33</v>
      </c>
      <c r="J22" s="82" t="s">
        <v>126</v>
      </c>
      <c r="K22" s="91" t="str">
        <f>VLOOKUP(I22,[6]stage_hints!$A:$C,3,FALSE)</f>
        <v>敵のカウンター攻撃には</v>
      </c>
      <c r="L22" s="92" t="str">
        <f>VLOOKUP(I22,[6]stage_hints!$A:$D,4,FALSE)</f>
        <v>カウンターブレイクスキルを持っていれば_x000D_敵のカウンターを解除して攻撃ができます</v>
      </c>
      <c r="M22" s="55" t="s">
        <v>198</v>
      </c>
    </row>
    <row r="23" spans="1:13" x14ac:dyDescent="0.15">
      <c r="A23" s="79" t="s">
        <v>199</v>
      </c>
      <c r="B23" s="80">
        <f>floors!$C$2</f>
        <v>41008</v>
      </c>
      <c r="C23" s="81" t="str">
        <f ca="1">VLOOKUP($B23,OFFSET([2]quests!$A$1,0,0,COUNTA([2]quests!$A:$A),MATCH(C$1,[2]quests!$1:$1,0)-MATCH($B$1,[2]quests!$1:$1,0)+1),MATCH(C$1,[2]quests!$1:$1,0)-MATCH($B$1,[2]quests!$1:$1,0)+1,FALSE)</f>
        <v>Gスター襲来！</v>
      </c>
      <c r="D23" s="81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5">
        <v>2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3">
        <v>0</v>
      </c>
      <c r="I23">
        <v>34</v>
      </c>
      <c r="J23" s="82" t="s">
        <v>126</v>
      </c>
      <c r="K23" s="91" t="str">
        <f>VLOOKUP(I23,[6]stage_hints!$A:$C,3,FALSE)</f>
        <v>ステータスをスキルで下げられたら</v>
      </c>
      <c r="L23" s="92" t="str">
        <f>VLOOKUP(I23,[6]stage_hints!$A:$D,4,FALSE)</f>
        <v>ステータスダウンのスキルを受けたら_x000D_ステータスアップスキルで上書きしましょう</v>
      </c>
      <c r="M23" s="55" t="s">
        <v>198</v>
      </c>
    </row>
    <row r="24" spans="1:13" x14ac:dyDescent="0.15">
      <c r="A24" s="79" t="s">
        <v>199</v>
      </c>
      <c r="B24" s="80">
        <f>floors!$C$2</f>
        <v>41008</v>
      </c>
      <c r="C24" s="81" t="str">
        <f ca="1">VLOOKUP($B24,OFFSET([2]quests!$A$1,0,0,COUNTA([2]quests!$A:$A),MATCH(C$1,[2]quests!$1:$1,0)-MATCH($B$1,[2]quests!$1:$1,0)+1),MATCH(C$1,[2]quests!$1:$1,0)-MATCH($B$1,[2]quests!$1:$1,0)+1,FALSE)</f>
        <v>Gスター襲来！</v>
      </c>
      <c r="D24" s="81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5">
        <v>2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3">
        <v>0</v>
      </c>
      <c r="I24">
        <v>35</v>
      </c>
      <c r="J24" s="82" t="s">
        <v>126</v>
      </c>
      <c r="K24" s="91" t="str">
        <f>VLOOKUP(I24,[6]stage_hints!$A:$C,3,FALSE)</f>
        <v>敵のステータスがスキルで上がったら</v>
      </c>
      <c r="L24" s="92" t="str">
        <f>VLOOKUP(I24,[6]stage_hints!$A:$D,4,FALSE)</f>
        <v>敵のステータスがスキルでアップしたときは_x000D_ステータスダウンスキルで上書きしましょう</v>
      </c>
      <c r="M24" s="55" t="s">
        <v>198</v>
      </c>
    </row>
    <row r="25" spans="1:13" x14ac:dyDescent="0.15">
      <c r="A25" s="79" t="s">
        <v>199</v>
      </c>
      <c r="B25" s="80">
        <f>floors!$C$2</f>
        <v>41008</v>
      </c>
      <c r="C25" s="81" t="str">
        <f ca="1">VLOOKUP($B25,OFFSET([2]quests!$A$1,0,0,COUNTA([2]quests!$A:$A),MATCH(C$1,[2]quests!$1:$1,0)-MATCH($B$1,[2]quests!$1:$1,0)+1),MATCH(C$1,[2]quests!$1:$1,0)-MATCH($B$1,[2]quests!$1:$1,0)+1,FALSE)</f>
        <v>Gスター襲来！</v>
      </c>
      <c r="D25" s="81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5">
        <v>2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3">
        <v>0</v>
      </c>
      <c r="I25">
        <v>36</v>
      </c>
      <c r="J25" s="82" t="s">
        <v>126</v>
      </c>
      <c r="K25" s="91" t="str">
        <f>VLOOKUP(I25,[6]stage_hints!$A:$C,3,FALSE)</f>
        <v>タワーオブザクイーンのボス</v>
      </c>
      <c r="L25" s="92" t="str">
        <f>VLOOKUP(I25,[6]stage_hints!$A:$D,4,FALSE)</f>
        <v>「タワーオブザクイーン」最上階のボスは_x000D_15階の初回クリア報酬で獲得できるほか_x000D_その階にて低確率でドロップもします</v>
      </c>
      <c r="M25" s="55" t="s">
        <v>198</v>
      </c>
    </row>
    <row r="26" spans="1:13" x14ac:dyDescent="0.15">
      <c r="A26" s="79" t="s">
        <v>199</v>
      </c>
      <c r="B26" s="80">
        <f>floors!$C$2</f>
        <v>41008</v>
      </c>
      <c r="C26" s="81" t="str">
        <f ca="1">VLOOKUP($B26,OFFSET([2]quests!$A$1,0,0,COUNTA([2]quests!$A:$A),MATCH(C$1,[2]quests!$1:$1,0)-MATCH($B$1,[2]quests!$1:$1,0)+1),MATCH(C$1,[2]quests!$1:$1,0)-MATCH($B$1,[2]quests!$1:$1,0)+1,FALSE)</f>
        <v>Gスター襲来！</v>
      </c>
      <c r="D26" s="81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5">
        <v>2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3">
        <v>0</v>
      </c>
      <c r="I26">
        <v>37</v>
      </c>
      <c r="J26" s="82" t="s">
        <v>126</v>
      </c>
      <c r="K26" s="91" t="str">
        <f>VLOOKUP(I26,[6]stage_hints!$A:$C,3,FALSE)</f>
        <v>限界突破値の引き継ぎ</v>
      </c>
      <c r="L26" s="92" t="str">
        <f>VLOOKUP(I26,[6]stage_hints!$A:$D,4,FALSE)</f>
        <v>同じユニットを強化で合成すると_x000D_限界突破値を引き継げます（覚醒前後も可）</v>
      </c>
      <c r="M26" s="55" t="s">
        <v>198</v>
      </c>
    </row>
    <row r="27" spans="1:13" x14ac:dyDescent="0.15">
      <c r="A27" s="79" t="s">
        <v>199</v>
      </c>
      <c r="B27" s="80">
        <f>floors!$C$2</f>
        <v>41008</v>
      </c>
      <c r="C27" s="81" t="str">
        <f ca="1">VLOOKUP($B27,OFFSET([2]quests!$A$1,0,0,COUNTA([2]quests!$A:$A),MATCH(C$1,[2]quests!$1:$1,0)-MATCH($B$1,[2]quests!$1:$1,0)+1),MATCH(C$1,[2]quests!$1:$1,0)-MATCH($B$1,[2]quests!$1:$1,0)+1,FALSE)</f>
        <v>Gスター襲来！</v>
      </c>
      <c r="D27" s="81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85">
        <v>2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83">
        <v>0</v>
      </c>
      <c r="I27">
        <v>39</v>
      </c>
      <c r="J27" s="82" t="s">
        <v>126</v>
      </c>
      <c r="K27" s="91" t="str">
        <f>VLOOKUP(I27,[6]stage_hints!$A:$C,3,FALSE)</f>
        <v>システム適合者を確認</v>
      </c>
      <c r="L27" s="92" t="str">
        <f>VLOOKUP(I27,[6]stage_hints!$A:$D,4,FALSE)</f>
        <v>ALICEが 「アナタ」を呼んでいます</v>
      </c>
      <c r="M27" s="55" t="s">
        <v>198</v>
      </c>
    </row>
    <row r="28" spans="1:13" x14ac:dyDescent="0.15">
      <c r="A28" s="79" t="s">
        <v>199</v>
      </c>
      <c r="B28" s="80">
        <f>floors!$C$2</f>
        <v>41008</v>
      </c>
      <c r="C28" s="81" t="str">
        <f ca="1">VLOOKUP($B28,OFFSET([2]quests!$A$1,0,0,COUNTA([2]quests!$A:$A),MATCH(C$1,[2]quests!$1:$1,0)-MATCH($B$1,[2]quests!$1:$1,0)+1),MATCH(C$1,[2]quests!$1:$1,0)-MATCH($B$1,[2]quests!$1:$1,0)+1,FALSE)</f>
        <v>Gスター襲来！</v>
      </c>
      <c r="D28" s="81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85">
        <v>3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83">
        <v>0</v>
      </c>
      <c r="I28">
        <v>12</v>
      </c>
      <c r="J28" s="82" t="s">
        <v>126</v>
      </c>
      <c r="K28" s="91" t="str">
        <f>VLOOKUP(I28,[6]stage_hints!$A:$C,3,FALSE)</f>
        <v>ユニットのお気に入り登録</v>
      </c>
      <c r="L28" s="92" t="str">
        <f>VLOOKUP(I28,[6]stage_hints!$A:$D,4,FALSE)</f>
        <v>大事なユニットを誤って消さないように_x000D_フォルダから「お気に入り登録」しましょう</v>
      </c>
      <c r="M28" s="55" t="s">
        <v>198</v>
      </c>
    </row>
    <row r="29" spans="1:13" x14ac:dyDescent="0.15">
      <c r="A29" s="79" t="s">
        <v>199</v>
      </c>
      <c r="B29" s="80">
        <f>floors!$C$2</f>
        <v>41008</v>
      </c>
      <c r="C29" s="81" t="str">
        <f ca="1">VLOOKUP($B29,OFFSET([2]quests!$A$1,0,0,COUNTA([2]quests!$A:$A),MATCH(C$1,[2]quests!$1:$1,0)-MATCH($B$1,[2]quests!$1:$1,0)+1),MATCH(C$1,[2]quests!$1:$1,0)-MATCH($B$1,[2]quests!$1:$1,0)+1,FALSE)</f>
        <v>Gスター襲来！</v>
      </c>
      <c r="D29" s="81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85">
        <v>3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83">
        <v>0</v>
      </c>
      <c r="I29">
        <v>17</v>
      </c>
      <c r="J29" s="82" t="s">
        <v>126</v>
      </c>
      <c r="K29" s="91" t="str">
        <f>VLOOKUP(I29,[6]stage_hints!$A:$C,3,FALSE)</f>
        <v>リンクガチャ</v>
      </c>
      <c r="L29" s="92" t="str">
        <f>VLOOKUP(I29,[6]stage_hints!$A:$D,4,FALSE)</f>
        <v>無料のリンクガチャを回して_x000D_経験値素材や売却素材を獲得しましょう</v>
      </c>
      <c r="M29" s="55" t="s">
        <v>198</v>
      </c>
    </row>
    <row r="30" spans="1:13" x14ac:dyDescent="0.15">
      <c r="A30" s="79" t="s">
        <v>199</v>
      </c>
      <c r="B30" s="80">
        <f>floors!$C$2</f>
        <v>41008</v>
      </c>
      <c r="C30" s="81" t="str">
        <f ca="1">VLOOKUP($B30,OFFSET([2]quests!$A$1,0,0,COUNTA([2]quests!$A:$A),MATCH(C$1,[2]quests!$1:$1,0)-MATCH($B$1,[2]quests!$1:$1,0)+1),MATCH(C$1,[2]quests!$1:$1,0)-MATCH($B$1,[2]quests!$1:$1,0)+1,FALSE)</f>
        <v>Gスター襲来！</v>
      </c>
      <c r="D30" s="81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85">
        <v>3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83">
        <v>0</v>
      </c>
      <c r="I30">
        <v>19</v>
      </c>
      <c r="J30" s="82" t="s">
        <v>126</v>
      </c>
      <c r="K30" s="91" t="str">
        <f>VLOOKUP(I30,[6]stage_hints!$A:$C,3,FALSE)</f>
        <v>ソロ専用タワーオブザクイーン</v>
      </c>
      <c r="L30" s="92" t="str">
        <f>VLOOKUP(I30,[6]stage_hints!$A:$D,4,FALSE)</f>
        <v>ソロ専用の「タワーオブザクイーン」は_x000D_期間限定で定期的に開催されます_x000D_ここでしか獲得できない報酬もあるようです</v>
      </c>
      <c r="M30" s="55" t="s">
        <v>198</v>
      </c>
    </row>
    <row r="31" spans="1:13" x14ac:dyDescent="0.15">
      <c r="A31" s="79" t="s">
        <v>199</v>
      </c>
      <c r="B31" s="80">
        <f>floors!$C$2</f>
        <v>41008</v>
      </c>
      <c r="C31" s="81" t="str">
        <f ca="1">VLOOKUP($B31,OFFSET([2]quests!$A$1,0,0,COUNTA([2]quests!$A:$A),MATCH(C$1,[2]quests!$1:$1,0)-MATCH($B$1,[2]quests!$1:$1,0)+1),MATCH(C$1,[2]quests!$1:$1,0)-MATCH($B$1,[2]quests!$1:$1,0)+1,FALSE)</f>
        <v>Gスター襲来！</v>
      </c>
      <c r="D31" s="81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85">
        <v>3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83">
        <v>0</v>
      </c>
      <c r="I31">
        <v>21</v>
      </c>
      <c r="J31" s="82" t="s">
        <v>126</v>
      </c>
      <c r="K31" s="91" t="str">
        <f>VLOOKUP(I31,[6]stage_hints!$A:$C,3,FALSE)</f>
        <v>スキルを有効に</v>
      </c>
      <c r="L31" s="92" t="str">
        <f>VLOOKUP(I31,[6]stage_hints!$A:$D,4,FALSE)</f>
        <v>ターン経過でユニットのスキルが使えます_x000D_強力スキルでバトルを有利に進めましょう</v>
      </c>
      <c r="M31" s="55" t="s">
        <v>198</v>
      </c>
    </row>
    <row r="32" spans="1:13" x14ac:dyDescent="0.15">
      <c r="A32" s="79" t="s">
        <v>199</v>
      </c>
      <c r="B32" s="80">
        <f>floors!$C$2</f>
        <v>41008</v>
      </c>
      <c r="C32" s="81" t="str">
        <f ca="1">VLOOKUP($B32,OFFSET([2]quests!$A$1,0,0,COUNTA([2]quests!$A:$A),MATCH(C$1,[2]quests!$1:$1,0)-MATCH($B$1,[2]quests!$1:$1,0)+1),MATCH(C$1,[2]quests!$1:$1,0)-MATCH($B$1,[2]quests!$1:$1,0)+1,FALSE)</f>
        <v>Gスター襲来！</v>
      </c>
      <c r="D32" s="81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85">
        <v>3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83">
        <v>0</v>
      </c>
      <c r="I32">
        <v>29</v>
      </c>
      <c r="J32" s="82" t="s">
        <v>126</v>
      </c>
      <c r="K32" s="91" t="str">
        <f>VLOOKUP(I32,[6]stage_hints!$A:$C,3,FALSE)</f>
        <v>「バグ」のメリット</v>
      </c>
      <c r="L32" s="92" t="str">
        <f>VLOOKUP(I32,[6]stage_hints!$A:$D,4,FALSE)</f>
        <v>ユニットの「バグ」を増やすと_x000D_報酬をもらえる確率がアップします</v>
      </c>
      <c r="M32" s="55" t="s">
        <v>198</v>
      </c>
    </row>
    <row r="33" spans="1:13" x14ac:dyDescent="0.15">
      <c r="A33" s="79" t="s">
        <v>199</v>
      </c>
      <c r="B33" s="80">
        <f>floors!$C$2</f>
        <v>41008</v>
      </c>
      <c r="C33" s="81" t="str">
        <f ca="1">VLOOKUP($B33,OFFSET([2]quests!$A$1,0,0,COUNTA([2]quests!$A:$A),MATCH(C$1,[2]quests!$1:$1,0)-MATCH($B$1,[2]quests!$1:$1,0)+1),MATCH(C$1,[2]quests!$1:$1,0)-MATCH($B$1,[2]quests!$1:$1,0)+1,FALSE)</f>
        <v>Gスター襲来！</v>
      </c>
      <c r="D33" s="81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85">
        <v>3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83">
        <v>0</v>
      </c>
      <c r="I33">
        <v>30</v>
      </c>
      <c r="J33" s="82" t="s">
        <v>126</v>
      </c>
      <c r="K33" s="91" t="str">
        <f>VLOOKUP(I33,[6]stage_hints!$A:$C,3,FALSE)</f>
        <v>「バグ」の増やし方</v>
      </c>
      <c r="L33" s="92" t="str">
        <f>VLOOKUP(I33,[6]stage_hints!$A:$D,4,FALSE)</f>
        <v>同じユニット同士を強化で合成すると_x000D_「バグ」を増やすことができます</v>
      </c>
      <c r="M33" s="55" t="s">
        <v>198</v>
      </c>
    </row>
    <row r="34" spans="1:13" x14ac:dyDescent="0.15">
      <c r="A34" s="79" t="s">
        <v>199</v>
      </c>
      <c r="B34" s="80">
        <f>floors!$C$2</f>
        <v>41008</v>
      </c>
      <c r="C34" s="81" t="str">
        <f ca="1">VLOOKUP($B34,OFFSET([2]quests!$A$1,0,0,COUNTA([2]quests!$A:$A),MATCH(C$1,[2]quests!$1:$1,0)-MATCH($B$1,[2]quests!$1:$1,0)+1),MATCH(C$1,[2]quests!$1:$1,0)-MATCH($B$1,[2]quests!$1:$1,0)+1,FALSE)</f>
        <v>Gスター襲来！</v>
      </c>
      <c r="D34" s="81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85">
        <v>3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83">
        <v>0</v>
      </c>
      <c r="I34">
        <v>32</v>
      </c>
      <c r="J34" s="82" t="s">
        <v>126</v>
      </c>
      <c r="K34" s="91" t="str">
        <f>VLOOKUP(I34,[6]stage_hints!$A:$C,3,FALSE)</f>
        <v>敵の連続攻撃には</v>
      </c>
      <c r="L34" s="92" t="str">
        <f>VLOOKUP(I34,[6]stage_hints!$A:$D,4,FALSE)</f>
        <v>カウンタースキルを持つユニットがいれば_x000D_ダメージ回数分の反撃ができます</v>
      </c>
      <c r="M34" s="55" t="s">
        <v>198</v>
      </c>
    </row>
    <row r="35" spans="1:13" x14ac:dyDescent="0.15">
      <c r="A35" s="79" t="s">
        <v>199</v>
      </c>
      <c r="B35" s="80">
        <f>floors!$C$2</f>
        <v>41008</v>
      </c>
      <c r="C35" s="81" t="str">
        <f ca="1">VLOOKUP($B35,OFFSET([2]quests!$A$1,0,0,COUNTA([2]quests!$A:$A),MATCH(C$1,[2]quests!$1:$1,0)-MATCH($B$1,[2]quests!$1:$1,0)+1),MATCH(C$1,[2]quests!$1:$1,0)-MATCH($B$1,[2]quests!$1:$1,0)+1,FALSE)</f>
        <v>Gスター襲来！</v>
      </c>
      <c r="D35" s="81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85">
        <v>3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83">
        <v>0</v>
      </c>
      <c r="I35">
        <v>33</v>
      </c>
      <c r="J35" s="82" t="s">
        <v>126</v>
      </c>
      <c r="K35" s="91" t="str">
        <f>VLOOKUP(I35,[6]stage_hints!$A:$C,3,FALSE)</f>
        <v>敵のカウンター攻撃には</v>
      </c>
      <c r="L35" s="92" t="str">
        <f>VLOOKUP(I35,[6]stage_hints!$A:$D,4,FALSE)</f>
        <v>カウンターブレイクスキルを持っていれば_x000D_敵のカウンターを解除して攻撃ができます</v>
      </c>
      <c r="M35" s="55" t="s">
        <v>198</v>
      </c>
    </row>
    <row r="36" spans="1:13" x14ac:dyDescent="0.15">
      <c r="A36" s="79" t="s">
        <v>199</v>
      </c>
      <c r="B36" s="80">
        <f>floors!$C$2</f>
        <v>41008</v>
      </c>
      <c r="C36" s="81" t="str">
        <f ca="1">VLOOKUP($B36,OFFSET([2]quests!$A$1,0,0,COUNTA([2]quests!$A:$A),MATCH(C$1,[2]quests!$1:$1,0)-MATCH($B$1,[2]quests!$1:$1,0)+1),MATCH(C$1,[2]quests!$1:$1,0)-MATCH($B$1,[2]quests!$1:$1,0)+1,FALSE)</f>
        <v>Gスター襲来！</v>
      </c>
      <c r="D36" s="81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85">
        <v>3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83">
        <v>0</v>
      </c>
      <c r="I36">
        <v>34</v>
      </c>
      <c r="J36" s="82" t="s">
        <v>126</v>
      </c>
      <c r="K36" s="91" t="str">
        <f>VLOOKUP(I36,[6]stage_hints!$A:$C,3,FALSE)</f>
        <v>ステータスをスキルで下げられたら</v>
      </c>
      <c r="L36" s="92" t="str">
        <f>VLOOKUP(I36,[6]stage_hints!$A:$D,4,FALSE)</f>
        <v>ステータスダウンのスキルを受けたら_x000D_ステータスアップスキルで上書きしましょう</v>
      </c>
      <c r="M36" s="55" t="s">
        <v>198</v>
      </c>
    </row>
    <row r="37" spans="1:13" x14ac:dyDescent="0.15">
      <c r="A37" s="79" t="s">
        <v>199</v>
      </c>
      <c r="B37" s="80">
        <f>floors!$C$2</f>
        <v>41008</v>
      </c>
      <c r="C37" s="81" t="str">
        <f ca="1">VLOOKUP($B37,OFFSET([2]quests!$A$1,0,0,COUNTA([2]quests!$A:$A),MATCH(C$1,[2]quests!$1:$1,0)-MATCH($B$1,[2]quests!$1:$1,0)+1),MATCH(C$1,[2]quests!$1:$1,0)-MATCH($B$1,[2]quests!$1:$1,0)+1,FALSE)</f>
        <v>Gスター襲来！</v>
      </c>
      <c r="D37" s="81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85">
        <v>3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83">
        <v>0</v>
      </c>
      <c r="I37">
        <v>35</v>
      </c>
      <c r="J37" s="82" t="s">
        <v>126</v>
      </c>
      <c r="K37" s="91" t="str">
        <f>VLOOKUP(I37,[6]stage_hints!$A:$C,3,FALSE)</f>
        <v>敵のステータスがスキルで上がったら</v>
      </c>
      <c r="L37" s="92" t="str">
        <f>VLOOKUP(I37,[6]stage_hints!$A:$D,4,FALSE)</f>
        <v>敵のステータスがスキルでアップしたときは_x000D_ステータスダウンスキルで上書きしましょう</v>
      </c>
      <c r="M37" s="55" t="s">
        <v>198</v>
      </c>
    </row>
    <row r="38" spans="1:13" x14ac:dyDescent="0.15">
      <c r="A38" s="79" t="s">
        <v>199</v>
      </c>
      <c r="B38" s="80">
        <f>floors!$C$2</f>
        <v>41008</v>
      </c>
      <c r="C38" s="81" t="str">
        <f ca="1">VLOOKUP($B38,OFFSET([2]quests!$A$1,0,0,COUNTA([2]quests!$A:$A),MATCH(C$1,[2]quests!$1:$1,0)-MATCH($B$1,[2]quests!$1:$1,0)+1),MATCH(C$1,[2]quests!$1:$1,0)-MATCH($B$1,[2]quests!$1:$1,0)+1,FALSE)</f>
        <v>Gスター襲来！</v>
      </c>
      <c r="D38" s="81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85">
        <v>3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83">
        <v>0</v>
      </c>
      <c r="I38">
        <v>36</v>
      </c>
      <c r="J38" s="82" t="s">
        <v>126</v>
      </c>
      <c r="K38" s="91" t="str">
        <f>VLOOKUP(I38,[6]stage_hints!$A:$C,3,FALSE)</f>
        <v>タワーオブザクイーンのボス</v>
      </c>
      <c r="L38" s="92" t="str">
        <f>VLOOKUP(I38,[6]stage_hints!$A:$D,4,FALSE)</f>
        <v>「タワーオブザクイーン」最上階のボスは_x000D_15階の初回クリア報酬で獲得できるほか_x000D_その階にて低確率でドロップもします</v>
      </c>
      <c r="M38" s="55" t="s">
        <v>198</v>
      </c>
    </row>
    <row r="39" spans="1:13" x14ac:dyDescent="0.15">
      <c r="A39" s="79" t="s">
        <v>199</v>
      </c>
      <c r="B39" s="80">
        <f>floors!$C$2</f>
        <v>41008</v>
      </c>
      <c r="C39" s="81" t="str">
        <f ca="1">VLOOKUP($B39,OFFSET([2]quests!$A$1,0,0,COUNTA([2]quests!$A:$A),MATCH(C$1,[2]quests!$1:$1,0)-MATCH($B$1,[2]quests!$1:$1,0)+1),MATCH(C$1,[2]quests!$1:$1,0)-MATCH($B$1,[2]quests!$1:$1,0)+1,FALSE)</f>
        <v>Gスター襲来！</v>
      </c>
      <c r="D39" s="81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85">
        <v>3</v>
      </c>
      <c r="F39" s="81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39" s="81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83">
        <v>0</v>
      </c>
      <c r="I39">
        <v>37</v>
      </c>
      <c r="J39" s="82" t="s">
        <v>126</v>
      </c>
      <c r="K39" s="91" t="str">
        <f>VLOOKUP(I39,[6]stage_hints!$A:$C,3,FALSE)</f>
        <v>限界突破値の引き継ぎ</v>
      </c>
      <c r="L39" s="92" t="str">
        <f>VLOOKUP(I39,[6]stage_hints!$A:$D,4,FALSE)</f>
        <v>同じユニットを強化で合成すると_x000D_限界突破値を引き継げます（覚醒前後も可）</v>
      </c>
      <c r="M39" s="55" t="s">
        <v>198</v>
      </c>
    </row>
    <row r="40" spans="1:13" x14ac:dyDescent="0.15">
      <c r="A40" s="79" t="s">
        <v>199</v>
      </c>
      <c r="B40" s="80">
        <f>floors!$C$2</f>
        <v>41008</v>
      </c>
      <c r="C40" s="81" t="str">
        <f ca="1">VLOOKUP($B40,OFFSET([2]quests!$A$1,0,0,COUNTA([2]quests!$A:$A),MATCH(C$1,[2]quests!$1:$1,0)-MATCH($B$1,[2]quests!$1:$1,0)+1),MATCH(C$1,[2]quests!$1:$1,0)-MATCH($B$1,[2]quests!$1:$1,0)+1,FALSE)</f>
        <v>Gスター襲来！</v>
      </c>
      <c r="D40" s="81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85">
        <v>3</v>
      </c>
      <c r="F40" s="81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40" s="81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83">
        <v>0</v>
      </c>
      <c r="I40">
        <v>39</v>
      </c>
      <c r="J40" s="82" t="s">
        <v>126</v>
      </c>
      <c r="K40" s="91" t="str">
        <f>VLOOKUP(I40,[6]stage_hints!$A:$C,3,FALSE)</f>
        <v>システム適合者を確認</v>
      </c>
      <c r="L40" s="92" t="str">
        <f>VLOOKUP(I40,[6]stage_hints!$A:$D,4,FALSE)</f>
        <v>ALICEが 「アナタ」を呼んでいます</v>
      </c>
      <c r="M40" s="55" t="s">
        <v>198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6"/>
  <sheetViews>
    <sheetView showGridLines="0" zoomScale="90" zoomScaleNormal="90" zoomScalePageLayoutView="90" workbookViewId="0">
      <pane ySplit="1" topLeftCell="A2" activePane="bottomLeft" state="frozen"/>
      <selection pane="bottomLeft" activeCell="M9" sqref="M9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4" t="s">
        <v>186</v>
      </c>
      <c r="B1" s="70" t="s">
        <v>149</v>
      </c>
      <c r="C1" s="75" t="s">
        <v>188</v>
      </c>
      <c r="D1" s="75" t="s">
        <v>33</v>
      </c>
      <c r="E1" s="70" t="s">
        <v>189</v>
      </c>
      <c r="F1" s="75" t="s">
        <v>18</v>
      </c>
      <c r="G1" s="75" t="s">
        <v>33</v>
      </c>
      <c r="H1" s="70" t="s">
        <v>191</v>
      </c>
      <c r="I1" s="87" t="s">
        <v>192</v>
      </c>
      <c r="J1" s="89" t="s">
        <v>193</v>
      </c>
      <c r="K1" s="77" t="s">
        <v>125</v>
      </c>
      <c r="L1" s="76" t="s">
        <v>185</v>
      </c>
      <c r="M1" s="90" t="s">
        <v>184</v>
      </c>
      <c r="N1" s="78" t="s">
        <v>194</v>
      </c>
    </row>
    <row r="2" spans="1:15" ht="56" x14ac:dyDescent="0.15">
      <c r="A2" s="79" t="s">
        <v>195</v>
      </c>
      <c r="B2" s="80">
        <f>floors!$C$2</f>
        <v>41008</v>
      </c>
      <c r="C2" s="81" t="str">
        <f ca="1">VLOOKUP($B2,OFFSET([2]quests!$A$1,0,0,COUNTA([2]quests!$A:$A),MATCH(C$1,[2]quests!$1:$1,0)-MATCH($B$1,[2]quests!$1:$1,0)+1),MATCH(C$1,[2]quests!$1:$1,0)-MATCH($B$1,[2]quests!$1:$1,0)+1,FALSE)</f>
        <v>Gスター襲来！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降臨1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【超絶級】Gスター襲来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3">
        <v>1</v>
      </c>
      <c r="I2" s="88">
        <f>ROW()-1</f>
        <v>1</v>
      </c>
      <c r="J2" s="84" t="str">
        <f>B2&amp;TEXT(I2,"00")</f>
        <v>4100801</v>
      </c>
      <c r="K2" s="82" t="s">
        <v>196</v>
      </c>
      <c r="L2" s="85" t="s">
        <v>197</v>
      </c>
      <c r="M2" s="190" t="s">
        <v>365</v>
      </c>
      <c r="N2" s="55" t="s">
        <v>198</v>
      </c>
      <c r="O2">
        <f>LEN(M2)</f>
        <v>51</v>
      </c>
    </row>
    <row r="3" spans="1:15" ht="56" x14ac:dyDescent="0.15">
      <c r="A3" s="79" t="s">
        <v>195</v>
      </c>
      <c r="B3" s="80">
        <f>floors!$C$2</f>
        <v>41008</v>
      </c>
      <c r="C3" s="81" t="str">
        <f ca="1">VLOOKUP($B3,OFFSET([2]quests!$A$1,0,0,COUNTA([2]quests!$A:$A),MATCH(C$1,[2]quests!$1:$1,0)-MATCH($B$1,[2]quests!$1:$1,0)+1),MATCH(C$1,[2]quests!$1:$1,0)-MATCH($B$1,[2]quests!$1:$1,0)+1,FALSE)</f>
        <v>Gスター襲来！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降臨1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【超絶級】Gスター襲来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3">
        <v>1</v>
      </c>
      <c r="I3" s="88">
        <f>ROW()-1</f>
        <v>2</v>
      </c>
      <c r="J3" s="84" t="str">
        <f>B3&amp;TEXT(I3,"00")</f>
        <v>4100802</v>
      </c>
      <c r="K3" s="82" t="s">
        <v>126</v>
      </c>
      <c r="L3" s="85" t="s">
        <v>197</v>
      </c>
      <c r="M3" s="190" t="s">
        <v>366</v>
      </c>
      <c r="N3" s="55" t="s">
        <v>198</v>
      </c>
      <c r="O3">
        <f t="shared" ref="O3:O18" si="0">LEN(M3)</f>
        <v>52</v>
      </c>
    </row>
    <row r="4" spans="1:15" ht="56" x14ac:dyDescent="0.15">
      <c r="A4" s="79" t="s">
        <v>195</v>
      </c>
      <c r="B4" s="80">
        <f>floors!$C$2</f>
        <v>41008</v>
      </c>
      <c r="C4" s="81" t="str">
        <f ca="1">VLOOKUP($B4,OFFSET([2]quests!$A$1,0,0,COUNTA([2]quests!$A:$A),MATCH(C$1,[2]quests!$1:$1,0)-MATCH($B$1,[2]quests!$1:$1,0)+1),MATCH(C$1,[2]quests!$1:$1,0)-MATCH($B$1,[2]quests!$1:$1,0)+1,FALSE)</f>
        <v>Gスター襲来！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降臨1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【超絶級】Gスター襲来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3">
        <v>2</v>
      </c>
      <c r="I4" s="88">
        <f>ROW()-1</f>
        <v>3</v>
      </c>
      <c r="J4" s="84" t="str">
        <f>B4&amp;TEXT(I4,"00")</f>
        <v>4100803</v>
      </c>
      <c r="K4" s="82" t="s">
        <v>126</v>
      </c>
      <c r="L4" s="85" t="s">
        <v>197</v>
      </c>
      <c r="M4" s="190" t="s">
        <v>367</v>
      </c>
      <c r="N4" s="55" t="s">
        <v>198</v>
      </c>
      <c r="O4">
        <f t="shared" si="0"/>
        <v>55</v>
      </c>
    </row>
    <row r="5" spans="1:15" ht="28" x14ac:dyDescent="0.15">
      <c r="A5" s="79" t="s">
        <v>195</v>
      </c>
      <c r="B5" s="80">
        <f>floors!$C$2</f>
        <v>41008</v>
      </c>
      <c r="C5" s="81" t="str">
        <f ca="1">VLOOKUP($B5,OFFSET([2]quests!$A$1,0,0,COUNTA([2]quests!$A:$A),MATCH(C$1,[2]quests!$1:$1,0)-MATCH($B$1,[2]quests!$1:$1,0)+1),MATCH(C$1,[2]quests!$1:$1,0)-MATCH($B$1,[2]quests!$1:$1,0)+1,FALSE)</f>
        <v>Gスター襲来！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降臨1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【超絶級】Gスター襲来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3">
        <v>2</v>
      </c>
      <c r="I5" s="88">
        <f t="shared" ref="I5:I10" si="1">ROW()-1</f>
        <v>4</v>
      </c>
      <c r="J5" s="84" t="str">
        <f t="shared" ref="J5:J10" si="2">B5&amp;TEXT(I5,"00")</f>
        <v>4100804</v>
      </c>
      <c r="K5" s="82" t="s">
        <v>126</v>
      </c>
      <c r="L5" s="85" t="s">
        <v>197</v>
      </c>
      <c r="M5" s="190" t="s">
        <v>368</v>
      </c>
      <c r="N5" s="55" t="s">
        <v>198</v>
      </c>
      <c r="O5">
        <f t="shared" si="0"/>
        <v>39</v>
      </c>
    </row>
    <row r="6" spans="1:15" ht="28" x14ac:dyDescent="0.15">
      <c r="A6" s="79" t="s">
        <v>195</v>
      </c>
      <c r="B6" s="80">
        <f>floors!$C$2</f>
        <v>41008</v>
      </c>
      <c r="C6" s="81" t="str">
        <f ca="1">VLOOKUP($B6,OFFSET([2]quests!$A$1,0,0,COUNTA([2]quests!$A:$A),MATCH(C$1,[2]quests!$1:$1,0)-MATCH($B$1,[2]quests!$1:$1,0)+1),MATCH(C$1,[2]quests!$1:$1,0)-MATCH($B$1,[2]quests!$1:$1,0)+1,FALSE)</f>
        <v>Gスター襲来！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降臨1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【超絶級】Gスター襲来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3">
        <v>2</v>
      </c>
      <c r="I6" s="88">
        <f t="shared" si="1"/>
        <v>5</v>
      </c>
      <c r="J6" s="84" t="str">
        <f t="shared" si="2"/>
        <v>4100805</v>
      </c>
      <c r="K6" s="82" t="s">
        <v>126</v>
      </c>
      <c r="L6" s="85" t="s">
        <v>197</v>
      </c>
      <c r="M6" s="190" t="s">
        <v>407</v>
      </c>
      <c r="N6" s="55" t="s">
        <v>198</v>
      </c>
      <c r="O6">
        <f t="shared" si="0"/>
        <v>37</v>
      </c>
    </row>
    <row r="7" spans="1:15" ht="56" x14ac:dyDescent="0.15">
      <c r="A7" s="79" t="s">
        <v>195</v>
      </c>
      <c r="B7" s="80">
        <f>floors!$C$2</f>
        <v>41008</v>
      </c>
      <c r="C7" s="81" t="str">
        <f ca="1">VLOOKUP($B7,OFFSET([2]quests!$A$1,0,0,COUNTA([2]quests!$A:$A),MATCH(C$1,[2]quests!$1:$1,0)-MATCH($B$1,[2]quests!$1:$1,0)+1),MATCH(C$1,[2]quests!$1:$1,0)-MATCH($B$1,[2]quests!$1:$1,0)+1,FALSE)</f>
        <v>Gスター襲来！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降臨1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【超絶級】Gスター襲来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3">
        <v>3</v>
      </c>
      <c r="I7" s="88">
        <f t="shared" si="1"/>
        <v>6</v>
      </c>
      <c r="J7" s="84" t="str">
        <f t="shared" si="2"/>
        <v>4100806</v>
      </c>
      <c r="K7" s="82" t="s">
        <v>126</v>
      </c>
      <c r="L7" s="85" t="s">
        <v>197</v>
      </c>
      <c r="M7" s="190" t="s">
        <v>370</v>
      </c>
      <c r="N7" s="55" t="s">
        <v>198</v>
      </c>
      <c r="O7">
        <f t="shared" ref="O7" si="3">LEN(M7)</f>
        <v>57</v>
      </c>
    </row>
    <row r="8" spans="1:15" ht="56" x14ac:dyDescent="0.15">
      <c r="A8" s="79" t="s">
        <v>195</v>
      </c>
      <c r="B8" s="80">
        <f>floors!$C$2</f>
        <v>41008</v>
      </c>
      <c r="C8" s="81" t="str">
        <f ca="1">VLOOKUP($B8,OFFSET([2]quests!$A$1,0,0,COUNTA([2]quests!$A:$A),MATCH(C$1,[2]quests!$1:$1,0)-MATCH($B$1,[2]quests!$1:$1,0)+1),MATCH(C$1,[2]quests!$1:$1,0)-MATCH($B$1,[2]quests!$1:$1,0)+1,FALSE)</f>
        <v>Gスター襲来！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降臨1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【超絶級】Gスター襲来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3">
        <v>3</v>
      </c>
      <c r="I8" s="88">
        <f t="shared" si="1"/>
        <v>7</v>
      </c>
      <c r="J8" s="84" t="str">
        <f t="shared" si="2"/>
        <v>4100807</v>
      </c>
      <c r="K8" s="82" t="s">
        <v>126</v>
      </c>
      <c r="L8" s="85" t="s">
        <v>197</v>
      </c>
      <c r="M8" s="190" t="s">
        <v>371</v>
      </c>
      <c r="N8" s="55" t="s">
        <v>198</v>
      </c>
      <c r="O8">
        <f t="shared" si="0"/>
        <v>54</v>
      </c>
    </row>
    <row r="9" spans="1:15" ht="56" x14ac:dyDescent="0.15">
      <c r="A9" s="79" t="s">
        <v>195</v>
      </c>
      <c r="B9" s="80">
        <f>floors!$C$2</f>
        <v>41008</v>
      </c>
      <c r="C9" s="81" t="str">
        <f ca="1">VLOOKUP($B9,OFFSET([2]quests!$A$1,0,0,COUNTA([2]quests!$A:$A),MATCH(C$1,[2]quests!$1:$1,0)-MATCH($B$1,[2]quests!$1:$1,0)+1),MATCH(C$1,[2]quests!$1:$1,0)-MATCH($B$1,[2]quests!$1:$1,0)+1,FALSE)</f>
        <v>Gスター襲来！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降臨1</v>
      </c>
      <c r="E9" s="82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【超絶級】Gスター襲来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3">
        <v>3</v>
      </c>
      <c r="I9" s="88">
        <f t="shared" si="1"/>
        <v>8</v>
      </c>
      <c r="J9" s="84" t="str">
        <f t="shared" si="2"/>
        <v>4100808</v>
      </c>
      <c r="K9" s="82" t="s">
        <v>126</v>
      </c>
      <c r="L9" s="85" t="s">
        <v>197</v>
      </c>
      <c r="M9" s="190" t="s">
        <v>372</v>
      </c>
      <c r="N9" s="55" t="s">
        <v>198</v>
      </c>
      <c r="O9">
        <f t="shared" si="0"/>
        <v>56</v>
      </c>
    </row>
    <row r="10" spans="1:15" ht="56" x14ac:dyDescent="0.15">
      <c r="A10" s="79" t="s">
        <v>195</v>
      </c>
      <c r="B10" s="80">
        <f>floors!$C$2</f>
        <v>41008</v>
      </c>
      <c r="C10" s="81" t="str">
        <f ca="1">VLOOKUP($B10,OFFSET([2]quests!$A$1,0,0,COUNTA([2]quests!$A:$A),MATCH(C$1,[2]quests!$1:$1,0)-MATCH($B$1,[2]quests!$1:$1,0)+1),MATCH(C$1,[2]quests!$1:$1,0)-MATCH($B$1,[2]quests!$1:$1,0)+1,FALSE)</f>
        <v>Gスター襲来！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2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【超絶級】Gスター襲来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3">
        <v>3</v>
      </c>
      <c r="I10" s="88">
        <f t="shared" si="1"/>
        <v>9</v>
      </c>
      <c r="J10" s="84" t="str">
        <f t="shared" si="2"/>
        <v>4100809</v>
      </c>
      <c r="K10" s="82" t="s">
        <v>126</v>
      </c>
      <c r="L10" s="85" t="s">
        <v>197</v>
      </c>
      <c r="M10" s="190" t="s">
        <v>369</v>
      </c>
      <c r="N10" s="55" t="s">
        <v>198</v>
      </c>
      <c r="O10">
        <f t="shared" si="0"/>
        <v>58</v>
      </c>
    </row>
    <row r="11" spans="1:15" ht="56" x14ac:dyDescent="0.15">
      <c r="A11" s="79" t="s">
        <v>195</v>
      </c>
      <c r="B11" s="80">
        <f>floors!$C$2</f>
        <v>41008</v>
      </c>
      <c r="C11" s="81" t="str">
        <f ca="1">VLOOKUP($B11,OFFSET([2]quests!$A$1,0,0,COUNTA([2]quests!$A:$A),MATCH(C$1,[2]quests!$1:$1,0)-MATCH($B$1,[2]quests!$1:$1,0)+1),MATCH(C$1,[2]quests!$1:$1,0)-MATCH($B$1,[2]quests!$1:$1,0)+1,FALSE)</f>
        <v>Gスター襲来！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3">
        <v>1</v>
      </c>
      <c r="I11" s="88">
        <f>ROW()-1</f>
        <v>10</v>
      </c>
      <c r="J11" s="84" t="str">
        <f>B11&amp;TEXT(I11,"00")</f>
        <v>4100810</v>
      </c>
      <c r="K11" s="82" t="s">
        <v>126</v>
      </c>
      <c r="L11" s="85" t="s">
        <v>197</v>
      </c>
      <c r="M11" s="190" t="s">
        <v>365</v>
      </c>
      <c r="N11" s="55" t="s">
        <v>198</v>
      </c>
      <c r="O11">
        <f t="shared" si="0"/>
        <v>51</v>
      </c>
    </row>
    <row r="12" spans="1:15" ht="56" x14ac:dyDescent="0.15">
      <c r="A12" s="79" t="s">
        <v>195</v>
      </c>
      <c r="B12" s="80">
        <f>floors!$C$2</f>
        <v>41008</v>
      </c>
      <c r="C12" s="81" t="str">
        <f ca="1">VLOOKUP($B12,OFFSET([2]quests!$A$1,0,0,COUNTA([2]quests!$A:$A),MATCH(C$1,[2]quests!$1:$1,0)-MATCH($B$1,[2]quests!$1:$1,0)+1),MATCH(C$1,[2]quests!$1:$1,0)-MATCH($B$1,[2]quests!$1:$1,0)+1,FALSE)</f>
        <v>Gスター襲来！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2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3">
        <v>1</v>
      </c>
      <c r="I12" s="88">
        <f>ROW()-1</f>
        <v>11</v>
      </c>
      <c r="J12" s="84" t="str">
        <f>B12&amp;TEXT(I12,"00")</f>
        <v>4100811</v>
      </c>
      <c r="K12" s="82" t="s">
        <v>126</v>
      </c>
      <c r="L12" s="85" t="s">
        <v>197</v>
      </c>
      <c r="M12" s="190" t="s">
        <v>366</v>
      </c>
      <c r="N12" s="55" t="s">
        <v>198</v>
      </c>
      <c r="O12">
        <f t="shared" si="0"/>
        <v>52</v>
      </c>
    </row>
    <row r="13" spans="1:15" ht="56" x14ac:dyDescent="0.15">
      <c r="A13" s="79" t="s">
        <v>195</v>
      </c>
      <c r="B13" s="80">
        <f>floors!$C$2</f>
        <v>41008</v>
      </c>
      <c r="C13" s="81" t="str">
        <f ca="1">VLOOKUP($B13,OFFSET([2]quests!$A$1,0,0,COUNTA([2]quests!$A:$A),MATCH(C$1,[2]quests!$1:$1,0)-MATCH($B$1,[2]quests!$1:$1,0)+1),MATCH(C$1,[2]quests!$1:$1,0)-MATCH($B$1,[2]quests!$1:$1,0)+1,FALSE)</f>
        <v>Gスター襲来！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3">
        <v>2</v>
      </c>
      <c r="I13" s="88">
        <f>ROW()-1</f>
        <v>12</v>
      </c>
      <c r="J13" s="84" t="str">
        <f>B13&amp;TEXT(I13,"00")</f>
        <v>4100812</v>
      </c>
      <c r="K13" s="82" t="s">
        <v>126</v>
      </c>
      <c r="L13" s="85" t="s">
        <v>197</v>
      </c>
      <c r="M13" s="190" t="s">
        <v>367</v>
      </c>
      <c r="N13" s="55" t="s">
        <v>198</v>
      </c>
      <c r="O13">
        <f t="shared" si="0"/>
        <v>55</v>
      </c>
    </row>
    <row r="14" spans="1:15" ht="28" x14ac:dyDescent="0.15">
      <c r="A14" s="79" t="s">
        <v>195</v>
      </c>
      <c r="B14" s="80">
        <f>floors!$C$2</f>
        <v>41008</v>
      </c>
      <c r="C14" s="81" t="str">
        <f ca="1">VLOOKUP($B14,OFFSET([2]quests!$A$1,0,0,COUNTA([2]quests!$A:$A),MATCH(C$1,[2]quests!$1:$1,0)-MATCH($B$1,[2]quests!$1:$1,0)+1),MATCH(C$1,[2]quests!$1:$1,0)-MATCH($B$1,[2]quests!$1:$1,0)+1,FALSE)</f>
        <v>Gスター襲来！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3">
        <v>2</v>
      </c>
      <c r="I14" s="88">
        <f t="shared" ref="I14:I18" si="4">ROW()-1</f>
        <v>13</v>
      </c>
      <c r="J14" s="84" t="str">
        <f t="shared" ref="J14:J18" si="5">B14&amp;TEXT(I14,"00")</f>
        <v>4100813</v>
      </c>
      <c r="K14" s="82" t="s">
        <v>126</v>
      </c>
      <c r="L14" s="85" t="s">
        <v>197</v>
      </c>
      <c r="M14" s="190" t="s">
        <v>368</v>
      </c>
      <c r="N14" s="55" t="s">
        <v>198</v>
      </c>
      <c r="O14">
        <f t="shared" si="0"/>
        <v>39</v>
      </c>
    </row>
    <row r="15" spans="1:15" ht="28" x14ac:dyDescent="0.15">
      <c r="A15" s="79" t="s">
        <v>195</v>
      </c>
      <c r="B15" s="80">
        <f>floors!$C$2</f>
        <v>41008</v>
      </c>
      <c r="C15" s="81" t="str">
        <f ca="1">VLOOKUP($B15,OFFSET([2]quests!$A$1,0,0,COUNTA([2]quests!$A:$A),MATCH(C$1,[2]quests!$1:$1,0)-MATCH($B$1,[2]quests!$1:$1,0)+1),MATCH(C$1,[2]quests!$1:$1,0)-MATCH($B$1,[2]quests!$1:$1,0)+1,FALSE)</f>
        <v>Gスター襲来！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2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3">
        <v>2</v>
      </c>
      <c r="I15" s="88">
        <f t="shared" si="4"/>
        <v>14</v>
      </c>
      <c r="J15" s="84" t="str">
        <f t="shared" si="5"/>
        <v>4100814</v>
      </c>
      <c r="K15" s="82" t="s">
        <v>126</v>
      </c>
      <c r="L15" s="85" t="s">
        <v>197</v>
      </c>
      <c r="M15" s="190" t="s">
        <v>407</v>
      </c>
      <c r="N15" s="55" t="s">
        <v>198</v>
      </c>
      <c r="O15">
        <f t="shared" si="0"/>
        <v>37</v>
      </c>
    </row>
    <row r="16" spans="1:15" ht="56" x14ac:dyDescent="0.15">
      <c r="A16" s="79" t="s">
        <v>195</v>
      </c>
      <c r="B16" s="80">
        <f>floors!$C$2</f>
        <v>41008</v>
      </c>
      <c r="C16" s="81" t="str">
        <f ca="1">VLOOKUP($B16,OFFSET([2]quests!$A$1,0,0,COUNTA([2]quests!$A:$A),MATCH(C$1,[2]quests!$1:$1,0)-MATCH($B$1,[2]quests!$1:$1,0)+1),MATCH(C$1,[2]quests!$1:$1,0)-MATCH($B$1,[2]quests!$1:$1,0)+1,FALSE)</f>
        <v>Gスター襲来！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2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3">
        <v>3</v>
      </c>
      <c r="I16" s="88">
        <f t="shared" si="4"/>
        <v>15</v>
      </c>
      <c r="J16" s="84" t="str">
        <f t="shared" si="5"/>
        <v>4100815</v>
      </c>
      <c r="K16" s="82" t="s">
        <v>126</v>
      </c>
      <c r="L16" s="85" t="s">
        <v>197</v>
      </c>
      <c r="M16" s="190" t="s">
        <v>370</v>
      </c>
      <c r="N16" s="55" t="s">
        <v>198</v>
      </c>
      <c r="O16">
        <f t="shared" si="0"/>
        <v>57</v>
      </c>
    </row>
    <row r="17" spans="1:15" ht="56" x14ac:dyDescent="0.15">
      <c r="A17" s="79" t="s">
        <v>195</v>
      </c>
      <c r="B17" s="80">
        <f>floors!$C$2</f>
        <v>41008</v>
      </c>
      <c r="C17" s="81" t="str">
        <f ca="1">VLOOKUP($B17,OFFSET([2]quests!$A$1,0,0,COUNTA([2]quests!$A:$A),MATCH(C$1,[2]quests!$1:$1,0)-MATCH($B$1,[2]quests!$1:$1,0)+1),MATCH(C$1,[2]quests!$1:$1,0)-MATCH($B$1,[2]quests!$1:$1,0)+1,FALSE)</f>
        <v>Gスター襲来！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2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3">
        <v>3</v>
      </c>
      <c r="I17" s="88">
        <f t="shared" si="4"/>
        <v>16</v>
      </c>
      <c r="J17" s="84" t="str">
        <f t="shared" si="5"/>
        <v>4100816</v>
      </c>
      <c r="K17" s="82" t="s">
        <v>126</v>
      </c>
      <c r="L17" s="85" t="s">
        <v>197</v>
      </c>
      <c r="M17" s="190" t="s">
        <v>372</v>
      </c>
      <c r="N17" s="55" t="s">
        <v>198</v>
      </c>
      <c r="O17">
        <f t="shared" si="0"/>
        <v>56</v>
      </c>
    </row>
    <row r="18" spans="1:15" ht="56" x14ac:dyDescent="0.15">
      <c r="A18" s="79" t="s">
        <v>195</v>
      </c>
      <c r="B18" s="80">
        <f>floors!$C$2</f>
        <v>41008</v>
      </c>
      <c r="C18" s="81" t="str">
        <f ca="1">VLOOKUP($B18,OFFSET([2]quests!$A$1,0,0,COUNTA([2]quests!$A:$A),MATCH(C$1,[2]quests!$1:$1,0)-MATCH($B$1,[2]quests!$1:$1,0)+1),MATCH(C$1,[2]quests!$1:$1,0)-MATCH($B$1,[2]quests!$1:$1,0)+1,FALSE)</f>
        <v>Gスター襲来！</v>
      </c>
      <c r="D18" s="81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2">
        <v>2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【ウィザード級】Gスター襲来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3">
        <v>3</v>
      </c>
      <c r="I18" s="88">
        <f t="shared" si="4"/>
        <v>17</v>
      </c>
      <c r="J18" s="84" t="str">
        <f t="shared" si="5"/>
        <v>4100817</v>
      </c>
      <c r="K18" s="82" t="s">
        <v>126</v>
      </c>
      <c r="L18" s="85" t="s">
        <v>197</v>
      </c>
      <c r="M18" s="190" t="s">
        <v>369</v>
      </c>
      <c r="N18" s="55" t="s">
        <v>198</v>
      </c>
      <c r="O18">
        <f t="shared" si="0"/>
        <v>58</v>
      </c>
    </row>
    <row r="19" spans="1:15" ht="56" x14ac:dyDescent="0.15">
      <c r="A19" s="79" t="s">
        <v>195</v>
      </c>
      <c r="B19" s="80">
        <f>floors!$C$2</f>
        <v>41008</v>
      </c>
      <c r="C19" s="81" t="str">
        <f ca="1">VLOOKUP($B19,OFFSET([2]quests!$A$1,0,0,COUNTA([2]quests!$A:$A),MATCH(C$1,[2]quests!$1:$1,0)-MATCH($B$1,[2]quests!$1:$1,0)+1),MATCH(C$1,[2]quests!$1:$1,0)-MATCH($B$1,[2]quests!$1:$1,0)+1,FALSE)</f>
        <v>Gスター襲来！</v>
      </c>
      <c r="D19" s="81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2">
        <v>3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3">
        <v>1</v>
      </c>
      <c r="I19" s="88">
        <f>ROW()-1</f>
        <v>18</v>
      </c>
      <c r="J19" s="84" t="str">
        <f>B19&amp;TEXT(I19,"00")</f>
        <v>4100818</v>
      </c>
      <c r="K19" s="82" t="s">
        <v>126</v>
      </c>
      <c r="L19" s="85" t="s">
        <v>197</v>
      </c>
      <c r="M19" s="190" t="s">
        <v>365</v>
      </c>
      <c r="N19" s="55" t="s">
        <v>198</v>
      </c>
      <c r="O19">
        <f t="shared" ref="O19:O26" si="6">LEN(M19)</f>
        <v>51</v>
      </c>
    </row>
    <row r="20" spans="1:15" ht="56" x14ac:dyDescent="0.15">
      <c r="A20" s="79" t="s">
        <v>195</v>
      </c>
      <c r="B20" s="80">
        <f>floors!$C$2</f>
        <v>41008</v>
      </c>
      <c r="C20" s="81" t="str">
        <f ca="1">VLOOKUP($B20,OFFSET([2]quests!$A$1,0,0,COUNTA([2]quests!$A:$A),MATCH(C$1,[2]quests!$1:$1,0)-MATCH($B$1,[2]quests!$1:$1,0)+1),MATCH(C$1,[2]quests!$1:$1,0)-MATCH($B$1,[2]quests!$1:$1,0)+1,FALSE)</f>
        <v>Gスター襲来！</v>
      </c>
      <c r="D20" s="81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2">
        <v>3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3">
        <v>1</v>
      </c>
      <c r="I20" s="88">
        <f>ROW()-1</f>
        <v>19</v>
      </c>
      <c r="J20" s="84" t="str">
        <f>B20&amp;TEXT(I20,"00")</f>
        <v>4100819</v>
      </c>
      <c r="K20" s="82" t="s">
        <v>126</v>
      </c>
      <c r="L20" s="85" t="s">
        <v>197</v>
      </c>
      <c r="M20" s="190" t="s">
        <v>366</v>
      </c>
      <c r="N20" s="55" t="s">
        <v>198</v>
      </c>
      <c r="O20">
        <f t="shared" si="6"/>
        <v>52</v>
      </c>
    </row>
    <row r="21" spans="1:15" ht="56" x14ac:dyDescent="0.15">
      <c r="A21" s="79" t="s">
        <v>195</v>
      </c>
      <c r="B21" s="80">
        <f>floors!$C$2</f>
        <v>41008</v>
      </c>
      <c r="C21" s="81" t="str">
        <f ca="1">VLOOKUP($B21,OFFSET([2]quests!$A$1,0,0,COUNTA([2]quests!$A:$A),MATCH(C$1,[2]quests!$1:$1,0)-MATCH($B$1,[2]quests!$1:$1,0)+1),MATCH(C$1,[2]quests!$1:$1,0)-MATCH($B$1,[2]quests!$1:$1,0)+1,FALSE)</f>
        <v>Gスター襲来！</v>
      </c>
      <c r="D21" s="81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2">
        <v>3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3">
        <v>2</v>
      </c>
      <c r="I21" s="88">
        <f>ROW()-1</f>
        <v>20</v>
      </c>
      <c r="J21" s="84" t="str">
        <f>B21&amp;TEXT(I21,"00")</f>
        <v>4100820</v>
      </c>
      <c r="K21" s="82" t="s">
        <v>126</v>
      </c>
      <c r="L21" s="85" t="s">
        <v>197</v>
      </c>
      <c r="M21" s="190" t="s">
        <v>367</v>
      </c>
      <c r="N21" s="55" t="s">
        <v>198</v>
      </c>
      <c r="O21">
        <f t="shared" si="6"/>
        <v>55</v>
      </c>
    </row>
    <row r="22" spans="1:15" ht="28" x14ac:dyDescent="0.15">
      <c r="A22" s="79" t="s">
        <v>195</v>
      </c>
      <c r="B22" s="80">
        <f>floors!$C$2</f>
        <v>41008</v>
      </c>
      <c r="C22" s="81" t="str">
        <f ca="1">VLOOKUP($B22,OFFSET([2]quests!$A$1,0,0,COUNTA([2]quests!$A:$A),MATCH(C$1,[2]quests!$1:$1,0)-MATCH($B$1,[2]quests!$1:$1,0)+1),MATCH(C$1,[2]quests!$1:$1,0)-MATCH($B$1,[2]quests!$1:$1,0)+1,FALSE)</f>
        <v>Gスター襲来！</v>
      </c>
      <c r="D22" s="81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2">
        <v>3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3">
        <v>2</v>
      </c>
      <c r="I22" s="88">
        <f t="shared" ref="I22:I26" si="7">ROW()-1</f>
        <v>21</v>
      </c>
      <c r="J22" s="84" t="str">
        <f t="shared" ref="J22:J26" si="8">B22&amp;TEXT(I22,"00")</f>
        <v>4100821</v>
      </c>
      <c r="K22" s="82" t="s">
        <v>126</v>
      </c>
      <c r="L22" s="85" t="s">
        <v>197</v>
      </c>
      <c r="M22" s="190" t="s">
        <v>368</v>
      </c>
      <c r="N22" s="55" t="s">
        <v>198</v>
      </c>
      <c r="O22">
        <f t="shared" si="6"/>
        <v>39</v>
      </c>
    </row>
    <row r="23" spans="1:15" ht="28" x14ac:dyDescent="0.15">
      <c r="A23" s="79" t="s">
        <v>195</v>
      </c>
      <c r="B23" s="80">
        <f>floors!$C$2</f>
        <v>41008</v>
      </c>
      <c r="C23" s="81" t="str">
        <f ca="1">VLOOKUP($B23,OFFSET([2]quests!$A$1,0,0,COUNTA([2]quests!$A:$A),MATCH(C$1,[2]quests!$1:$1,0)-MATCH($B$1,[2]quests!$1:$1,0)+1),MATCH(C$1,[2]quests!$1:$1,0)-MATCH($B$1,[2]quests!$1:$1,0)+1,FALSE)</f>
        <v>Gスター襲来！</v>
      </c>
      <c r="D23" s="81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2">
        <v>3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3">
        <v>2</v>
      </c>
      <c r="I23" s="88">
        <f t="shared" si="7"/>
        <v>22</v>
      </c>
      <c r="J23" s="84" t="str">
        <f t="shared" si="8"/>
        <v>4100822</v>
      </c>
      <c r="K23" s="82" t="s">
        <v>126</v>
      </c>
      <c r="L23" s="85" t="s">
        <v>197</v>
      </c>
      <c r="M23" s="190" t="s">
        <v>407</v>
      </c>
      <c r="N23" s="55" t="s">
        <v>198</v>
      </c>
      <c r="O23">
        <f t="shared" si="6"/>
        <v>37</v>
      </c>
    </row>
    <row r="24" spans="1:15" ht="56" x14ac:dyDescent="0.15">
      <c r="A24" s="79" t="s">
        <v>195</v>
      </c>
      <c r="B24" s="80">
        <f>floors!$C$2</f>
        <v>41008</v>
      </c>
      <c r="C24" s="81" t="str">
        <f ca="1">VLOOKUP($B24,OFFSET([2]quests!$A$1,0,0,COUNTA([2]quests!$A:$A),MATCH(C$1,[2]quests!$1:$1,0)-MATCH($B$1,[2]quests!$1:$1,0)+1),MATCH(C$1,[2]quests!$1:$1,0)-MATCH($B$1,[2]quests!$1:$1,0)+1,FALSE)</f>
        <v>Gスター襲来！</v>
      </c>
      <c r="D24" s="81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2">
        <v>3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3">
        <v>3</v>
      </c>
      <c r="I24" s="88">
        <f t="shared" si="7"/>
        <v>23</v>
      </c>
      <c r="J24" s="84" t="str">
        <f t="shared" si="8"/>
        <v>4100823</v>
      </c>
      <c r="K24" s="82" t="s">
        <v>126</v>
      </c>
      <c r="L24" s="85" t="s">
        <v>197</v>
      </c>
      <c r="M24" s="190" t="s">
        <v>370</v>
      </c>
      <c r="N24" s="55" t="s">
        <v>198</v>
      </c>
      <c r="O24">
        <f t="shared" si="6"/>
        <v>57</v>
      </c>
    </row>
    <row r="25" spans="1:15" ht="56" x14ac:dyDescent="0.15">
      <c r="A25" s="79" t="s">
        <v>195</v>
      </c>
      <c r="B25" s="80">
        <f>floors!$C$2</f>
        <v>41008</v>
      </c>
      <c r="C25" s="81" t="str">
        <f ca="1">VLOOKUP($B25,OFFSET([2]quests!$A$1,0,0,COUNTA([2]quests!$A:$A),MATCH(C$1,[2]quests!$1:$1,0)-MATCH($B$1,[2]quests!$1:$1,0)+1),MATCH(C$1,[2]quests!$1:$1,0)-MATCH($B$1,[2]quests!$1:$1,0)+1,FALSE)</f>
        <v>Gスター襲来！</v>
      </c>
      <c r="D25" s="81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2">
        <v>3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3">
        <v>3</v>
      </c>
      <c r="I25" s="88">
        <f t="shared" si="7"/>
        <v>24</v>
      </c>
      <c r="J25" s="84" t="str">
        <f t="shared" si="8"/>
        <v>4100824</v>
      </c>
      <c r="K25" s="82" t="s">
        <v>126</v>
      </c>
      <c r="L25" s="85" t="s">
        <v>197</v>
      </c>
      <c r="M25" s="190" t="s">
        <v>372</v>
      </c>
      <c r="N25" s="55" t="s">
        <v>198</v>
      </c>
      <c r="O25">
        <f t="shared" si="6"/>
        <v>56</v>
      </c>
    </row>
    <row r="26" spans="1:15" ht="56" x14ac:dyDescent="0.15">
      <c r="A26" s="79" t="s">
        <v>195</v>
      </c>
      <c r="B26" s="80">
        <f>floors!$C$2</f>
        <v>41008</v>
      </c>
      <c r="C26" s="81" t="str">
        <f ca="1">VLOOKUP($B26,OFFSET([2]quests!$A$1,0,0,COUNTA([2]quests!$A:$A),MATCH(C$1,[2]quests!$1:$1,0)-MATCH($B$1,[2]quests!$1:$1,0)+1),MATCH(C$1,[2]quests!$1:$1,0)-MATCH($B$1,[2]quests!$1:$1,0)+1,FALSE)</f>
        <v>Gスター襲来！</v>
      </c>
      <c r="D26" s="81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2">
        <v>3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【ノーコンテニュー】Gスター襲来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3">
        <v>3</v>
      </c>
      <c r="I26" s="88">
        <f t="shared" si="7"/>
        <v>25</v>
      </c>
      <c r="J26" s="84" t="str">
        <f t="shared" si="8"/>
        <v>4100825</v>
      </c>
      <c r="K26" s="82" t="s">
        <v>126</v>
      </c>
      <c r="L26" s="85" t="s">
        <v>197</v>
      </c>
      <c r="M26" s="190" t="s">
        <v>369</v>
      </c>
      <c r="N26" s="55" t="s">
        <v>198</v>
      </c>
      <c r="O26">
        <f t="shared" si="6"/>
        <v>58</v>
      </c>
    </row>
  </sheetData>
  <phoneticPr fontId="5"/>
  <dataValidations count="1">
    <dataValidation type="list" allowBlank="1" showInputMessage="1" showErrorMessage="1" sqref="A2:A2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2017-04-04T08:14:35Z</dcterms:modified>
</cp:coreProperties>
</file>