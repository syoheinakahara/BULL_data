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1440" yWindow="1180" windowWidth="27900" windowHeight="13460" tabRatio="943" activeTab="1"/>
  </bookViews>
  <sheets>
    <sheet name="gacha_124_base" sheetId="95" r:id="rId1"/>
    <sheet name="gacha_114_base" sheetId="94" r:id="rId2"/>
    <sheet name="gacha_unit_tables_114" sheetId="82" r:id="rId3"/>
    <sheet name="gacha_unit_tables_122" sheetId="88" r:id="rId4"/>
    <sheet name="gacha_unit_tables_123" sheetId="90" r:id="rId5"/>
    <sheet name="gacha_unit_tables_124" sheetId="91" r:id="rId6"/>
    <sheet name="gacha_unit_tables_114.tmp" sheetId="87" r:id="rId7"/>
    <sheet name="gacha_unit_tables_122.tmp" sheetId="89" r:id="rId8"/>
    <sheet name="gacha_unit_tables_123.tmp" sheetId="93" r:id="rId9"/>
    <sheet name="gacha_unit_tables_124.tmp" sheetId="92" r:id="rId10"/>
  </sheets>
  <externalReferences>
    <externalReference r:id="rId11"/>
  </externalReferences>
  <definedNames>
    <definedName name="_xlnm._FilterDatabase" localSheetId="1" hidden="1">gacha_114_base!$A$75:$B$101</definedName>
    <definedName name="_xlnm._FilterDatabase" localSheetId="0" hidden="1">gacha_124_base!$A$1:$B$18</definedName>
    <definedName name="_xlnm._FilterDatabase" localSheetId="2" hidden="1">gacha_unit_tables_114!$B$1:$O$255</definedName>
    <definedName name="_xlnm._FilterDatabase" localSheetId="3" hidden="1">gacha_unit_tables_122!$B$1:$M$255</definedName>
    <definedName name="_xlnm._FilterDatabase" localSheetId="4" hidden="1">gacha_unit_tables_123!$B$1:$M$255</definedName>
    <definedName name="_xlnm._FilterDatabase" localSheetId="5" hidden="1">gacha_unit_tables_124!$B$1:$M$255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82" l="1"/>
  <c r="J3" i="82"/>
  <c r="D3" i="82"/>
  <c r="O3" i="82"/>
  <c r="I4" i="82"/>
  <c r="J4" i="82"/>
  <c r="D4" i="82"/>
  <c r="O4" i="82"/>
  <c r="I5" i="82"/>
  <c r="J5" i="82"/>
  <c r="D5" i="82"/>
  <c r="O5" i="82"/>
  <c r="I6" i="82"/>
  <c r="J6" i="82"/>
  <c r="D6" i="82"/>
  <c r="O6" i="82"/>
  <c r="I7" i="82"/>
  <c r="J7" i="82"/>
  <c r="D7" i="82"/>
  <c r="O7" i="82"/>
  <c r="I8" i="82"/>
  <c r="J8" i="82"/>
  <c r="D8" i="82"/>
  <c r="O8" i="82"/>
  <c r="I9" i="82"/>
  <c r="J9" i="82"/>
  <c r="D9" i="82"/>
  <c r="O9" i="82"/>
  <c r="I10" i="82"/>
  <c r="J10" i="82"/>
  <c r="D10" i="82"/>
  <c r="O10" i="82"/>
  <c r="I11" i="82"/>
  <c r="J11" i="82"/>
  <c r="D11" i="82"/>
  <c r="O11" i="82"/>
  <c r="I12" i="82"/>
  <c r="J12" i="82"/>
  <c r="D12" i="82"/>
  <c r="O12" i="82"/>
  <c r="I13" i="82"/>
  <c r="J13" i="82"/>
  <c r="D13" i="82"/>
  <c r="O13" i="82"/>
  <c r="I14" i="82"/>
  <c r="J14" i="82"/>
  <c r="D14" i="82"/>
  <c r="O14" i="82"/>
  <c r="I15" i="82"/>
  <c r="J15" i="82"/>
  <c r="D15" i="82"/>
  <c r="O15" i="82"/>
  <c r="I16" i="82"/>
  <c r="J16" i="82"/>
  <c r="D16" i="82"/>
  <c r="O16" i="82"/>
  <c r="I17" i="82"/>
  <c r="J17" i="82"/>
  <c r="D17" i="82"/>
  <c r="O17" i="82"/>
  <c r="I18" i="82"/>
  <c r="J18" i="82"/>
  <c r="D18" i="82"/>
  <c r="O18" i="82"/>
  <c r="I19" i="82"/>
  <c r="J19" i="82"/>
  <c r="D19" i="82"/>
  <c r="O19" i="82"/>
  <c r="I20" i="82"/>
  <c r="J20" i="82"/>
  <c r="D20" i="82"/>
  <c r="O20" i="82"/>
  <c r="I21" i="82"/>
  <c r="J21" i="82"/>
  <c r="D21" i="82"/>
  <c r="O21" i="82"/>
  <c r="I22" i="82"/>
  <c r="J22" i="82"/>
  <c r="D22" i="82"/>
  <c r="O22" i="82"/>
  <c r="I23" i="82"/>
  <c r="J23" i="82"/>
  <c r="D23" i="82"/>
  <c r="O23" i="82"/>
  <c r="I24" i="82"/>
  <c r="J24" i="82"/>
  <c r="D24" i="82"/>
  <c r="O24" i="82"/>
  <c r="I25" i="82"/>
  <c r="J25" i="82"/>
  <c r="D25" i="82"/>
  <c r="O25" i="82"/>
  <c r="I26" i="82"/>
  <c r="J26" i="82"/>
  <c r="D26" i="82"/>
  <c r="O26" i="82"/>
  <c r="I27" i="82"/>
  <c r="J27" i="82"/>
  <c r="D27" i="82"/>
  <c r="O27" i="82"/>
  <c r="I28" i="82"/>
  <c r="J28" i="82"/>
  <c r="D28" i="82"/>
  <c r="O28" i="82"/>
  <c r="I29" i="82"/>
  <c r="J29" i="82"/>
  <c r="D29" i="82"/>
  <c r="O29" i="82"/>
  <c r="I30" i="82"/>
  <c r="J30" i="82"/>
  <c r="D30" i="82"/>
  <c r="O30" i="82"/>
  <c r="I31" i="82"/>
  <c r="J31" i="82"/>
  <c r="D31" i="82"/>
  <c r="O31" i="82"/>
  <c r="I32" i="82"/>
  <c r="J32" i="82"/>
  <c r="D32" i="82"/>
  <c r="O32" i="82"/>
  <c r="I33" i="82"/>
  <c r="J33" i="82"/>
  <c r="D33" i="82"/>
  <c r="O33" i="82"/>
  <c r="I34" i="82"/>
  <c r="J34" i="82"/>
  <c r="D34" i="82"/>
  <c r="O34" i="82"/>
  <c r="I35" i="82"/>
  <c r="J35" i="82"/>
  <c r="D35" i="82"/>
  <c r="O35" i="82"/>
  <c r="I36" i="82"/>
  <c r="J36" i="82"/>
  <c r="D36" i="82"/>
  <c r="O36" i="82"/>
  <c r="I37" i="82"/>
  <c r="J37" i="82"/>
  <c r="D37" i="82"/>
  <c r="O37" i="82"/>
  <c r="I38" i="82"/>
  <c r="J38" i="82"/>
  <c r="D38" i="82"/>
  <c r="O38" i="82"/>
  <c r="I39" i="82"/>
  <c r="J39" i="82"/>
  <c r="D39" i="82"/>
  <c r="O39" i="82"/>
  <c r="I40" i="82"/>
  <c r="J40" i="82"/>
  <c r="D40" i="82"/>
  <c r="O40" i="82"/>
  <c r="I41" i="82"/>
  <c r="J41" i="82"/>
  <c r="D41" i="82"/>
  <c r="O41" i="82"/>
  <c r="I42" i="82"/>
  <c r="J42" i="82"/>
  <c r="D42" i="82"/>
  <c r="O42" i="82"/>
  <c r="I43" i="82"/>
  <c r="J43" i="82"/>
  <c r="D43" i="82"/>
  <c r="O43" i="82"/>
  <c r="I44" i="82"/>
  <c r="J44" i="82"/>
  <c r="D44" i="82"/>
  <c r="O44" i="82"/>
  <c r="I45" i="82"/>
  <c r="J45" i="82"/>
  <c r="D45" i="82"/>
  <c r="O45" i="82"/>
  <c r="I46" i="82"/>
  <c r="J46" i="82"/>
  <c r="D46" i="82"/>
  <c r="O46" i="82"/>
  <c r="I47" i="82"/>
  <c r="J47" i="82"/>
  <c r="D47" i="82"/>
  <c r="O47" i="82"/>
  <c r="I48" i="82"/>
  <c r="J48" i="82"/>
  <c r="D48" i="82"/>
  <c r="O48" i="82"/>
  <c r="I49" i="82"/>
  <c r="J49" i="82"/>
  <c r="D49" i="82"/>
  <c r="O49" i="82"/>
  <c r="I50" i="82"/>
  <c r="J50" i="82"/>
  <c r="D50" i="82"/>
  <c r="O50" i="82"/>
  <c r="I51" i="82"/>
  <c r="J51" i="82"/>
  <c r="D51" i="82"/>
  <c r="O51" i="82"/>
  <c r="I52" i="82"/>
  <c r="J52" i="82"/>
  <c r="D52" i="82"/>
  <c r="O52" i="82"/>
  <c r="I53" i="82"/>
  <c r="J53" i="82"/>
  <c r="D53" i="82"/>
  <c r="O53" i="82"/>
  <c r="I54" i="82"/>
  <c r="J54" i="82"/>
  <c r="D54" i="82"/>
  <c r="O54" i="82"/>
  <c r="I55" i="82"/>
  <c r="J55" i="82"/>
  <c r="D55" i="82"/>
  <c r="O55" i="82"/>
  <c r="I56" i="82"/>
  <c r="J56" i="82"/>
  <c r="D56" i="82"/>
  <c r="O56" i="82"/>
  <c r="I57" i="82"/>
  <c r="J57" i="82"/>
  <c r="D57" i="82"/>
  <c r="O57" i="82"/>
  <c r="I58" i="82"/>
  <c r="J58" i="82"/>
  <c r="D58" i="82"/>
  <c r="O58" i="82"/>
  <c r="I59" i="82"/>
  <c r="J59" i="82"/>
  <c r="D59" i="82"/>
  <c r="O59" i="82"/>
  <c r="I60" i="82"/>
  <c r="J60" i="82"/>
  <c r="D60" i="82"/>
  <c r="O60" i="82"/>
  <c r="I61" i="82"/>
  <c r="J61" i="82"/>
  <c r="D61" i="82"/>
  <c r="O61" i="82"/>
  <c r="I62" i="82"/>
  <c r="J62" i="82"/>
  <c r="D62" i="82"/>
  <c r="O62" i="82"/>
  <c r="I63" i="82"/>
  <c r="J63" i="82"/>
  <c r="D63" i="82"/>
  <c r="O63" i="82"/>
  <c r="I64" i="82"/>
  <c r="J64" i="82"/>
  <c r="D64" i="82"/>
  <c r="O64" i="82"/>
  <c r="I65" i="82"/>
  <c r="J65" i="82"/>
  <c r="D65" i="82"/>
  <c r="O65" i="82"/>
  <c r="I66" i="82"/>
  <c r="J66" i="82"/>
  <c r="D66" i="82"/>
  <c r="O66" i="82"/>
  <c r="I67" i="82"/>
  <c r="J67" i="82"/>
  <c r="D67" i="82"/>
  <c r="O67" i="82"/>
  <c r="I68" i="82"/>
  <c r="J68" i="82"/>
  <c r="D68" i="82"/>
  <c r="O68" i="82"/>
  <c r="I69" i="82"/>
  <c r="J69" i="82"/>
  <c r="D69" i="82"/>
  <c r="O69" i="82"/>
  <c r="I70" i="82"/>
  <c r="J70" i="82"/>
  <c r="D70" i="82"/>
  <c r="O70" i="82"/>
  <c r="I71" i="82"/>
  <c r="J71" i="82"/>
  <c r="D71" i="82"/>
  <c r="O71" i="82"/>
  <c r="I72" i="82"/>
  <c r="J72" i="82"/>
  <c r="D72" i="82"/>
  <c r="O72" i="82"/>
  <c r="I73" i="82"/>
  <c r="J73" i="82"/>
  <c r="D73" i="82"/>
  <c r="O73" i="82"/>
  <c r="I74" i="82"/>
  <c r="J74" i="82"/>
  <c r="D74" i="82"/>
  <c r="O74" i="82"/>
  <c r="I75" i="82"/>
  <c r="J75" i="82"/>
  <c r="D75" i="82"/>
  <c r="O75" i="82"/>
  <c r="I76" i="82"/>
  <c r="J76" i="82"/>
  <c r="D76" i="82"/>
  <c r="O76" i="82"/>
  <c r="I77" i="82"/>
  <c r="J77" i="82"/>
  <c r="D77" i="82"/>
  <c r="O77" i="82"/>
  <c r="I78" i="82"/>
  <c r="J78" i="82"/>
  <c r="D78" i="82"/>
  <c r="O78" i="82"/>
  <c r="I79" i="82"/>
  <c r="J79" i="82"/>
  <c r="D79" i="82"/>
  <c r="O79" i="82"/>
  <c r="I80" i="82"/>
  <c r="J80" i="82"/>
  <c r="D80" i="82"/>
  <c r="O80" i="82"/>
  <c r="I81" i="82"/>
  <c r="J81" i="82"/>
  <c r="D81" i="82"/>
  <c r="O81" i="82"/>
  <c r="I82" i="82"/>
  <c r="J82" i="82"/>
  <c r="D82" i="82"/>
  <c r="O82" i="82"/>
  <c r="I83" i="82"/>
  <c r="J83" i="82"/>
  <c r="D83" i="82"/>
  <c r="O83" i="82"/>
  <c r="I84" i="82"/>
  <c r="J84" i="82"/>
  <c r="D84" i="82"/>
  <c r="O84" i="82"/>
  <c r="I85" i="82"/>
  <c r="J85" i="82"/>
  <c r="D85" i="82"/>
  <c r="O85" i="82"/>
  <c r="I86" i="82"/>
  <c r="J86" i="82"/>
  <c r="D86" i="82"/>
  <c r="O86" i="82"/>
  <c r="I87" i="82"/>
  <c r="J87" i="82"/>
  <c r="D87" i="82"/>
  <c r="O87" i="82"/>
  <c r="I88" i="82"/>
  <c r="J88" i="82"/>
  <c r="D88" i="82"/>
  <c r="O88" i="82"/>
  <c r="I89" i="82"/>
  <c r="J89" i="82"/>
  <c r="D89" i="82"/>
  <c r="O89" i="82"/>
  <c r="I90" i="82"/>
  <c r="J90" i="82"/>
  <c r="D90" i="82"/>
  <c r="O90" i="82"/>
  <c r="I91" i="82"/>
  <c r="J91" i="82"/>
  <c r="D91" i="82"/>
  <c r="O91" i="82"/>
  <c r="I92" i="82"/>
  <c r="J92" i="82"/>
  <c r="D92" i="82"/>
  <c r="O92" i="82"/>
  <c r="I93" i="82"/>
  <c r="J93" i="82"/>
  <c r="D93" i="82"/>
  <c r="O93" i="82"/>
  <c r="I94" i="82"/>
  <c r="J94" i="82"/>
  <c r="D94" i="82"/>
  <c r="O94" i="82"/>
  <c r="I95" i="82"/>
  <c r="J95" i="82"/>
  <c r="D95" i="82"/>
  <c r="O95" i="82"/>
  <c r="I96" i="82"/>
  <c r="J96" i="82"/>
  <c r="D96" i="82"/>
  <c r="O96" i="82"/>
  <c r="I97" i="82"/>
  <c r="J97" i="82"/>
  <c r="D97" i="82"/>
  <c r="O97" i="82"/>
  <c r="I98" i="82"/>
  <c r="J98" i="82"/>
  <c r="D98" i="82"/>
  <c r="O98" i="82"/>
  <c r="I99" i="82"/>
  <c r="J99" i="82"/>
  <c r="D99" i="82"/>
  <c r="O99" i="82"/>
  <c r="I100" i="82"/>
  <c r="J100" i="82"/>
  <c r="D100" i="82"/>
  <c r="O100" i="82"/>
  <c r="I101" i="82"/>
  <c r="J101" i="82"/>
  <c r="D101" i="82"/>
  <c r="O101" i="82"/>
  <c r="I102" i="82"/>
  <c r="J102" i="82"/>
  <c r="D102" i="82"/>
  <c r="O102" i="82"/>
  <c r="I103" i="82"/>
  <c r="J103" i="82"/>
  <c r="D103" i="82"/>
  <c r="O103" i="82"/>
  <c r="I104" i="82"/>
  <c r="J104" i="82"/>
  <c r="D104" i="82"/>
  <c r="O104" i="82"/>
  <c r="I105" i="82"/>
  <c r="J105" i="82"/>
  <c r="D105" i="82"/>
  <c r="O105" i="82"/>
  <c r="I106" i="82"/>
  <c r="J106" i="82"/>
  <c r="D106" i="82"/>
  <c r="O106" i="82"/>
  <c r="I107" i="82"/>
  <c r="J107" i="82"/>
  <c r="D107" i="82"/>
  <c r="O107" i="82"/>
  <c r="I108" i="82"/>
  <c r="J108" i="82"/>
  <c r="D108" i="82"/>
  <c r="O108" i="82"/>
  <c r="I109" i="82"/>
  <c r="J109" i="82"/>
  <c r="D109" i="82"/>
  <c r="O109" i="82"/>
  <c r="I110" i="82"/>
  <c r="J110" i="82"/>
  <c r="D110" i="82"/>
  <c r="O110" i="82"/>
  <c r="I111" i="82"/>
  <c r="J111" i="82"/>
  <c r="D111" i="82"/>
  <c r="O111" i="82"/>
  <c r="I112" i="82"/>
  <c r="J112" i="82"/>
  <c r="D112" i="82"/>
  <c r="O112" i="82"/>
  <c r="I113" i="82"/>
  <c r="J113" i="82"/>
  <c r="D113" i="82"/>
  <c r="O113" i="82"/>
  <c r="I114" i="82"/>
  <c r="J114" i="82"/>
  <c r="D114" i="82"/>
  <c r="O114" i="82"/>
  <c r="I115" i="82"/>
  <c r="J115" i="82"/>
  <c r="D115" i="82"/>
  <c r="O115" i="82"/>
  <c r="I116" i="82"/>
  <c r="J116" i="82"/>
  <c r="D116" i="82"/>
  <c r="O116" i="82"/>
  <c r="I117" i="82"/>
  <c r="J117" i="82"/>
  <c r="D117" i="82"/>
  <c r="O117" i="82"/>
  <c r="I118" i="82"/>
  <c r="J118" i="82"/>
  <c r="D118" i="82"/>
  <c r="O118" i="82"/>
  <c r="I119" i="82"/>
  <c r="J119" i="82"/>
  <c r="D119" i="82"/>
  <c r="O119" i="82"/>
  <c r="I120" i="82"/>
  <c r="J120" i="82"/>
  <c r="D120" i="82"/>
  <c r="O120" i="82"/>
  <c r="I121" i="82"/>
  <c r="J121" i="82"/>
  <c r="D121" i="82"/>
  <c r="O121" i="82"/>
  <c r="I122" i="82"/>
  <c r="J122" i="82"/>
  <c r="D122" i="82"/>
  <c r="O122" i="82"/>
  <c r="I123" i="82"/>
  <c r="J123" i="82"/>
  <c r="D123" i="82"/>
  <c r="O123" i="82"/>
  <c r="I124" i="82"/>
  <c r="J124" i="82"/>
  <c r="D124" i="82"/>
  <c r="O124" i="82"/>
  <c r="I125" i="82"/>
  <c r="J125" i="82"/>
  <c r="D125" i="82"/>
  <c r="O125" i="82"/>
  <c r="I126" i="82"/>
  <c r="J126" i="82"/>
  <c r="D126" i="82"/>
  <c r="O126" i="82"/>
  <c r="I127" i="82"/>
  <c r="J127" i="82"/>
  <c r="D127" i="82"/>
  <c r="O127" i="82"/>
  <c r="I128" i="82"/>
  <c r="J128" i="82"/>
  <c r="D128" i="82"/>
  <c r="O128" i="82"/>
  <c r="I129" i="82"/>
  <c r="J129" i="82"/>
  <c r="D129" i="82"/>
  <c r="O129" i="82"/>
  <c r="I130" i="82"/>
  <c r="J130" i="82"/>
  <c r="D130" i="82"/>
  <c r="O130" i="82"/>
  <c r="I131" i="82"/>
  <c r="J131" i="82"/>
  <c r="D131" i="82"/>
  <c r="O131" i="82"/>
  <c r="I132" i="82"/>
  <c r="J132" i="82"/>
  <c r="D132" i="82"/>
  <c r="O132" i="82"/>
  <c r="I133" i="82"/>
  <c r="J133" i="82"/>
  <c r="D133" i="82"/>
  <c r="O133" i="82"/>
  <c r="I134" i="82"/>
  <c r="J134" i="82"/>
  <c r="D134" i="82"/>
  <c r="O134" i="82"/>
  <c r="I135" i="82"/>
  <c r="J135" i="82"/>
  <c r="D135" i="82"/>
  <c r="O135" i="82"/>
  <c r="I136" i="82"/>
  <c r="J136" i="82"/>
  <c r="D136" i="82"/>
  <c r="O136" i="82"/>
  <c r="I137" i="82"/>
  <c r="J137" i="82"/>
  <c r="D137" i="82"/>
  <c r="O137" i="82"/>
  <c r="I138" i="82"/>
  <c r="J138" i="82"/>
  <c r="D138" i="82"/>
  <c r="O138" i="82"/>
  <c r="I139" i="82"/>
  <c r="J139" i="82"/>
  <c r="D139" i="82"/>
  <c r="O139" i="82"/>
  <c r="I140" i="82"/>
  <c r="J140" i="82"/>
  <c r="D140" i="82"/>
  <c r="O140" i="82"/>
  <c r="I141" i="82"/>
  <c r="J141" i="82"/>
  <c r="D141" i="82"/>
  <c r="O141" i="82"/>
  <c r="I142" i="82"/>
  <c r="J142" i="82"/>
  <c r="D142" i="82"/>
  <c r="O142" i="82"/>
  <c r="I143" i="82"/>
  <c r="J143" i="82"/>
  <c r="D143" i="82"/>
  <c r="O143" i="82"/>
  <c r="I144" i="82"/>
  <c r="J144" i="82"/>
  <c r="D144" i="82"/>
  <c r="O144" i="82"/>
  <c r="I145" i="82"/>
  <c r="J145" i="82"/>
  <c r="D145" i="82"/>
  <c r="O145" i="82"/>
  <c r="I146" i="82"/>
  <c r="J146" i="82"/>
  <c r="D146" i="82"/>
  <c r="O146" i="82"/>
  <c r="I147" i="82"/>
  <c r="J147" i="82"/>
  <c r="D147" i="82"/>
  <c r="O147" i="82"/>
  <c r="I148" i="82"/>
  <c r="J148" i="82"/>
  <c r="D148" i="82"/>
  <c r="O148" i="82"/>
  <c r="I149" i="82"/>
  <c r="J149" i="82"/>
  <c r="D149" i="82"/>
  <c r="O149" i="82"/>
  <c r="I150" i="82"/>
  <c r="J150" i="82"/>
  <c r="D150" i="82"/>
  <c r="O150" i="82"/>
  <c r="I151" i="82"/>
  <c r="J151" i="82"/>
  <c r="D151" i="82"/>
  <c r="O151" i="82"/>
  <c r="I152" i="82"/>
  <c r="J152" i="82"/>
  <c r="D152" i="82"/>
  <c r="O152" i="82"/>
  <c r="I153" i="82"/>
  <c r="J153" i="82"/>
  <c r="D153" i="82"/>
  <c r="O153" i="82"/>
  <c r="I154" i="82"/>
  <c r="J154" i="82"/>
  <c r="D154" i="82"/>
  <c r="O154" i="82"/>
  <c r="I155" i="82"/>
  <c r="J155" i="82"/>
  <c r="D155" i="82"/>
  <c r="O155" i="82"/>
  <c r="I156" i="82"/>
  <c r="J156" i="82"/>
  <c r="D156" i="82"/>
  <c r="O156" i="82"/>
  <c r="I157" i="82"/>
  <c r="J157" i="82"/>
  <c r="D157" i="82"/>
  <c r="O157" i="82"/>
  <c r="I158" i="82"/>
  <c r="J158" i="82"/>
  <c r="D158" i="82"/>
  <c r="O158" i="82"/>
  <c r="I159" i="82"/>
  <c r="J159" i="82"/>
  <c r="D159" i="82"/>
  <c r="O159" i="82"/>
  <c r="I160" i="82"/>
  <c r="J160" i="82"/>
  <c r="D160" i="82"/>
  <c r="O160" i="82"/>
  <c r="I161" i="82"/>
  <c r="J161" i="82"/>
  <c r="D161" i="82"/>
  <c r="O161" i="82"/>
  <c r="I162" i="82"/>
  <c r="J162" i="82"/>
  <c r="D162" i="82"/>
  <c r="O162" i="82"/>
  <c r="I163" i="82"/>
  <c r="J163" i="82"/>
  <c r="D163" i="82"/>
  <c r="O163" i="82"/>
  <c r="I164" i="82"/>
  <c r="J164" i="82"/>
  <c r="D164" i="82"/>
  <c r="O164" i="82"/>
  <c r="I165" i="82"/>
  <c r="J165" i="82"/>
  <c r="D165" i="82"/>
  <c r="O165" i="82"/>
  <c r="I166" i="82"/>
  <c r="J166" i="82"/>
  <c r="D166" i="82"/>
  <c r="O166" i="82"/>
  <c r="I167" i="82"/>
  <c r="J167" i="82"/>
  <c r="D167" i="82"/>
  <c r="O167" i="82"/>
  <c r="I168" i="82"/>
  <c r="J168" i="82"/>
  <c r="D168" i="82"/>
  <c r="O168" i="82"/>
  <c r="I169" i="82"/>
  <c r="J169" i="82"/>
  <c r="D169" i="82"/>
  <c r="O169" i="82"/>
  <c r="I170" i="82"/>
  <c r="J170" i="82"/>
  <c r="D170" i="82"/>
  <c r="O170" i="82"/>
  <c r="I171" i="82"/>
  <c r="J171" i="82"/>
  <c r="D171" i="82"/>
  <c r="O171" i="82"/>
  <c r="I172" i="82"/>
  <c r="J172" i="82"/>
  <c r="D172" i="82"/>
  <c r="O172" i="82"/>
  <c r="I173" i="82"/>
  <c r="J173" i="82"/>
  <c r="D173" i="82"/>
  <c r="O173" i="82"/>
  <c r="I174" i="82"/>
  <c r="J174" i="82"/>
  <c r="D174" i="82"/>
  <c r="O174" i="82"/>
  <c r="I175" i="82"/>
  <c r="J175" i="82"/>
  <c r="D175" i="82"/>
  <c r="O175" i="82"/>
  <c r="I176" i="82"/>
  <c r="J176" i="82"/>
  <c r="D176" i="82"/>
  <c r="O176" i="82"/>
  <c r="I177" i="82"/>
  <c r="J177" i="82"/>
  <c r="D177" i="82"/>
  <c r="O177" i="82"/>
  <c r="I178" i="82"/>
  <c r="J178" i="82"/>
  <c r="D178" i="82"/>
  <c r="O178" i="82"/>
  <c r="I179" i="82"/>
  <c r="J179" i="82"/>
  <c r="D179" i="82"/>
  <c r="O179" i="82"/>
  <c r="I180" i="82"/>
  <c r="J180" i="82"/>
  <c r="D180" i="82"/>
  <c r="O180" i="82"/>
  <c r="I181" i="82"/>
  <c r="J181" i="82"/>
  <c r="D181" i="82"/>
  <c r="O181" i="82"/>
  <c r="I182" i="82"/>
  <c r="J182" i="82"/>
  <c r="D182" i="82"/>
  <c r="O182" i="82"/>
  <c r="I183" i="82"/>
  <c r="J183" i="82"/>
  <c r="D183" i="82"/>
  <c r="O183" i="82"/>
  <c r="I184" i="82"/>
  <c r="J184" i="82"/>
  <c r="D184" i="82"/>
  <c r="O184" i="82"/>
  <c r="I185" i="82"/>
  <c r="J185" i="82"/>
  <c r="D185" i="82"/>
  <c r="O185" i="82"/>
  <c r="I186" i="82"/>
  <c r="J186" i="82"/>
  <c r="D186" i="82"/>
  <c r="O186" i="82"/>
  <c r="I187" i="82"/>
  <c r="J187" i="82"/>
  <c r="D187" i="82"/>
  <c r="O187" i="82"/>
  <c r="I188" i="82"/>
  <c r="J188" i="82"/>
  <c r="D188" i="82"/>
  <c r="O188" i="82"/>
  <c r="I189" i="82"/>
  <c r="J189" i="82"/>
  <c r="D189" i="82"/>
  <c r="O189" i="82"/>
  <c r="I190" i="82"/>
  <c r="J190" i="82"/>
  <c r="D190" i="82"/>
  <c r="O190" i="82"/>
  <c r="I191" i="82"/>
  <c r="J191" i="82"/>
  <c r="D191" i="82"/>
  <c r="O191" i="82"/>
  <c r="I192" i="82"/>
  <c r="J192" i="82"/>
  <c r="D192" i="82"/>
  <c r="O192" i="82"/>
  <c r="I193" i="82"/>
  <c r="J193" i="82"/>
  <c r="D193" i="82"/>
  <c r="O193" i="82"/>
  <c r="I194" i="82"/>
  <c r="J194" i="82"/>
  <c r="D194" i="82"/>
  <c r="O194" i="82"/>
  <c r="I195" i="82"/>
  <c r="J195" i="82"/>
  <c r="D195" i="82"/>
  <c r="O195" i="82"/>
  <c r="I196" i="82"/>
  <c r="J196" i="82"/>
  <c r="D196" i="82"/>
  <c r="O196" i="82"/>
  <c r="I197" i="82"/>
  <c r="J197" i="82"/>
  <c r="D197" i="82"/>
  <c r="O197" i="82"/>
  <c r="I198" i="82"/>
  <c r="J198" i="82"/>
  <c r="D198" i="82"/>
  <c r="O198" i="82"/>
  <c r="I199" i="82"/>
  <c r="J199" i="82"/>
  <c r="D199" i="82"/>
  <c r="O199" i="82"/>
  <c r="I200" i="82"/>
  <c r="J200" i="82"/>
  <c r="D200" i="82"/>
  <c r="O200" i="82"/>
  <c r="I201" i="82"/>
  <c r="J201" i="82"/>
  <c r="D201" i="82"/>
  <c r="O201" i="82"/>
  <c r="I202" i="82"/>
  <c r="J202" i="82"/>
  <c r="D202" i="82"/>
  <c r="O202" i="82"/>
  <c r="I203" i="82"/>
  <c r="J203" i="82"/>
  <c r="D203" i="82"/>
  <c r="O203" i="82"/>
  <c r="I204" i="82"/>
  <c r="J204" i="82"/>
  <c r="D204" i="82"/>
  <c r="O204" i="82"/>
  <c r="I205" i="82"/>
  <c r="J205" i="82"/>
  <c r="D205" i="82"/>
  <c r="O205" i="82"/>
  <c r="I206" i="82"/>
  <c r="J206" i="82"/>
  <c r="D206" i="82"/>
  <c r="O206" i="82"/>
  <c r="I207" i="82"/>
  <c r="J207" i="82"/>
  <c r="D207" i="82"/>
  <c r="O207" i="82"/>
  <c r="I208" i="82"/>
  <c r="J208" i="82"/>
  <c r="D208" i="82"/>
  <c r="O208" i="82"/>
  <c r="I209" i="82"/>
  <c r="J209" i="82"/>
  <c r="D209" i="82"/>
  <c r="O209" i="82"/>
  <c r="I210" i="82"/>
  <c r="J210" i="82"/>
  <c r="D210" i="82"/>
  <c r="O210" i="82"/>
  <c r="I211" i="82"/>
  <c r="J211" i="82"/>
  <c r="D211" i="82"/>
  <c r="O211" i="82"/>
  <c r="I212" i="82"/>
  <c r="J212" i="82"/>
  <c r="D212" i="82"/>
  <c r="O212" i="82"/>
  <c r="I213" i="82"/>
  <c r="J213" i="82"/>
  <c r="D213" i="82"/>
  <c r="O213" i="82"/>
  <c r="I214" i="82"/>
  <c r="J214" i="82"/>
  <c r="D214" i="82"/>
  <c r="O214" i="82"/>
  <c r="I215" i="82"/>
  <c r="J215" i="82"/>
  <c r="D215" i="82"/>
  <c r="O215" i="82"/>
  <c r="I216" i="82"/>
  <c r="J216" i="82"/>
  <c r="D216" i="82"/>
  <c r="O216" i="82"/>
  <c r="I217" i="82"/>
  <c r="J217" i="82"/>
  <c r="D217" i="82"/>
  <c r="O217" i="82"/>
  <c r="I218" i="82"/>
  <c r="J218" i="82"/>
  <c r="D218" i="82"/>
  <c r="O218" i="82"/>
  <c r="I219" i="82"/>
  <c r="J219" i="82"/>
  <c r="D219" i="82"/>
  <c r="O219" i="82"/>
  <c r="I220" i="82"/>
  <c r="J220" i="82"/>
  <c r="D220" i="82"/>
  <c r="O220" i="82"/>
  <c r="I221" i="82"/>
  <c r="J221" i="82"/>
  <c r="D221" i="82"/>
  <c r="O221" i="82"/>
  <c r="I222" i="82"/>
  <c r="J222" i="82"/>
  <c r="D222" i="82"/>
  <c r="O222" i="82"/>
  <c r="I223" i="82"/>
  <c r="J223" i="82"/>
  <c r="D223" i="82"/>
  <c r="O223" i="82"/>
  <c r="I224" i="82"/>
  <c r="J224" i="82"/>
  <c r="D224" i="82"/>
  <c r="O224" i="82"/>
  <c r="I225" i="82"/>
  <c r="J225" i="82"/>
  <c r="D225" i="82"/>
  <c r="O225" i="82"/>
  <c r="I226" i="82"/>
  <c r="J226" i="82"/>
  <c r="D226" i="82"/>
  <c r="O226" i="82"/>
  <c r="I227" i="82"/>
  <c r="J227" i="82"/>
  <c r="D227" i="82"/>
  <c r="O227" i="82"/>
  <c r="I228" i="82"/>
  <c r="J228" i="82"/>
  <c r="D228" i="82"/>
  <c r="O228" i="82"/>
  <c r="I229" i="82"/>
  <c r="J229" i="82"/>
  <c r="D229" i="82"/>
  <c r="O229" i="82"/>
  <c r="I230" i="82"/>
  <c r="J230" i="82"/>
  <c r="D230" i="82"/>
  <c r="O230" i="82"/>
  <c r="I231" i="82"/>
  <c r="J231" i="82"/>
  <c r="D231" i="82"/>
  <c r="O231" i="82"/>
  <c r="I232" i="82"/>
  <c r="J232" i="82"/>
  <c r="D232" i="82"/>
  <c r="O232" i="82"/>
  <c r="I233" i="82"/>
  <c r="J233" i="82"/>
  <c r="D233" i="82"/>
  <c r="O233" i="82"/>
  <c r="I234" i="82"/>
  <c r="J234" i="82"/>
  <c r="D234" i="82"/>
  <c r="O234" i="82"/>
  <c r="I235" i="82"/>
  <c r="J235" i="82"/>
  <c r="D235" i="82"/>
  <c r="O235" i="82"/>
  <c r="I236" i="82"/>
  <c r="J236" i="82"/>
  <c r="D236" i="82"/>
  <c r="O236" i="82"/>
  <c r="I237" i="82"/>
  <c r="J237" i="82"/>
  <c r="D237" i="82"/>
  <c r="O237" i="82"/>
  <c r="I238" i="82"/>
  <c r="J238" i="82"/>
  <c r="D238" i="82"/>
  <c r="O238" i="82"/>
  <c r="I239" i="82"/>
  <c r="J239" i="82"/>
  <c r="D239" i="82"/>
  <c r="O239" i="82"/>
  <c r="I240" i="82"/>
  <c r="J240" i="82"/>
  <c r="D240" i="82"/>
  <c r="O240" i="82"/>
  <c r="I241" i="82"/>
  <c r="J241" i="82"/>
  <c r="D241" i="82"/>
  <c r="O241" i="82"/>
  <c r="I242" i="82"/>
  <c r="J242" i="82"/>
  <c r="D242" i="82"/>
  <c r="O242" i="82"/>
  <c r="I243" i="82"/>
  <c r="J243" i="82"/>
  <c r="D243" i="82"/>
  <c r="O243" i="82"/>
  <c r="I244" i="82"/>
  <c r="J244" i="82"/>
  <c r="D244" i="82"/>
  <c r="O244" i="82"/>
  <c r="I245" i="82"/>
  <c r="J245" i="82"/>
  <c r="D245" i="82"/>
  <c r="O245" i="82"/>
  <c r="I246" i="82"/>
  <c r="J246" i="82"/>
  <c r="D246" i="82"/>
  <c r="O246" i="82"/>
  <c r="I247" i="82"/>
  <c r="J247" i="82"/>
  <c r="D247" i="82"/>
  <c r="O247" i="82"/>
  <c r="I248" i="82"/>
  <c r="J248" i="82"/>
  <c r="D248" i="82"/>
  <c r="O248" i="82"/>
  <c r="I249" i="82"/>
  <c r="J249" i="82"/>
  <c r="D249" i="82"/>
  <c r="O249" i="82"/>
  <c r="I250" i="82"/>
  <c r="J250" i="82"/>
  <c r="D250" i="82"/>
  <c r="O250" i="82"/>
  <c r="I251" i="82"/>
  <c r="J251" i="82"/>
  <c r="D251" i="82"/>
  <c r="O251" i="82"/>
  <c r="I252" i="82"/>
  <c r="J252" i="82"/>
  <c r="D252" i="82"/>
  <c r="O252" i="82"/>
  <c r="I253" i="82"/>
  <c r="J253" i="82"/>
  <c r="D253" i="82"/>
  <c r="O253" i="82"/>
  <c r="I254" i="82"/>
  <c r="J254" i="82"/>
  <c r="D254" i="82"/>
  <c r="O254" i="82"/>
  <c r="I255" i="82"/>
  <c r="J255" i="82"/>
  <c r="D255" i="82"/>
  <c r="O255" i="82"/>
  <c r="I2" i="82"/>
  <c r="J2" i="82"/>
  <c r="D2" i="82"/>
  <c r="O2" i="82"/>
  <c r="A29" i="94"/>
  <c r="A30" i="94"/>
  <c r="A31" i="94"/>
  <c r="A32" i="94"/>
  <c r="A33" i="94"/>
  <c r="A34" i="94"/>
  <c r="A35" i="94"/>
  <c r="A36" i="94"/>
  <c r="A37" i="94"/>
  <c r="A38" i="94"/>
  <c r="A39" i="94"/>
  <c r="A40" i="94"/>
  <c r="A41" i="94"/>
  <c r="A28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5" i="94"/>
  <c r="A4" i="94"/>
  <c r="E42" i="94"/>
  <c r="G29" i="94"/>
  <c r="I29" i="94"/>
  <c r="G30" i="94"/>
  <c r="I30" i="94"/>
  <c r="G31" i="94"/>
  <c r="I31" i="94"/>
  <c r="G32" i="94"/>
  <c r="I32" i="94"/>
  <c r="G33" i="94"/>
  <c r="I33" i="94"/>
  <c r="G34" i="94"/>
  <c r="I34" i="94"/>
  <c r="G35" i="94"/>
  <c r="I35" i="94"/>
  <c r="G36" i="94"/>
  <c r="I36" i="94"/>
  <c r="G37" i="94"/>
  <c r="I37" i="94"/>
  <c r="G38" i="94"/>
  <c r="I38" i="94"/>
  <c r="G39" i="94"/>
  <c r="I39" i="94"/>
  <c r="G40" i="94"/>
  <c r="I40" i="94"/>
  <c r="G41" i="94"/>
  <c r="I41" i="94"/>
  <c r="G28" i="94"/>
  <c r="I28" i="94"/>
  <c r="H34" i="94"/>
  <c r="J34" i="94"/>
  <c r="H35" i="94"/>
  <c r="J35" i="94"/>
  <c r="H36" i="94"/>
  <c r="J36" i="94"/>
  <c r="H37" i="94"/>
  <c r="J37" i="94"/>
  <c r="H38" i="94"/>
  <c r="J38" i="94"/>
  <c r="H39" i="94"/>
  <c r="J39" i="94"/>
  <c r="H40" i="94"/>
  <c r="J40" i="94"/>
  <c r="H41" i="94"/>
  <c r="J41" i="94"/>
  <c r="H28" i="94"/>
  <c r="J28" i="94"/>
  <c r="H29" i="94"/>
  <c r="J29" i="94"/>
  <c r="H30" i="94"/>
  <c r="J30" i="94"/>
  <c r="H31" i="94"/>
  <c r="J31" i="94"/>
  <c r="H32" i="94"/>
  <c r="J32" i="94"/>
  <c r="H33" i="94"/>
  <c r="J33" i="94"/>
  <c r="I42" i="94"/>
  <c r="G42" i="94"/>
  <c r="F42" i="94"/>
  <c r="E24" i="94"/>
  <c r="G22" i="94"/>
  <c r="I22" i="94"/>
  <c r="G23" i="94"/>
  <c r="I23" i="94"/>
  <c r="G4" i="94"/>
  <c r="I4" i="94"/>
  <c r="G5" i="94"/>
  <c r="I5" i="94"/>
  <c r="G6" i="94"/>
  <c r="I6" i="94"/>
  <c r="G7" i="94"/>
  <c r="I7" i="94"/>
  <c r="G8" i="94"/>
  <c r="I8" i="94"/>
  <c r="G9" i="94"/>
  <c r="I9" i="94"/>
  <c r="G10" i="94"/>
  <c r="I10" i="94"/>
  <c r="G11" i="94"/>
  <c r="I11" i="94"/>
  <c r="G12" i="94"/>
  <c r="I12" i="94"/>
  <c r="G13" i="94"/>
  <c r="I13" i="94"/>
  <c r="G14" i="94"/>
  <c r="I14" i="94"/>
  <c r="G15" i="94"/>
  <c r="I15" i="94"/>
  <c r="G16" i="94"/>
  <c r="I16" i="94"/>
  <c r="G17" i="94"/>
  <c r="I17" i="94"/>
  <c r="G18" i="94"/>
  <c r="I18" i="94"/>
  <c r="G19" i="94"/>
  <c r="I19" i="94"/>
  <c r="G20" i="94"/>
  <c r="I20" i="94"/>
  <c r="G21" i="94"/>
  <c r="I21" i="94"/>
  <c r="I24" i="94"/>
  <c r="G24" i="94"/>
  <c r="F24" i="94"/>
  <c r="K41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H5" i="94"/>
  <c r="J5" i="94"/>
  <c r="K5" i="94"/>
  <c r="H6" i="94"/>
  <c r="J6" i="94"/>
  <c r="K6" i="94"/>
  <c r="H7" i="94"/>
  <c r="J7" i="94"/>
  <c r="K7" i="94"/>
  <c r="H8" i="94"/>
  <c r="J8" i="94"/>
  <c r="K8" i="94"/>
  <c r="H9" i="94"/>
  <c r="J9" i="94"/>
  <c r="K9" i="94"/>
  <c r="H10" i="94"/>
  <c r="J10" i="94"/>
  <c r="K10" i="94"/>
  <c r="H11" i="94"/>
  <c r="J11" i="94"/>
  <c r="K11" i="94"/>
  <c r="H12" i="94"/>
  <c r="J12" i="94"/>
  <c r="K12" i="94"/>
  <c r="H13" i="94"/>
  <c r="J13" i="94"/>
  <c r="K13" i="94"/>
  <c r="H14" i="94"/>
  <c r="J14" i="94"/>
  <c r="K14" i="94"/>
  <c r="H15" i="94"/>
  <c r="J15" i="94"/>
  <c r="K15" i="94"/>
  <c r="H16" i="94"/>
  <c r="J16" i="94"/>
  <c r="K16" i="94"/>
  <c r="H17" i="94"/>
  <c r="J17" i="94"/>
  <c r="K17" i="94"/>
  <c r="H18" i="94"/>
  <c r="J18" i="94"/>
  <c r="K18" i="94"/>
  <c r="H19" i="94"/>
  <c r="J19" i="94"/>
  <c r="K19" i="94"/>
  <c r="H20" i="94"/>
  <c r="J20" i="94"/>
  <c r="K20" i="94"/>
  <c r="H21" i="94"/>
  <c r="J21" i="94"/>
  <c r="K21" i="94"/>
  <c r="H22" i="94"/>
  <c r="J22" i="94"/>
  <c r="K22" i="94"/>
  <c r="H23" i="94"/>
  <c r="J23" i="94"/>
  <c r="K23" i="94"/>
  <c r="H4" i="94"/>
  <c r="J4" i="94"/>
  <c r="K4" i="94"/>
  <c r="C254" i="82"/>
  <c r="E3" i="82"/>
  <c r="E4" i="82"/>
  <c r="E5" i="82"/>
  <c r="E6" i="82"/>
  <c r="E7" i="82"/>
  <c r="E8" i="82"/>
  <c r="E9" i="82"/>
  <c r="E10" i="82"/>
  <c r="E11" i="82"/>
  <c r="E12" i="82"/>
  <c r="E13" i="82"/>
  <c r="E14" i="82"/>
  <c r="E15" i="82"/>
  <c r="E16" i="82"/>
  <c r="E17" i="82"/>
  <c r="E18" i="82"/>
  <c r="E19" i="82"/>
  <c r="E20" i="82"/>
  <c r="E21" i="82"/>
  <c r="E22" i="82"/>
  <c r="E23" i="82"/>
  <c r="E24" i="82"/>
  <c r="E25" i="82"/>
  <c r="E26" i="82"/>
  <c r="E27" i="82"/>
  <c r="E28" i="82"/>
  <c r="E29" i="82"/>
  <c r="E30" i="82"/>
  <c r="E31" i="82"/>
  <c r="E32" i="82"/>
  <c r="E33" i="82"/>
  <c r="E34" i="82"/>
  <c r="E35" i="82"/>
  <c r="E36" i="82"/>
  <c r="E37" i="82"/>
  <c r="E38" i="82"/>
  <c r="E39" i="82"/>
  <c r="E40" i="82"/>
  <c r="E41" i="82"/>
  <c r="E42" i="82"/>
  <c r="E43" i="82"/>
  <c r="E44" i="82"/>
  <c r="E45" i="82"/>
  <c r="E46" i="82"/>
  <c r="E47" i="82"/>
  <c r="E48" i="82"/>
  <c r="E49" i="82"/>
  <c r="E50" i="82"/>
  <c r="E51" i="82"/>
  <c r="E52" i="82"/>
  <c r="E53" i="82"/>
  <c r="E54" i="82"/>
  <c r="E55" i="82"/>
  <c r="E56" i="82"/>
  <c r="E57" i="82"/>
  <c r="E58" i="82"/>
  <c r="E59" i="82"/>
  <c r="E60" i="82"/>
  <c r="E61" i="82"/>
  <c r="E62" i="82"/>
  <c r="E63" i="82"/>
  <c r="E64" i="82"/>
  <c r="E65" i="82"/>
  <c r="E66" i="82"/>
  <c r="E67" i="82"/>
  <c r="E68" i="82"/>
  <c r="E69" i="82"/>
  <c r="E70" i="82"/>
  <c r="E71" i="82"/>
  <c r="E72" i="82"/>
  <c r="E73" i="82"/>
  <c r="E74" i="82"/>
  <c r="E75" i="82"/>
  <c r="E76" i="82"/>
  <c r="E77" i="82"/>
  <c r="E78" i="82"/>
  <c r="E79" i="82"/>
  <c r="E80" i="82"/>
  <c r="E81" i="82"/>
  <c r="E82" i="82"/>
  <c r="E83" i="82"/>
  <c r="E84" i="82"/>
  <c r="E85" i="82"/>
  <c r="E86" i="82"/>
  <c r="E87" i="82"/>
  <c r="E88" i="82"/>
  <c r="E89" i="82"/>
  <c r="E90" i="82"/>
  <c r="E91" i="82"/>
  <c r="E92" i="82"/>
  <c r="E93" i="82"/>
  <c r="E94" i="82"/>
  <c r="E95" i="82"/>
  <c r="E96" i="82"/>
  <c r="E97" i="82"/>
  <c r="E98" i="82"/>
  <c r="E99" i="82"/>
  <c r="E100" i="82"/>
  <c r="E101" i="82"/>
  <c r="E102" i="82"/>
  <c r="E103" i="82"/>
  <c r="E104" i="82"/>
  <c r="E105" i="82"/>
  <c r="E106" i="82"/>
  <c r="E107" i="82"/>
  <c r="E108" i="82"/>
  <c r="E109" i="82"/>
  <c r="E110" i="82"/>
  <c r="E111" i="82"/>
  <c r="E112" i="82"/>
  <c r="E113" i="82"/>
  <c r="E114" i="82"/>
  <c r="E115" i="82"/>
  <c r="E116" i="82"/>
  <c r="E117" i="82"/>
  <c r="E118" i="82"/>
  <c r="E119" i="82"/>
  <c r="E120" i="82"/>
  <c r="E121" i="82"/>
  <c r="E122" i="82"/>
  <c r="E123" i="82"/>
  <c r="E124" i="82"/>
  <c r="E125" i="82"/>
  <c r="E126" i="82"/>
  <c r="E127" i="82"/>
  <c r="E128" i="82"/>
  <c r="E129" i="82"/>
  <c r="E130" i="82"/>
  <c r="E131" i="82"/>
  <c r="E132" i="82"/>
  <c r="E133" i="82"/>
  <c r="E134" i="82"/>
  <c r="E135" i="82"/>
  <c r="E136" i="82"/>
  <c r="E137" i="82"/>
  <c r="E138" i="82"/>
  <c r="E139" i="82"/>
  <c r="E140" i="82"/>
  <c r="E141" i="82"/>
  <c r="E142" i="82"/>
  <c r="E143" i="82"/>
  <c r="E144" i="82"/>
  <c r="E145" i="82"/>
  <c r="E146" i="82"/>
  <c r="E147" i="82"/>
  <c r="E148" i="82"/>
  <c r="E149" i="82"/>
  <c r="E150" i="82"/>
  <c r="E151" i="82"/>
  <c r="E152" i="82"/>
  <c r="E153" i="82"/>
  <c r="E154" i="82"/>
  <c r="E155" i="82"/>
  <c r="E156" i="82"/>
  <c r="E157" i="82"/>
  <c r="E158" i="82"/>
  <c r="E159" i="82"/>
  <c r="E160" i="82"/>
  <c r="E161" i="82"/>
  <c r="E162" i="82"/>
  <c r="E163" i="82"/>
  <c r="E164" i="82"/>
  <c r="E165" i="82"/>
  <c r="E166" i="82"/>
  <c r="E167" i="82"/>
  <c r="E168" i="82"/>
  <c r="E169" i="82"/>
  <c r="E170" i="82"/>
  <c r="E171" i="82"/>
  <c r="E172" i="82"/>
  <c r="E173" i="82"/>
  <c r="E174" i="82"/>
  <c r="E175" i="82"/>
  <c r="E176" i="82"/>
  <c r="E177" i="82"/>
  <c r="E178" i="82"/>
  <c r="E179" i="82"/>
  <c r="E180" i="82"/>
  <c r="E181" i="82"/>
  <c r="E182" i="82"/>
  <c r="E183" i="82"/>
  <c r="E184" i="82"/>
  <c r="E185" i="82"/>
  <c r="E186" i="82"/>
  <c r="E187" i="82"/>
  <c r="E188" i="82"/>
  <c r="E189" i="82"/>
  <c r="E190" i="82"/>
  <c r="E191" i="82"/>
  <c r="E192" i="82"/>
  <c r="E193" i="82"/>
  <c r="E194" i="82"/>
  <c r="E195" i="82"/>
  <c r="E196" i="82"/>
  <c r="E197" i="82"/>
  <c r="E198" i="82"/>
  <c r="E199" i="82"/>
  <c r="E200" i="82"/>
  <c r="E201" i="82"/>
  <c r="E202" i="82"/>
  <c r="E203" i="82"/>
  <c r="E204" i="82"/>
  <c r="E205" i="82"/>
  <c r="E206" i="82"/>
  <c r="E207" i="82"/>
  <c r="E208" i="82"/>
  <c r="E209" i="82"/>
  <c r="E210" i="82"/>
  <c r="E211" i="82"/>
  <c r="E212" i="82"/>
  <c r="E213" i="82"/>
  <c r="E214" i="82"/>
  <c r="E215" i="82"/>
  <c r="E216" i="82"/>
  <c r="E217" i="82"/>
  <c r="E218" i="82"/>
  <c r="E219" i="82"/>
  <c r="E220" i="82"/>
  <c r="E221" i="82"/>
  <c r="E222" i="82"/>
  <c r="E223" i="82"/>
  <c r="E224" i="82"/>
  <c r="E225" i="82"/>
  <c r="E226" i="82"/>
  <c r="E227" i="82"/>
  <c r="E228" i="82"/>
  <c r="E229" i="82"/>
  <c r="E230" i="82"/>
  <c r="E231" i="82"/>
  <c r="E232" i="82"/>
  <c r="E233" i="82"/>
  <c r="E234" i="82"/>
  <c r="E235" i="82"/>
  <c r="E236" i="82"/>
  <c r="E237" i="82"/>
  <c r="E238" i="82"/>
  <c r="E239" i="82"/>
  <c r="E240" i="82"/>
  <c r="E241" i="82"/>
  <c r="E242" i="82"/>
  <c r="E243" i="82"/>
  <c r="E244" i="82"/>
  <c r="E245" i="82"/>
  <c r="E246" i="82"/>
  <c r="E247" i="82"/>
  <c r="E248" i="82"/>
  <c r="E249" i="82"/>
  <c r="E250" i="82"/>
  <c r="E251" i="82"/>
  <c r="E252" i="82"/>
  <c r="E253" i="82"/>
  <c r="E254" i="82"/>
  <c r="E255" i="82"/>
  <c r="E2" i="82"/>
  <c r="C2" i="82"/>
  <c r="G102" i="91"/>
  <c r="H102" i="91"/>
  <c r="C102" i="91"/>
  <c r="M102" i="91"/>
  <c r="G103" i="91"/>
  <c r="H103" i="91"/>
  <c r="C103" i="91"/>
  <c r="M103" i="91"/>
  <c r="G104" i="91"/>
  <c r="H104" i="91"/>
  <c r="C104" i="91"/>
  <c r="M104" i="91"/>
  <c r="G105" i="91"/>
  <c r="H105" i="91"/>
  <c r="C105" i="91"/>
  <c r="M105" i="91"/>
  <c r="G106" i="91"/>
  <c r="H106" i="91"/>
  <c r="C106" i="91"/>
  <c r="M106" i="91"/>
  <c r="G107" i="91"/>
  <c r="H107" i="91"/>
  <c r="C107" i="91"/>
  <c r="M107" i="91"/>
  <c r="G108" i="91"/>
  <c r="H108" i="91"/>
  <c r="C108" i="91"/>
  <c r="M108" i="91"/>
  <c r="G109" i="91"/>
  <c r="H109" i="91"/>
  <c r="C109" i="91"/>
  <c r="M109" i="91"/>
  <c r="G110" i="91"/>
  <c r="H110" i="91"/>
  <c r="C110" i="91"/>
  <c r="M110" i="91"/>
  <c r="G111" i="91"/>
  <c r="H111" i="91"/>
  <c r="C111" i="91"/>
  <c r="M111" i="91"/>
  <c r="G112" i="91"/>
  <c r="H112" i="91"/>
  <c r="C112" i="91"/>
  <c r="M112" i="91"/>
  <c r="G113" i="91"/>
  <c r="H113" i="91"/>
  <c r="C113" i="91"/>
  <c r="M113" i="91"/>
  <c r="G114" i="91"/>
  <c r="H114" i="91"/>
  <c r="C114" i="91"/>
  <c r="M114" i="91"/>
  <c r="G115" i="91"/>
  <c r="H115" i="91"/>
  <c r="C115" i="91"/>
  <c r="M115" i="91"/>
  <c r="G116" i="91"/>
  <c r="H116" i="91"/>
  <c r="C116" i="91"/>
  <c r="M116" i="91"/>
  <c r="G117" i="91"/>
  <c r="H117" i="91"/>
  <c r="C117" i="91"/>
  <c r="M117" i="91"/>
  <c r="G118" i="91"/>
  <c r="H118" i="91"/>
  <c r="C118" i="91"/>
  <c r="M118" i="91"/>
  <c r="G119" i="91"/>
  <c r="H119" i="91"/>
  <c r="C119" i="91"/>
  <c r="M119" i="91"/>
  <c r="G120" i="91"/>
  <c r="H120" i="91"/>
  <c r="C120" i="91"/>
  <c r="M120" i="91"/>
  <c r="G121" i="91"/>
  <c r="H121" i="91"/>
  <c r="C121" i="91"/>
  <c r="M121" i="91"/>
  <c r="G122" i="91"/>
  <c r="H122" i="91"/>
  <c r="C122" i="91"/>
  <c r="M122" i="91"/>
  <c r="G123" i="91"/>
  <c r="H123" i="91"/>
  <c r="C123" i="91"/>
  <c r="M123" i="91"/>
  <c r="G124" i="91"/>
  <c r="H124" i="91"/>
  <c r="C124" i="91"/>
  <c r="M124" i="91"/>
  <c r="G125" i="91"/>
  <c r="H125" i="91"/>
  <c r="C125" i="91"/>
  <c r="M125" i="91"/>
  <c r="G126" i="91"/>
  <c r="H126" i="91"/>
  <c r="C126" i="91"/>
  <c r="M126" i="91"/>
  <c r="G127" i="91"/>
  <c r="H127" i="91"/>
  <c r="C127" i="91"/>
  <c r="M127" i="91"/>
  <c r="G128" i="91"/>
  <c r="H128" i="91"/>
  <c r="C128" i="91"/>
  <c r="M128" i="91"/>
  <c r="G129" i="91"/>
  <c r="H129" i="91"/>
  <c r="C129" i="91"/>
  <c r="M129" i="91"/>
  <c r="G130" i="91"/>
  <c r="H130" i="91"/>
  <c r="C130" i="91"/>
  <c r="M130" i="91"/>
  <c r="G131" i="91"/>
  <c r="H131" i="91"/>
  <c r="C131" i="91"/>
  <c r="M131" i="91"/>
  <c r="G132" i="91"/>
  <c r="H132" i="91"/>
  <c r="C132" i="91"/>
  <c r="M132" i="91"/>
  <c r="G133" i="91"/>
  <c r="H133" i="91"/>
  <c r="C133" i="91"/>
  <c r="M133" i="91"/>
  <c r="G134" i="91"/>
  <c r="H134" i="91"/>
  <c r="C134" i="91"/>
  <c r="M134" i="91"/>
  <c r="G135" i="91"/>
  <c r="H135" i="91"/>
  <c r="C135" i="91"/>
  <c r="M135" i="91"/>
  <c r="G136" i="91"/>
  <c r="H136" i="91"/>
  <c r="C136" i="91"/>
  <c r="M136" i="91"/>
  <c r="G137" i="91"/>
  <c r="H137" i="91"/>
  <c r="C137" i="91"/>
  <c r="M137" i="91"/>
  <c r="G138" i="91"/>
  <c r="H138" i="91"/>
  <c r="C138" i="91"/>
  <c r="M138" i="91"/>
  <c r="G139" i="91"/>
  <c r="H139" i="91"/>
  <c r="C139" i="91"/>
  <c r="M139" i="91"/>
  <c r="G140" i="91"/>
  <c r="H140" i="91"/>
  <c r="C140" i="91"/>
  <c r="M140" i="91"/>
  <c r="G141" i="91"/>
  <c r="H141" i="91"/>
  <c r="C141" i="91"/>
  <c r="M141" i="91"/>
  <c r="G142" i="91"/>
  <c r="H142" i="91"/>
  <c r="C142" i="91"/>
  <c r="M142" i="91"/>
  <c r="G143" i="91"/>
  <c r="H143" i="91"/>
  <c r="C143" i="91"/>
  <c r="M143" i="91"/>
  <c r="G144" i="91"/>
  <c r="H144" i="91"/>
  <c r="C144" i="91"/>
  <c r="M144" i="91"/>
  <c r="G145" i="91"/>
  <c r="H145" i="91"/>
  <c r="C145" i="91"/>
  <c r="M145" i="91"/>
  <c r="G146" i="91"/>
  <c r="H146" i="91"/>
  <c r="C146" i="91"/>
  <c r="M146" i="91"/>
  <c r="G147" i="91"/>
  <c r="H147" i="91"/>
  <c r="C147" i="91"/>
  <c r="M147" i="91"/>
  <c r="G148" i="91"/>
  <c r="H148" i="91"/>
  <c r="C148" i="91"/>
  <c r="M148" i="91"/>
  <c r="G149" i="91"/>
  <c r="H149" i="91"/>
  <c r="C149" i="91"/>
  <c r="M149" i="91"/>
  <c r="G150" i="91"/>
  <c r="H150" i="91"/>
  <c r="C150" i="91"/>
  <c r="M150" i="91"/>
  <c r="G151" i="91"/>
  <c r="H151" i="91"/>
  <c r="C151" i="91"/>
  <c r="M151" i="91"/>
  <c r="G152" i="91"/>
  <c r="H152" i="91"/>
  <c r="C152" i="91"/>
  <c r="M152" i="91"/>
  <c r="G153" i="91"/>
  <c r="H153" i="91"/>
  <c r="C153" i="91"/>
  <c r="M153" i="91"/>
  <c r="G154" i="91"/>
  <c r="H154" i="91"/>
  <c r="C154" i="91"/>
  <c r="M154" i="91"/>
  <c r="G155" i="91"/>
  <c r="H155" i="91"/>
  <c r="C155" i="91"/>
  <c r="M155" i="91"/>
  <c r="G156" i="91"/>
  <c r="H156" i="91"/>
  <c r="C156" i="91"/>
  <c r="M156" i="91"/>
  <c r="G157" i="91"/>
  <c r="H157" i="91"/>
  <c r="C157" i="91"/>
  <c r="M157" i="91"/>
  <c r="G158" i="91"/>
  <c r="H158" i="91"/>
  <c r="C158" i="91"/>
  <c r="M158" i="91"/>
  <c r="G159" i="91"/>
  <c r="H159" i="91"/>
  <c r="C159" i="91"/>
  <c r="M159" i="91"/>
  <c r="G160" i="91"/>
  <c r="H160" i="91"/>
  <c r="C160" i="91"/>
  <c r="M160" i="91"/>
  <c r="G161" i="91"/>
  <c r="H161" i="91"/>
  <c r="C161" i="91"/>
  <c r="M161" i="91"/>
  <c r="G162" i="91"/>
  <c r="H162" i="91"/>
  <c r="C162" i="91"/>
  <c r="M162" i="91"/>
  <c r="G163" i="91"/>
  <c r="H163" i="91"/>
  <c r="C163" i="91"/>
  <c r="M163" i="91"/>
  <c r="G164" i="91"/>
  <c r="H164" i="91"/>
  <c r="C164" i="91"/>
  <c r="M164" i="91"/>
  <c r="G165" i="91"/>
  <c r="H165" i="91"/>
  <c r="C165" i="91"/>
  <c r="M165" i="91"/>
  <c r="G166" i="91"/>
  <c r="H166" i="91"/>
  <c r="C166" i="91"/>
  <c r="M166" i="91"/>
  <c r="G167" i="91"/>
  <c r="H167" i="91"/>
  <c r="C167" i="91"/>
  <c r="M167" i="91"/>
  <c r="G168" i="91"/>
  <c r="H168" i="91"/>
  <c r="C168" i="91"/>
  <c r="M168" i="91"/>
  <c r="G169" i="91"/>
  <c r="H169" i="91"/>
  <c r="C169" i="91"/>
  <c r="M169" i="91"/>
  <c r="G170" i="91"/>
  <c r="H170" i="91"/>
  <c r="C170" i="91"/>
  <c r="M170" i="91"/>
  <c r="G171" i="91"/>
  <c r="H171" i="91"/>
  <c r="C171" i="91"/>
  <c r="M171" i="91"/>
  <c r="G172" i="91"/>
  <c r="H172" i="91"/>
  <c r="C172" i="91"/>
  <c r="M172" i="91"/>
  <c r="G173" i="91"/>
  <c r="H173" i="91"/>
  <c r="C173" i="91"/>
  <c r="M173" i="91"/>
  <c r="G174" i="91"/>
  <c r="H174" i="91"/>
  <c r="C174" i="91"/>
  <c r="M174" i="91"/>
  <c r="G175" i="91"/>
  <c r="H175" i="91"/>
  <c r="C175" i="91"/>
  <c r="M175" i="91"/>
  <c r="G176" i="91"/>
  <c r="H176" i="91"/>
  <c r="C176" i="91"/>
  <c r="M176" i="91"/>
  <c r="G177" i="91"/>
  <c r="H177" i="91"/>
  <c r="C177" i="91"/>
  <c r="M177" i="91"/>
  <c r="G178" i="91"/>
  <c r="H178" i="91"/>
  <c r="C178" i="91"/>
  <c r="M178" i="91"/>
  <c r="G179" i="91"/>
  <c r="H179" i="91"/>
  <c r="C179" i="91"/>
  <c r="M179" i="91"/>
  <c r="G180" i="91"/>
  <c r="H180" i="91"/>
  <c r="C180" i="91"/>
  <c r="M180" i="91"/>
  <c r="G181" i="91"/>
  <c r="H181" i="91"/>
  <c r="C181" i="91"/>
  <c r="M181" i="91"/>
  <c r="G182" i="91"/>
  <c r="H182" i="91"/>
  <c r="C182" i="91"/>
  <c r="M182" i="91"/>
  <c r="G183" i="91"/>
  <c r="H183" i="91"/>
  <c r="C183" i="91"/>
  <c r="M183" i="91"/>
  <c r="G184" i="91"/>
  <c r="H184" i="91"/>
  <c r="C184" i="91"/>
  <c r="M184" i="91"/>
  <c r="G185" i="91"/>
  <c r="H185" i="91"/>
  <c r="C185" i="91"/>
  <c r="M185" i="91"/>
  <c r="G186" i="91"/>
  <c r="H186" i="91"/>
  <c r="C186" i="91"/>
  <c r="M186" i="91"/>
  <c r="G187" i="91"/>
  <c r="H187" i="91"/>
  <c r="C187" i="91"/>
  <c r="M187" i="91"/>
  <c r="G188" i="91"/>
  <c r="H188" i="91"/>
  <c r="C188" i="91"/>
  <c r="M188" i="91"/>
  <c r="G189" i="91"/>
  <c r="H189" i="91"/>
  <c r="C189" i="91"/>
  <c r="M189" i="91"/>
  <c r="G190" i="91"/>
  <c r="H190" i="91"/>
  <c r="C190" i="91"/>
  <c r="M190" i="91"/>
  <c r="G191" i="91"/>
  <c r="H191" i="91"/>
  <c r="C191" i="91"/>
  <c r="M191" i="91"/>
  <c r="G192" i="91"/>
  <c r="H192" i="91"/>
  <c r="C192" i="91"/>
  <c r="M192" i="91"/>
  <c r="G193" i="91"/>
  <c r="H193" i="91"/>
  <c r="C193" i="91"/>
  <c r="M193" i="91"/>
  <c r="G194" i="91"/>
  <c r="H194" i="91"/>
  <c r="C194" i="91"/>
  <c r="M194" i="91"/>
  <c r="G195" i="91"/>
  <c r="H195" i="91"/>
  <c r="C195" i="91"/>
  <c r="M195" i="91"/>
  <c r="G196" i="91"/>
  <c r="H196" i="91"/>
  <c r="C196" i="91"/>
  <c r="M196" i="91"/>
  <c r="G197" i="91"/>
  <c r="H197" i="91"/>
  <c r="C197" i="91"/>
  <c r="M197" i="91"/>
  <c r="G198" i="91"/>
  <c r="H198" i="91"/>
  <c r="C198" i="91"/>
  <c r="M198" i="91"/>
  <c r="G199" i="91"/>
  <c r="H199" i="91"/>
  <c r="C199" i="91"/>
  <c r="M199" i="91"/>
  <c r="G200" i="91"/>
  <c r="H200" i="91"/>
  <c r="C200" i="91"/>
  <c r="M200" i="91"/>
  <c r="G201" i="91"/>
  <c r="H201" i="91"/>
  <c r="C201" i="91"/>
  <c r="M201" i="91"/>
  <c r="G202" i="91"/>
  <c r="H202" i="91"/>
  <c r="C202" i="91"/>
  <c r="M202" i="91"/>
  <c r="G203" i="91"/>
  <c r="H203" i="91"/>
  <c r="C203" i="91"/>
  <c r="M203" i="91"/>
  <c r="G204" i="91"/>
  <c r="H204" i="91"/>
  <c r="C204" i="91"/>
  <c r="M204" i="91"/>
  <c r="G205" i="91"/>
  <c r="H205" i="91"/>
  <c r="C205" i="91"/>
  <c r="M205" i="91"/>
  <c r="G206" i="91"/>
  <c r="H206" i="91"/>
  <c r="C206" i="91"/>
  <c r="M206" i="91"/>
  <c r="G207" i="91"/>
  <c r="H207" i="91"/>
  <c r="C207" i="91"/>
  <c r="M207" i="91"/>
  <c r="G208" i="91"/>
  <c r="H208" i="91"/>
  <c r="C208" i="91"/>
  <c r="M208" i="91"/>
  <c r="G209" i="91"/>
  <c r="H209" i="91"/>
  <c r="C209" i="91"/>
  <c r="M209" i="91"/>
  <c r="G210" i="91"/>
  <c r="H210" i="91"/>
  <c r="C210" i="91"/>
  <c r="M210" i="91"/>
  <c r="G211" i="91"/>
  <c r="H211" i="91"/>
  <c r="C211" i="91"/>
  <c r="M211" i="91"/>
  <c r="G212" i="91"/>
  <c r="H212" i="91"/>
  <c r="C212" i="91"/>
  <c r="M212" i="91"/>
  <c r="G213" i="91"/>
  <c r="H213" i="91"/>
  <c r="C213" i="91"/>
  <c r="M213" i="91"/>
  <c r="G214" i="91"/>
  <c r="H214" i="91"/>
  <c r="C214" i="91"/>
  <c r="M214" i="91"/>
  <c r="G215" i="91"/>
  <c r="H215" i="91"/>
  <c r="C215" i="91"/>
  <c r="M215" i="91"/>
  <c r="G216" i="91"/>
  <c r="H216" i="91"/>
  <c r="C216" i="91"/>
  <c r="M216" i="91"/>
  <c r="G217" i="91"/>
  <c r="H217" i="91"/>
  <c r="C217" i="91"/>
  <c r="M217" i="91"/>
  <c r="G218" i="91"/>
  <c r="H218" i="91"/>
  <c r="C218" i="91"/>
  <c r="M218" i="91"/>
  <c r="G219" i="91"/>
  <c r="H219" i="91"/>
  <c r="C219" i="91"/>
  <c r="M219" i="91"/>
  <c r="G220" i="91"/>
  <c r="H220" i="91"/>
  <c r="C220" i="91"/>
  <c r="M220" i="91"/>
  <c r="G221" i="91"/>
  <c r="H221" i="91"/>
  <c r="C221" i="91"/>
  <c r="M221" i="91"/>
  <c r="G222" i="91"/>
  <c r="H222" i="91"/>
  <c r="C222" i="91"/>
  <c r="M222" i="91"/>
  <c r="G223" i="91"/>
  <c r="H223" i="91"/>
  <c r="C223" i="91"/>
  <c r="M223" i="91"/>
  <c r="G224" i="91"/>
  <c r="H224" i="91"/>
  <c r="C224" i="91"/>
  <c r="M224" i="91"/>
  <c r="G225" i="91"/>
  <c r="H225" i="91"/>
  <c r="C225" i="91"/>
  <c r="M225" i="91"/>
  <c r="G226" i="91"/>
  <c r="H226" i="91"/>
  <c r="C226" i="91"/>
  <c r="M226" i="91"/>
  <c r="G227" i="91"/>
  <c r="H227" i="91"/>
  <c r="C227" i="91"/>
  <c r="M227" i="91"/>
  <c r="G228" i="91"/>
  <c r="H228" i="91"/>
  <c r="C228" i="91"/>
  <c r="M228" i="91"/>
  <c r="G229" i="91"/>
  <c r="H229" i="91"/>
  <c r="C229" i="91"/>
  <c r="M229" i="91"/>
  <c r="G230" i="91"/>
  <c r="H230" i="91"/>
  <c r="C230" i="91"/>
  <c r="M230" i="91"/>
  <c r="G231" i="91"/>
  <c r="H231" i="91"/>
  <c r="C231" i="91"/>
  <c r="M231" i="91"/>
  <c r="G232" i="91"/>
  <c r="H232" i="91"/>
  <c r="C232" i="91"/>
  <c r="M232" i="91"/>
  <c r="G233" i="91"/>
  <c r="H233" i="91"/>
  <c r="C233" i="91"/>
  <c r="M233" i="91"/>
  <c r="G234" i="91"/>
  <c r="H234" i="91"/>
  <c r="C234" i="91"/>
  <c r="M234" i="91"/>
  <c r="G235" i="91"/>
  <c r="H235" i="91"/>
  <c r="C235" i="91"/>
  <c r="M235" i="91"/>
  <c r="G236" i="91"/>
  <c r="H236" i="91"/>
  <c r="C236" i="91"/>
  <c r="M236" i="91"/>
  <c r="G237" i="91"/>
  <c r="H237" i="91"/>
  <c r="C237" i="91"/>
  <c r="M237" i="91"/>
  <c r="G238" i="91"/>
  <c r="H238" i="91"/>
  <c r="C238" i="91"/>
  <c r="M238" i="91"/>
  <c r="G239" i="91"/>
  <c r="H239" i="91"/>
  <c r="C239" i="91"/>
  <c r="M239" i="91"/>
  <c r="G240" i="91"/>
  <c r="H240" i="91"/>
  <c r="C240" i="91"/>
  <c r="M240" i="91"/>
  <c r="G241" i="91"/>
  <c r="H241" i="91"/>
  <c r="C241" i="91"/>
  <c r="M241" i="91"/>
  <c r="G242" i="91"/>
  <c r="H242" i="91"/>
  <c r="C242" i="91"/>
  <c r="M242" i="91"/>
  <c r="G243" i="91"/>
  <c r="H243" i="91"/>
  <c r="C243" i="91"/>
  <c r="M243" i="91"/>
  <c r="G244" i="91"/>
  <c r="H244" i="91"/>
  <c r="C244" i="91"/>
  <c r="M244" i="91"/>
  <c r="G245" i="91"/>
  <c r="H245" i="91"/>
  <c r="C245" i="91"/>
  <c r="M245" i="91"/>
  <c r="G246" i="91"/>
  <c r="H246" i="91"/>
  <c r="C246" i="91"/>
  <c r="M246" i="91"/>
  <c r="G247" i="91"/>
  <c r="H247" i="91"/>
  <c r="C247" i="91"/>
  <c r="M247" i="91"/>
  <c r="G248" i="91"/>
  <c r="H248" i="91"/>
  <c r="C248" i="91"/>
  <c r="M248" i="91"/>
  <c r="G249" i="91"/>
  <c r="H249" i="91"/>
  <c r="C249" i="91"/>
  <c r="M249" i="91"/>
  <c r="G250" i="91"/>
  <c r="H250" i="91"/>
  <c r="C250" i="91"/>
  <c r="M250" i="91"/>
  <c r="G251" i="91"/>
  <c r="H251" i="91"/>
  <c r="C251" i="91"/>
  <c r="M251" i="91"/>
  <c r="G252" i="91"/>
  <c r="H252" i="91"/>
  <c r="C252" i="91"/>
  <c r="M252" i="91"/>
  <c r="G253" i="91"/>
  <c r="H253" i="91"/>
  <c r="C253" i="91"/>
  <c r="M253" i="91"/>
  <c r="G254" i="91"/>
  <c r="H254" i="91"/>
  <c r="C254" i="91"/>
  <c r="M254" i="91"/>
  <c r="G255" i="91"/>
  <c r="H255" i="91"/>
  <c r="C255" i="91"/>
  <c r="M255" i="91"/>
  <c r="G96" i="91"/>
  <c r="H96" i="91"/>
  <c r="C96" i="91"/>
  <c r="M96" i="91"/>
  <c r="G97" i="91"/>
  <c r="H97" i="91"/>
  <c r="C97" i="91"/>
  <c r="M97" i="91"/>
  <c r="G98" i="91"/>
  <c r="H98" i="91"/>
  <c r="C98" i="91"/>
  <c r="M98" i="91"/>
  <c r="G99" i="91"/>
  <c r="H99" i="91"/>
  <c r="C99" i="91"/>
  <c r="M99" i="91"/>
  <c r="G100" i="91"/>
  <c r="H100" i="91"/>
  <c r="C100" i="91"/>
  <c r="M100" i="91"/>
  <c r="G101" i="91"/>
  <c r="H101" i="91"/>
  <c r="C101" i="91"/>
  <c r="M101" i="91"/>
  <c r="G69" i="91"/>
  <c r="H69" i="91"/>
  <c r="C69" i="91"/>
  <c r="M69" i="91"/>
  <c r="G70" i="91"/>
  <c r="H70" i="91"/>
  <c r="C70" i="91"/>
  <c r="M70" i="91"/>
  <c r="G71" i="91"/>
  <c r="H71" i="91"/>
  <c r="C71" i="91"/>
  <c r="M71" i="91"/>
  <c r="G72" i="91"/>
  <c r="H72" i="91"/>
  <c r="C72" i="91"/>
  <c r="M72" i="91"/>
  <c r="G73" i="91"/>
  <c r="H73" i="91"/>
  <c r="C73" i="91"/>
  <c r="M73" i="91"/>
  <c r="G74" i="91"/>
  <c r="H74" i="91"/>
  <c r="C74" i="91"/>
  <c r="M74" i="91"/>
  <c r="G75" i="91"/>
  <c r="H75" i="91"/>
  <c r="C75" i="91"/>
  <c r="M75" i="91"/>
  <c r="G76" i="91"/>
  <c r="H76" i="91"/>
  <c r="C76" i="91"/>
  <c r="M76" i="91"/>
  <c r="G77" i="91"/>
  <c r="H77" i="91"/>
  <c r="C77" i="91"/>
  <c r="M77" i="91"/>
  <c r="G78" i="91"/>
  <c r="H78" i="91"/>
  <c r="C78" i="91"/>
  <c r="M78" i="91"/>
  <c r="G79" i="91"/>
  <c r="H79" i="91"/>
  <c r="C79" i="91"/>
  <c r="M79" i="91"/>
  <c r="G80" i="91"/>
  <c r="H80" i="91"/>
  <c r="C80" i="91"/>
  <c r="M80" i="91"/>
  <c r="G81" i="91"/>
  <c r="H81" i="91"/>
  <c r="C81" i="91"/>
  <c r="M81" i="91"/>
  <c r="G82" i="91"/>
  <c r="H82" i="91"/>
  <c r="C82" i="91"/>
  <c r="M82" i="91"/>
  <c r="G83" i="91"/>
  <c r="H83" i="91"/>
  <c r="C83" i="91"/>
  <c r="M83" i="91"/>
  <c r="G84" i="91"/>
  <c r="H84" i="91"/>
  <c r="C84" i="91"/>
  <c r="M84" i="91"/>
  <c r="G85" i="91"/>
  <c r="H85" i="91"/>
  <c r="C85" i="91"/>
  <c r="M85" i="91"/>
  <c r="G86" i="91"/>
  <c r="H86" i="91"/>
  <c r="C86" i="91"/>
  <c r="M86" i="91"/>
  <c r="G87" i="91"/>
  <c r="H87" i="91"/>
  <c r="C87" i="91"/>
  <c r="M87" i="91"/>
  <c r="G88" i="91"/>
  <c r="H88" i="91"/>
  <c r="C88" i="91"/>
  <c r="M88" i="91"/>
  <c r="G89" i="91"/>
  <c r="H89" i="91"/>
  <c r="C89" i="91"/>
  <c r="M89" i="91"/>
  <c r="G90" i="91"/>
  <c r="H90" i="91"/>
  <c r="C90" i="91"/>
  <c r="M90" i="91"/>
  <c r="G91" i="91"/>
  <c r="H91" i="91"/>
  <c r="C91" i="91"/>
  <c r="M91" i="91"/>
  <c r="G92" i="91"/>
  <c r="H92" i="91"/>
  <c r="C92" i="91"/>
  <c r="M92" i="91"/>
  <c r="G93" i="91"/>
  <c r="H93" i="91"/>
  <c r="C93" i="91"/>
  <c r="M93" i="91"/>
  <c r="G94" i="91"/>
  <c r="H94" i="91"/>
  <c r="C94" i="91"/>
  <c r="M94" i="91"/>
  <c r="G95" i="91"/>
  <c r="H95" i="91"/>
  <c r="C95" i="91"/>
  <c r="M95" i="91"/>
  <c r="G50" i="91"/>
  <c r="H50" i="91"/>
  <c r="C50" i="91"/>
  <c r="M50" i="91"/>
  <c r="G51" i="91"/>
  <c r="H51" i="91"/>
  <c r="C51" i="91"/>
  <c r="M51" i="91"/>
  <c r="G52" i="91"/>
  <c r="H52" i="91"/>
  <c r="C52" i="91"/>
  <c r="M52" i="91"/>
  <c r="G53" i="91"/>
  <c r="H53" i="91"/>
  <c r="C53" i="91"/>
  <c r="M53" i="91"/>
  <c r="G54" i="91"/>
  <c r="H54" i="91"/>
  <c r="C54" i="91"/>
  <c r="M54" i="91"/>
  <c r="G55" i="91"/>
  <c r="H55" i="91"/>
  <c r="C55" i="91"/>
  <c r="M55" i="91"/>
  <c r="G56" i="91"/>
  <c r="H56" i="91"/>
  <c r="C56" i="91"/>
  <c r="M56" i="91"/>
  <c r="G57" i="91"/>
  <c r="H57" i="91"/>
  <c r="C57" i="91"/>
  <c r="M57" i="91"/>
  <c r="G58" i="91"/>
  <c r="H58" i="91"/>
  <c r="C58" i="91"/>
  <c r="M58" i="91"/>
  <c r="G59" i="91"/>
  <c r="H59" i="91"/>
  <c r="C59" i="91"/>
  <c r="M59" i="91"/>
  <c r="G60" i="91"/>
  <c r="H60" i="91"/>
  <c r="C60" i="91"/>
  <c r="M60" i="91"/>
  <c r="G61" i="91"/>
  <c r="H61" i="91"/>
  <c r="C61" i="91"/>
  <c r="M61" i="91"/>
  <c r="G62" i="91"/>
  <c r="H62" i="91"/>
  <c r="C62" i="91"/>
  <c r="M62" i="91"/>
  <c r="G63" i="91"/>
  <c r="H63" i="91"/>
  <c r="C63" i="91"/>
  <c r="M63" i="91"/>
  <c r="G64" i="91"/>
  <c r="H64" i="91"/>
  <c r="C64" i="91"/>
  <c r="M64" i="91"/>
  <c r="G65" i="91"/>
  <c r="H65" i="91"/>
  <c r="C65" i="91"/>
  <c r="M65" i="91"/>
  <c r="G66" i="91"/>
  <c r="H66" i="91"/>
  <c r="C66" i="91"/>
  <c r="M66" i="91"/>
  <c r="G67" i="91"/>
  <c r="H67" i="91"/>
  <c r="C67" i="91"/>
  <c r="M67" i="91"/>
  <c r="G68" i="91"/>
  <c r="H68" i="91"/>
  <c r="C68" i="91"/>
  <c r="M68" i="91"/>
  <c r="G26" i="91"/>
  <c r="H26" i="91"/>
  <c r="C26" i="91"/>
  <c r="M26" i="91"/>
  <c r="G27" i="91"/>
  <c r="H27" i="91"/>
  <c r="C27" i="91"/>
  <c r="M27" i="91"/>
  <c r="G28" i="91"/>
  <c r="H28" i="91"/>
  <c r="C28" i="91"/>
  <c r="M28" i="91"/>
  <c r="G29" i="91"/>
  <c r="H29" i="91"/>
  <c r="C29" i="91"/>
  <c r="M29" i="91"/>
  <c r="G30" i="91"/>
  <c r="H30" i="91"/>
  <c r="C30" i="91"/>
  <c r="M30" i="91"/>
  <c r="G31" i="91"/>
  <c r="H31" i="91"/>
  <c r="C31" i="91"/>
  <c r="M31" i="91"/>
  <c r="G32" i="91"/>
  <c r="H32" i="91"/>
  <c r="C32" i="91"/>
  <c r="M32" i="91"/>
  <c r="G33" i="91"/>
  <c r="H33" i="91"/>
  <c r="C33" i="91"/>
  <c r="M33" i="91"/>
  <c r="G34" i="91"/>
  <c r="H34" i="91"/>
  <c r="C34" i="91"/>
  <c r="M34" i="91"/>
  <c r="G35" i="91"/>
  <c r="H35" i="91"/>
  <c r="C35" i="91"/>
  <c r="M35" i="91"/>
  <c r="G36" i="91"/>
  <c r="H36" i="91"/>
  <c r="C36" i="91"/>
  <c r="M36" i="91"/>
  <c r="G37" i="91"/>
  <c r="H37" i="91"/>
  <c r="C37" i="91"/>
  <c r="M37" i="91"/>
  <c r="G38" i="91"/>
  <c r="H38" i="91"/>
  <c r="C38" i="91"/>
  <c r="M38" i="91"/>
  <c r="G39" i="91"/>
  <c r="H39" i="91"/>
  <c r="C39" i="91"/>
  <c r="M39" i="91"/>
  <c r="G40" i="91"/>
  <c r="H40" i="91"/>
  <c r="C40" i="91"/>
  <c r="M40" i="91"/>
  <c r="G41" i="91"/>
  <c r="H41" i="91"/>
  <c r="C41" i="91"/>
  <c r="M41" i="91"/>
  <c r="G42" i="91"/>
  <c r="H42" i="91"/>
  <c r="C42" i="91"/>
  <c r="M42" i="91"/>
  <c r="G43" i="91"/>
  <c r="H43" i="91"/>
  <c r="C43" i="91"/>
  <c r="M43" i="91"/>
  <c r="G44" i="91"/>
  <c r="H44" i="91"/>
  <c r="C44" i="91"/>
  <c r="M44" i="91"/>
  <c r="G45" i="91"/>
  <c r="H45" i="91"/>
  <c r="C45" i="91"/>
  <c r="M45" i="91"/>
  <c r="G46" i="91"/>
  <c r="H46" i="91"/>
  <c r="C46" i="91"/>
  <c r="M46" i="91"/>
  <c r="G47" i="91"/>
  <c r="H47" i="91"/>
  <c r="C47" i="91"/>
  <c r="M47" i="91"/>
  <c r="G48" i="91"/>
  <c r="H48" i="91"/>
  <c r="C48" i="91"/>
  <c r="M48" i="91"/>
  <c r="G49" i="91"/>
  <c r="H49" i="91"/>
  <c r="C49" i="91"/>
  <c r="M49" i="91"/>
  <c r="G3" i="91"/>
  <c r="H3" i="91"/>
  <c r="C3" i="91"/>
  <c r="M3" i="91"/>
  <c r="G4" i="91"/>
  <c r="H4" i="91"/>
  <c r="C4" i="91"/>
  <c r="M4" i="91"/>
  <c r="G5" i="91"/>
  <c r="H5" i="91"/>
  <c r="C5" i="91"/>
  <c r="M5" i="91"/>
  <c r="G6" i="91"/>
  <c r="H6" i="91"/>
  <c r="C6" i="91"/>
  <c r="M6" i="91"/>
  <c r="G7" i="91"/>
  <c r="H7" i="91"/>
  <c r="C7" i="91"/>
  <c r="M7" i="91"/>
  <c r="G8" i="91"/>
  <c r="H8" i="91"/>
  <c r="C8" i="91"/>
  <c r="M8" i="91"/>
  <c r="G9" i="91"/>
  <c r="H9" i="91"/>
  <c r="C9" i="91"/>
  <c r="M9" i="91"/>
  <c r="G10" i="91"/>
  <c r="H10" i="91"/>
  <c r="C10" i="91"/>
  <c r="M10" i="91"/>
  <c r="G11" i="91"/>
  <c r="H11" i="91"/>
  <c r="C11" i="91"/>
  <c r="M11" i="91"/>
  <c r="G12" i="91"/>
  <c r="H12" i="91"/>
  <c r="C12" i="91"/>
  <c r="M12" i="91"/>
  <c r="G13" i="91"/>
  <c r="H13" i="91"/>
  <c r="C13" i="91"/>
  <c r="M13" i="91"/>
  <c r="G14" i="91"/>
  <c r="H14" i="91"/>
  <c r="C14" i="91"/>
  <c r="M14" i="91"/>
  <c r="G15" i="91"/>
  <c r="H15" i="91"/>
  <c r="C15" i="91"/>
  <c r="M15" i="91"/>
  <c r="G16" i="91"/>
  <c r="H16" i="91"/>
  <c r="C16" i="91"/>
  <c r="M16" i="91"/>
  <c r="G17" i="91"/>
  <c r="H17" i="91"/>
  <c r="C17" i="91"/>
  <c r="M17" i="91"/>
  <c r="G18" i="91"/>
  <c r="H18" i="91"/>
  <c r="C18" i="91"/>
  <c r="M18" i="91"/>
  <c r="G19" i="91"/>
  <c r="H19" i="91"/>
  <c r="C19" i="91"/>
  <c r="M19" i="91"/>
  <c r="G20" i="91"/>
  <c r="H20" i="91"/>
  <c r="C20" i="91"/>
  <c r="M20" i="91"/>
  <c r="G21" i="91"/>
  <c r="H21" i="91"/>
  <c r="C21" i="91"/>
  <c r="M21" i="91"/>
  <c r="G22" i="91"/>
  <c r="H22" i="91"/>
  <c r="C22" i="91"/>
  <c r="M22" i="91"/>
  <c r="G23" i="91"/>
  <c r="H23" i="91"/>
  <c r="C23" i="91"/>
  <c r="M23" i="91"/>
  <c r="G24" i="91"/>
  <c r="H24" i="91"/>
  <c r="C24" i="91"/>
  <c r="M24" i="91"/>
  <c r="G25" i="91"/>
  <c r="H25" i="91"/>
  <c r="C25" i="91"/>
  <c r="M25" i="91"/>
  <c r="G2" i="91"/>
  <c r="H2" i="91"/>
  <c r="C2" i="91"/>
  <c r="M2" i="91"/>
  <c r="G255" i="90"/>
  <c r="H255" i="90"/>
  <c r="C255" i="90"/>
  <c r="M255" i="90"/>
  <c r="K255" i="90"/>
  <c r="J255" i="90"/>
  <c r="I255" i="90"/>
  <c r="F255" i="90"/>
  <c r="A255" i="90"/>
  <c r="G254" i="90"/>
  <c r="H254" i="90"/>
  <c r="C254" i="90"/>
  <c r="M254" i="90"/>
  <c r="K254" i="90"/>
  <c r="J254" i="90"/>
  <c r="I254" i="90"/>
  <c r="F254" i="90"/>
  <c r="A254" i="90"/>
  <c r="G253" i="90"/>
  <c r="H253" i="90"/>
  <c r="C253" i="90"/>
  <c r="M253" i="90"/>
  <c r="K253" i="90"/>
  <c r="J253" i="90"/>
  <c r="I253" i="90"/>
  <c r="F253" i="90"/>
  <c r="A253" i="90"/>
  <c r="G252" i="90"/>
  <c r="H252" i="90"/>
  <c r="C252" i="90"/>
  <c r="M252" i="90"/>
  <c r="K252" i="90"/>
  <c r="J252" i="90"/>
  <c r="I252" i="90"/>
  <c r="F252" i="90"/>
  <c r="A252" i="90"/>
  <c r="G251" i="90"/>
  <c r="H251" i="90"/>
  <c r="C251" i="90"/>
  <c r="M251" i="90"/>
  <c r="K251" i="90"/>
  <c r="J251" i="90"/>
  <c r="I251" i="90"/>
  <c r="F251" i="90"/>
  <c r="A251" i="90"/>
  <c r="G250" i="90"/>
  <c r="H250" i="90"/>
  <c r="C250" i="90"/>
  <c r="M250" i="90"/>
  <c r="K250" i="90"/>
  <c r="J250" i="90"/>
  <c r="I250" i="90"/>
  <c r="F250" i="90"/>
  <c r="A250" i="90"/>
  <c r="G249" i="90"/>
  <c r="H249" i="90"/>
  <c r="C249" i="90"/>
  <c r="M249" i="90"/>
  <c r="K249" i="90"/>
  <c r="J249" i="90"/>
  <c r="I249" i="90"/>
  <c r="F249" i="90"/>
  <c r="A249" i="90"/>
  <c r="G248" i="90"/>
  <c r="H248" i="90"/>
  <c r="C248" i="90"/>
  <c r="M248" i="90"/>
  <c r="K248" i="90"/>
  <c r="J248" i="90"/>
  <c r="I248" i="90"/>
  <c r="F248" i="90"/>
  <c r="A248" i="90"/>
  <c r="G247" i="90"/>
  <c r="H247" i="90"/>
  <c r="C247" i="90"/>
  <c r="M247" i="90"/>
  <c r="K247" i="90"/>
  <c r="J247" i="90"/>
  <c r="I247" i="90"/>
  <c r="F247" i="90"/>
  <c r="A247" i="90"/>
  <c r="G246" i="90"/>
  <c r="H246" i="90"/>
  <c r="C246" i="90"/>
  <c r="M246" i="90"/>
  <c r="K246" i="90"/>
  <c r="J246" i="90"/>
  <c r="I246" i="90"/>
  <c r="F246" i="90"/>
  <c r="A246" i="90"/>
  <c r="G245" i="90"/>
  <c r="H245" i="90"/>
  <c r="C245" i="90"/>
  <c r="M245" i="90"/>
  <c r="K245" i="90"/>
  <c r="J245" i="90"/>
  <c r="I245" i="90"/>
  <c r="F245" i="90"/>
  <c r="A245" i="90"/>
  <c r="G244" i="90"/>
  <c r="H244" i="90"/>
  <c r="C244" i="90"/>
  <c r="M244" i="90"/>
  <c r="K244" i="90"/>
  <c r="J244" i="90"/>
  <c r="I244" i="90"/>
  <c r="F244" i="90"/>
  <c r="A244" i="90"/>
  <c r="G243" i="90"/>
  <c r="H243" i="90"/>
  <c r="C243" i="90"/>
  <c r="M243" i="90"/>
  <c r="K243" i="90"/>
  <c r="J243" i="90"/>
  <c r="I243" i="90"/>
  <c r="F243" i="90"/>
  <c r="A243" i="90"/>
  <c r="G242" i="90"/>
  <c r="H242" i="90"/>
  <c r="C242" i="90"/>
  <c r="M242" i="90"/>
  <c r="K242" i="90"/>
  <c r="J242" i="90"/>
  <c r="I242" i="90"/>
  <c r="F242" i="90"/>
  <c r="A242" i="90"/>
  <c r="G241" i="90"/>
  <c r="H241" i="90"/>
  <c r="C241" i="90"/>
  <c r="M241" i="90"/>
  <c r="K241" i="90"/>
  <c r="J241" i="90"/>
  <c r="I241" i="90"/>
  <c r="F241" i="90"/>
  <c r="A241" i="90"/>
  <c r="G240" i="90"/>
  <c r="H240" i="90"/>
  <c r="C240" i="90"/>
  <c r="M240" i="90"/>
  <c r="K240" i="90"/>
  <c r="J240" i="90"/>
  <c r="I240" i="90"/>
  <c r="F240" i="90"/>
  <c r="A240" i="90"/>
  <c r="G239" i="90"/>
  <c r="H239" i="90"/>
  <c r="C239" i="90"/>
  <c r="M239" i="90"/>
  <c r="K239" i="90"/>
  <c r="J239" i="90"/>
  <c r="I239" i="90"/>
  <c r="F239" i="90"/>
  <c r="A239" i="90"/>
  <c r="G238" i="90"/>
  <c r="H238" i="90"/>
  <c r="C238" i="90"/>
  <c r="M238" i="90"/>
  <c r="K238" i="90"/>
  <c r="J238" i="90"/>
  <c r="I238" i="90"/>
  <c r="F238" i="90"/>
  <c r="A238" i="90"/>
  <c r="G237" i="90"/>
  <c r="H237" i="90"/>
  <c r="C237" i="90"/>
  <c r="M237" i="90"/>
  <c r="K237" i="90"/>
  <c r="J237" i="90"/>
  <c r="I237" i="90"/>
  <c r="F237" i="90"/>
  <c r="A237" i="90"/>
  <c r="G236" i="90"/>
  <c r="H236" i="90"/>
  <c r="C236" i="90"/>
  <c r="M236" i="90"/>
  <c r="K236" i="90"/>
  <c r="J236" i="90"/>
  <c r="I236" i="90"/>
  <c r="F236" i="90"/>
  <c r="A236" i="90"/>
  <c r="G235" i="90"/>
  <c r="H235" i="90"/>
  <c r="C235" i="90"/>
  <c r="M235" i="90"/>
  <c r="K235" i="90"/>
  <c r="J235" i="90"/>
  <c r="I235" i="90"/>
  <c r="F235" i="90"/>
  <c r="A235" i="90"/>
  <c r="G234" i="90"/>
  <c r="H234" i="90"/>
  <c r="C234" i="90"/>
  <c r="M234" i="90"/>
  <c r="K234" i="90"/>
  <c r="J234" i="90"/>
  <c r="I234" i="90"/>
  <c r="F234" i="90"/>
  <c r="A234" i="90"/>
  <c r="G233" i="90"/>
  <c r="H233" i="90"/>
  <c r="C233" i="90"/>
  <c r="M233" i="90"/>
  <c r="K233" i="90"/>
  <c r="J233" i="90"/>
  <c r="I233" i="90"/>
  <c r="F233" i="90"/>
  <c r="A233" i="90"/>
  <c r="G232" i="90"/>
  <c r="H232" i="90"/>
  <c r="C232" i="90"/>
  <c r="M232" i="90"/>
  <c r="K232" i="90"/>
  <c r="J232" i="90"/>
  <c r="I232" i="90"/>
  <c r="F232" i="90"/>
  <c r="A232" i="90"/>
  <c r="G231" i="90"/>
  <c r="H231" i="90"/>
  <c r="C231" i="90"/>
  <c r="M231" i="90"/>
  <c r="K231" i="90"/>
  <c r="J231" i="90"/>
  <c r="I231" i="90"/>
  <c r="F231" i="90"/>
  <c r="A231" i="90"/>
  <c r="G230" i="90"/>
  <c r="H230" i="90"/>
  <c r="C230" i="90"/>
  <c r="M230" i="90"/>
  <c r="K230" i="90"/>
  <c r="J230" i="90"/>
  <c r="I230" i="90"/>
  <c r="F230" i="90"/>
  <c r="A230" i="90"/>
  <c r="G229" i="90"/>
  <c r="H229" i="90"/>
  <c r="C229" i="90"/>
  <c r="M229" i="90"/>
  <c r="K229" i="90"/>
  <c r="J229" i="90"/>
  <c r="I229" i="90"/>
  <c r="F229" i="90"/>
  <c r="A229" i="90"/>
  <c r="G228" i="90"/>
  <c r="H228" i="90"/>
  <c r="C228" i="90"/>
  <c r="M228" i="90"/>
  <c r="K228" i="90"/>
  <c r="J228" i="90"/>
  <c r="I228" i="90"/>
  <c r="F228" i="90"/>
  <c r="A228" i="90"/>
  <c r="G227" i="90"/>
  <c r="H227" i="90"/>
  <c r="C227" i="90"/>
  <c r="M227" i="90"/>
  <c r="K227" i="90"/>
  <c r="J227" i="90"/>
  <c r="I227" i="90"/>
  <c r="F227" i="90"/>
  <c r="A227" i="90"/>
  <c r="G226" i="90"/>
  <c r="H226" i="90"/>
  <c r="C226" i="90"/>
  <c r="M226" i="90"/>
  <c r="K226" i="90"/>
  <c r="J226" i="90"/>
  <c r="I226" i="90"/>
  <c r="F226" i="90"/>
  <c r="A226" i="90"/>
  <c r="G225" i="90"/>
  <c r="H225" i="90"/>
  <c r="C225" i="90"/>
  <c r="M225" i="90"/>
  <c r="K225" i="90"/>
  <c r="J225" i="90"/>
  <c r="I225" i="90"/>
  <c r="F225" i="90"/>
  <c r="A225" i="90"/>
  <c r="G224" i="90"/>
  <c r="H224" i="90"/>
  <c r="C224" i="90"/>
  <c r="M224" i="90"/>
  <c r="K224" i="90"/>
  <c r="J224" i="90"/>
  <c r="I224" i="90"/>
  <c r="F224" i="90"/>
  <c r="A224" i="90"/>
  <c r="G223" i="90"/>
  <c r="H223" i="90"/>
  <c r="C223" i="90"/>
  <c r="M223" i="90"/>
  <c r="K223" i="90"/>
  <c r="J223" i="90"/>
  <c r="I223" i="90"/>
  <c r="F223" i="90"/>
  <c r="A223" i="90"/>
  <c r="G222" i="90"/>
  <c r="H222" i="90"/>
  <c r="C222" i="90"/>
  <c r="M222" i="90"/>
  <c r="K222" i="90"/>
  <c r="J222" i="90"/>
  <c r="I222" i="90"/>
  <c r="F222" i="90"/>
  <c r="A222" i="90"/>
  <c r="G221" i="90"/>
  <c r="H221" i="90"/>
  <c r="C221" i="90"/>
  <c r="M221" i="90"/>
  <c r="K221" i="90"/>
  <c r="J221" i="90"/>
  <c r="I221" i="90"/>
  <c r="F221" i="90"/>
  <c r="A221" i="90"/>
  <c r="G220" i="90"/>
  <c r="H220" i="90"/>
  <c r="C220" i="90"/>
  <c r="M220" i="90"/>
  <c r="K220" i="90"/>
  <c r="J220" i="90"/>
  <c r="I220" i="90"/>
  <c r="F220" i="90"/>
  <c r="A220" i="90"/>
  <c r="G219" i="90"/>
  <c r="H219" i="90"/>
  <c r="C219" i="90"/>
  <c r="M219" i="90"/>
  <c r="K219" i="90"/>
  <c r="J219" i="90"/>
  <c r="I219" i="90"/>
  <c r="F219" i="90"/>
  <c r="A219" i="90"/>
  <c r="G218" i="90"/>
  <c r="H218" i="90"/>
  <c r="C218" i="90"/>
  <c r="M218" i="90"/>
  <c r="K218" i="90"/>
  <c r="J218" i="90"/>
  <c r="I218" i="90"/>
  <c r="F218" i="90"/>
  <c r="A218" i="90"/>
  <c r="G217" i="90"/>
  <c r="H217" i="90"/>
  <c r="C217" i="90"/>
  <c r="M217" i="90"/>
  <c r="K217" i="90"/>
  <c r="J217" i="90"/>
  <c r="I217" i="90"/>
  <c r="F217" i="90"/>
  <c r="A217" i="90"/>
  <c r="G216" i="90"/>
  <c r="H216" i="90"/>
  <c r="C216" i="90"/>
  <c r="M216" i="90"/>
  <c r="K216" i="90"/>
  <c r="J216" i="90"/>
  <c r="I216" i="90"/>
  <c r="F216" i="90"/>
  <c r="A216" i="90"/>
  <c r="G215" i="90"/>
  <c r="H215" i="90"/>
  <c r="C215" i="90"/>
  <c r="M215" i="90"/>
  <c r="K215" i="90"/>
  <c r="J215" i="90"/>
  <c r="I215" i="90"/>
  <c r="F215" i="90"/>
  <c r="A215" i="90"/>
  <c r="G214" i="90"/>
  <c r="H214" i="90"/>
  <c r="C214" i="90"/>
  <c r="M214" i="90"/>
  <c r="K214" i="90"/>
  <c r="J214" i="90"/>
  <c r="I214" i="90"/>
  <c r="F214" i="90"/>
  <c r="A214" i="90"/>
  <c r="G213" i="90"/>
  <c r="H213" i="90"/>
  <c r="C213" i="90"/>
  <c r="M213" i="90"/>
  <c r="K213" i="90"/>
  <c r="J213" i="90"/>
  <c r="I213" i="90"/>
  <c r="F213" i="90"/>
  <c r="A213" i="90"/>
  <c r="G212" i="90"/>
  <c r="H212" i="90"/>
  <c r="C212" i="90"/>
  <c r="M212" i="90"/>
  <c r="K212" i="90"/>
  <c r="J212" i="90"/>
  <c r="I212" i="90"/>
  <c r="F212" i="90"/>
  <c r="A212" i="90"/>
  <c r="G211" i="90"/>
  <c r="H211" i="90"/>
  <c r="C211" i="90"/>
  <c r="M211" i="90"/>
  <c r="K211" i="90"/>
  <c r="J211" i="90"/>
  <c r="I211" i="90"/>
  <c r="F211" i="90"/>
  <c r="A211" i="90"/>
  <c r="G210" i="90"/>
  <c r="H210" i="90"/>
  <c r="C210" i="90"/>
  <c r="M210" i="90"/>
  <c r="K210" i="90"/>
  <c r="J210" i="90"/>
  <c r="I210" i="90"/>
  <c r="F210" i="90"/>
  <c r="A210" i="90"/>
  <c r="G209" i="90"/>
  <c r="H209" i="90"/>
  <c r="C209" i="90"/>
  <c r="M209" i="90"/>
  <c r="K209" i="90"/>
  <c r="J209" i="90"/>
  <c r="I209" i="90"/>
  <c r="F209" i="90"/>
  <c r="A209" i="90"/>
  <c r="G208" i="90"/>
  <c r="H208" i="90"/>
  <c r="C208" i="90"/>
  <c r="M208" i="90"/>
  <c r="K208" i="90"/>
  <c r="J208" i="90"/>
  <c r="I208" i="90"/>
  <c r="F208" i="90"/>
  <c r="A208" i="90"/>
  <c r="G207" i="90"/>
  <c r="H207" i="90"/>
  <c r="C207" i="90"/>
  <c r="M207" i="90"/>
  <c r="K207" i="90"/>
  <c r="J207" i="90"/>
  <c r="I207" i="90"/>
  <c r="F207" i="90"/>
  <c r="A207" i="90"/>
  <c r="G206" i="90"/>
  <c r="H206" i="90"/>
  <c r="C206" i="90"/>
  <c r="M206" i="90"/>
  <c r="K206" i="90"/>
  <c r="J206" i="90"/>
  <c r="I206" i="90"/>
  <c r="F206" i="90"/>
  <c r="A206" i="90"/>
  <c r="G205" i="90"/>
  <c r="H205" i="90"/>
  <c r="C205" i="90"/>
  <c r="M205" i="90"/>
  <c r="K205" i="90"/>
  <c r="J205" i="90"/>
  <c r="I205" i="90"/>
  <c r="F205" i="90"/>
  <c r="A205" i="90"/>
  <c r="G204" i="90"/>
  <c r="H204" i="90"/>
  <c r="C204" i="90"/>
  <c r="M204" i="90"/>
  <c r="K204" i="90"/>
  <c r="J204" i="90"/>
  <c r="I204" i="90"/>
  <c r="F204" i="90"/>
  <c r="A204" i="90"/>
  <c r="G203" i="90"/>
  <c r="H203" i="90"/>
  <c r="C203" i="90"/>
  <c r="M203" i="90"/>
  <c r="K203" i="90"/>
  <c r="J203" i="90"/>
  <c r="I203" i="90"/>
  <c r="F203" i="90"/>
  <c r="A203" i="90"/>
  <c r="G202" i="90"/>
  <c r="H202" i="90"/>
  <c r="C202" i="90"/>
  <c r="M202" i="90"/>
  <c r="K202" i="90"/>
  <c r="J202" i="90"/>
  <c r="I202" i="90"/>
  <c r="F202" i="90"/>
  <c r="A202" i="90"/>
  <c r="G201" i="90"/>
  <c r="H201" i="90"/>
  <c r="C201" i="90"/>
  <c r="M201" i="90"/>
  <c r="K201" i="90"/>
  <c r="J201" i="90"/>
  <c r="I201" i="90"/>
  <c r="F201" i="90"/>
  <c r="A201" i="90"/>
  <c r="G200" i="90"/>
  <c r="H200" i="90"/>
  <c r="C200" i="90"/>
  <c r="M200" i="90"/>
  <c r="K200" i="90"/>
  <c r="J200" i="90"/>
  <c r="I200" i="90"/>
  <c r="F200" i="90"/>
  <c r="A200" i="90"/>
  <c r="G199" i="90"/>
  <c r="H199" i="90"/>
  <c r="C199" i="90"/>
  <c r="M199" i="90"/>
  <c r="K199" i="90"/>
  <c r="J199" i="90"/>
  <c r="I199" i="90"/>
  <c r="F199" i="90"/>
  <c r="A199" i="90"/>
  <c r="G198" i="90"/>
  <c r="H198" i="90"/>
  <c r="C198" i="90"/>
  <c r="M198" i="90"/>
  <c r="K198" i="90"/>
  <c r="J198" i="90"/>
  <c r="I198" i="90"/>
  <c r="F198" i="90"/>
  <c r="A198" i="90"/>
  <c r="G197" i="90"/>
  <c r="H197" i="90"/>
  <c r="C197" i="90"/>
  <c r="M197" i="90"/>
  <c r="K197" i="90"/>
  <c r="J197" i="90"/>
  <c r="I197" i="90"/>
  <c r="F197" i="90"/>
  <c r="A197" i="90"/>
  <c r="G196" i="90"/>
  <c r="H196" i="90"/>
  <c r="C196" i="90"/>
  <c r="M196" i="90"/>
  <c r="K196" i="90"/>
  <c r="J196" i="90"/>
  <c r="I196" i="90"/>
  <c r="F196" i="90"/>
  <c r="A196" i="90"/>
  <c r="G195" i="90"/>
  <c r="H195" i="90"/>
  <c r="C195" i="90"/>
  <c r="M195" i="90"/>
  <c r="K195" i="90"/>
  <c r="J195" i="90"/>
  <c r="I195" i="90"/>
  <c r="F195" i="90"/>
  <c r="A195" i="90"/>
  <c r="G194" i="90"/>
  <c r="H194" i="90"/>
  <c r="C194" i="90"/>
  <c r="M194" i="90"/>
  <c r="K194" i="90"/>
  <c r="J194" i="90"/>
  <c r="I194" i="90"/>
  <c r="F194" i="90"/>
  <c r="A194" i="90"/>
  <c r="G193" i="90"/>
  <c r="H193" i="90"/>
  <c r="C193" i="90"/>
  <c r="M193" i="90"/>
  <c r="K193" i="90"/>
  <c r="J193" i="90"/>
  <c r="I193" i="90"/>
  <c r="F193" i="90"/>
  <c r="A193" i="90"/>
  <c r="G192" i="90"/>
  <c r="H192" i="90"/>
  <c r="C192" i="90"/>
  <c r="M192" i="90"/>
  <c r="K192" i="90"/>
  <c r="J192" i="90"/>
  <c r="I192" i="90"/>
  <c r="F192" i="90"/>
  <c r="A192" i="90"/>
  <c r="G191" i="90"/>
  <c r="H191" i="90"/>
  <c r="C191" i="90"/>
  <c r="M191" i="90"/>
  <c r="K191" i="90"/>
  <c r="J191" i="90"/>
  <c r="I191" i="90"/>
  <c r="F191" i="90"/>
  <c r="A191" i="90"/>
  <c r="G190" i="90"/>
  <c r="H190" i="90"/>
  <c r="C190" i="90"/>
  <c r="M190" i="90"/>
  <c r="K190" i="90"/>
  <c r="J190" i="90"/>
  <c r="I190" i="90"/>
  <c r="F190" i="90"/>
  <c r="A190" i="90"/>
  <c r="G189" i="90"/>
  <c r="H189" i="90"/>
  <c r="C189" i="90"/>
  <c r="M189" i="90"/>
  <c r="K189" i="90"/>
  <c r="J189" i="90"/>
  <c r="I189" i="90"/>
  <c r="F189" i="90"/>
  <c r="A189" i="90"/>
  <c r="G188" i="90"/>
  <c r="H188" i="90"/>
  <c r="C188" i="90"/>
  <c r="M188" i="90"/>
  <c r="K188" i="90"/>
  <c r="J188" i="90"/>
  <c r="I188" i="90"/>
  <c r="F188" i="90"/>
  <c r="A188" i="90"/>
  <c r="G187" i="90"/>
  <c r="H187" i="90"/>
  <c r="C187" i="90"/>
  <c r="M187" i="90"/>
  <c r="K187" i="90"/>
  <c r="J187" i="90"/>
  <c r="I187" i="90"/>
  <c r="F187" i="90"/>
  <c r="A187" i="90"/>
  <c r="G186" i="90"/>
  <c r="H186" i="90"/>
  <c r="C186" i="90"/>
  <c r="M186" i="90"/>
  <c r="K186" i="90"/>
  <c r="J186" i="90"/>
  <c r="I186" i="90"/>
  <c r="F186" i="90"/>
  <c r="A186" i="90"/>
  <c r="G185" i="90"/>
  <c r="H185" i="90"/>
  <c r="C185" i="90"/>
  <c r="M185" i="90"/>
  <c r="K185" i="90"/>
  <c r="J185" i="90"/>
  <c r="I185" i="90"/>
  <c r="F185" i="90"/>
  <c r="A185" i="90"/>
  <c r="G184" i="90"/>
  <c r="H184" i="90"/>
  <c r="C184" i="90"/>
  <c r="M184" i="90"/>
  <c r="K184" i="90"/>
  <c r="J184" i="90"/>
  <c r="I184" i="90"/>
  <c r="F184" i="90"/>
  <c r="A184" i="90"/>
  <c r="G183" i="90"/>
  <c r="H183" i="90"/>
  <c r="C183" i="90"/>
  <c r="M183" i="90"/>
  <c r="K183" i="90"/>
  <c r="J183" i="90"/>
  <c r="I183" i="90"/>
  <c r="F183" i="90"/>
  <c r="A183" i="90"/>
  <c r="G182" i="90"/>
  <c r="H182" i="90"/>
  <c r="C182" i="90"/>
  <c r="M182" i="90"/>
  <c r="K182" i="90"/>
  <c r="J182" i="90"/>
  <c r="I182" i="90"/>
  <c r="F182" i="90"/>
  <c r="A182" i="90"/>
  <c r="G181" i="90"/>
  <c r="H181" i="90"/>
  <c r="C181" i="90"/>
  <c r="M181" i="90"/>
  <c r="K181" i="90"/>
  <c r="J181" i="90"/>
  <c r="I181" i="90"/>
  <c r="F181" i="90"/>
  <c r="A181" i="90"/>
  <c r="G180" i="90"/>
  <c r="H180" i="90"/>
  <c r="C180" i="90"/>
  <c r="M180" i="90"/>
  <c r="K180" i="90"/>
  <c r="J180" i="90"/>
  <c r="I180" i="90"/>
  <c r="F180" i="90"/>
  <c r="A180" i="90"/>
  <c r="G179" i="90"/>
  <c r="H179" i="90"/>
  <c r="C179" i="90"/>
  <c r="M179" i="90"/>
  <c r="K179" i="90"/>
  <c r="J179" i="90"/>
  <c r="I179" i="90"/>
  <c r="F179" i="90"/>
  <c r="A179" i="90"/>
  <c r="G178" i="90"/>
  <c r="H178" i="90"/>
  <c r="C178" i="90"/>
  <c r="M178" i="90"/>
  <c r="K178" i="90"/>
  <c r="J178" i="90"/>
  <c r="I178" i="90"/>
  <c r="F178" i="90"/>
  <c r="A178" i="90"/>
  <c r="G177" i="90"/>
  <c r="H177" i="90"/>
  <c r="C177" i="90"/>
  <c r="M177" i="90"/>
  <c r="K177" i="90"/>
  <c r="J177" i="90"/>
  <c r="I177" i="90"/>
  <c r="F177" i="90"/>
  <c r="A177" i="90"/>
  <c r="G176" i="90"/>
  <c r="H176" i="90"/>
  <c r="C176" i="90"/>
  <c r="M176" i="90"/>
  <c r="K176" i="90"/>
  <c r="J176" i="90"/>
  <c r="I176" i="90"/>
  <c r="F176" i="90"/>
  <c r="A176" i="90"/>
  <c r="G175" i="90"/>
  <c r="H175" i="90"/>
  <c r="C175" i="90"/>
  <c r="M175" i="90"/>
  <c r="K175" i="90"/>
  <c r="J175" i="90"/>
  <c r="I175" i="90"/>
  <c r="F175" i="90"/>
  <c r="A175" i="90"/>
  <c r="G174" i="90"/>
  <c r="H174" i="90"/>
  <c r="C174" i="90"/>
  <c r="M174" i="90"/>
  <c r="K174" i="90"/>
  <c r="J174" i="90"/>
  <c r="I174" i="90"/>
  <c r="F174" i="90"/>
  <c r="A174" i="90"/>
  <c r="G173" i="90"/>
  <c r="H173" i="90"/>
  <c r="C173" i="90"/>
  <c r="M173" i="90"/>
  <c r="K173" i="90"/>
  <c r="J173" i="90"/>
  <c r="I173" i="90"/>
  <c r="F173" i="90"/>
  <c r="A173" i="90"/>
  <c r="G172" i="90"/>
  <c r="H172" i="90"/>
  <c r="C172" i="90"/>
  <c r="M172" i="90"/>
  <c r="K172" i="90"/>
  <c r="J172" i="90"/>
  <c r="I172" i="90"/>
  <c r="F172" i="90"/>
  <c r="A172" i="90"/>
  <c r="G171" i="90"/>
  <c r="H171" i="90"/>
  <c r="C171" i="90"/>
  <c r="M171" i="90"/>
  <c r="K171" i="90"/>
  <c r="J171" i="90"/>
  <c r="I171" i="90"/>
  <c r="F171" i="90"/>
  <c r="A171" i="90"/>
  <c r="G170" i="90"/>
  <c r="H170" i="90"/>
  <c r="C170" i="90"/>
  <c r="M170" i="90"/>
  <c r="K170" i="90"/>
  <c r="J170" i="90"/>
  <c r="I170" i="90"/>
  <c r="F170" i="90"/>
  <c r="A170" i="90"/>
  <c r="G169" i="90"/>
  <c r="H169" i="90"/>
  <c r="C169" i="90"/>
  <c r="M169" i="90"/>
  <c r="K169" i="90"/>
  <c r="J169" i="90"/>
  <c r="I169" i="90"/>
  <c r="F169" i="90"/>
  <c r="A169" i="90"/>
  <c r="G168" i="90"/>
  <c r="H168" i="90"/>
  <c r="C168" i="90"/>
  <c r="M168" i="90"/>
  <c r="K168" i="90"/>
  <c r="J168" i="90"/>
  <c r="I168" i="90"/>
  <c r="F168" i="90"/>
  <c r="A168" i="90"/>
  <c r="G167" i="90"/>
  <c r="H167" i="90"/>
  <c r="C167" i="90"/>
  <c r="M167" i="90"/>
  <c r="K167" i="90"/>
  <c r="J167" i="90"/>
  <c r="I167" i="90"/>
  <c r="F167" i="90"/>
  <c r="A167" i="90"/>
  <c r="G166" i="90"/>
  <c r="H166" i="90"/>
  <c r="C166" i="90"/>
  <c r="M166" i="90"/>
  <c r="K166" i="90"/>
  <c r="J166" i="90"/>
  <c r="I166" i="90"/>
  <c r="F166" i="90"/>
  <c r="A166" i="90"/>
  <c r="G165" i="90"/>
  <c r="H165" i="90"/>
  <c r="C165" i="90"/>
  <c r="M165" i="90"/>
  <c r="K165" i="90"/>
  <c r="J165" i="90"/>
  <c r="I165" i="90"/>
  <c r="F165" i="90"/>
  <c r="A165" i="90"/>
  <c r="G164" i="90"/>
  <c r="H164" i="90"/>
  <c r="C164" i="90"/>
  <c r="M164" i="90"/>
  <c r="K164" i="90"/>
  <c r="J164" i="90"/>
  <c r="I164" i="90"/>
  <c r="F164" i="90"/>
  <c r="A164" i="90"/>
  <c r="G163" i="90"/>
  <c r="H163" i="90"/>
  <c r="C163" i="90"/>
  <c r="M163" i="90"/>
  <c r="K163" i="90"/>
  <c r="J163" i="90"/>
  <c r="I163" i="90"/>
  <c r="F163" i="90"/>
  <c r="A163" i="90"/>
  <c r="G162" i="90"/>
  <c r="H162" i="90"/>
  <c r="C162" i="90"/>
  <c r="M162" i="90"/>
  <c r="K162" i="90"/>
  <c r="J162" i="90"/>
  <c r="I162" i="90"/>
  <c r="F162" i="90"/>
  <c r="A162" i="90"/>
  <c r="G161" i="90"/>
  <c r="H161" i="90"/>
  <c r="C161" i="90"/>
  <c r="M161" i="90"/>
  <c r="K161" i="90"/>
  <c r="J161" i="90"/>
  <c r="I161" i="90"/>
  <c r="F161" i="90"/>
  <c r="A161" i="90"/>
  <c r="G160" i="90"/>
  <c r="H160" i="90"/>
  <c r="C160" i="90"/>
  <c r="M160" i="90"/>
  <c r="K160" i="90"/>
  <c r="J160" i="90"/>
  <c r="I160" i="90"/>
  <c r="F160" i="90"/>
  <c r="A160" i="90"/>
  <c r="G159" i="90"/>
  <c r="H159" i="90"/>
  <c r="C159" i="90"/>
  <c r="M159" i="90"/>
  <c r="K159" i="90"/>
  <c r="J159" i="90"/>
  <c r="I159" i="90"/>
  <c r="F159" i="90"/>
  <c r="A159" i="90"/>
  <c r="G158" i="90"/>
  <c r="H158" i="90"/>
  <c r="C158" i="90"/>
  <c r="M158" i="90"/>
  <c r="K158" i="90"/>
  <c r="J158" i="90"/>
  <c r="I158" i="90"/>
  <c r="F158" i="90"/>
  <c r="A158" i="90"/>
  <c r="G157" i="90"/>
  <c r="H157" i="90"/>
  <c r="C157" i="90"/>
  <c r="M157" i="90"/>
  <c r="K157" i="90"/>
  <c r="J157" i="90"/>
  <c r="I157" i="90"/>
  <c r="F157" i="90"/>
  <c r="A157" i="90"/>
  <c r="G156" i="90"/>
  <c r="H156" i="90"/>
  <c r="C156" i="90"/>
  <c r="M156" i="90"/>
  <c r="K156" i="90"/>
  <c r="J156" i="90"/>
  <c r="I156" i="90"/>
  <c r="F156" i="90"/>
  <c r="A156" i="90"/>
  <c r="G155" i="90"/>
  <c r="H155" i="90"/>
  <c r="C155" i="90"/>
  <c r="M155" i="90"/>
  <c r="K155" i="90"/>
  <c r="J155" i="90"/>
  <c r="I155" i="90"/>
  <c r="F155" i="90"/>
  <c r="A155" i="90"/>
  <c r="G154" i="90"/>
  <c r="H154" i="90"/>
  <c r="C154" i="90"/>
  <c r="M154" i="90"/>
  <c r="K154" i="90"/>
  <c r="J154" i="90"/>
  <c r="I154" i="90"/>
  <c r="F154" i="90"/>
  <c r="A154" i="90"/>
  <c r="G153" i="90"/>
  <c r="H153" i="90"/>
  <c r="C153" i="90"/>
  <c r="M153" i="90"/>
  <c r="K153" i="90"/>
  <c r="J153" i="90"/>
  <c r="I153" i="90"/>
  <c r="F153" i="90"/>
  <c r="A153" i="90"/>
  <c r="G152" i="90"/>
  <c r="H152" i="90"/>
  <c r="C152" i="90"/>
  <c r="M152" i="90"/>
  <c r="K152" i="90"/>
  <c r="J152" i="90"/>
  <c r="I152" i="90"/>
  <c r="F152" i="90"/>
  <c r="A152" i="90"/>
  <c r="G151" i="90"/>
  <c r="H151" i="90"/>
  <c r="C151" i="90"/>
  <c r="M151" i="90"/>
  <c r="K151" i="90"/>
  <c r="J151" i="90"/>
  <c r="I151" i="90"/>
  <c r="F151" i="90"/>
  <c r="A151" i="90"/>
  <c r="G150" i="90"/>
  <c r="H150" i="90"/>
  <c r="C150" i="90"/>
  <c r="M150" i="90"/>
  <c r="K150" i="90"/>
  <c r="J150" i="90"/>
  <c r="I150" i="90"/>
  <c r="F150" i="90"/>
  <c r="A150" i="90"/>
  <c r="G149" i="90"/>
  <c r="H149" i="90"/>
  <c r="C149" i="90"/>
  <c r="M149" i="90"/>
  <c r="K149" i="90"/>
  <c r="J149" i="90"/>
  <c r="I149" i="90"/>
  <c r="F149" i="90"/>
  <c r="A149" i="90"/>
  <c r="G148" i="90"/>
  <c r="H148" i="90"/>
  <c r="C148" i="90"/>
  <c r="M148" i="90"/>
  <c r="K148" i="90"/>
  <c r="J148" i="90"/>
  <c r="I148" i="90"/>
  <c r="F148" i="90"/>
  <c r="A148" i="90"/>
  <c r="G147" i="90"/>
  <c r="H147" i="90"/>
  <c r="C147" i="90"/>
  <c r="M147" i="90"/>
  <c r="K147" i="90"/>
  <c r="J147" i="90"/>
  <c r="I147" i="90"/>
  <c r="F147" i="90"/>
  <c r="A147" i="90"/>
  <c r="G146" i="90"/>
  <c r="H146" i="90"/>
  <c r="C146" i="90"/>
  <c r="M146" i="90"/>
  <c r="K146" i="90"/>
  <c r="J146" i="90"/>
  <c r="I146" i="90"/>
  <c r="F146" i="90"/>
  <c r="A146" i="90"/>
  <c r="G145" i="90"/>
  <c r="H145" i="90"/>
  <c r="C145" i="90"/>
  <c r="M145" i="90"/>
  <c r="K145" i="90"/>
  <c r="J145" i="90"/>
  <c r="I145" i="90"/>
  <c r="F145" i="90"/>
  <c r="A145" i="90"/>
  <c r="G144" i="90"/>
  <c r="H144" i="90"/>
  <c r="C144" i="90"/>
  <c r="M144" i="90"/>
  <c r="K144" i="90"/>
  <c r="J144" i="90"/>
  <c r="I144" i="90"/>
  <c r="F144" i="90"/>
  <c r="A144" i="90"/>
  <c r="G143" i="90"/>
  <c r="H143" i="90"/>
  <c r="C143" i="90"/>
  <c r="M143" i="90"/>
  <c r="K143" i="90"/>
  <c r="J143" i="90"/>
  <c r="I143" i="90"/>
  <c r="F143" i="90"/>
  <c r="A143" i="90"/>
  <c r="G142" i="90"/>
  <c r="H142" i="90"/>
  <c r="C142" i="90"/>
  <c r="M142" i="90"/>
  <c r="K142" i="90"/>
  <c r="J142" i="90"/>
  <c r="I142" i="90"/>
  <c r="F142" i="90"/>
  <c r="A142" i="90"/>
  <c r="G141" i="90"/>
  <c r="H141" i="90"/>
  <c r="C141" i="90"/>
  <c r="M141" i="90"/>
  <c r="K141" i="90"/>
  <c r="J141" i="90"/>
  <c r="I141" i="90"/>
  <c r="F141" i="90"/>
  <c r="A141" i="90"/>
  <c r="G140" i="90"/>
  <c r="H140" i="90"/>
  <c r="C140" i="90"/>
  <c r="M140" i="90"/>
  <c r="K140" i="90"/>
  <c r="J140" i="90"/>
  <c r="I140" i="90"/>
  <c r="F140" i="90"/>
  <c r="A140" i="90"/>
  <c r="G139" i="90"/>
  <c r="H139" i="90"/>
  <c r="C139" i="90"/>
  <c r="M139" i="90"/>
  <c r="K139" i="90"/>
  <c r="J139" i="90"/>
  <c r="I139" i="90"/>
  <c r="F139" i="90"/>
  <c r="A139" i="90"/>
  <c r="G138" i="90"/>
  <c r="H138" i="90"/>
  <c r="C138" i="90"/>
  <c r="M138" i="90"/>
  <c r="K138" i="90"/>
  <c r="J138" i="90"/>
  <c r="I138" i="90"/>
  <c r="F138" i="90"/>
  <c r="A138" i="90"/>
  <c r="G137" i="90"/>
  <c r="H137" i="90"/>
  <c r="C137" i="90"/>
  <c r="M137" i="90"/>
  <c r="K137" i="90"/>
  <c r="J137" i="90"/>
  <c r="I137" i="90"/>
  <c r="F137" i="90"/>
  <c r="A137" i="90"/>
  <c r="G136" i="90"/>
  <c r="H136" i="90"/>
  <c r="C136" i="90"/>
  <c r="M136" i="90"/>
  <c r="K136" i="90"/>
  <c r="J136" i="90"/>
  <c r="I136" i="90"/>
  <c r="F136" i="90"/>
  <c r="A136" i="90"/>
  <c r="G135" i="90"/>
  <c r="H135" i="90"/>
  <c r="C135" i="90"/>
  <c r="M135" i="90"/>
  <c r="K135" i="90"/>
  <c r="J135" i="90"/>
  <c r="I135" i="90"/>
  <c r="F135" i="90"/>
  <c r="A135" i="90"/>
  <c r="G134" i="90"/>
  <c r="H134" i="90"/>
  <c r="C134" i="90"/>
  <c r="M134" i="90"/>
  <c r="K134" i="90"/>
  <c r="J134" i="90"/>
  <c r="I134" i="90"/>
  <c r="F134" i="90"/>
  <c r="A134" i="90"/>
  <c r="G133" i="90"/>
  <c r="H133" i="90"/>
  <c r="C133" i="90"/>
  <c r="M133" i="90"/>
  <c r="K133" i="90"/>
  <c r="J133" i="90"/>
  <c r="I133" i="90"/>
  <c r="F133" i="90"/>
  <c r="A133" i="90"/>
  <c r="G132" i="90"/>
  <c r="H132" i="90"/>
  <c r="C132" i="90"/>
  <c r="M132" i="90"/>
  <c r="K132" i="90"/>
  <c r="J132" i="90"/>
  <c r="I132" i="90"/>
  <c r="F132" i="90"/>
  <c r="A132" i="90"/>
  <c r="G131" i="90"/>
  <c r="H131" i="90"/>
  <c r="C131" i="90"/>
  <c r="M131" i="90"/>
  <c r="K131" i="90"/>
  <c r="J131" i="90"/>
  <c r="I131" i="90"/>
  <c r="F131" i="90"/>
  <c r="A131" i="90"/>
  <c r="G130" i="90"/>
  <c r="H130" i="90"/>
  <c r="C130" i="90"/>
  <c r="M130" i="90"/>
  <c r="K130" i="90"/>
  <c r="J130" i="90"/>
  <c r="I130" i="90"/>
  <c r="F130" i="90"/>
  <c r="A130" i="90"/>
  <c r="G129" i="90"/>
  <c r="H129" i="90"/>
  <c r="C129" i="90"/>
  <c r="M129" i="90"/>
  <c r="K129" i="90"/>
  <c r="J129" i="90"/>
  <c r="I129" i="90"/>
  <c r="F129" i="90"/>
  <c r="A129" i="90"/>
  <c r="G128" i="90"/>
  <c r="H128" i="90"/>
  <c r="C128" i="90"/>
  <c r="M128" i="90"/>
  <c r="K128" i="90"/>
  <c r="J128" i="90"/>
  <c r="I128" i="90"/>
  <c r="F128" i="90"/>
  <c r="A128" i="90"/>
  <c r="G127" i="90"/>
  <c r="H127" i="90"/>
  <c r="C127" i="90"/>
  <c r="M127" i="90"/>
  <c r="K127" i="90"/>
  <c r="J127" i="90"/>
  <c r="I127" i="90"/>
  <c r="F127" i="90"/>
  <c r="A127" i="90"/>
  <c r="G126" i="90"/>
  <c r="H126" i="90"/>
  <c r="C126" i="90"/>
  <c r="M126" i="90"/>
  <c r="K126" i="90"/>
  <c r="J126" i="90"/>
  <c r="I126" i="90"/>
  <c r="F126" i="90"/>
  <c r="A126" i="90"/>
  <c r="G125" i="90"/>
  <c r="H125" i="90"/>
  <c r="C125" i="90"/>
  <c r="M125" i="90"/>
  <c r="K125" i="90"/>
  <c r="J125" i="90"/>
  <c r="I125" i="90"/>
  <c r="F125" i="90"/>
  <c r="A125" i="90"/>
  <c r="G124" i="90"/>
  <c r="H124" i="90"/>
  <c r="C124" i="90"/>
  <c r="M124" i="90"/>
  <c r="K124" i="90"/>
  <c r="J124" i="90"/>
  <c r="I124" i="90"/>
  <c r="F124" i="90"/>
  <c r="A124" i="90"/>
  <c r="G123" i="90"/>
  <c r="H123" i="90"/>
  <c r="C123" i="90"/>
  <c r="M123" i="90"/>
  <c r="K123" i="90"/>
  <c r="J123" i="90"/>
  <c r="I123" i="90"/>
  <c r="F123" i="90"/>
  <c r="A123" i="90"/>
  <c r="G122" i="90"/>
  <c r="H122" i="90"/>
  <c r="C122" i="90"/>
  <c r="M122" i="90"/>
  <c r="K122" i="90"/>
  <c r="J122" i="90"/>
  <c r="I122" i="90"/>
  <c r="F122" i="90"/>
  <c r="A122" i="90"/>
  <c r="G121" i="90"/>
  <c r="H121" i="90"/>
  <c r="C121" i="90"/>
  <c r="M121" i="90"/>
  <c r="K121" i="90"/>
  <c r="J121" i="90"/>
  <c r="I121" i="90"/>
  <c r="F121" i="90"/>
  <c r="A121" i="90"/>
  <c r="G120" i="90"/>
  <c r="H120" i="90"/>
  <c r="C120" i="90"/>
  <c r="M120" i="90"/>
  <c r="K120" i="90"/>
  <c r="J120" i="90"/>
  <c r="I120" i="90"/>
  <c r="F120" i="90"/>
  <c r="A120" i="90"/>
  <c r="G119" i="90"/>
  <c r="H119" i="90"/>
  <c r="C119" i="90"/>
  <c r="M119" i="90"/>
  <c r="K119" i="90"/>
  <c r="J119" i="90"/>
  <c r="I119" i="90"/>
  <c r="F119" i="90"/>
  <c r="A119" i="90"/>
  <c r="G118" i="90"/>
  <c r="H118" i="90"/>
  <c r="C118" i="90"/>
  <c r="M118" i="90"/>
  <c r="K118" i="90"/>
  <c r="J118" i="90"/>
  <c r="I118" i="90"/>
  <c r="F118" i="90"/>
  <c r="A118" i="90"/>
  <c r="G117" i="90"/>
  <c r="H117" i="90"/>
  <c r="C117" i="90"/>
  <c r="M117" i="90"/>
  <c r="K117" i="90"/>
  <c r="J117" i="90"/>
  <c r="I117" i="90"/>
  <c r="F117" i="90"/>
  <c r="A117" i="90"/>
  <c r="G116" i="90"/>
  <c r="H116" i="90"/>
  <c r="C116" i="90"/>
  <c r="M116" i="90"/>
  <c r="K116" i="90"/>
  <c r="J116" i="90"/>
  <c r="I116" i="90"/>
  <c r="F116" i="90"/>
  <c r="A116" i="90"/>
  <c r="G115" i="90"/>
  <c r="H115" i="90"/>
  <c r="C115" i="90"/>
  <c r="M115" i="90"/>
  <c r="K115" i="90"/>
  <c r="J115" i="90"/>
  <c r="I115" i="90"/>
  <c r="F115" i="90"/>
  <c r="A115" i="90"/>
  <c r="G114" i="90"/>
  <c r="H114" i="90"/>
  <c r="C114" i="90"/>
  <c r="M114" i="90"/>
  <c r="K114" i="90"/>
  <c r="J114" i="90"/>
  <c r="I114" i="90"/>
  <c r="F114" i="90"/>
  <c r="A114" i="90"/>
  <c r="G113" i="90"/>
  <c r="H113" i="90"/>
  <c r="C113" i="90"/>
  <c r="M113" i="90"/>
  <c r="K113" i="90"/>
  <c r="J113" i="90"/>
  <c r="I113" i="90"/>
  <c r="F113" i="90"/>
  <c r="A113" i="90"/>
  <c r="G112" i="90"/>
  <c r="H112" i="90"/>
  <c r="C112" i="90"/>
  <c r="M112" i="90"/>
  <c r="K112" i="90"/>
  <c r="J112" i="90"/>
  <c r="I112" i="90"/>
  <c r="F112" i="90"/>
  <c r="A112" i="90"/>
  <c r="G111" i="90"/>
  <c r="H111" i="90"/>
  <c r="C111" i="90"/>
  <c r="M111" i="90"/>
  <c r="K111" i="90"/>
  <c r="J111" i="90"/>
  <c r="I111" i="90"/>
  <c r="F111" i="90"/>
  <c r="A111" i="90"/>
  <c r="G110" i="90"/>
  <c r="H110" i="90"/>
  <c r="C110" i="90"/>
  <c r="M110" i="90"/>
  <c r="K110" i="90"/>
  <c r="J110" i="90"/>
  <c r="I110" i="90"/>
  <c r="F110" i="90"/>
  <c r="A110" i="90"/>
  <c r="G109" i="90"/>
  <c r="H109" i="90"/>
  <c r="C109" i="90"/>
  <c r="M109" i="90"/>
  <c r="K109" i="90"/>
  <c r="J109" i="90"/>
  <c r="I109" i="90"/>
  <c r="F109" i="90"/>
  <c r="A109" i="90"/>
  <c r="G108" i="90"/>
  <c r="H108" i="90"/>
  <c r="C108" i="90"/>
  <c r="M108" i="90"/>
  <c r="K108" i="90"/>
  <c r="J108" i="90"/>
  <c r="I108" i="90"/>
  <c r="F108" i="90"/>
  <c r="A108" i="90"/>
  <c r="G107" i="90"/>
  <c r="H107" i="90"/>
  <c r="C107" i="90"/>
  <c r="M107" i="90"/>
  <c r="K107" i="90"/>
  <c r="J107" i="90"/>
  <c r="I107" i="90"/>
  <c r="F107" i="90"/>
  <c r="A107" i="90"/>
  <c r="G106" i="90"/>
  <c r="H106" i="90"/>
  <c r="C106" i="90"/>
  <c r="M106" i="90"/>
  <c r="K106" i="90"/>
  <c r="J106" i="90"/>
  <c r="I106" i="90"/>
  <c r="F106" i="90"/>
  <c r="A106" i="90"/>
  <c r="G105" i="90"/>
  <c r="H105" i="90"/>
  <c r="C105" i="90"/>
  <c r="M105" i="90"/>
  <c r="K105" i="90"/>
  <c r="J105" i="90"/>
  <c r="I105" i="90"/>
  <c r="F105" i="90"/>
  <c r="A105" i="90"/>
  <c r="G104" i="90"/>
  <c r="H104" i="90"/>
  <c r="C104" i="90"/>
  <c r="M104" i="90"/>
  <c r="K104" i="90"/>
  <c r="J104" i="90"/>
  <c r="I104" i="90"/>
  <c r="F104" i="90"/>
  <c r="A104" i="90"/>
  <c r="G103" i="90"/>
  <c r="H103" i="90"/>
  <c r="C103" i="90"/>
  <c r="M103" i="90"/>
  <c r="K103" i="90"/>
  <c r="J103" i="90"/>
  <c r="I103" i="90"/>
  <c r="F103" i="90"/>
  <c r="A103" i="90"/>
  <c r="G102" i="90"/>
  <c r="H102" i="90"/>
  <c r="C102" i="90"/>
  <c r="M102" i="90"/>
  <c r="K102" i="90"/>
  <c r="J102" i="90"/>
  <c r="I102" i="90"/>
  <c r="F102" i="90"/>
  <c r="A102" i="90"/>
  <c r="G101" i="90"/>
  <c r="H101" i="90"/>
  <c r="C101" i="90"/>
  <c r="M101" i="90"/>
  <c r="K101" i="90"/>
  <c r="J101" i="90"/>
  <c r="I101" i="90"/>
  <c r="F101" i="90"/>
  <c r="A101" i="90"/>
  <c r="G100" i="90"/>
  <c r="H100" i="90"/>
  <c r="C100" i="90"/>
  <c r="M100" i="90"/>
  <c r="K100" i="90"/>
  <c r="J100" i="90"/>
  <c r="I100" i="90"/>
  <c r="F100" i="90"/>
  <c r="A100" i="90"/>
  <c r="G99" i="90"/>
  <c r="H99" i="90"/>
  <c r="C99" i="90"/>
  <c r="M99" i="90"/>
  <c r="K99" i="90"/>
  <c r="J99" i="90"/>
  <c r="I99" i="90"/>
  <c r="F99" i="90"/>
  <c r="A99" i="90"/>
  <c r="G98" i="90"/>
  <c r="H98" i="90"/>
  <c r="C98" i="90"/>
  <c r="M98" i="90"/>
  <c r="K98" i="90"/>
  <c r="J98" i="90"/>
  <c r="I98" i="90"/>
  <c r="F98" i="90"/>
  <c r="A98" i="90"/>
  <c r="G97" i="90"/>
  <c r="H97" i="90"/>
  <c r="C97" i="90"/>
  <c r="M97" i="90"/>
  <c r="K97" i="90"/>
  <c r="J97" i="90"/>
  <c r="I97" i="90"/>
  <c r="F97" i="90"/>
  <c r="A97" i="90"/>
  <c r="G96" i="90"/>
  <c r="H96" i="90"/>
  <c r="C96" i="90"/>
  <c r="M96" i="90"/>
  <c r="K96" i="90"/>
  <c r="J96" i="90"/>
  <c r="I96" i="90"/>
  <c r="F96" i="90"/>
  <c r="A96" i="90"/>
  <c r="G95" i="90"/>
  <c r="H95" i="90"/>
  <c r="C95" i="90"/>
  <c r="M95" i="90"/>
  <c r="K95" i="90"/>
  <c r="J95" i="90"/>
  <c r="I95" i="90"/>
  <c r="F95" i="90"/>
  <c r="A95" i="90"/>
  <c r="G94" i="90"/>
  <c r="H94" i="90"/>
  <c r="C94" i="90"/>
  <c r="M94" i="90"/>
  <c r="K94" i="90"/>
  <c r="J94" i="90"/>
  <c r="I94" i="90"/>
  <c r="F94" i="90"/>
  <c r="A94" i="90"/>
  <c r="G93" i="90"/>
  <c r="H93" i="90"/>
  <c r="C93" i="90"/>
  <c r="M93" i="90"/>
  <c r="K93" i="90"/>
  <c r="J93" i="90"/>
  <c r="I93" i="90"/>
  <c r="F93" i="90"/>
  <c r="A93" i="90"/>
  <c r="G92" i="90"/>
  <c r="H92" i="90"/>
  <c r="C92" i="90"/>
  <c r="M92" i="90"/>
  <c r="K92" i="90"/>
  <c r="J92" i="90"/>
  <c r="I92" i="90"/>
  <c r="F92" i="90"/>
  <c r="A92" i="90"/>
  <c r="G91" i="90"/>
  <c r="H91" i="90"/>
  <c r="C91" i="90"/>
  <c r="M91" i="90"/>
  <c r="K91" i="90"/>
  <c r="J91" i="90"/>
  <c r="I91" i="90"/>
  <c r="F91" i="90"/>
  <c r="A91" i="90"/>
  <c r="G90" i="90"/>
  <c r="H90" i="90"/>
  <c r="C90" i="90"/>
  <c r="M90" i="90"/>
  <c r="K90" i="90"/>
  <c r="J90" i="90"/>
  <c r="I90" i="90"/>
  <c r="F90" i="90"/>
  <c r="A90" i="90"/>
  <c r="G89" i="90"/>
  <c r="H89" i="90"/>
  <c r="C89" i="90"/>
  <c r="M89" i="90"/>
  <c r="K89" i="90"/>
  <c r="J89" i="90"/>
  <c r="I89" i="90"/>
  <c r="F89" i="90"/>
  <c r="A89" i="90"/>
  <c r="G88" i="90"/>
  <c r="H88" i="90"/>
  <c r="C88" i="90"/>
  <c r="M88" i="90"/>
  <c r="K88" i="90"/>
  <c r="J88" i="90"/>
  <c r="I88" i="90"/>
  <c r="F88" i="90"/>
  <c r="A88" i="90"/>
  <c r="G87" i="90"/>
  <c r="H87" i="90"/>
  <c r="C87" i="90"/>
  <c r="M87" i="90"/>
  <c r="K87" i="90"/>
  <c r="J87" i="90"/>
  <c r="I87" i="90"/>
  <c r="F87" i="90"/>
  <c r="A87" i="90"/>
  <c r="G86" i="90"/>
  <c r="H86" i="90"/>
  <c r="C86" i="90"/>
  <c r="M86" i="90"/>
  <c r="K86" i="90"/>
  <c r="J86" i="90"/>
  <c r="I86" i="90"/>
  <c r="F86" i="90"/>
  <c r="A86" i="90"/>
  <c r="G85" i="90"/>
  <c r="H85" i="90"/>
  <c r="C85" i="90"/>
  <c r="M85" i="90"/>
  <c r="K85" i="90"/>
  <c r="J85" i="90"/>
  <c r="I85" i="90"/>
  <c r="F85" i="90"/>
  <c r="A85" i="90"/>
  <c r="G84" i="90"/>
  <c r="H84" i="90"/>
  <c r="C84" i="90"/>
  <c r="M84" i="90"/>
  <c r="K84" i="90"/>
  <c r="J84" i="90"/>
  <c r="I84" i="90"/>
  <c r="F84" i="90"/>
  <c r="A84" i="90"/>
  <c r="G83" i="90"/>
  <c r="H83" i="90"/>
  <c r="C83" i="90"/>
  <c r="M83" i="90"/>
  <c r="K83" i="90"/>
  <c r="J83" i="90"/>
  <c r="I83" i="90"/>
  <c r="F83" i="90"/>
  <c r="A83" i="90"/>
  <c r="G82" i="90"/>
  <c r="H82" i="90"/>
  <c r="C82" i="90"/>
  <c r="M82" i="90"/>
  <c r="K82" i="90"/>
  <c r="J82" i="90"/>
  <c r="I82" i="90"/>
  <c r="F82" i="90"/>
  <c r="A82" i="90"/>
  <c r="G81" i="90"/>
  <c r="H81" i="90"/>
  <c r="C81" i="90"/>
  <c r="M81" i="90"/>
  <c r="K81" i="90"/>
  <c r="J81" i="90"/>
  <c r="I81" i="90"/>
  <c r="F81" i="90"/>
  <c r="A81" i="90"/>
  <c r="G80" i="90"/>
  <c r="H80" i="90"/>
  <c r="C80" i="90"/>
  <c r="M80" i="90"/>
  <c r="K80" i="90"/>
  <c r="J80" i="90"/>
  <c r="I80" i="90"/>
  <c r="F80" i="90"/>
  <c r="A80" i="90"/>
  <c r="G79" i="90"/>
  <c r="H79" i="90"/>
  <c r="C79" i="90"/>
  <c r="M79" i="90"/>
  <c r="K79" i="90"/>
  <c r="J79" i="90"/>
  <c r="I79" i="90"/>
  <c r="F79" i="90"/>
  <c r="A79" i="90"/>
  <c r="G78" i="90"/>
  <c r="H78" i="90"/>
  <c r="C78" i="90"/>
  <c r="M78" i="90"/>
  <c r="K78" i="90"/>
  <c r="J78" i="90"/>
  <c r="I78" i="90"/>
  <c r="F78" i="90"/>
  <c r="A78" i="90"/>
  <c r="G77" i="90"/>
  <c r="H77" i="90"/>
  <c r="C77" i="90"/>
  <c r="M77" i="90"/>
  <c r="K77" i="90"/>
  <c r="J77" i="90"/>
  <c r="I77" i="90"/>
  <c r="F77" i="90"/>
  <c r="A77" i="90"/>
  <c r="G76" i="90"/>
  <c r="H76" i="90"/>
  <c r="C76" i="90"/>
  <c r="M76" i="90"/>
  <c r="K76" i="90"/>
  <c r="J76" i="90"/>
  <c r="I76" i="90"/>
  <c r="F76" i="90"/>
  <c r="A76" i="90"/>
  <c r="G75" i="90"/>
  <c r="H75" i="90"/>
  <c r="C75" i="90"/>
  <c r="M75" i="90"/>
  <c r="K75" i="90"/>
  <c r="J75" i="90"/>
  <c r="I75" i="90"/>
  <c r="F75" i="90"/>
  <c r="A75" i="90"/>
  <c r="G74" i="90"/>
  <c r="H74" i="90"/>
  <c r="C74" i="90"/>
  <c r="M74" i="90"/>
  <c r="K74" i="90"/>
  <c r="J74" i="90"/>
  <c r="I74" i="90"/>
  <c r="F74" i="90"/>
  <c r="A74" i="90"/>
  <c r="G73" i="90"/>
  <c r="H73" i="90"/>
  <c r="C73" i="90"/>
  <c r="M73" i="90"/>
  <c r="K73" i="90"/>
  <c r="J73" i="90"/>
  <c r="I73" i="90"/>
  <c r="F73" i="90"/>
  <c r="A73" i="90"/>
  <c r="G72" i="90"/>
  <c r="H72" i="90"/>
  <c r="C72" i="90"/>
  <c r="M72" i="90"/>
  <c r="K72" i="90"/>
  <c r="J72" i="90"/>
  <c r="I72" i="90"/>
  <c r="F72" i="90"/>
  <c r="A72" i="90"/>
  <c r="G71" i="90"/>
  <c r="H71" i="90"/>
  <c r="C71" i="90"/>
  <c r="M71" i="90"/>
  <c r="K71" i="90"/>
  <c r="J71" i="90"/>
  <c r="I71" i="90"/>
  <c r="F71" i="90"/>
  <c r="A71" i="90"/>
  <c r="G70" i="90"/>
  <c r="H70" i="90"/>
  <c r="C70" i="90"/>
  <c r="M70" i="90"/>
  <c r="K70" i="90"/>
  <c r="J70" i="90"/>
  <c r="I70" i="90"/>
  <c r="F70" i="90"/>
  <c r="A70" i="90"/>
  <c r="G69" i="90"/>
  <c r="H69" i="90"/>
  <c r="C69" i="90"/>
  <c r="M69" i="90"/>
  <c r="K69" i="90"/>
  <c r="J69" i="90"/>
  <c r="I69" i="90"/>
  <c r="F69" i="90"/>
  <c r="A69" i="90"/>
  <c r="G68" i="90"/>
  <c r="H68" i="90"/>
  <c r="C68" i="90"/>
  <c r="M68" i="90"/>
  <c r="K68" i="90"/>
  <c r="J68" i="90"/>
  <c r="I68" i="90"/>
  <c r="F68" i="90"/>
  <c r="A68" i="90"/>
  <c r="G67" i="90"/>
  <c r="H67" i="90"/>
  <c r="C67" i="90"/>
  <c r="M67" i="90"/>
  <c r="K67" i="90"/>
  <c r="J67" i="90"/>
  <c r="I67" i="90"/>
  <c r="F67" i="90"/>
  <c r="A67" i="90"/>
  <c r="G66" i="90"/>
  <c r="H66" i="90"/>
  <c r="C66" i="90"/>
  <c r="M66" i="90"/>
  <c r="K66" i="90"/>
  <c r="J66" i="90"/>
  <c r="I66" i="90"/>
  <c r="F66" i="90"/>
  <c r="A66" i="90"/>
  <c r="G65" i="90"/>
  <c r="H65" i="90"/>
  <c r="C65" i="90"/>
  <c r="M65" i="90"/>
  <c r="K65" i="90"/>
  <c r="J65" i="90"/>
  <c r="I65" i="90"/>
  <c r="F65" i="90"/>
  <c r="A65" i="90"/>
  <c r="G64" i="90"/>
  <c r="H64" i="90"/>
  <c r="C64" i="90"/>
  <c r="M64" i="90"/>
  <c r="K64" i="90"/>
  <c r="J64" i="90"/>
  <c r="I64" i="90"/>
  <c r="F64" i="90"/>
  <c r="A64" i="90"/>
  <c r="G63" i="90"/>
  <c r="H63" i="90"/>
  <c r="C63" i="90"/>
  <c r="M63" i="90"/>
  <c r="K63" i="90"/>
  <c r="J63" i="90"/>
  <c r="I63" i="90"/>
  <c r="F63" i="90"/>
  <c r="A63" i="90"/>
  <c r="G62" i="90"/>
  <c r="H62" i="90"/>
  <c r="C62" i="90"/>
  <c r="M62" i="90"/>
  <c r="K62" i="90"/>
  <c r="J62" i="90"/>
  <c r="I62" i="90"/>
  <c r="F62" i="90"/>
  <c r="A62" i="90"/>
  <c r="G61" i="90"/>
  <c r="H61" i="90"/>
  <c r="C61" i="90"/>
  <c r="M61" i="90"/>
  <c r="K61" i="90"/>
  <c r="J61" i="90"/>
  <c r="I61" i="90"/>
  <c r="F61" i="90"/>
  <c r="A61" i="90"/>
  <c r="G60" i="90"/>
  <c r="H60" i="90"/>
  <c r="C60" i="90"/>
  <c r="M60" i="90"/>
  <c r="K60" i="90"/>
  <c r="J60" i="90"/>
  <c r="I60" i="90"/>
  <c r="F60" i="90"/>
  <c r="A60" i="90"/>
  <c r="G59" i="90"/>
  <c r="H59" i="90"/>
  <c r="C59" i="90"/>
  <c r="M59" i="90"/>
  <c r="K59" i="90"/>
  <c r="J59" i="90"/>
  <c r="I59" i="90"/>
  <c r="F59" i="90"/>
  <c r="A59" i="90"/>
  <c r="G58" i="90"/>
  <c r="H58" i="90"/>
  <c r="C58" i="90"/>
  <c r="M58" i="90"/>
  <c r="K58" i="90"/>
  <c r="J58" i="90"/>
  <c r="I58" i="90"/>
  <c r="F58" i="90"/>
  <c r="A58" i="90"/>
  <c r="G57" i="90"/>
  <c r="H57" i="90"/>
  <c r="C57" i="90"/>
  <c r="M57" i="90"/>
  <c r="K57" i="90"/>
  <c r="J57" i="90"/>
  <c r="I57" i="90"/>
  <c r="F57" i="90"/>
  <c r="A57" i="90"/>
  <c r="G56" i="90"/>
  <c r="H56" i="90"/>
  <c r="C56" i="90"/>
  <c r="M56" i="90"/>
  <c r="K56" i="90"/>
  <c r="J56" i="90"/>
  <c r="I56" i="90"/>
  <c r="F56" i="90"/>
  <c r="A56" i="90"/>
  <c r="G55" i="90"/>
  <c r="H55" i="90"/>
  <c r="C55" i="90"/>
  <c r="M55" i="90"/>
  <c r="K55" i="90"/>
  <c r="J55" i="90"/>
  <c r="I55" i="90"/>
  <c r="F55" i="90"/>
  <c r="A55" i="90"/>
  <c r="G54" i="90"/>
  <c r="H54" i="90"/>
  <c r="C54" i="90"/>
  <c r="M54" i="90"/>
  <c r="K54" i="90"/>
  <c r="J54" i="90"/>
  <c r="I54" i="90"/>
  <c r="F54" i="90"/>
  <c r="A54" i="90"/>
  <c r="G53" i="90"/>
  <c r="H53" i="90"/>
  <c r="C53" i="90"/>
  <c r="M53" i="90"/>
  <c r="K53" i="90"/>
  <c r="J53" i="90"/>
  <c r="I53" i="90"/>
  <c r="F53" i="90"/>
  <c r="A53" i="90"/>
  <c r="G52" i="90"/>
  <c r="H52" i="90"/>
  <c r="C52" i="90"/>
  <c r="M52" i="90"/>
  <c r="K52" i="90"/>
  <c r="J52" i="90"/>
  <c r="I52" i="90"/>
  <c r="F52" i="90"/>
  <c r="A52" i="90"/>
  <c r="G51" i="90"/>
  <c r="H51" i="90"/>
  <c r="C51" i="90"/>
  <c r="M51" i="90"/>
  <c r="K51" i="90"/>
  <c r="J51" i="90"/>
  <c r="I51" i="90"/>
  <c r="F51" i="90"/>
  <c r="A51" i="90"/>
  <c r="G50" i="90"/>
  <c r="H50" i="90"/>
  <c r="C50" i="90"/>
  <c r="M50" i="90"/>
  <c r="K50" i="90"/>
  <c r="J50" i="90"/>
  <c r="I50" i="90"/>
  <c r="F50" i="90"/>
  <c r="A50" i="90"/>
  <c r="G49" i="90"/>
  <c r="H49" i="90"/>
  <c r="C49" i="90"/>
  <c r="M49" i="90"/>
  <c r="K49" i="90"/>
  <c r="J49" i="90"/>
  <c r="I49" i="90"/>
  <c r="F49" i="90"/>
  <c r="A49" i="90"/>
  <c r="G48" i="90"/>
  <c r="H48" i="90"/>
  <c r="C48" i="90"/>
  <c r="M48" i="90"/>
  <c r="K48" i="90"/>
  <c r="J48" i="90"/>
  <c r="I48" i="90"/>
  <c r="F48" i="90"/>
  <c r="A48" i="90"/>
  <c r="G47" i="90"/>
  <c r="H47" i="90"/>
  <c r="C47" i="90"/>
  <c r="M47" i="90"/>
  <c r="K47" i="90"/>
  <c r="J47" i="90"/>
  <c r="I47" i="90"/>
  <c r="F47" i="90"/>
  <c r="A47" i="90"/>
  <c r="G46" i="90"/>
  <c r="H46" i="90"/>
  <c r="C46" i="90"/>
  <c r="M46" i="90"/>
  <c r="K46" i="90"/>
  <c r="J46" i="90"/>
  <c r="I46" i="90"/>
  <c r="F46" i="90"/>
  <c r="A46" i="90"/>
  <c r="G45" i="90"/>
  <c r="H45" i="90"/>
  <c r="C45" i="90"/>
  <c r="M45" i="90"/>
  <c r="K45" i="90"/>
  <c r="J45" i="90"/>
  <c r="I45" i="90"/>
  <c r="F45" i="90"/>
  <c r="A45" i="90"/>
  <c r="G44" i="90"/>
  <c r="H44" i="90"/>
  <c r="C44" i="90"/>
  <c r="M44" i="90"/>
  <c r="K44" i="90"/>
  <c r="J44" i="90"/>
  <c r="I44" i="90"/>
  <c r="F44" i="90"/>
  <c r="A44" i="90"/>
  <c r="G43" i="90"/>
  <c r="H43" i="90"/>
  <c r="C43" i="90"/>
  <c r="M43" i="90"/>
  <c r="K43" i="90"/>
  <c r="J43" i="90"/>
  <c r="I43" i="90"/>
  <c r="F43" i="90"/>
  <c r="A43" i="90"/>
  <c r="G42" i="90"/>
  <c r="H42" i="90"/>
  <c r="C42" i="90"/>
  <c r="M42" i="90"/>
  <c r="K42" i="90"/>
  <c r="J42" i="90"/>
  <c r="I42" i="90"/>
  <c r="F42" i="90"/>
  <c r="A42" i="90"/>
  <c r="G41" i="90"/>
  <c r="H41" i="90"/>
  <c r="C41" i="90"/>
  <c r="M41" i="90"/>
  <c r="K41" i="90"/>
  <c r="J41" i="90"/>
  <c r="I41" i="90"/>
  <c r="F41" i="90"/>
  <c r="A41" i="90"/>
  <c r="G40" i="90"/>
  <c r="H40" i="90"/>
  <c r="C40" i="90"/>
  <c r="M40" i="90"/>
  <c r="K40" i="90"/>
  <c r="J40" i="90"/>
  <c r="I40" i="90"/>
  <c r="F40" i="90"/>
  <c r="A40" i="90"/>
  <c r="G39" i="90"/>
  <c r="H39" i="90"/>
  <c r="C39" i="90"/>
  <c r="M39" i="90"/>
  <c r="K39" i="90"/>
  <c r="J39" i="90"/>
  <c r="I39" i="90"/>
  <c r="F39" i="90"/>
  <c r="A39" i="90"/>
  <c r="G38" i="90"/>
  <c r="H38" i="90"/>
  <c r="C38" i="90"/>
  <c r="M38" i="90"/>
  <c r="K38" i="90"/>
  <c r="J38" i="90"/>
  <c r="I38" i="90"/>
  <c r="F38" i="90"/>
  <c r="A38" i="90"/>
  <c r="G37" i="90"/>
  <c r="H37" i="90"/>
  <c r="C37" i="90"/>
  <c r="M37" i="90"/>
  <c r="K37" i="90"/>
  <c r="J37" i="90"/>
  <c r="I37" i="90"/>
  <c r="F37" i="90"/>
  <c r="A37" i="90"/>
  <c r="G36" i="90"/>
  <c r="H36" i="90"/>
  <c r="C36" i="90"/>
  <c r="M36" i="90"/>
  <c r="K36" i="90"/>
  <c r="J36" i="90"/>
  <c r="I36" i="90"/>
  <c r="F36" i="90"/>
  <c r="A36" i="90"/>
  <c r="G35" i="90"/>
  <c r="H35" i="90"/>
  <c r="C35" i="90"/>
  <c r="M35" i="90"/>
  <c r="K35" i="90"/>
  <c r="J35" i="90"/>
  <c r="I35" i="90"/>
  <c r="F35" i="90"/>
  <c r="A35" i="90"/>
  <c r="G34" i="90"/>
  <c r="H34" i="90"/>
  <c r="C34" i="90"/>
  <c r="M34" i="90"/>
  <c r="K34" i="90"/>
  <c r="J34" i="90"/>
  <c r="I34" i="90"/>
  <c r="F34" i="90"/>
  <c r="A34" i="90"/>
  <c r="G33" i="90"/>
  <c r="H33" i="90"/>
  <c r="C33" i="90"/>
  <c r="M33" i="90"/>
  <c r="K33" i="90"/>
  <c r="J33" i="90"/>
  <c r="I33" i="90"/>
  <c r="F33" i="90"/>
  <c r="A33" i="90"/>
  <c r="G32" i="90"/>
  <c r="H32" i="90"/>
  <c r="C32" i="90"/>
  <c r="M32" i="90"/>
  <c r="K32" i="90"/>
  <c r="J32" i="90"/>
  <c r="I32" i="90"/>
  <c r="F32" i="90"/>
  <c r="A32" i="90"/>
  <c r="G31" i="90"/>
  <c r="H31" i="90"/>
  <c r="C31" i="90"/>
  <c r="M31" i="90"/>
  <c r="K31" i="90"/>
  <c r="J31" i="90"/>
  <c r="I31" i="90"/>
  <c r="F31" i="90"/>
  <c r="A31" i="90"/>
  <c r="G30" i="90"/>
  <c r="H30" i="90"/>
  <c r="C30" i="90"/>
  <c r="M30" i="90"/>
  <c r="K30" i="90"/>
  <c r="J30" i="90"/>
  <c r="I30" i="90"/>
  <c r="F30" i="90"/>
  <c r="A30" i="90"/>
  <c r="G29" i="90"/>
  <c r="H29" i="90"/>
  <c r="C29" i="90"/>
  <c r="M29" i="90"/>
  <c r="K29" i="90"/>
  <c r="J29" i="90"/>
  <c r="I29" i="90"/>
  <c r="F29" i="90"/>
  <c r="A29" i="90"/>
  <c r="G28" i="90"/>
  <c r="H28" i="90"/>
  <c r="C28" i="90"/>
  <c r="M28" i="90"/>
  <c r="K28" i="90"/>
  <c r="J28" i="90"/>
  <c r="I28" i="90"/>
  <c r="F28" i="90"/>
  <c r="A28" i="90"/>
  <c r="G27" i="90"/>
  <c r="H27" i="90"/>
  <c r="C27" i="90"/>
  <c r="M27" i="90"/>
  <c r="K27" i="90"/>
  <c r="J27" i="90"/>
  <c r="I27" i="90"/>
  <c r="F27" i="90"/>
  <c r="A27" i="90"/>
  <c r="G26" i="90"/>
  <c r="H26" i="90"/>
  <c r="C26" i="90"/>
  <c r="M26" i="90"/>
  <c r="K26" i="90"/>
  <c r="J26" i="90"/>
  <c r="I26" i="90"/>
  <c r="F26" i="90"/>
  <c r="A26" i="90"/>
  <c r="G25" i="90"/>
  <c r="H25" i="90"/>
  <c r="C25" i="90"/>
  <c r="M25" i="90"/>
  <c r="K25" i="90"/>
  <c r="J25" i="90"/>
  <c r="I25" i="90"/>
  <c r="F25" i="90"/>
  <c r="A25" i="90"/>
  <c r="G24" i="90"/>
  <c r="H24" i="90"/>
  <c r="C24" i="90"/>
  <c r="M24" i="90"/>
  <c r="K24" i="90"/>
  <c r="J24" i="90"/>
  <c r="I24" i="90"/>
  <c r="F24" i="90"/>
  <c r="A24" i="90"/>
  <c r="G23" i="90"/>
  <c r="H23" i="90"/>
  <c r="C23" i="90"/>
  <c r="M23" i="90"/>
  <c r="K23" i="90"/>
  <c r="J23" i="90"/>
  <c r="I23" i="90"/>
  <c r="F23" i="90"/>
  <c r="A23" i="90"/>
  <c r="G22" i="90"/>
  <c r="H22" i="90"/>
  <c r="C22" i="90"/>
  <c r="M22" i="90"/>
  <c r="K22" i="90"/>
  <c r="J22" i="90"/>
  <c r="I22" i="90"/>
  <c r="F22" i="90"/>
  <c r="A22" i="90"/>
  <c r="G21" i="90"/>
  <c r="H21" i="90"/>
  <c r="C21" i="90"/>
  <c r="M21" i="90"/>
  <c r="K21" i="90"/>
  <c r="J21" i="90"/>
  <c r="I21" i="90"/>
  <c r="F21" i="90"/>
  <c r="A21" i="90"/>
  <c r="G20" i="90"/>
  <c r="H20" i="90"/>
  <c r="C20" i="90"/>
  <c r="M20" i="90"/>
  <c r="K20" i="90"/>
  <c r="J20" i="90"/>
  <c r="I20" i="90"/>
  <c r="F20" i="90"/>
  <c r="A20" i="90"/>
  <c r="G19" i="90"/>
  <c r="H19" i="90"/>
  <c r="C19" i="90"/>
  <c r="M19" i="90"/>
  <c r="K19" i="90"/>
  <c r="J19" i="90"/>
  <c r="I19" i="90"/>
  <c r="F19" i="90"/>
  <c r="A19" i="90"/>
  <c r="G18" i="90"/>
  <c r="H18" i="90"/>
  <c r="C18" i="90"/>
  <c r="M18" i="90"/>
  <c r="K18" i="90"/>
  <c r="J18" i="90"/>
  <c r="I18" i="90"/>
  <c r="F18" i="90"/>
  <c r="A18" i="90"/>
  <c r="G17" i="90"/>
  <c r="H17" i="90"/>
  <c r="C17" i="90"/>
  <c r="M17" i="90"/>
  <c r="K17" i="90"/>
  <c r="J17" i="90"/>
  <c r="I17" i="90"/>
  <c r="F17" i="90"/>
  <c r="A17" i="90"/>
  <c r="G16" i="90"/>
  <c r="H16" i="90"/>
  <c r="C16" i="90"/>
  <c r="M16" i="90"/>
  <c r="K16" i="90"/>
  <c r="J16" i="90"/>
  <c r="I16" i="90"/>
  <c r="F16" i="90"/>
  <c r="A16" i="90"/>
  <c r="G15" i="90"/>
  <c r="H15" i="90"/>
  <c r="C15" i="90"/>
  <c r="M15" i="90"/>
  <c r="K15" i="90"/>
  <c r="J15" i="90"/>
  <c r="I15" i="90"/>
  <c r="F15" i="90"/>
  <c r="A15" i="90"/>
  <c r="G14" i="90"/>
  <c r="H14" i="90"/>
  <c r="C14" i="90"/>
  <c r="M14" i="90"/>
  <c r="K14" i="90"/>
  <c r="J14" i="90"/>
  <c r="I14" i="90"/>
  <c r="F14" i="90"/>
  <c r="A14" i="90"/>
  <c r="G13" i="90"/>
  <c r="H13" i="90"/>
  <c r="C13" i="90"/>
  <c r="M13" i="90"/>
  <c r="K13" i="90"/>
  <c r="J13" i="90"/>
  <c r="I13" i="90"/>
  <c r="F13" i="90"/>
  <c r="A13" i="90"/>
  <c r="G12" i="90"/>
  <c r="H12" i="90"/>
  <c r="C12" i="90"/>
  <c r="M12" i="90"/>
  <c r="K12" i="90"/>
  <c r="J12" i="90"/>
  <c r="I12" i="90"/>
  <c r="F12" i="90"/>
  <c r="A12" i="90"/>
  <c r="G11" i="90"/>
  <c r="H11" i="90"/>
  <c r="C11" i="90"/>
  <c r="M11" i="90"/>
  <c r="K11" i="90"/>
  <c r="J11" i="90"/>
  <c r="I11" i="90"/>
  <c r="F11" i="90"/>
  <c r="A11" i="90"/>
  <c r="G10" i="90"/>
  <c r="H10" i="90"/>
  <c r="C10" i="90"/>
  <c r="M10" i="90"/>
  <c r="K10" i="90"/>
  <c r="J10" i="90"/>
  <c r="I10" i="90"/>
  <c r="F10" i="90"/>
  <c r="A10" i="90"/>
  <c r="G9" i="90"/>
  <c r="H9" i="90"/>
  <c r="C9" i="90"/>
  <c r="M9" i="90"/>
  <c r="K9" i="90"/>
  <c r="J9" i="90"/>
  <c r="I9" i="90"/>
  <c r="F9" i="90"/>
  <c r="A9" i="90"/>
  <c r="G8" i="90"/>
  <c r="H8" i="90"/>
  <c r="C8" i="90"/>
  <c r="M8" i="90"/>
  <c r="K8" i="90"/>
  <c r="J8" i="90"/>
  <c r="I8" i="90"/>
  <c r="F8" i="90"/>
  <c r="A8" i="90"/>
  <c r="G7" i="90"/>
  <c r="H7" i="90"/>
  <c r="C7" i="90"/>
  <c r="M7" i="90"/>
  <c r="K7" i="90"/>
  <c r="J7" i="90"/>
  <c r="I7" i="90"/>
  <c r="F7" i="90"/>
  <c r="A7" i="90"/>
  <c r="G6" i="90"/>
  <c r="H6" i="90"/>
  <c r="C6" i="90"/>
  <c r="M6" i="90"/>
  <c r="K6" i="90"/>
  <c r="J6" i="90"/>
  <c r="I6" i="90"/>
  <c r="F6" i="90"/>
  <c r="A6" i="90"/>
  <c r="G5" i="90"/>
  <c r="H5" i="90"/>
  <c r="C5" i="90"/>
  <c r="M5" i="90"/>
  <c r="K5" i="90"/>
  <c r="J5" i="90"/>
  <c r="I5" i="90"/>
  <c r="F5" i="90"/>
  <c r="A5" i="90"/>
  <c r="G4" i="90"/>
  <c r="H4" i="90"/>
  <c r="C4" i="90"/>
  <c r="M4" i="90"/>
  <c r="K4" i="90"/>
  <c r="J4" i="90"/>
  <c r="I4" i="90"/>
  <c r="F4" i="90"/>
  <c r="A4" i="90"/>
  <c r="G3" i="90"/>
  <c r="H3" i="90"/>
  <c r="C3" i="90"/>
  <c r="M3" i="90"/>
  <c r="K3" i="90"/>
  <c r="J3" i="90"/>
  <c r="I3" i="90"/>
  <c r="F3" i="90"/>
  <c r="A3" i="90"/>
  <c r="G2" i="90"/>
  <c r="H2" i="90"/>
  <c r="C2" i="90"/>
  <c r="M2" i="90"/>
  <c r="K2" i="90"/>
  <c r="J2" i="90"/>
  <c r="I2" i="90"/>
  <c r="F2" i="90"/>
  <c r="A2" i="90"/>
  <c r="G255" i="88"/>
  <c r="H255" i="88"/>
  <c r="C255" i="88"/>
  <c r="M255" i="88"/>
  <c r="K255" i="88"/>
  <c r="J255" i="88"/>
  <c r="I255" i="88"/>
  <c r="F255" i="88"/>
  <c r="A255" i="88"/>
  <c r="G254" i="88"/>
  <c r="H254" i="88"/>
  <c r="C254" i="88"/>
  <c r="M254" i="88"/>
  <c r="K254" i="88"/>
  <c r="J254" i="88"/>
  <c r="I254" i="88"/>
  <c r="F254" i="88"/>
  <c r="A254" i="88"/>
  <c r="G253" i="88"/>
  <c r="H253" i="88"/>
  <c r="C253" i="88"/>
  <c r="M253" i="88"/>
  <c r="K253" i="88"/>
  <c r="J253" i="88"/>
  <c r="I253" i="88"/>
  <c r="F253" i="88"/>
  <c r="A253" i="88"/>
  <c r="G252" i="88"/>
  <c r="H252" i="88"/>
  <c r="C252" i="88"/>
  <c r="M252" i="88"/>
  <c r="K252" i="88"/>
  <c r="J252" i="88"/>
  <c r="I252" i="88"/>
  <c r="F252" i="88"/>
  <c r="A252" i="88"/>
  <c r="G251" i="88"/>
  <c r="H251" i="88"/>
  <c r="C251" i="88"/>
  <c r="M251" i="88"/>
  <c r="K251" i="88"/>
  <c r="J251" i="88"/>
  <c r="I251" i="88"/>
  <c r="F251" i="88"/>
  <c r="A251" i="88"/>
  <c r="G250" i="88"/>
  <c r="H250" i="88"/>
  <c r="C250" i="88"/>
  <c r="M250" i="88"/>
  <c r="K250" i="88"/>
  <c r="J250" i="88"/>
  <c r="I250" i="88"/>
  <c r="F250" i="88"/>
  <c r="A250" i="88"/>
  <c r="G249" i="88"/>
  <c r="H249" i="88"/>
  <c r="C249" i="88"/>
  <c r="M249" i="88"/>
  <c r="K249" i="88"/>
  <c r="J249" i="88"/>
  <c r="I249" i="88"/>
  <c r="F249" i="88"/>
  <c r="A249" i="88"/>
  <c r="G248" i="88"/>
  <c r="H248" i="88"/>
  <c r="C248" i="88"/>
  <c r="M248" i="88"/>
  <c r="K248" i="88"/>
  <c r="J248" i="88"/>
  <c r="I248" i="88"/>
  <c r="F248" i="88"/>
  <c r="A248" i="88"/>
  <c r="G247" i="88"/>
  <c r="H247" i="88"/>
  <c r="C247" i="88"/>
  <c r="M247" i="88"/>
  <c r="K247" i="88"/>
  <c r="J247" i="88"/>
  <c r="I247" i="88"/>
  <c r="F247" i="88"/>
  <c r="A247" i="88"/>
  <c r="G246" i="88"/>
  <c r="H246" i="88"/>
  <c r="C246" i="88"/>
  <c r="M246" i="88"/>
  <c r="K246" i="88"/>
  <c r="J246" i="88"/>
  <c r="I246" i="88"/>
  <c r="F246" i="88"/>
  <c r="A246" i="88"/>
  <c r="G245" i="88"/>
  <c r="H245" i="88"/>
  <c r="C245" i="88"/>
  <c r="M245" i="88"/>
  <c r="K245" i="88"/>
  <c r="J245" i="88"/>
  <c r="I245" i="88"/>
  <c r="F245" i="88"/>
  <c r="A245" i="88"/>
  <c r="G244" i="88"/>
  <c r="H244" i="88"/>
  <c r="C244" i="88"/>
  <c r="M244" i="88"/>
  <c r="K244" i="88"/>
  <c r="J244" i="88"/>
  <c r="I244" i="88"/>
  <c r="F244" i="88"/>
  <c r="A244" i="88"/>
  <c r="G243" i="88"/>
  <c r="H243" i="88"/>
  <c r="C243" i="88"/>
  <c r="M243" i="88"/>
  <c r="K243" i="88"/>
  <c r="J243" i="88"/>
  <c r="I243" i="88"/>
  <c r="F243" i="88"/>
  <c r="A243" i="88"/>
  <c r="G242" i="88"/>
  <c r="H242" i="88"/>
  <c r="C242" i="88"/>
  <c r="M242" i="88"/>
  <c r="K242" i="88"/>
  <c r="J242" i="88"/>
  <c r="I242" i="88"/>
  <c r="F242" i="88"/>
  <c r="A242" i="88"/>
  <c r="G241" i="88"/>
  <c r="H241" i="88"/>
  <c r="C241" i="88"/>
  <c r="M241" i="88"/>
  <c r="K241" i="88"/>
  <c r="J241" i="88"/>
  <c r="I241" i="88"/>
  <c r="F241" i="88"/>
  <c r="A241" i="88"/>
  <c r="G240" i="88"/>
  <c r="H240" i="88"/>
  <c r="C240" i="88"/>
  <c r="M240" i="88"/>
  <c r="K240" i="88"/>
  <c r="J240" i="88"/>
  <c r="I240" i="88"/>
  <c r="F240" i="88"/>
  <c r="A240" i="88"/>
  <c r="G239" i="88"/>
  <c r="H239" i="88"/>
  <c r="C239" i="88"/>
  <c r="M239" i="88"/>
  <c r="K239" i="88"/>
  <c r="J239" i="88"/>
  <c r="I239" i="88"/>
  <c r="F239" i="88"/>
  <c r="A239" i="88"/>
  <c r="G238" i="88"/>
  <c r="H238" i="88"/>
  <c r="C238" i="88"/>
  <c r="M238" i="88"/>
  <c r="K238" i="88"/>
  <c r="J238" i="88"/>
  <c r="I238" i="88"/>
  <c r="F238" i="88"/>
  <c r="A238" i="88"/>
  <c r="G237" i="88"/>
  <c r="H237" i="88"/>
  <c r="C237" i="88"/>
  <c r="M237" i="88"/>
  <c r="K237" i="88"/>
  <c r="J237" i="88"/>
  <c r="I237" i="88"/>
  <c r="F237" i="88"/>
  <c r="A237" i="88"/>
  <c r="G236" i="88"/>
  <c r="H236" i="88"/>
  <c r="C236" i="88"/>
  <c r="M236" i="88"/>
  <c r="K236" i="88"/>
  <c r="J236" i="88"/>
  <c r="I236" i="88"/>
  <c r="F236" i="88"/>
  <c r="A236" i="88"/>
  <c r="G235" i="88"/>
  <c r="H235" i="88"/>
  <c r="C235" i="88"/>
  <c r="M235" i="88"/>
  <c r="K235" i="88"/>
  <c r="J235" i="88"/>
  <c r="I235" i="88"/>
  <c r="F235" i="88"/>
  <c r="A235" i="88"/>
  <c r="G234" i="88"/>
  <c r="H234" i="88"/>
  <c r="C234" i="88"/>
  <c r="M234" i="88"/>
  <c r="K234" i="88"/>
  <c r="J234" i="88"/>
  <c r="I234" i="88"/>
  <c r="F234" i="88"/>
  <c r="A234" i="88"/>
  <c r="G233" i="88"/>
  <c r="H233" i="88"/>
  <c r="C233" i="88"/>
  <c r="M233" i="88"/>
  <c r="K233" i="88"/>
  <c r="J233" i="88"/>
  <c r="I233" i="88"/>
  <c r="F233" i="88"/>
  <c r="A233" i="88"/>
  <c r="G232" i="88"/>
  <c r="H232" i="88"/>
  <c r="C232" i="88"/>
  <c r="M232" i="88"/>
  <c r="K232" i="88"/>
  <c r="J232" i="88"/>
  <c r="I232" i="88"/>
  <c r="F232" i="88"/>
  <c r="A232" i="88"/>
  <c r="G231" i="88"/>
  <c r="H231" i="88"/>
  <c r="C231" i="88"/>
  <c r="M231" i="88"/>
  <c r="K231" i="88"/>
  <c r="J231" i="88"/>
  <c r="I231" i="88"/>
  <c r="F231" i="88"/>
  <c r="A231" i="88"/>
  <c r="G230" i="88"/>
  <c r="H230" i="88"/>
  <c r="C230" i="88"/>
  <c r="M230" i="88"/>
  <c r="K230" i="88"/>
  <c r="J230" i="88"/>
  <c r="I230" i="88"/>
  <c r="F230" i="88"/>
  <c r="A230" i="88"/>
  <c r="G229" i="88"/>
  <c r="H229" i="88"/>
  <c r="C229" i="88"/>
  <c r="M229" i="88"/>
  <c r="K229" i="88"/>
  <c r="J229" i="88"/>
  <c r="I229" i="88"/>
  <c r="F229" i="88"/>
  <c r="A229" i="88"/>
  <c r="G228" i="88"/>
  <c r="H228" i="88"/>
  <c r="C228" i="88"/>
  <c r="M228" i="88"/>
  <c r="K228" i="88"/>
  <c r="J228" i="88"/>
  <c r="I228" i="88"/>
  <c r="F228" i="88"/>
  <c r="A228" i="88"/>
  <c r="G227" i="88"/>
  <c r="H227" i="88"/>
  <c r="C227" i="88"/>
  <c r="M227" i="88"/>
  <c r="K227" i="88"/>
  <c r="J227" i="88"/>
  <c r="I227" i="88"/>
  <c r="F227" i="88"/>
  <c r="A227" i="88"/>
  <c r="G226" i="88"/>
  <c r="H226" i="88"/>
  <c r="C226" i="88"/>
  <c r="M226" i="88"/>
  <c r="K226" i="88"/>
  <c r="J226" i="88"/>
  <c r="I226" i="88"/>
  <c r="F226" i="88"/>
  <c r="A226" i="88"/>
  <c r="G225" i="88"/>
  <c r="H225" i="88"/>
  <c r="C225" i="88"/>
  <c r="M225" i="88"/>
  <c r="K225" i="88"/>
  <c r="J225" i="88"/>
  <c r="I225" i="88"/>
  <c r="F225" i="88"/>
  <c r="A225" i="88"/>
  <c r="G224" i="88"/>
  <c r="H224" i="88"/>
  <c r="C224" i="88"/>
  <c r="M224" i="88"/>
  <c r="K224" i="88"/>
  <c r="J224" i="88"/>
  <c r="I224" i="88"/>
  <c r="F224" i="88"/>
  <c r="A224" i="88"/>
  <c r="G223" i="88"/>
  <c r="H223" i="88"/>
  <c r="C223" i="88"/>
  <c r="M223" i="88"/>
  <c r="K223" i="88"/>
  <c r="J223" i="88"/>
  <c r="I223" i="88"/>
  <c r="F223" i="88"/>
  <c r="A223" i="88"/>
  <c r="G222" i="88"/>
  <c r="H222" i="88"/>
  <c r="C222" i="88"/>
  <c r="M222" i="88"/>
  <c r="K222" i="88"/>
  <c r="J222" i="88"/>
  <c r="I222" i="88"/>
  <c r="F222" i="88"/>
  <c r="A222" i="88"/>
  <c r="G221" i="88"/>
  <c r="H221" i="88"/>
  <c r="C221" i="88"/>
  <c r="M221" i="88"/>
  <c r="K221" i="88"/>
  <c r="J221" i="88"/>
  <c r="I221" i="88"/>
  <c r="F221" i="88"/>
  <c r="A221" i="88"/>
  <c r="G220" i="88"/>
  <c r="H220" i="88"/>
  <c r="C220" i="88"/>
  <c r="M220" i="88"/>
  <c r="K220" i="88"/>
  <c r="J220" i="88"/>
  <c r="I220" i="88"/>
  <c r="F220" i="88"/>
  <c r="A220" i="88"/>
  <c r="G219" i="88"/>
  <c r="H219" i="88"/>
  <c r="C219" i="88"/>
  <c r="M219" i="88"/>
  <c r="K219" i="88"/>
  <c r="J219" i="88"/>
  <c r="I219" i="88"/>
  <c r="F219" i="88"/>
  <c r="A219" i="88"/>
  <c r="G218" i="88"/>
  <c r="H218" i="88"/>
  <c r="C218" i="88"/>
  <c r="M218" i="88"/>
  <c r="K218" i="88"/>
  <c r="J218" i="88"/>
  <c r="I218" i="88"/>
  <c r="F218" i="88"/>
  <c r="A218" i="88"/>
  <c r="G217" i="88"/>
  <c r="H217" i="88"/>
  <c r="C217" i="88"/>
  <c r="M217" i="88"/>
  <c r="K217" i="88"/>
  <c r="J217" i="88"/>
  <c r="I217" i="88"/>
  <c r="F217" i="88"/>
  <c r="A217" i="88"/>
  <c r="G216" i="88"/>
  <c r="H216" i="88"/>
  <c r="C216" i="88"/>
  <c r="M216" i="88"/>
  <c r="K216" i="88"/>
  <c r="J216" i="88"/>
  <c r="I216" i="88"/>
  <c r="F216" i="88"/>
  <c r="A216" i="88"/>
  <c r="G215" i="88"/>
  <c r="H215" i="88"/>
  <c r="C215" i="88"/>
  <c r="M215" i="88"/>
  <c r="K215" i="88"/>
  <c r="J215" i="88"/>
  <c r="I215" i="88"/>
  <c r="F215" i="88"/>
  <c r="A215" i="88"/>
  <c r="G214" i="88"/>
  <c r="H214" i="88"/>
  <c r="C214" i="88"/>
  <c r="M214" i="88"/>
  <c r="K214" i="88"/>
  <c r="J214" i="88"/>
  <c r="I214" i="88"/>
  <c r="F214" i="88"/>
  <c r="A214" i="88"/>
  <c r="G213" i="88"/>
  <c r="H213" i="88"/>
  <c r="C213" i="88"/>
  <c r="M213" i="88"/>
  <c r="K213" i="88"/>
  <c r="J213" i="88"/>
  <c r="I213" i="88"/>
  <c r="F213" i="88"/>
  <c r="A213" i="88"/>
  <c r="G212" i="88"/>
  <c r="H212" i="88"/>
  <c r="C212" i="88"/>
  <c r="M212" i="88"/>
  <c r="K212" i="88"/>
  <c r="J212" i="88"/>
  <c r="I212" i="88"/>
  <c r="F212" i="88"/>
  <c r="A212" i="88"/>
  <c r="G211" i="88"/>
  <c r="H211" i="88"/>
  <c r="C211" i="88"/>
  <c r="M211" i="88"/>
  <c r="K211" i="88"/>
  <c r="J211" i="88"/>
  <c r="I211" i="88"/>
  <c r="F211" i="88"/>
  <c r="A211" i="88"/>
  <c r="G210" i="88"/>
  <c r="H210" i="88"/>
  <c r="C210" i="88"/>
  <c r="M210" i="88"/>
  <c r="K210" i="88"/>
  <c r="J210" i="88"/>
  <c r="I210" i="88"/>
  <c r="F210" i="88"/>
  <c r="A210" i="88"/>
  <c r="G209" i="88"/>
  <c r="H209" i="88"/>
  <c r="C209" i="88"/>
  <c r="M209" i="88"/>
  <c r="K209" i="88"/>
  <c r="J209" i="88"/>
  <c r="I209" i="88"/>
  <c r="F209" i="88"/>
  <c r="A209" i="88"/>
  <c r="G208" i="88"/>
  <c r="H208" i="88"/>
  <c r="C208" i="88"/>
  <c r="M208" i="88"/>
  <c r="K208" i="88"/>
  <c r="J208" i="88"/>
  <c r="I208" i="88"/>
  <c r="F208" i="88"/>
  <c r="A208" i="88"/>
  <c r="G207" i="88"/>
  <c r="H207" i="88"/>
  <c r="C207" i="88"/>
  <c r="M207" i="88"/>
  <c r="K207" i="88"/>
  <c r="J207" i="88"/>
  <c r="I207" i="88"/>
  <c r="F207" i="88"/>
  <c r="A207" i="88"/>
  <c r="G206" i="88"/>
  <c r="H206" i="88"/>
  <c r="C206" i="88"/>
  <c r="M206" i="88"/>
  <c r="K206" i="88"/>
  <c r="J206" i="88"/>
  <c r="I206" i="88"/>
  <c r="F206" i="88"/>
  <c r="A206" i="88"/>
  <c r="G205" i="88"/>
  <c r="H205" i="88"/>
  <c r="C205" i="88"/>
  <c r="M205" i="88"/>
  <c r="K205" i="88"/>
  <c r="J205" i="88"/>
  <c r="I205" i="88"/>
  <c r="F205" i="88"/>
  <c r="A205" i="88"/>
  <c r="G204" i="88"/>
  <c r="H204" i="88"/>
  <c r="C204" i="88"/>
  <c r="M204" i="88"/>
  <c r="K204" i="88"/>
  <c r="J204" i="88"/>
  <c r="I204" i="88"/>
  <c r="F204" i="88"/>
  <c r="A204" i="88"/>
  <c r="G203" i="88"/>
  <c r="H203" i="88"/>
  <c r="C203" i="88"/>
  <c r="M203" i="88"/>
  <c r="K203" i="88"/>
  <c r="J203" i="88"/>
  <c r="I203" i="88"/>
  <c r="F203" i="88"/>
  <c r="A203" i="88"/>
  <c r="G202" i="88"/>
  <c r="H202" i="88"/>
  <c r="C202" i="88"/>
  <c r="M202" i="88"/>
  <c r="K202" i="88"/>
  <c r="J202" i="88"/>
  <c r="I202" i="88"/>
  <c r="F202" i="88"/>
  <c r="A202" i="88"/>
  <c r="G201" i="88"/>
  <c r="H201" i="88"/>
  <c r="C201" i="88"/>
  <c r="M201" i="88"/>
  <c r="K201" i="88"/>
  <c r="J201" i="88"/>
  <c r="I201" i="88"/>
  <c r="F201" i="88"/>
  <c r="A201" i="88"/>
  <c r="G200" i="88"/>
  <c r="H200" i="88"/>
  <c r="C200" i="88"/>
  <c r="M200" i="88"/>
  <c r="K200" i="88"/>
  <c r="J200" i="88"/>
  <c r="I200" i="88"/>
  <c r="F200" i="88"/>
  <c r="A200" i="88"/>
  <c r="G199" i="88"/>
  <c r="H199" i="88"/>
  <c r="C199" i="88"/>
  <c r="M199" i="88"/>
  <c r="K199" i="88"/>
  <c r="J199" i="88"/>
  <c r="I199" i="88"/>
  <c r="F199" i="88"/>
  <c r="A199" i="88"/>
  <c r="G198" i="88"/>
  <c r="H198" i="88"/>
  <c r="C198" i="88"/>
  <c r="M198" i="88"/>
  <c r="K198" i="88"/>
  <c r="J198" i="88"/>
  <c r="I198" i="88"/>
  <c r="F198" i="88"/>
  <c r="A198" i="88"/>
  <c r="G197" i="88"/>
  <c r="H197" i="88"/>
  <c r="C197" i="88"/>
  <c r="M197" i="88"/>
  <c r="K197" i="88"/>
  <c r="J197" i="88"/>
  <c r="I197" i="88"/>
  <c r="F197" i="88"/>
  <c r="A197" i="88"/>
  <c r="G196" i="88"/>
  <c r="H196" i="88"/>
  <c r="C196" i="88"/>
  <c r="M196" i="88"/>
  <c r="K196" i="88"/>
  <c r="J196" i="88"/>
  <c r="I196" i="88"/>
  <c r="F196" i="88"/>
  <c r="A196" i="88"/>
  <c r="G195" i="88"/>
  <c r="H195" i="88"/>
  <c r="C195" i="88"/>
  <c r="M195" i="88"/>
  <c r="K195" i="88"/>
  <c r="J195" i="88"/>
  <c r="I195" i="88"/>
  <c r="F195" i="88"/>
  <c r="A195" i="88"/>
  <c r="G194" i="88"/>
  <c r="H194" i="88"/>
  <c r="C194" i="88"/>
  <c r="M194" i="88"/>
  <c r="K194" i="88"/>
  <c r="J194" i="88"/>
  <c r="I194" i="88"/>
  <c r="F194" i="88"/>
  <c r="A194" i="88"/>
  <c r="G193" i="88"/>
  <c r="H193" i="88"/>
  <c r="C193" i="88"/>
  <c r="M193" i="88"/>
  <c r="K193" i="88"/>
  <c r="J193" i="88"/>
  <c r="I193" i="88"/>
  <c r="F193" i="88"/>
  <c r="A193" i="88"/>
  <c r="G192" i="88"/>
  <c r="H192" i="88"/>
  <c r="C192" i="88"/>
  <c r="M192" i="88"/>
  <c r="K192" i="88"/>
  <c r="J192" i="88"/>
  <c r="I192" i="88"/>
  <c r="F192" i="88"/>
  <c r="A192" i="88"/>
  <c r="G191" i="88"/>
  <c r="H191" i="88"/>
  <c r="C191" i="88"/>
  <c r="M191" i="88"/>
  <c r="K191" i="88"/>
  <c r="J191" i="88"/>
  <c r="I191" i="88"/>
  <c r="F191" i="88"/>
  <c r="A191" i="88"/>
  <c r="G190" i="88"/>
  <c r="H190" i="88"/>
  <c r="C190" i="88"/>
  <c r="M190" i="88"/>
  <c r="K190" i="88"/>
  <c r="J190" i="88"/>
  <c r="I190" i="88"/>
  <c r="F190" i="88"/>
  <c r="A190" i="88"/>
  <c r="G189" i="88"/>
  <c r="H189" i="88"/>
  <c r="C189" i="88"/>
  <c r="M189" i="88"/>
  <c r="K189" i="88"/>
  <c r="J189" i="88"/>
  <c r="I189" i="88"/>
  <c r="F189" i="88"/>
  <c r="A189" i="88"/>
  <c r="G188" i="88"/>
  <c r="H188" i="88"/>
  <c r="C188" i="88"/>
  <c r="M188" i="88"/>
  <c r="K188" i="88"/>
  <c r="J188" i="88"/>
  <c r="I188" i="88"/>
  <c r="F188" i="88"/>
  <c r="A188" i="88"/>
  <c r="G187" i="88"/>
  <c r="H187" i="88"/>
  <c r="C187" i="88"/>
  <c r="M187" i="88"/>
  <c r="K187" i="88"/>
  <c r="J187" i="88"/>
  <c r="I187" i="88"/>
  <c r="F187" i="88"/>
  <c r="A187" i="88"/>
  <c r="G186" i="88"/>
  <c r="H186" i="88"/>
  <c r="C186" i="88"/>
  <c r="M186" i="88"/>
  <c r="K186" i="88"/>
  <c r="J186" i="88"/>
  <c r="I186" i="88"/>
  <c r="F186" i="88"/>
  <c r="A186" i="88"/>
  <c r="G185" i="88"/>
  <c r="H185" i="88"/>
  <c r="C185" i="88"/>
  <c r="M185" i="88"/>
  <c r="K185" i="88"/>
  <c r="J185" i="88"/>
  <c r="I185" i="88"/>
  <c r="F185" i="88"/>
  <c r="A185" i="88"/>
  <c r="G184" i="88"/>
  <c r="H184" i="88"/>
  <c r="C184" i="88"/>
  <c r="M184" i="88"/>
  <c r="K184" i="88"/>
  <c r="J184" i="88"/>
  <c r="I184" i="88"/>
  <c r="F184" i="88"/>
  <c r="A184" i="88"/>
  <c r="G183" i="88"/>
  <c r="H183" i="88"/>
  <c r="C183" i="88"/>
  <c r="M183" i="88"/>
  <c r="K183" i="88"/>
  <c r="J183" i="88"/>
  <c r="I183" i="88"/>
  <c r="F183" i="88"/>
  <c r="A183" i="88"/>
  <c r="G182" i="88"/>
  <c r="H182" i="88"/>
  <c r="C182" i="88"/>
  <c r="M182" i="88"/>
  <c r="K182" i="88"/>
  <c r="J182" i="88"/>
  <c r="I182" i="88"/>
  <c r="F182" i="88"/>
  <c r="A182" i="88"/>
  <c r="G181" i="88"/>
  <c r="H181" i="88"/>
  <c r="C181" i="88"/>
  <c r="M181" i="88"/>
  <c r="K181" i="88"/>
  <c r="J181" i="88"/>
  <c r="I181" i="88"/>
  <c r="F181" i="88"/>
  <c r="A181" i="88"/>
  <c r="G180" i="88"/>
  <c r="H180" i="88"/>
  <c r="C180" i="88"/>
  <c r="M180" i="88"/>
  <c r="K180" i="88"/>
  <c r="J180" i="88"/>
  <c r="I180" i="88"/>
  <c r="F180" i="88"/>
  <c r="A180" i="88"/>
  <c r="G179" i="88"/>
  <c r="H179" i="88"/>
  <c r="C179" i="88"/>
  <c r="M179" i="88"/>
  <c r="K179" i="88"/>
  <c r="J179" i="88"/>
  <c r="I179" i="88"/>
  <c r="F179" i="88"/>
  <c r="A179" i="88"/>
  <c r="G178" i="88"/>
  <c r="H178" i="88"/>
  <c r="C178" i="88"/>
  <c r="M178" i="88"/>
  <c r="K178" i="88"/>
  <c r="J178" i="88"/>
  <c r="I178" i="88"/>
  <c r="F178" i="88"/>
  <c r="A178" i="88"/>
  <c r="G177" i="88"/>
  <c r="H177" i="88"/>
  <c r="C177" i="88"/>
  <c r="M177" i="88"/>
  <c r="K177" i="88"/>
  <c r="J177" i="88"/>
  <c r="I177" i="88"/>
  <c r="F177" i="88"/>
  <c r="A177" i="88"/>
  <c r="G176" i="88"/>
  <c r="H176" i="88"/>
  <c r="C176" i="88"/>
  <c r="M176" i="88"/>
  <c r="K176" i="88"/>
  <c r="J176" i="88"/>
  <c r="I176" i="88"/>
  <c r="F176" i="88"/>
  <c r="A176" i="88"/>
  <c r="G175" i="88"/>
  <c r="H175" i="88"/>
  <c r="C175" i="88"/>
  <c r="M175" i="88"/>
  <c r="K175" i="88"/>
  <c r="J175" i="88"/>
  <c r="I175" i="88"/>
  <c r="F175" i="88"/>
  <c r="A175" i="88"/>
  <c r="G174" i="88"/>
  <c r="H174" i="88"/>
  <c r="C174" i="88"/>
  <c r="M174" i="88"/>
  <c r="K174" i="88"/>
  <c r="J174" i="88"/>
  <c r="I174" i="88"/>
  <c r="F174" i="88"/>
  <c r="A174" i="88"/>
  <c r="G173" i="88"/>
  <c r="H173" i="88"/>
  <c r="C173" i="88"/>
  <c r="M173" i="88"/>
  <c r="K173" i="88"/>
  <c r="J173" i="88"/>
  <c r="I173" i="88"/>
  <c r="F173" i="88"/>
  <c r="A173" i="88"/>
  <c r="G172" i="88"/>
  <c r="H172" i="88"/>
  <c r="C172" i="88"/>
  <c r="M172" i="88"/>
  <c r="K172" i="88"/>
  <c r="J172" i="88"/>
  <c r="I172" i="88"/>
  <c r="F172" i="88"/>
  <c r="A172" i="88"/>
  <c r="G171" i="88"/>
  <c r="H171" i="88"/>
  <c r="C171" i="88"/>
  <c r="M171" i="88"/>
  <c r="K171" i="88"/>
  <c r="J171" i="88"/>
  <c r="I171" i="88"/>
  <c r="F171" i="88"/>
  <c r="A171" i="88"/>
  <c r="G170" i="88"/>
  <c r="H170" i="88"/>
  <c r="C170" i="88"/>
  <c r="M170" i="88"/>
  <c r="K170" i="88"/>
  <c r="J170" i="88"/>
  <c r="I170" i="88"/>
  <c r="F170" i="88"/>
  <c r="A170" i="88"/>
  <c r="G169" i="88"/>
  <c r="H169" i="88"/>
  <c r="C169" i="88"/>
  <c r="M169" i="88"/>
  <c r="K169" i="88"/>
  <c r="J169" i="88"/>
  <c r="I169" i="88"/>
  <c r="F169" i="88"/>
  <c r="A169" i="88"/>
  <c r="G168" i="88"/>
  <c r="H168" i="88"/>
  <c r="C168" i="88"/>
  <c r="M168" i="88"/>
  <c r="K168" i="88"/>
  <c r="J168" i="88"/>
  <c r="I168" i="88"/>
  <c r="F168" i="88"/>
  <c r="A168" i="88"/>
  <c r="G167" i="88"/>
  <c r="H167" i="88"/>
  <c r="C167" i="88"/>
  <c r="M167" i="88"/>
  <c r="K167" i="88"/>
  <c r="J167" i="88"/>
  <c r="I167" i="88"/>
  <c r="F167" i="88"/>
  <c r="A167" i="88"/>
  <c r="G166" i="88"/>
  <c r="H166" i="88"/>
  <c r="C166" i="88"/>
  <c r="M166" i="88"/>
  <c r="K166" i="88"/>
  <c r="J166" i="88"/>
  <c r="I166" i="88"/>
  <c r="F166" i="88"/>
  <c r="A166" i="88"/>
  <c r="G165" i="88"/>
  <c r="H165" i="88"/>
  <c r="C165" i="88"/>
  <c r="M165" i="88"/>
  <c r="K165" i="88"/>
  <c r="J165" i="88"/>
  <c r="I165" i="88"/>
  <c r="F165" i="88"/>
  <c r="A165" i="88"/>
  <c r="G164" i="88"/>
  <c r="H164" i="88"/>
  <c r="C164" i="88"/>
  <c r="M164" i="88"/>
  <c r="K164" i="88"/>
  <c r="J164" i="88"/>
  <c r="I164" i="88"/>
  <c r="F164" i="88"/>
  <c r="A164" i="88"/>
  <c r="G163" i="88"/>
  <c r="H163" i="88"/>
  <c r="C163" i="88"/>
  <c r="M163" i="88"/>
  <c r="K163" i="88"/>
  <c r="J163" i="88"/>
  <c r="I163" i="88"/>
  <c r="F163" i="88"/>
  <c r="A163" i="88"/>
  <c r="G162" i="88"/>
  <c r="H162" i="88"/>
  <c r="C162" i="88"/>
  <c r="M162" i="88"/>
  <c r="K162" i="88"/>
  <c r="J162" i="88"/>
  <c r="I162" i="88"/>
  <c r="F162" i="88"/>
  <c r="A162" i="88"/>
  <c r="G161" i="88"/>
  <c r="H161" i="88"/>
  <c r="C161" i="88"/>
  <c r="M161" i="88"/>
  <c r="K161" i="88"/>
  <c r="J161" i="88"/>
  <c r="I161" i="88"/>
  <c r="F161" i="88"/>
  <c r="A161" i="88"/>
  <c r="G160" i="88"/>
  <c r="H160" i="88"/>
  <c r="C160" i="88"/>
  <c r="M160" i="88"/>
  <c r="K160" i="88"/>
  <c r="J160" i="88"/>
  <c r="I160" i="88"/>
  <c r="F160" i="88"/>
  <c r="A160" i="88"/>
  <c r="G159" i="88"/>
  <c r="H159" i="88"/>
  <c r="C159" i="88"/>
  <c r="M159" i="88"/>
  <c r="K159" i="88"/>
  <c r="J159" i="88"/>
  <c r="I159" i="88"/>
  <c r="F159" i="88"/>
  <c r="A159" i="88"/>
  <c r="G158" i="88"/>
  <c r="H158" i="88"/>
  <c r="C158" i="88"/>
  <c r="M158" i="88"/>
  <c r="K158" i="88"/>
  <c r="J158" i="88"/>
  <c r="I158" i="88"/>
  <c r="F158" i="88"/>
  <c r="A158" i="88"/>
  <c r="G157" i="88"/>
  <c r="H157" i="88"/>
  <c r="C157" i="88"/>
  <c r="M157" i="88"/>
  <c r="K157" i="88"/>
  <c r="J157" i="88"/>
  <c r="I157" i="88"/>
  <c r="F157" i="88"/>
  <c r="A157" i="88"/>
  <c r="G156" i="88"/>
  <c r="H156" i="88"/>
  <c r="C156" i="88"/>
  <c r="M156" i="88"/>
  <c r="K156" i="88"/>
  <c r="J156" i="88"/>
  <c r="I156" i="88"/>
  <c r="F156" i="88"/>
  <c r="A156" i="88"/>
  <c r="G155" i="88"/>
  <c r="H155" i="88"/>
  <c r="C155" i="88"/>
  <c r="M155" i="88"/>
  <c r="K155" i="88"/>
  <c r="J155" i="88"/>
  <c r="I155" i="88"/>
  <c r="F155" i="88"/>
  <c r="A155" i="88"/>
  <c r="G154" i="88"/>
  <c r="H154" i="88"/>
  <c r="C154" i="88"/>
  <c r="M154" i="88"/>
  <c r="K154" i="88"/>
  <c r="J154" i="88"/>
  <c r="I154" i="88"/>
  <c r="F154" i="88"/>
  <c r="A154" i="88"/>
  <c r="G153" i="88"/>
  <c r="H153" i="88"/>
  <c r="C153" i="88"/>
  <c r="M153" i="88"/>
  <c r="K153" i="88"/>
  <c r="J153" i="88"/>
  <c r="I153" i="88"/>
  <c r="F153" i="88"/>
  <c r="A153" i="88"/>
  <c r="G152" i="88"/>
  <c r="H152" i="88"/>
  <c r="C152" i="88"/>
  <c r="M152" i="88"/>
  <c r="K152" i="88"/>
  <c r="J152" i="88"/>
  <c r="I152" i="88"/>
  <c r="F152" i="88"/>
  <c r="A152" i="88"/>
  <c r="G151" i="88"/>
  <c r="H151" i="88"/>
  <c r="C151" i="88"/>
  <c r="M151" i="88"/>
  <c r="K151" i="88"/>
  <c r="J151" i="88"/>
  <c r="I151" i="88"/>
  <c r="F151" i="88"/>
  <c r="A151" i="88"/>
  <c r="G150" i="88"/>
  <c r="H150" i="88"/>
  <c r="C150" i="88"/>
  <c r="M150" i="88"/>
  <c r="K150" i="88"/>
  <c r="J150" i="88"/>
  <c r="I150" i="88"/>
  <c r="F150" i="88"/>
  <c r="A150" i="88"/>
  <c r="G149" i="88"/>
  <c r="H149" i="88"/>
  <c r="C149" i="88"/>
  <c r="M149" i="88"/>
  <c r="K149" i="88"/>
  <c r="J149" i="88"/>
  <c r="I149" i="88"/>
  <c r="F149" i="88"/>
  <c r="A149" i="88"/>
  <c r="G148" i="88"/>
  <c r="H148" i="88"/>
  <c r="C148" i="88"/>
  <c r="M148" i="88"/>
  <c r="K148" i="88"/>
  <c r="J148" i="88"/>
  <c r="I148" i="88"/>
  <c r="F148" i="88"/>
  <c r="A148" i="88"/>
  <c r="G147" i="88"/>
  <c r="H147" i="88"/>
  <c r="C147" i="88"/>
  <c r="M147" i="88"/>
  <c r="K147" i="88"/>
  <c r="J147" i="88"/>
  <c r="I147" i="88"/>
  <c r="F147" i="88"/>
  <c r="A147" i="88"/>
  <c r="G146" i="88"/>
  <c r="H146" i="88"/>
  <c r="C146" i="88"/>
  <c r="M146" i="88"/>
  <c r="K146" i="88"/>
  <c r="J146" i="88"/>
  <c r="I146" i="88"/>
  <c r="F146" i="88"/>
  <c r="A146" i="88"/>
  <c r="G145" i="88"/>
  <c r="H145" i="88"/>
  <c r="C145" i="88"/>
  <c r="M145" i="88"/>
  <c r="K145" i="88"/>
  <c r="J145" i="88"/>
  <c r="I145" i="88"/>
  <c r="F145" i="88"/>
  <c r="A145" i="88"/>
  <c r="G144" i="88"/>
  <c r="H144" i="88"/>
  <c r="C144" i="88"/>
  <c r="M144" i="88"/>
  <c r="K144" i="88"/>
  <c r="J144" i="88"/>
  <c r="I144" i="88"/>
  <c r="F144" i="88"/>
  <c r="A144" i="88"/>
  <c r="G143" i="88"/>
  <c r="H143" i="88"/>
  <c r="C143" i="88"/>
  <c r="M143" i="88"/>
  <c r="K143" i="88"/>
  <c r="J143" i="88"/>
  <c r="I143" i="88"/>
  <c r="F143" i="88"/>
  <c r="A143" i="88"/>
  <c r="G142" i="88"/>
  <c r="H142" i="88"/>
  <c r="C142" i="88"/>
  <c r="M142" i="88"/>
  <c r="K142" i="88"/>
  <c r="J142" i="88"/>
  <c r="I142" i="88"/>
  <c r="F142" i="88"/>
  <c r="A142" i="88"/>
  <c r="G141" i="88"/>
  <c r="H141" i="88"/>
  <c r="C141" i="88"/>
  <c r="M141" i="88"/>
  <c r="K141" i="88"/>
  <c r="J141" i="88"/>
  <c r="I141" i="88"/>
  <c r="F141" i="88"/>
  <c r="A141" i="88"/>
  <c r="G140" i="88"/>
  <c r="H140" i="88"/>
  <c r="C140" i="88"/>
  <c r="M140" i="88"/>
  <c r="K140" i="88"/>
  <c r="J140" i="88"/>
  <c r="I140" i="88"/>
  <c r="F140" i="88"/>
  <c r="A140" i="88"/>
  <c r="G139" i="88"/>
  <c r="H139" i="88"/>
  <c r="C139" i="88"/>
  <c r="M139" i="88"/>
  <c r="K139" i="88"/>
  <c r="J139" i="88"/>
  <c r="I139" i="88"/>
  <c r="F139" i="88"/>
  <c r="A139" i="88"/>
  <c r="G138" i="88"/>
  <c r="H138" i="88"/>
  <c r="C138" i="88"/>
  <c r="M138" i="88"/>
  <c r="K138" i="88"/>
  <c r="J138" i="88"/>
  <c r="I138" i="88"/>
  <c r="F138" i="88"/>
  <c r="A138" i="88"/>
  <c r="G137" i="88"/>
  <c r="H137" i="88"/>
  <c r="C137" i="88"/>
  <c r="M137" i="88"/>
  <c r="K137" i="88"/>
  <c r="J137" i="88"/>
  <c r="I137" i="88"/>
  <c r="F137" i="88"/>
  <c r="A137" i="88"/>
  <c r="G136" i="88"/>
  <c r="H136" i="88"/>
  <c r="C136" i="88"/>
  <c r="M136" i="88"/>
  <c r="K136" i="88"/>
  <c r="J136" i="88"/>
  <c r="I136" i="88"/>
  <c r="F136" i="88"/>
  <c r="A136" i="88"/>
  <c r="G135" i="88"/>
  <c r="H135" i="88"/>
  <c r="C135" i="88"/>
  <c r="M135" i="88"/>
  <c r="K135" i="88"/>
  <c r="J135" i="88"/>
  <c r="I135" i="88"/>
  <c r="F135" i="88"/>
  <c r="A135" i="88"/>
  <c r="G134" i="88"/>
  <c r="H134" i="88"/>
  <c r="C134" i="88"/>
  <c r="M134" i="88"/>
  <c r="K134" i="88"/>
  <c r="J134" i="88"/>
  <c r="I134" i="88"/>
  <c r="F134" i="88"/>
  <c r="A134" i="88"/>
  <c r="G133" i="88"/>
  <c r="H133" i="88"/>
  <c r="C133" i="88"/>
  <c r="M133" i="88"/>
  <c r="K133" i="88"/>
  <c r="J133" i="88"/>
  <c r="I133" i="88"/>
  <c r="F133" i="88"/>
  <c r="A133" i="88"/>
  <c r="G132" i="88"/>
  <c r="H132" i="88"/>
  <c r="C132" i="88"/>
  <c r="M132" i="88"/>
  <c r="K132" i="88"/>
  <c r="J132" i="88"/>
  <c r="I132" i="88"/>
  <c r="F132" i="88"/>
  <c r="A132" i="88"/>
  <c r="G131" i="88"/>
  <c r="H131" i="88"/>
  <c r="C131" i="88"/>
  <c r="M131" i="88"/>
  <c r="K131" i="88"/>
  <c r="J131" i="88"/>
  <c r="I131" i="88"/>
  <c r="F131" i="88"/>
  <c r="A131" i="88"/>
  <c r="G130" i="88"/>
  <c r="H130" i="88"/>
  <c r="C130" i="88"/>
  <c r="M130" i="88"/>
  <c r="K130" i="88"/>
  <c r="J130" i="88"/>
  <c r="I130" i="88"/>
  <c r="F130" i="88"/>
  <c r="A130" i="88"/>
  <c r="G129" i="88"/>
  <c r="H129" i="88"/>
  <c r="C129" i="88"/>
  <c r="M129" i="88"/>
  <c r="K129" i="88"/>
  <c r="J129" i="88"/>
  <c r="I129" i="88"/>
  <c r="F129" i="88"/>
  <c r="A129" i="88"/>
  <c r="G128" i="88"/>
  <c r="H128" i="88"/>
  <c r="C128" i="88"/>
  <c r="M128" i="88"/>
  <c r="K128" i="88"/>
  <c r="J128" i="88"/>
  <c r="I128" i="88"/>
  <c r="F128" i="88"/>
  <c r="A128" i="88"/>
  <c r="G127" i="88"/>
  <c r="H127" i="88"/>
  <c r="C127" i="88"/>
  <c r="M127" i="88"/>
  <c r="K127" i="88"/>
  <c r="J127" i="88"/>
  <c r="I127" i="88"/>
  <c r="F127" i="88"/>
  <c r="A127" i="88"/>
  <c r="G126" i="88"/>
  <c r="H126" i="88"/>
  <c r="C126" i="88"/>
  <c r="M126" i="88"/>
  <c r="K126" i="88"/>
  <c r="J126" i="88"/>
  <c r="I126" i="88"/>
  <c r="F126" i="88"/>
  <c r="A126" i="88"/>
  <c r="G125" i="88"/>
  <c r="H125" i="88"/>
  <c r="C125" i="88"/>
  <c r="M125" i="88"/>
  <c r="K125" i="88"/>
  <c r="J125" i="88"/>
  <c r="I125" i="88"/>
  <c r="F125" i="88"/>
  <c r="A125" i="88"/>
  <c r="G124" i="88"/>
  <c r="H124" i="88"/>
  <c r="C124" i="88"/>
  <c r="M124" i="88"/>
  <c r="K124" i="88"/>
  <c r="J124" i="88"/>
  <c r="I124" i="88"/>
  <c r="F124" i="88"/>
  <c r="A124" i="88"/>
  <c r="G123" i="88"/>
  <c r="H123" i="88"/>
  <c r="C123" i="88"/>
  <c r="M123" i="88"/>
  <c r="K123" i="88"/>
  <c r="J123" i="88"/>
  <c r="I123" i="88"/>
  <c r="F123" i="88"/>
  <c r="A123" i="88"/>
  <c r="G122" i="88"/>
  <c r="H122" i="88"/>
  <c r="C122" i="88"/>
  <c r="M122" i="88"/>
  <c r="K122" i="88"/>
  <c r="J122" i="88"/>
  <c r="I122" i="88"/>
  <c r="F122" i="88"/>
  <c r="A122" i="88"/>
  <c r="G121" i="88"/>
  <c r="H121" i="88"/>
  <c r="C121" i="88"/>
  <c r="M121" i="88"/>
  <c r="K121" i="88"/>
  <c r="J121" i="88"/>
  <c r="I121" i="88"/>
  <c r="F121" i="88"/>
  <c r="A121" i="88"/>
  <c r="G120" i="88"/>
  <c r="H120" i="88"/>
  <c r="C120" i="88"/>
  <c r="M120" i="88"/>
  <c r="K120" i="88"/>
  <c r="J120" i="88"/>
  <c r="I120" i="88"/>
  <c r="F120" i="88"/>
  <c r="A120" i="88"/>
  <c r="G119" i="88"/>
  <c r="H119" i="88"/>
  <c r="C119" i="88"/>
  <c r="M119" i="88"/>
  <c r="K119" i="88"/>
  <c r="J119" i="88"/>
  <c r="I119" i="88"/>
  <c r="F119" i="88"/>
  <c r="A119" i="88"/>
  <c r="G118" i="88"/>
  <c r="H118" i="88"/>
  <c r="C118" i="88"/>
  <c r="M118" i="88"/>
  <c r="K118" i="88"/>
  <c r="J118" i="88"/>
  <c r="I118" i="88"/>
  <c r="F118" i="88"/>
  <c r="A118" i="88"/>
  <c r="G117" i="88"/>
  <c r="H117" i="88"/>
  <c r="C117" i="88"/>
  <c r="M117" i="88"/>
  <c r="K117" i="88"/>
  <c r="J117" i="88"/>
  <c r="I117" i="88"/>
  <c r="F117" i="88"/>
  <c r="A117" i="88"/>
  <c r="G116" i="88"/>
  <c r="H116" i="88"/>
  <c r="C116" i="88"/>
  <c r="M116" i="88"/>
  <c r="K116" i="88"/>
  <c r="J116" i="88"/>
  <c r="I116" i="88"/>
  <c r="F116" i="88"/>
  <c r="A116" i="88"/>
  <c r="G115" i="88"/>
  <c r="H115" i="88"/>
  <c r="C115" i="88"/>
  <c r="M115" i="88"/>
  <c r="K115" i="88"/>
  <c r="J115" i="88"/>
  <c r="I115" i="88"/>
  <c r="F115" i="88"/>
  <c r="A115" i="88"/>
  <c r="G114" i="88"/>
  <c r="H114" i="88"/>
  <c r="C114" i="88"/>
  <c r="M114" i="88"/>
  <c r="K114" i="88"/>
  <c r="J114" i="88"/>
  <c r="I114" i="88"/>
  <c r="F114" i="88"/>
  <c r="A114" i="88"/>
  <c r="G113" i="88"/>
  <c r="H113" i="88"/>
  <c r="C113" i="88"/>
  <c r="M113" i="88"/>
  <c r="K113" i="88"/>
  <c r="J113" i="88"/>
  <c r="I113" i="88"/>
  <c r="F113" i="88"/>
  <c r="A113" i="88"/>
  <c r="G112" i="88"/>
  <c r="H112" i="88"/>
  <c r="C112" i="88"/>
  <c r="M112" i="88"/>
  <c r="K112" i="88"/>
  <c r="J112" i="88"/>
  <c r="I112" i="88"/>
  <c r="F112" i="88"/>
  <c r="A112" i="88"/>
  <c r="G111" i="88"/>
  <c r="H111" i="88"/>
  <c r="C111" i="88"/>
  <c r="M111" i="88"/>
  <c r="K111" i="88"/>
  <c r="J111" i="88"/>
  <c r="I111" i="88"/>
  <c r="F111" i="88"/>
  <c r="A111" i="88"/>
  <c r="G110" i="88"/>
  <c r="H110" i="88"/>
  <c r="C110" i="88"/>
  <c r="M110" i="88"/>
  <c r="K110" i="88"/>
  <c r="J110" i="88"/>
  <c r="I110" i="88"/>
  <c r="F110" i="88"/>
  <c r="A110" i="88"/>
  <c r="G109" i="88"/>
  <c r="H109" i="88"/>
  <c r="C109" i="88"/>
  <c r="M109" i="88"/>
  <c r="K109" i="88"/>
  <c r="J109" i="88"/>
  <c r="I109" i="88"/>
  <c r="F109" i="88"/>
  <c r="A109" i="88"/>
  <c r="G108" i="88"/>
  <c r="H108" i="88"/>
  <c r="C108" i="88"/>
  <c r="M108" i="88"/>
  <c r="K108" i="88"/>
  <c r="J108" i="88"/>
  <c r="I108" i="88"/>
  <c r="F108" i="88"/>
  <c r="A108" i="88"/>
  <c r="G107" i="88"/>
  <c r="H107" i="88"/>
  <c r="C107" i="88"/>
  <c r="M107" i="88"/>
  <c r="K107" i="88"/>
  <c r="J107" i="88"/>
  <c r="I107" i="88"/>
  <c r="F107" i="88"/>
  <c r="A107" i="88"/>
  <c r="G106" i="88"/>
  <c r="H106" i="88"/>
  <c r="C106" i="88"/>
  <c r="M106" i="88"/>
  <c r="K106" i="88"/>
  <c r="J106" i="88"/>
  <c r="I106" i="88"/>
  <c r="F106" i="88"/>
  <c r="A106" i="88"/>
  <c r="G105" i="88"/>
  <c r="H105" i="88"/>
  <c r="C105" i="88"/>
  <c r="M105" i="88"/>
  <c r="K105" i="88"/>
  <c r="J105" i="88"/>
  <c r="I105" i="88"/>
  <c r="F105" i="88"/>
  <c r="A105" i="88"/>
  <c r="G104" i="88"/>
  <c r="H104" i="88"/>
  <c r="C104" i="88"/>
  <c r="M104" i="88"/>
  <c r="K104" i="88"/>
  <c r="J104" i="88"/>
  <c r="I104" i="88"/>
  <c r="F104" i="88"/>
  <c r="A104" i="88"/>
  <c r="G103" i="88"/>
  <c r="H103" i="88"/>
  <c r="C103" i="88"/>
  <c r="M103" i="88"/>
  <c r="K103" i="88"/>
  <c r="J103" i="88"/>
  <c r="I103" i="88"/>
  <c r="F103" i="88"/>
  <c r="A103" i="88"/>
  <c r="G102" i="88"/>
  <c r="H102" i="88"/>
  <c r="C102" i="88"/>
  <c r="M102" i="88"/>
  <c r="K102" i="88"/>
  <c r="J102" i="88"/>
  <c r="I102" i="88"/>
  <c r="F102" i="88"/>
  <c r="A102" i="88"/>
  <c r="G101" i="88"/>
  <c r="H101" i="88"/>
  <c r="C101" i="88"/>
  <c r="M101" i="88"/>
  <c r="K101" i="88"/>
  <c r="J101" i="88"/>
  <c r="I101" i="88"/>
  <c r="F101" i="88"/>
  <c r="A101" i="88"/>
  <c r="G100" i="88"/>
  <c r="H100" i="88"/>
  <c r="C100" i="88"/>
  <c r="M100" i="88"/>
  <c r="K100" i="88"/>
  <c r="J100" i="88"/>
  <c r="I100" i="88"/>
  <c r="F100" i="88"/>
  <c r="A100" i="88"/>
  <c r="G99" i="88"/>
  <c r="H99" i="88"/>
  <c r="C99" i="88"/>
  <c r="M99" i="88"/>
  <c r="K99" i="88"/>
  <c r="J99" i="88"/>
  <c r="I99" i="88"/>
  <c r="F99" i="88"/>
  <c r="A99" i="88"/>
  <c r="G98" i="88"/>
  <c r="H98" i="88"/>
  <c r="C98" i="88"/>
  <c r="M98" i="88"/>
  <c r="K98" i="88"/>
  <c r="J98" i="88"/>
  <c r="I98" i="88"/>
  <c r="F98" i="88"/>
  <c r="A98" i="88"/>
  <c r="G97" i="88"/>
  <c r="H97" i="88"/>
  <c r="C97" i="88"/>
  <c r="M97" i="88"/>
  <c r="K97" i="88"/>
  <c r="J97" i="88"/>
  <c r="I97" i="88"/>
  <c r="F97" i="88"/>
  <c r="A97" i="88"/>
  <c r="G96" i="88"/>
  <c r="H96" i="88"/>
  <c r="C96" i="88"/>
  <c r="M96" i="88"/>
  <c r="K96" i="88"/>
  <c r="J96" i="88"/>
  <c r="I96" i="88"/>
  <c r="F96" i="88"/>
  <c r="A96" i="88"/>
  <c r="G95" i="88"/>
  <c r="H95" i="88"/>
  <c r="C95" i="88"/>
  <c r="M95" i="88"/>
  <c r="K95" i="88"/>
  <c r="J95" i="88"/>
  <c r="I95" i="88"/>
  <c r="F95" i="88"/>
  <c r="A95" i="88"/>
  <c r="G94" i="88"/>
  <c r="H94" i="88"/>
  <c r="C94" i="88"/>
  <c r="M94" i="88"/>
  <c r="K94" i="88"/>
  <c r="J94" i="88"/>
  <c r="I94" i="88"/>
  <c r="F94" i="88"/>
  <c r="A94" i="88"/>
  <c r="G93" i="88"/>
  <c r="H93" i="88"/>
  <c r="C93" i="88"/>
  <c r="M93" i="88"/>
  <c r="K93" i="88"/>
  <c r="J93" i="88"/>
  <c r="I93" i="88"/>
  <c r="F93" i="88"/>
  <c r="A93" i="88"/>
  <c r="G92" i="88"/>
  <c r="H92" i="88"/>
  <c r="C92" i="88"/>
  <c r="M92" i="88"/>
  <c r="K92" i="88"/>
  <c r="J92" i="88"/>
  <c r="I92" i="88"/>
  <c r="F92" i="88"/>
  <c r="A92" i="88"/>
  <c r="G91" i="88"/>
  <c r="H91" i="88"/>
  <c r="C91" i="88"/>
  <c r="M91" i="88"/>
  <c r="K91" i="88"/>
  <c r="J91" i="88"/>
  <c r="I91" i="88"/>
  <c r="F91" i="88"/>
  <c r="A91" i="88"/>
  <c r="G90" i="88"/>
  <c r="H90" i="88"/>
  <c r="C90" i="88"/>
  <c r="M90" i="88"/>
  <c r="K90" i="88"/>
  <c r="J90" i="88"/>
  <c r="I90" i="88"/>
  <c r="F90" i="88"/>
  <c r="A90" i="88"/>
  <c r="G89" i="88"/>
  <c r="H89" i="88"/>
  <c r="C89" i="88"/>
  <c r="M89" i="88"/>
  <c r="K89" i="88"/>
  <c r="J89" i="88"/>
  <c r="I89" i="88"/>
  <c r="F89" i="88"/>
  <c r="A89" i="88"/>
  <c r="G88" i="88"/>
  <c r="H88" i="88"/>
  <c r="C88" i="88"/>
  <c r="M88" i="88"/>
  <c r="K88" i="88"/>
  <c r="J88" i="88"/>
  <c r="I88" i="88"/>
  <c r="F88" i="88"/>
  <c r="A88" i="88"/>
  <c r="G87" i="88"/>
  <c r="H87" i="88"/>
  <c r="C87" i="88"/>
  <c r="M87" i="88"/>
  <c r="K87" i="88"/>
  <c r="J87" i="88"/>
  <c r="I87" i="88"/>
  <c r="F87" i="88"/>
  <c r="A87" i="88"/>
  <c r="G86" i="88"/>
  <c r="H86" i="88"/>
  <c r="C86" i="88"/>
  <c r="M86" i="88"/>
  <c r="K86" i="88"/>
  <c r="J86" i="88"/>
  <c r="I86" i="88"/>
  <c r="F86" i="88"/>
  <c r="A86" i="88"/>
  <c r="G85" i="88"/>
  <c r="H85" i="88"/>
  <c r="C85" i="88"/>
  <c r="M85" i="88"/>
  <c r="K85" i="88"/>
  <c r="J85" i="88"/>
  <c r="I85" i="88"/>
  <c r="F85" i="88"/>
  <c r="A85" i="88"/>
  <c r="G84" i="88"/>
  <c r="H84" i="88"/>
  <c r="C84" i="88"/>
  <c r="M84" i="88"/>
  <c r="K84" i="88"/>
  <c r="J84" i="88"/>
  <c r="I84" i="88"/>
  <c r="F84" i="88"/>
  <c r="A84" i="88"/>
  <c r="G83" i="88"/>
  <c r="H83" i="88"/>
  <c r="C83" i="88"/>
  <c r="M83" i="88"/>
  <c r="K83" i="88"/>
  <c r="J83" i="88"/>
  <c r="I83" i="88"/>
  <c r="F83" i="88"/>
  <c r="A83" i="88"/>
  <c r="G82" i="88"/>
  <c r="H82" i="88"/>
  <c r="C82" i="88"/>
  <c r="M82" i="88"/>
  <c r="K82" i="88"/>
  <c r="J82" i="88"/>
  <c r="I82" i="88"/>
  <c r="F82" i="88"/>
  <c r="A82" i="88"/>
  <c r="G81" i="88"/>
  <c r="H81" i="88"/>
  <c r="C81" i="88"/>
  <c r="M81" i="88"/>
  <c r="K81" i="88"/>
  <c r="J81" i="88"/>
  <c r="I81" i="88"/>
  <c r="F81" i="88"/>
  <c r="A81" i="88"/>
  <c r="G80" i="88"/>
  <c r="H80" i="88"/>
  <c r="C80" i="88"/>
  <c r="M80" i="88"/>
  <c r="K80" i="88"/>
  <c r="J80" i="88"/>
  <c r="I80" i="88"/>
  <c r="F80" i="88"/>
  <c r="A80" i="88"/>
  <c r="G79" i="88"/>
  <c r="H79" i="88"/>
  <c r="C79" i="88"/>
  <c r="M79" i="88"/>
  <c r="K79" i="88"/>
  <c r="J79" i="88"/>
  <c r="I79" i="88"/>
  <c r="F79" i="88"/>
  <c r="A79" i="88"/>
  <c r="G78" i="88"/>
  <c r="H78" i="88"/>
  <c r="C78" i="88"/>
  <c r="M78" i="88"/>
  <c r="K78" i="88"/>
  <c r="J78" i="88"/>
  <c r="I78" i="88"/>
  <c r="F78" i="88"/>
  <c r="A78" i="88"/>
  <c r="G77" i="88"/>
  <c r="H77" i="88"/>
  <c r="C77" i="88"/>
  <c r="M77" i="88"/>
  <c r="K77" i="88"/>
  <c r="J77" i="88"/>
  <c r="I77" i="88"/>
  <c r="F77" i="88"/>
  <c r="A77" i="88"/>
  <c r="G76" i="88"/>
  <c r="H76" i="88"/>
  <c r="C76" i="88"/>
  <c r="M76" i="88"/>
  <c r="K76" i="88"/>
  <c r="J76" i="88"/>
  <c r="I76" i="88"/>
  <c r="F76" i="88"/>
  <c r="A76" i="88"/>
  <c r="G75" i="88"/>
  <c r="H75" i="88"/>
  <c r="C75" i="88"/>
  <c r="M75" i="88"/>
  <c r="K75" i="88"/>
  <c r="J75" i="88"/>
  <c r="I75" i="88"/>
  <c r="F75" i="88"/>
  <c r="A75" i="88"/>
  <c r="G74" i="88"/>
  <c r="H74" i="88"/>
  <c r="C74" i="88"/>
  <c r="M74" i="88"/>
  <c r="K74" i="88"/>
  <c r="J74" i="88"/>
  <c r="I74" i="88"/>
  <c r="F74" i="88"/>
  <c r="A74" i="88"/>
  <c r="G73" i="88"/>
  <c r="H73" i="88"/>
  <c r="C73" i="88"/>
  <c r="M73" i="88"/>
  <c r="K73" i="88"/>
  <c r="J73" i="88"/>
  <c r="I73" i="88"/>
  <c r="F73" i="88"/>
  <c r="A73" i="88"/>
  <c r="G72" i="88"/>
  <c r="H72" i="88"/>
  <c r="C72" i="88"/>
  <c r="M72" i="88"/>
  <c r="K72" i="88"/>
  <c r="J72" i="88"/>
  <c r="I72" i="88"/>
  <c r="F72" i="88"/>
  <c r="A72" i="88"/>
  <c r="G71" i="88"/>
  <c r="H71" i="88"/>
  <c r="C71" i="88"/>
  <c r="M71" i="88"/>
  <c r="K71" i="88"/>
  <c r="J71" i="88"/>
  <c r="I71" i="88"/>
  <c r="F71" i="88"/>
  <c r="A71" i="88"/>
  <c r="G70" i="88"/>
  <c r="H70" i="88"/>
  <c r="C70" i="88"/>
  <c r="M70" i="88"/>
  <c r="K70" i="88"/>
  <c r="J70" i="88"/>
  <c r="I70" i="88"/>
  <c r="F70" i="88"/>
  <c r="A70" i="88"/>
  <c r="G69" i="88"/>
  <c r="H69" i="88"/>
  <c r="C69" i="88"/>
  <c r="M69" i="88"/>
  <c r="K69" i="88"/>
  <c r="J69" i="88"/>
  <c r="I69" i="88"/>
  <c r="F69" i="88"/>
  <c r="A69" i="88"/>
  <c r="G68" i="88"/>
  <c r="H68" i="88"/>
  <c r="C68" i="88"/>
  <c r="M68" i="88"/>
  <c r="K68" i="88"/>
  <c r="J68" i="88"/>
  <c r="I68" i="88"/>
  <c r="F68" i="88"/>
  <c r="A68" i="88"/>
  <c r="G67" i="88"/>
  <c r="H67" i="88"/>
  <c r="C67" i="88"/>
  <c r="M67" i="88"/>
  <c r="K67" i="88"/>
  <c r="J67" i="88"/>
  <c r="I67" i="88"/>
  <c r="F67" i="88"/>
  <c r="A67" i="88"/>
  <c r="G66" i="88"/>
  <c r="H66" i="88"/>
  <c r="C66" i="88"/>
  <c r="M66" i="88"/>
  <c r="K66" i="88"/>
  <c r="J66" i="88"/>
  <c r="I66" i="88"/>
  <c r="F66" i="88"/>
  <c r="A66" i="88"/>
  <c r="G65" i="88"/>
  <c r="H65" i="88"/>
  <c r="C65" i="88"/>
  <c r="M65" i="88"/>
  <c r="K65" i="88"/>
  <c r="J65" i="88"/>
  <c r="I65" i="88"/>
  <c r="F65" i="88"/>
  <c r="A65" i="88"/>
  <c r="G64" i="88"/>
  <c r="H64" i="88"/>
  <c r="C64" i="88"/>
  <c r="M64" i="88"/>
  <c r="K64" i="88"/>
  <c r="J64" i="88"/>
  <c r="I64" i="88"/>
  <c r="F64" i="88"/>
  <c r="A64" i="88"/>
  <c r="G63" i="88"/>
  <c r="H63" i="88"/>
  <c r="C63" i="88"/>
  <c r="M63" i="88"/>
  <c r="K63" i="88"/>
  <c r="J63" i="88"/>
  <c r="I63" i="88"/>
  <c r="F63" i="88"/>
  <c r="A63" i="88"/>
  <c r="G62" i="88"/>
  <c r="H62" i="88"/>
  <c r="C62" i="88"/>
  <c r="M62" i="88"/>
  <c r="K62" i="88"/>
  <c r="J62" i="88"/>
  <c r="I62" i="88"/>
  <c r="F62" i="88"/>
  <c r="A62" i="88"/>
  <c r="G61" i="88"/>
  <c r="H61" i="88"/>
  <c r="C61" i="88"/>
  <c r="M61" i="88"/>
  <c r="K61" i="88"/>
  <c r="J61" i="88"/>
  <c r="I61" i="88"/>
  <c r="F61" i="88"/>
  <c r="A61" i="88"/>
  <c r="G60" i="88"/>
  <c r="H60" i="88"/>
  <c r="C60" i="88"/>
  <c r="M60" i="88"/>
  <c r="K60" i="88"/>
  <c r="J60" i="88"/>
  <c r="I60" i="88"/>
  <c r="F60" i="88"/>
  <c r="A60" i="88"/>
  <c r="G59" i="88"/>
  <c r="H59" i="88"/>
  <c r="C59" i="88"/>
  <c r="M59" i="88"/>
  <c r="K59" i="88"/>
  <c r="J59" i="88"/>
  <c r="I59" i="88"/>
  <c r="F59" i="88"/>
  <c r="A59" i="88"/>
  <c r="G58" i="88"/>
  <c r="H58" i="88"/>
  <c r="C58" i="88"/>
  <c r="M58" i="88"/>
  <c r="K58" i="88"/>
  <c r="J58" i="88"/>
  <c r="I58" i="88"/>
  <c r="F58" i="88"/>
  <c r="A58" i="88"/>
  <c r="G57" i="88"/>
  <c r="H57" i="88"/>
  <c r="C57" i="88"/>
  <c r="M57" i="88"/>
  <c r="K57" i="88"/>
  <c r="J57" i="88"/>
  <c r="I57" i="88"/>
  <c r="F57" i="88"/>
  <c r="A57" i="88"/>
  <c r="G56" i="88"/>
  <c r="H56" i="88"/>
  <c r="C56" i="88"/>
  <c r="M56" i="88"/>
  <c r="K56" i="88"/>
  <c r="J56" i="88"/>
  <c r="I56" i="88"/>
  <c r="F56" i="88"/>
  <c r="A56" i="88"/>
  <c r="G55" i="88"/>
  <c r="H55" i="88"/>
  <c r="C55" i="88"/>
  <c r="M55" i="88"/>
  <c r="K55" i="88"/>
  <c r="J55" i="88"/>
  <c r="I55" i="88"/>
  <c r="F55" i="88"/>
  <c r="A55" i="88"/>
  <c r="G54" i="88"/>
  <c r="H54" i="88"/>
  <c r="C54" i="88"/>
  <c r="M54" i="88"/>
  <c r="K54" i="88"/>
  <c r="J54" i="88"/>
  <c r="I54" i="88"/>
  <c r="F54" i="88"/>
  <c r="A54" i="88"/>
  <c r="G53" i="88"/>
  <c r="H53" i="88"/>
  <c r="C53" i="88"/>
  <c r="M53" i="88"/>
  <c r="K53" i="88"/>
  <c r="J53" i="88"/>
  <c r="I53" i="88"/>
  <c r="F53" i="88"/>
  <c r="A53" i="88"/>
  <c r="G52" i="88"/>
  <c r="H52" i="88"/>
  <c r="C52" i="88"/>
  <c r="M52" i="88"/>
  <c r="K52" i="88"/>
  <c r="J52" i="88"/>
  <c r="I52" i="88"/>
  <c r="F52" i="88"/>
  <c r="A52" i="88"/>
  <c r="G51" i="88"/>
  <c r="H51" i="88"/>
  <c r="C51" i="88"/>
  <c r="M51" i="88"/>
  <c r="K51" i="88"/>
  <c r="J51" i="88"/>
  <c r="I51" i="88"/>
  <c r="F51" i="88"/>
  <c r="A51" i="88"/>
  <c r="G50" i="88"/>
  <c r="H50" i="88"/>
  <c r="C50" i="88"/>
  <c r="M50" i="88"/>
  <c r="K50" i="88"/>
  <c r="J50" i="88"/>
  <c r="I50" i="88"/>
  <c r="F50" i="88"/>
  <c r="A50" i="88"/>
  <c r="G49" i="88"/>
  <c r="H49" i="88"/>
  <c r="C49" i="88"/>
  <c r="M49" i="88"/>
  <c r="K49" i="88"/>
  <c r="J49" i="88"/>
  <c r="I49" i="88"/>
  <c r="F49" i="88"/>
  <c r="A49" i="88"/>
  <c r="G48" i="88"/>
  <c r="H48" i="88"/>
  <c r="C48" i="88"/>
  <c r="M48" i="88"/>
  <c r="K48" i="88"/>
  <c r="J48" i="88"/>
  <c r="I48" i="88"/>
  <c r="F48" i="88"/>
  <c r="A48" i="88"/>
  <c r="G47" i="88"/>
  <c r="H47" i="88"/>
  <c r="C47" i="88"/>
  <c r="M47" i="88"/>
  <c r="K47" i="88"/>
  <c r="J47" i="88"/>
  <c r="I47" i="88"/>
  <c r="F47" i="88"/>
  <c r="A47" i="88"/>
  <c r="G46" i="88"/>
  <c r="H46" i="88"/>
  <c r="C46" i="88"/>
  <c r="M46" i="88"/>
  <c r="K46" i="88"/>
  <c r="J46" i="88"/>
  <c r="I46" i="88"/>
  <c r="F46" i="88"/>
  <c r="A46" i="88"/>
  <c r="G45" i="88"/>
  <c r="H45" i="88"/>
  <c r="C45" i="88"/>
  <c r="M45" i="88"/>
  <c r="K45" i="88"/>
  <c r="J45" i="88"/>
  <c r="I45" i="88"/>
  <c r="F45" i="88"/>
  <c r="A45" i="88"/>
  <c r="G44" i="88"/>
  <c r="H44" i="88"/>
  <c r="C44" i="88"/>
  <c r="M44" i="88"/>
  <c r="K44" i="88"/>
  <c r="J44" i="88"/>
  <c r="I44" i="88"/>
  <c r="F44" i="88"/>
  <c r="A44" i="88"/>
  <c r="G43" i="88"/>
  <c r="H43" i="88"/>
  <c r="C43" i="88"/>
  <c r="M43" i="88"/>
  <c r="K43" i="88"/>
  <c r="J43" i="88"/>
  <c r="I43" i="88"/>
  <c r="F43" i="88"/>
  <c r="A43" i="88"/>
  <c r="G42" i="88"/>
  <c r="H42" i="88"/>
  <c r="C42" i="88"/>
  <c r="M42" i="88"/>
  <c r="K42" i="88"/>
  <c r="J42" i="88"/>
  <c r="I42" i="88"/>
  <c r="F42" i="88"/>
  <c r="A42" i="88"/>
  <c r="G41" i="88"/>
  <c r="H41" i="88"/>
  <c r="C41" i="88"/>
  <c r="M41" i="88"/>
  <c r="K41" i="88"/>
  <c r="J41" i="88"/>
  <c r="I41" i="88"/>
  <c r="F41" i="88"/>
  <c r="A41" i="88"/>
  <c r="G40" i="88"/>
  <c r="H40" i="88"/>
  <c r="C40" i="88"/>
  <c r="M40" i="88"/>
  <c r="K40" i="88"/>
  <c r="J40" i="88"/>
  <c r="I40" i="88"/>
  <c r="F40" i="88"/>
  <c r="A40" i="88"/>
  <c r="G39" i="88"/>
  <c r="H39" i="88"/>
  <c r="C39" i="88"/>
  <c r="M39" i="88"/>
  <c r="K39" i="88"/>
  <c r="J39" i="88"/>
  <c r="I39" i="88"/>
  <c r="F39" i="88"/>
  <c r="A39" i="88"/>
  <c r="G38" i="88"/>
  <c r="H38" i="88"/>
  <c r="C38" i="88"/>
  <c r="M38" i="88"/>
  <c r="K38" i="88"/>
  <c r="J38" i="88"/>
  <c r="I38" i="88"/>
  <c r="F38" i="88"/>
  <c r="A38" i="88"/>
  <c r="G37" i="88"/>
  <c r="H37" i="88"/>
  <c r="C37" i="88"/>
  <c r="M37" i="88"/>
  <c r="K37" i="88"/>
  <c r="J37" i="88"/>
  <c r="I37" i="88"/>
  <c r="F37" i="88"/>
  <c r="A37" i="88"/>
  <c r="G36" i="88"/>
  <c r="H36" i="88"/>
  <c r="C36" i="88"/>
  <c r="M36" i="88"/>
  <c r="K36" i="88"/>
  <c r="J36" i="88"/>
  <c r="I36" i="88"/>
  <c r="F36" i="88"/>
  <c r="A36" i="88"/>
  <c r="G35" i="88"/>
  <c r="H35" i="88"/>
  <c r="C35" i="88"/>
  <c r="M35" i="88"/>
  <c r="K35" i="88"/>
  <c r="J35" i="88"/>
  <c r="I35" i="88"/>
  <c r="F35" i="88"/>
  <c r="A35" i="88"/>
  <c r="G34" i="88"/>
  <c r="H34" i="88"/>
  <c r="C34" i="88"/>
  <c r="M34" i="88"/>
  <c r="K34" i="88"/>
  <c r="J34" i="88"/>
  <c r="I34" i="88"/>
  <c r="F34" i="88"/>
  <c r="A34" i="88"/>
  <c r="G33" i="88"/>
  <c r="H33" i="88"/>
  <c r="C33" i="88"/>
  <c r="M33" i="88"/>
  <c r="K33" i="88"/>
  <c r="J33" i="88"/>
  <c r="I33" i="88"/>
  <c r="F33" i="88"/>
  <c r="A33" i="88"/>
  <c r="G32" i="88"/>
  <c r="H32" i="88"/>
  <c r="C32" i="88"/>
  <c r="M32" i="88"/>
  <c r="K32" i="88"/>
  <c r="J32" i="88"/>
  <c r="I32" i="88"/>
  <c r="F32" i="88"/>
  <c r="A32" i="88"/>
  <c r="G31" i="88"/>
  <c r="H31" i="88"/>
  <c r="C31" i="88"/>
  <c r="M31" i="88"/>
  <c r="K31" i="88"/>
  <c r="J31" i="88"/>
  <c r="I31" i="88"/>
  <c r="F31" i="88"/>
  <c r="A31" i="88"/>
  <c r="G30" i="88"/>
  <c r="H30" i="88"/>
  <c r="C30" i="88"/>
  <c r="M30" i="88"/>
  <c r="K30" i="88"/>
  <c r="J30" i="88"/>
  <c r="I30" i="88"/>
  <c r="F30" i="88"/>
  <c r="A30" i="88"/>
  <c r="G29" i="88"/>
  <c r="H29" i="88"/>
  <c r="C29" i="88"/>
  <c r="M29" i="88"/>
  <c r="K29" i="88"/>
  <c r="J29" i="88"/>
  <c r="I29" i="88"/>
  <c r="F29" i="88"/>
  <c r="A29" i="88"/>
  <c r="G28" i="88"/>
  <c r="H28" i="88"/>
  <c r="C28" i="88"/>
  <c r="M28" i="88"/>
  <c r="K28" i="88"/>
  <c r="J28" i="88"/>
  <c r="I28" i="88"/>
  <c r="F28" i="88"/>
  <c r="A28" i="88"/>
  <c r="G27" i="88"/>
  <c r="H27" i="88"/>
  <c r="C27" i="88"/>
  <c r="M27" i="88"/>
  <c r="K27" i="88"/>
  <c r="J27" i="88"/>
  <c r="I27" i="88"/>
  <c r="F27" i="88"/>
  <c r="A27" i="88"/>
  <c r="G26" i="88"/>
  <c r="H26" i="88"/>
  <c r="C26" i="88"/>
  <c r="M26" i="88"/>
  <c r="K26" i="88"/>
  <c r="J26" i="88"/>
  <c r="I26" i="88"/>
  <c r="F26" i="88"/>
  <c r="A26" i="88"/>
  <c r="G25" i="88"/>
  <c r="H25" i="88"/>
  <c r="C25" i="88"/>
  <c r="M25" i="88"/>
  <c r="K25" i="88"/>
  <c r="J25" i="88"/>
  <c r="I25" i="88"/>
  <c r="F25" i="88"/>
  <c r="A25" i="88"/>
  <c r="G24" i="88"/>
  <c r="H24" i="88"/>
  <c r="C24" i="88"/>
  <c r="M24" i="88"/>
  <c r="K24" i="88"/>
  <c r="J24" i="88"/>
  <c r="I24" i="88"/>
  <c r="F24" i="88"/>
  <c r="A24" i="88"/>
  <c r="G23" i="88"/>
  <c r="H23" i="88"/>
  <c r="C23" i="88"/>
  <c r="M23" i="88"/>
  <c r="K23" i="88"/>
  <c r="J23" i="88"/>
  <c r="I23" i="88"/>
  <c r="F23" i="88"/>
  <c r="A23" i="88"/>
  <c r="G22" i="88"/>
  <c r="H22" i="88"/>
  <c r="C22" i="88"/>
  <c r="M22" i="88"/>
  <c r="K22" i="88"/>
  <c r="J22" i="88"/>
  <c r="I22" i="88"/>
  <c r="F22" i="88"/>
  <c r="A22" i="88"/>
  <c r="G21" i="88"/>
  <c r="H21" i="88"/>
  <c r="C21" i="88"/>
  <c r="M21" i="88"/>
  <c r="K21" i="88"/>
  <c r="J21" i="88"/>
  <c r="I21" i="88"/>
  <c r="F21" i="88"/>
  <c r="A21" i="88"/>
  <c r="G20" i="88"/>
  <c r="H20" i="88"/>
  <c r="C20" i="88"/>
  <c r="M20" i="88"/>
  <c r="K20" i="88"/>
  <c r="J20" i="88"/>
  <c r="I20" i="88"/>
  <c r="F20" i="88"/>
  <c r="A20" i="88"/>
  <c r="G19" i="88"/>
  <c r="H19" i="88"/>
  <c r="C19" i="88"/>
  <c r="M19" i="88"/>
  <c r="K19" i="88"/>
  <c r="J19" i="88"/>
  <c r="I19" i="88"/>
  <c r="F19" i="88"/>
  <c r="A19" i="88"/>
  <c r="G18" i="88"/>
  <c r="H18" i="88"/>
  <c r="C18" i="88"/>
  <c r="M18" i="88"/>
  <c r="K18" i="88"/>
  <c r="J18" i="88"/>
  <c r="I18" i="88"/>
  <c r="F18" i="88"/>
  <c r="A18" i="88"/>
  <c r="G17" i="88"/>
  <c r="H17" i="88"/>
  <c r="C17" i="88"/>
  <c r="M17" i="88"/>
  <c r="K17" i="88"/>
  <c r="J17" i="88"/>
  <c r="I17" i="88"/>
  <c r="F17" i="88"/>
  <c r="A17" i="88"/>
  <c r="G16" i="88"/>
  <c r="H16" i="88"/>
  <c r="C16" i="88"/>
  <c r="M16" i="88"/>
  <c r="K16" i="88"/>
  <c r="J16" i="88"/>
  <c r="I16" i="88"/>
  <c r="F16" i="88"/>
  <c r="A16" i="88"/>
  <c r="G15" i="88"/>
  <c r="H15" i="88"/>
  <c r="C15" i="88"/>
  <c r="M15" i="88"/>
  <c r="K15" i="88"/>
  <c r="J15" i="88"/>
  <c r="I15" i="88"/>
  <c r="F15" i="88"/>
  <c r="A15" i="88"/>
  <c r="G14" i="88"/>
  <c r="H14" i="88"/>
  <c r="C14" i="88"/>
  <c r="M14" i="88"/>
  <c r="K14" i="88"/>
  <c r="J14" i="88"/>
  <c r="I14" i="88"/>
  <c r="F14" i="88"/>
  <c r="A14" i="88"/>
  <c r="G13" i="88"/>
  <c r="H13" i="88"/>
  <c r="C13" i="88"/>
  <c r="M13" i="88"/>
  <c r="K13" i="88"/>
  <c r="J13" i="88"/>
  <c r="I13" i="88"/>
  <c r="F13" i="88"/>
  <c r="A13" i="88"/>
  <c r="G12" i="88"/>
  <c r="H12" i="88"/>
  <c r="C12" i="88"/>
  <c r="M12" i="88"/>
  <c r="K12" i="88"/>
  <c r="J12" i="88"/>
  <c r="I12" i="88"/>
  <c r="F12" i="88"/>
  <c r="A12" i="88"/>
  <c r="G11" i="88"/>
  <c r="H11" i="88"/>
  <c r="C11" i="88"/>
  <c r="M11" i="88"/>
  <c r="K11" i="88"/>
  <c r="J11" i="88"/>
  <c r="I11" i="88"/>
  <c r="F11" i="88"/>
  <c r="A11" i="88"/>
  <c r="G10" i="88"/>
  <c r="H10" i="88"/>
  <c r="C10" i="88"/>
  <c r="M10" i="88"/>
  <c r="K10" i="88"/>
  <c r="J10" i="88"/>
  <c r="I10" i="88"/>
  <c r="F10" i="88"/>
  <c r="A10" i="88"/>
  <c r="G9" i="88"/>
  <c r="H9" i="88"/>
  <c r="C9" i="88"/>
  <c r="M9" i="88"/>
  <c r="K9" i="88"/>
  <c r="J9" i="88"/>
  <c r="I9" i="88"/>
  <c r="F9" i="88"/>
  <c r="A9" i="88"/>
  <c r="G8" i="88"/>
  <c r="H8" i="88"/>
  <c r="C8" i="88"/>
  <c r="M8" i="88"/>
  <c r="K8" i="88"/>
  <c r="J8" i="88"/>
  <c r="I8" i="88"/>
  <c r="F8" i="88"/>
  <c r="A8" i="88"/>
  <c r="G7" i="88"/>
  <c r="H7" i="88"/>
  <c r="C7" i="88"/>
  <c r="M7" i="88"/>
  <c r="K7" i="88"/>
  <c r="J7" i="88"/>
  <c r="I7" i="88"/>
  <c r="F7" i="88"/>
  <c r="A7" i="88"/>
  <c r="G6" i="88"/>
  <c r="H6" i="88"/>
  <c r="C6" i="88"/>
  <c r="M6" i="88"/>
  <c r="K6" i="88"/>
  <c r="J6" i="88"/>
  <c r="I6" i="88"/>
  <c r="F6" i="88"/>
  <c r="A6" i="88"/>
  <c r="G5" i="88"/>
  <c r="H5" i="88"/>
  <c r="C5" i="88"/>
  <c r="M5" i="88"/>
  <c r="K5" i="88"/>
  <c r="J5" i="88"/>
  <c r="I5" i="88"/>
  <c r="F5" i="88"/>
  <c r="A5" i="88"/>
  <c r="G4" i="88"/>
  <c r="H4" i="88"/>
  <c r="C4" i="88"/>
  <c r="M4" i="88"/>
  <c r="K4" i="88"/>
  <c r="J4" i="88"/>
  <c r="I4" i="88"/>
  <c r="F4" i="88"/>
  <c r="A4" i="88"/>
  <c r="G3" i="88"/>
  <c r="H3" i="88"/>
  <c r="C3" i="88"/>
  <c r="M3" i="88"/>
  <c r="K3" i="88"/>
  <c r="J3" i="88"/>
  <c r="I3" i="88"/>
  <c r="F3" i="88"/>
  <c r="A3" i="88"/>
  <c r="G2" i="88"/>
  <c r="H2" i="88"/>
  <c r="C2" i="88"/>
  <c r="M2" i="88"/>
  <c r="K2" i="88"/>
  <c r="J2" i="88"/>
  <c r="I2" i="88"/>
  <c r="F2" i="88"/>
  <c r="A2" i="88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255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01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3" i="82"/>
  <c r="C4" i="82"/>
  <c r="C5" i="82"/>
  <c r="C6" i="82"/>
  <c r="C7" i="82"/>
  <c r="C8" i="82"/>
  <c r="C9" i="82"/>
  <c r="C10" i="82"/>
  <c r="C11" i="82"/>
  <c r="C12" i="82"/>
  <c r="C13" i="82"/>
  <c r="C1" i="93"/>
  <c r="A1" i="93"/>
  <c r="A256" i="93"/>
  <c r="B1" i="93"/>
  <c r="K256" i="93"/>
  <c r="J256" i="93"/>
  <c r="I256" i="93"/>
  <c r="H256" i="93"/>
  <c r="G256" i="93"/>
  <c r="F256" i="93"/>
  <c r="E256" i="93"/>
  <c r="D256" i="93"/>
  <c r="C256" i="93"/>
  <c r="B256" i="93"/>
  <c r="A255" i="93"/>
  <c r="K255" i="93"/>
  <c r="J255" i="93"/>
  <c r="I255" i="93"/>
  <c r="H255" i="93"/>
  <c r="G255" i="93"/>
  <c r="F255" i="93"/>
  <c r="E255" i="93"/>
  <c r="D255" i="93"/>
  <c r="C255" i="93"/>
  <c r="B255" i="93"/>
  <c r="A254" i="93"/>
  <c r="K254" i="93"/>
  <c r="J254" i="93"/>
  <c r="I254" i="93"/>
  <c r="H254" i="93"/>
  <c r="G254" i="93"/>
  <c r="F254" i="93"/>
  <c r="E254" i="93"/>
  <c r="D254" i="93"/>
  <c r="C254" i="93"/>
  <c r="B254" i="93"/>
  <c r="A253" i="93"/>
  <c r="K253" i="93"/>
  <c r="J253" i="93"/>
  <c r="I253" i="93"/>
  <c r="H253" i="93"/>
  <c r="G253" i="93"/>
  <c r="F253" i="93"/>
  <c r="E253" i="93"/>
  <c r="D253" i="93"/>
  <c r="C253" i="93"/>
  <c r="B253" i="93"/>
  <c r="A252" i="93"/>
  <c r="K252" i="93"/>
  <c r="J252" i="93"/>
  <c r="I252" i="93"/>
  <c r="H252" i="93"/>
  <c r="G252" i="93"/>
  <c r="F252" i="93"/>
  <c r="E252" i="93"/>
  <c r="D252" i="93"/>
  <c r="C252" i="93"/>
  <c r="B252" i="93"/>
  <c r="A251" i="93"/>
  <c r="K251" i="93"/>
  <c r="J251" i="93"/>
  <c r="I251" i="93"/>
  <c r="H251" i="93"/>
  <c r="G251" i="93"/>
  <c r="F251" i="93"/>
  <c r="E251" i="93"/>
  <c r="D251" i="93"/>
  <c r="C251" i="93"/>
  <c r="B251" i="93"/>
  <c r="A250" i="93"/>
  <c r="K250" i="93"/>
  <c r="J250" i="93"/>
  <c r="I250" i="93"/>
  <c r="H250" i="93"/>
  <c r="G250" i="93"/>
  <c r="F250" i="93"/>
  <c r="E250" i="93"/>
  <c r="D250" i="93"/>
  <c r="C250" i="93"/>
  <c r="B250" i="93"/>
  <c r="A249" i="93"/>
  <c r="K249" i="93"/>
  <c r="J249" i="93"/>
  <c r="I249" i="93"/>
  <c r="H249" i="93"/>
  <c r="G249" i="93"/>
  <c r="F249" i="93"/>
  <c r="E249" i="93"/>
  <c r="D249" i="93"/>
  <c r="C249" i="93"/>
  <c r="B249" i="93"/>
  <c r="A248" i="93"/>
  <c r="K248" i="93"/>
  <c r="J248" i="93"/>
  <c r="I248" i="93"/>
  <c r="H248" i="93"/>
  <c r="G248" i="93"/>
  <c r="F248" i="93"/>
  <c r="E248" i="93"/>
  <c r="D248" i="93"/>
  <c r="C248" i="93"/>
  <c r="B248" i="93"/>
  <c r="A247" i="93"/>
  <c r="K247" i="93"/>
  <c r="J247" i="93"/>
  <c r="I247" i="93"/>
  <c r="H247" i="93"/>
  <c r="G247" i="93"/>
  <c r="F247" i="93"/>
  <c r="E247" i="93"/>
  <c r="D247" i="93"/>
  <c r="C247" i="93"/>
  <c r="B247" i="93"/>
  <c r="A246" i="93"/>
  <c r="K246" i="93"/>
  <c r="J246" i="93"/>
  <c r="I246" i="93"/>
  <c r="H246" i="93"/>
  <c r="G246" i="93"/>
  <c r="F246" i="93"/>
  <c r="E246" i="93"/>
  <c r="D246" i="93"/>
  <c r="C246" i="93"/>
  <c r="B246" i="93"/>
  <c r="A245" i="93"/>
  <c r="K245" i="93"/>
  <c r="J245" i="93"/>
  <c r="I245" i="93"/>
  <c r="H245" i="93"/>
  <c r="G245" i="93"/>
  <c r="F245" i="93"/>
  <c r="E245" i="93"/>
  <c r="D245" i="93"/>
  <c r="C245" i="93"/>
  <c r="B245" i="93"/>
  <c r="A244" i="93"/>
  <c r="K244" i="93"/>
  <c r="J244" i="93"/>
  <c r="I244" i="93"/>
  <c r="H244" i="93"/>
  <c r="G244" i="93"/>
  <c r="F244" i="93"/>
  <c r="E244" i="93"/>
  <c r="D244" i="93"/>
  <c r="C244" i="93"/>
  <c r="B244" i="93"/>
  <c r="A243" i="93"/>
  <c r="K243" i="93"/>
  <c r="J243" i="93"/>
  <c r="I243" i="93"/>
  <c r="H243" i="93"/>
  <c r="G243" i="93"/>
  <c r="F243" i="93"/>
  <c r="E243" i="93"/>
  <c r="D243" i="93"/>
  <c r="C243" i="93"/>
  <c r="B243" i="93"/>
  <c r="A242" i="93"/>
  <c r="K242" i="93"/>
  <c r="J242" i="93"/>
  <c r="I242" i="93"/>
  <c r="H242" i="93"/>
  <c r="G242" i="93"/>
  <c r="F242" i="93"/>
  <c r="E242" i="93"/>
  <c r="D242" i="93"/>
  <c r="C242" i="93"/>
  <c r="B242" i="93"/>
  <c r="A241" i="93"/>
  <c r="K241" i="93"/>
  <c r="J241" i="93"/>
  <c r="I241" i="93"/>
  <c r="H241" i="93"/>
  <c r="G241" i="93"/>
  <c r="F241" i="93"/>
  <c r="E241" i="93"/>
  <c r="D241" i="93"/>
  <c r="C241" i="93"/>
  <c r="B241" i="93"/>
  <c r="A240" i="93"/>
  <c r="K240" i="93"/>
  <c r="J240" i="93"/>
  <c r="I240" i="93"/>
  <c r="H240" i="93"/>
  <c r="G240" i="93"/>
  <c r="F240" i="93"/>
  <c r="E240" i="93"/>
  <c r="D240" i="93"/>
  <c r="C240" i="93"/>
  <c r="B240" i="93"/>
  <c r="A239" i="93"/>
  <c r="K239" i="93"/>
  <c r="J239" i="93"/>
  <c r="I239" i="93"/>
  <c r="H239" i="93"/>
  <c r="G239" i="93"/>
  <c r="F239" i="93"/>
  <c r="E239" i="93"/>
  <c r="D239" i="93"/>
  <c r="C239" i="93"/>
  <c r="B239" i="93"/>
  <c r="A238" i="93"/>
  <c r="K238" i="93"/>
  <c r="J238" i="93"/>
  <c r="I238" i="93"/>
  <c r="H238" i="93"/>
  <c r="G238" i="93"/>
  <c r="F238" i="93"/>
  <c r="E238" i="93"/>
  <c r="D238" i="93"/>
  <c r="C238" i="93"/>
  <c r="B238" i="93"/>
  <c r="A237" i="93"/>
  <c r="K237" i="93"/>
  <c r="J237" i="93"/>
  <c r="I237" i="93"/>
  <c r="H237" i="93"/>
  <c r="G237" i="93"/>
  <c r="F237" i="93"/>
  <c r="E237" i="93"/>
  <c r="D237" i="93"/>
  <c r="C237" i="93"/>
  <c r="B237" i="93"/>
  <c r="A236" i="93"/>
  <c r="K236" i="93"/>
  <c r="J236" i="93"/>
  <c r="I236" i="93"/>
  <c r="H236" i="93"/>
  <c r="G236" i="93"/>
  <c r="F236" i="93"/>
  <c r="E236" i="93"/>
  <c r="D236" i="93"/>
  <c r="C236" i="93"/>
  <c r="B236" i="93"/>
  <c r="A235" i="93"/>
  <c r="K235" i="93"/>
  <c r="J235" i="93"/>
  <c r="I235" i="93"/>
  <c r="H235" i="93"/>
  <c r="G235" i="93"/>
  <c r="F235" i="93"/>
  <c r="E235" i="93"/>
  <c r="D235" i="93"/>
  <c r="C235" i="93"/>
  <c r="B235" i="93"/>
  <c r="A234" i="93"/>
  <c r="K234" i="93"/>
  <c r="J234" i="93"/>
  <c r="I234" i="93"/>
  <c r="H234" i="93"/>
  <c r="G234" i="93"/>
  <c r="F234" i="93"/>
  <c r="E234" i="93"/>
  <c r="D234" i="93"/>
  <c r="C234" i="93"/>
  <c r="B234" i="93"/>
  <c r="A233" i="93"/>
  <c r="K233" i="93"/>
  <c r="J233" i="93"/>
  <c r="I233" i="93"/>
  <c r="H233" i="93"/>
  <c r="G233" i="93"/>
  <c r="F233" i="93"/>
  <c r="E233" i="93"/>
  <c r="D233" i="93"/>
  <c r="C233" i="93"/>
  <c r="B233" i="93"/>
  <c r="A232" i="93"/>
  <c r="K232" i="93"/>
  <c r="J232" i="93"/>
  <c r="I232" i="93"/>
  <c r="H232" i="93"/>
  <c r="G232" i="93"/>
  <c r="F232" i="93"/>
  <c r="E232" i="93"/>
  <c r="D232" i="93"/>
  <c r="C232" i="93"/>
  <c r="B232" i="93"/>
  <c r="A231" i="93"/>
  <c r="K231" i="93"/>
  <c r="J231" i="93"/>
  <c r="I231" i="93"/>
  <c r="H231" i="93"/>
  <c r="G231" i="93"/>
  <c r="F231" i="93"/>
  <c r="E231" i="93"/>
  <c r="D231" i="93"/>
  <c r="C231" i="93"/>
  <c r="B231" i="93"/>
  <c r="A230" i="93"/>
  <c r="K230" i="93"/>
  <c r="J230" i="93"/>
  <c r="I230" i="93"/>
  <c r="H230" i="93"/>
  <c r="G230" i="93"/>
  <c r="F230" i="93"/>
  <c r="E230" i="93"/>
  <c r="D230" i="93"/>
  <c r="C230" i="93"/>
  <c r="B230" i="93"/>
  <c r="A229" i="93"/>
  <c r="K229" i="93"/>
  <c r="J229" i="93"/>
  <c r="I229" i="93"/>
  <c r="H229" i="93"/>
  <c r="G229" i="93"/>
  <c r="F229" i="93"/>
  <c r="E229" i="93"/>
  <c r="D229" i="93"/>
  <c r="C229" i="93"/>
  <c r="B229" i="93"/>
  <c r="A228" i="93"/>
  <c r="K228" i="93"/>
  <c r="J228" i="93"/>
  <c r="I228" i="93"/>
  <c r="H228" i="93"/>
  <c r="G228" i="93"/>
  <c r="F228" i="93"/>
  <c r="E228" i="93"/>
  <c r="D228" i="93"/>
  <c r="C228" i="93"/>
  <c r="B228" i="93"/>
  <c r="A227" i="93"/>
  <c r="K227" i="93"/>
  <c r="J227" i="93"/>
  <c r="I227" i="93"/>
  <c r="H227" i="93"/>
  <c r="G227" i="93"/>
  <c r="F227" i="93"/>
  <c r="E227" i="93"/>
  <c r="D227" i="93"/>
  <c r="C227" i="93"/>
  <c r="B227" i="93"/>
  <c r="A226" i="93"/>
  <c r="K226" i="93"/>
  <c r="J226" i="93"/>
  <c r="I226" i="93"/>
  <c r="H226" i="93"/>
  <c r="G226" i="93"/>
  <c r="F226" i="93"/>
  <c r="E226" i="93"/>
  <c r="D226" i="93"/>
  <c r="C226" i="93"/>
  <c r="B226" i="93"/>
  <c r="A225" i="93"/>
  <c r="K225" i="93"/>
  <c r="J225" i="93"/>
  <c r="I225" i="93"/>
  <c r="H225" i="93"/>
  <c r="G225" i="93"/>
  <c r="F225" i="93"/>
  <c r="E225" i="93"/>
  <c r="D225" i="93"/>
  <c r="C225" i="93"/>
  <c r="B225" i="93"/>
  <c r="A224" i="93"/>
  <c r="K224" i="93"/>
  <c r="J224" i="93"/>
  <c r="I224" i="93"/>
  <c r="H224" i="93"/>
  <c r="G224" i="93"/>
  <c r="F224" i="93"/>
  <c r="E224" i="93"/>
  <c r="D224" i="93"/>
  <c r="C224" i="93"/>
  <c r="B224" i="93"/>
  <c r="A223" i="93"/>
  <c r="K223" i="93"/>
  <c r="J223" i="93"/>
  <c r="I223" i="93"/>
  <c r="H223" i="93"/>
  <c r="G223" i="93"/>
  <c r="F223" i="93"/>
  <c r="E223" i="93"/>
  <c r="D223" i="93"/>
  <c r="C223" i="93"/>
  <c r="B223" i="93"/>
  <c r="A222" i="93"/>
  <c r="K222" i="93"/>
  <c r="J222" i="93"/>
  <c r="I222" i="93"/>
  <c r="H222" i="93"/>
  <c r="G222" i="93"/>
  <c r="F222" i="93"/>
  <c r="E222" i="93"/>
  <c r="D222" i="93"/>
  <c r="C222" i="93"/>
  <c r="B222" i="93"/>
  <c r="A221" i="93"/>
  <c r="K221" i="93"/>
  <c r="J221" i="93"/>
  <c r="I221" i="93"/>
  <c r="H221" i="93"/>
  <c r="G221" i="93"/>
  <c r="F221" i="93"/>
  <c r="E221" i="93"/>
  <c r="D221" i="93"/>
  <c r="C221" i="93"/>
  <c r="B221" i="93"/>
  <c r="A220" i="93"/>
  <c r="K220" i="93"/>
  <c r="J220" i="93"/>
  <c r="I220" i="93"/>
  <c r="H220" i="93"/>
  <c r="G220" i="93"/>
  <c r="F220" i="93"/>
  <c r="E220" i="93"/>
  <c r="D220" i="93"/>
  <c r="C220" i="93"/>
  <c r="B220" i="93"/>
  <c r="A219" i="93"/>
  <c r="K219" i="93"/>
  <c r="J219" i="93"/>
  <c r="I219" i="93"/>
  <c r="H219" i="93"/>
  <c r="G219" i="93"/>
  <c r="F219" i="93"/>
  <c r="E219" i="93"/>
  <c r="D219" i="93"/>
  <c r="C219" i="93"/>
  <c r="B219" i="93"/>
  <c r="A218" i="93"/>
  <c r="K218" i="93"/>
  <c r="J218" i="93"/>
  <c r="I218" i="93"/>
  <c r="H218" i="93"/>
  <c r="G218" i="93"/>
  <c r="F218" i="93"/>
  <c r="E218" i="93"/>
  <c r="D218" i="93"/>
  <c r="C218" i="93"/>
  <c r="B218" i="93"/>
  <c r="A217" i="93"/>
  <c r="K217" i="93"/>
  <c r="J217" i="93"/>
  <c r="I217" i="93"/>
  <c r="H217" i="93"/>
  <c r="G217" i="93"/>
  <c r="F217" i="93"/>
  <c r="E217" i="93"/>
  <c r="D217" i="93"/>
  <c r="C217" i="93"/>
  <c r="B217" i="93"/>
  <c r="A216" i="93"/>
  <c r="K216" i="93"/>
  <c r="J216" i="93"/>
  <c r="I216" i="93"/>
  <c r="H216" i="93"/>
  <c r="G216" i="93"/>
  <c r="F216" i="93"/>
  <c r="E216" i="93"/>
  <c r="D216" i="93"/>
  <c r="C216" i="93"/>
  <c r="B216" i="93"/>
  <c r="A215" i="93"/>
  <c r="K215" i="93"/>
  <c r="J215" i="93"/>
  <c r="I215" i="93"/>
  <c r="H215" i="93"/>
  <c r="G215" i="93"/>
  <c r="F215" i="93"/>
  <c r="E215" i="93"/>
  <c r="D215" i="93"/>
  <c r="C215" i="93"/>
  <c r="B215" i="93"/>
  <c r="A214" i="93"/>
  <c r="K214" i="93"/>
  <c r="J214" i="93"/>
  <c r="I214" i="93"/>
  <c r="H214" i="93"/>
  <c r="G214" i="93"/>
  <c r="F214" i="93"/>
  <c r="E214" i="93"/>
  <c r="D214" i="93"/>
  <c r="C214" i="93"/>
  <c r="B214" i="93"/>
  <c r="A213" i="93"/>
  <c r="K213" i="93"/>
  <c r="J213" i="93"/>
  <c r="I213" i="93"/>
  <c r="H213" i="93"/>
  <c r="G213" i="93"/>
  <c r="F213" i="93"/>
  <c r="E213" i="93"/>
  <c r="D213" i="93"/>
  <c r="C213" i="93"/>
  <c r="B213" i="93"/>
  <c r="A212" i="93"/>
  <c r="K212" i="93"/>
  <c r="J212" i="93"/>
  <c r="I212" i="93"/>
  <c r="H212" i="93"/>
  <c r="G212" i="93"/>
  <c r="F212" i="93"/>
  <c r="E212" i="93"/>
  <c r="D212" i="93"/>
  <c r="C212" i="93"/>
  <c r="B212" i="93"/>
  <c r="A211" i="93"/>
  <c r="K211" i="93"/>
  <c r="J211" i="93"/>
  <c r="I211" i="93"/>
  <c r="H211" i="93"/>
  <c r="G211" i="93"/>
  <c r="F211" i="93"/>
  <c r="E211" i="93"/>
  <c r="D211" i="93"/>
  <c r="C211" i="93"/>
  <c r="B211" i="93"/>
  <c r="A210" i="93"/>
  <c r="K210" i="93"/>
  <c r="J210" i="93"/>
  <c r="I210" i="93"/>
  <c r="H210" i="93"/>
  <c r="G210" i="93"/>
  <c r="F210" i="93"/>
  <c r="E210" i="93"/>
  <c r="D210" i="93"/>
  <c r="C210" i="93"/>
  <c r="B210" i="93"/>
  <c r="A209" i="93"/>
  <c r="K209" i="93"/>
  <c r="J209" i="93"/>
  <c r="I209" i="93"/>
  <c r="H209" i="93"/>
  <c r="G209" i="93"/>
  <c r="F209" i="93"/>
  <c r="E209" i="93"/>
  <c r="D209" i="93"/>
  <c r="C209" i="93"/>
  <c r="B209" i="93"/>
  <c r="A208" i="93"/>
  <c r="K208" i="93"/>
  <c r="J208" i="93"/>
  <c r="I208" i="93"/>
  <c r="H208" i="93"/>
  <c r="G208" i="93"/>
  <c r="F208" i="93"/>
  <c r="E208" i="93"/>
  <c r="D208" i="93"/>
  <c r="C208" i="93"/>
  <c r="B208" i="93"/>
  <c r="A207" i="93"/>
  <c r="K207" i="93"/>
  <c r="J207" i="93"/>
  <c r="I207" i="93"/>
  <c r="H207" i="93"/>
  <c r="G207" i="93"/>
  <c r="F207" i="93"/>
  <c r="E207" i="93"/>
  <c r="D207" i="93"/>
  <c r="C207" i="93"/>
  <c r="B207" i="93"/>
  <c r="A206" i="93"/>
  <c r="K206" i="93"/>
  <c r="J206" i="93"/>
  <c r="I206" i="93"/>
  <c r="H206" i="93"/>
  <c r="G206" i="93"/>
  <c r="F206" i="93"/>
  <c r="E206" i="93"/>
  <c r="D206" i="93"/>
  <c r="C206" i="93"/>
  <c r="B206" i="93"/>
  <c r="A205" i="93"/>
  <c r="K205" i="93"/>
  <c r="J205" i="93"/>
  <c r="I205" i="93"/>
  <c r="H205" i="93"/>
  <c r="G205" i="93"/>
  <c r="F205" i="93"/>
  <c r="E205" i="93"/>
  <c r="D205" i="93"/>
  <c r="C205" i="93"/>
  <c r="B205" i="93"/>
  <c r="A204" i="93"/>
  <c r="K204" i="93"/>
  <c r="J204" i="93"/>
  <c r="I204" i="93"/>
  <c r="H204" i="93"/>
  <c r="G204" i="93"/>
  <c r="F204" i="93"/>
  <c r="E204" i="93"/>
  <c r="D204" i="93"/>
  <c r="C204" i="93"/>
  <c r="B204" i="93"/>
  <c r="A203" i="93"/>
  <c r="K203" i="93"/>
  <c r="J203" i="93"/>
  <c r="I203" i="93"/>
  <c r="H203" i="93"/>
  <c r="G203" i="93"/>
  <c r="F203" i="93"/>
  <c r="E203" i="93"/>
  <c r="D203" i="93"/>
  <c r="C203" i="93"/>
  <c r="B203" i="93"/>
  <c r="A202" i="93"/>
  <c r="K202" i="93"/>
  <c r="J202" i="93"/>
  <c r="I202" i="93"/>
  <c r="H202" i="93"/>
  <c r="G202" i="93"/>
  <c r="F202" i="93"/>
  <c r="E202" i="93"/>
  <c r="D202" i="93"/>
  <c r="C202" i="93"/>
  <c r="B202" i="93"/>
  <c r="A201" i="93"/>
  <c r="K201" i="93"/>
  <c r="J201" i="93"/>
  <c r="I201" i="93"/>
  <c r="H201" i="93"/>
  <c r="G201" i="93"/>
  <c r="F201" i="93"/>
  <c r="E201" i="93"/>
  <c r="D201" i="93"/>
  <c r="C201" i="93"/>
  <c r="B201" i="93"/>
  <c r="A200" i="93"/>
  <c r="K200" i="93"/>
  <c r="J200" i="93"/>
  <c r="I200" i="93"/>
  <c r="H200" i="93"/>
  <c r="G200" i="93"/>
  <c r="F200" i="93"/>
  <c r="E200" i="93"/>
  <c r="D200" i="93"/>
  <c r="C200" i="93"/>
  <c r="B200" i="93"/>
  <c r="A199" i="93"/>
  <c r="K199" i="93"/>
  <c r="J199" i="93"/>
  <c r="I199" i="93"/>
  <c r="H199" i="93"/>
  <c r="G199" i="93"/>
  <c r="F199" i="93"/>
  <c r="E199" i="93"/>
  <c r="D199" i="93"/>
  <c r="C199" i="93"/>
  <c r="B199" i="93"/>
  <c r="A198" i="93"/>
  <c r="K198" i="93"/>
  <c r="J198" i="93"/>
  <c r="I198" i="93"/>
  <c r="H198" i="93"/>
  <c r="G198" i="93"/>
  <c r="F198" i="93"/>
  <c r="E198" i="93"/>
  <c r="D198" i="93"/>
  <c r="C198" i="93"/>
  <c r="B198" i="93"/>
  <c r="A197" i="93"/>
  <c r="K197" i="93"/>
  <c r="J197" i="93"/>
  <c r="I197" i="93"/>
  <c r="H197" i="93"/>
  <c r="G197" i="93"/>
  <c r="F197" i="93"/>
  <c r="E197" i="93"/>
  <c r="D197" i="93"/>
  <c r="C197" i="93"/>
  <c r="B197" i="93"/>
  <c r="A196" i="93"/>
  <c r="K196" i="93"/>
  <c r="J196" i="93"/>
  <c r="I196" i="93"/>
  <c r="H196" i="93"/>
  <c r="G196" i="93"/>
  <c r="F196" i="93"/>
  <c r="E196" i="93"/>
  <c r="D196" i="93"/>
  <c r="C196" i="93"/>
  <c r="B196" i="93"/>
  <c r="A195" i="93"/>
  <c r="K195" i="93"/>
  <c r="J195" i="93"/>
  <c r="I195" i="93"/>
  <c r="H195" i="93"/>
  <c r="G195" i="93"/>
  <c r="F195" i="93"/>
  <c r="E195" i="93"/>
  <c r="D195" i="93"/>
  <c r="C195" i="93"/>
  <c r="B195" i="93"/>
  <c r="A194" i="93"/>
  <c r="K194" i="93"/>
  <c r="J194" i="93"/>
  <c r="I194" i="93"/>
  <c r="H194" i="93"/>
  <c r="G194" i="93"/>
  <c r="F194" i="93"/>
  <c r="E194" i="93"/>
  <c r="D194" i="93"/>
  <c r="C194" i="93"/>
  <c r="B194" i="93"/>
  <c r="A193" i="93"/>
  <c r="K193" i="93"/>
  <c r="J193" i="93"/>
  <c r="I193" i="93"/>
  <c r="H193" i="93"/>
  <c r="G193" i="93"/>
  <c r="F193" i="93"/>
  <c r="E193" i="93"/>
  <c r="D193" i="93"/>
  <c r="C193" i="93"/>
  <c r="B193" i="93"/>
  <c r="A192" i="93"/>
  <c r="K192" i="93"/>
  <c r="J192" i="93"/>
  <c r="I192" i="93"/>
  <c r="H192" i="93"/>
  <c r="G192" i="93"/>
  <c r="F192" i="93"/>
  <c r="E192" i="93"/>
  <c r="D192" i="93"/>
  <c r="C192" i="93"/>
  <c r="B192" i="93"/>
  <c r="A191" i="93"/>
  <c r="K191" i="93"/>
  <c r="J191" i="93"/>
  <c r="I191" i="93"/>
  <c r="H191" i="93"/>
  <c r="G191" i="93"/>
  <c r="F191" i="93"/>
  <c r="E191" i="93"/>
  <c r="D191" i="93"/>
  <c r="C191" i="93"/>
  <c r="B191" i="93"/>
  <c r="A190" i="93"/>
  <c r="K190" i="93"/>
  <c r="J190" i="93"/>
  <c r="I190" i="93"/>
  <c r="H190" i="93"/>
  <c r="G190" i="93"/>
  <c r="F190" i="93"/>
  <c r="E190" i="93"/>
  <c r="D190" i="93"/>
  <c r="C190" i="93"/>
  <c r="B190" i="93"/>
  <c r="A189" i="93"/>
  <c r="K189" i="93"/>
  <c r="J189" i="93"/>
  <c r="I189" i="93"/>
  <c r="H189" i="93"/>
  <c r="G189" i="93"/>
  <c r="F189" i="93"/>
  <c r="E189" i="93"/>
  <c r="D189" i="93"/>
  <c r="C189" i="93"/>
  <c r="B189" i="93"/>
  <c r="A188" i="93"/>
  <c r="K188" i="93"/>
  <c r="J188" i="93"/>
  <c r="I188" i="93"/>
  <c r="H188" i="93"/>
  <c r="G188" i="93"/>
  <c r="F188" i="93"/>
  <c r="E188" i="93"/>
  <c r="D188" i="93"/>
  <c r="C188" i="93"/>
  <c r="B188" i="93"/>
  <c r="A187" i="93"/>
  <c r="K187" i="93"/>
  <c r="J187" i="93"/>
  <c r="I187" i="93"/>
  <c r="H187" i="93"/>
  <c r="G187" i="93"/>
  <c r="F187" i="93"/>
  <c r="E187" i="93"/>
  <c r="D187" i="93"/>
  <c r="C187" i="93"/>
  <c r="B187" i="93"/>
  <c r="A186" i="93"/>
  <c r="K186" i="93"/>
  <c r="J186" i="93"/>
  <c r="I186" i="93"/>
  <c r="H186" i="93"/>
  <c r="G186" i="93"/>
  <c r="F186" i="93"/>
  <c r="E186" i="93"/>
  <c r="D186" i="93"/>
  <c r="C186" i="93"/>
  <c r="B186" i="93"/>
  <c r="A185" i="93"/>
  <c r="K185" i="93"/>
  <c r="J185" i="93"/>
  <c r="I185" i="93"/>
  <c r="H185" i="93"/>
  <c r="G185" i="93"/>
  <c r="F185" i="93"/>
  <c r="E185" i="93"/>
  <c r="D185" i="93"/>
  <c r="C185" i="93"/>
  <c r="B185" i="93"/>
  <c r="A184" i="93"/>
  <c r="K184" i="93"/>
  <c r="J184" i="93"/>
  <c r="I184" i="93"/>
  <c r="H184" i="93"/>
  <c r="G184" i="93"/>
  <c r="F184" i="93"/>
  <c r="E184" i="93"/>
  <c r="D184" i="93"/>
  <c r="C184" i="93"/>
  <c r="B184" i="93"/>
  <c r="A183" i="93"/>
  <c r="K183" i="93"/>
  <c r="J183" i="93"/>
  <c r="I183" i="93"/>
  <c r="H183" i="93"/>
  <c r="G183" i="93"/>
  <c r="F183" i="93"/>
  <c r="E183" i="93"/>
  <c r="D183" i="93"/>
  <c r="C183" i="93"/>
  <c r="B183" i="93"/>
  <c r="A182" i="93"/>
  <c r="K182" i="93"/>
  <c r="J182" i="93"/>
  <c r="I182" i="93"/>
  <c r="H182" i="93"/>
  <c r="G182" i="93"/>
  <c r="F182" i="93"/>
  <c r="E182" i="93"/>
  <c r="D182" i="93"/>
  <c r="C182" i="93"/>
  <c r="B182" i="93"/>
  <c r="A181" i="93"/>
  <c r="K181" i="93"/>
  <c r="J181" i="93"/>
  <c r="I181" i="93"/>
  <c r="H181" i="93"/>
  <c r="G181" i="93"/>
  <c r="F181" i="93"/>
  <c r="E181" i="93"/>
  <c r="D181" i="93"/>
  <c r="C181" i="93"/>
  <c r="B181" i="93"/>
  <c r="A180" i="93"/>
  <c r="K180" i="93"/>
  <c r="J180" i="93"/>
  <c r="I180" i="93"/>
  <c r="H180" i="93"/>
  <c r="G180" i="93"/>
  <c r="F180" i="93"/>
  <c r="E180" i="93"/>
  <c r="D180" i="93"/>
  <c r="C180" i="93"/>
  <c r="B180" i="93"/>
  <c r="A179" i="93"/>
  <c r="K179" i="93"/>
  <c r="J179" i="93"/>
  <c r="I179" i="93"/>
  <c r="H179" i="93"/>
  <c r="G179" i="93"/>
  <c r="F179" i="93"/>
  <c r="E179" i="93"/>
  <c r="D179" i="93"/>
  <c r="C179" i="93"/>
  <c r="B179" i="93"/>
  <c r="A178" i="93"/>
  <c r="K178" i="93"/>
  <c r="J178" i="93"/>
  <c r="I178" i="93"/>
  <c r="H178" i="93"/>
  <c r="G178" i="93"/>
  <c r="F178" i="93"/>
  <c r="E178" i="93"/>
  <c r="D178" i="93"/>
  <c r="C178" i="93"/>
  <c r="B178" i="93"/>
  <c r="A177" i="93"/>
  <c r="K177" i="93"/>
  <c r="J177" i="93"/>
  <c r="I177" i="93"/>
  <c r="H177" i="93"/>
  <c r="G177" i="93"/>
  <c r="F177" i="93"/>
  <c r="E177" i="93"/>
  <c r="D177" i="93"/>
  <c r="C177" i="93"/>
  <c r="B177" i="93"/>
  <c r="A176" i="93"/>
  <c r="K176" i="93"/>
  <c r="J176" i="93"/>
  <c r="I176" i="93"/>
  <c r="H176" i="93"/>
  <c r="G176" i="93"/>
  <c r="F176" i="93"/>
  <c r="E176" i="93"/>
  <c r="D176" i="93"/>
  <c r="C176" i="93"/>
  <c r="B176" i="93"/>
  <c r="A175" i="93"/>
  <c r="K175" i="93"/>
  <c r="J175" i="93"/>
  <c r="I175" i="93"/>
  <c r="H175" i="93"/>
  <c r="G175" i="93"/>
  <c r="F175" i="93"/>
  <c r="E175" i="93"/>
  <c r="D175" i="93"/>
  <c r="C175" i="93"/>
  <c r="B175" i="93"/>
  <c r="A174" i="93"/>
  <c r="K174" i="93"/>
  <c r="J174" i="93"/>
  <c r="I174" i="93"/>
  <c r="H174" i="93"/>
  <c r="G174" i="93"/>
  <c r="F174" i="93"/>
  <c r="E174" i="93"/>
  <c r="D174" i="93"/>
  <c r="C174" i="93"/>
  <c r="B174" i="93"/>
  <c r="A173" i="93"/>
  <c r="K173" i="93"/>
  <c r="J173" i="93"/>
  <c r="I173" i="93"/>
  <c r="H173" i="93"/>
  <c r="G173" i="93"/>
  <c r="F173" i="93"/>
  <c r="E173" i="93"/>
  <c r="D173" i="93"/>
  <c r="C173" i="93"/>
  <c r="B173" i="93"/>
  <c r="A172" i="93"/>
  <c r="K172" i="93"/>
  <c r="J172" i="93"/>
  <c r="I172" i="93"/>
  <c r="H172" i="93"/>
  <c r="G172" i="93"/>
  <c r="F172" i="93"/>
  <c r="E172" i="93"/>
  <c r="D172" i="93"/>
  <c r="C172" i="93"/>
  <c r="B172" i="93"/>
  <c r="A171" i="93"/>
  <c r="K171" i="93"/>
  <c r="J171" i="93"/>
  <c r="I171" i="93"/>
  <c r="H171" i="93"/>
  <c r="G171" i="93"/>
  <c r="F171" i="93"/>
  <c r="E171" i="93"/>
  <c r="D171" i="93"/>
  <c r="C171" i="93"/>
  <c r="B171" i="93"/>
  <c r="A170" i="93"/>
  <c r="K170" i="93"/>
  <c r="J170" i="93"/>
  <c r="I170" i="93"/>
  <c r="H170" i="93"/>
  <c r="G170" i="93"/>
  <c r="F170" i="93"/>
  <c r="E170" i="93"/>
  <c r="D170" i="93"/>
  <c r="C170" i="93"/>
  <c r="B170" i="93"/>
  <c r="A169" i="93"/>
  <c r="K169" i="93"/>
  <c r="J169" i="93"/>
  <c r="I169" i="93"/>
  <c r="H169" i="93"/>
  <c r="G169" i="93"/>
  <c r="F169" i="93"/>
  <c r="E169" i="93"/>
  <c r="D169" i="93"/>
  <c r="C169" i="93"/>
  <c r="B169" i="93"/>
  <c r="A168" i="93"/>
  <c r="K168" i="93"/>
  <c r="J168" i="93"/>
  <c r="I168" i="93"/>
  <c r="H168" i="93"/>
  <c r="G168" i="93"/>
  <c r="F168" i="93"/>
  <c r="E168" i="93"/>
  <c r="D168" i="93"/>
  <c r="C168" i="93"/>
  <c r="B168" i="93"/>
  <c r="A167" i="93"/>
  <c r="K167" i="93"/>
  <c r="J167" i="93"/>
  <c r="I167" i="93"/>
  <c r="H167" i="93"/>
  <c r="G167" i="93"/>
  <c r="F167" i="93"/>
  <c r="E167" i="93"/>
  <c r="D167" i="93"/>
  <c r="C167" i="93"/>
  <c r="B167" i="93"/>
  <c r="A166" i="93"/>
  <c r="K166" i="93"/>
  <c r="J166" i="93"/>
  <c r="I166" i="93"/>
  <c r="H166" i="93"/>
  <c r="G166" i="93"/>
  <c r="F166" i="93"/>
  <c r="E166" i="93"/>
  <c r="D166" i="93"/>
  <c r="C166" i="93"/>
  <c r="B166" i="93"/>
  <c r="A165" i="93"/>
  <c r="K165" i="93"/>
  <c r="J165" i="93"/>
  <c r="I165" i="93"/>
  <c r="H165" i="93"/>
  <c r="G165" i="93"/>
  <c r="F165" i="93"/>
  <c r="E165" i="93"/>
  <c r="D165" i="93"/>
  <c r="C165" i="93"/>
  <c r="B165" i="93"/>
  <c r="A164" i="93"/>
  <c r="K164" i="93"/>
  <c r="J164" i="93"/>
  <c r="I164" i="93"/>
  <c r="H164" i="93"/>
  <c r="G164" i="93"/>
  <c r="F164" i="93"/>
  <c r="E164" i="93"/>
  <c r="D164" i="93"/>
  <c r="C164" i="93"/>
  <c r="B164" i="93"/>
  <c r="A163" i="93"/>
  <c r="K163" i="93"/>
  <c r="J163" i="93"/>
  <c r="I163" i="93"/>
  <c r="H163" i="93"/>
  <c r="G163" i="93"/>
  <c r="F163" i="93"/>
  <c r="E163" i="93"/>
  <c r="D163" i="93"/>
  <c r="C163" i="93"/>
  <c r="B163" i="93"/>
  <c r="A162" i="93"/>
  <c r="K162" i="93"/>
  <c r="J162" i="93"/>
  <c r="I162" i="93"/>
  <c r="H162" i="93"/>
  <c r="G162" i="93"/>
  <c r="F162" i="93"/>
  <c r="E162" i="93"/>
  <c r="D162" i="93"/>
  <c r="C162" i="93"/>
  <c r="B162" i="93"/>
  <c r="A161" i="93"/>
  <c r="K161" i="93"/>
  <c r="J161" i="93"/>
  <c r="I161" i="93"/>
  <c r="H161" i="93"/>
  <c r="G161" i="93"/>
  <c r="F161" i="93"/>
  <c r="E161" i="93"/>
  <c r="D161" i="93"/>
  <c r="C161" i="93"/>
  <c r="B161" i="93"/>
  <c r="A160" i="93"/>
  <c r="K160" i="93"/>
  <c r="J160" i="93"/>
  <c r="I160" i="93"/>
  <c r="H160" i="93"/>
  <c r="G160" i="93"/>
  <c r="F160" i="93"/>
  <c r="E160" i="93"/>
  <c r="D160" i="93"/>
  <c r="C160" i="93"/>
  <c r="B160" i="93"/>
  <c r="A159" i="93"/>
  <c r="K159" i="93"/>
  <c r="J159" i="93"/>
  <c r="I159" i="93"/>
  <c r="H159" i="93"/>
  <c r="G159" i="93"/>
  <c r="F159" i="93"/>
  <c r="E159" i="93"/>
  <c r="D159" i="93"/>
  <c r="C159" i="93"/>
  <c r="B159" i="93"/>
  <c r="A158" i="93"/>
  <c r="K158" i="93"/>
  <c r="J158" i="93"/>
  <c r="I158" i="93"/>
  <c r="H158" i="93"/>
  <c r="G158" i="93"/>
  <c r="F158" i="93"/>
  <c r="E158" i="93"/>
  <c r="D158" i="93"/>
  <c r="C158" i="93"/>
  <c r="B158" i="93"/>
  <c r="A157" i="93"/>
  <c r="K157" i="93"/>
  <c r="J157" i="93"/>
  <c r="I157" i="93"/>
  <c r="H157" i="93"/>
  <c r="G157" i="93"/>
  <c r="F157" i="93"/>
  <c r="E157" i="93"/>
  <c r="D157" i="93"/>
  <c r="C157" i="93"/>
  <c r="B157" i="93"/>
  <c r="A156" i="93"/>
  <c r="K156" i="93"/>
  <c r="J156" i="93"/>
  <c r="I156" i="93"/>
  <c r="H156" i="93"/>
  <c r="G156" i="93"/>
  <c r="F156" i="93"/>
  <c r="E156" i="93"/>
  <c r="D156" i="93"/>
  <c r="C156" i="93"/>
  <c r="B156" i="93"/>
  <c r="A155" i="93"/>
  <c r="K155" i="93"/>
  <c r="J155" i="93"/>
  <c r="I155" i="93"/>
  <c r="H155" i="93"/>
  <c r="G155" i="93"/>
  <c r="F155" i="93"/>
  <c r="E155" i="93"/>
  <c r="D155" i="93"/>
  <c r="C155" i="93"/>
  <c r="B155" i="93"/>
  <c r="A154" i="93"/>
  <c r="K154" i="93"/>
  <c r="J154" i="93"/>
  <c r="I154" i="93"/>
  <c r="H154" i="93"/>
  <c r="G154" i="93"/>
  <c r="F154" i="93"/>
  <c r="E154" i="93"/>
  <c r="D154" i="93"/>
  <c r="C154" i="93"/>
  <c r="B154" i="93"/>
  <c r="A153" i="93"/>
  <c r="K153" i="93"/>
  <c r="J153" i="93"/>
  <c r="I153" i="93"/>
  <c r="H153" i="93"/>
  <c r="G153" i="93"/>
  <c r="F153" i="93"/>
  <c r="E153" i="93"/>
  <c r="D153" i="93"/>
  <c r="C153" i="93"/>
  <c r="B153" i="93"/>
  <c r="A152" i="93"/>
  <c r="K152" i="93"/>
  <c r="J152" i="93"/>
  <c r="I152" i="93"/>
  <c r="H152" i="93"/>
  <c r="G152" i="93"/>
  <c r="F152" i="93"/>
  <c r="E152" i="93"/>
  <c r="D152" i="93"/>
  <c r="C152" i="93"/>
  <c r="B152" i="93"/>
  <c r="A151" i="93"/>
  <c r="K151" i="93"/>
  <c r="J151" i="93"/>
  <c r="I151" i="93"/>
  <c r="H151" i="93"/>
  <c r="G151" i="93"/>
  <c r="F151" i="93"/>
  <c r="E151" i="93"/>
  <c r="D151" i="93"/>
  <c r="C151" i="93"/>
  <c r="B151" i="93"/>
  <c r="A150" i="93"/>
  <c r="K150" i="93"/>
  <c r="J150" i="93"/>
  <c r="I150" i="93"/>
  <c r="H150" i="93"/>
  <c r="G150" i="93"/>
  <c r="F150" i="93"/>
  <c r="E150" i="93"/>
  <c r="D150" i="93"/>
  <c r="C150" i="93"/>
  <c r="B150" i="93"/>
  <c r="A149" i="93"/>
  <c r="K149" i="93"/>
  <c r="J149" i="93"/>
  <c r="I149" i="93"/>
  <c r="H149" i="93"/>
  <c r="G149" i="93"/>
  <c r="F149" i="93"/>
  <c r="E149" i="93"/>
  <c r="D149" i="93"/>
  <c r="C149" i="93"/>
  <c r="B149" i="93"/>
  <c r="A148" i="93"/>
  <c r="K148" i="93"/>
  <c r="J148" i="93"/>
  <c r="I148" i="93"/>
  <c r="H148" i="93"/>
  <c r="G148" i="93"/>
  <c r="F148" i="93"/>
  <c r="E148" i="93"/>
  <c r="D148" i="93"/>
  <c r="C148" i="93"/>
  <c r="B148" i="93"/>
  <c r="A147" i="93"/>
  <c r="K147" i="93"/>
  <c r="J147" i="93"/>
  <c r="I147" i="93"/>
  <c r="H147" i="93"/>
  <c r="G147" i="93"/>
  <c r="F147" i="93"/>
  <c r="E147" i="93"/>
  <c r="D147" i="93"/>
  <c r="C147" i="93"/>
  <c r="B147" i="93"/>
  <c r="A146" i="93"/>
  <c r="K146" i="93"/>
  <c r="J146" i="93"/>
  <c r="I146" i="93"/>
  <c r="H146" i="93"/>
  <c r="G146" i="93"/>
  <c r="F146" i="93"/>
  <c r="E146" i="93"/>
  <c r="D146" i="93"/>
  <c r="C146" i="93"/>
  <c r="B146" i="93"/>
  <c r="A145" i="93"/>
  <c r="K145" i="93"/>
  <c r="J145" i="93"/>
  <c r="I145" i="93"/>
  <c r="H145" i="93"/>
  <c r="G145" i="93"/>
  <c r="F145" i="93"/>
  <c r="E145" i="93"/>
  <c r="D145" i="93"/>
  <c r="C145" i="93"/>
  <c r="B145" i="93"/>
  <c r="A144" i="93"/>
  <c r="K144" i="93"/>
  <c r="J144" i="93"/>
  <c r="I144" i="93"/>
  <c r="H144" i="93"/>
  <c r="G144" i="93"/>
  <c r="F144" i="93"/>
  <c r="E144" i="93"/>
  <c r="D144" i="93"/>
  <c r="C144" i="93"/>
  <c r="B144" i="93"/>
  <c r="A143" i="93"/>
  <c r="K143" i="93"/>
  <c r="J143" i="93"/>
  <c r="I143" i="93"/>
  <c r="H143" i="93"/>
  <c r="G143" i="93"/>
  <c r="F143" i="93"/>
  <c r="E143" i="93"/>
  <c r="D143" i="93"/>
  <c r="C143" i="93"/>
  <c r="B143" i="93"/>
  <c r="A142" i="93"/>
  <c r="K142" i="93"/>
  <c r="J142" i="93"/>
  <c r="I142" i="93"/>
  <c r="H142" i="93"/>
  <c r="G142" i="93"/>
  <c r="F142" i="93"/>
  <c r="E142" i="93"/>
  <c r="D142" i="93"/>
  <c r="C142" i="93"/>
  <c r="B142" i="93"/>
  <c r="A141" i="93"/>
  <c r="K141" i="93"/>
  <c r="J141" i="93"/>
  <c r="I141" i="93"/>
  <c r="H141" i="93"/>
  <c r="G141" i="93"/>
  <c r="F141" i="93"/>
  <c r="E141" i="93"/>
  <c r="D141" i="93"/>
  <c r="C141" i="93"/>
  <c r="B141" i="93"/>
  <c r="A140" i="93"/>
  <c r="K140" i="93"/>
  <c r="J140" i="93"/>
  <c r="I140" i="93"/>
  <c r="H140" i="93"/>
  <c r="G140" i="93"/>
  <c r="F140" i="93"/>
  <c r="E140" i="93"/>
  <c r="D140" i="93"/>
  <c r="C140" i="93"/>
  <c r="B140" i="93"/>
  <c r="A139" i="93"/>
  <c r="K139" i="93"/>
  <c r="J139" i="93"/>
  <c r="I139" i="93"/>
  <c r="H139" i="93"/>
  <c r="G139" i="93"/>
  <c r="F139" i="93"/>
  <c r="E139" i="93"/>
  <c r="D139" i="93"/>
  <c r="C139" i="93"/>
  <c r="B139" i="93"/>
  <c r="A138" i="93"/>
  <c r="K138" i="93"/>
  <c r="J138" i="93"/>
  <c r="I138" i="93"/>
  <c r="H138" i="93"/>
  <c r="G138" i="93"/>
  <c r="F138" i="93"/>
  <c r="E138" i="93"/>
  <c r="D138" i="93"/>
  <c r="C138" i="93"/>
  <c r="B138" i="93"/>
  <c r="A137" i="93"/>
  <c r="K137" i="93"/>
  <c r="J137" i="93"/>
  <c r="I137" i="93"/>
  <c r="H137" i="93"/>
  <c r="G137" i="93"/>
  <c r="F137" i="93"/>
  <c r="E137" i="93"/>
  <c r="D137" i="93"/>
  <c r="C137" i="93"/>
  <c r="B137" i="93"/>
  <c r="A136" i="93"/>
  <c r="K136" i="93"/>
  <c r="J136" i="93"/>
  <c r="I136" i="93"/>
  <c r="H136" i="93"/>
  <c r="G136" i="93"/>
  <c r="F136" i="93"/>
  <c r="E136" i="93"/>
  <c r="D136" i="93"/>
  <c r="C136" i="93"/>
  <c r="B136" i="93"/>
  <c r="A135" i="93"/>
  <c r="K135" i="93"/>
  <c r="J135" i="93"/>
  <c r="I135" i="93"/>
  <c r="H135" i="93"/>
  <c r="G135" i="93"/>
  <c r="F135" i="93"/>
  <c r="E135" i="93"/>
  <c r="D135" i="93"/>
  <c r="C135" i="93"/>
  <c r="B135" i="93"/>
  <c r="A134" i="93"/>
  <c r="K134" i="93"/>
  <c r="J134" i="93"/>
  <c r="I134" i="93"/>
  <c r="H134" i="93"/>
  <c r="G134" i="93"/>
  <c r="F134" i="93"/>
  <c r="E134" i="93"/>
  <c r="D134" i="93"/>
  <c r="C134" i="93"/>
  <c r="B134" i="93"/>
  <c r="A133" i="93"/>
  <c r="K133" i="93"/>
  <c r="J133" i="93"/>
  <c r="I133" i="93"/>
  <c r="H133" i="93"/>
  <c r="G133" i="93"/>
  <c r="F133" i="93"/>
  <c r="E133" i="93"/>
  <c r="D133" i="93"/>
  <c r="C133" i="93"/>
  <c r="B133" i="93"/>
  <c r="A132" i="93"/>
  <c r="K132" i="93"/>
  <c r="J132" i="93"/>
  <c r="I132" i="93"/>
  <c r="H132" i="93"/>
  <c r="G132" i="93"/>
  <c r="F132" i="93"/>
  <c r="E132" i="93"/>
  <c r="D132" i="93"/>
  <c r="C132" i="93"/>
  <c r="B132" i="93"/>
  <c r="A131" i="93"/>
  <c r="K131" i="93"/>
  <c r="J131" i="93"/>
  <c r="I131" i="93"/>
  <c r="H131" i="93"/>
  <c r="G131" i="93"/>
  <c r="F131" i="93"/>
  <c r="E131" i="93"/>
  <c r="D131" i="93"/>
  <c r="C131" i="93"/>
  <c r="B131" i="93"/>
  <c r="A130" i="93"/>
  <c r="K130" i="93"/>
  <c r="J130" i="93"/>
  <c r="I130" i="93"/>
  <c r="H130" i="93"/>
  <c r="G130" i="93"/>
  <c r="F130" i="93"/>
  <c r="E130" i="93"/>
  <c r="D130" i="93"/>
  <c r="C130" i="93"/>
  <c r="B130" i="93"/>
  <c r="A129" i="93"/>
  <c r="K129" i="93"/>
  <c r="J129" i="93"/>
  <c r="I129" i="93"/>
  <c r="H129" i="93"/>
  <c r="G129" i="93"/>
  <c r="F129" i="93"/>
  <c r="E129" i="93"/>
  <c r="D129" i="93"/>
  <c r="C129" i="93"/>
  <c r="B129" i="93"/>
  <c r="A128" i="93"/>
  <c r="K128" i="93"/>
  <c r="J128" i="93"/>
  <c r="I128" i="93"/>
  <c r="H128" i="93"/>
  <c r="G128" i="93"/>
  <c r="F128" i="93"/>
  <c r="E128" i="93"/>
  <c r="D128" i="93"/>
  <c r="C128" i="93"/>
  <c r="B128" i="93"/>
  <c r="A127" i="93"/>
  <c r="K127" i="93"/>
  <c r="J127" i="93"/>
  <c r="I127" i="93"/>
  <c r="H127" i="93"/>
  <c r="G127" i="93"/>
  <c r="F127" i="93"/>
  <c r="E127" i="93"/>
  <c r="D127" i="93"/>
  <c r="C127" i="93"/>
  <c r="B127" i="93"/>
  <c r="A126" i="93"/>
  <c r="K126" i="93"/>
  <c r="J126" i="93"/>
  <c r="I126" i="93"/>
  <c r="H126" i="93"/>
  <c r="G126" i="93"/>
  <c r="F126" i="93"/>
  <c r="E126" i="93"/>
  <c r="D126" i="93"/>
  <c r="C126" i="93"/>
  <c r="B126" i="93"/>
  <c r="A125" i="93"/>
  <c r="K125" i="93"/>
  <c r="J125" i="93"/>
  <c r="I125" i="93"/>
  <c r="H125" i="93"/>
  <c r="G125" i="93"/>
  <c r="F125" i="93"/>
  <c r="E125" i="93"/>
  <c r="D125" i="93"/>
  <c r="C125" i="93"/>
  <c r="B125" i="93"/>
  <c r="A124" i="93"/>
  <c r="K124" i="93"/>
  <c r="J124" i="93"/>
  <c r="I124" i="93"/>
  <c r="H124" i="93"/>
  <c r="G124" i="93"/>
  <c r="F124" i="93"/>
  <c r="E124" i="93"/>
  <c r="D124" i="93"/>
  <c r="C124" i="93"/>
  <c r="B124" i="93"/>
  <c r="A123" i="93"/>
  <c r="K123" i="93"/>
  <c r="J123" i="93"/>
  <c r="I123" i="93"/>
  <c r="H123" i="93"/>
  <c r="G123" i="93"/>
  <c r="F123" i="93"/>
  <c r="E123" i="93"/>
  <c r="D123" i="93"/>
  <c r="C123" i="93"/>
  <c r="B123" i="93"/>
  <c r="A122" i="93"/>
  <c r="K122" i="93"/>
  <c r="J122" i="93"/>
  <c r="I122" i="93"/>
  <c r="H122" i="93"/>
  <c r="G122" i="93"/>
  <c r="F122" i="93"/>
  <c r="E122" i="93"/>
  <c r="D122" i="93"/>
  <c r="C122" i="93"/>
  <c r="B122" i="93"/>
  <c r="A121" i="93"/>
  <c r="K121" i="93"/>
  <c r="J121" i="93"/>
  <c r="I121" i="93"/>
  <c r="H121" i="93"/>
  <c r="G121" i="93"/>
  <c r="F121" i="93"/>
  <c r="E121" i="93"/>
  <c r="D121" i="93"/>
  <c r="C121" i="93"/>
  <c r="B121" i="93"/>
  <c r="A120" i="93"/>
  <c r="K120" i="93"/>
  <c r="J120" i="93"/>
  <c r="I120" i="93"/>
  <c r="H120" i="93"/>
  <c r="G120" i="93"/>
  <c r="F120" i="93"/>
  <c r="E120" i="93"/>
  <c r="D120" i="93"/>
  <c r="C120" i="93"/>
  <c r="B120" i="93"/>
  <c r="A119" i="93"/>
  <c r="K119" i="93"/>
  <c r="J119" i="93"/>
  <c r="I119" i="93"/>
  <c r="H119" i="93"/>
  <c r="G119" i="93"/>
  <c r="F119" i="93"/>
  <c r="E119" i="93"/>
  <c r="D119" i="93"/>
  <c r="C119" i="93"/>
  <c r="B119" i="93"/>
  <c r="A118" i="93"/>
  <c r="K118" i="93"/>
  <c r="J118" i="93"/>
  <c r="I118" i="93"/>
  <c r="H118" i="93"/>
  <c r="G118" i="93"/>
  <c r="F118" i="93"/>
  <c r="E118" i="93"/>
  <c r="D118" i="93"/>
  <c r="C118" i="93"/>
  <c r="B118" i="93"/>
  <c r="A117" i="93"/>
  <c r="K117" i="93"/>
  <c r="J117" i="93"/>
  <c r="I117" i="93"/>
  <c r="H117" i="93"/>
  <c r="G117" i="93"/>
  <c r="F117" i="93"/>
  <c r="E117" i="93"/>
  <c r="D117" i="93"/>
  <c r="C117" i="93"/>
  <c r="B117" i="93"/>
  <c r="A116" i="93"/>
  <c r="K116" i="93"/>
  <c r="J116" i="93"/>
  <c r="I116" i="93"/>
  <c r="H116" i="93"/>
  <c r="G116" i="93"/>
  <c r="F116" i="93"/>
  <c r="E116" i="93"/>
  <c r="D116" i="93"/>
  <c r="C116" i="93"/>
  <c r="B116" i="93"/>
  <c r="A115" i="93"/>
  <c r="K115" i="93"/>
  <c r="J115" i="93"/>
  <c r="I115" i="93"/>
  <c r="H115" i="93"/>
  <c r="G115" i="93"/>
  <c r="F115" i="93"/>
  <c r="E115" i="93"/>
  <c r="D115" i="93"/>
  <c r="C115" i="93"/>
  <c r="B115" i="93"/>
  <c r="A114" i="93"/>
  <c r="K114" i="93"/>
  <c r="J114" i="93"/>
  <c r="I114" i="93"/>
  <c r="H114" i="93"/>
  <c r="G114" i="93"/>
  <c r="F114" i="93"/>
  <c r="E114" i="93"/>
  <c r="D114" i="93"/>
  <c r="C114" i="93"/>
  <c r="B114" i="93"/>
  <c r="A113" i="93"/>
  <c r="K113" i="93"/>
  <c r="J113" i="93"/>
  <c r="I113" i="93"/>
  <c r="H113" i="93"/>
  <c r="G113" i="93"/>
  <c r="F113" i="93"/>
  <c r="E113" i="93"/>
  <c r="D113" i="93"/>
  <c r="C113" i="93"/>
  <c r="B113" i="93"/>
  <c r="A112" i="93"/>
  <c r="K112" i="93"/>
  <c r="J112" i="93"/>
  <c r="I112" i="93"/>
  <c r="H112" i="93"/>
  <c r="G112" i="93"/>
  <c r="F112" i="93"/>
  <c r="E112" i="93"/>
  <c r="D112" i="93"/>
  <c r="C112" i="93"/>
  <c r="B112" i="93"/>
  <c r="A111" i="93"/>
  <c r="K111" i="93"/>
  <c r="J111" i="93"/>
  <c r="I111" i="93"/>
  <c r="H111" i="93"/>
  <c r="G111" i="93"/>
  <c r="F111" i="93"/>
  <c r="E111" i="93"/>
  <c r="D111" i="93"/>
  <c r="C111" i="93"/>
  <c r="B111" i="93"/>
  <c r="A110" i="93"/>
  <c r="K110" i="93"/>
  <c r="J110" i="93"/>
  <c r="I110" i="93"/>
  <c r="H110" i="93"/>
  <c r="G110" i="93"/>
  <c r="F110" i="93"/>
  <c r="E110" i="93"/>
  <c r="D110" i="93"/>
  <c r="C110" i="93"/>
  <c r="B110" i="93"/>
  <c r="A109" i="93"/>
  <c r="K109" i="93"/>
  <c r="J109" i="93"/>
  <c r="I109" i="93"/>
  <c r="H109" i="93"/>
  <c r="G109" i="93"/>
  <c r="F109" i="93"/>
  <c r="E109" i="93"/>
  <c r="D109" i="93"/>
  <c r="C109" i="93"/>
  <c r="B109" i="93"/>
  <c r="A108" i="93"/>
  <c r="K108" i="93"/>
  <c r="J108" i="93"/>
  <c r="I108" i="93"/>
  <c r="H108" i="93"/>
  <c r="G108" i="93"/>
  <c r="F108" i="93"/>
  <c r="E108" i="93"/>
  <c r="D108" i="93"/>
  <c r="C108" i="93"/>
  <c r="B108" i="93"/>
  <c r="A107" i="93"/>
  <c r="K107" i="93"/>
  <c r="J107" i="93"/>
  <c r="I107" i="93"/>
  <c r="H107" i="93"/>
  <c r="G107" i="93"/>
  <c r="F107" i="93"/>
  <c r="E107" i="93"/>
  <c r="D107" i="93"/>
  <c r="C107" i="93"/>
  <c r="B107" i="93"/>
  <c r="A106" i="93"/>
  <c r="K106" i="93"/>
  <c r="J106" i="93"/>
  <c r="I106" i="93"/>
  <c r="H106" i="93"/>
  <c r="G106" i="93"/>
  <c r="F106" i="93"/>
  <c r="E106" i="93"/>
  <c r="D106" i="93"/>
  <c r="C106" i="93"/>
  <c r="B106" i="93"/>
  <c r="A105" i="93"/>
  <c r="K105" i="93"/>
  <c r="J105" i="93"/>
  <c r="I105" i="93"/>
  <c r="H105" i="93"/>
  <c r="G105" i="93"/>
  <c r="F105" i="93"/>
  <c r="E105" i="93"/>
  <c r="D105" i="93"/>
  <c r="C105" i="93"/>
  <c r="B105" i="93"/>
  <c r="A104" i="93"/>
  <c r="K104" i="93"/>
  <c r="J104" i="93"/>
  <c r="I104" i="93"/>
  <c r="H104" i="93"/>
  <c r="G104" i="93"/>
  <c r="F104" i="93"/>
  <c r="E104" i="93"/>
  <c r="D104" i="93"/>
  <c r="C104" i="93"/>
  <c r="B104" i="93"/>
  <c r="A103" i="93"/>
  <c r="K103" i="93"/>
  <c r="J103" i="93"/>
  <c r="I103" i="93"/>
  <c r="H103" i="93"/>
  <c r="G103" i="93"/>
  <c r="F103" i="93"/>
  <c r="E103" i="93"/>
  <c r="D103" i="93"/>
  <c r="C103" i="93"/>
  <c r="B103" i="93"/>
  <c r="A102" i="93"/>
  <c r="K102" i="93"/>
  <c r="J102" i="93"/>
  <c r="I102" i="93"/>
  <c r="H102" i="93"/>
  <c r="G102" i="93"/>
  <c r="F102" i="93"/>
  <c r="E102" i="93"/>
  <c r="D102" i="93"/>
  <c r="C102" i="93"/>
  <c r="B102" i="93"/>
  <c r="A101" i="93"/>
  <c r="K101" i="93"/>
  <c r="J101" i="93"/>
  <c r="I101" i="93"/>
  <c r="H101" i="93"/>
  <c r="G101" i="93"/>
  <c r="F101" i="93"/>
  <c r="E101" i="93"/>
  <c r="D101" i="93"/>
  <c r="C101" i="93"/>
  <c r="B101" i="93"/>
  <c r="A100" i="93"/>
  <c r="K100" i="93"/>
  <c r="J100" i="93"/>
  <c r="I100" i="93"/>
  <c r="H100" i="93"/>
  <c r="G100" i="93"/>
  <c r="F100" i="93"/>
  <c r="E100" i="93"/>
  <c r="D100" i="93"/>
  <c r="C100" i="93"/>
  <c r="B100" i="93"/>
  <c r="A99" i="93"/>
  <c r="K99" i="93"/>
  <c r="J99" i="93"/>
  <c r="I99" i="93"/>
  <c r="H99" i="93"/>
  <c r="G99" i="93"/>
  <c r="F99" i="93"/>
  <c r="E99" i="93"/>
  <c r="D99" i="93"/>
  <c r="C99" i="93"/>
  <c r="B99" i="93"/>
  <c r="A98" i="93"/>
  <c r="K98" i="93"/>
  <c r="J98" i="93"/>
  <c r="I98" i="93"/>
  <c r="H98" i="93"/>
  <c r="G98" i="93"/>
  <c r="F98" i="93"/>
  <c r="E98" i="93"/>
  <c r="D98" i="93"/>
  <c r="C98" i="93"/>
  <c r="B98" i="93"/>
  <c r="A97" i="93"/>
  <c r="K97" i="93"/>
  <c r="J97" i="93"/>
  <c r="I97" i="93"/>
  <c r="H97" i="93"/>
  <c r="G97" i="93"/>
  <c r="F97" i="93"/>
  <c r="E97" i="93"/>
  <c r="D97" i="93"/>
  <c r="C97" i="93"/>
  <c r="B97" i="93"/>
  <c r="A96" i="93"/>
  <c r="K96" i="93"/>
  <c r="J96" i="93"/>
  <c r="I96" i="93"/>
  <c r="H96" i="93"/>
  <c r="G96" i="93"/>
  <c r="F96" i="93"/>
  <c r="E96" i="93"/>
  <c r="D96" i="93"/>
  <c r="C96" i="93"/>
  <c r="B96" i="93"/>
  <c r="A95" i="93"/>
  <c r="K95" i="93"/>
  <c r="J95" i="93"/>
  <c r="I95" i="93"/>
  <c r="H95" i="93"/>
  <c r="G95" i="93"/>
  <c r="F95" i="93"/>
  <c r="E95" i="93"/>
  <c r="D95" i="93"/>
  <c r="C95" i="93"/>
  <c r="B95" i="93"/>
  <c r="A94" i="93"/>
  <c r="K94" i="93"/>
  <c r="J94" i="93"/>
  <c r="I94" i="93"/>
  <c r="H94" i="93"/>
  <c r="G94" i="93"/>
  <c r="F94" i="93"/>
  <c r="E94" i="93"/>
  <c r="D94" i="93"/>
  <c r="C94" i="93"/>
  <c r="B94" i="93"/>
  <c r="A93" i="93"/>
  <c r="K93" i="93"/>
  <c r="J93" i="93"/>
  <c r="I93" i="93"/>
  <c r="H93" i="93"/>
  <c r="G93" i="93"/>
  <c r="F93" i="93"/>
  <c r="E93" i="93"/>
  <c r="D93" i="93"/>
  <c r="C93" i="93"/>
  <c r="B93" i="93"/>
  <c r="A92" i="93"/>
  <c r="K92" i="93"/>
  <c r="J92" i="93"/>
  <c r="I92" i="93"/>
  <c r="H92" i="93"/>
  <c r="G92" i="93"/>
  <c r="F92" i="93"/>
  <c r="E92" i="93"/>
  <c r="D92" i="93"/>
  <c r="C92" i="93"/>
  <c r="B92" i="93"/>
  <c r="A91" i="93"/>
  <c r="K91" i="93"/>
  <c r="J91" i="93"/>
  <c r="I91" i="93"/>
  <c r="H91" i="93"/>
  <c r="G91" i="93"/>
  <c r="F91" i="93"/>
  <c r="E91" i="93"/>
  <c r="D91" i="93"/>
  <c r="C91" i="93"/>
  <c r="B91" i="93"/>
  <c r="A90" i="93"/>
  <c r="K90" i="93"/>
  <c r="J90" i="93"/>
  <c r="I90" i="93"/>
  <c r="H90" i="93"/>
  <c r="G90" i="93"/>
  <c r="F90" i="93"/>
  <c r="E90" i="93"/>
  <c r="D90" i="93"/>
  <c r="C90" i="93"/>
  <c r="B90" i="93"/>
  <c r="A89" i="93"/>
  <c r="K89" i="93"/>
  <c r="J89" i="93"/>
  <c r="I89" i="93"/>
  <c r="H89" i="93"/>
  <c r="G89" i="93"/>
  <c r="F89" i="93"/>
  <c r="E89" i="93"/>
  <c r="D89" i="93"/>
  <c r="C89" i="93"/>
  <c r="B89" i="93"/>
  <c r="A88" i="93"/>
  <c r="K88" i="93"/>
  <c r="J88" i="93"/>
  <c r="I88" i="93"/>
  <c r="H88" i="93"/>
  <c r="G88" i="93"/>
  <c r="F88" i="93"/>
  <c r="E88" i="93"/>
  <c r="D88" i="93"/>
  <c r="C88" i="93"/>
  <c r="B88" i="93"/>
  <c r="A87" i="93"/>
  <c r="K87" i="93"/>
  <c r="J87" i="93"/>
  <c r="I87" i="93"/>
  <c r="H87" i="93"/>
  <c r="G87" i="93"/>
  <c r="F87" i="93"/>
  <c r="E87" i="93"/>
  <c r="D87" i="93"/>
  <c r="C87" i="93"/>
  <c r="B87" i="93"/>
  <c r="A86" i="93"/>
  <c r="K86" i="93"/>
  <c r="J86" i="93"/>
  <c r="I86" i="93"/>
  <c r="H86" i="93"/>
  <c r="G86" i="93"/>
  <c r="F86" i="93"/>
  <c r="E86" i="93"/>
  <c r="D86" i="93"/>
  <c r="C86" i="93"/>
  <c r="B86" i="93"/>
  <c r="A85" i="93"/>
  <c r="K85" i="93"/>
  <c r="J85" i="93"/>
  <c r="I85" i="93"/>
  <c r="H85" i="93"/>
  <c r="G85" i="93"/>
  <c r="F85" i="93"/>
  <c r="E85" i="93"/>
  <c r="D85" i="93"/>
  <c r="C85" i="93"/>
  <c r="B85" i="93"/>
  <c r="A84" i="93"/>
  <c r="K84" i="93"/>
  <c r="J84" i="93"/>
  <c r="I84" i="93"/>
  <c r="H84" i="93"/>
  <c r="G84" i="93"/>
  <c r="F84" i="93"/>
  <c r="E84" i="93"/>
  <c r="D84" i="93"/>
  <c r="C84" i="93"/>
  <c r="B84" i="93"/>
  <c r="A83" i="93"/>
  <c r="K83" i="93"/>
  <c r="J83" i="93"/>
  <c r="I83" i="93"/>
  <c r="H83" i="93"/>
  <c r="G83" i="93"/>
  <c r="F83" i="93"/>
  <c r="E83" i="93"/>
  <c r="D83" i="93"/>
  <c r="C83" i="93"/>
  <c r="B83" i="93"/>
  <c r="A82" i="93"/>
  <c r="K82" i="93"/>
  <c r="J82" i="93"/>
  <c r="I82" i="93"/>
  <c r="H82" i="93"/>
  <c r="G82" i="93"/>
  <c r="F82" i="93"/>
  <c r="E82" i="93"/>
  <c r="D82" i="93"/>
  <c r="C82" i="93"/>
  <c r="B82" i="93"/>
  <c r="A81" i="93"/>
  <c r="K81" i="93"/>
  <c r="J81" i="93"/>
  <c r="I81" i="93"/>
  <c r="H81" i="93"/>
  <c r="G81" i="93"/>
  <c r="F81" i="93"/>
  <c r="E81" i="93"/>
  <c r="D81" i="93"/>
  <c r="C81" i="93"/>
  <c r="B81" i="93"/>
  <c r="A80" i="93"/>
  <c r="K80" i="93"/>
  <c r="J80" i="93"/>
  <c r="I80" i="93"/>
  <c r="H80" i="93"/>
  <c r="G80" i="93"/>
  <c r="F80" i="93"/>
  <c r="E80" i="93"/>
  <c r="D80" i="93"/>
  <c r="C80" i="93"/>
  <c r="B80" i="93"/>
  <c r="A79" i="93"/>
  <c r="K79" i="93"/>
  <c r="J79" i="93"/>
  <c r="I79" i="93"/>
  <c r="H79" i="93"/>
  <c r="G79" i="93"/>
  <c r="F79" i="93"/>
  <c r="E79" i="93"/>
  <c r="D79" i="93"/>
  <c r="C79" i="93"/>
  <c r="B79" i="93"/>
  <c r="A78" i="93"/>
  <c r="K78" i="93"/>
  <c r="J78" i="93"/>
  <c r="I78" i="93"/>
  <c r="H78" i="93"/>
  <c r="G78" i="93"/>
  <c r="F78" i="93"/>
  <c r="E78" i="93"/>
  <c r="D78" i="93"/>
  <c r="C78" i="93"/>
  <c r="B78" i="93"/>
  <c r="A77" i="93"/>
  <c r="K77" i="93"/>
  <c r="J77" i="93"/>
  <c r="I77" i="93"/>
  <c r="H77" i="93"/>
  <c r="G77" i="93"/>
  <c r="F77" i="93"/>
  <c r="E77" i="93"/>
  <c r="D77" i="93"/>
  <c r="C77" i="93"/>
  <c r="B77" i="93"/>
  <c r="A76" i="93"/>
  <c r="K76" i="93"/>
  <c r="J76" i="93"/>
  <c r="I76" i="93"/>
  <c r="H76" i="93"/>
  <c r="G76" i="93"/>
  <c r="F76" i="93"/>
  <c r="E76" i="93"/>
  <c r="D76" i="93"/>
  <c r="C76" i="93"/>
  <c r="B76" i="93"/>
  <c r="A75" i="93"/>
  <c r="K75" i="93"/>
  <c r="J75" i="93"/>
  <c r="I75" i="93"/>
  <c r="H75" i="93"/>
  <c r="G75" i="93"/>
  <c r="F75" i="93"/>
  <c r="E75" i="93"/>
  <c r="D75" i="93"/>
  <c r="C75" i="93"/>
  <c r="B75" i="93"/>
  <c r="A74" i="93"/>
  <c r="K74" i="93"/>
  <c r="J74" i="93"/>
  <c r="I74" i="93"/>
  <c r="H74" i="93"/>
  <c r="G74" i="93"/>
  <c r="F74" i="93"/>
  <c r="E74" i="93"/>
  <c r="D74" i="93"/>
  <c r="C74" i="93"/>
  <c r="B74" i="93"/>
  <c r="A73" i="93"/>
  <c r="K73" i="93"/>
  <c r="J73" i="93"/>
  <c r="I73" i="93"/>
  <c r="H73" i="93"/>
  <c r="G73" i="93"/>
  <c r="F73" i="93"/>
  <c r="E73" i="93"/>
  <c r="D73" i="93"/>
  <c r="C73" i="93"/>
  <c r="B73" i="93"/>
  <c r="A72" i="93"/>
  <c r="K72" i="93"/>
  <c r="J72" i="93"/>
  <c r="I72" i="93"/>
  <c r="H72" i="93"/>
  <c r="G72" i="93"/>
  <c r="F72" i="93"/>
  <c r="E72" i="93"/>
  <c r="D72" i="93"/>
  <c r="C72" i="93"/>
  <c r="B72" i="93"/>
  <c r="A71" i="93"/>
  <c r="K71" i="93"/>
  <c r="J71" i="93"/>
  <c r="I71" i="93"/>
  <c r="H71" i="93"/>
  <c r="G71" i="93"/>
  <c r="F71" i="93"/>
  <c r="E71" i="93"/>
  <c r="D71" i="93"/>
  <c r="C71" i="93"/>
  <c r="B71" i="93"/>
  <c r="A70" i="93"/>
  <c r="K70" i="93"/>
  <c r="J70" i="93"/>
  <c r="I70" i="93"/>
  <c r="H70" i="93"/>
  <c r="G70" i="93"/>
  <c r="F70" i="93"/>
  <c r="E70" i="93"/>
  <c r="D70" i="93"/>
  <c r="C70" i="93"/>
  <c r="B70" i="93"/>
  <c r="A69" i="93"/>
  <c r="K69" i="93"/>
  <c r="J69" i="93"/>
  <c r="I69" i="93"/>
  <c r="H69" i="93"/>
  <c r="G69" i="93"/>
  <c r="F69" i="93"/>
  <c r="E69" i="93"/>
  <c r="D69" i="93"/>
  <c r="C69" i="93"/>
  <c r="B69" i="93"/>
  <c r="A68" i="93"/>
  <c r="K68" i="93"/>
  <c r="J68" i="93"/>
  <c r="I68" i="93"/>
  <c r="H68" i="93"/>
  <c r="G68" i="93"/>
  <c r="F68" i="93"/>
  <c r="E68" i="93"/>
  <c r="D68" i="93"/>
  <c r="C68" i="93"/>
  <c r="B68" i="93"/>
  <c r="A67" i="93"/>
  <c r="K67" i="93"/>
  <c r="J67" i="93"/>
  <c r="I67" i="93"/>
  <c r="H67" i="93"/>
  <c r="G67" i="93"/>
  <c r="F67" i="93"/>
  <c r="E67" i="93"/>
  <c r="D67" i="93"/>
  <c r="C67" i="93"/>
  <c r="B67" i="93"/>
  <c r="A66" i="93"/>
  <c r="K66" i="93"/>
  <c r="J66" i="93"/>
  <c r="I66" i="93"/>
  <c r="H66" i="93"/>
  <c r="G66" i="93"/>
  <c r="F66" i="93"/>
  <c r="E66" i="93"/>
  <c r="D66" i="93"/>
  <c r="C66" i="93"/>
  <c r="B66" i="93"/>
  <c r="A65" i="93"/>
  <c r="K65" i="93"/>
  <c r="J65" i="93"/>
  <c r="I65" i="93"/>
  <c r="H65" i="93"/>
  <c r="G65" i="93"/>
  <c r="F65" i="93"/>
  <c r="E65" i="93"/>
  <c r="D65" i="93"/>
  <c r="C65" i="93"/>
  <c r="B65" i="93"/>
  <c r="A64" i="93"/>
  <c r="K64" i="93"/>
  <c r="J64" i="93"/>
  <c r="I64" i="93"/>
  <c r="H64" i="93"/>
  <c r="G64" i="93"/>
  <c r="F64" i="93"/>
  <c r="E64" i="93"/>
  <c r="D64" i="93"/>
  <c r="C64" i="93"/>
  <c r="B64" i="93"/>
  <c r="A63" i="93"/>
  <c r="K63" i="93"/>
  <c r="J63" i="93"/>
  <c r="I63" i="93"/>
  <c r="H63" i="93"/>
  <c r="G63" i="93"/>
  <c r="F63" i="93"/>
  <c r="E63" i="93"/>
  <c r="D63" i="93"/>
  <c r="C63" i="93"/>
  <c r="B63" i="93"/>
  <c r="A62" i="93"/>
  <c r="K62" i="93"/>
  <c r="J62" i="93"/>
  <c r="I62" i="93"/>
  <c r="H62" i="93"/>
  <c r="G62" i="93"/>
  <c r="F62" i="93"/>
  <c r="E62" i="93"/>
  <c r="D62" i="93"/>
  <c r="C62" i="93"/>
  <c r="B62" i="93"/>
  <c r="A61" i="93"/>
  <c r="K61" i="93"/>
  <c r="J61" i="93"/>
  <c r="I61" i="93"/>
  <c r="H61" i="93"/>
  <c r="G61" i="93"/>
  <c r="F61" i="93"/>
  <c r="E61" i="93"/>
  <c r="D61" i="93"/>
  <c r="C61" i="93"/>
  <c r="B61" i="93"/>
  <c r="A60" i="93"/>
  <c r="K60" i="93"/>
  <c r="J60" i="93"/>
  <c r="I60" i="93"/>
  <c r="H60" i="93"/>
  <c r="G60" i="93"/>
  <c r="F60" i="93"/>
  <c r="E60" i="93"/>
  <c r="D60" i="93"/>
  <c r="C60" i="93"/>
  <c r="B60" i="93"/>
  <c r="A59" i="93"/>
  <c r="K59" i="93"/>
  <c r="J59" i="93"/>
  <c r="I59" i="93"/>
  <c r="H59" i="93"/>
  <c r="G59" i="93"/>
  <c r="F59" i="93"/>
  <c r="E59" i="93"/>
  <c r="D59" i="93"/>
  <c r="C59" i="93"/>
  <c r="B59" i="93"/>
  <c r="A58" i="93"/>
  <c r="K58" i="93"/>
  <c r="J58" i="93"/>
  <c r="I58" i="93"/>
  <c r="H58" i="93"/>
  <c r="G58" i="93"/>
  <c r="F58" i="93"/>
  <c r="E58" i="93"/>
  <c r="D58" i="93"/>
  <c r="C58" i="93"/>
  <c r="B58" i="93"/>
  <c r="A57" i="93"/>
  <c r="K57" i="93"/>
  <c r="J57" i="93"/>
  <c r="I57" i="93"/>
  <c r="H57" i="93"/>
  <c r="G57" i="93"/>
  <c r="F57" i="93"/>
  <c r="E57" i="93"/>
  <c r="D57" i="93"/>
  <c r="C57" i="93"/>
  <c r="B57" i="93"/>
  <c r="A56" i="93"/>
  <c r="K56" i="93"/>
  <c r="J56" i="93"/>
  <c r="I56" i="93"/>
  <c r="H56" i="93"/>
  <c r="G56" i="93"/>
  <c r="F56" i="93"/>
  <c r="E56" i="93"/>
  <c r="D56" i="93"/>
  <c r="C56" i="93"/>
  <c r="B56" i="93"/>
  <c r="A55" i="93"/>
  <c r="K55" i="93"/>
  <c r="J55" i="93"/>
  <c r="I55" i="93"/>
  <c r="H55" i="93"/>
  <c r="G55" i="93"/>
  <c r="F55" i="93"/>
  <c r="E55" i="93"/>
  <c r="D55" i="93"/>
  <c r="C55" i="93"/>
  <c r="B55" i="93"/>
  <c r="A54" i="93"/>
  <c r="K54" i="93"/>
  <c r="J54" i="93"/>
  <c r="I54" i="93"/>
  <c r="H54" i="93"/>
  <c r="G54" i="93"/>
  <c r="F54" i="93"/>
  <c r="E54" i="93"/>
  <c r="D54" i="93"/>
  <c r="C54" i="93"/>
  <c r="B54" i="93"/>
  <c r="A53" i="93"/>
  <c r="K53" i="93"/>
  <c r="J53" i="93"/>
  <c r="I53" i="93"/>
  <c r="H53" i="93"/>
  <c r="G53" i="93"/>
  <c r="F53" i="93"/>
  <c r="E53" i="93"/>
  <c r="D53" i="93"/>
  <c r="C53" i="93"/>
  <c r="B53" i="93"/>
  <c r="A52" i="93"/>
  <c r="K52" i="93"/>
  <c r="J52" i="93"/>
  <c r="I52" i="93"/>
  <c r="H52" i="93"/>
  <c r="G52" i="93"/>
  <c r="F52" i="93"/>
  <c r="E52" i="93"/>
  <c r="D52" i="93"/>
  <c r="C52" i="93"/>
  <c r="B52" i="93"/>
  <c r="A51" i="93"/>
  <c r="K51" i="93"/>
  <c r="J51" i="93"/>
  <c r="I51" i="93"/>
  <c r="H51" i="93"/>
  <c r="G51" i="93"/>
  <c r="F51" i="93"/>
  <c r="E51" i="93"/>
  <c r="D51" i="93"/>
  <c r="C51" i="93"/>
  <c r="B51" i="93"/>
  <c r="A50" i="93"/>
  <c r="K50" i="93"/>
  <c r="J50" i="93"/>
  <c r="I50" i="93"/>
  <c r="H50" i="93"/>
  <c r="G50" i="93"/>
  <c r="F50" i="93"/>
  <c r="E50" i="93"/>
  <c r="D50" i="93"/>
  <c r="C50" i="93"/>
  <c r="B50" i="93"/>
  <c r="A49" i="93"/>
  <c r="K49" i="93"/>
  <c r="J49" i="93"/>
  <c r="I49" i="93"/>
  <c r="H49" i="93"/>
  <c r="G49" i="93"/>
  <c r="F49" i="93"/>
  <c r="E49" i="93"/>
  <c r="D49" i="93"/>
  <c r="C49" i="93"/>
  <c r="B49" i="93"/>
  <c r="A48" i="93"/>
  <c r="K48" i="93"/>
  <c r="J48" i="93"/>
  <c r="I48" i="93"/>
  <c r="H48" i="93"/>
  <c r="G48" i="93"/>
  <c r="F48" i="93"/>
  <c r="E48" i="93"/>
  <c r="D48" i="93"/>
  <c r="C48" i="93"/>
  <c r="B48" i="93"/>
  <c r="A47" i="93"/>
  <c r="K47" i="93"/>
  <c r="J47" i="93"/>
  <c r="I47" i="93"/>
  <c r="H47" i="93"/>
  <c r="G47" i="93"/>
  <c r="F47" i="93"/>
  <c r="E47" i="93"/>
  <c r="D47" i="93"/>
  <c r="C47" i="93"/>
  <c r="B47" i="93"/>
  <c r="A46" i="93"/>
  <c r="K46" i="93"/>
  <c r="J46" i="93"/>
  <c r="I46" i="93"/>
  <c r="H46" i="93"/>
  <c r="G46" i="93"/>
  <c r="F46" i="93"/>
  <c r="E46" i="93"/>
  <c r="D46" i="93"/>
  <c r="C46" i="93"/>
  <c r="B46" i="93"/>
  <c r="A45" i="93"/>
  <c r="K45" i="93"/>
  <c r="J45" i="93"/>
  <c r="I45" i="93"/>
  <c r="H45" i="93"/>
  <c r="G45" i="93"/>
  <c r="F45" i="93"/>
  <c r="E45" i="93"/>
  <c r="D45" i="93"/>
  <c r="C45" i="93"/>
  <c r="B45" i="93"/>
  <c r="A44" i="93"/>
  <c r="K44" i="93"/>
  <c r="J44" i="93"/>
  <c r="I44" i="93"/>
  <c r="H44" i="93"/>
  <c r="G44" i="93"/>
  <c r="F44" i="93"/>
  <c r="E44" i="93"/>
  <c r="D44" i="93"/>
  <c r="C44" i="93"/>
  <c r="B44" i="93"/>
  <c r="A43" i="93"/>
  <c r="K43" i="93"/>
  <c r="J43" i="93"/>
  <c r="I43" i="93"/>
  <c r="H43" i="93"/>
  <c r="G43" i="93"/>
  <c r="F43" i="93"/>
  <c r="E43" i="93"/>
  <c r="D43" i="93"/>
  <c r="C43" i="93"/>
  <c r="B43" i="93"/>
  <c r="A42" i="93"/>
  <c r="K42" i="93"/>
  <c r="J42" i="93"/>
  <c r="I42" i="93"/>
  <c r="H42" i="93"/>
  <c r="G42" i="93"/>
  <c r="F42" i="93"/>
  <c r="E42" i="93"/>
  <c r="D42" i="93"/>
  <c r="C42" i="93"/>
  <c r="B42" i="93"/>
  <c r="A41" i="93"/>
  <c r="K41" i="93"/>
  <c r="J41" i="93"/>
  <c r="I41" i="93"/>
  <c r="H41" i="93"/>
  <c r="G41" i="93"/>
  <c r="F41" i="93"/>
  <c r="E41" i="93"/>
  <c r="D41" i="93"/>
  <c r="C41" i="93"/>
  <c r="B41" i="93"/>
  <c r="A40" i="93"/>
  <c r="K40" i="93"/>
  <c r="J40" i="93"/>
  <c r="I40" i="93"/>
  <c r="H40" i="93"/>
  <c r="G40" i="93"/>
  <c r="F40" i="93"/>
  <c r="E40" i="93"/>
  <c r="D40" i="93"/>
  <c r="C40" i="93"/>
  <c r="B40" i="93"/>
  <c r="A39" i="93"/>
  <c r="K39" i="93"/>
  <c r="J39" i="93"/>
  <c r="I39" i="93"/>
  <c r="H39" i="93"/>
  <c r="G39" i="93"/>
  <c r="F39" i="93"/>
  <c r="E39" i="93"/>
  <c r="D39" i="93"/>
  <c r="C39" i="93"/>
  <c r="B39" i="93"/>
  <c r="A38" i="93"/>
  <c r="K38" i="93"/>
  <c r="J38" i="93"/>
  <c r="I38" i="93"/>
  <c r="H38" i="93"/>
  <c r="G38" i="93"/>
  <c r="F38" i="93"/>
  <c r="E38" i="93"/>
  <c r="D38" i="93"/>
  <c r="C38" i="93"/>
  <c r="B38" i="93"/>
  <c r="A37" i="93"/>
  <c r="K37" i="93"/>
  <c r="J37" i="93"/>
  <c r="I37" i="93"/>
  <c r="H37" i="93"/>
  <c r="G37" i="93"/>
  <c r="F37" i="93"/>
  <c r="E37" i="93"/>
  <c r="D37" i="93"/>
  <c r="C37" i="93"/>
  <c r="B37" i="93"/>
  <c r="A36" i="93"/>
  <c r="K36" i="93"/>
  <c r="J36" i="93"/>
  <c r="I36" i="93"/>
  <c r="H36" i="93"/>
  <c r="G36" i="93"/>
  <c r="F36" i="93"/>
  <c r="E36" i="93"/>
  <c r="D36" i="93"/>
  <c r="C36" i="93"/>
  <c r="B36" i="93"/>
  <c r="A35" i="93"/>
  <c r="K35" i="93"/>
  <c r="J35" i="93"/>
  <c r="I35" i="93"/>
  <c r="H35" i="93"/>
  <c r="G35" i="93"/>
  <c r="F35" i="93"/>
  <c r="E35" i="93"/>
  <c r="D35" i="93"/>
  <c r="C35" i="93"/>
  <c r="B35" i="93"/>
  <c r="A34" i="93"/>
  <c r="K34" i="93"/>
  <c r="J34" i="93"/>
  <c r="I34" i="93"/>
  <c r="H34" i="93"/>
  <c r="G34" i="93"/>
  <c r="F34" i="93"/>
  <c r="E34" i="93"/>
  <c r="D34" i="93"/>
  <c r="C34" i="93"/>
  <c r="B34" i="93"/>
  <c r="A33" i="93"/>
  <c r="K33" i="93"/>
  <c r="J33" i="93"/>
  <c r="I33" i="93"/>
  <c r="H33" i="93"/>
  <c r="G33" i="93"/>
  <c r="F33" i="93"/>
  <c r="E33" i="93"/>
  <c r="D33" i="93"/>
  <c r="C33" i="93"/>
  <c r="B33" i="93"/>
  <c r="A32" i="93"/>
  <c r="K32" i="93"/>
  <c r="J32" i="93"/>
  <c r="I32" i="93"/>
  <c r="H32" i="93"/>
  <c r="G32" i="93"/>
  <c r="F32" i="93"/>
  <c r="E32" i="93"/>
  <c r="D32" i="93"/>
  <c r="C32" i="93"/>
  <c r="B32" i="93"/>
  <c r="A31" i="93"/>
  <c r="K31" i="93"/>
  <c r="J31" i="93"/>
  <c r="I31" i="93"/>
  <c r="H31" i="93"/>
  <c r="G31" i="93"/>
  <c r="F31" i="93"/>
  <c r="E31" i="93"/>
  <c r="D31" i="93"/>
  <c r="C31" i="93"/>
  <c r="B31" i="93"/>
  <c r="A30" i="93"/>
  <c r="K30" i="93"/>
  <c r="J30" i="93"/>
  <c r="I30" i="93"/>
  <c r="H30" i="93"/>
  <c r="G30" i="93"/>
  <c r="F30" i="93"/>
  <c r="E30" i="93"/>
  <c r="D30" i="93"/>
  <c r="C30" i="93"/>
  <c r="B30" i="93"/>
  <c r="A29" i="93"/>
  <c r="K29" i="93"/>
  <c r="J29" i="93"/>
  <c r="I29" i="93"/>
  <c r="H29" i="93"/>
  <c r="G29" i="93"/>
  <c r="F29" i="93"/>
  <c r="E29" i="93"/>
  <c r="D29" i="93"/>
  <c r="C29" i="93"/>
  <c r="B29" i="93"/>
  <c r="A28" i="93"/>
  <c r="K28" i="93"/>
  <c r="J28" i="93"/>
  <c r="I28" i="93"/>
  <c r="H28" i="93"/>
  <c r="G28" i="93"/>
  <c r="F28" i="93"/>
  <c r="E28" i="93"/>
  <c r="D28" i="93"/>
  <c r="C28" i="93"/>
  <c r="B28" i="93"/>
  <c r="A27" i="93"/>
  <c r="K27" i="93"/>
  <c r="J27" i="93"/>
  <c r="I27" i="93"/>
  <c r="H27" i="93"/>
  <c r="G27" i="93"/>
  <c r="F27" i="93"/>
  <c r="E27" i="93"/>
  <c r="D27" i="93"/>
  <c r="C27" i="93"/>
  <c r="B27" i="93"/>
  <c r="A26" i="93"/>
  <c r="K26" i="93"/>
  <c r="J26" i="93"/>
  <c r="I26" i="93"/>
  <c r="H26" i="93"/>
  <c r="G26" i="93"/>
  <c r="F26" i="93"/>
  <c r="E26" i="93"/>
  <c r="D26" i="93"/>
  <c r="C26" i="93"/>
  <c r="B26" i="93"/>
  <c r="A25" i="93"/>
  <c r="K25" i="93"/>
  <c r="J25" i="93"/>
  <c r="I25" i="93"/>
  <c r="H25" i="93"/>
  <c r="G25" i="93"/>
  <c r="F25" i="93"/>
  <c r="E25" i="93"/>
  <c r="D25" i="93"/>
  <c r="C25" i="93"/>
  <c r="B25" i="93"/>
  <c r="A24" i="93"/>
  <c r="K24" i="93"/>
  <c r="J24" i="93"/>
  <c r="I24" i="93"/>
  <c r="H24" i="93"/>
  <c r="G24" i="93"/>
  <c r="F24" i="93"/>
  <c r="E24" i="93"/>
  <c r="D24" i="93"/>
  <c r="C24" i="93"/>
  <c r="B24" i="93"/>
  <c r="A23" i="93"/>
  <c r="K23" i="93"/>
  <c r="J23" i="93"/>
  <c r="I23" i="93"/>
  <c r="H23" i="93"/>
  <c r="G23" i="93"/>
  <c r="F23" i="93"/>
  <c r="E23" i="93"/>
  <c r="D23" i="93"/>
  <c r="C23" i="93"/>
  <c r="B23" i="93"/>
  <c r="A22" i="93"/>
  <c r="K22" i="93"/>
  <c r="J22" i="93"/>
  <c r="I22" i="93"/>
  <c r="H22" i="93"/>
  <c r="G22" i="93"/>
  <c r="F22" i="93"/>
  <c r="E22" i="93"/>
  <c r="D22" i="93"/>
  <c r="C22" i="93"/>
  <c r="B22" i="93"/>
  <c r="A21" i="93"/>
  <c r="K21" i="93"/>
  <c r="J21" i="93"/>
  <c r="I21" i="93"/>
  <c r="H21" i="93"/>
  <c r="G21" i="93"/>
  <c r="F21" i="93"/>
  <c r="E21" i="93"/>
  <c r="D21" i="93"/>
  <c r="C21" i="93"/>
  <c r="B21" i="93"/>
  <c r="A20" i="93"/>
  <c r="K20" i="93"/>
  <c r="J20" i="93"/>
  <c r="I20" i="93"/>
  <c r="H20" i="93"/>
  <c r="G20" i="93"/>
  <c r="F20" i="93"/>
  <c r="E20" i="93"/>
  <c r="D20" i="93"/>
  <c r="C20" i="93"/>
  <c r="B20" i="93"/>
  <c r="A19" i="93"/>
  <c r="K19" i="93"/>
  <c r="J19" i="93"/>
  <c r="I19" i="93"/>
  <c r="H19" i="93"/>
  <c r="G19" i="93"/>
  <c r="F19" i="93"/>
  <c r="E19" i="93"/>
  <c r="D19" i="93"/>
  <c r="C19" i="93"/>
  <c r="B19" i="93"/>
  <c r="A18" i="93"/>
  <c r="K18" i="93"/>
  <c r="J18" i="93"/>
  <c r="I18" i="93"/>
  <c r="H18" i="93"/>
  <c r="G18" i="93"/>
  <c r="F18" i="93"/>
  <c r="E18" i="93"/>
  <c r="D18" i="93"/>
  <c r="C18" i="93"/>
  <c r="B18" i="93"/>
  <c r="A17" i="93"/>
  <c r="K17" i="93"/>
  <c r="J17" i="93"/>
  <c r="I17" i="93"/>
  <c r="H17" i="93"/>
  <c r="G17" i="93"/>
  <c r="F17" i="93"/>
  <c r="E17" i="93"/>
  <c r="D17" i="93"/>
  <c r="C17" i="93"/>
  <c r="B17" i="93"/>
  <c r="A16" i="93"/>
  <c r="K16" i="93"/>
  <c r="J16" i="93"/>
  <c r="I16" i="93"/>
  <c r="H16" i="93"/>
  <c r="G16" i="93"/>
  <c r="F16" i="93"/>
  <c r="E16" i="93"/>
  <c r="D16" i="93"/>
  <c r="C16" i="93"/>
  <c r="B16" i="93"/>
  <c r="A15" i="93"/>
  <c r="K15" i="93"/>
  <c r="J15" i="93"/>
  <c r="I15" i="93"/>
  <c r="H15" i="93"/>
  <c r="G15" i="93"/>
  <c r="F15" i="93"/>
  <c r="E15" i="93"/>
  <c r="D15" i="93"/>
  <c r="C15" i="93"/>
  <c r="B15" i="93"/>
  <c r="A14" i="93"/>
  <c r="K14" i="93"/>
  <c r="J14" i="93"/>
  <c r="I14" i="93"/>
  <c r="H14" i="93"/>
  <c r="G14" i="93"/>
  <c r="F14" i="93"/>
  <c r="E14" i="93"/>
  <c r="D14" i="93"/>
  <c r="C14" i="93"/>
  <c r="B14" i="93"/>
  <c r="A13" i="93"/>
  <c r="K13" i="93"/>
  <c r="J13" i="93"/>
  <c r="I13" i="93"/>
  <c r="H13" i="93"/>
  <c r="G13" i="93"/>
  <c r="F13" i="93"/>
  <c r="E13" i="93"/>
  <c r="D13" i="93"/>
  <c r="C13" i="93"/>
  <c r="B13" i="93"/>
  <c r="A12" i="93"/>
  <c r="K12" i="93"/>
  <c r="J12" i="93"/>
  <c r="I12" i="93"/>
  <c r="H12" i="93"/>
  <c r="G12" i="93"/>
  <c r="F12" i="93"/>
  <c r="E12" i="93"/>
  <c r="D12" i="93"/>
  <c r="C12" i="93"/>
  <c r="B12" i="93"/>
  <c r="A11" i="93"/>
  <c r="K11" i="93"/>
  <c r="J11" i="93"/>
  <c r="I11" i="93"/>
  <c r="H11" i="93"/>
  <c r="G11" i="93"/>
  <c r="F11" i="93"/>
  <c r="E11" i="93"/>
  <c r="D11" i="93"/>
  <c r="C11" i="93"/>
  <c r="B11" i="93"/>
  <c r="A10" i="93"/>
  <c r="K10" i="93"/>
  <c r="J10" i="93"/>
  <c r="I10" i="93"/>
  <c r="H10" i="93"/>
  <c r="G10" i="93"/>
  <c r="F10" i="93"/>
  <c r="E10" i="93"/>
  <c r="D10" i="93"/>
  <c r="C10" i="93"/>
  <c r="B10" i="93"/>
  <c r="A9" i="93"/>
  <c r="K9" i="93"/>
  <c r="J9" i="93"/>
  <c r="I9" i="93"/>
  <c r="H9" i="93"/>
  <c r="G9" i="93"/>
  <c r="F9" i="93"/>
  <c r="E9" i="93"/>
  <c r="D9" i="93"/>
  <c r="C9" i="93"/>
  <c r="B9" i="93"/>
  <c r="A8" i="93"/>
  <c r="K8" i="93"/>
  <c r="J8" i="93"/>
  <c r="I8" i="93"/>
  <c r="H8" i="93"/>
  <c r="G8" i="93"/>
  <c r="F8" i="93"/>
  <c r="E8" i="93"/>
  <c r="D8" i="93"/>
  <c r="C8" i="93"/>
  <c r="B8" i="93"/>
  <c r="A7" i="93"/>
  <c r="K7" i="93"/>
  <c r="J7" i="93"/>
  <c r="I7" i="93"/>
  <c r="H7" i="93"/>
  <c r="G7" i="93"/>
  <c r="F7" i="93"/>
  <c r="E7" i="93"/>
  <c r="D7" i="93"/>
  <c r="C7" i="93"/>
  <c r="B7" i="93"/>
  <c r="A6" i="93"/>
  <c r="K6" i="93"/>
  <c r="J6" i="93"/>
  <c r="I6" i="93"/>
  <c r="H6" i="93"/>
  <c r="G6" i="93"/>
  <c r="F6" i="93"/>
  <c r="E6" i="93"/>
  <c r="D6" i="93"/>
  <c r="C6" i="93"/>
  <c r="B6" i="93"/>
  <c r="A5" i="93"/>
  <c r="K5" i="93"/>
  <c r="J5" i="93"/>
  <c r="I5" i="93"/>
  <c r="H5" i="93"/>
  <c r="G5" i="93"/>
  <c r="F5" i="93"/>
  <c r="E5" i="93"/>
  <c r="D5" i="93"/>
  <c r="C5" i="93"/>
  <c r="B5" i="93"/>
  <c r="A4" i="93"/>
  <c r="K4" i="93"/>
  <c r="J4" i="93"/>
  <c r="I4" i="93"/>
  <c r="H4" i="93"/>
  <c r="G4" i="93"/>
  <c r="F4" i="93"/>
  <c r="E4" i="93"/>
  <c r="D4" i="93"/>
  <c r="C4" i="93"/>
  <c r="B4" i="93"/>
  <c r="A3" i="93"/>
  <c r="K3" i="93"/>
  <c r="J3" i="93"/>
  <c r="I3" i="93"/>
  <c r="H3" i="93"/>
  <c r="G3" i="93"/>
  <c r="F3" i="93"/>
  <c r="E3" i="93"/>
  <c r="D3" i="93"/>
  <c r="C3" i="93"/>
  <c r="B3" i="93"/>
  <c r="C1" i="92"/>
  <c r="A1" i="92"/>
  <c r="A256" i="92"/>
  <c r="B1" i="92"/>
  <c r="K256" i="92"/>
  <c r="J256" i="92"/>
  <c r="I256" i="92"/>
  <c r="H256" i="92"/>
  <c r="G256" i="92"/>
  <c r="F256" i="92"/>
  <c r="E256" i="92"/>
  <c r="D256" i="92"/>
  <c r="C256" i="92"/>
  <c r="B256" i="92"/>
  <c r="A255" i="92"/>
  <c r="K255" i="92"/>
  <c r="J255" i="92"/>
  <c r="I255" i="92"/>
  <c r="H255" i="92"/>
  <c r="G255" i="92"/>
  <c r="F255" i="92"/>
  <c r="E255" i="92"/>
  <c r="D255" i="92"/>
  <c r="C255" i="92"/>
  <c r="B255" i="92"/>
  <c r="A254" i="92"/>
  <c r="K254" i="92"/>
  <c r="J254" i="92"/>
  <c r="I254" i="92"/>
  <c r="H254" i="92"/>
  <c r="G254" i="92"/>
  <c r="F254" i="92"/>
  <c r="E254" i="92"/>
  <c r="D254" i="92"/>
  <c r="C254" i="92"/>
  <c r="B254" i="92"/>
  <c r="A253" i="92"/>
  <c r="K253" i="92"/>
  <c r="J253" i="92"/>
  <c r="I253" i="92"/>
  <c r="H253" i="92"/>
  <c r="G253" i="92"/>
  <c r="F253" i="92"/>
  <c r="E253" i="92"/>
  <c r="D253" i="92"/>
  <c r="C253" i="92"/>
  <c r="B253" i="92"/>
  <c r="A252" i="92"/>
  <c r="K252" i="92"/>
  <c r="J252" i="92"/>
  <c r="I252" i="92"/>
  <c r="H252" i="92"/>
  <c r="G252" i="92"/>
  <c r="F252" i="92"/>
  <c r="E252" i="92"/>
  <c r="D252" i="92"/>
  <c r="C252" i="92"/>
  <c r="B252" i="92"/>
  <c r="A251" i="92"/>
  <c r="K251" i="92"/>
  <c r="J251" i="92"/>
  <c r="I251" i="92"/>
  <c r="H251" i="92"/>
  <c r="G251" i="92"/>
  <c r="F251" i="92"/>
  <c r="E251" i="92"/>
  <c r="D251" i="92"/>
  <c r="C251" i="92"/>
  <c r="B251" i="92"/>
  <c r="A250" i="92"/>
  <c r="K250" i="92"/>
  <c r="J250" i="92"/>
  <c r="I250" i="92"/>
  <c r="H250" i="92"/>
  <c r="G250" i="92"/>
  <c r="F250" i="92"/>
  <c r="E250" i="92"/>
  <c r="D250" i="92"/>
  <c r="C250" i="92"/>
  <c r="B250" i="92"/>
  <c r="A249" i="92"/>
  <c r="K249" i="92"/>
  <c r="J249" i="92"/>
  <c r="I249" i="92"/>
  <c r="H249" i="92"/>
  <c r="G249" i="92"/>
  <c r="F249" i="92"/>
  <c r="E249" i="92"/>
  <c r="D249" i="92"/>
  <c r="C249" i="92"/>
  <c r="B249" i="92"/>
  <c r="A248" i="92"/>
  <c r="K248" i="92"/>
  <c r="J248" i="92"/>
  <c r="I248" i="92"/>
  <c r="H248" i="92"/>
  <c r="G248" i="92"/>
  <c r="F248" i="92"/>
  <c r="E248" i="92"/>
  <c r="D248" i="92"/>
  <c r="C248" i="92"/>
  <c r="B248" i="92"/>
  <c r="A247" i="92"/>
  <c r="K247" i="92"/>
  <c r="J247" i="92"/>
  <c r="I247" i="92"/>
  <c r="H247" i="92"/>
  <c r="G247" i="92"/>
  <c r="F247" i="92"/>
  <c r="E247" i="92"/>
  <c r="D247" i="92"/>
  <c r="C247" i="92"/>
  <c r="B247" i="92"/>
  <c r="A246" i="92"/>
  <c r="K246" i="92"/>
  <c r="J246" i="92"/>
  <c r="I246" i="92"/>
  <c r="H246" i="92"/>
  <c r="G246" i="92"/>
  <c r="F246" i="92"/>
  <c r="E246" i="92"/>
  <c r="D246" i="92"/>
  <c r="C246" i="92"/>
  <c r="B246" i="92"/>
  <c r="A245" i="92"/>
  <c r="K245" i="92"/>
  <c r="J245" i="92"/>
  <c r="I245" i="92"/>
  <c r="H245" i="92"/>
  <c r="G245" i="92"/>
  <c r="F245" i="92"/>
  <c r="E245" i="92"/>
  <c r="D245" i="92"/>
  <c r="C245" i="92"/>
  <c r="B245" i="92"/>
  <c r="A244" i="92"/>
  <c r="K244" i="92"/>
  <c r="J244" i="92"/>
  <c r="I244" i="92"/>
  <c r="H244" i="92"/>
  <c r="G244" i="92"/>
  <c r="F244" i="92"/>
  <c r="E244" i="92"/>
  <c r="D244" i="92"/>
  <c r="C244" i="92"/>
  <c r="B244" i="92"/>
  <c r="A243" i="92"/>
  <c r="K243" i="92"/>
  <c r="J243" i="92"/>
  <c r="I243" i="92"/>
  <c r="H243" i="92"/>
  <c r="G243" i="92"/>
  <c r="F243" i="92"/>
  <c r="E243" i="92"/>
  <c r="D243" i="92"/>
  <c r="C243" i="92"/>
  <c r="B243" i="92"/>
  <c r="A242" i="92"/>
  <c r="K242" i="92"/>
  <c r="J242" i="92"/>
  <c r="I242" i="92"/>
  <c r="H242" i="92"/>
  <c r="G242" i="92"/>
  <c r="F242" i="92"/>
  <c r="E242" i="92"/>
  <c r="D242" i="92"/>
  <c r="C242" i="92"/>
  <c r="B242" i="92"/>
  <c r="A241" i="92"/>
  <c r="K241" i="92"/>
  <c r="J241" i="92"/>
  <c r="I241" i="92"/>
  <c r="H241" i="92"/>
  <c r="G241" i="92"/>
  <c r="F241" i="92"/>
  <c r="E241" i="92"/>
  <c r="D241" i="92"/>
  <c r="C241" i="92"/>
  <c r="B241" i="92"/>
  <c r="A240" i="92"/>
  <c r="K240" i="92"/>
  <c r="J240" i="92"/>
  <c r="I240" i="92"/>
  <c r="H240" i="92"/>
  <c r="G240" i="92"/>
  <c r="F240" i="92"/>
  <c r="E240" i="92"/>
  <c r="D240" i="92"/>
  <c r="C240" i="92"/>
  <c r="B240" i="92"/>
  <c r="A239" i="92"/>
  <c r="K239" i="92"/>
  <c r="J239" i="92"/>
  <c r="I239" i="92"/>
  <c r="H239" i="92"/>
  <c r="G239" i="92"/>
  <c r="F239" i="92"/>
  <c r="E239" i="92"/>
  <c r="D239" i="92"/>
  <c r="C239" i="92"/>
  <c r="B239" i="92"/>
  <c r="A238" i="92"/>
  <c r="K238" i="92"/>
  <c r="J238" i="92"/>
  <c r="I238" i="92"/>
  <c r="H238" i="92"/>
  <c r="G238" i="92"/>
  <c r="F238" i="92"/>
  <c r="E238" i="92"/>
  <c r="D238" i="92"/>
  <c r="C238" i="92"/>
  <c r="B238" i="92"/>
  <c r="A237" i="92"/>
  <c r="K237" i="92"/>
  <c r="J237" i="92"/>
  <c r="I237" i="92"/>
  <c r="H237" i="92"/>
  <c r="G237" i="92"/>
  <c r="F237" i="92"/>
  <c r="E237" i="92"/>
  <c r="D237" i="92"/>
  <c r="C237" i="92"/>
  <c r="B237" i="92"/>
  <c r="A236" i="92"/>
  <c r="K236" i="92"/>
  <c r="J236" i="92"/>
  <c r="I236" i="92"/>
  <c r="H236" i="92"/>
  <c r="G236" i="92"/>
  <c r="F236" i="92"/>
  <c r="E236" i="92"/>
  <c r="D236" i="92"/>
  <c r="C236" i="92"/>
  <c r="B236" i="92"/>
  <c r="A235" i="92"/>
  <c r="K235" i="92"/>
  <c r="J235" i="92"/>
  <c r="I235" i="92"/>
  <c r="H235" i="92"/>
  <c r="G235" i="92"/>
  <c r="F235" i="92"/>
  <c r="E235" i="92"/>
  <c r="D235" i="92"/>
  <c r="C235" i="92"/>
  <c r="B235" i="92"/>
  <c r="A234" i="92"/>
  <c r="K234" i="92"/>
  <c r="J234" i="92"/>
  <c r="I234" i="92"/>
  <c r="H234" i="92"/>
  <c r="G234" i="92"/>
  <c r="F234" i="92"/>
  <c r="E234" i="92"/>
  <c r="D234" i="92"/>
  <c r="C234" i="92"/>
  <c r="B234" i="92"/>
  <c r="A233" i="92"/>
  <c r="K233" i="92"/>
  <c r="J233" i="92"/>
  <c r="I233" i="92"/>
  <c r="H233" i="92"/>
  <c r="G233" i="92"/>
  <c r="F233" i="92"/>
  <c r="E233" i="92"/>
  <c r="D233" i="92"/>
  <c r="C233" i="92"/>
  <c r="B233" i="92"/>
  <c r="A232" i="92"/>
  <c r="K232" i="92"/>
  <c r="J232" i="92"/>
  <c r="I232" i="92"/>
  <c r="H232" i="92"/>
  <c r="G232" i="92"/>
  <c r="F232" i="92"/>
  <c r="E232" i="92"/>
  <c r="D232" i="92"/>
  <c r="C232" i="92"/>
  <c r="B232" i="92"/>
  <c r="A231" i="92"/>
  <c r="K231" i="92"/>
  <c r="J231" i="92"/>
  <c r="I231" i="92"/>
  <c r="H231" i="92"/>
  <c r="G231" i="92"/>
  <c r="F231" i="92"/>
  <c r="E231" i="92"/>
  <c r="D231" i="92"/>
  <c r="C231" i="92"/>
  <c r="B231" i="92"/>
  <c r="A230" i="92"/>
  <c r="K230" i="92"/>
  <c r="J230" i="92"/>
  <c r="I230" i="92"/>
  <c r="H230" i="92"/>
  <c r="G230" i="92"/>
  <c r="F230" i="92"/>
  <c r="E230" i="92"/>
  <c r="D230" i="92"/>
  <c r="C230" i="92"/>
  <c r="B230" i="92"/>
  <c r="A229" i="92"/>
  <c r="K229" i="92"/>
  <c r="J229" i="92"/>
  <c r="I229" i="92"/>
  <c r="H229" i="92"/>
  <c r="G229" i="92"/>
  <c r="F229" i="92"/>
  <c r="E229" i="92"/>
  <c r="D229" i="92"/>
  <c r="C229" i="92"/>
  <c r="B229" i="92"/>
  <c r="A228" i="92"/>
  <c r="K228" i="92"/>
  <c r="J228" i="92"/>
  <c r="I228" i="92"/>
  <c r="H228" i="92"/>
  <c r="G228" i="92"/>
  <c r="F228" i="92"/>
  <c r="E228" i="92"/>
  <c r="D228" i="92"/>
  <c r="C228" i="92"/>
  <c r="B228" i="92"/>
  <c r="A227" i="92"/>
  <c r="K227" i="92"/>
  <c r="J227" i="92"/>
  <c r="I227" i="92"/>
  <c r="H227" i="92"/>
  <c r="G227" i="92"/>
  <c r="F227" i="92"/>
  <c r="E227" i="92"/>
  <c r="D227" i="92"/>
  <c r="C227" i="92"/>
  <c r="B227" i="92"/>
  <c r="A226" i="92"/>
  <c r="K226" i="92"/>
  <c r="J226" i="92"/>
  <c r="I226" i="92"/>
  <c r="H226" i="92"/>
  <c r="G226" i="92"/>
  <c r="F226" i="92"/>
  <c r="E226" i="92"/>
  <c r="D226" i="92"/>
  <c r="C226" i="92"/>
  <c r="B226" i="92"/>
  <c r="A225" i="92"/>
  <c r="K225" i="92"/>
  <c r="J225" i="92"/>
  <c r="I225" i="92"/>
  <c r="H225" i="92"/>
  <c r="G225" i="92"/>
  <c r="F225" i="92"/>
  <c r="E225" i="92"/>
  <c r="D225" i="92"/>
  <c r="C225" i="92"/>
  <c r="B225" i="92"/>
  <c r="A224" i="92"/>
  <c r="K224" i="92"/>
  <c r="J224" i="92"/>
  <c r="I224" i="92"/>
  <c r="H224" i="92"/>
  <c r="G224" i="92"/>
  <c r="F224" i="92"/>
  <c r="E224" i="92"/>
  <c r="D224" i="92"/>
  <c r="C224" i="92"/>
  <c r="B224" i="92"/>
  <c r="A223" i="92"/>
  <c r="K223" i="92"/>
  <c r="J223" i="92"/>
  <c r="I223" i="92"/>
  <c r="H223" i="92"/>
  <c r="G223" i="92"/>
  <c r="F223" i="92"/>
  <c r="E223" i="92"/>
  <c r="D223" i="92"/>
  <c r="C223" i="92"/>
  <c r="B223" i="92"/>
  <c r="A222" i="92"/>
  <c r="K222" i="92"/>
  <c r="J222" i="92"/>
  <c r="I222" i="92"/>
  <c r="H222" i="92"/>
  <c r="G222" i="92"/>
  <c r="F222" i="92"/>
  <c r="E222" i="92"/>
  <c r="D222" i="92"/>
  <c r="C222" i="92"/>
  <c r="B222" i="92"/>
  <c r="A221" i="92"/>
  <c r="K221" i="92"/>
  <c r="J221" i="92"/>
  <c r="I221" i="92"/>
  <c r="H221" i="92"/>
  <c r="G221" i="92"/>
  <c r="F221" i="92"/>
  <c r="E221" i="92"/>
  <c r="D221" i="92"/>
  <c r="C221" i="92"/>
  <c r="B221" i="92"/>
  <c r="A220" i="92"/>
  <c r="K220" i="92"/>
  <c r="J220" i="92"/>
  <c r="I220" i="92"/>
  <c r="H220" i="92"/>
  <c r="G220" i="92"/>
  <c r="F220" i="92"/>
  <c r="E220" i="92"/>
  <c r="D220" i="92"/>
  <c r="C220" i="92"/>
  <c r="B220" i="92"/>
  <c r="A219" i="92"/>
  <c r="K219" i="92"/>
  <c r="J219" i="92"/>
  <c r="I219" i="92"/>
  <c r="H219" i="92"/>
  <c r="G219" i="92"/>
  <c r="F219" i="92"/>
  <c r="E219" i="92"/>
  <c r="D219" i="92"/>
  <c r="C219" i="92"/>
  <c r="B219" i="92"/>
  <c r="A218" i="92"/>
  <c r="K218" i="92"/>
  <c r="J218" i="92"/>
  <c r="I218" i="92"/>
  <c r="H218" i="92"/>
  <c r="G218" i="92"/>
  <c r="F218" i="92"/>
  <c r="E218" i="92"/>
  <c r="D218" i="92"/>
  <c r="C218" i="92"/>
  <c r="B218" i="92"/>
  <c r="A217" i="92"/>
  <c r="K217" i="92"/>
  <c r="J217" i="92"/>
  <c r="I217" i="92"/>
  <c r="H217" i="92"/>
  <c r="G217" i="92"/>
  <c r="F217" i="92"/>
  <c r="E217" i="92"/>
  <c r="D217" i="92"/>
  <c r="C217" i="92"/>
  <c r="B217" i="92"/>
  <c r="A216" i="92"/>
  <c r="K216" i="92"/>
  <c r="J216" i="92"/>
  <c r="I216" i="92"/>
  <c r="H216" i="92"/>
  <c r="G216" i="92"/>
  <c r="F216" i="92"/>
  <c r="E216" i="92"/>
  <c r="D216" i="92"/>
  <c r="C216" i="92"/>
  <c r="B216" i="92"/>
  <c r="A215" i="92"/>
  <c r="K215" i="92"/>
  <c r="J215" i="92"/>
  <c r="I215" i="92"/>
  <c r="H215" i="92"/>
  <c r="G215" i="92"/>
  <c r="F215" i="92"/>
  <c r="E215" i="92"/>
  <c r="D215" i="92"/>
  <c r="C215" i="92"/>
  <c r="B215" i="92"/>
  <c r="A214" i="92"/>
  <c r="K214" i="92"/>
  <c r="J214" i="92"/>
  <c r="I214" i="92"/>
  <c r="H214" i="92"/>
  <c r="G214" i="92"/>
  <c r="F214" i="92"/>
  <c r="E214" i="92"/>
  <c r="D214" i="92"/>
  <c r="C214" i="92"/>
  <c r="B214" i="92"/>
  <c r="A213" i="92"/>
  <c r="K213" i="92"/>
  <c r="J213" i="92"/>
  <c r="I213" i="92"/>
  <c r="H213" i="92"/>
  <c r="G213" i="92"/>
  <c r="F213" i="92"/>
  <c r="E213" i="92"/>
  <c r="D213" i="92"/>
  <c r="C213" i="92"/>
  <c r="B213" i="92"/>
  <c r="A212" i="92"/>
  <c r="K212" i="92"/>
  <c r="J212" i="92"/>
  <c r="I212" i="92"/>
  <c r="H212" i="92"/>
  <c r="G212" i="92"/>
  <c r="F212" i="92"/>
  <c r="E212" i="92"/>
  <c r="D212" i="92"/>
  <c r="C212" i="92"/>
  <c r="B212" i="92"/>
  <c r="A211" i="92"/>
  <c r="K211" i="92"/>
  <c r="J211" i="92"/>
  <c r="I211" i="92"/>
  <c r="H211" i="92"/>
  <c r="G211" i="92"/>
  <c r="F211" i="92"/>
  <c r="E211" i="92"/>
  <c r="D211" i="92"/>
  <c r="C211" i="92"/>
  <c r="B211" i="92"/>
  <c r="A210" i="92"/>
  <c r="K210" i="92"/>
  <c r="J210" i="92"/>
  <c r="I210" i="92"/>
  <c r="H210" i="92"/>
  <c r="G210" i="92"/>
  <c r="F210" i="92"/>
  <c r="E210" i="92"/>
  <c r="D210" i="92"/>
  <c r="C210" i="92"/>
  <c r="B210" i="92"/>
  <c r="A209" i="92"/>
  <c r="K209" i="92"/>
  <c r="J209" i="92"/>
  <c r="I209" i="92"/>
  <c r="H209" i="92"/>
  <c r="G209" i="92"/>
  <c r="F209" i="92"/>
  <c r="E209" i="92"/>
  <c r="D209" i="92"/>
  <c r="C209" i="92"/>
  <c r="B209" i="92"/>
  <c r="A208" i="92"/>
  <c r="K208" i="92"/>
  <c r="J208" i="92"/>
  <c r="I208" i="92"/>
  <c r="H208" i="92"/>
  <c r="G208" i="92"/>
  <c r="F208" i="92"/>
  <c r="E208" i="92"/>
  <c r="D208" i="92"/>
  <c r="C208" i="92"/>
  <c r="B208" i="92"/>
  <c r="A207" i="92"/>
  <c r="K207" i="92"/>
  <c r="J207" i="92"/>
  <c r="I207" i="92"/>
  <c r="H207" i="92"/>
  <c r="G207" i="92"/>
  <c r="F207" i="92"/>
  <c r="E207" i="92"/>
  <c r="D207" i="92"/>
  <c r="C207" i="92"/>
  <c r="B207" i="92"/>
  <c r="A206" i="92"/>
  <c r="K206" i="92"/>
  <c r="J206" i="92"/>
  <c r="I206" i="92"/>
  <c r="H206" i="92"/>
  <c r="G206" i="92"/>
  <c r="F206" i="92"/>
  <c r="E206" i="92"/>
  <c r="D206" i="92"/>
  <c r="C206" i="92"/>
  <c r="B206" i="92"/>
  <c r="A205" i="92"/>
  <c r="K205" i="92"/>
  <c r="J205" i="92"/>
  <c r="I205" i="92"/>
  <c r="H205" i="92"/>
  <c r="G205" i="92"/>
  <c r="F205" i="92"/>
  <c r="E205" i="92"/>
  <c r="D205" i="92"/>
  <c r="C205" i="92"/>
  <c r="B205" i="92"/>
  <c r="A204" i="92"/>
  <c r="K204" i="92"/>
  <c r="J204" i="92"/>
  <c r="I204" i="92"/>
  <c r="H204" i="92"/>
  <c r="G204" i="92"/>
  <c r="F204" i="92"/>
  <c r="E204" i="92"/>
  <c r="D204" i="92"/>
  <c r="C204" i="92"/>
  <c r="B204" i="92"/>
  <c r="A203" i="92"/>
  <c r="K203" i="92"/>
  <c r="J203" i="92"/>
  <c r="I203" i="92"/>
  <c r="H203" i="92"/>
  <c r="G203" i="92"/>
  <c r="F203" i="92"/>
  <c r="E203" i="92"/>
  <c r="D203" i="92"/>
  <c r="C203" i="92"/>
  <c r="B203" i="92"/>
  <c r="A202" i="92"/>
  <c r="K202" i="92"/>
  <c r="J202" i="92"/>
  <c r="I202" i="92"/>
  <c r="H202" i="92"/>
  <c r="G202" i="92"/>
  <c r="F202" i="92"/>
  <c r="E202" i="92"/>
  <c r="D202" i="92"/>
  <c r="C202" i="92"/>
  <c r="B202" i="92"/>
  <c r="A201" i="92"/>
  <c r="K201" i="92"/>
  <c r="J201" i="92"/>
  <c r="I201" i="92"/>
  <c r="H201" i="92"/>
  <c r="G201" i="92"/>
  <c r="F201" i="92"/>
  <c r="E201" i="92"/>
  <c r="D201" i="92"/>
  <c r="C201" i="92"/>
  <c r="B201" i="92"/>
  <c r="A200" i="92"/>
  <c r="K200" i="92"/>
  <c r="J200" i="92"/>
  <c r="I200" i="92"/>
  <c r="H200" i="92"/>
  <c r="G200" i="92"/>
  <c r="F200" i="92"/>
  <c r="E200" i="92"/>
  <c r="D200" i="92"/>
  <c r="C200" i="92"/>
  <c r="B200" i="92"/>
  <c r="A199" i="92"/>
  <c r="K199" i="92"/>
  <c r="J199" i="92"/>
  <c r="I199" i="92"/>
  <c r="H199" i="92"/>
  <c r="G199" i="92"/>
  <c r="F199" i="92"/>
  <c r="E199" i="92"/>
  <c r="D199" i="92"/>
  <c r="C199" i="92"/>
  <c r="B199" i="92"/>
  <c r="A198" i="92"/>
  <c r="K198" i="92"/>
  <c r="J198" i="92"/>
  <c r="I198" i="92"/>
  <c r="H198" i="92"/>
  <c r="G198" i="92"/>
  <c r="F198" i="92"/>
  <c r="E198" i="92"/>
  <c r="D198" i="92"/>
  <c r="C198" i="92"/>
  <c r="B198" i="92"/>
  <c r="A197" i="92"/>
  <c r="K197" i="92"/>
  <c r="J197" i="92"/>
  <c r="I197" i="92"/>
  <c r="H197" i="92"/>
  <c r="G197" i="92"/>
  <c r="F197" i="92"/>
  <c r="E197" i="92"/>
  <c r="D197" i="92"/>
  <c r="C197" i="92"/>
  <c r="B197" i="92"/>
  <c r="A196" i="92"/>
  <c r="K196" i="92"/>
  <c r="J196" i="92"/>
  <c r="I196" i="92"/>
  <c r="H196" i="92"/>
  <c r="G196" i="92"/>
  <c r="F196" i="92"/>
  <c r="E196" i="92"/>
  <c r="D196" i="92"/>
  <c r="C196" i="92"/>
  <c r="B196" i="92"/>
  <c r="A195" i="92"/>
  <c r="K195" i="92"/>
  <c r="J195" i="92"/>
  <c r="I195" i="92"/>
  <c r="H195" i="92"/>
  <c r="G195" i="92"/>
  <c r="F195" i="92"/>
  <c r="E195" i="92"/>
  <c r="D195" i="92"/>
  <c r="C195" i="92"/>
  <c r="B195" i="92"/>
  <c r="A194" i="92"/>
  <c r="K194" i="92"/>
  <c r="J194" i="92"/>
  <c r="I194" i="92"/>
  <c r="H194" i="92"/>
  <c r="G194" i="92"/>
  <c r="F194" i="92"/>
  <c r="E194" i="92"/>
  <c r="D194" i="92"/>
  <c r="C194" i="92"/>
  <c r="B194" i="92"/>
  <c r="A193" i="92"/>
  <c r="K193" i="92"/>
  <c r="J193" i="92"/>
  <c r="I193" i="92"/>
  <c r="H193" i="92"/>
  <c r="G193" i="92"/>
  <c r="F193" i="92"/>
  <c r="E193" i="92"/>
  <c r="D193" i="92"/>
  <c r="C193" i="92"/>
  <c r="B193" i="92"/>
  <c r="A192" i="92"/>
  <c r="K192" i="92"/>
  <c r="J192" i="92"/>
  <c r="I192" i="92"/>
  <c r="H192" i="92"/>
  <c r="G192" i="92"/>
  <c r="F192" i="92"/>
  <c r="E192" i="92"/>
  <c r="D192" i="92"/>
  <c r="C192" i="92"/>
  <c r="B192" i="92"/>
  <c r="A191" i="92"/>
  <c r="K191" i="92"/>
  <c r="J191" i="92"/>
  <c r="I191" i="92"/>
  <c r="H191" i="92"/>
  <c r="G191" i="92"/>
  <c r="F191" i="92"/>
  <c r="E191" i="92"/>
  <c r="D191" i="92"/>
  <c r="C191" i="92"/>
  <c r="B191" i="92"/>
  <c r="A190" i="92"/>
  <c r="K190" i="92"/>
  <c r="J190" i="92"/>
  <c r="I190" i="92"/>
  <c r="H190" i="92"/>
  <c r="G190" i="92"/>
  <c r="F190" i="92"/>
  <c r="E190" i="92"/>
  <c r="D190" i="92"/>
  <c r="C190" i="92"/>
  <c r="B190" i="92"/>
  <c r="A189" i="92"/>
  <c r="K189" i="92"/>
  <c r="J189" i="92"/>
  <c r="I189" i="92"/>
  <c r="H189" i="92"/>
  <c r="G189" i="92"/>
  <c r="F189" i="92"/>
  <c r="E189" i="92"/>
  <c r="D189" i="92"/>
  <c r="C189" i="92"/>
  <c r="B189" i="92"/>
  <c r="A188" i="92"/>
  <c r="K188" i="92"/>
  <c r="J188" i="92"/>
  <c r="I188" i="92"/>
  <c r="H188" i="92"/>
  <c r="G188" i="92"/>
  <c r="F188" i="92"/>
  <c r="E188" i="92"/>
  <c r="D188" i="92"/>
  <c r="C188" i="92"/>
  <c r="B188" i="92"/>
  <c r="A187" i="92"/>
  <c r="K187" i="92"/>
  <c r="J187" i="92"/>
  <c r="I187" i="92"/>
  <c r="H187" i="92"/>
  <c r="G187" i="92"/>
  <c r="F187" i="92"/>
  <c r="E187" i="92"/>
  <c r="D187" i="92"/>
  <c r="C187" i="92"/>
  <c r="B187" i="92"/>
  <c r="A186" i="92"/>
  <c r="K186" i="92"/>
  <c r="J186" i="92"/>
  <c r="I186" i="92"/>
  <c r="H186" i="92"/>
  <c r="G186" i="92"/>
  <c r="F186" i="92"/>
  <c r="E186" i="92"/>
  <c r="D186" i="92"/>
  <c r="C186" i="92"/>
  <c r="B186" i="92"/>
  <c r="A185" i="92"/>
  <c r="K185" i="92"/>
  <c r="J185" i="92"/>
  <c r="I185" i="92"/>
  <c r="H185" i="92"/>
  <c r="G185" i="92"/>
  <c r="F185" i="92"/>
  <c r="E185" i="92"/>
  <c r="D185" i="92"/>
  <c r="C185" i="92"/>
  <c r="B185" i="92"/>
  <c r="A184" i="92"/>
  <c r="K184" i="92"/>
  <c r="J184" i="92"/>
  <c r="I184" i="92"/>
  <c r="H184" i="92"/>
  <c r="G184" i="92"/>
  <c r="F184" i="92"/>
  <c r="E184" i="92"/>
  <c r="D184" i="92"/>
  <c r="C184" i="92"/>
  <c r="B184" i="92"/>
  <c r="A183" i="92"/>
  <c r="K183" i="92"/>
  <c r="J183" i="92"/>
  <c r="I183" i="92"/>
  <c r="H183" i="92"/>
  <c r="G183" i="92"/>
  <c r="F183" i="92"/>
  <c r="E183" i="92"/>
  <c r="D183" i="92"/>
  <c r="C183" i="92"/>
  <c r="B183" i="92"/>
  <c r="A182" i="92"/>
  <c r="K182" i="92"/>
  <c r="J182" i="92"/>
  <c r="I182" i="92"/>
  <c r="H182" i="92"/>
  <c r="G182" i="92"/>
  <c r="F182" i="92"/>
  <c r="E182" i="92"/>
  <c r="D182" i="92"/>
  <c r="C182" i="92"/>
  <c r="B182" i="92"/>
  <c r="A181" i="92"/>
  <c r="K181" i="92"/>
  <c r="J181" i="92"/>
  <c r="I181" i="92"/>
  <c r="H181" i="92"/>
  <c r="G181" i="92"/>
  <c r="F181" i="92"/>
  <c r="E181" i="92"/>
  <c r="D181" i="92"/>
  <c r="C181" i="92"/>
  <c r="B181" i="92"/>
  <c r="A180" i="92"/>
  <c r="K180" i="92"/>
  <c r="J180" i="92"/>
  <c r="I180" i="92"/>
  <c r="H180" i="92"/>
  <c r="G180" i="92"/>
  <c r="F180" i="92"/>
  <c r="E180" i="92"/>
  <c r="D180" i="92"/>
  <c r="C180" i="92"/>
  <c r="B180" i="92"/>
  <c r="A179" i="92"/>
  <c r="K179" i="92"/>
  <c r="J179" i="92"/>
  <c r="I179" i="92"/>
  <c r="H179" i="92"/>
  <c r="G179" i="92"/>
  <c r="F179" i="92"/>
  <c r="E179" i="92"/>
  <c r="D179" i="92"/>
  <c r="C179" i="92"/>
  <c r="B179" i="92"/>
  <c r="A178" i="92"/>
  <c r="K178" i="92"/>
  <c r="J178" i="92"/>
  <c r="I178" i="92"/>
  <c r="H178" i="92"/>
  <c r="G178" i="92"/>
  <c r="F178" i="92"/>
  <c r="E178" i="92"/>
  <c r="D178" i="92"/>
  <c r="C178" i="92"/>
  <c r="B178" i="92"/>
  <c r="A177" i="92"/>
  <c r="K177" i="92"/>
  <c r="J177" i="92"/>
  <c r="I177" i="92"/>
  <c r="H177" i="92"/>
  <c r="G177" i="92"/>
  <c r="F177" i="92"/>
  <c r="E177" i="92"/>
  <c r="D177" i="92"/>
  <c r="C177" i="92"/>
  <c r="B177" i="92"/>
  <c r="A176" i="92"/>
  <c r="K176" i="92"/>
  <c r="J176" i="92"/>
  <c r="I176" i="92"/>
  <c r="H176" i="92"/>
  <c r="G176" i="92"/>
  <c r="F176" i="92"/>
  <c r="E176" i="92"/>
  <c r="D176" i="92"/>
  <c r="C176" i="92"/>
  <c r="B176" i="92"/>
  <c r="A175" i="92"/>
  <c r="K175" i="92"/>
  <c r="J175" i="92"/>
  <c r="I175" i="92"/>
  <c r="H175" i="92"/>
  <c r="G175" i="92"/>
  <c r="F175" i="92"/>
  <c r="E175" i="92"/>
  <c r="D175" i="92"/>
  <c r="C175" i="92"/>
  <c r="B175" i="92"/>
  <c r="A174" i="92"/>
  <c r="K174" i="92"/>
  <c r="J174" i="92"/>
  <c r="I174" i="92"/>
  <c r="H174" i="92"/>
  <c r="G174" i="92"/>
  <c r="F174" i="92"/>
  <c r="E174" i="92"/>
  <c r="D174" i="92"/>
  <c r="C174" i="92"/>
  <c r="B174" i="92"/>
  <c r="A173" i="92"/>
  <c r="K173" i="92"/>
  <c r="J173" i="92"/>
  <c r="I173" i="92"/>
  <c r="H173" i="92"/>
  <c r="G173" i="92"/>
  <c r="F173" i="92"/>
  <c r="E173" i="92"/>
  <c r="D173" i="92"/>
  <c r="C173" i="92"/>
  <c r="B173" i="92"/>
  <c r="A172" i="92"/>
  <c r="K172" i="92"/>
  <c r="J172" i="92"/>
  <c r="I172" i="92"/>
  <c r="H172" i="92"/>
  <c r="G172" i="92"/>
  <c r="F172" i="92"/>
  <c r="E172" i="92"/>
  <c r="D172" i="92"/>
  <c r="C172" i="92"/>
  <c r="B172" i="92"/>
  <c r="A171" i="92"/>
  <c r="K171" i="92"/>
  <c r="J171" i="92"/>
  <c r="I171" i="92"/>
  <c r="H171" i="92"/>
  <c r="G171" i="92"/>
  <c r="F171" i="92"/>
  <c r="E171" i="92"/>
  <c r="D171" i="92"/>
  <c r="C171" i="92"/>
  <c r="B171" i="92"/>
  <c r="A170" i="92"/>
  <c r="K170" i="92"/>
  <c r="J170" i="92"/>
  <c r="I170" i="92"/>
  <c r="H170" i="92"/>
  <c r="G170" i="92"/>
  <c r="F170" i="92"/>
  <c r="E170" i="92"/>
  <c r="D170" i="92"/>
  <c r="C170" i="92"/>
  <c r="B170" i="92"/>
  <c r="A169" i="92"/>
  <c r="K169" i="92"/>
  <c r="J169" i="92"/>
  <c r="I169" i="92"/>
  <c r="H169" i="92"/>
  <c r="G169" i="92"/>
  <c r="F169" i="92"/>
  <c r="E169" i="92"/>
  <c r="D169" i="92"/>
  <c r="C169" i="92"/>
  <c r="B169" i="92"/>
  <c r="A168" i="92"/>
  <c r="K168" i="92"/>
  <c r="J168" i="92"/>
  <c r="I168" i="92"/>
  <c r="H168" i="92"/>
  <c r="G168" i="92"/>
  <c r="F168" i="92"/>
  <c r="E168" i="92"/>
  <c r="D168" i="92"/>
  <c r="C168" i="92"/>
  <c r="B168" i="92"/>
  <c r="A167" i="92"/>
  <c r="K167" i="92"/>
  <c r="J167" i="92"/>
  <c r="I167" i="92"/>
  <c r="H167" i="92"/>
  <c r="G167" i="92"/>
  <c r="F167" i="92"/>
  <c r="E167" i="92"/>
  <c r="D167" i="92"/>
  <c r="C167" i="92"/>
  <c r="B167" i="92"/>
  <c r="A166" i="92"/>
  <c r="K166" i="92"/>
  <c r="J166" i="92"/>
  <c r="I166" i="92"/>
  <c r="H166" i="92"/>
  <c r="G166" i="92"/>
  <c r="F166" i="92"/>
  <c r="E166" i="92"/>
  <c r="D166" i="92"/>
  <c r="C166" i="92"/>
  <c r="B166" i="92"/>
  <c r="A165" i="92"/>
  <c r="K165" i="92"/>
  <c r="J165" i="92"/>
  <c r="I165" i="92"/>
  <c r="H165" i="92"/>
  <c r="G165" i="92"/>
  <c r="F165" i="92"/>
  <c r="E165" i="92"/>
  <c r="D165" i="92"/>
  <c r="C165" i="92"/>
  <c r="B165" i="92"/>
  <c r="A164" i="92"/>
  <c r="K164" i="92"/>
  <c r="J164" i="92"/>
  <c r="I164" i="92"/>
  <c r="H164" i="92"/>
  <c r="G164" i="92"/>
  <c r="F164" i="92"/>
  <c r="E164" i="92"/>
  <c r="D164" i="92"/>
  <c r="C164" i="92"/>
  <c r="B164" i="92"/>
  <c r="A163" i="92"/>
  <c r="K163" i="92"/>
  <c r="J163" i="92"/>
  <c r="I163" i="92"/>
  <c r="H163" i="92"/>
  <c r="G163" i="92"/>
  <c r="F163" i="92"/>
  <c r="E163" i="92"/>
  <c r="D163" i="92"/>
  <c r="C163" i="92"/>
  <c r="B163" i="92"/>
  <c r="A162" i="92"/>
  <c r="K162" i="92"/>
  <c r="J162" i="92"/>
  <c r="I162" i="92"/>
  <c r="H162" i="92"/>
  <c r="G162" i="92"/>
  <c r="F162" i="92"/>
  <c r="E162" i="92"/>
  <c r="D162" i="92"/>
  <c r="C162" i="92"/>
  <c r="B162" i="92"/>
  <c r="A161" i="92"/>
  <c r="K161" i="92"/>
  <c r="J161" i="92"/>
  <c r="I161" i="92"/>
  <c r="H161" i="92"/>
  <c r="G161" i="92"/>
  <c r="F161" i="92"/>
  <c r="E161" i="92"/>
  <c r="D161" i="92"/>
  <c r="C161" i="92"/>
  <c r="B161" i="92"/>
  <c r="A160" i="92"/>
  <c r="K160" i="92"/>
  <c r="J160" i="92"/>
  <c r="I160" i="92"/>
  <c r="H160" i="92"/>
  <c r="G160" i="92"/>
  <c r="F160" i="92"/>
  <c r="E160" i="92"/>
  <c r="D160" i="92"/>
  <c r="C160" i="92"/>
  <c r="B160" i="92"/>
  <c r="A159" i="92"/>
  <c r="K159" i="92"/>
  <c r="J159" i="92"/>
  <c r="I159" i="92"/>
  <c r="H159" i="92"/>
  <c r="G159" i="92"/>
  <c r="F159" i="92"/>
  <c r="E159" i="92"/>
  <c r="D159" i="92"/>
  <c r="C159" i="92"/>
  <c r="B159" i="92"/>
  <c r="A158" i="92"/>
  <c r="K158" i="92"/>
  <c r="J158" i="92"/>
  <c r="I158" i="92"/>
  <c r="H158" i="92"/>
  <c r="G158" i="92"/>
  <c r="F158" i="92"/>
  <c r="E158" i="92"/>
  <c r="D158" i="92"/>
  <c r="C158" i="92"/>
  <c r="B158" i="92"/>
  <c r="A157" i="92"/>
  <c r="K157" i="92"/>
  <c r="J157" i="92"/>
  <c r="I157" i="92"/>
  <c r="H157" i="92"/>
  <c r="G157" i="92"/>
  <c r="F157" i="92"/>
  <c r="E157" i="92"/>
  <c r="D157" i="92"/>
  <c r="C157" i="92"/>
  <c r="B157" i="92"/>
  <c r="A156" i="92"/>
  <c r="K156" i="92"/>
  <c r="J156" i="92"/>
  <c r="I156" i="92"/>
  <c r="H156" i="92"/>
  <c r="G156" i="92"/>
  <c r="F156" i="92"/>
  <c r="E156" i="92"/>
  <c r="D156" i="92"/>
  <c r="C156" i="92"/>
  <c r="B156" i="92"/>
  <c r="A155" i="92"/>
  <c r="K155" i="92"/>
  <c r="J155" i="92"/>
  <c r="I155" i="92"/>
  <c r="H155" i="92"/>
  <c r="G155" i="92"/>
  <c r="F155" i="92"/>
  <c r="E155" i="92"/>
  <c r="D155" i="92"/>
  <c r="C155" i="92"/>
  <c r="B155" i="92"/>
  <c r="A154" i="92"/>
  <c r="K154" i="92"/>
  <c r="J154" i="92"/>
  <c r="I154" i="92"/>
  <c r="H154" i="92"/>
  <c r="G154" i="92"/>
  <c r="F154" i="92"/>
  <c r="E154" i="92"/>
  <c r="D154" i="92"/>
  <c r="C154" i="92"/>
  <c r="B154" i="92"/>
  <c r="A153" i="92"/>
  <c r="K153" i="92"/>
  <c r="J153" i="92"/>
  <c r="I153" i="92"/>
  <c r="H153" i="92"/>
  <c r="G153" i="92"/>
  <c r="F153" i="92"/>
  <c r="E153" i="92"/>
  <c r="D153" i="92"/>
  <c r="C153" i="92"/>
  <c r="B153" i="92"/>
  <c r="A152" i="92"/>
  <c r="K152" i="92"/>
  <c r="J152" i="92"/>
  <c r="I152" i="92"/>
  <c r="H152" i="92"/>
  <c r="G152" i="92"/>
  <c r="F152" i="92"/>
  <c r="E152" i="92"/>
  <c r="D152" i="92"/>
  <c r="C152" i="92"/>
  <c r="B152" i="92"/>
  <c r="A151" i="92"/>
  <c r="K151" i="92"/>
  <c r="J151" i="92"/>
  <c r="I151" i="92"/>
  <c r="H151" i="92"/>
  <c r="G151" i="92"/>
  <c r="F151" i="92"/>
  <c r="E151" i="92"/>
  <c r="D151" i="92"/>
  <c r="C151" i="92"/>
  <c r="B151" i="92"/>
  <c r="A150" i="92"/>
  <c r="K150" i="92"/>
  <c r="J150" i="92"/>
  <c r="I150" i="92"/>
  <c r="H150" i="92"/>
  <c r="G150" i="92"/>
  <c r="F150" i="92"/>
  <c r="E150" i="92"/>
  <c r="D150" i="92"/>
  <c r="C150" i="92"/>
  <c r="B150" i="92"/>
  <c r="A149" i="92"/>
  <c r="K149" i="92"/>
  <c r="J149" i="92"/>
  <c r="I149" i="92"/>
  <c r="H149" i="92"/>
  <c r="G149" i="92"/>
  <c r="F149" i="92"/>
  <c r="E149" i="92"/>
  <c r="D149" i="92"/>
  <c r="C149" i="92"/>
  <c r="B149" i="92"/>
  <c r="A148" i="92"/>
  <c r="K148" i="92"/>
  <c r="J148" i="92"/>
  <c r="I148" i="92"/>
  <c r="H148" i="92"/>
  <c r="G148" i="92"/>
  <c r="F148" i="92"/>
  <c r="E148" i="92"/>
  <c r="D148" i="92"/>
  <c r="C148" i="92"/>
  <c r="B148" i="92"/>
  <c r="A147" i="92"/>
  <c r="K147" i="92"/>
  <c r="J147" i="92"/>
  <c r="I147" i="92"/>
  <c r="H147" i="92"/>
  <c r="G147" i="92"/>
  <c r="F147" i="92"/>
  <c r="E147" i="92"/>
  <c r="D147" i="92"/>
  <c r="C147" i="92"/>
  <c r="B147" i="92"/>
  <c r="A146" i="92"/>
  <c r="K146" i="92"/>
  <c r="J146" i="92"/>
  <c r="I146" i="92"/>
  <c r="H146" i="92"/>
  <c r="G146" i="92"/>
  <c r="F146" i="92"/>
  <c r="E146" i="92"/>
  <c r="D146" i="92"/>
  <c r="C146" i="92"/>
  <c r="B146" i="92"/>
  <c r="A145" i="92"/>
  <c r="K145" i="92"/>
  <c r="J145" i="92"/>
  <c r="I145" i="92"/>
  <c r="H145" i="92"/>
  <c r="G145" i="92"/>
  <c r="F145" i="92"/>
  <c r="E145" i="92"/>
  <c r="D145" i="92"/>
  <c r="C145" i="92"/>
  <c r="B145" i="92"/>
  <c r="A144" i="92"/>
  <c r="K144" i="92"/>
  <c r="J144" i="92"/>
  <c r="I144" i="92"/>
  <c r="H144" i="92"/>
  <c r="G144" i="92"/>
  <c r="F144" i="92"/>
  <c r="E144" i="92"/>
  <c r="D144" i="92"/>
  <c r="C144" i="92"/>
  <c r="B144" i="92"/>
  <c r="A143" i="92"/>
  <c r="K143" i="92"/>
  <c r="J143" i="92"/>
  <c r="I143" i="92"/>
  <c r="H143" i="92"/>
  <c r="G143" i="92"/>
  <c r="F143" i="92"/>
  <c r="E143" i="92"/>
  <c r="D143" i="92"/>
  <c r="C143" i="92"/>
  <c r="B143" i="92"/>
  <c r="A142" i="92"/>
  <c r="K142" i="92"/>
  <c r="J142" i="92"/>
  <c r="I142" i="92"/>
  <c r="H142" i="92"/>
  <c r="G142" i="92"/>
  <c r="F142" i="92"/>
  <c r="E142" i="92"/>
  <c r="D142" i="92"/>
  <c r="C142" i="92"/>
  <c r="B142" i="92"/>
  <c r="A141" i="92"/>
  <c r="K141" i="92"/>
  <c r="J141" i="92"/>
  <c r="I141" i="92"/>
  <c r="H141" i="92"/>
  <c r="G141" i="92"/>
  <c r="F141" i="92"/>
  <c r="E141" i="92"/>
  <c r="D141" i="92"/>
  <c r="C141" i="92"/>
  <c r="B141" i="92"/>
  <c r="A140" i="92"/>
  <c r="K140" i="92"/>
  <c r="J140" i="92"/>
  <c r="I140" i="92"/>
  <c r="H140" i="92"/>
  <c r="G140" i="92"/>
  <c r="F140" i="92"/>
  <c r="E140" i="92"/>
  <c r="D140" i="92"/>
  <c r="C140" i="92"/>
  <c r="B140" i="92"/>
  <c r="A139" i="92"/>
  <c r="K139" i="92"/>
  <c r="J139" i="92"/>
  <c r="I139" i="92"/>
  <c r="H139" i="92"/>
  <c r="G139" i="92"/>
  <c r="F139" i="92"/>
  <c r="E139" i="92"/>
  <c r="D139" i="92"/>
  <c r="C139" i="92"/>
  <c r="B139" i="92"/>
  <c r="A138" i="92"/>
  <c r="K138" i="92"/>
  <c r="J138" i="92"/>
  <c r="I138" i="92"/>
  <c r="H138" i="92"/>
  <c r="G138" i="92"/>
  <c r="F138" i="92"/>
  <c r="E138" i="92"/>
  <c r="D138" i="92"/>
  <c r="C138" i="92"/>
  <c r="B138" i="92"/>
  <c r="A137" i="92"/>
  <c r="K137" i="92"/>
  <c r="J137" i="92"/>
  <c r="I137" i="92"/>
  <c r="H137" i="92"/>
  <c r="G137" i="92"/>
  <c r="F137" i="92"/>
  <c r="E137" i="92"/>
  <c r="D137" i="92"/>
  <c r="C137" i="92"/>
  <c r="B137" i="92"/>
  <c r="A136" i="92"/>
  <c r="K136" i="92"/>
  <c r="J136" i="92"/>
  <c r="I136" i="92"/>
  <c r="H136" i="92"/>
  <c r="G136" i="92"/>
  <c r="F136" i="92"/>
  <c r="E136" i="92"/>
  <c r="D136" i="92"/>
  <c r="C136" i="92"/>
  <c r="B136" i="92"/>
  <c r="A135" i="92"/>
  <c r="K135" i="92"/>
  <c r="J135" i="92"/>
  <c r="I135" i="92"/>
  <c r="H135" i="92"/>
  <c r="G135" i="92"/>
  <c r="F135" i="92"/>
  <c r="E135" i="92"/>
  <c r="D135" i="92"/>
  <c r="C135" i="92"/>
  <c r="B135" i="92"/>
  <c r="A134" i="92"/>
  <c r="K134" i="92"/>
  <c r="J134" i="92"/>
  <c r="I134" i="92"/>
  <c r="H134" i="92"/>
  <c r="G134" i="92"/>
  <c r="F134" i="92"/>
  <c r="E134" i="92"/>
  <c r="D134" i="92"/>
  <c r="C134" i="92"/>
  <c r="B134" i="92"/>
  <c r="A133" i="92"/>
  <c r="K133" i="92"/>
  <c r="J133" i="92"/>
  <c r="I133" i="92"/>
  <c r="H133" i="92"/>
  <c r="G133" i="92"/>
  <c r="F133" i="92"/>
  <c r="E133" i="92"/>
  <c r="D133" i="92"/>
  <c r="C133" i="92"/>
  <c r="B133" i="92"/>
  <c r="A132" i="92"/>
  <c r="K132" i="92"/>
  <c r="J132" i="92"/>
  <c r="I132" i="92"/>
  <c r="H132" i="92"/>
  <c r="G132" i="92"/>
  <c r="F132" i="92"/>
  <c r="E132" i="92"/>
  <c r="D132" i="92"/>
  <c r="C132" i="92"/>
  <c r="B132" i="92"/>
  <c r="A131" i="92"/>
  <c r="K131" i="92"/>
  <c r="J131" i="92"/>
  <c r="I131" i="92"/>
  <c r="H131" i="92"/>
  <c r="G131" i="92"/>
  <c r="F131" i="92"/>
  <c r="E131" i="92"/>
  <c r="D131" i="92"/>
  <c r="C131" i="92"/>
  <c r="B131" i="92"/>
  <c r="A130" i="92"/>
  <c r="K130" i="92"/>
  <c r="J130" i="92"/>
  <c r="I130" i="92"/>
  <c r="H130" i="92"/>
  <c r="G130" i="92"/>
  <c r="F130" i="92"/>
  <c r="E130" i="92"/>
  <c r="D130" i="92"/>
  <c r="C130" i="92"/>
  <c r="B130" i="92"/>
  <c r="A129" i="92"/>
  <c r="K129" i="92"/>
  <c r="J129" i="92"/>
  <c r="I129" i="92"/>
  <c r="H129" i="92"/>
  <c r="G129" i="92"/>
  <c r="F129" i="92"/>
  <c r="E129" i="92"/>
  <c r="D129" i="92"/>
  <c r="C129" i="92"/>
  <c r="B129" i="92"/>
  <c r="A128" i="92"/>
  <c r="K128" i="92"/>
  <c r="J128" i="92"/>
  <c r="I128" i="92"/>
  <c r="H128" i="92"/>
  <c r="G128" i="92"/>
  <c r="F128" i="92"/>
  <c r="E128" i="92"/>
  <c r="D128" i="92"/>
  <c r="C128" i="92"/>
  <c r="B128" i="92"/>
  <c r="A127" i="92"/>
  <c r="K127" i="92"/>
  <c r="J127" i="92"/>
  <c r="I127" i="92"/>
  <c r="H127" i="92"/>
  <c r="G127" i="92"/>
  <c r="F127" i="92"/>
  <c r="E127" i="92"/>
  <c r="D127" i="92"/>
  <c r="C127" i="92"/>
  <c r="B127" i="92"/>
  <c r="A126" i="92"/>
  <c r="K126" i="92"/>
  <c r="J126" i="92"/>
  <c r="I126" i="92"/>
  <c r="H126" i="92"/>
  <c r="G126" i="92"/>
  <c r="F126" i="92"/>
  <c r="E126" i="92"/>
  <c r="D126" i="92"/>
  <c r="C126" i="92"/>
  <c r="B126" i="92"/>
  <c r="A125" i="92"/>
  <c r="K125" i="92"/>
  <c r="J125" i="92"/>
  <c r="I125" i="92"/>
  <c r="H125" i="92"/>
  <c r="G125" i="92"/>
  <c r="F125" i="92"/>
  <c r="E125" i="92"/>
  <c r="D125" i="92"/>
  <c r="C125" i="92"/>
  <c r="B125" i="92"/>
  <c r="A124" i="92"/>
  <c r="K124" i="92"/>
  <c r="J124" i="92"/>
  <c r="I124" i="92"/>
  <c r="H124" i="92"/>
  <c r="G124" i="92"/>
  <c r="F124" i="92"/>
  <c r="E124" i="92"/>
  <c r="D124" i="92"/>
  <c r="C124" i="92"/>
  <c r="B124" i="92"/>
  <c r="A123" i="92"/>
  <c r="K123" i="92"/>
  <c r="J123" i="92"/>
  <c r="I123" i="92"/>
  <c r="H123" i="92"/>
  <c r="G123" i="92"/>
  <c r="F123" i="92"/>
  <c r="E123" i="92"/>
  <c r="D123" i="92"/>
  <c r="C123" i="92"/>
  <c r="B123" i="92"/>
  <c r="A122" i="92"/>
  <c r="K122" i="92"/>
  <c r="J122" i="92"/>
  <c r="I122" i="92"/>
  <c r="H122" i="92"/>
  <c r="G122" i="92"/>
  <c r="F122" i="92"/>
  <c r="E122" i="92"/>
  <c r="D122" i="92"/>
  <c r="C122" i="92"/>
  <c r="B122" i="92"/>
  <c r="A121" i="92"/>
  <c r="K121" i="92"/>
  <c r="J121" i="92"/>
  <c r="I121" i="92"/>
  <c r="H121" i="92"/>
  <c r="G121" i="92"/>
  <c r="F121" i="92"/>
  <c r="E121" i="92"/>
  <c r="D121" i="92"/>
  <c r="C121" i="92"/>
  <c r="B121" i="92"/>
  <c r="A120" i="92"/>
  <c r="K120" i="92"/>
  <c r="J120" i="92"/>
  <c r="I120" i="92"/>
  <c r="H120" i="92"/>
  <c r="G120" i="92"/>
  <c r="F120" i="92"/>
  <c r="E120" i="92"/>
  <c r="D120" i="92"/>
  <c r="C120" i="92"/>
  <c r="B120" i="92"/>
  <c r="A119" i="92"/>
  <c r="K119" i="92"/>
  <c r="J119" i="92"/>
  <c r="I119" i="92"/>
  <c r="H119" i="92"/>
  <c r="G119" i="92"/>
  <c r="F119" i="92"/>
  <c r="E119" i="92"/>
  <c r="D119" i="92"/>
  <c r="C119" i="92"/>
  <c r="B119" i="92"/>
  <c r="A118" i="92"/>
  <c r="K118" i="92"/>
  <c r="J118" i="92"/>
  <c r="I118" i="92"/>
  <c r="H118" i="92"/>
  <c r="G118" i="92"/>
  <c r="F118" i="92"/>
  <c r="E118" i="92"/>
  <c r="D118" i="92"/>
  <c r="C118" i="92"/>
  <c r="B118" i="92"/>
  <c r="A117" i="92"/>
  <c r="K117" i="92"/>
  <c r="J117" i="92"/>
  <c r="I117" i="92"/>
  <c r="H117" i="92"/>
  <c r="G117" i="92"/>
  <c r="F117" i="92"/>
  <c r="E117" i="92"/>
  <c r="D117" i="92"/>
  <c r="C117" i="92"/>
  <c r="B117" i="92"/>
  <c r="A116" i="92"/>
  <c r="K116" i="92"/>
  <c r="J116" i="92"/>
  <c r="I116" i="92"/>
  <c r="H116" i="92"/>
  <c r="G116" i="92"/>
  <c r="F116" i="92"/>
  <c r="E116" i="92"/>
  <c r="D116" i="92"/>
  <c r="C116" i="92"/>
  <c r="B116" i="92"/>
  <c r="A115" i="92"/>
  <c r="K115" i="92"/>
  <c r="J115" i="92"/>
  <c r="I115" i="92"/>
  <c r="H115" i="92"/>
  <c r="G115" i="92"/>
  <c r="F115" i="92"/>
  <c r="E115" i="92"/>
  <c r="D115" i="92"/>
  <c r="C115" i="92"/>
  <c r="B115" i="92"/>
  <c r="A114" i="92"/>
  <c r="K114" i="92"/>
  <c r="J114" i="92"/>
  <c r="I114" i="92"/>
  <c r="H114" i="92"/>
  <c r="G114" i="92"/>
  <c r="F114" i="92"/>
  <c r="E114" i="92"/>
  <c r="D114" i="92"/>
  <c r="C114" i="92"/>
  <c r="B114" i="92"/>
  <c r="A113" i="92"/>
  <c r="K113" i="92"/>
  <c r="J113" i="92"/>
  <c r="I113" i="92"/>
  <c r="H113" i="92"/>
  <c r="G113" i="92"/>
  <c r="F113" i="92"/>
  <c r="E113" i="92"/>
  <c r="D113" i="92"/>
  <c r="C113" i="92"/>
  <c r="B113" i="92"/>
  <c r="A112" i="92"/>
  <c r="K112" i="92"/>
  <c r="J112" i="92"/>
  <c r="I112" i="92"/>
  <c r="H112" i="92"/>
  <c r="G112" i="92"/>
  <c r="F112" i="92"/>
  <c r="E112" i="92"/>
  <c r="D112" i="92"/>
  <c r="C112" i="92"/>
  <c r="B112" i="92"/>
  <c r="A111" i="92"/>
  <c r="K111" i="92"/>
  <c r="J111" i="92"/>
  <c r="I111" i="92"/>
  <c r="H111" i="92"/>
  <c r="G111" i="92"/>
  <c r="F111" i="92"/>
  <c r="E111" i="92"/>
  <c r="D111" i="92"/>
  <c r="C111" i="92"/>
  <c r="B111" i="92"/>
  <c r="A110" i="92"/>
  <c r="K110" i="92"/>
  <c r="J110" i="92"/>
  <c r="I110" i="92"/>
  <c r="H110" i="92"/>
  <c r="G110" i="92"/>
  <c r="F110" i="92"/>
  <c r="E110" i="92"/>
  <c r="D110" i="92"/>
  <c r="C110" i="92"/>
  <c r="B110" i="92"/>
  <c r="A109" i="92"/>
  <c r="K109" i="92"/>
  <c r="J109" i="92"/>
  <c r="I109" i="92"/>
  <c r="H109" i="92"/>
  <c r="G109" i="92"/>
  <c r="F109" i="92"/>
  <c r="E109" i="92"/>
  <c r="D109" i="92"/>
  <c r="C109" i="92"/>
  <c r="B109" i="92"/>
  <c r="A108" i="92"/>
  <c r="K108" i="92"/>
  <c r="J108" i="92"/>
  <c r="I108" i="92"/>
  <c r="H108" i="92"/>
  <c r="G108" i="92"/>
  <c r="F108" i="92"/>
  <c r="E108" i="92"/>
  <c r="D108" i="92"/>
  <c r="C108" i="92"/>
  <c r="B108" i="92"/>
  <c r="A107" i="92"/>
  <c r="K107" i="92"/>
  <c r="J107" i="92"/>
  <c r="I107" i="92"/>
  <c r="H107" i="92"/>
  <c r="G107" i="92"/>
  <c r="F107" i="92"/>
  <c r="E107" i="92"/>
  <c r="D107" i="92"/>
  <c r="C107" i="92"/>
  <c r="B107" i="92"/>
  <c r="A106" i="92"/>
  <c r="K106" i="92"/>
  <c r="J106" i="92"/>
  <c r="I106" i="92"/>
  <c r="H106" i="92"/>
  <c r="G106" i="92"/>
  <c r="F106" i="92"/>
  <c r="E106" i="92"/>
  <c r="D106" i="92"/>
  <c r="C106" i="92"/>
  <c r="B106" i="92"/>
  <c r="A105" i="92"/>
  <c r="K105" i="92"/>
  <c r="J105" i="92"/>
  <c r="I105" i="92"/>
  <c r="H105" i="92"/>
  <c r="G105" i="92"/>
  <c r="F105" i="92"/>
  <c r="E105" i="92"/>
  <c r="D105" i="92"/>
  <c r="C105" i="92"/>
  <c r="B105" i="92"/>
  <c r="A104" i="92"/>
  <c r="K104" i="92"/>
  <c r="J104" i="92"/>
  <c r="I104" i="92"/>
  <c r="H104" i="92"/>
  <c r="G104" i="92"/>
  <c r="F104" i="92"/>
  <c r="E104" i="92"/>
  <c r="D104" i="92"/>
  <c r="C104" i="92"/>
  <c r="B104" i="92"/>
  <c r="A103" i="92"/>
  <c r="K103" i="92"/>
  <c r="J103" i="92"/>
  <c r="I103" i="92"/>
  <c r="H103" i="92"/>
  <c r="G103" i="92"/>
  <c r="F103" i="92"/>
  <c r="E103" i="92"/>
  <c r="D103" i="92"/>
  <c r="C103" i="92"/>
  <c r="B103" i="92"/>
  <c r="A102" i="92"/>
  <c r="K102" i="92"/>
  <c r="J102" i="92"/>
  <c r="I102" i="92"/>
  <c r="H102" i="92"/>
  <c r="G102" i="92"/>
  <c r="F102" i="92"/>
  <c r="E102" i="92"/>
  <c r="D102" i="92"/>
  <c r="C102" i="92"/>
  <c r="B102" i="92"/>
  <c r="A101" i="92"/>
  <c r="K101" i="92"/>
  <c r="J101" i="92"/>
  <c r="I101" i="92"/>
  <c r="H101" i="92"/>
  <c r="G101" i="92"/>
  <c r="F101" i="92"/>
  <c r="E101" i="92"/>
  <c r="D101" i="92"/>
  <c r="C101" i="92"/>
  <c r="B101" i="92"/>
  <c r="A100" i="92"/>
  <c r="K100" i="92"/>
  <c r="J100" i="92"/>
  <c r="I100" i="92"/>
  <c r="H100" i="92"/>
  <c r="G100" i="92"/>
  <c r="F100" i="92"/>
  <c r="E100" i="92"/>
  <c r="D100" i="92"/>
  <c r="C100" i="92"/>
  <c r="B100" i="92"/>
  <c r="A99" i="92"/>
  <c r="K99" i="92"/>
  <c r="J99" i="92"/>
  <c r="I99" i="92"/>
  <c r="H99" i="92"/>
  <c r="G99" i="92"/>
  <c r="F99" i="92"/>
  <c r="E99" i="92"/>
  <c r="D99" i="92"/>
  <c r="C99" i="92"/>
  <c r="B99" i="92"/>
  <c r="A98" i="92"/>
  <c r="K98" i="92"/>
  <c r="J98" i="92"/>
  <c r="I98" i="92"/>
  <c r="H98" i="92"/>
  <c r="G98" i="92"/>
  <c r="F98" i="92"/>
  <c r="E98" i="92"/>
  <c r="D98" i="92"/>
  <c r="C98" i="92"/>
  <c r="B98" i="92"/>
  <c r="A97" i="92"/>
  <c r="K97" i="92"/>
  <c r="J97" i="92"/>
  <c r="I97" i="92"/>
  <c r="H97" i="92"/>
  <c r="G97" i="92"/>
  <c r="F97" i="92"/>
  <c r="E97" i="92"/>
  <c r="D97" i="92"/>
  <c r="C97" i="92"/>
  <c r="B97" i="92"/>
  <c r="A96" i="92"/>
  <c r="K96" i="92"/>
  <c r="J96" i="92"/>
  <c r="I96" i="92"/>
  <c r="H96" i="92"/>
  <c r="G96" i="92"/>
  <c r="F96" i="92"/>
  <c r="E96" i="92"/>
  <c r="D96" i="92"/>
  <c r="C96" i="92"/>
  <c r="B96" i="92"/>
  <c r="A95" i="92"/>
  <c r="K95" i="92"/>
  <c r="J95" i="92"/>
  <c r="I95" i="92"/>
  <c r="H95" i="92"/>
  <c r="G95" i="92"/>
  <c r="F95" i="92"/>
  <c r="E95" i="92"/>
  <c r="D95" i="92"/>
  <c r="C95" i="92"/>
  <c r="B95" i="92"/>
  <c r="A94" i="92"/>
  <c r="K94" i="92"/>
  <c r="J94" i="92"/>
  <c r="I94" i="92"/>
  <c r="H94" i="92"/>
  <c r="G94" i="92"/>
  <c r="F94" i="92"/>
  <c r="E94" i="92"/>
  <c r="D94" i="92"/>
  <c r="C94" i="92"/>
  <c r="B94" i="92"/>
  <c r="A93" i="92"/>
  <c r="K93" i="92"/>
  <c r="J93" i="92"/>
  <c r="I93" i="92"/>
  <c r="H93" i="92"/>
  <c r="G93" i="92"/>
  <c r="F93" i="92"/>
  <c r="E93" i="92"/>
  <c r="D93" i="92"/>
  <c r="C93" i="92"/>
  <c r="B93" i="92"/>
  <c r="A92" i="92"/>
  <c r="K92" i="92"/>
  <c r="J92" i="92"/>
  <c r="I92" i="92"/>
  <c r="H92" i="92"/>
  <c r="G92" i="92"/>
  <c r="F92" i="92"/>
  <c r="E92" i="92"/>
  <c r="D92" i="92"/>
  <c r="C92" i="92"/>
  <c r="B92" i="92"/>
  <c r="A91" i="92"/>
  <c r="K91" i="92"/>
  <c r="J91" i="92"/>
  <c r="I91" i="92"/>
  <c r="H91" i="92"/>
  <c r="G91" i="92"/>
  <c r="F91" i="92"/>
  <c r="E91" i="92"/>
  <c r="D91" i="92"/>
  <c r="C91" i="92"/>
  <c r="B91" i="92"/>
  <c r="A90" i="92"/>
  <c r="K90" i="92"/>
  <c r="J90" i="92"/>
  <c r="I90" i="92"/>
  <c r="H90" i="92"/>
  <c r="G90" i="92"/>
  <c r="F90" i="92"/>
  <c r="E90" i="92"/>
  <c r="D90" i="92"/>
  <c r="C90" i="92"/>
  <c r="B90" i="92"/>
  <c r="A89" i="92"/>
  <c r="K89" i="92"/>
  <c r="J89" i="92"/>
  <c r="I89" i="92"/>
  <c r="H89" i="92"/>
  <c r="G89" i="92"/>
  <c r="F89" i="92"/>
  <c r="E89" i="92"/>
  <c r="D89" i="92"/>
  <c r="C89" i="92"/>
  <c r="B89" i="92"/>
  <c r="A88" i="92"/>
  <c r="K88" i="92"/>
  <c r="J88" i="92"/>
  <c r="I88" i="92"/>
  <c r="H88" i="92"/>
  <c r="G88" i="92"/>
  <c r="F88" i="92"/>
  <c r="E88" i="92"/>
  <c r="D88" i="92"/>
  <c r="C88" i="92"/>
  <c r="B88" i="92"/>
  <c r="A87" i="92"/>
  <c r="K87" i="92"/>
  <c r="J87" i="92"/>
  <c r="I87" i="92"/>
  <c r="H87" i="92"/>
  <c r="G87" i="92"/>
  <c r="F87" i="92"/>
  <c r="E87" i="92"/>
  <c r="D87" i="92"/>
  <c r="C87" i="92"/>
  <c r="B87" i="92"/>
  <c r="A86" i="92"/>
  <c r="K86" i="92"/>
  <c r="J86" i="92"/>
  <c r="I86" i="92"/>
  <c r="H86" i="92"/>
  <c r="G86" i="92"/>
  <c r="F86" i="92"/>
  <c r="E86" i="92"/>
  <c r="D86" i="92"/>
  <c r="C86" i="92"/>
  <c r="B86" i="92"/>
  <c r="A85" i="92"/>
  <c r="K85" i="92"/>
  <c r="J85" i="92"/>
  <c r="I85" i="92"/>
  <c r="H85" i="92"/>
  <c r="G85" i="92"/>
  <c r="F85" i="92"/>
  <c r="E85" i="92"/>
  <c r="D85" i="92"/>
  <c r="C85" i="92"/>
  <c r="B85" i="92"/>
  <c r="A84" i="92"/>
  <c r="K84" i="92"/>
  <c r="J84" i="92"/>
  <c r="I84" i="92"/>
  <c r="H84" i="92"/>
  <c r="G84" i="92"/>
  <c r="F84" i="92"/>
  <c r="E84" i="92"/>
  <c r="D84" i="92"/>
  <c r="C84" i="92"/>
  <c r="B84" i="92"/>
  <c r="A83" i="92"/>
  <c r="K83" i="92"/>
  <c r="J83" i="92"/>
  <c r="I83" i="92"/>
  <c r="H83" i="92"/>
  <c r="G83" i="92"/>
  <c r="F83" i="92"/>
  <c r="E83" i="92"/>
  <c r="D83" i="92"/>
  <c r="C83" i="92"/>
  <c r="B83" i="92"/>
  <c r="A82" i="92"/>
  <c r="K82" i="92"/>
  <c r="J82" i="92"/>
  <c r="I82" i="92"/>
  <c r="H82" i="92"/>
  <c r="G82" i="92"/>
  <c r="F82" i="92"/>
  <c r="E82" i="92"/>
  <c r="D82" i="92"/>
  <c r="C82" i="92"/>
  <c r="B82" i="92"/>
  <c r="A81" i="92"/>
  <c r="K81" i="92"/>
  <c r="J81" i="92"/>
  <c r="I81" i="92"/>
  <c r="H81" i="92"/>
  <c r="G81" i="92"/>
  <c r="F81" i="92"/>
  <c r="E81" i="92"/>
  <c r="D81" i="92"/>
  <c r="C81" i="92"/>
  <c r="B81" i="92"/>
  <c r="A80" i="92"/>
  <c r="K80" i="92"/>
  <c r="J80" i="92"/>
  <c r="I80" i="92"/>
  <c r="H80" i="92"/>
  <c r="G80" i="92"/>
  <c r="F80" i="92"/>
  <c r="E80" i="92"/>
  <c r="D80" i="92"/>
  <c r="C80" i="92"/>
  <c r="B80" i="92"/>
  <c r="A79" i="92"/>
  <c r="K79" i="92"/>
  <c r="J79" i="92"/>
  <c r="I79" i="92"/>
  <c r="H79" i="92"/>
  <c r="G79" i="92"/>
  <c r="F79" i="92"/>
  <c r="E79" i="92"/>
  <c r="D79" i="92"/>
  <c r="C79" i="92"/>
  <c r="B79" i="92"/>
  <c r="A78" i="92"/>
  <c r="K78" i="92"/>
  <c r="J78" i="92"/>
  <c r="I78" i="92"/>
  <c r="H78" i="92"/>
  <c r="G78" i="92"/>
  <c r="F78" i="92"/>
  <c r="E78" i="92"/>
  <c r="D78" i="92"/>
  <c r="C78" i="92"/>
  <c r="B78" i="92"/>
  <c r="A77" i="92"/>
  <c r="K77" i="92"/>
  <c r="J77" i="92"/>
  <c r="I77" i="92"/>
  <c r="H77" i="92"/>
  <c r="G77" i="92"/>
  <c r="F77" i="92"/>
  <c r="E77" i="92"/>
  <c r="D77" i="92"/>
  <c r="C77" i="92"/>
  <c r="B77" i="92"/>
  <c r="A76" i="92"/>
  <c r="K76" i="92"/>
  <c r="J76" i="92"/>
  <c r="I76" i="92"/>
  <c r="H76" i="92"/>
  <c r="G76" i="92"/>
  <c r="F76" i="92"/>
  <c r="E76" i="92"/>
  <c r="D76" i="92"/>
  <c r="C76" i="92"/>
  <c r="B76" i="92"/>
  <c r="A75" i="92"/>
  <c r="K75" i="92"/>
  <c r="J75" i="92"/>
  <c r="I75" i="92"/>
  <c r="H75" i="92"/>
  <c r="G75" i="92"/>
  <c r="F75" i="92"/>
  <c r="E75" i="92"/>
  <c r="D75" i="92"/>
  <c r="C75" i="92"/>
  <c r="B75" i="92"/>
  <c r="A74" i="92"/>
  <c r="K74" i="92"/>
  <c r="J74" i="92"/>
  <c r="I74" i="92"/>
  <c r="H74" i="92"/>
  <c r="G74" i="92"/>
  <c r="F74" i="92"/>
  <c r="E74" i="92"/>
  <c r="D74" i="92"/>
  <c r="C74" i="92"/>
  <c r="B74" i="92"/>
  <c r="A73" i="92"/>
  <c r="K73" i="92"/>
  <c r="J73" i="92"/>
  <c r="I73" i="92"/>
  <c r="H73" i="92"/>
  <c r="G73" i="92"/>
  <c r="F73" i="92"/>
  <c r="E73" i="92"/>
  <c r="D73" i="92"/>
  <c r="C73" i="92"/>
  <c r="B73" i="92"/>
  <c r="A72" i="92"/>
  <c r="K72" i="92"/>
  <c r="J72" i="92"/>
  <c r="I72" i="92"/>
  <c r="H72" i="92"/>
  <c r="G72" i="92"/>
  <c r="F72" i="92"/>
  <c r="E72" i="92"/>
  <c r="D72" i="92"/>
  <c r="C72" i="92"/>
  <c r="B72" i="92"/>
  <c r="A71" i="92"/>
  <c r="K71" i="92"/>
  <c r="J71" i="92"/>
  <c r="I71" i="92"/>
  <c r="H71" i="92"/>
  <c r="G71" i="92"/>
  <c r="F71" i="92"/>
  <c r="E71" i="92"/>
  <c r="D71" i="92"/>
  <c r="C71" i="92"/>
  <c r="B71" i="92"/>
  <c r="A70" i="92"/>
  <c r="K70" i="92"/>
  <c r="J70" i="92"/>
  <c r="I70" i="92"/>
  <c r="H70" i="92"/>
  <c r="G70" i="92"/>
  <c r="F70" i="92"/>
  <c r="E70" i="92"/>
  <c r="D70" i="92"/>
  <c r="C70" i="92"/>
  <c r="B70" i="92"/>
  <c r="A69" i="92"/>
  <c r="K69" i="92"/>
  <c r="J69" i="92"/>
  <c r="I69" i="92"/>
  <c r="H69" i="92"/>
  <c r="G69" i="92"/>
  <c r="F69" i="92"/>
  <c r="E69" i="92"/>
  <c r="D69" i="92"/>
  <c r="C69" i="92"/>
  <c r="B69" i="92"/>
  <c r="A68" i="92"/>
  <c r="K68" i="92"/>
  <c r="J68" i="92"/>
  <c r="I68" i="92"/>
  <c r="H68" i="92"/>
  <c r="G68" i="92"/>
  <c r="F68" i="92"/>
  <c r="E68" i="92"/>
  <c r="D68" i="92"/>
  <c r="C68" i="92"/>
  <c r="B68" i="92"/>
  <c r="A67" i="92"/>
  <c r="K67" i="92"/>
  <c r="J67" i="92"/>
  <c r="I67" i="92"/>
  <c r="H67" i="92"/>
  <c r="G67" i="92"/>
  <c r="F67" i="92"/>
  <c r="E67" i="92"/>
  <c r="D67" i="92"/>
  <c r="C67" i="92"/>
  <c r="B67" i="92"/>
  <c r="A66" i="92"/>
  <c r="K66" i="92"/>
  <c r="J66" i="92"/>
  <c r="I66" i="92"/>
  <c r="H66" i="92"/>
  <c r="G66" i="92"/>
  <c r="F66" i="92"/>
  <c r="E66" i="92"/>
  <c r="D66" i="92"/>
  <c r="C66" i="92"/>
  <c r="B66" i="92"/>
  <c r="A65" i="92"/>
  <c r="K65" i="92"/>
  <c r="J65" i="92"/>
  <c r="I65" i="92"/>
  <c r="H65" i="92"/>
  <c r="G65" i="92"/>
  <c r="F65" i="92"/>
  <c r="E65" i="92"/>
  <c r="D65" i="92"/>
  <c r="C65" i="92"/>
  <c r="B65" i="92"/>
  <c r="A64" i="92"/>
  <c r="K64" i="92"/>
  <c r="J64" i="92"/>
  <c r="I64" i="92"/>
  <c r="H64" i="92"/>
  <c r="G64" i="92"/>
  <c r="F64" i="92"/>
  <c r="E64" i="92"/>
  <c r="D64" i="92"/>
  <c r="C64" i="92"/>
  <c r="B64" i="92"/>
  <c r="A63" i="92"/>
  <c r="K63" i="92"/>
  <c r="J63" i="92"/>
  <c r="I63" i="92"/>
  <c r="H63" i="92"/>
  <c r="G63" i="92"/>
  <c r="F63" i="92"/>
  <c r="E63" i="92"/>
  <c r="D63" i="92"/>
  <c r="C63" i="92"/>
  <c r="B63" i="92"/>
  <c r="A62" i="92"/>
  <c r="K62" i="92"/>
  <c r="J62" i="92"/>
  <c r="I62" i="92"/>
  <c r="H62" i="92"/>
  <c r="G62" i="92"/>
  <c r="F62" i="92"/>
  <c r="E62" i="92"/>
  <c r="D62" i="92"/>
  <c r="C62" i="92"/>
  <c r="B62" i="92"/>
  <c r="A61" i="92"/>
  <c r="K61" i="92"/>
  <c r="J61" i="92"/>
  <c r="I61" i="92"/>
  <c r="H61" i="92"/>
  <c r="G61" i="92"/>
  <c r="F61" i="92"/>
  <c r="E61" i="92"/>
  <c r="D61" i="92"/>
  <c r="C61" i="92"/>
  <c r="B61" i="92"/>
  <c r="A60" i="92"/>
  <c r="K60" i="92"/>
  <c r="J60" i="92"/>
  <c r="I60" i="92"/>
  <c r="H60" i="92"/>
  <c r="G60" i="92"/>
  <c r="F60" i="92"/>
  <c r="E60" i="92"/>
  <c r="D60" i="92"/>
  <c r="C60" i="92"/>
  <c r="B60" i="92"/>
  <c r="A59" i="92"/>
  <c r="K59" i="92"/>
  <c r="J59" i="92"/>
  <c r="I59" i="92"/>
  <c r="H59" i="92"/>
  <c r="G59" i="92"/>
  <c r="F59" i="92"/>
  <c r="E59" i="92"/>
  <c r="D59" i="92"/>
  <c r="C59" i="92"/>
  <c r="B59" i="92"/>
  <c r="A58" i="92"/>
  <c r="K58" i="92"/>
  <c r="J58" i="92"/>
  <c r="I58" i="92"/>
  <c r="H58" i="92"/>
  <c r="G58" i="92"/>
  <c r="F58" i="92"/>
  <c r="E58" i="92"/>
  <c r="D58" i="92"/>
  <c r="C58" i="92"/>
  <c r="B58" i="92"/>
  <c r="A57" i="92"/>
  <c r="K57" i="92"/>
  <c r="J57" i="92"/>
  <c r="I57" i="92"/>
  <c r="H57" i="92"/>
  <c r="G57" i="92"/>
  <c r="F57" i="92"/>
  <c r="E57" i="92"/>
  <c r="D57" i="92"/>
  <c r="C57" i="92"/>
  <c r="B57" i="92"/>
  <c r="A56" i="92"/>
  <c r="K56" i="92"/>
  <c r="J56" i="92"/>
  <c r="I56" i="92"/>
  <c r="H56" i="92"/>
  <c r="G56" i="92"/>
  <c r="F56" i="92"/>
  <c r="E56" i="92"/>
  <c r="D56" i="92"/>
  <c r="C56" i="92"/>
  <c r="B56" i="92"/>
  <c r="A55" i="92"/>
  <c r="K55" i="92"/>
  <c r="J55" i="92"/>
  <c r="I55" i="92"/>
  <c r="H55" i="92"/>
  <c r="G55" i="92"/>
  <c r="F55" i="92"/>
  <c r="E55" i="92"/>
  <c r="D55" i="92"/>
  <c r="C55" i="92"/>
  <c r="B55" i="92"/>
  <c r="A54" i="92"/>
  <c r="K54" i="92"/>
  <c r="J54" i="92"/>
  <c r="I54" i="92"/>
  <c r="H54" i="92"/>
  <c r="G54" i="92"/>
  <c r="F54" i="92"/>
  <c r="E54" i="92"/>
  <c r="D54" i="92"/>
  <c r="C54" i="92"/>
  <c r="B54" i="92"/>
  <c r="A53" i="92"/>
  <c r="K53" i="92"/>
  <c r="J53" i="92"/>
  <c r="I53" i="92"/>
  <c r="H53" i="92"/>
  <c r="G53" i="92"/>
  <c r="F53" i="92"/>
  <c r="E53" i="92"/>
  <c r="D53" i="92"/>
  <c r="C53" i="92"/>
  <c r="B53" i="92"/>
  <c r="A52" i="92"/>
  <c r="K52" i="92"/>
  <c r="J52" i="92"/>
  <c r="I52" i="92"/>
  <c r="H52" i="92"/>
  <c r="G52" i="92"/>
  <c r="F52" i="92"/>
  <c r="E52" i="92"/>
  <c r="D52" i="92"/>
  <c r="C52" i="92"/>
  <c r="B52" i="92"/>
  <c r="A51" i="92"/>
  <c r="K51" i="92"/>
  <c r="J51" i="92"/>
  <c r="I51" i="92"/>
  <c r="H51" i="92"/>
  <c r="G51" i="92"/>
  <c r="F51" i="92"/>
  <c r="E51" i="92"/>
  <c r="D51" i="92"/>
  <c r="C51" i="92"/>
  <c r="B51" i="92"/>
  <c r="A50" i="92"/>
  <c r="K50" i="92"/>
  <c r="J50" i="92"/>
  <c r="I50" i="92"/>
  <c r="H50" i="92"/>
  <c r="G50" i="92"/>
  <c r="F50" i="92"/>
  <c r="E50" i="92"/>
  <c r="D50" i="92"/>
  <c r="C50" i="92"/>
  <c r="B50" i="92"/>
  <c r="A49" i="92"/>
  <c r="K49" i="92"/>
  <c r="J49" i="92"/>
  <c r="I49" i="92"/>
  <c r="H49" i="92"/>
  <c r="G49" i="92"/>
  <c r="F49" i="92"/>
  <c r="E49" i="92"/>
  <c r="D49" i="92"/>
  <c r="C49" i="92"/>
  <c r="B49" i="92"/>
  <c r="A48" i="92"/>
  <c r="K48" i="92"/>
  <c r="J48" i="92"/>
  <c r="I48" i="92"/>
  <c r="H48" i="92"/>
  <c r="G48" i="92"/>
  <c r="F48" i="92"/>
  <c r="E48" i="92"/>
  <c r="D48" i="92"/>
  <c r="C48" i="92"/>
  <c r="B48" i="92"/>
  <c r="A47" i="92"/>
  <c r="K47" i="92"/>
  <c r="J47" i="92"/>
  <c r="I47" i="92"/>
  <c r="H47" i="92"/>
  <c r="G47" i="92"/>
  <c r="F47" i="92"/>
  <c r="E47" i="92"/>
  <c r="D47" i="92"/>
  <c r="C47" i="92"/>
  <c r="B47" i="92"/>
  <c r="A46" i="92"/>
  <c r="K46" i="92"/>
  <c r="J46" i="92"/>
  <c r="I46" i="92"/>
  <c r="H46" i="92"/>
  <c r="G46" i="92"/>
  <c r="F46" i="92"/>
  <c r="E46" i="92"/>
  <c r="D46" i="92"/>
  <c r="C46" i="92"/>
  <c r="B46" i="92"/>
  <c r="A45" i="92"/>
  <c r="K45" i="92"/>
  <c r="J45" i="92"/>
  <c r="I45" i="92"/>
  <c r="H45" i="92"/>
  <c r="G45" i="92"/>
  <c r="F45" i="92"/>
  <c r="E45" i="92"/>
  <c r="D45" i="92"/>
  <c r="C45" i="92"/>
  <c r="B45" i="92"/>
  <c r="A44" i="92"/>
  <c r="K44" i="92"/>
  <c r="J44" i="92"/>
  <c r="I44" i="92"/>
  <c r="H44" i="92"/>
  <c r="G44" i="92"/>
  <c r="F44" i="92"/>
  <c r="E44" i="92"/>
  <c r="D44" i="92"/>
  <c r="C44" i="92"/>
  <c r="B44" i="92"/>
  <c r="A43" i="92"/>
  <c r="K43" i="92"/>
  <c r="J43" i="92"/>
  <c r="I43" i="92"/>
  <c r="H43" i="92"/>
  <c r="G43" i="92"/>
  <c r="F43" i="92"/>
  <c r="E43" i="92"/>
  <c r="D43" i="92"/>
  <c r="C43" i="92"/>
  <c r="B43" i="92"/>
  <c r="A42" i="92"/>
  <c r="K42" i="92"/>
  <c r="J42" i="92"/>
  <c r="I42" i="92"/>
  <c r="H42" i="92"/>
  <c r="G42" i="92"/>
  <c r="F42" i="92"/>
  <c r="E42" i="92"/>
  <c r="D42" i="92"/>
  <c r="C42" i="92"/>
  <c r="B42" i="92"/>
  <c r="A41" i="92"/>
  <c r="K41" i="92"/>
  <c r="J41" i="92"/>
  <c r="I41" i="92"/>
  <c r="H41" i="92"/>
  <c r="G41" i="92"/>
  <c r="F41" i="92"/>
  <c r="E41" i="92"/>
  <c r="D41" i="92"/>
  <c r="C41" i="92"/>
  <c r="B41" i="92"/>
  <c r="A40" i="92"/>
  <c r="K40" i="92"/>
  <c r="J40" i="92"/>
  <c r="I40" i="92"/>
  <c r="H40" i="92"/>
  <c r="G40" i="92"/>
  <c r="F40" i="92"/>
  <c r="E40" i="92"/>
  <c r="D40" i="92"/>
  <c r="C40" i="92"/>
  <c r="B40" i="92"/>
  <c r="A39" i="92"/>
  <c r="K39" i="92"/>
  <c r="J39" i="92"/>
  <c r="I39" i="92"/>
  <c r="H39" i="92"/>
  <c r="G39" i="92"/>
  <c r="F39" i="92"/>
  <c r="E39" i="92"/>
  <c r="D39" i="92"/>
  <c r="C39" i="92"/>
  <c r="B39" i="92"/>
  <c r="A38" i="92"/>
  <c r="K38" i="92"/>
  <c r="J38" i="92"/>
  <c r="I38" i="92"/>
  <c r="H38" i="92"/>
  <c r="G38" i="92"/>
  <c r="F38" i="92"/>
  <c r="E38" i="92"/>
  <c r="D38" i="92"/>
  <c r="C38" i="92"/>
  <c r="B38" i="92"/>
  <c r="A37" i="92"/>
  <c r="K37" i="92"/>
  <c r="J37" i="92"/>
  <c r="I37" i="92"/>
  <c r="H37" i="92"/>
  <c r="G37" i="92"/>
  <c r="F37" i="92"/>
  <c r="E37" i="92"/>
  <c r="D37" i="92"/>
  <c r="C37" i="92"/>
  <c r="B37" i="92"/>
  <c r="A36" i="92"/>
  <c r="K36" i="92"/>
  <c r="J36" i="92"/>
  <c r="I36" i="92"/>
  <c r="H36" i="92"/>
  <c r="G36" i="92"/>
  <c r="F36" i="92"/>
  <c r="E36" i="92"/>
  <c r="D36" i="92"/>
  <c r="C36" i="92"/>
  <c r="B36" i="92"/>
  <c r="A35" i="92"/>
  <c r="K35" i="92"/>
  <c r="J35" i="92"/>
  <c r="I35" i="92"/>
  <c r="H35" i="92"/>
  <c r="G35" i="92"/>
  <c r="F35" i="92"/>
  <c r="E35" i="92"/>
  <c r="D35" i="92"/>
  <c r="C35" i="92"/>
  <c r="B35" i="92"/>
  <c r="A34" i="92"/>
  <c r="K34" i="92"/>
  <c r="J34" i="92"/>
  <c r="I34" i="92"/>
  <c r="H34" i="92"/>
  <c r="G34" i="92"/>
  <c r="F34" i="92"/>
  <c r="E34" i="92"/>
  <c r="D34" i="92"/>
  <c r="C34" i="92"/>
  <c r="B34" i="92"/>
  <c r="A33" i="92"/>
  <c r="K33" i="92"/>
  <c r="J33" i="92"/>
  <c r="I33" i="92"/>
  <c r="H33" i="92"/>
  <c r="G33" i="92"/>
  <c r="F33" i="92"/>
  <c r="E33" i="92"/>
  <c r="D33" i="92"/>
  <c r="C33" i="92"/>
  <c r="B33" i="92"/>
  <c r="A32" i="92"/>
  <c r="K32" i="92"/>
  <c r="J32" i="92"/>
  <c r="I32" i="92"/>
  <c r="H32" i="92"/>
  <c r="G32" i="92"/>
  <c r="F32" i="92"/>
  <c r="E32" i="92"/>
  <c r="D32" i="92"/>
  <c r="C32" i="92"/>
  <c r="B32" i="92"/>
  <c r="A31" i="92"/>
  <c r="K31" i="92"/>
  <c r="J31" i="92"/>
  <c r="I31" i="92"/>
  <c r="H31" i="92"/>
  <c r="G31" i="92"/>
  <c r="F31" i="92"/>
  <c r="E31" i="92"/>
  <c r="D31" i="92"/>
  <c r="C31" i="92"/>
  <c r="B31" i="92"/>
  <c r="A30" i="92"/>
  <c r="K30" i="92"/>
  <c r="J30" i="92"/>
  <c r="I30" i="92"/>
  <c r="H30" i="92"/>
  <c r="G30" i="92"/>
  <c r="F30" i="92"/>
  <c r="E30" i="92"/>
  <c r="D30" i="92"/>
  <c r="C30" i="92"/>
  <c r="B30" i="92"/>
  <c r="A29" i="92"/>
  <c r="K29" i="92"/>
  <c r="J29" i="92"/>
  <c r="I29" i="92"/>
  <c r="H29" i="92"/>
  <c r="G29" i="92"/>
  <c r="F29" i="92"/>
  <c r="E29" i="92"/>
  <c r="D29" i="92"/>
  <c r="C29" i="92"/>
  <c r="B29" i="92"/>
  <c r="A28" i="92"/>
  <c r="K28" i="92"/>
  <c r="J28" i="92"/>
  <c r="I28" i="92"/>
  <c r="H28" i="92"/>
  <c r="G28" i="92"/>
  <c r="F28" i="92"/>
  <c r="E28" i="92"/>
  <c r="D28" i="92"/>
  <c r="C28" i="92"/>
  <c r="B28" i="92"/>
  <c r="A27" i="92"/>
  <c r="K27" i="92"/>
  <c r="J27" i="92"/>
  <c r="I27" i="92"/>
  <c r="H27" i="92"/>
  <c r="G27" i="92"/>
  <c r="F27" i="92"/>
  <c r="E27" i="92"/>
  <c r="D27" i="92"/>
  <c r="C27" i="92"/>
  <c r="B27" i="92"/>
  <c r="A26" i="92"/>
  <c r="K26" i="92"/>
  <c r="J26" i="92"/>
  <c r="I26" i="92"/>
  <c r="H26" i="92"/>
  <c r="G26" i="92"/>
  <c r="F26" i="92"/>
  <c r="E26" i="92"/>
  <c r="D26" i="92"/>
  <c r="C26" i="92"/>
  <c r="B26" i="92"/>
  <c r="A25" i="92"/>
  <c r="K25" i="92"/>
  <c r="J25" i="92"/>
  <c r="I25" i="92"/>
  <c r="H25" i="92"/>
  <c r="G25" i="92"/>
  <c r="F25" i="92"/>
  <c r="E25" i="92"/>
  <c r="D25" i="92"/>
  <c r="C25" i="92"/>
  <c r="B25" i="92"/>
  <c r="A24" i="92"/>
  <c r="K24" i="92"/>
  <c r="J24" i="92"/>
  <c r="I24" i="92"/>
  <c r="H24" i="92"/>
  <c r="G24" i="92"/>
  <c r="F24" i="92"/>
  <c r="E24" i="92"/>
  <c r="D24" i="92"/>
  <c r="C24" i="92"/>
  <c r="B24" i="92"/>
  <c r="A23" i="92"/>
  <c r="K23" i="92"/>
  <c r="J23" i="92"/>
  <c r="I23" i="92"/>
  <c r="H23" i="92"/>
  <c r="G23" i="92"/>
  <c r="F23" i="92"/>
  <c r="E23" i="92"/>
  <c r="D23" i="92"/>
  <c r="C23" i="92"/>
  <c r="B23" i="92"/>
  <c r="A22" i="92"/>
  <c r="K22" i="92"/>
  <c r="J22" i="92"/>
  <c r="I22" i="92"/>
  <c r="H22" i="92"/>
  <c r="G22" i="92"/>
  <c r="F22" i="92"/>
  <c r="E22" i="92"/>
  <c r="D22" i="92"/>
  <c r="C22" i="92"/>
  <c r="B22" i="92"/>
  <c r="A21" i="92"/>
  <c r="K21" i="92"/>
  <c r="J21" i="92"/>
  <c r="I21" i="92"/>
  <c r="H21" i="92"/>
  <c r="G21" i="92"/>
  <c r="F21" i="92"/>
  <c r="E21" i="92"/>
  <c r="D21" i="92"/>
  <c r="C21" i="92"/>
  <c r="B21" i="92"/>
  <c r="A20" i="92"/>
  <c r="K20" i="92"/>
  <c r="J20" i="92"/>
  <c r="I20" i="92"/>
  <c r="H20" i="92"/>
  <c r="G20" i="92"/>
  <c r="F20" i="92"/>
  <c r="E20" i="92"/>
  <c r="D20" i="92"/>
  <c r="C20" i="92"/>
  <c r="B20" i="92"/>
  <c r="A19" i="92"/>
  <c r="K19" i="92"/>
  <c r="J19" i="92"/>
  <c r="I19" i="92"/>
  <c r="H19" i="92"/>
  <c r="G19" i="92"/>
  <c r="F19" i="92"/>
  <c r="E19" i="92"/>
  <c r="D19" i="92"/>
  <c r="C19" i="92"/>
  <c r="B19" i="92"/>
  <c r="A18" i="92"/>
  <c r="K18" i="92"/>
  <c r="J18" i="92"/>
  <c r="I18" i="92"/>
  <c r="H18" i="92"/>
  <c r="G18" i="92"/>
  <c r="F18" i="92"/>
  <c r="E18" i="92"/>
  <c r="D18" i="92"/>
  <c r="C18" i="92"/>
  <c r="B18" i="92"/>
  <c r="A17" i="92"/>
  <c r="K17" i="92"/>
  <c r="J17" i="92"/>
  <c r="I17" i="92"/>
  <c r="H17" i="92"/>
  <c r="G17" i="92"/>
  <c r="F17" i="92"/>
  <c r="E17" i="92"/>
  <c r="D17" i="92"/>
  <c r="C17" i="92"/>
  <c r="B17" i="92"/>
  <c r="A16" i="92"/>
  <c r="K16" i="92"/>
  <c r="J16" i="92"/>
  <c r="I16" i="92"/>
  <c r="H16" i="92"/>
  <c r="G16" i="92"/>
  <c r="F16" i="92"/>
  <c r="E16" i="92"/>
  <c r="D16" i="92"/>
  <c r="C16" i="92"/>
  <c r="B16" i="92"/>
  <c r="A15" i="92"/>
  <c r="K15" i="92"/>
  <c r="J15" i="92"/>
  <c r="I15" i="92"/>
  <c r="H15" i="92"/>
  <c r="G15" i="92"/>
  <c r="F15" i="92"/>
  <c r="E15" i="92"/>
  <c r="D15" i="92"/>
  <c r="C15" i="92"/>
  <c r="B15" i="92"/>
  <c r="A14" i="92"/>
  <c r="K14" i="92"/>
  <c r="J14" i="92"/>
  <c r="I14" i="92"/>
  <c r="H14" i="92"/>
  <c r="G14" i="92"/>
  <c r="F14" i="92"/>
  <c r="E14" i="92"/>
  <c r="D14" i="92"/>
  <c r="C14" i="92"/>
  <c r="B14" i="92"/>
  <c r="A13" i="92"/>
  <c r="K13" i="92"/>
  <c r="J13" i="92"/>
  <c r="I13" i="92"/>
  <c r="H13" i="92"/>
  <c r="G13" i="92"/>
  <c r="F13" i="92"/>
  <c r="E13" i="92"/>
  <c r="D13" i="92"/>
  <c r="C13" i="92"/>
  <c r="B13" i="92"/>
  <c r="A12" i="92"/>
  <c r="K12" i="92"/>
  <c r="J12" i="92"/>
  <c r="I12" i="92"/>
  <c r="H12" i="92"/>
  <c r="G12" i="92"/>
  <c r="F12" i="92"/>
  <c r="E12" i="92"/>
  <c r="D12" i="92"/>
  <c r="C12" i="92"/>
  <c r="B12" i="92"/>
  <c r="A11" i="92"/>
  <c r="K11" i="92"/>
  <c r="J11" i="92"/>
  <c r="I11" i="92"/>
  <c r="H11" i="92"/>
  <c r="G11" i="92"/>
  <c r="F11" i="92"/>
  <c r="E11" i="92"/>
  <c r="D11" i="92"/>
  <c r="C11" i="92"/>
  <c r="B11" i="92"/>
  <c r="A10" i="92"/>
  <c r="K10" i="92"/>
  <c r="J10" i="92"/>
  <c r="I10" i="92"/>
  <c r="H10" i="92"/>
  <c r="G10" i="92"/>
  <c r="F10" i="92"/>
  <c r="E10" i="92"/>
  <c r="D10" i="92"/>
  <c r="C10" i="92"/>
  <c r="B10" i="92"/>
  <c r="A9" i="92"/>
  <c r="K9" i="92"/>
  <c r="J9" i="92"/>
  <c r="I9" i="92"/>
  <c r="H9" i="92"/>
  <c r="G9" i="92"/>
  <c r="F9" i="92"/>
  <c r="E9" i="92"/>
  <c r="D9" i="92"/>
  <c r="C9" i="92"/>
  <c r="B9" i="92"/>
  <c r="A8" i="92"/>
  <c r="K8" i="92"/>
  <c r="J8" i="92"/>
  <c r="I8" i="92"/>
  <c r="H8" i="92"/>
  <c r="G8" i="92"/>
  <c r="F8" i="92"/>
  <c r="E8" i="92"/>
  <c r="D8" i="92"/>
  <c r="C8" i="92"/>
  <c r="B8" i="92"/>
  <c r="A7" i="92"/>
  <c r="K7" i="92"/>
  <c r="J7" i="92"/>
  <c r="I7" i="92"/>
  <c r="H7" i="92"/>
  <c r="G7" i="92"/>
  <c r="F7" i="92"/>
  <c r="E7" i="92"/>
  <c r="D7" i="92"/>
  <c r="C7" i="92"/>
  <c r="B7" i="92"/>
  <c r="A6" i="92"/>
  <c r="K6" i="92"/>
  <c r="J6" i="92"/>
  <c r="I6" i="92"/>
  <c r="H6" i="92"/>
  <c r="G6" i="92"/>
  <c r="F6" i="92"/>
  <c r="E6" i="92"/>
  <c r="D6" i="92"/>
  <c r="C6" i="92"/>
  <c r="B6" i="92"/>
  <c r="A5" i="92"/>
  <c r="K5" i="92"/>
  <c r="J5" i="92"/>
  <c r="I5" i="92"/>
  <c r="H5" i="92"/>
  <c r="G5" i="92"/>
  <c r="F5" i="92"/>
  <c r="E5" i="92"/>
  <c r="D5" i="92"/>
  <c r="C5" i="92"/>
  <c r="B5" i="92"/>
  <c r="A4" i="92"/>
  <c r="K4" i="92"/>
  <c r="J4" i="92"/>
  <c r="I4" i="92"/>
  <c r="H4" i="92"/>
  <c r="G4" i="92"/>
  <c r="F4" i="92"/>
  <c r="E4" i="92"/>
  <c r="D4" i="92"/>
  <c r="C4" i="92"/>
  <c r="B4" i="92"/>
  <c r="A3" i="92"/>
  <c r="K3" i="92"/>
  <c r="J3" i="92"/>
  <c r="I3" i="92"/>
  <c r="H3" i="92"/>
  <c r="G3" i="92"/>
  <c r="F3" i="92"/>
  <c r="E3" i="92"/>
  <c r="D3" i="92"/>
  <c r="C3" i="92"/>
  <c r="B3" i="92"/>
  <c r="K255" i="91"/>
  <c r="J255" i="91"/>
  <c r="I255" i="91"/>
  <c r="F255" i="91"/>
  <c r="A255" i="91"/>
  <c r="K254" i="91"/>
  <c r="J254" i="91"/>
  <c r="I254" i="91"/>
  <c r="F254" i="91"/>
  <c r="A254" i="91"/>
  <c r="K253" i="91"/>
  <c r="J253" i="91"/>
  <c r="I253" i="91"/>
  <c r="F253" i="91"/>
  <c r="A253" i="91"/>
  <c r="K252" i="91"/>
  <c r="J252" i="91"/>
  <c r="I252" i="91"/>
  <c r="F252" i="91"/>
  <c r="A252" i="91"/>
  <c r="K251" i="91"/>
  <c r="J251" i="91"/>
  <c r="I251" i="91"/>
  <c r="F251" i="91"/>
  <c r="A251" i="91"/>
  <c r="K250" i="91"/>
  <c r="J250" i="91"/>
  <c r="I250" i="91"/>
  <c r="F250" i="91"/>
  <c r="A250" i="91"/>
  <c r="K249" i="91"/>
  <c r="J249" i="91"/>
  <c r="I249" i="91"/>
  <c r="F249" i="91"/>
  <c r="A249" i="91"/>
  <c r="K248" i="91"/>
  <c r="J248" i="91"/>
  <c r="I248" i="91"/>
  <c r="F248" i="91"/>
  <c r="A248" i="91"/>
  <c r="K247" i="91"/>
  <c r="J247" i="91"/>
  <c r="I247" i="91"/>
  <c r="F247" i="91"/>
  <c r="A247" i="91"/>
  <c r="K246" i="91"/>
  <c r="J246" i="91"/>
  <c r="I246" i="91"/>
  <c r="F246" i="91"/>
  <c r="A246" i="91"/>
  <c r="K245" i="91"/>
  <c r="J245" i="91"/>
  <c r="I245" i="91"/>
  <c r="F245" i="91"/>
  <c r="A245" i="91"/>
  <c r="K244" i="91"/>
  <c r="J244" i="91"/>
  <c r="I244" i="91"/>
  <c r="F244" i="91"/>
  <c r="A244" i="91"/>
  <c r="K243" i="91"/>
  <c r="J243" i="91"/>
  <c r="I243" i="91"/>
  <c r="F243" i="91"/>
  <c r="A243" i="91"/>
  <c r="K242" i="91"/>
  <c r="J242" i="91"/>
  <c r="I242" i="91"/>
  <c r="F242" i="91"/>
  <c r="A242" i="91"/>
  <c r="K241" i="91"/>
  <c r="J241" i="91"/>
  <c r="I241" i="91"/>
  <c r="F241" i="91"/>
  <c r="A241" i="91"/>
  <c r="K240" i="91"/>
  <c r="J240" i="91"/>
  <c r="I240" i="91"/>
  <c r="F240" i="91"/>
  <c r="A240" i="91"/>
  <c r="K239" i="91"/>
  <c r="J239" i="91"/>
  <c r="I239" i="91"/>
  <c r="F239" i="91"/>
  <c r="A239" i="91"/>
  <c r="K238" i="91"/>
  <c r="J238" i="91"/>
  <c r="I238" i="91"/>
  <c r="F238" i="91"/>
  <c r="A238" i="91"/>
  <c r="K237" i="91"/>
  <c r="J237" i="91"/>
  <c r="I237" i="91"/>
  <c r="F237" i="91"/>
  <c r="A237" i="91"/>
  <c r="K236" i="91"/>
  <c r="J236" i="91"/>
  <c r="I236" i="91"/>
  <c r="F236" i="91"/>
  <c r="A236" i="91"/>
  <c r="K235" i="91"/>
  <c r="J235" i="91"/>
  <c r="I235" i="91"/>
  <c r="F235" i="91"/>
  <c r="A235" i="91"/>
  <c r="K234" i="91"/>
  <c r="J234" i="91"/>
  <c r="I234" i="91"/>
  <c r="F234" i="91"/>
  <c r="A234" i="91"/>
  <c r="K233" i="91"/>
  <c r="J233" i="91"/>
  <c r="I233" i="91"/>
  <c r="F233" i="91"/>
  <c r="A233" i="91"/>
  <c r="K232" i="91"/>
  <c r="J232" i="91"/>
  <c r="I232" i="91"/>
  <c r="F232" i="91"/>
  <c r="A232" i="91"/>
  <c r="K231" i="91"/>
  <c r="J231" i="91"/>
  <c r="I231" i="91"/>
  <c r="F231" i="91"/>
  <c r="A231" i="91"/>
  <c r="K230" i="91"/>
  <c r="J230" i="91"/>
  <c r="I230" i="91"/>
  <c r="F230" i="91"/>
  <c r="A230" i="91"/>
  <c r="K229" i="91"/>
  <c r="J229" i="91"/>
  <c r="I229" i="91"/>
  <c r="F229" i="91"/>
  <c r="A229" i="91"/>
  <c r="K228" i="91"/>
  <c r="J228" i="91"/>
  <c r="I228" i="91"/>
  <c r="F228" i="91"/>
  <c r="A228" i="91"/>
  <c r="K227" i="91"/>
  <c r="J227" i="91"/>
  <c r="I227" i="91"/>
  <c r="F227" i="91"/>
  <c r="A227" i="91"/>
  <c r="K226" i="91"/>
  <c r="J226" i="91"/>
  <c r="I226" i="91"/>
  <c r="F226" i="91"/>
  <c r="A226" i="91"/>
  <c r="K225" i="91"/>
  <c r="J225" i="91"/>
  <c r="I225" i="91"/>
  <c r="F225" i="91"/>
  <c r="A225" i="91"/>
  <c r="K224" i="91"/>
  <c r="J224" i="91"/>
  <c r="I224" i="91"/>
  <c r="F224" i="91"/>
  <c r="A224" i="91"/>
  <c r="K223" i="91"/>
  <c r="J223" i="91"/>
  <c r="I223" i="91"/>
  <c r="F223" i="91"/>
  <c r="A223" i="91"/>
  <c r="K222" i="91"/>
  <c r="J222" i="91"/>
  <c r="I222" i="91"/>
  <c r="F222" i="91"/>
  <c r="A222" i="91"/>
  <c r="K221" i="91"/>
  <c r="J221" i="91"/>
  <c r="I221" i="91"/>
  <c r="F221" i="91"/>
  <c r="A221" i="91"/>
  <c r="K220" i="91"/>
  <c r="J220" i="91"/>
  <c r="I220" i="91"/>
  <c r="F220" i="91"/>
  <c r="A220" i="91"/>
  <c r="K219" i="91"/>
  <c r="J219" i="91"/>
  <c r="I219" i="91"/>
  <c r="F219" i="91"/>
  <c r="A219" i="91"/>
  <c r="K218" i="91"/>
  <c r="J218" i="91"/>
  <c r="I218" i="91"/>
  <c r="F218" i="91"/>
  <c r="A218" i="91"/>
  <c r="K217" i="91"/>
  <c r="J217" i="91"/>
  <c r="I217" i="91"/>
  <c r="F217" i="91"/>
  <c r="A217" i="91"/>
  <c r="K216" i="91"/>
  <c r="J216" i="91"/>
  <c r="I216" i="91"/>
  <c r="F216" i="91"/>
  <c r="A216" i="91"/>
  <c r="K215" i="91"/>
  <c r="J215" i="91"/>
  <c r="I215" i="91"/>
  <c r="F215" i="91"/>
  <c r="A215" i="91"/>
  <c r="K214" i="91"/>
  <c r="J214" i="91"/>
  <c r="I214" i="91"/>
  <c r="F214" i="91"/>
  <c r="A214" i="91"/>
  <c r="K213" i="91"/>
  <c r="J213" i="91"/>
  <c r="I213" i="91"/>
  <c r="F213" i="91"/>
  <c r="A213" i="91"/>
  <c r="K212" i="91"/>
  <c r="J212" i="91"/>
  <c r="I212" i="91"/>
  <c r="F212" i="91"/>
  <c r="A212" i="91"/>
  <c r="K211" i="91"/>
  <c r="J211" i="91"/>
  <c r="I211" i="91"/>
  <c r="F211" i="91"/>
  <c r="A211" i="91"/>
  <c r="K210" i="91"/>
  <c r="J210" i="91"/>
  <c r="I210" i="91"/>
  <c r="F210" i="91"/>
  <c r="A210" i="91"/>
  <c r="K209" i="91"/>
  <c r="J209" i="91"/>
  <c r="I209" i="91"/>
  <c r="F209" i="91"/>
  <c r="A209" i="91"/>
  <c r="K208" i="91"/>
  <c r="J208" i="91"/>
  <c r="I208" i="91"/>
  <c r="F208" i="91"/>
  <c r="A208" i="91"/>
  <c r="K207" i="91"/>
  <c r="J207" i="91"/>
  <c r="I207" i="91"/>
  <c r="F207" i="91"/>
  <c r="A207" i="91"/>
  <c r="K206" i="91"/>
  <c r="J206" i="91"/>
  <c r="I206" i="91"/>
  <c r="F206" i="91"/>
  <c r="A206" i="91"/>
  <c r="K205" i="91"/>
  <c r="J205" i="91"/>
  <c r="I205" i="91"/>
  <c r="F205" i="91"/>
  <c r="A205" i="91"/>
  <c r="K204" i="91"/>
  <c r="J204" i="91"/>
  <c r="I204" i="91"/>
  <c r="F204" i="91"/>
  <c r="A204" i="91"/>
  <c r="K203" i="91"/>
  <c r="J203" i="91"/>
  <c r="I203" i="91"/>
  <c r="F203" i="91"/>
  <c r="A203" i="91"/>
  <c r="K202" i="91"/>
  <c r="J202" i="91"/>
  <c r="I202" i="91"/>
  <c r="F202" i="91"/>
  <c r="A202" i="91"/>
  <c r="K201" i="91"/>
  <c r="J201" i="91"/>
  <c r="I201" i="91"/>
  <c r="F201" i="91"/>
  <c r="A201" i="91"/>
  <c r="K200" i="91"/>
  <c r="J200" i="91"/>
  <c r="I200" i="91"/>
  <c r="F200" i="91"/>
  <c r="A200" i="91"/>
  <c r="K199" i="91"/>
  <c r="J199" i="91"/>
  <c r="I199" i="91"/>
  <c r="F199" i="91"/>
  <c r="A199" i="91"/>
  <c r="K198" i="91"/>
  <c r="J198" i="91"/>
  <c r="I198" i="91"/>
  <c r="F198" i="91"/>
  <c r="A198" i="91"/>
  <c r="K197" i="91"/>
  <c r="J197" i="91"/>
  <c r="I197" i="91"/>
  <c r="F197" i="91"/>
  <c r="A197" i="91"/>
  <c r="K196" i="91"/>
  <c r="J196" i="91"/>
  <c r="I196" i="91"/>
  <c r="F196" i="91"/>
  <c r="A196" i="91"/>
  <c r="K195" i="91"/>
  <c r="J195" i="91"/>
  <c r="I195" i="91"/>
  <c r="F195" i="91"/>
  <c r="A195" i="91"/>
  <c r="K194" i="91"/>
  <c r="J194" i="91"/>
  <c r="I194" i="91"/>
  <c r="F194" i="91"/>
  <c r="A194" i="91"/>
  <c r="K193" i="91"/>
  <c r="J193" i="91"/>
  <c r="I193" i="91"/>
  <c r="F193" i="91"/>
  <c r="A193" i="91"/>
  <c r="K192" i="91"/>
  <c r="J192" i="91"/>
  <c r="I192" i="91"/>
  <c r="F192" i="91"/>
  <c r="A192" i="91"/>
  <c r="K191" i="91"/>
  <c r="J191" i="91"/>
  <c r="I191" i="91"/>
  <c r="F191" i="91"/>
  <c r="A191" i="91"/>
  <c r="K190" i="91"/>
  <c r="J190" i="91"/>
  <c r="I190" i="91"/>
  <c r="F190" i="91"/>
  <c r="A190" i="91"/>
  <c r="K189" i="91"/>
  <c r="J189" i="91"/>
  <c r="I189" i="91"/>
  <c r="F189" i="91"/>
  <c r="A189" i="91"/>
  <c r="K188" i="91"/>
  <c r="J188" i="91"/>
  <c r="I188" i="91"/>
  <c r="F188" i="91"/>
  <c r="A188" i="91"/>
  <c r="K187" i="91"/>
  <c r="J187" i="91"/>
  <c r="I187" i="91"/>
  <c r="F187" i="91"/>
  <c r="A187" i="91"/>
  <c r="K186" i="91"/>
  <c r="J186" i="91"/>
  <c r="I186" i="91"/>
  <c r="F186" i="91"/>
  <c r="A186" i="91"/>
  <c r="K185" i="91"/>
  <c r="J185" i="91"/>
  <c r="I185" i="91"/>
  <c r="F185" i="91"/>
  <c r="A185" i="91"/>
  <c r="K184" i="91"/>
  <c r="J184" i="91"/>
  <c r="I184" i="91"/>
  <c r="F184" i="91"/>
  <c r="A184" i="91"/>
  <c r="K183" i="91"/>
  <c r="J183" i="91"/>
  <c r="I183" i="91"/>
  <c r="F183" i="91"/>
  <c r="A183" i="91"/>
  <c r="K182" i="91"/>
  <c r="J182" i="91"/>
  <c r="I182" i="91"/>
  <c r="F182" i="91"/>
  <c r="A182" i="91"/>
  <c r="K181" i="91"/>
  <c r="J181" i="91"/>
  <c r="I181" i="91"/>
  <c r="F181" i="91"/>
  <c r="A181" i="91"/>
  <c r="K180" i="91"/>
  <c r="J180" i="91"/>
  <c r="I180" i="91"/>
  <c r="F180" i="91"/>
  <c r="A180" i="91"/>
  <c r="K179" i="91"/>
  <c r="J179" i="91"/>
  <c r="I179" i="91"/>
  <c r="F179" i="91"/>
  <c r="A179" i="91"/>
  <c r="K178" i="91"/>
  <c r="J178" i="91"/>
  <c r="I178" i="91"/>
  <c r="F178" i="91"/>
  <c r="A178" i="91"/>
  <c r="K177" i="91"/>
  <c r="J177" i="91"/>
  <c r="I177" i="91"/>
  <c r="F177" i="91"/>
  <c r="A177" i="91"/>
  <c r="K176" i="91"/>
  <c r="J176" i="91"/>
  <c r="I176" i="91"/>
  <c r="F176" i="91"/>
  <c r="A176" i="91"/>
  <c r="K175" i="91"/>
  <c r="J175" i="91"/>
  <c r="I175" i="91"/>
  <c r="F175" i="91"/>
  <c r="A175" i="91"/>
  <c r="K174" i="91"/>
  <c r="J174" i="91"/>
  <c r="I174" i="91"/>
  <c r="F174" i="91"/>
  <c r="A174" i="91"/>
  <c r="K173" i="91"/>
  <c r="J173" i="91"/>
  <c r="I173" i="91"/>
  <c r="F173" i="91"/>
  <c r="A173" i="91"/>
  <c r="K172" i="91"/>
  <c r="J172" i="91"/>
  <c r="I172" i="91"/>
  <c r="F172" i="91"/>
  <c r="A172" i="91"/>
  <c r="K171" i="91"/>
  <c r="J171" i="91"/>
  <c r="I171" i="91"/>
  <c r="F171" i="91"/>
  <c r="A171" i="91"/>
  <c r="K170" i="91"/>
  <c r="J170" i="91"/>
  <c r="I170" i="91"/>
  <c r="F170" i="91"/>
  <c r="A170" i="91"/>
  <c r="K169" i="91"/>
  <c r="J169" i="91"/>
  <c r="I169" i="91"/>
  <c r="F169" i="91"/>
  <c r="A169" i="91"/>
  <c r="K168" i="91"/>
  <c r="J168" i="91"/>
  <c r="I168" i="91"/>
  <c r="F168" i="91"/>
  <c r="A168" i="91"/>
  <c r="K167" i="91"/>
  <c r="J167" i="91"/>
  <c r="I167" i="91"/>
  <c r="F167" i="91"/>
  <c r="A167" i="91"/>
  <c r="K166" i="91"/>
  <c r="J166" i="91"/>
  <c r="I166" i="91"/>
  <c r="F166" i="91"/>
  <c r="A166" i="91"/>
  <c r="K165" i="91"/>
  <c r="J165" i="91"/>
  <c r="I165" i="91"/>
  <c r="F165" i="91"/>
  <c r="A165" i="91"/>
  <c r="K164" i="91"/>
  <c r="J164" i="91"/>
  <c r="I164" i="91"/>
  <c r="F164" i="91"/>
  <c r="A164" i="91"/>
  <c r="K163" i="91"/>
  <c r="J163" i="91"/>
  <c r="I163" i="91"/>
  <c r="F163" i="91"/>
  <c r="A163" i="91"/>
  <c r="K162" i="91"/>
  <c r="J162" i="91"/>
  <c r="I162" i="91"/>
  <c r="F162" i="91"/>
  <c r="A162" i="91"/>
  <c r="K161" i="91"/>
  <c r="J161" i="91"/>
  <c r="I161" i="91"/>
  <c r="F161" i="91"/>
  <c r="A161" i="91"/>
  <c r="K160" i="91"/>
  <c r="J160" i="91"/>
  <c r="I160" i="91"/>
  <c r="F160" i="91"/>
  <c r="A160" i="91"/>
  <c r="K159" i="91"/>
  <c r="J159" i="91"/>
  <c r="I159" i="91"/>
  <c r="F159" i="91"/>
  <c r="A159" i="91"/>
  <c r="K158" i="91"/>
  <c r="J158" i="91"/>
  <c r="I158" i="91"/>
  <c r="F158" i="91"/>
  <c r="A158" i="91"/>
  <c r="K157" i="91"/>
  <c r="J157" i="91"/>
  <c r="I157" i="91"/>
  <c r="F157" i="91"/>
  <c r="A157" i="91"/>
  <c r="K156" i="91"/>
  <c r="J156" i="91"/>
  <c r="I156" i="91"/>
  <c r="F156" i="91"/>
  <c r="A156" i="91"/>
  <c r="K155" i="91"/>
  <c r="J155" i="91"/>
  <c r="I155" i="91"/>
  <c r="F155" i="91"/>
  <c r="A155" i="91"/>
  <c r="K154" i="91"/>
  <c r="J154" i="91"/>
  <c r="I154" i="91"/>
  <c r="F154" i="91"/>
  <c r="A154" i="91"/>
  <c r="K153" i="91"/>
  <c r="J153" i="91"/>
  <c r="I153" i="91"/>
  <c r="F153" i="91"/>
  <c r="A153" i="91"/>
  <c r="K152" i="91"/>
  <c r="J152" i="91"/>
  <c r="I152" i="91"/>
  <c r="F152" i="91"/>
  <c r="A152" i="91"/>
  <c r="K151" i="91"/>
  <c r="J151" i="91"/>
  <c r="I151" i="91"/>
  <c r="F151" i="91"/>
  <c r="A151" i="91"/>
  <c r="K150" i="91"/>
  <c r="J150" i="91"/>
  <c r="I150" i="91"/>
  <c r="F150" i="91"/>
  <c r="A150" i="91"/>
  <c r="K149" i="91"/>
  <c r="J149" i="91"/>
  <c r="I149" i="91"/>
  <c r="F149" i="91"/>
  <c r="A149" i="91"/>
  <c r="K148" i="91"/>
  <c r="J148" i="91"/>
  <c r="I148" i="91"/>
  <c r="F148" i="91"/>
  <c r="A148" i="91"/>
  <c r="K147" i="91"/>
  <c r="J147" i="91"/>
  <c r="I147" i="91"/>
  <c r="F147" i="91"/>
  <c r="A147" i="91"/>
  <c r="K146" i="91"/>
  <c r="J146" i="91"/>
  <c r="I146" i="91"/>
  <c r="F146" i="91"/>
  <c r="A146" i="91"/>
  <c r="K145" i="91"/>
  <c r="J145" i="91"/>
  <c r="I145" i="91"/>
  <c r="F145" i="91"/>
  <c r="A145" i="91"/>
  <c r="K144" i="91"/>
  <c r="J144" i="91"/>
  <c r="I144" i="91"/>
  <c r="F144" i="91"/>
  <c r="A144" i="91"/>
  <c r="K143" i="91"/>
  <c r="J143" i="91"/>
  <c r="I143" i="91"/>
  <c r="F143" i="91"/>
  <c r="A143" i="91"/>
  <c r="K142" i="91"/>
  <c r="J142" i="91"/>
  <c r="I142" i="91"/>
  <c r="F142" i="91"/>
  <c r="A142" i="91"/>
  <c r="K141" i="91"/>
  <c r="J141" i="91"/>
  <c r="I141" i="91"/>
  <c r="F141" i="91"/>
  <c r="A141" i="91"/>
  <c r="K140" i="91"/>
  <c r="J140" i="91"/>
  <c r="I140" i="91"/>
  <c r="F140" i="91"/>
  <c r="A140" i="91"/>
  <c r="K139" i="91"/>
  <c r="J139" i="91"/>
  <c r="I139" i="91"/>
  <c r="F139" i="91"/>
  <c r="A139" i="91"/>
  <c r="K138" i="91"/>
  <c r="J138" i="91"/>
  <c r="I138" i="91"/>
  <c r="F138" i="91"/>
  <c r="A138" i="91"/>
  <c r="K137" i="91"/>
  <c r="J137" i="91"/>
  <c r="I137" i="91"/>
  <c r="F137" i="91"/>
  <c r="A137" i="91"/>
  <c r="K136" i="91"/>
  <c r="J136" i="91"/>
  <c r="I136" i="91"/>
  <c r="F136" i="91"/>
  <c r="A136" i="91"/>
  <c r="K135" i="91"/>
  <c r="J135" i="91"/>
  <c r="I135" i="91"/>
  <c r="F135" i="91"/>
  <c r="A135" i="91"/>
  <c r="K134" i="91"/>
  <c r="J134" i="91"/>
  <c r="I134" i="91"/>
  <c r="F134" i="91"/>
  <c r="A134" i="91"/>
  <c r="K133" i="91"/>
  <c r="J133" i="91"/>
  <c r="I133" i="91"/>
  <c r="F133" i="91"/>
  <c r="A133" i="91"/>
  <c r="K132" i="91"/>
  <c r="J132" i="91"/>
  <c r="I132" i="91"/>
  <c r="F132" i="91"/>
  <c r="A132" i="91"/>
  <c r="K131" i="91"/>
  <c r="J131" i="91"/>
  <c r="I131" i="91"/>
  <c r="F131" i="91"/>
  <c r="A131" i="91"/>
  <c r="K130" i="91"/>
  <c r="J130" i="91"/>
  <c r="I130" i="91"/>
  <c r="F130" i="91"/>
  <c r="A130" i="91"/>
  <c r="K129" i="91"/>
  <c r="J129" i="91"/>
  <c r="I129" i="91"/>
  <c r="F129" i="91"/>
  <c r="A129" i="91"/>
  <c r="K128" i="91"/>
  <c r="J128" i="91"/>
  <c r="I128" i="91"/>
  <c r="F128" i="91"/>
  <c r="A128" i="91"/>
  <c r="K127" i="91"/>
  <c r="J127" i="91"/>
  <c r="I127" i="91"/>
  <c r="F127" i="91"/>
  <c r="A127" i="91"/>
  <c r="K126" i="91"/>
  <c r="J126" i="91"/>
  <c r="I126" i="91"/>
  <c r="F126" i="91"/>
  <c r="A126" i="91"/>
  <c r="K125" i="91"/>
  <c r="J125" i="91"/>
  <c r="I125" i="91"/>
  <c r="F125" i="91"/>
  <c r="A125" i="91"/>
  <c r="K124" i="91"/>
  <c r="J124" i="91"/>
  <c r="I124" i="91"/>
  <c r="F124" i="91"/>
  <c r="A124" i="91"/>
  <c r="K123" i="91"/>
  <c r="J123" i="91"/>
  <c r="I123" i="91"/>
  <c r="F123" i="91"/>
  <c r="A123" i="91"/>
  <c r="K122" i="91"/>
  <c r="J122" i="91"/>
  <c r="I122" i="91"/>
  <c r="F122" i="91"/>
  <c r="A122" i="91"/>
  <c r="K121" i="91"/>
  <c r="J121" i="91"/>
  <c r="I121" i="91"/>
  <c r="F121" i="91"/>
  <c r="A121" i="91"/>
  <c r="K120" i="91"/>
  <c r="J120" i="91"/>
  <c r="I120" i="91"/>
  <c r="F120" i="91"/>
  <c r="A120" i="91"/>
  <c r="K119" i="91"/>
  <c r="J119" i="91"/>
  <c r="I119" i="91"/>
  <c r="F119" i="91"/>
  <c r="A119" i="91"/>
  <c r="K118" i="91"/>
  <c r="J118" i="91"/>
  <c r="I118" i="91"/>
  <c r="F118" i="91"/>
  <c r="A118" i="91"/>
  <c r="K117" i="91"/>
  <c r="J117" i="91"/>
  <c r="I117" i="91"/>
  <c r="F117" i="91"/>
  <c r="A117" i="91"/>
  <c r="K116" i="91"/>
  <c r="J116" i="91"/>
  <c r="I116" i="91"/>
  <c r="F116" i="91"/>
  <c r="A116" i="91"/>
  <c r="K115" i="91"/>
  <c r="J115" i="91"/>
  <c r="I115" i="91"/>
  <c r="F115" i="91"/>
  <c r="A115" i="91"/>
  <c r="K114" i="91"/>
  <c r="J114" i="91"/>
  <c r="I114" i="91"/>
  <c r="F114" i="91"/>
  <c r="A114" i="91"/>
  <c r="K113" i="91"/>
  <c r="J113" i="91"/>
  <c r="I113" i="91"/>
  <c r="F113" i="91"/>
  <c r="A113" i="91"/>
  <c r="K112" i="91"/>
  <c r="J112" i="91"/>
  <c r="I112" i="91"/>
  <c r="F112" i="91"/>
  <c r="A112" i="91"/>
  <c r="K111" i="91"/>
  <c r="J111" i="91"/>
  <c r="I111" i="91"/>
  <c r="F111" i="91"/>
  <c r="A111" i="91"/>
  <c r="K110" i="91"/>
  <c r="J110" i="91"/>
  <c r="I110" i="91"/>
  <c r="F110" i="91"/>
  <c r="A110" i="91"/>
  <c r="K109" i="91"/>
  <c r="J109" i="91"/>
  <c r="I109" i="91"/>
  <c r="F109" i="91"/>
  <c r="A109" i="91"/>
  <c r="K108" i="91"/>
  <c r="J108" i="91"/>
  <c r="I108" i="91"/>
  <c r="F108" i="91"/>
  <c r="A108" i="91"/>
  <c r="K107" i="91"/>
  <c r="J107" i="91"/>
  <c r="I107" i="91"/>
  <c r="F107" i="91"/>
  <c r="A107" i="91"/>
  <c r="K106" i="91"/>
  <c r="J106" i="91"/>
  <c r="I106" i="91"/>
  <c r="F106" i="91"/>
  <c r="A106" i="91"/>
  <c r="K105" i="91"/>
  <c r="J105" i="91"/>
  <c r="I105" i="91"/>
  <c r="F105" i="91"/>
  <c r="A105" i="91"/>
  <c r="K104" i="91"/>
  <c r="J104" i="91"/>
  <c r="I104" i="91"/>
  <c r="F104" i="91"/>
  <c r="A104" i="91"/>
  <c r="K103" i="91"/>
  <c r="J103" i="91"/>
  <c r="I103" i="91"/>
  <c r="F103" i="91"/>
  <c r="A103" i="91"/>
  <c r="K102" i="91"/>
  <c r="J102" i="91"/>
  <c r="I102" i="91"/>
  <c r="F102" i="91"/>
  <c r="A102" i="91"/>
  <c r="K101" i="91"/>
  <c r="J101" i="91"/>
  <c r="I101" i="91"/>
  <c r="F101" i="91"/>
  <c r="A101" i="91"/>
  <c r="K100" i="91"/>
  <c r="J100" i="91"/>
  <c r="I100" i="91"/>
  <c r="F100" i="91"/>
  <c r="A100" i="91"/>
  <c r="K99" i="91"/>
  <c r="J99" i="91"/>
  <c r="I99" i="91"/>
  <c r="F99" i="91"/>
  <c r="A99" i="91"/>
  <c r="K98" i="91"/>
  <c r="J98" i="91"/>
  <c r="I98" i="91"/>
  <c r="F98" i="91"/>
  <c r="A98" i="91"/>
  <c r="K97" i="91"/>
  <c r="J97" i="91"/>
  <c r="I97" i="91"/>
  <c r="F97" i="91"/>
  <c r="A97" i="91"/>
  <c r="K96" i="91"/>
  <c r="J96" i="91"/>
  <c r="I96" i="91"/>
  <c r="F96" i="91"/>
  <c r="A96" i="91"/>
  <c r="K95" i="91"/>
  <c r="J95" i="91"/>
  <c r="I95" i="91"/>
  <c r="F95" i="91"/>
  <c r="A95" i="91"/>
  <c r="K94" i="91"/>
  <c r="J94" i="91"/>
  <c r="I94" i="91"/>
  <c r="F94" i="91"/>
  <c r="A94" i="91"/>
  <c r="K93" i="91"/>
  <c r="J93" i="91"/>
  <c r="I93" i="91"/>
  <c r="F93" i="91"/>
  <c r="A93" i="91"/>
  <c r="K92" i="91"/>
  <c r="J92" i="91"/>
  <c r="I92" i="91"/>
  <c r="F92" i="91"/>
  <c r="A92" i="91"/>
  <c r="K91" i="91"/>
  <c r="J91" i="91"/>
  <c r="I91" i="91"/>
  <c r="F91" i="91"/>
  <c r="A91" i="91"/>
  <c r="K90" i="91"/>
  <c r="J90" i="91"/>
  <c r="I90" i="91"/>
  <c r="F90" i="91"/>
  <c r="A90" i="91"/>
  <c r="K89" i="91"/>
  <c r="J89" i="91"/>
  <c r="I89" i="91"/>
  <c r="F89" i="91"/>
  <c r="A89" i="91"/>
  <c r="K88" i="91"/>
  <c r="J88" i="91"/>
  <c r="I88" i="91"/>
  <c r="F88" i="91"/>
  <c r="A88" i="91"/>
  <c r="K87" i="91"/>
  <c r="J87" i="91"/>
  <c r="I87" i="91"/>
  <c r="F87" i="91"/>
  <c r="A87" i="91"/>
  <c r="K86" i="91"/>
  <c r="J86" i="91"/>
  <c r="I86" i="91"/>
  <c r="F86" i="91"/>
  <c r="A86" i="91"/>
  <c r="K85" i="91"/>
  <c r="J85" i="91"/>
  <c r="I85" i="91"/>
  <c r="F85" i="91"/>
  <c r="A85" i="91"/>
  <c r="K84" i="91"/>
  <c r="J84" i="91"/>
  <c r="I84" i="91"/>
  <c r="F84" i="91"/>
  <c r="A84" i="91"/>
  <c r="K83" i="91"/>
  <c r="J83" i="91"/>
  <c r="I83" i="91"/>
  <c r="F83" i="91"/>
  <c r="A83" i="91"/>
  <c r="K82" i="91"/>
  <c r="J82" i="91"/>
  <c r="I82" i="91"/>
  <c r="F82" i="91"/>
  <c r="A82" i="91"/>
  <c r="K81" i="91"/>
  <c r="J81" i="91"/>
  <c r="I81" i="91"/>
  <c r="F81" i="91"/>
  <c r="A81" i="91"/>
  <c r="K80" i="91"/>
  <c r="J80" i="91"/>
  <c r="I80" i="91"/>
  <c r="F80" i="91"/>
  <c r="A80" i="91"/>
  <c r="K79" i="91"/>
  <c r="J79" i="91"/>
  <c r="I79" i="91"/>
  <c r="F79" i="91"/>
  <c r="A79" i="91"/>
  <c r="K78" i="91"/>
  <c r="J78" i="91"/>
  <c r="I78" i="91"/>
  <c r="F78" i="91"/>
  <c r="A78" i="91"/>
  <c r="K77" i="91"/>
  <c r="J77" i="91"/>
  <c r="I77" i="91"/>
  <c r="F77" i="91"/>
  <c r="A77" i="91"/>
  <c r="K76" i="91"/>
  <c r="J76" i="91"/>
  <c r="I76" i="91"/>
  <c r="F76" i="91"/>
  <c r="A76" i="91"/>
  <c r="K75" i="91"/>
  <c r="J75" i="91"/>
  <c r="I75" i="91"/>
  <c r="F75" i="91"/>
  <c r="A75" i="91"/>
  <c r="K74" i="91"/>
  <c r="J74" i="91"/>
  <c r="I74" i="91"/>
  <c r="F74" i="91"/>
  <c r="A74" i="91"/>
  <c r="K73" i="91"/>
  <c r="J73" i="91"/>
  <c r="I73" i="91"/>
  <c r="F73" i="91"/>
  <c r="A73" i="91"/>
  <c r="K72" i="91"/>
  <c r="J72" i="91"/>
  <c r="I72" i="91"/>
  <c r="F72" i="91"/>
  <c r="A72" i="91"/>
  <c r="K71" i="91"/>
  <c r="J71" i="91"/>
  <c r="I71" i="91"/>
  <c r="F71" i="91"/>
  <c r="A71" i="91"/>
  <c r="K70" i="91"/>
  <c r="J70" i="91"/>
  <c r="I70" i="91"/>
  <c r="F70" i="91"/>
  <c r="A70" i="91"/>
  <c r="K69" i="91"/>
  <c r="J69" i="91"/>
  <c r="I69" i="91"/>
  <c r="F69" i="91"/>
  <c r="A69" i="91"/>
  <c r="K68" i="91"/>
  <c r="J68" i="91"/>
  <c r="I68" i="91"/>
  <c r="F68" i="91"/>
  <c r="A68" i="91"/>
  <c r="K67" i="91"/>
  <c r="J67" i="91"/>
  <c r="I67" i="91"/>
  <c r="F67" i="91"/>
  <c r="A67" i="91"/>
  <c r="K66" i="91"/>
  <c r="J66" i="91"/>
  <c r="I66" i="91"/>
  <c r="F66" i="91"/>
  <c r="A66" i="91"/>
  <c r="K65" i="91"/>
  <c r="J65" i="91"/>
  <c r="I65" i="91"/>
  <c r="F65" i="91"/>
  <c r="A65" i="91"/>
  <c r="K64" i="91"/>
  <c r="J64" i="91"/>
  <c r="I64" i="91"/>
  <c r="F64" i="91"/>
  <c r="A64" i="91"/>
  <c r="K63" i="91"/>
  <c r="J63" i="91"/>
  <c r="I63" i="91"/>
  <c r="F63" i="91"/>
  <c r="A63" i="91"/>
  <c r="K62" i="91"/>
  <c r="J62" i="91"/>
  <c r="I62" i="91"/>
  <c r="F62" i="91"/>
  <c r="A62" i="91"/>
  <c r="K61" i="91"/>
  <c r="J61" i="91"/>
  <c r="I61" i="91"/>
  <c r="F61" i="91"/>
  <c r="A61" i="91"/>
  <c r="K60" i="91"/>
  <c r="J60" i="91"/>
  <c r="I60" i="91"/>
  <c r="F60" i="91"/>
  <c r="A60" i="91"/>
  <c r="K59" i="91"/>
  <c r="J59" i="91"/>
  <c r="I59" i="91"/>
  <c r="F59" i="91"/>
  <c r="A59" i="91"/>
  <c r="K58" i="91"/>
  <c r="J58" i="91"/>
  <c r="I58" i="91"/>
  <c r="F58" i="91"/>
  <c r="A58" i="91"/>
  <c r="K57" i="91"/>
  <c r="J57" i="91"/>
  <c r="I57" i="91"/>
  <c r="F57" i="91"/>
  <c r="A57" i="91"/>
  <c r="K56" i="91"/>
  <c r="J56" i="91"/>
  <c r="I56" i="91"/>
  <c r="F56" i="91"/>
  <c r="A56" i="91"/>
  <c r="K55" i="91"/>
  <c r="J55" i="91"/>
  <c r="I55" i="91"/>
  <c r="F55" i="91"/>
  <c r="A55" i="91"/>
  <c r="K54" i="91"/>
  <c r="J54" i="91"/>
  <c r="I54" i="91"/>
  <c r="F54" i="91"/>
  <c r="A54" i="91"/>
  <c r="K53" i="91"/>
  <c r="J53" i="91"/>
  <c r="I53" i="91"/>
  <c r="F53" i="91"/>
  <c r="A53" i="91"/>
  <c r="K52" i="91"/>
  <c r="J52" i="91"/>
  <c r="I52" i="91"/>
  <c r="F52" i="91"/>
  <c r="A52" i="91"/>
  <c r="K51" i="91"/>
  <c r="J51" i="91"/>
  <c r="I51" i="91"/>
  <c r="F51" i="91"/>
  <c r="A51" i="91"/>
  <c r="K50" i="91"/>
  <c r="J50" i="91"/>
  <c r="I50" i="91"/>
  <c r="F50" i="91"/>
  <c r="A50" i="91"/>
  <c r="K49" i="91"/>
  <c r="J49" i="91"/>
  <c r="I49" i="91"/>
  <c r="F49" i="91"/>
  <c r="A49" i="91"/>
  <c r="K48" i="91"/>
  <c r="J48" i="91"/>
  <c r="I48" i="91"/>
  <c r="F48" i="91"/>
  <c r="A48" i="91"/>
  <c r="K47" i="91"/>
  <c r="J47" i="91"/>
  <c r="I47" i="91"/>
  <c r="F47" i="91"/>
  <c r="A47" i="91"/>
  <c r="K46" i="91"/>
  <c r="J46" i="91"/>
  <c r="I46" i="91"/>
  <c r="F46" i="91"/>
  <c r="A46" i="91"/>
  <c r="K45" i="91"/>
  <c r="J45" i="91"/>
  <c r="I45" i="91"/>
  <c r="F45" i="91"/>
  <c r="A45" i="91"/>
  <c r="K44" i="91"/>
  <c r="J44" i="91"/>
  <c r="I44" i="91"/>
  <c r="F44" i="91"/>
  <c r="A44" i="91"/>
  <c r="K43" i="91"/>
  <c r="J43" i="91"/>
  <c r="I43" i="91"/>
  <c r="F43" i="91"/>
  <c r="A43" i="91"/>
  <c r="K42" i="91"/>
  <c r="J42" i="91"/>
  <c r="I42" i="91"/>
  <c r="F42" i="91"/>
  <c r="A42" i="91"/>
  <c r="K41" i="91"/>
  <c r="J41" i="91"/>
  <c r="I41" i="91"/>
  <c r="F41" i="91"/>
  <c r="A41" i="91"/>
  <c r="K40" i="91"/>
  <c r="J40" i="91"/>
  <c r="I40" i="91"/>
  <c r="F40" i="91"/>
  <c r="A40" i="91"/>
  <c r="K39" i="91"/>
  <c r="J39" i="91"/>
  <c r="I39" i="91"/>
  <c r="F39" i="91"/>
  <c r="A39" i="91"/>
  <c r="K38" i="91"/>
  <c r="J38" i="91"/>
  <c r="I38" i="91"/>
  <c r="F38" i="91"/>
  <c r="A38" i="91"/>
  <c r="K37" i="91"/>
  <c r="J37" i="91"/>
  <c r="I37" i="91"/>
  <c r="F37" i="91"/>
  <c r="A37" i="91"/>
  <c r="K36" i="91"/>
  <c r="J36" i="91"/>
  <c r="I36" i="91"/>
  <c r="F36" i="91"/>
  <c r="A36" i="91"/>
  <c r="K35" i="91"/>
  <c r="J35" i="91"/>
  <c r="I35" i="91"/>
  <c r="F35" i="91"/>
  <c r="A35" i="91"/>
  <c r="K34" i="91"/>
  <c r="J34" i="91"/>
  <c r="I34" i="91"/>
  <c r="F34" i="91"/>
  <c r="A34" i="91"/>
  <c r="K33" i="91"/>
  <c r="J33" i="91"/>
  <c r="I33" i="91"/>
  <c r="F33" i="91"/>
  <c r="A33" i="91"/>
  <c r="K32" i="91"/>
  <c r="J32" i="91"/>
  <c r="I32" i="91"/>
  <c r="F32" i="91"/>
  <c r="A32" i="91"/>
  <c r="K31" i="91"/>
  <c r="J31" i="91"/>
  <c r="I31" i="91"/>
  <c r="F31" i="91"/>
  <c r="A31" i="91"/>
  <c r="K30" i="91"/>
  <c r="J30" i="91"/>
  <c r="I30" i="91"/>
  <c r="F30" i="91"/>
  <c r="A30" i="91"/>
  <c r="K29" i="91"/>
  <c r="J29" i="91"/>
  <c r="I29" i="91"/>
  <c r="F29" i="91"/>
  <c r="A29" i="91"/>
  <c r="K28" i="91"/>
  <c r="J28" i="91"/>
  <c r="I28" i="91"/>
  <c r="F28" i="91"/>
  <c r="A28" i="91"/>
  <c r="K27" i="91"/>
  <c r="J27" i="91"/>
  <c r="I27" i="91"/>
  <c r="F27" i="91"/>
  <c r="A27" i="91"/>
  <c r="K26" i="91"/>
  <c r="J26" i="91"/>
  <c r="I26" i="91"/>
  <c r="F26" i="91"/>
  <c r="A26" i="91"/>
  <c r="K25" i="91"/>
  <c r="J25" i="91"/>
  <c r="I25" i="91"/>
  <c r="F25" i="91"/>
  <c r="A25" i="91"/>
  <c r="K24" i="91"/>
  <c r="J24" i="91"/>
  <c r="I24" i="91"/>
  <c r="F24" i="91"/>
  <c r="A24" i="91"/>
  <c r="K23" i="91"/>
  <c r="J23" i="91"/>
  <c r="I23" i="91"/>
  <c r="F23" i="91"/>
  <c r="A23" i="91"/>
  <c r="K22" i="91"/>
  <c r="J22" i="91"/>
  <c r="I22" i="91"/>
  <c r="F22" i="91"/>
  <c r="A22" i="91"/>
  <c r="K21" i="91"/>
  <c r="J21" i="91"/>
  <c r="I21" i="91"/>
  <c r="F21" i="91"/>
  <c r="A21" i="91"/>
  <c r="K20" i="91"/>
  <c r="J20" i="91"/>
  <c r="I20" i="91"/>
  <c r="F20" i="91"/>
  <c r="A20" i="91"/>
  <c r="K19" i="91"/>
  <c r="J19" i="91"/>
  <c r="I19" i="91"/>
  <c r="F19" i="91"/>
  <c r="A19" i="91"/>
  <c r="K18" i="91"/>
  <c r="J18" i="91"/>
  <c r="I18" i="91"/>
  <c r="F18" i="91"/>
  <c r="A18" i="91"/>
  <c r="K17" i="91"/>
  <c r="J17" i="91"/>
  <c r="I17" i="91"/>
  <c r="F17" i="91"/>
  <c r="A17" i="91"/>
  <c r="K16" i="91"/>
  <c r="J16" i="91"/>
  <c r="I16" i="91"/>
  <c r="F16" i="91"/>
  <c r="A16" i="91"/>
  <c r="K15" i="91"/>
  <c r="J15" i="91"/>
  <c r="I15" i="91"/>
  <c r="F15" i="91"/>
  <c r="A15" i="91"/>
  <c r="K14" i="91"/>
  <c r="J14" i="91"/>
  <c r="I14" i="91"/>
  <c r="F14" i="91"/>
  <c r="A14" i="91"/>
  <c r="K13" i="91"/>
  <c r="J13" i="91"/>
  <c r="I13" i="91"/>
  <c r="F13" i="91"/>
  <c r="A13" i="91"/>
  <c r="K12" i="91"/>
  <c r="J12" i="91"/>
  <c r="I12" i="91"/>
  <c r="F12" i="91"/>
  <c r="A12" i="91"/>
  <c r="K11" i="91"/>
  <c r="J11" i="91"/>
  <c r="I11" i="91"/>
  <c r="F11" i="91"/>
  <c r="A11" i="91"/>
  <c r="K10" i="91"/>
  <c r="J10" i="91"/>
  <c r="I10" i="91"/>
  <c r="F10" i="91"/>
  <c r="A10" i="91"/>
  <c r="K9" i="91"/>
  <c r="J9" i="91"/>
  <c r="I9" i="91"/>
  <c r="F9" i="91"/>
  <c r="A9" i="91"/>
  <c r="K8" i="91"/>
  <c r="J8" i="91"/>
  <c r="I8" i="91"/>
  <c r="F8" i="91"/>
  <c r="A8" i="91"/>
  <c r="K7" i="91"/>
  <c r="J7" i="91"/>
  <c r="I7" i="91"/>
  <c r="F7" i="91"/>
  <c r="A7" i="91"/>
  <c r="K6" i="91"/>
  <c r="J6" i="91"/>
  <c r="I6" i="91"/>
  <c r="F6" i="91"/>
  <c r="A6" i="91"/>
  <c r="K5" i="91"/>
  <c r="J5" i="91"/>
  <c r="I5" i="91"/>
  <c r="F5" i="91"/>
  <c r="A5" i="91"/>
  <c r="K4" i="91"/>
  <c r="J4" i="91"/>
  <c r="I4" i="91"/>
  <c r="F4" i="91"/>
  <c r="A4" i="91"/>
  <c r="K3" i="91"/>
  <c r="J3" i="91"/>
  <c r="I3" i="91"/>
  <c r="F3" i="91"/>
  <c r="A3" i="91"/>
  <c r="K2" i="91"/>
  <c r="J2" i="91"/>
  <c r="I2" i="91"/>
  <c r="F2" i="91"/>
  <c r="A2" i="91"/>
  <c r="C1" i="89"/>
  <c r="A1" i="89"/>
  <c r="A256" i="89"/>
  <c r="B1" i="89"/>
  <c r="K256" i="89"/>
  <c r="J256" i="89"/>
  <c r="I256" i="89"/>
  <c r="H256" i="89"/>
  <c r="G256" i="89"/>
  <c r="F256" i="89"/>
  <c r="E256" i="89"/>
  <c r="D256" i="89"/>
  <c r="C256" i="89"/>
  <c r="B256" i="89"/>
  <c r="A255" i="89"/>
  <c r="K255" i="89"/>
  <c r="J255" i="89"/>
  <c r="I255" i="89"/>
  <c r="H255" i="89"/>
  <c r="G255" i="89"/>
  <c r="F255" i="89"/>
  <c r="E255" i="89"/>
  <c r="D255" i="89"/>
  <c r="C255" i="89"/>
  <c r="B255" i="89"/>
  <c r="A254" i="89"/>
  <c r="K254" i="89"/>
  <c r="J254" i="89"/>
  <c r="I254" i="89"/>
  <c r="H254" i="89"/>
  <c r="G254" i="89"/>
  <c r="F254" i="89"/>
  <c r="E254" i="89"/>
  <c r="D254" i="89"/>
  <c r="C254" i="89"/>
  <c r="B254" i="89"/>
  <c r="A253" i="89"/>
  <c r="K253" i="89"/>
  <c r="J253" i="89"/>
  <c r="I253" i="89"/>
  <c r="H253" i="89"/>
  <c r="G253" i="89"/>
  <c r="F253" i="89"/>
  <c r="E253" i="89"/>
  <c r="D253" i="89"/>
  <c r="C253" i="89"/>
  <c r="B253" i="89"/>
  <c r="A252" i="89"/>
  <c r="K252" i="89"/>
  <c r="J252" i="89"/>
  <c r="I252" i="89"/>
  <c r="H252" i="89"/>
  <c r="G252" i="89"/>
  <c r="F252" i="89"/>
  <c r="E252" i="89"/>
  <c r="D252" i="89"/>
  <c r="C252" i="89"/>
  <c r="B252" i="89"/>
  <c r="A251" i="89"/>
  <c r="K251" i="89"/>
  <c r="J251" i="89"/>
  <c r="I251" i="89"/>
  <c r="H251" i="89"/>
  <c r="G251" i="89"/>
  <c r="F251" i="89"/>
  <c r="E251" i="89"/>
  <c r="D251" i="89"/>
  <c r="C251" i="89"/>
  <c r="B251" i="89"/>
  <c r="A250" i="89"/>
  <c r="K250" i="89"/>
  <c r="J250" i="89"/>
  <c r="I250" i="89"/>
  <c r="H250" i="89"/>
  <c r="G250" i="89"/>
  <c r="F250" i="89"/>
  <c r="E250" i="89"/>
  <c r="D250" i="89"/>
  <c r="C250" i="89"/>
  <c r="B250" i="89"/>
  <c r="A249" i="89"/>
  <c r="K249" i="89"/>
  <c r="J249" i="89"/>
  <c r="I249" i="89"/>
  <c r="H249" i="89"/>
  <c r="G249" i="89"/>
  <c r="F249" i="89"/>
  <c r="E249" i="89"/>
  <c r="D249" i="89"/>
  <c r="C249" i="89"/>
  <c r="B249" i="89"/>
  <c r="A248" i="89"/>
  <c r="K248" i="89"/>
  <c r="J248" i="89"/>
  <c r="I248" i="89"/>
  <c r="H248" i="89"/>
  <c r="G248" i="89"/>
  <c r="F248" i="89"/>
  <c r="E248" i="89"/>
  <c r="D248" i="89"/>
  <c r="C248" i="89"/>
  <c r="B248" i="89"/>
  <c r="A247" i="89"/>
  <c r="K247" i="89"/>
  <c r="J247" i="89"/>
  <c r="I247" i="89"/>
  <c r="H247" i="89"/>
  <c r="G247" i="89"/>
  <c r="F247" i="89"/>
  <c r="E247" i="89"/>
  <c r="D247" i="89"/>
  <c r="C247" i="89"/>
  <c r="B247" i="89"/>
  <c r="A246" i="89"/>
  <c r="K246" i="89"/>
  <c r="J246" i="89"/>
  <c r="I246" i="89"/>
  <c r="H246" i="89"/>
  <c r="G246" i="89"/>
  <c r="F246" i="89"/>
  <c r="E246" i="89"/>
  <c r="D246" i="89"/>
  <c r="C246" i="89"/>
  <c r="B246" i="89"/>
  <c r="A245" i="89"/>
  <c r="K245" i="89"/>
  <c r="J245" i="89"/>
  <c r="I245" i="89"/>
  <c r="H245" i="89"/>
  <c r="G245" i="89"/>
  <c r="F245" i="89"/>
  <c r="E245" i="89"/>
  <c r="D245" i="89"/>
  <c r="C245" i="89"/>
  <c r="B245" i="89"/>
  <c r="A244" i="89"/>
  <c r="K244" i="89"/>
  <c r="J244" i="89"/>
  <c r="I244" i="89"/>
  <c r="H244" i="89"/>
  <c r="G244" i="89"/>
  <c r="F244" i="89"/>
  <c r="E244" i="89"/>
  <c r="D244" i="89"/>
  <c r="C244" i="89"/>
  <c r="B244" i="89"/>
  <c r="A243" i="89"/>
  <c r="K243" i="89"/>
  <c r="J243" i="89"/>
  <c r="I243" i="89"/>
  <c r="H243" i="89"/>
  <c r="G243" i="89"/>
  <c r="F243" i="89"/>
  <c r="E243" i="89"/>
  <c r="D243" i="89"/>
  <c r="C243" i="89"/>
  <c r="B243" i="89"/>
  <c r="A242" i="89"/>
  <c r="K242" i="89"/>
  <c r="J242" i="89"/>
  <c r="I242" i="89"/>
  <c r="H242" i="89"/>
  <c r="G242" i="89"/>
  <c r="F242" i="89"/>
  <c r="E242" i="89"/>
  <c r="D242" i="89"/>
  <c r="C242" i="89"/>
  <c r="B242" i="89"/>
  <c r="A241" i="89"/>
  <c r="K241" i="89"/>
  <c r="J241" i="89"/>
  <c r="I241" i="89"/>
  <c r="H241" i="89"/>
  <c r="G241" i="89"/>
  <c r="F241" i="89"/>
  <c r="E241" i="89"/>
  <c r="D241" i="89"/>
  <c r="C241" i="89"/>
  <c r="B241" i="89"/>
  <c r="A240" i="89"/>
  <c r="K240" i="89"/>
  <c r="J240" i="89"/>
  <c r="I240" i="89"/>
  <c r="H240" i="89"/>
  <c r="G240" i="89"/>
  <c r="F240" i="89"/>
  <c r="E240" i="89"/>
  <c r="D240" i="89"/>
  <c r="C240" i="89"/>
  <c r="B240" i="89"/>
  <c r="A239" i="89"/>
  <c r="K239" i="89"/>
  <c r="J239" i="89"/>
  <c r="I239" i="89"/>
  <c r="H239" i="89"/>
  <c r="G239" i="89"/>
  <c r="F239" i="89"/>
  <c r="E239" i="89"/>
  <c r="D239" i="89"/>
  <c r="C239" i="89"/>
  <c r="B239" i="89"/>
  <c r="A238" i="89"/>
  <c r="K238" i="89"/>
  <c r="J238" i="89"/>
  <c r="I238" i="89"/>
  <c r="H238" i="89"/>
  <c r="G238" i="89"/>
  <c r="F238" i="89"/>
  <c r="E238" i="89"/>
  <c r="D238" i="89"/>
  <c r="C238" i="89"/>
  <c r="B238" i="89"/>
  <c r="A237" i="89"/>
  <c r="K237" i="89"/>
  <c r="J237" i="89"/>
  <c r="I237" i="89"/>
  <c r="H237" i="89"/>
  <c r="G237" i="89"/>
  <c r="F237" i="89"/>
  <c r="E237" i="89"/>
  <c r="D237" i="89"/>
  <c r="C237" i="89"/>
  <c r="B237" i="89"/>
  <c r="A236" i="89"/>
  <c r="K236" i="89"/>
  <c r="J236" i="89"/>
  <c r="I236" i="89"/>
  <c r="H236" i="89"/>
  <c r="G236" i="89"/>
  <c r="F236" i="89"/>
  <c r="E236" i="89"/>
  <c r="D236" i="89"/>
  <c r="C236" i="89"/>
  <c r="B236" i="89"/>
  <c r="A235" i="89"/>
  <c r="K235" i="89"/>
  <c r="J235" i="89"/>
  <c r="I235" i="89"/>
  <c r="H235" i="89"/>
  <c r="G235" i="89"/>
  <c r="F235" i="89"/>
  <c r="E235" i="89"/>
  <c r="D235" i="89"/>
  <c r="C235" i="89"/>
  <c r="B235" i="89"/>
  <c r="A234" i="89"/>
  <c r="K234" i="89"/>
  <c r="J234" i="89"/>
  <c r="I234" i="89"/>
  <c r="H234" i="89"/>
  <c r="G234" i="89"/>
  <c r="F234" i="89"/>
  <c r="E234" i="89"/>
  <c r="D234" i="89"/>
  <c r="C234" i="89"/>
  <c r="B234" i="89"/>
  <c r="A233" i="89"/>
  <c r="K233" i="89"/>
  <c r="J233" i="89"/>
  <c r="I233" i="89"/>
  <c r="H233" i="89"/>
  <c r="G233" i="89"/>
  <c r="F233" i="89"/>
  <c r="E233" i="89"/>
  <c r="D233" i="89"/>
  <c r="C233" i="89"/>
  <c r="B233" i="89"/>
  <c r="A232" i="89"/>
  <c r="K232" i="89"/>
  <c r="J232" i="89"/>
  <c r="I232" i="89"/>
  <c r="H232" i="89"/>
  <c r="G232" i="89"/>
  <c r="F232" i="89"/>
  <c r="E232" i="89"/>
  <c r="D232" i="89"/>
  <c r="C232" i="89"/>
  <c r="B232" i="89"/>
  <c r="A231" i="89"/>
  <c r="K231" i="89"/>
  <c r="J231" i="89"/>
  <c r="I231" i="89"/>
  <c r="H231" i="89"/>
  <c r="G231" i="89"/>
  <c r="F231" i="89"/>
  <c r="E231" i="89"/>
  <c r="D231" i="89"/>
  <c r="C231" i="89"/>
  <c r="B231" i="89"/>
  <c r="A230" i="89"/>
  <c r="K230" i="89"/>
  <c r="J230" i="89"/>
  <c r="I230" i="89"/>
  <c r="H230" i="89"/>
  <c r="G230" i="89"/>
  <c r="F230" i="89"/>
  <c r="E230" i="89"/>
  <c r="D230" i="89"/>
  <c r="C230" i="89"/>
  <c r="B230" i="89"/>
  <c r="A229" i="89"/>
  <c r="K229" i="89"/>
  <c r="J229" i="89"/>
  <c r="I229" i="89"/>
  <c r="H229" i="89"/>
  <c r="G229" i="89"/>
  <c r="F229" i="89"/>
  <c r="E229" i="89"/>
  <c r="D229" i="89"/>
  <c r="C229" i="89"/>
  <c r="B229" i="89"/>
  <c r="A228" i="89"/>
  <c r="K228" i="89"/>
  <c r="J228" i="89"/>
  <c r="I228" i="89"/>
  <c r="H228" i="89"/>
  <c r="G228" i="89"/>
  <c r="F228" i="89"/>
  <c r="E228" i="89"/>
  <c r="D228" i="89"/>
  <c r="C228" i="89"/>
  <c r="B228" i="89"/>
  <c r="A227" i="89"/>
  <c r="K227" i="89"/>
  <c r="J227" i="89"/>
  <c r="I227" i="89"/>
  <c r="H227" i="89"/>
  <c r="G227" i="89"/>
  <c r="F227" i="89"/>
  <c r="E227" i="89"/>
  <c r="D227" i="89"/>
  <c r="C227" i="89"/>
  <c r="B227" i="89"/>
  <c r="A226" i="89"/>
  <c r="K226" i="89"/>
  <c r="J226" i="89"/>
  <c r="I226" i="89"/>
  <c r="H226" i="89"/>
  <c r="G226" i="89"/>
  <c r="F226" i="89"/>
  <c r="E226" i="89"/>
  <c r="D226" i="89"/>
  <c r="C226" i="89"/>
  <c r="B226" i="89"/>
  <c r="A225" i="89"/>
  <c r="K225" i="89"/>
  <c r="J225" i="89"/>
  <c r="I225" i="89"/>
  <c r="H225" i="89"/>
  <c r="G225" i="89"/>
  <c r="F225" i="89"/>
  <c r="E225" i="89"/>
  <c r="D225" i="89"/>
  <c r="C225" i="89"/>
  <c r="B225" i="89"/>
  <c r="A224" i="89"/>
  <c r="K224" i="89"/>
  <c r="J224" i="89"/>
  <c r="I224" i="89"/>
  <c r="H224" i="89"/>
  <c r="G224" i="89"/>
  <c r="F224" i="89"/>
  <c r="E224" i="89"/>
  <c r="D224" i="89"/>
  <c r="C224" i="89"/>
  <c r="B224" i="89"/>
  <c r="A223" i="89"/>
  <c r="K223" i="89"/>
  <c r="J223" i="89"/>
  <c r="I223" i="89"/>
  <c r="H223" i="89"/>
  <c r="G223" i="89"/>
  <c r="F223" i="89"/>
  <c r="E223" i="89"/>
  <c r="D223" i="89"/>
  <c r="C223" i="89"/>
  <c r="B223" i="89"/>
  <c r="A222" i="89"/>
  <c r="K222" i="89"/>
  <c r="J222" i="89"/>
  <c r="I222" i="89"/>
  <c r="H222" i="89"/>
  <c r="G222" i="89"/>
  <c r="F222" i="89"/>
  <c r="E222" i="89"/>
  <c r="D222" i="89"/>
  <c r="C222" i="89"/>
  <c r="B222" i="89"/>
  <c r="A221" i="89"/>
  <c r="K221" i="89"/>
  <c r="J221" i="89"/>
  <c r="I221" i="89"/>
  <c r="H221" i="89"/>
  <c r="G221" i="89"/>
  <c r="F221" i="89"/>
  <c r="E221" i="89"/>
  <c r="D221" i="89"/>
  <c r="C221" i="89"/>
  <c r="B221" i="89"/>
  <c r="A220" i="89"/>
  <c r="K220" i="89"/>
  <c r="J220" i="89"/>
  <c r="I220" i="89"/>
  <c r="H220" i="89"/>
  <c r="G220" i="89"/>
  <c r="F220" i="89"/>
  <c r="E220" i="89"/>
  <c r="D220" i="89"/>
  <c r="C220" i="89"/>
  <c r="B220" i="89"/>
  <c r="A219" i="89"/>
  <c r="K219" i="89"/>
  <c r="J219" i="89"/>
  <c r="I219" i="89"/>
  <c r="H219" i="89"/>
  <c r="G219" i="89"/>
  <c r="F219" i="89"/>
  <c r="E219" i="89"/>
  <c r="D219" i="89"/>
  <c r="C219" i="89"/>
  <c r="B219" i="89"/>
  <c r="A218" i="89"/>
  <c r="K218" i="89"/>
  <c r="J218" i="89"/>
  <c r="I218" i="89"/>
  <c r="H218" i="89"/>
  <c r="G218" i="89"/>
  <c r="F218" i="89"/>
  <c r="E218" i="89"/>
  <c r="D218" i="89"/>
  <c r="C218" i="89"/>
  <c r="B218" i="89"/>
  <c r="A217" i="89"/>
  <c r="K217" i="89"/>
  <c r="J217" i="89"/>
  <c r="I217" i="89"/>
  <c r="H217" i="89"/>
  <c r="G217" i="89"/>
  <c r="F217" i="89"/>
  <c r="E217" i="89"/>
  <c r="D217" i="89"/>
  <c r="C217" i="89"/>
  <c r="B217" i="89"/>
  <c r="A216" i="89"/>
  <c r="K216" i="89"/>
  <c r="J216" i="89"/>
  <c r="I216" i="89"/>
  <c r="H216" i="89"/>
  <c r="G216" i="89"/>
  <c r="F216" i="89"/>
  <c r="E216" i="89"/>
  <c r="D216" i="89"/>
  <c r="C216" i="89"/>
  <c r="B216" i="89"/>
  <c r="A215" i="89"/>
  <c r="K215" i="89"/>
  <c r="J215" i="89"/>
  <c r="I215" i="89"/>
  <c r="H215" i="89"/>
  <c r="G215" i="89"/>
  <c r="F215" i="89"/>
  <c r="E215" i="89"/>
  <c r="D215" i="89"/>
  <c r="C215" i="89"/>
  <c r="B215" i="89"/>
  <c r="A214" i="89"/>
  <c r="K214" i="89"/>
  <c r="J214" i="89"/>
  <c r="I214" i="89"/>
  <c r="H214" i="89"/>
  <c r="G214" i="89"/>
  <c r="F214" i="89"/>
  <c r="E214" i="89"/>
  <c r="D214" i="89"/>
  <c r="C214" i="89"/>
  <c r="B214" i="89"/>
  <c r="A213" i="89"/>
  <c r="K213" i="89"/>
  <c r="J213" i="89"/>
  <c r="I213" i="89"/>
  <c r="H213" i="89"/>
  <c r="G213" i="89"/>
  <c r="F213" i="89"/>
  <c r="E213" i="89"/>
  <c r="D213" i="89"/>
  <c r="C213" i="89"/>
  <c r="B213" i="89"/>
  <c r="A212" i="89"/>
  <c r="K212" i="89"/>
  <c r="J212" i="89"/>
  <c r="I212" i="89"/>
  <c r="H212" i="89"/>
  <c r="G212" i="89"/>
  <c r="F212" i="89"/>
  <c r="E212" i="89"/>
  <c r="D212" i="89"/>
  <c r="C212" i="89"/>
  <c r="B212" i="89"/>
  <c r="A211" i="89"/>
  <c r="K211" i="89"/>
  <c r="J211" i="89"/>
  <c r="I211" i="89"/>
  <c r="H211" i="89"/>
  <c r="G211" i="89"/>
  <c r="F211" i="89"/>
  <c r="E211" i="89"/>
  <c r="D211" i="89"/>
  <c r="C211" i="89"/>
  <c r="B211" i="89"/>
  <c r="A210" i="89"/>
  <c r="K210" i="89"/>
  <c r="J210" i="89"/>
  <c r="I210" i="89"/>
  <c r="H210" i="89"/>
  <c r="G210" i="89"/>
  <c r="F210" i="89"/>
  <c r="E210" i="89"/>
  <c r="D210" i="89"/>
  <c r="C210" i="89"/>
  <c r="B210" i="89"/>
  <c r="A209" i="89"/>
  <c r="K209" i="89"/>
  <c r="J209" i="89"/>
  <c r="I209" i="89"/>
  <c r="H209" i="89"/>
  <c r="G209" i="89"/>
  <c r="F209" i="89"/>
  <c r="E209" i="89"/>
  <c r="D209" i="89"/>
  <c r="C209" i="89"/>
  <c r="B209" i="89"/>
  <c r="A208" i="89"/>
  <c r="K208" i="89"/>
  <c r="J208" i="89"/>
  <c r="I208" i="89"/>
  <c r="H208" i="89"/>
  <c r="G208" i="89"/>
  <c r="F208" i="89"/>
  <c r="E208" i="89"/>
  <c r="D208" i="89"/>
  <c r="C208" i="89"/>
  <c r="B208" i="89"/>
  <c r="A207" i="89"/>
  <c r="K207" i="89"/>
  <c r="J207" i="89"/>
  <c r="I207" i="89"/>
  <c r="H207" i="89"/>
  <c r="G207" i="89"/>
  <c r="F207" i="89"/>
  <c r="E207" i="89"/>
  <c r="D207" i="89"/>
  <c r="C207" i="89"/>
  <c r="B207" i="89"/>
  <c r="A206" i="89"/>
  <c r="K206" i="89"/>
  <c r="J206" i="89"/>
  <c r="I206" i="89"/>
  <c r="H206" i="89"/>
  <c r="G206" i="89"/>
  <c r="F206" i="89"/>
  <c r="E206" i="89"/>
  <c r="D206" i="89"/>
  <c r="C206" i="89"/>
  <c r="B206" i="89"/>
  <c r="A205" i="89"/>
  <c r="K205" i="89"/>
  <c r="J205" i="89"/>
  <c r="I205" i="89"/>
  <c r="H205" i="89"/>
  <c r="G205" i="89"/>
  <c r="F205" i="89"/>
  <c r="E205" i="89"/>
  <c r="D205" i="89"/>
  <c r="C205" i="89"/>
  <c r="B205" i="89"/>
  <c r="A204" i="89"/>
  <c r="K204" i="89"/>
  <c r="J204" i="89"/>
  <c r="I204" i="89"/>
  <c r="H204" i="89"/>
  <c r="G204" i="89"/>
  <c r="F204" i="89"/>
  <c r="E204" i="89"/>
  <c r="D204" i="89"/>
  <c r="C204" i="89"/>
  <c r="B204" i="89"/>
  <c r="A203" i="89"/>
  <c r="K203" i="89"/>
  <c r="J203" i="89"/>
  <c r="I203" i="89"/>
  <c r="H203" i="89"/>
  <c r="G203" i="89"/>
  <c r="F203" i="89"/>
  <c r="E203" i="89"/>
  <c r="D203" i="89"/>
  <c r="C203" i="89"/>
  <c r="B203" i="89"/>
  <c r="A202" i="89"/>
  <c r="K202" i="89"/>
  <c r="J202" i="89"/>
  <c r="I202" i="89"/>
  <c r="H202" i="89"/>
  <c r="G202" i="89"/>
  <c r="F202" i="89"/>
  <c r="E202" i="89"/>
  <c r="D202" i="89"/>
  <c r="C202" i="89"/>
  <c r="B202" i="89"/>
  <c r="A201" i="89"/>
  <c r="K201" i="89"/>
  <c r="J201" i="89"/>
  <c r="I201" i="89"/>
  <c r="H201" i="89"/>
  <c r="G201" i="89"/>
  <c r="F201" i="89"/>
  <c r="E201" i="89"/>
  <c r="D201" i="89"/>
  <c r="C201" i="89"/>
  <c r="B201" i="89"/>
  <c r="A200" i="89"/>
  <c r="K200" i="89"/>
  <c r="J200" i="89"/>
  <c r="I200" i="89"/>
  <c r="H200" i="89"/>
  <c r="G200" i="89"/>
  <c r="F200" i="89"/>
  <c r="E200" i="89"/>
  <c r="D200" i="89"/>
  <c r="C200" i="89"/>
  <c r="B200" i="89"/>
  <c r="A199" i="89"/>
  <c r="K199" i="89"/>
  <c r="J199" i="89"/>
  <c r="I199" i="89"/>
  <c r="H199" i="89"/>
  <c r="G199" i="89"/>
  <c r="F199" i="89"/>
  <c r="E199" i="89"/>
  <c r="D199" i="89"/>
  <c r="C199" i="89"/>
  <c r="B199" i="89"/>
  <c r="A198" i="89"/>
  <c r="K198" i="89"/>
  <c r="J198" i="89"/>
  <c r="I198" i="89"/>
  <c r="H198" i="89"/>
  <c r="G198" i="89"/>
  <c r="F198" i="89"/>
  <c r="E198" i="89"/>
  <c r="D198" i="89"/>
  <c r="C198" i="89"/>
  <c r="B198" i="89"/>
  <c r="A197" i="89"/>
  <c r="K197" i="89"/>
  <c r="J197" i="89"/>
  <c r="I197" i="89"/>
  <c r="H197" i="89"/>
  <c r="G197" i="89"/>
  <c r="F197" i="89"/>
  <c r="E197" i="89"/>
  <c r="D197" i="89"/>
  <c r="C197" i="89"/>
  <c r="B197" i="89"/>
  <c r="A196" i="89"/>
  <c r="K196" i="89"/>
  <c r="J196" i="89"/>
  <c r="I196" i="89"/>
  <c r="H196" i="89"/>
  <c r="G196" i="89"/>
  <c r="F196" i="89"/>
  <c r="E196" i="89"/>
  <c r="D196" i="89"/>
  <c r="C196" i="89"/>
  <c r="B196" i="89"/>
  <c r="A195" i="89"/>
  <c r="K195" i="89"/>
  <c r="J195" i="89"/>
  <c r="I195" i="89"/>
  <c r="H195" i="89"/>
  <c r="G195" i="89"/>
  <c r="F195" i="89"/>
  <c r="E195" i="89"/>
  <c r="D195" i="89"/>
  <c r="C195" i="89"/>
  <c r="B195" i="89"/>
  <c r="A194" i="89"/>
  <c r="K194" i="89"/>
  <c r="J194" i="89"/>
  <c r="I194" i="89"/>
  <c r="H194" i="89"/>
  <c r="G194" i="89"/>
  <c r="F194" i="89"/>
  <c r="E194" i="89"/>
  <c r="D194" i="89"/>
  <c r="C194" i="89"/>
  <c r="B194" i="89"/>
  <c r="A193" i="89"/>
  <c r="K193" i="89"/>
  <c r="J193" i="89"/>
  <c r="I193" i="89"/>
  <c r="H193" i="89"/>
  <c r="G193" i="89"/>
  <c r="F193" i="89"/>
  <c r="E193" i="89"/>
  <c r="D193" i="89"/>
  <c r="C193" i="89"/>
  <c r="B193" i="89"/>
  <c r="A192" i="89"/>
  <c r="K192" i="89"/>
  <c r="J192" i="89"/>
  <c r="I192" i="89"/>
  <c r="H192" i="89"/>
  <c r="G192" i="89"/>
  <c r="F192" i="89"/>
  <c r="E192" i="89"/>
  <c r="D192" i="89"/>
  <c r="C192" i="89"/>
  <c r="B192" i="89"/>
  <c r="A191" i="89"/>
  <c r="K191" i="89"/>
  <c r="J191" i="89"/>
  <c r="I191" i="89"/>
  <c r="H191" i="89"/>
  <c r="G191" i="89"/>
  <c r="F191" i="89"/>
  <c r="E191" i="89"/>
  <c r="D191" i="89"/>
  <c r="C191" i="89"/>
  <c r="B191" i="89"/>
  <c r="A190" i="89"/>
  <c r="K190" i="89"/>
  <c r="J190" i="89"/>
  <c r="I190" i="89"/>
  <c r="H190" i="89"/>
  <c r="G190" i="89"/>
  <c r="F190" i="89"/>
  <c r="E190" i="89"/>
  <c r="D190" i="89"/>
  <c r="C190" i="89"/>
  <c r="B190" i="89"/>
  <c r="A189" i="89"/>
  <c r="K189" i="89"/>
  <c r="J189" i="89"/>
  <c r="I189" i="89"/>
  <c r="H189" i="89"/>
  <c r="G189" i="89"/>
  <c r="F189" i="89"/>
  <c r="E189" i="89"/>
  <c r="D189" i="89"/>
  <c r="C189" i="89"/>
  <c r="B189" i="89"/>
  <c r="A188" i="89"/>
  <c r="K188" i="89"/>
  <c r="J188" i="89"/>
  <c r="I188" i="89"/>
  <c r="H188" i="89"/>
  <c r="G188" i="89"/>
  <c r="F188" i="89"/>
  <c r="E188" i="89"/>
  <c r="D188" i="89"/>
  <c r="C188" i="89"/>
  <c r="B188" i="89"/>
  <c r="A187" i="89"/>
  <c r="K187" i="89"/>
  <c r="J187" i="89"/>
  <c r="I187" i="89"/>
  <c r="H187" i="89"/>
  <c r="G187" i="89"/>
  <c r="F187" i="89"/>
  <c r="E187" i="89"/>
  <c r="D187" i="89"/>
  <c r="C187" i="89"/>
  <c r="B187" i="89"/>
  <c r="A186" i="89"/>
  <c r="K186" i="89"/>
  <c r="J186" i="89"/>
  <c r="I186" i="89"/>
  <c r="H186" i="89"/>
  <c r="G186" i="89"/>
  <c r="F186" i="89"/>
  <c r="E186" i="89"/>
  <c r="D186" i="89"/>
  <c r="C186" i="89"/>
  <c r="B186" i="89"/>
  <c r="A185" i="89"/>
  <c r="K185" i="89"/>
  <c r="J185" i="89"/>
  <c r="I185" i="89"/>
  <c r="H185" i="89"/>
  <c r="G185" i="89"/>
  <c r="F185" i="89"/>
  <c r="E185" i="89"/>
  <c r="D185" i="89"/>
  <c r="C185" i="89"/>
  <c r="B185" i="89"/>
  <c r="A184" i="89"/>
  <c r="K184" i="89"/>
  <c r="J184" i="89"/>
  <c r="I184" i="89"/>
  <c r="H184" i="89"/>
  <c r="G184" i="89"/>
  <c r="F184" i="89"/>
  <c r="E184" i="89"/>
  <c r="D184" i="89"/>
  <c r="C184" i="89"/>
  <c r="B184" i="89"/>
  <c r="A183" i="89"/>
  <c r="K183" i="89"/>
  <c r="J183" i="89"/>
  <c r="I183" i="89"/>
  <c r="H183" i="89"/>
  <c r="G183" i="89"/>
  <c r="F183" i="89"/>
  <c r="E183" i="89"/>
  <c r="D183" i="89"/>
  <c r="C183" i="89"/>
  <c r="B183" i="89"/>
  <c r="A182" i="89"/>
  <c r="K182" i="89"/>
  <c r="J182" i="89"/>
  <c r="I182" i="89"/>
  <c r="H182" i="89"/>
  <c r="G182" i="89"/>
  <c r="F182" i="89"/>
  <c r="E182" i="89"/>
  <c r="D182" i="89"/>
  <c r="C182" i="89"/>
  <c r="B182" i="89"/>
  <c r="A181" i="89"/>
  <c r="K181" i="89"/>
  <c r="J181" i="89"/>
  <c r="I181" i="89"/>
  <c r="H181" i="89"/>
  <c r="G181" i="89"/>
  <c r="F181" i="89"/>
  <c r="E181" i="89"/>
  <c r="D181" i="89"/>
  <c r="C181" i="89"/>
  <c r="B181" i="89"/>
  <c r="A180" i="89"/>
  <c r="K180" i="89"/>
  <c r="J180" i="89"/>
  <c r="I180" i="89"/>
  <c r="H180" i="89"/>
  <c r="G180" i="89"/>
  <c r="F180" i="89"/>
  <c r="E180" i="89"/>
  <c r="D180" i="89"/>
  <c r="C180" i="89"/>
  <c r="B180" i="89"/>
  <c r="A179" i="89"/>
  <c r="K179" i="89"/>
  <c r="J179" i="89"/>
  <c r="I179" i="89"/>
  <c r="H179" i="89"/>
  <c r="G179" i="89"/>
  <c r="F179" i="89"/>
  <c r="E179" i="89"/>
  <c r="D179" i="89"/>
  <c r="C179" i="89"/>
  <c r="B179" i="89"/>
  <c r="A178" i="89"/>
  <c r="K178" i="89"/>
  <c r="J178" i="89"/>
  <c r="I178" i="89"/>
  <c r="H178" i="89"/>
  <c r="G178" i="89"/>
  <c r="F178" i="89"/>
  <c r="E178" i="89"/>
  <c r="D178" i="89"/>
  <c r="C178" i="89"/>
  <c r="B178" i="89"/>
  <c r="A177" i="89"/>
  <c r="K177" i="89"/>
  <c r="J177" i="89"/>
  <c r="I177" i="89"/>
  <c r="H177" i="89"/>
  <c r="G177" i="89"/>
  <c r="F177" i="89"/>
  <c r="E177" i="89"/>
  <c r="D177" i="89"/>
  <c r="C177" i="89"/>
  <c r="B177" i="89"/>
  <c r="A176" i="89"/>
  <c r="K176" i="89"/>
  <c r="J176" i="89"/>
  <c r="I176" i="89"/>
  <c r="H176" i="89"/>
  <c r="G176" i="89"/>
  <c r="F176" i="89"/>
  <c r="E176" i="89"/>
  <c r="D176" i="89"/>
  <c r="C176" i="89"/>
  <c r="B176" i="89"/>
  <c r="A175" i="89"/>
  <c r="K175" i="89"/>
  <c r="J175" i="89"/>
  <c r="I175" i="89"/>
  <c r="H175" i="89"/>
  <c r="G175" i="89"/>
  <c r="F175" i="89"/>
  <c r="E175" i="89"/>
  <c r="D175" i="89"/>
  <c r="C175" i="89"/>
  <c r="B175" i="89"/>
  <c r="A174" i="89"/>
  <c r="K174" i="89"/>
  <c r="J174" i="89"/>
  <c r="I174" i="89"/>
  <c r="H174" i="89"/>
  <c r="G174" i="89"/>
  <c r="F174" i="89"/>
  <c r="E174" i="89"/>
  <c r="D174" i="89"/>
  <c r="C174" i="89"/>
  <c r="B174" i="89"/>
  <c r="A173" i="89"/>
  <c r="K173" i="89"/>
  <c r="J173" i="89"/>
  <c r="I173" i="89"/>
  <c r="H173" i="89"/>
  <c r="G173" i="89"/>
  <c r="F173" i="89"/>
  <c r="E173" i="89"/>
  <c r="D173" i="89"/>
  <c r="C173" i="89"/>
  <c r="B173" i="89"/>
  <c r="A172" i="89"/>
  <c r="K172" i="89"/>
  <c r="J172" i="89"/>
  <c r="I172" i="89"/>
  <c r="H172" i="89"/>
  <c r="G172" i="89"/>
  <c r="F172" i="89"/>
  <c r="E172" i="89"/>
  <c r="D172" i="89"/>
  <c r="C172" i="89"/>
  <c r="B172" i="89"/>
  <c r="A171" i="89"/>
  <c r="K171" i="89"/>
  <c r="J171" i="89"/>
  <c r="I171" i="89"/>
  <c r="H171" i="89"/>
  <c r="G171" i="89"/>
  <c r="F171" i="89"/>
  <c r="E171" i="89"/>
  <c r="D171" i="89"/>
  <c r="C171" i="89"/>
  <c r="B171" i="89"/>
  <c r="A170" i="89"/>
  <c r="K170" i="89"/>
  <c r="J170" i="89"/>
  <c r="I170" i="89"/>
  <c r="H170" i="89"/>
  <c r="G170" i="89"/>
  <c r="F170" i="89"/>
  <c r="E170" i="89"/>
  <c r="D170" i="89"/>
  <c r="C170" i="89"/>
  <c r="B170" i="89"/>
  <c r="A169" i="89"/>
  <c r="K169" i="89"/>
  <c r="J169" i="89"/>
  <c r="I169" i="89"/>
  <c r="H169" i="89"/>
  <c r="G169" i="89"/>
  <c r="F169" i="89"/>
  <c r="E169" i="89"/>
  <c r="D169" i="89"/>
  <c r="C169" i="89"/>
  <c r="B169" i="89"/>
  <c r="A168" i="89"/>
  <c r="K168" i="89"/>
  <c r="J168" i="89"/>
  <c r="I168" i="89"/>
  <c r="H168" i="89"/>
  <c r="G168" i="89"/>
  <c r="F168" i="89"/>
  <c r="E168" i="89"/>
  <c r="D168" i="89"/>
  <c r="C168" i="89"/>
  <c r="B168" i="89"/>
  <c r="A167" i="89"/>
  <c r="K167" i="89"/>
  <c r="J167" i="89"/>
  <c r="I167" i="89"/>
  <c r="H167" i="89"/>
  <c r="G167" i="89"/>
  <c r="F167" i="89"/>
  <c r="E167" i="89"/>
  <c r="D167" i="89"/>
  <c r="C167" i="89"/>
  <c r="B167" i="89"/>
  <c r="A166" i="89"/>
  <c r="K166" i="89"/>
  <c r="J166" i="89"/>
  <c r="I166" i="89"/>
  <c r="H166" i="89"/>
  <c r="G166" i="89"/>
  <c r="F166" i="89"/>
  <c r="E166" i="89"/>
  <c r="D166" i="89"/>
  <c r="C166" i="89"/>
  <c r="B166" i="89"/>
  <c r="A165" i="89"/>
  <c r="K165" i="89"/>
  <c r="J165" i="89"/>
  <c r="I165" i="89"/>
  <c r="H165" i="89"/>
  <c r="G165" i="89"/>
  <c r="F165" i="89"/>
  <c r="E165" i="89"/>
  <c r="D165" i="89"/>
  <c r="C165" i="89"/>
  <c r="B165" i="89"/>
  <c r="A164" i="89"/>
  <c r="K164" i="89"/>
  <c r="J164" i="89"/>
  <c r="I164" i="89"/>
  <c r="H164" i="89"/>
  <c r="G164" i="89"/>
  <c r="F164" i="89"/>
  <c r="E164" i="89"/>
  <c r="D164" i="89"/>
  <c r="C164" i="89"/>
  <c r="B164" i="89"/>
  <c r="A163" i="89"/>
  <c r="K163" i="89"/>
  <c r="J163" i="89"/>
  <c r="I163" i="89"/>
  <c r="H163" i="89"/>
  <c r="G163" i="89"/>
  <c r="F163" i="89"/>
  <c r="E163" i="89"/>
  <c r="D163" i="89"/>
  <c r="C163" i="89"/>
  <c r="B163" i="89"/>
  <c r="A162" i="89"/>
  <c r="K162" i="89"/>
  <c r="J162" i="89"/>
  <c r="I162" i="89"/>
  <c r="H162" i="89"/>
  <c r="G162" i="89"/>
  <c r="F162" i="89"/>
  <c r="E162" i="89"/>
  <c r="D162" i="89"/>
  <c r="C162" i="89"/>
  <c r="B162" i="89"/>
  <c r="A161" i="89"/>
  <c r="K161" i="89"/>
  <c r="J161" i="89"/>
  <c r="I161" i="89"/>
  <c r="H161" i="89"/>
  <c r="G161" i="89"/>
  <c r="F161" i="89"/>
  <c r="E161" i="89"/>
  <c r="D161" i="89"/>
  <c r="C161" i="89"/>
  <c r="B161" i="89"/>
  <c r="A160" i="89"/>
  <c r="K160" i="89"/>
  <c r="J160" i="89"/>
  <c r="I160" i="89"/>
  <c r="H160" i="89"/>
  <c r="G160" i="89"/>
  <c r="F160" i="89"/>
  <c r="E160" i="89"/>
  <c r="D160" i="89"/>
  <c r="C160" i="89"/>
  <c r="B160" i="89"/>
  <c r="A159" i="89"/>
  <c r="K159" i="89"/>
  <c r="J159" i="89"/>
  <c r="I159" i="89"/>
  <c r="H159" i="89"/>
  <c r="G159" i="89"/>
  <c r="F159" i="89"/>
  <c r="E159" i="89"/>
  <c r="D159" i="89"/>
  <c r="C159" i="89"/>
  <c r="B159" i="89"/>
  <c r="A158" i="89"/>
  <c r="K158" i="89"/>
  <c r="J158" i="89"/>
  <c r="I158" i="89"/>
  <c r="H158" i="89"/>
  <c r="G158" i="89"/>
  <c r="F158" i="89"/>
  <c r="E158" i="89"/>
  <c r="D158" i="89"/>
  <c r="C158" i="89"/>
  <c r="B158" i="89"/>
  <c r="A157" i="89"/>
  <c r="K157" i="89"/>
  <c r="J157" i="89"/>
  <c r="I157" i="89"/>
  <c r="H157" i="89"/>
  <c r="G157" i="89"/>
  <c r="F157" i="89"/>
  <c r="E157" i="89"/>
  <c r="D157" i="89"/>
  <c r="C157" i="89"/>
  <c r="B157" i="89"/>
  <c r="A156" i="89"/>
  <c r="K156" i="89"/>
  <c r="J156" i="89"/>
  <c r="I156" i="89"/>
  <c r="H156" i="89"/>
  <c r="G156" i="89"/>
  <c r="F156" i="89"/>
  <c r="E156" i="89"/>
  <c r="D156" i="89"/>
  <c r="C156" i="89"/>
  <c r="B156" i="89"/>
  <c r="A155" i="89"/>
  <c r="K155" i="89"/>
  <c r="J155" i="89"/>
  <c r="I155" i="89"/>
  <c r="H155" i="89"/>
  <c r="G155" i="89"/>
  <c r="F155" i="89"/>
  <c r="E155" i="89"/>
  <c r="D155" i="89"/>
  <c r="C155" i="89"/>
  <c r="B155" i="89"/>
  <c r="A154" i="89"/>
  <c r="K154" i="89"/>
  <c r="J154" i="89"/>
  <c r="I154" i="89"/>
  <c r="H154" i="89"/>
  <c r="G154" i="89"/>
  <c r="F154" i="89"/>
  <c r="E154" i="89"/>
  <c r="D154" i="89"/>
  <c r="C154" i="89"/>
  <c r="B154" i="89"/>
  <c r="A153" i="89"/>
  <c r="K153" i="89"/>
  <c r="J153" i="89"/>
  <c r="I153" i="89"/>
  <c r="H153" i="89"/>
  <c r="G153" i="89"/>
  <c r="F153" i="89"/>
  <c r="E153" i="89"/>
  <c r="D153" i="89"/>
  <c r="C153" i="89"/>
  <c r="B153" i="89"/>
  <c r="A152" i="89"/>
  <c r="K152" i="89"/>
  <c r="J152" i="89"/>
  <c r="I152" i="89"/>
  <c r="H152" i="89"/>
  <c r="G152" i="89"/>
  <c r="F152" i="89"/>
  <c r="E152" i="89"/>
  <c r="D152" i="89"/>
  <c r="C152" i="89"/>
  <c r="B152" i="89"/>
  <c r="A151" i="89"/>
  <c r="K151" i="89"/>
  <c r="J151" i="89"/>
  <c r="I151" i="89"/>
  <c r="H151" i="89"/>
  <c r="G151" i="89"/>
  <c r="F151" i="89"/>
  <c r="E151" i="89"/>
  <c r="D151" i="89"/>
  <c r="C151" i="89"/>
  <c r="B151" i="89"/>
  <c r="A150" i="89"/>
  <c r="K150" i="89"/>
  <c r="J150" i="89"/>
  <c r="I150" i="89"/>
  <c r="H150" i="89"/>
  <c r="G150" i="89"/>
  <c r="F150" i="89"/>
  <c r="E150" i="89"/>
  <c r="D150" i="89"/>
  <c r="C150" i="89"/>
  <c r="B150" i="89"/>
  <c r="A149" i="89"/>
  <c r="K149" i="89"/>
  <c r="J149" i="89"/>
  <c r="I149" i="89"/>
  <c r="H149" i="89"/>
  <c r="G149" i="89"/>
  <c r="F149" i="89"/>
  <c r="E149" i="89"/>
  <c r="D149" i="89"/>
  <c r="C149" i="89"/>
  <c r="B149" i="89"/>
  <c r="A148" i="89"/>
  <c r="K148" i="89"/>
  <c r="J148" i="89"/>
  <c r="I148" i="89"/>
  <c r="H148" i="89"/>
  <c r="G148" i="89"/>
  <c r="F148" i="89"/>
  <c r="E148" i="89"/>
  <c r="D148" i="89"/>
  <c r="C148" i="89"/>
  <c r="B148" i="89"/>
  <c r="A147" i="89"/>
  <c r="K147" i="89"/>
  <c r="J147" i="89"/>
  <c r="I147" i="89"/>
  <c r="H147" i="89"/>
  <c r="G147" i="89"/>
  <c r="F147" i="89"/>
  <c r="E147" i="89"/>
  <c r="D147" i="89"/>
  <c r="C147" i="89"/>
  <c r="B147" i="89"/>
  <c r="A146" i="89"/>
  <c r="K146" i="89"/>
  <c r="J146" i="89"/>
  <c r="I146" i="89"/>
  <c r="H146" i="89"/>
  <c r="G146" i="89"/>
  <c r="F146" i="89"/>
  <c r="E146" i="89"/>
  <c r="D146" i="89"/>
  <c r="C146" i="89"/>
  <c r="B146" i="89"/>
  <c r="A145" i="89"/>
  <c r="K145" i="89"/>
  <c r="J145" i="89"/>
  <c r="I145" i="89"/>
  <c r="H145" i="89"/>
  <c r="G145" i="89"/>
  <c r="F145" i="89"/>
  <c r="E145" i="89"/>
  <c r="D145" i="89"/>
  <c r="C145" i="89"/>
  <c r="B145" i="89"/>
  <c r="A144" i="89"/>
  <c r="K144" i="89"/>
  <c r="J144" i="89"/>
  <c r="I144" i="89"/>
  <c r="H144" i="89"/>
  <c r="G144" i="89"/>
  <c r="F144" i="89"/>
  <c r="E144" i="89"/>
  <c r="D144" i="89"/>
  <c r="C144" i="89"/>
  <c r="B144" i="89"/>
  <c r="A143" i="89"/>
  <c r="K143" i="89"/>
  <c r="J143" i="89"/>
  <c r="I143" i="89"/>
  <c r="H143" i="89"/>
  <c r="G143" i="89"/>
  <c r="F143" i="89"/>
  <c r="E143" i="89"/>
  <c r="D143" i="89"/>
  <c r="C143" i="89"/>
  <c r="B143" i="89"/>
  <c r="A142" i="89"/>
  <c r="K142" i="89"/>
  <c r="J142" i="89"/>
  <c r="I142" i="89"/>
  <c r="H142" i="89"/>
  <c r="G142" i="89"/>
  <c r="F142" i="89"/>
  <c r="E142" i="89"/>
  <c r="D142" i="89"/>
  <c r="C142" i="89"/>
  <c r="B142" i="89"/>
  <c r="A141" i="89"/>
  <c r="K141" i="89"/>
  <c r="J141" i="89"/>
  <c r="I141" i="89"/>
  <c r="H141" i="89"/>
  <c r="G141" i="89"/>
  <c r="F141" i="89"/>
  <c r="E141" i="89"/>
  <c r="D141" i="89"/>
  <c r="C141" i="89"/>
  <c r="B141" i="89"/>
  <c r="A140" i="89"/>
  <c r="K140" i="89"/>
  <c r="J140" i="89"/>
  <c r="I140" i="89"/>
  <c r="H140" i="89"/>
  <c r="G140" i="89"/>
  <c r="F140" i="89"/>
  <c r="E140" i="89"/>
  <c r="D140" i="89"/>
  <c r="C140" i="89"/>
  <c r="B140" i="89"/>
  <c r="A139" i="89"/>
  <c r="K139" i="89"/>
  <c r="J139" i="89"/>
  <c r="I139" i="89"/>
  <c r="H139" i="89"/>
  <c r="G139" i="89"/>
  <c r="F139" i="89"/>
  <c r="E139" i="89"/>
  <c r="D139" i="89"/>
  <c r="C139" i="89"/>
  <c r="B139" i="89"/>
  <c r="A138" i="89"/>
  <c r="K138" i="89"/>
  <c r="J138" i="89"/>
  <c r="I138" i="89"/>
  <c r="H138" i="89"/>
  <c r="G138" i="89"/>
  <c r="F138" i="89"/>
  <c r="E138" i="89"/>
  <c r="D138" i="89"/>
  <c r="C138" i="89"/>
  <c r="B138" i="89"/>
  <c r="A137" i="89"/>
  <c r="K137" i="89"/>
  <c r="J137" i="89"/>
  <c r="I137" i="89"/>
  <c r="H137" i="89"/>
  <c r="G137" i="89"/>
  <c r="F137" i="89"/>
  <c r="E137" i="89"/>
  <c r="D137" i="89"/>
  <c r="C137" i="89"/>
  <c r="B137" i="89"/>
  <c r="A136" i="89"/>
  <c r="K136" i="89"/>
  <c r="J136" i="89"/>
  <c r="I136" i="89"/>
  <c r="H136" i="89"/>
  <c r="G136" i="89"/>
  <c r="F136" i="89"/>
  <c r="E136" i="89"/>
  <c r="D136" i="89"/>
  <c r="C136" i="89"/>
  <c r="B136" i="89"/>
  <c r="A135" i="89"/>
  <c r="K135" i="89"/>
  <c r="J135" i="89"/>
  <c r="I135" i="89"/>
  <c r="H135" i="89"/>
  <c r="G135" i="89"/>
  <c r="F135" i="89"/>
  <c r="E135" i="89"/>
  <c r="D135" i="89"/>
  <c r="C135" i="89"/>
  <c r="B135" i="89"/>
  <c r="A134" i="89"/>
  <c r="K134" i="89"/>
  <c r="J134" i="89"/>
  <c r="I134" i="89"/>
  <c r="H134" i="89"/>
  <c r="G134" i="89"/>
  <c r="F134" i="89"/>
  <c r="E134" i="89"/>
  <c r="D134" i="89"/>
  <c r="C134" i="89"/>
  <c r="B134" i="89"/>
  <c r="A133" i="89"/>
  <c r="K133" i="89"/>
  <c r="J133" i="89"/>
  <c r="I133" i="89"/>
  <c r="H133" i="89"/>
  <c r="G133" i="89"/>
  <c r="F133" i="89"/>
  <c r="E133" i="89"/>
  <c r="D133" i="89"/>
  <c r="C133" i="89"/>
  <c r="B133" i="89"/>
  <c r="A132" i="89"/>
  <c r="K132" i="89"/>
  <c r="J132" i="89"/>
  <c r="I132" i="89"/>
  <c r="H132" i="89"/>
  <c r="G132" i="89"/>
  <c r="F132" i="89"/>
  <c r="E132" i="89"/>
  <c r="D132" i="89"/>
  <c r="C132" i="89"/>
  <c r="B132" i="89"/>
  <c r="A131" i="89"/>
  <c r="K131" i="89"/>
  <c r="J131" i="89"/>
  <c r="I131" i="89"/>
  <c r="H131" i="89"/>
  <c r="G131" i="89"/>
  <c r="F131" i="89"/>
  <c r="E131" i="89"/>
  <c r="D131" i="89"/>
  <c r="C131" i="89"/>
  <c r="B131" i="89"/>
  <c r="A130" i="89"/>
  <c r="K130" i="89"/>
  <c r="J130" i="89"/>
  <c r="I130" i="89"/>
  <c r="H130" i="89"/>
  <c r="G130" i="89"/>
  <c r="F130" i="89"/>
  <c r="E130" i="89"/>
  <c r="D130" i="89"/>
  <c r="C130" i="89"/>
  <c r="B130" i="89"/>
  <c r="A129" i="89"/>
  <c r="K129" i="89"/>
  <c r="J129" i="89"/>
  <c r="I129" i="89"/>
  <c r="H129" i="89"/>
  <c r="G129" i="89"/>
  <c r="F129" i="89"/>
  <c r="E129" i="89"/>
  <c r="D129" i="89"/>
  <c r="C129" i="89"/>
  <c r="B129" i="89"/>
  <c r="A128" i="89"/>
  <c r="K128" i="89"/>
  <c r="J128" i="89"/>
  <c r="I128" i="89"/>
  <c r="H128" i="89"/>
  <c r="G128" i="89"/>
  <c r="F128" i="89"/>
  <c r="E128" i="89"/>
  <c r="D128" i="89"/>
  <c r="C128" i="89"/>
  <c r="B128" i="89"/>
  <c r="A127" i="89"/>
  <c r="K127" i="89"/>
  <c r="J127" i="89"/>
  <c r="I127" i="89"/>
  <c r="H127" i="89"/>
  <c r="G127" i="89"/>
  <c r="F127" i="89"/>
  <c r="E127" i="89"/>
  <c r="D127" i="89"/>
  <c r="C127" i="89"/>
  <c r="B127" i="89"/>
  <c r="A126" i="89"/>
  <c r="K126" i="89"/>
  <c r="J126" i="89"/>
  <c r="I126" i="89"/>
  <c r="H126" i="89"/>
  <c r="G126" i="89"/>
  <c r="F126" i="89"/>
  <c r="E126" i="89"/>
  <c r="D126" i="89"/>
  <c r="C126" i="89"/>
  <c r="B126" i="89"/>
  <c r="A125" i="89"/>
  <c r="K125" i="89"/>
  <c r="J125" i="89"/>
  <c r="I125" i="89"/>
  <c r="H125" i="89"/>
  <c r="G125" i="89"/>
  <c r="F125" i="89"/>
  <c r="E125" i="89"/>
  <c r="D125" i="89"/>
  <c r="C125" i="89"/>
  <c r="B125" i="89"/>
  <c r="A124" i="89"/>
  <c r="K124" i="89"/>
  <c r="J124" i="89"/>
  <c r="I124" i="89"/>
  <c r="H124" i="89"/>
  <c r="G124" i="89"/>
  <c r="F124" i="89"/>
  <c r="E124" i="89"/>
  <c r="D124" i="89"/>
  <c r="C124" i="89"/>
  <c r="B124" i="89"/>
  <c r="A123" i="89"/>
  <c r="K123" i="89"/>
  <c r="J123" i="89"/>
  <c r="I123" i="89"/>
  <c r="H123" i="89"/>
  <c r="G123" i="89"/>
  <c r="F123" i="89"/>
  <c r="E123" i="89"/>
  <c r="D123" i="89"/>
  <c r="C123" i="89"/>
  <c r="B123" i="89"/>
  <c r="A122" i="89"/>
  <c r="K122" i="89"/>
  <c r="J122" i="89"/>
  <c r="I122" i="89"/>
  <c r="H122" i="89"/>
  <c r="G122" i="89"/>
  <c r="F122" i="89"/>
  <c r="E122" i="89"/>
  <c r="D122" i="89"/>
  <c r="C122" i="89"/>
  <c r="B122" i="89"/>
  <c r="A121" i="89"/>
  <c r="K121" i="89"/>
  <c r="J121" i="89"/>
  <c r="I121" i="89"/>
  <c r="H121" i="89"/>
  <c r="G121" i="89"/>
  <c r="F121" i="89"/>
  <c r="E121" i="89"/>
  <c r="D121" i="89"/>
  <c r="C121" i="89"/>
  <c r="B121" i="89"/>
  <c r="A120" i="89"/>
  <c r="K120" i="89"/>
  <c r="J120" i="89"/>
  <c r="I120" i="89"/>
  <c r="H120" i="89"/>
  <c r="G120" i="89"/>
  <c r="F120" i="89"/>
  <c r="E120" i="89"/>
  <c r="D120" i="89"/>
  <c r="C120" i="89"/>
  <c r="B120" i="89"/>
  <c r="A119" i="89"/>
  <c r="K119" i="89"/>
  <c r="J119" i="89"/>
  <c r="I119" i="89"/>
  <c r="H119" i="89"/>
  <c r="G119" i="89"/>
  <c r="F119" i="89"/>
  <c r="E119" i="89"/>
  <c r="D119" i="89"/>
  <c r="C119" i="89"/>
  <c r="B119" i="89"/>
  <c r="A118" i="89"/>
  <c r="K118" i="89"/>
  <c r="J118" i="89"/>
  <c r="I118" i="89"/>
  <c r="H118" i="89"/>
  <c r="G118" i="89"/>
  <c r="F118" i="89"/>
  <c r="E118" i="89"/>
  <c r="D118" i="89"/>
  <c r="C118" i="89"/>
  <c r="B118" i="89"/>
  <c r="A117" i="89"/>
  <c r="K117" i="89"/>
  <c r="J117" i="89"/>
  <c r="I117" i="89"/>
  <c r="H117" i="89"/>
  <c r="G117" i="89"/>
  <c r="F117" i="89"/>
  <c r="E117" i="89"/>
  <c r="D117" i="89"/>
  <c r="C117" i="89"/>
  <c r="B117" i="89"/>
  <c r="A116" i="89"/>
  <c r="K116" i="89"/>
  <c r="J116" i="89"/>
  <c r="I116" i="89"/>
  <c r="H116" i="89"/>
  <c r="G116" i="89"/>
  <c r="F116" i="89"/>
  <c r="E116" i="89"/>
  <c r="D116" i="89"/>
  <c r="C116" i="89"/>
  <c r="B116" i="89"/>
  <c r="A115" i="89"/>
  <c r="K115" i="89"/>
  <c r="J115" i="89"/>
  <c r="I115" i="89"/>
  <c r="H115" i="89"/>
  <c r="G115" i="89"/>
  <c r="F115" i="89"/>
  <c r="E115" i="89"/>
  <c r="D115" i="89"/>
  <c r="C115" i="89"/>
  <c r="B115" i="89"/>
  <c r="A114" i="89"/>
  <c r="K114" i="89"/>
  <c r="J114" i="89"/>
  <c r="I114" i="89"/>
  <c r="H114" i="89"/>
  <c r="G114" i="89"/>
  <c r="F114" i="89"/>
  <c r="E114" i="89"/>
  <c r="D114" i="89"/>
  <c r="C114" i="89"/>
  <c r="B114" i="89"/>
  <c r="A113" i="89"/>
  <c r="K113" i="89"/>
  <c r="J113" i="89"/>
  <c r="I113" i="89"/>
  <c r="H113" i="89"/>
  <c r="G113" i="89"/>
  <c r="F113" i="89"/>
  <c r="E113" i="89"/>
  <c r="D113" i="89"/>
  <c r="C113" i="89"/>
  <c r="B113" i="89"/>
  <c r="A112" i="89"/>
  <c r="K112" i="89"/>
  <c r="J112" i="89"/>
  <c r="I112" i="89"/>
  <c r="H112" i="89"/>
  <c r="G112" i="89"/>
  <c r="F112" i="89"/>
  <c r="E112" i="89"/>
  <c r="D112" i="89"/>
  <c r="C112" i="89"/>
  <c r="B112" i="89"/>
  <c r="A111" i="89"/>
  <c r="K111" i="89"/>
  <c r="J111" i="89"/>
  <c r="I111" i="89"/>
  <c r="H111" i="89"/>
  <c r="G111" i="89"/>
  <c r="F111" i="89"/>
  <c r="E111" i="89"/>
  <c r="D111" i="89"/>
  <c r="C111" i="89"/>
  <c r="B111" i="89"/>
  <c r="A110" i="89"/>
  <c r="K110" i="89"/>
  <c r="J110" i="89"/>
  <c r="I110" i="89"/>
  <c r="H110" i="89"/>
  <c r="G110" i="89"/>
  <c r="F110" i="89"/>
  <c r="E110" i="89"/>
  <c r="D110" i="89"/>
  <c r="C110" i="89"/>
  <c r="B110" i="89"/>
  <c r="A109" i="89"/>
  <c r="K109" i="89"/>
  <c r="J109" i="89"/>
  <c r="I109" i="89"/>
  <c r="H109" i="89"/>
  <c r="G109" i="89"/>
  <c r="F109" i="89"/>
  <c r="E109" i="89"/>
  <c r="D109" i="89"/>
  <c r="C109" i="89"/>
  <c r="B109" i="89"/>
  <c r="A108" i="89"/>
  <c r="K108" i="89"/>
  <c r="J108" i="89"/>
  <c r="I108" i="89"/>
  <c r="H108" i="89"/>
  <c r="G108" i="89"/>
  <c r="F108" i="89"/>
  <c r="E108" i="89"/>
  <c r="D108" i="89"/>
  <c r="C108" i="89"/>
  <c r="B108" i="89"/>
  <c r="A107" i="89"/>
  <c r="K107" i="89"/>
  <c r="J107" i="89"/>
  <c r="I107" i="89"/>
  <c r="H107" i="89"/>
  <c r="G107" i="89"/>
  <c r="F107" i="89"/>
  <c r="E107" i="89"/>
  <c r="D107" i="89"/>
  <c r="C107" i="89"/>
  <c r="B107" i="89"/>
  <c r="A106" i="89"/>
  <c r="K106" i="89"/>
  <c r="J106" i="89"/>
  <c r="I106" i="89"/>
  <c r="H106" i="89"/>
  <c r="G106" i="89"/>
  <c r="F106" i="89"/>
  <c r="E106" i="89"/>
  <c r="D106" i="89"/>
  <c r="C106" i="89"/>
  <c r="B106" i="89"/>
  <c r="A105" i="89"/>
  <c r="K105" i="89"/>
  <c r="J105" i="89"/>
  <c r="I105" i="89"/>
  <c r="H105" i="89"/>
  <c r="G105" i="89"/>
  <c r="F105" i="89"/>
  <c r="E105" i="89"/>
  <c r="D105" i="89"/>
  <c r="C105" i="89"/>
  <c r="B105" i="89"/>
  <c r="A104" i="89"/>
  <c r="K104" i="89"/>
  <c r="J104" i="89"/>
  <c r="I104" i="89"/>
  <c r="H104" i="89"/>
  <c r="G104" i="89"/>
  <c r="F104" i="89"/>
  <c r="E104" i="89"/>
  <c r="D104" i="89"/>
  <c r="C104" i="89"/>
  <c r="B104" i="89"/>
  <c r="A103" i="89"/>
  <c r="K103" i="89"/>
  <c r="J103" i="89"/>
  <c r="I103" i="89"/>
  <c r="H103" i="89"/>
  <c r="G103" i="89"/>
  <c r="F103" i="89"/>
  <c r="E103" i="89"/>
  <c r="D103" i="89"/>
  <c r="C103" i="89"/>
  <c r="B103" i="89"/>
  <c r="A102" i="89"/>
  <c r="K102" i="89"/>
  <c r="J102" i="89"/>
  <c r="I102" i="89"/>
  <c r="H102" i="89"/>
  <c r="G102" i="89"/>
  <c r="F102" i="89"/>
  <c r="E102" i="89"/>
  <c r="D102" i="89"/>
  <c r="C102" i="89"/>
  <c r="B102" i="89"/>
  <c r="A101" i="89"/>
  <c r="K101" i="89"/>
  <c r="J101" i="89"/>
  <c r="I101" i="89"/>
  <c r="H101" i="89"/>
  <c r="G101" i="89"/>
  <c r="F101" i="89"/>
  <c r="E101" i="89"/>
  <c r="D101" i="89"/>
  <c r="C101" i="89"/>
  <c r="B101" i="89"/>
  <c r="A100" i="89"/>
  <c r="K100" i="89"/>
  <c r="J100" i="89"/>
  <c r="I100" i="89"/>
  <c r="H100" i="89"/>
  <c r="G100" i="89"/>
  <c r="F100" i="89"/>
  <c r="E100" i="89"/>
  <c r="D100" i="89"/>
  <c r="C100" i="89"/>
  <c r="B100" i="89"/>
  <c r="A99" i="89"/>
  <c r="K99" i="89"/>
  <c r="J99" i="89"/>
  <c r="I99" i="89"/>
  <c r="H99" i="89"/>
  <c r="G99" i="89"/>
  <c r="F99" i="89"/>
  <c r="E99" i="89"/>
  <c r="D99" i="89"/>
  <c r="C99" i="89"/>
  <c r="B99" i="89"/>
  <c r="A98" i="89"/>
  <c r="K98" i="89"/>
  <c r="J98" i="89"/>
  <c r="I98" i="89"/>
  <c r="H98" i="89"/>
  <c r="G98" i="89"/>
  <c r="F98" i="89"/>
  <c r="E98" i="89"/>
  <c r="D98" i="89"/>
  <c r="C98" i="89"/>
  <c r="B98" i="89"/>
  <c r="A97" i="89"/>
  <c r="K97" i="89"/>
  <c r="J97" i="89"/>
  <c r="I97" i="89"/>
  <c r="H97" i="89"/>
  <c r="G97" i="89"/>
  <c r="F97" i="89"/>
  <c r="E97" i="89"/>
  <c r="D97" i="89"/>
  <c r="C97" i="89"/>
  <c r="B97" i="89"/>
  <c r="A96" i="89"/>
  <c r="K96" i="89"/>
  <c r="J96" i="89"/>
  <c r="I96" i="89"/>
  <c r="H96" i="89"/>
  <c r="G96" i="89"/>
  <c r="F96" i="89"/>
  <c r="E96" i="89"/>
  <c r="D96" i="89"/>
  <c r="C96" i="89"/>
  <c r="B96" i="89"/>
  <c r="A95" i="89"/>
  <c r="K95" i="89"/>
  <c r="J95" i="89"/>
  <c r="I95" i="89"/>
  <c r="H95" i="89"/>
  <c r="G95" i="89"/>
  <c r="F95" i="89"/>
  <c r="E95" i="89"/>
  <c r="D95" i="89"/>
  <c r="C95" i="89"/>
  <c r="B95" i="89"/>
  <c r="A94" i="89"/>
  <c r="K94" i="89"/>
  <c r="J94" i="89"/>
  <c r="I94" i="89"/>
  <c r="H94" i="89"/>
  <c r="G94" i="89"/>
  <c r="F94" i="89"/>
  <c r="E94" i="89"/>
  <c r="D94" i="89"/>
  <c r="C94" i="89"/>
  <c r="B94" i="89"/>
  <c r="A93" i="89"/>
  <c r="K93" i="89"/>
  <c r="J93" i="89"/>
  <c r="I93" i="89"/>
  <c r="H93" i="89"/>
  <c r="G93" i="89"/>
  <c r="F93" i="89"/>
  <c r="E93" i="89"/>
  <c r="D93" i="89"/>
  <c r="C93" i="89"/>
  <c r="B93" i="89"/>
  <c r="A92" i="89"/>
  <c r="K92" i="89"/>
  <c r="J92" i="89"/>
  <c r="I92" i="89"/>
  <c r="H92" i="89"/>
  <c r="G92" i="89"/>
  <c r="F92" i="89"/>
  <c r="E92" i="89"/>
  <c r="D92" i="89"/>
  <c r="C92" i="89"/>
  <c r="B92" i="89"/>
  <c r="A91" i="89"/>
  <c r="K91" i="89"/>
  <c r="J91" i="89"/>
  <c r="I91" i="89"/>
  <c r="H91" i="89"/>
  <c r="G91" i="89"/>
  <c r="F91" i="89"/>
  <c r="E91" i="89"/>
  <c r="D91" i="89"/>
  <c r="C91" i="89"/>
  <c r="B91" i="89"/>
  <c r="A90" i="89"/>
  <c r="K90" i="89"/>
  <c r="J90" i="89"/>
  <c r="I90" i="89"/>
  <c r="H90" i="89"/>
  <c r="G90" i="89"/>
  <c r="F90" i="89"/>
  <c r="E90" i="89"/>
  <c r="D90" i="89"/>
  <c r="C90" i="89"/>
  <c r="B90" i="89"/>
  <c r="A89" i="89"/>
  <c r="K89" i="89"/>
  <c r="J89" i="89"/>
  <c r="I89" i="89"/>
  <c r="H89" i="89"/>
  <c r="G89" i="89"/>
  <c r="F89" i="89"/>
  <c r="E89" i="89"/>
  <c r="D89" i="89"/>
  <c r="C89" i="89"/>
  <c r="B89" i="89"/>
  <c r="A88" i="89"/>
  <c r="K88" i="89"/>
  <c r="J88" i="89"/>
  <c r="I88" i="89"/>
  <c r="H88" i="89"/>
  <c r="G88" i="89"/>
  <c r="F88" i="89"/>
  <c r="E88" i="89"/>
  <c r="D88" i="89"/>
  <c r="C88" i="89"/>
  <c r="B88" i="89"/>
  <c r="A87" i="89"/>
  <c r="K87" i="89"/>
  <c r="J87" i="89"/>
  <c r="I87" i="89"/>
  <c r="H87" i="89"/>
  <c r="G87" i="89"/>
  <c r="F87" i="89"/>
  <c r="E87" i="89"/>
  <c r="D87" i="89"/>
  <c r="C87" i="89"/>
  <c r="B87" i="89"/>
  <c r="A86" i="89"/>
  <c r="K86" i="89"/>
  <c r="J86" i="89"/>
  <c r="I86" i="89"/>
  <c r="H86" i="89"/>
  <c r="G86" i="89"/>
  <c r="F86" i="89"/>
  <c r="E86" i="89"/>
  <c r="D86" i="89"/>
  <c r="C86" i="89"/>
  <c r="B86" i="89"/>
  <c r="A85" i="89"/>
  <c r="K85" i="89"/>
  <c r="J85" i="89"/>
  <c r="I85" i="89"/>
  <c r="H85" i="89"/>
  <c r="G85" i="89"/>
  <c r="F85" i="89"/>
  <c r="E85" i="89"/>
  <c r="D85" i="89"/>
  <c r="C85" i="89"/>
  <c r="B85" i="89"/>
  <c r="A84" i="89"/>
  <c r="K84" i="89"/>
  <c r="J84" i="89"/>
  <c r="I84" i="89"/>
  <c r="H84" i="89"/>
  <c r="G84" i="89"/>
  <c r="F84" i="89"/>
  <c r="E84" i="89"/>
  <c r="D84" i="89"/>
  <c r="C84" i="89"/>
  <c r="B84" i="89"/>
  <c r="A83" i="89"/>
  <c r="K83" i="89"/>
  <c r="J83" i="89"/>
  <c r="I83" i="89"/>
  <c r="H83" i="89"/>
  <c r="G83" i="89"/>
  <c r="F83" i="89"/>
  <c r="E83" i="89"/>
  <c r="D83" i="89"/>
  <c r="C83" i="89"/>
  <c r="B83" i="89"/>
  <c r="A82" i="89"/>
  <c r="K82" i="89"/>
  <c r="J82" i="89"/>
  <c r="I82" i="89"/>
  <c r="H82" i="89"/>
  <c r="G82" i="89"/>
  <c r="F82" i="89"/>
  <c r="E82" i="89"/>
  <c r="D82" i="89"/>
  <c r="C82" i="89"/>
  <c r="B82" i="89"/>
  <c r="A81" i="89"/>
  <c r="K81" i="89"/>
  <c r="J81" i="89"/>
  <c r="I81" i="89"/>
  <c r="H81" i="89"/>
  <c r="G81" i="89"/>
  <c r="F81" i="89"/>
  <c r="E81" i="89"/>
  <c r="D81" i="89"/>
  <c r="C81" i="89"/>
  <c r="B81" i="89"/>
  <c r="A80" i="89"/>
  <c r="K80" i="89"/>
  <c r="J80" i="89"/>
  <c r="I80" i="89"/>
  <c r="H80" i="89"/>
  <c r="G80" i="89"/>
  <c r="F80" i="89"/>
  <c r="E80" i="89"/>
  <c r="D80" i="89"/>
  <c r="C80" i="89"/>
  <c r="B80" i="89"/>
  <c r="A79" i="89"/>
  <c r="K79" i="89"/>
  <c r="J79" i="89"/>
  <c r="I79" i="89"/>
  <c r="H79" i="89"/>
  <c r="G79" i="89"/>
  <c r="F79" i="89"/>
  <c r="E79" i="89"/>
  <c r="D79" i="89"/>
  <c r="C79" i="89"/>
  <c r="B79" i="89"/>
  <c r="A78" i="89"/>
  <c r="K78" i="89"/>
  <c r="J78" i="89"/>
  <c r="I78" i="89"/>
  <c r="H78" i="89"/>
  <c r="G78" i="89"/>
  <c r="F78" i="89"/>
  <c r="E78" i="89"/>
  <c r="D78" i="89"/>
  <c r="C78" i="89"/>
  <c r="B78" i="89"/>
  <c r="A77" i="89"/>
  <c r="K77" i="89"/>
  <c r="J77" i="89"/>
  <c r="I77" i="89"/>
  <c r="H77" i="89"/>
  <c r="G77" i="89"/>
  <c r="F77" i="89"/>
  <c r="E77" i="89"/>
  <c r="D77" i="89"/>
  <c r="C77" i="89"/>
  <c r="B77" i="89"/>
  <c r="A76" i="89"/>
  <c r="K76" i="89"/>
  <c r="J76" i="89"/>
  <c r="I76" i="89"/>
  <c r="H76" i="89"/>
  <c r="G76" i="89"/>
  <c r="F76" i="89"/>
  <c r="E76" i="89"/>
  <c r="D76" i="89"/>
  <c r="C76" i="89"/>
  <c r="B76" i="89"/>
  <c r="A75" i="89"/>
  <c r="K75" i="89"/>
  <c r="J75" i="89"/>
  <c r="I75" i="89"/>
  <c r="H75" i="89"/>
  <c r="G75" i="89"/>
  <c r="F75" i="89"/>
  <c r="E75" i="89"/>
  <c r="D75" i="89"/>
  <c r="C75" i="89"/>
  <c r="B75" i="89"/>
  <c r="A74" i="89"/>
  <c r="K74" i="89"/>
  <c r="J74" i="89"/>
  <c r="I74" i="89"/>
  <c r="H74" i="89"/>
  <c r="G74" i="89"/>
  <c r="F74" i="89"/>
  <c r="E74" i="89"/>
  <c r="D74" i="89"/>
  <c r="C74" i="89"/>
  <c r="B74" i="89"/>
  <c r="A73" i="89"/>
  <c r="K73" i="89"/>
  <c r="J73" i="89"/>
  <c r="I73" i="89"/>
  <c r="H73" i="89"/>
  <c r="G73" i="89"/>
  <c r="F73" i="89"/>
  <c r="E73" i="89"/>
  <c r="D73" i="89"/>
  <c r="C73" i="89"/>
  <c r="B73" i="89"/>
  <c r="A72" i="89"/>
  <c r="K72" i="89"/>
  <c r="J72" i="89"/>
  <c r="I72" i="89"/>
  <c r="H72" i="89"/>
  <c r="G72" i="89"/>
  <c r="F72" i="89"/>
  <c r="E72" i="89"/>
  <c r="D72" i="89"/>
  <c r="C72" i="89"/>
  <c r="B72" i="89"/>
  <c r="A71" i="89"/>
  <c r="K71" i="89"/>
  <c r="J71" i="89"/>
  <c r="I71" i="89"/>
  <c r="H71" i="89"/>
  <c r="G71" i="89"/>
  <c r="F71" i="89"/>
  <c r="E71" i="89"/>
  <c r="D71" i="89"/>
  <c r="C71" i="89"/>
  <c r="B71" i="89"/>
  <c r="A70" i="89"/>
  <c r="K70" i="89"/>
  <c r="J70" i="89"/>
  <c r="I70" i="89"/>
  <c r="H70" i="89"/>
  <c r="G70" i="89"/>
  <c r="F70" i="89"/>
  <c r="E70" i="89"/>
  <c r="D70" i="89"/>
  <c r="C70" i="89"/>
  <c r="B70" i="89"/>
  <c r="A69" i="89"/>
  <c r="K69" i="89"/>
  <c r="J69" i="89"/>
  <c r="I69" i="89"/>
  <c r="H69" i="89"/>
  <c r="G69" i="89"/>
  <c r="F69" i="89"/>
  <c r="E69" i="89"/>
  <c r="D69" i="89"/>
  <c r="C69" i="89"/>
  <c r="B69" i="89"/>
  <c r="A68" i="89"/>
  <c r="K68" i="89"/>
  <c r="J68" i="89"/>
  <c r="I68" i="89"/>
  <c r="H68" i="89"/>
  <c r="G68" i="89"/>
  <c r="F68" i="89"/>
  <c r="E68" i="89"/>
  <c r="D68" i="89"/>
  <c r="C68" i="89"/>
  <c r="B68" i="89"/>
  <c r="A67" i="89"/>
  <c r="K67" i="89"/>
  <c r="J67" i="89"/>
  <c r="I67" i="89"/>
  <c r="H67" i="89"/>
  <c r="G67" i="89"/>
  <c r="F67" i="89"/>
  <c r="E67" i="89"/>
  <c r="D67" i="89"/>
  <c r="C67" i="89"/>
  <c r="B67" i="89"/>
  <c r="A66" i="89"/>
  <c r="K66" i="89"/>
  <c r="J66" i="89"/>
  <c r="I66" i="89"/>
  <c r="H66" i="89"/>
  <c r="G66" i="89"/>
  <c r="F66" i="89"/>
  <c r="E66" i="89"/>
  <c r="D66" i="89"/>
  <c r="C66" i="89"/>
  <c r="B66" i="89"/>
  <c r="A65" i="89"/>
  <c r="K65" i="89"/>
  <c r="J65" i="89"/>
  <c r="I65" i="89"/>
  <c r="H65" i="89"/>
  <c r="G65" i="89"/>
  <c r="F65" i="89"/>
  <c r="E65" i="89"/>
  <c r="D65" i="89"/>
  <c r="C65" i="89"/>
  <c r="B65" i="89"/>
  <c r="A64" i="89"/>
  <c r="K64" i="89"/>
  <c r="J64" i="89"/>
  <c r="I64" i="89"/>
  <c r="H64" i="89"/>
  <c r="G64" i="89"/>
  <c r="F64" i="89"/>
  <c r="E64" i="89"/>
  <c r="D64" i="89"/>
  <c r="C64" i="89"/>
  <c r="B64" i="89"/>
  <c r="A63" i="89"/>
  <c r="K63" i="89"/>
  <c r="J63" i="89"/>
  <c r="I63" i="89"/>
  <c r="H63" i="89"/>
  <c r="G63" i="89"/>
  <c r="F63" i="89"/>
  <c r="E63" i="89"/>
  <c r="D63" i="89"/>
  <c r="C63" i="89"/>
  <c r="B63" i="89"/>
  <c r="A62" i="89"/>
  <c r="K62" i="89"/>
  <c r="J62" i="89"/>
  <c r="I62" i="89"/>
  <c r="H62" i="89"/>
  <c r="G62" i="89"/>
  <c r="F62" i="89"/>
  <c r="E62" i="89"/>
  <c r="D62" i="89"/>
  <c r="C62" i="89"/>
  <c r="B62" i="89"/>
  <c r="A61" i="89"/>
  <c r="K61" i="89"/>
  <c r="J61" i="89"/>
  <c r="I61" i="89"/>
  <c r="H61" i="89"/>
  <c r="G61" i="89"/>
  <c r="F61" i="89"/>
  <c r="E61" i="89"/>
  <c r="D61" i="89"/>
  <c r="C61" i="89"/>
  <c r="B61" i="89"/>
  <c r="A60" i="89"/>
  <c r="K60" i="89"/>
  <c r="J60" i="89"/>
  <c r="I60" i="89"/>
  <c r="H60" i="89"/>
  <c r="G60" i="89"/>
  <c r="F60" i="89"/>
  <c r="E60" i="89"/>
  <c r="D60" i="89"/>
  <c r="C60" i="89"/>
  <c r="B60" i="89"/>
  <c r="A59" i="89"/>
  <c r="K59" i="89"/>
  <c r="J59" i="89"/>
  <c r="I59" i="89"/>
  <c r="H59" i="89"/>
  <c r="G59" i="89"/>
  <c r="F59" i="89"/>
  <c r="E59" i="89"/>
  <c r="D59" i="89"/>
  <c r="C59" i="89"/>
  <c r="B59" i="89"/>
  <c r="A58" i="89"/>
  <c r="K58" i="89"/>
  <c r="J58" i="89"/>
  <c r="I58" i="89"/>
  <c r="H58" i="89"/>
  <c r="G58" i="89"/>
  <c r="F58" i="89"/>
  <c r="E58" i="89"/>
  <c r="D58" i="89"/>
  <c r="C58" i="89"/>
  <c r="B58" i="89"/>
  <c r="A57" i="89"/>
  <c r="K57" i="89"/>
  <c r="J57" i="89"/>
  <c r="I57" i="89"/>
  <c r="H57" i="89"/>
  <c r="G57" i="89"/>
  <c r="F57" i="89"/>
  <c r="E57" i="89"/>
  <c r="D57" i="89"/>
  <c r="C57" i="89"/>
  <c r="B57" i="89"/>
  <c r="A56" i="89"/>
  <c r="K56" i="89"/>
  <c r="J56" i="89"/>
  <c r="I56" i="89"/>
  <c r="H56" i="89"/>
  <c r="G56" i="89"/>
  <c r="F56" i="89"/>
  <c r="E56" i="89"/>
  <c r="D56" i="89"/>
  <c r="C56" i="89"/>
  <c r="B56" i="89"/>
  <c r="A55" i="89"/>
  <c r="K55" i="89"/>
  <c r="J55" i="89"/>
  <c r="I55" i="89"/>
  <c r="H55" i="89"/>
  <c r="G55" i="89"/>
  <c r="F55" i="89"/>
  <c r="E55" i="89"/>
  <c r="D55" i="89"/>
  <c r="C55" i="89"/>
  <c r="B55" i="89"/>
  <c r="A54" i="89"/>
  <c r="K54" i="89"/>
  <c r="J54" i="89"/>
  <c r="I54" i="89"/>
  <c r="H54" i="89"/>
  <c r="G54" i="89"/>
  <c r="F54" i="89"/>
  <c r="E54" i="89"/>
  <c r="D54" i="89"/>
  <c r="C54" i="89"/>
  <c r="B54" i="89"/>
  <c r="A53" i="89"/>
  <c r="K53" i="89"/>
  <c r="J53" i="89"/>
  <c r="I53" i="89"/>
  <c r="H53" i="89"/>
  <c r="G53" i="89"/>
  <c r="F53" i="89"/>
  <c r="E53" i="89"/>
  <c r="D53" i="89"/>
  <c r="C53" i="89"/>
  <c r="B53" i="89"/>
  <c r="A52" i="89"/>
  <c r="K52" i="89"/>
  <c r="J52" i="89"/>
  <c r="I52" i="89"/>
  <c r="H52" i="89"/>
  <c r="G52" i="89"/>
  <c r="F52" i="89"/>
  <c r="E52" i="89"/>
  <c r="D52" i="89"/>
  <c r="C52" i="89"/>
  <c r="B52" i="89"/>
  <c r="A51" i="89"/>
  <c r="K51" i="89"/>
  <c r="J51" i="89"/>
  <c r="I51" i="89"/>
  <c r="H51" i="89"/>
  <c r="G51" i="89"/>
  <c r="F51" i="89"/>
  <c r="E51" i="89"/>
  <c r="D51" i="89"/>
  <c r="C51" i="89"/>
  <c r="B51" i="89"/>
  <c r="A50" i="89"/>
  <c r="K50" i="89"/>
  <c r="J50" i="89"/>
  <c r="I50" i="89"/>
  <c r="H50" i="89"/>
  <c r="G50" i="89"/>
  <c r="F50" i="89"/>
  <c r="E50" i="89"/>
  <c r="D50" i="89"/>
  <c r="C50" i="89"/>
  <c r="B50" i="89"/>
  <c r="A49" i="89"/>
  <c r="K49" i="89"/>
  <c r="J49" i="89"/>
  <c r="I49" i="89"/>
  <c r="H49" i="89"/>
  <c r="G49" i="89"/>
  <c r="F49" i="89"/>
  <c r="E49" i="89"/>
  <c r="D49" i="89"/>
  <c r="C49" i="89"/>
  <c r="B49" i="89"/>
  <c r="A48" i="89"/>
  <c r="K48" i="89"/>
  <c r="J48" i="89"/>
  <c r="I48" i="89"/>
  <c r="H48" i="89"/>
  <c r="G48" i="89"/>
  <c r="F48" i="89"/>
  <c r="E48" i="89"/>
  <c r="D48" i="89"/>
  <c r="C48" i="89"/>
  <c r="B48" i="89"/>
  <c r="A47" i="89"/>
  <c r="K47" i="89"/>
  <c r="J47" i="89"/>
  <c r="I47" i="89"/>
  <c r="H47" i="89"/>
  <c r="G47" i="89"/>
  <c r="F47" i="89"/>
  <c r="E47" i="89"/>
  <c r="D47" i="89"/>
  <c r="C47" i="89"/>
  <c r="B47" i="89"/>
  <c r="A46" i="89"/>
  <c r="K46" i="89"/>
  <c r="J46" i="89"/>
  <c r="I46" i="89"/>
  <c r="H46" i="89"/>
  <c r="G46" i="89"/>
  <c r="F46" i="89"/>
  <c r="E46" i="89"/>
  <c r="D46" i="89"/>
  <c r="C46" i="89"/>
  <c r="B46" i="89"/>
  <c r="A45" i="89"/>
  <c r="K45" i="89"/>
  <c r="J45" i="89"/>
  <c r="I45" i="89"/>
  <c r="H45" i="89"/>
  <c r="G45" i="89"/>
  <c r="F45" i="89"/>
  <c r="E45" i="89"/>
  <c r="D45" i="89"/>
  <c r="C45" i="89"/>
  <c r="B45" i="89"/>
  <c r="A44" i="89"/>
  <c r="K44" i="89"/>
  <c r="J44" i="89"/>
  <c r="I44" i="89"/>
  <c r="H44" i="89"/>
  <c r="G44" i="89"/>
  <c r="F44" i="89"/>
  <c r="E44" i="89"/>
  <c r="D44" i="89"/>
  <c r="C44" i="89"/>
  <c r="B44" i="89"/>
  <c r="A43" i="89"/>
  <c r="K43" i="89"/>
  <c r="J43" i="89"/>
  <c r="I43" i="89"/>
  <c r="H43" i="89"/>
  <c r="G43" i="89"/>
  <c r="F43" i="89"/>
  <c r="E43" i="89"/>
  <c r="D43" i="89"/>
  <c r="C43" i="89"/>
  <c r="B43" i="89"/>
  <c r="A42" i="89"/>
  <c r="K42" i="89"/>
  <c r="J42" i="89"/>
  <c r="I42" i="89"/>
  <c r="H42" i="89"/>
  <c r="G42" i="89"/>
  <c r="F42" i="89"/>
  <c r="E42" i="89"/>
  <c r="D42" i="89"/>
  <c r="C42" i="89"/>
  <c r="B42" i="89"/>
  <c r="A41" i="89"/>
  <c r="K41" i="89"/>
  <c r="J41" i="89"/>
  <c r="I41" i="89"/>
  <c r="H41" i="89"/>
  <c r="G41" i="89"/>
  <c r="F41" i="89"/>
  <c r="E41" i="89"/>
  <c r="D41" i="89"/>
  <c r="C41" i="89"/>
  <c r="B41" i="89"/>
  <c r="A40" i="89"/>
  <c r="K40" i="89"/>
  <c r="J40" i="89"/>
  <c r="I40" i="89"/>
  <c r="H40" i="89"/>
  <c r="G40" i="89"/>
  <c r="F40" i="89"/>
  <c r="E40" i="89"/>
  <c r="D40" i="89"/>
  <c r="C40" i="89"/>
  <c r="B40" i="89"/>
  <c r="A39" i="89"/>
  <c r="K39" i="89"/>
  <c r="J39" i="89"/>
  <c r="I39" i="89"/>
  <c r="H39" i="89"/>
  <c r="G39" i="89"/>
  <c r="F39" i="89"/>
  <c r="E39" i="89"/>
  <c r="D39" i="89"/>
  <c r="C39" i="89"/>
  <c r="B39" i="89"/>
  <c r="A38" i="89"/>
  <c r="K38" i="89"/>
  <c r="J38" i="89"/>
  <c r="I38" i="89"/>
  <c r="H38" i="89"/>
  <c r="G38" i="89"/>
  <c r="F38" i="89"/>
  <c r="E38" i="89"/>
  <c r="D38" i="89"/>
  <c r="C38" i="89"/>
  <c r="B38" i="89"/>
  <c r="A37" i="89"/>
  <c r="K37" i="89"/>
  <c r="J37" i="89"/>
  <c r="I37" i="89"/>
  <c r="H37" i="89"/>
  <c r="G37" i="89"/>
  <c r="F37" i="89"/>
  <c r="E37" i="89"/>
  <c r="D37" i="89"/>
  <c r="C37" i="89"/>
  <c r="B37" i="89"/>
  <c r="A36" i="89"/>
  <c r="K36" i="89"/>
  <c r="J36" i="89"/>
  <c r="I36" i="89"/>
  <c r="H36" i="89"/>
  <c r="G36" i="89"/>
  <c r="F36" i="89"/>
  <c r="E36" i="89"/>
  <c r="D36" i="89"/>
  <c r="C36" i="89"/>
  <c r="B36" i="89"/>
  <c r="A35" i="89"/>
  <c r="K35" i="89"/>
  <c r="J35" i="89"/>
  <c r="I35" i="89"/>
  <c r="H35" i="89"/>
  <c r="G35" i="89"/>
  <c r="F35" i="89"/>
  <c r="E35" i="89"/>
  <c r="D35" i="89"/>
  <c r="C35" i="89"/>
  <c r="B35" i="89"/>
  <c r="A34" i="89"/>
  <c r="K34" i="89"/>
  <c r="J34" i="89"/>
  <c r="I34" i="89"/>
  <c r="H34" i="89"/>
  <c r="G34" i="89"/>
  <c r="F34" i="89"/>
  <c r="E34" i="89"/>
  <c r="D34" i="89"/>
  <c r="C34" i="89"/>
  <c r="B34" i="89"/>
  <c r="A33" i="89"/>
  <c r="K33" i="89"/>
  <c r="J33" i="89"/>
  <c r="I33" i="89"/>
  <c r="H33" i="89"/>
  <c r="G33" i="89"/>
  <c r="F33" i="89"/>
  <c r="E33" i="89"/>
  <c r="D33" i="89"/>
  <c r="C33" i="89"/>
  <c r="B33" i="89"/>
  <c r="A32" i="89"/>
  <c r="K32" i="89"/>
  <c r="J32" i="89"/>
  <c r="I32" i="89"/>
  <c r="H32" i="89"/>
  <c r="G32" i="89"/>
  <c r="F32" i="89"/>
  <c r="E32" i="89"/>
  <c r="D32" i="89"/>
  <c r="C32" i="89"/>
  <c r="B32" i="89"/>
  <c r="A31" i="89"/>
  <c r="K31" i="89"/>
  <c r="J31" i="89"/>
  <c r="I31" i="89"/>
  <c r="H31" i="89"/>
  <c r="G31" i="89"/>
  <c r="F31" i="89"/>
  <c r="E31" i="89"/>
  <c r="D31" i="89"/>
  <c r="C31" i="89"/>
  <c r="B31" i="89"/>
  <c r="A30" i="89"/>
  <c r="K30" i="89"/>
  <c r="J30" i="89"/>
  <c r="I30" i="89"/>
  <c r="H30" i="89"/>
  <c r="G30" i="89"/>
  <c r="F30" i="89"/>
  <c r="E30" i="89"/>
  <c r="D30" i="89"/>
  <c r="C30" i="89"/>
  <c r="B30" i="89"/>
  <c r="A29" i="89"/>
  <c r="K29" i="89"/>
  <c r="J29" i="89"/>
  <c r="I29" i="89"/>
  <c r="H29" i="89"/>
  <c r="G29" i="89"/>
  <c r="F29" i="89"/>
  <c r="E29" i="89"/>
  <c r="D29" i="89"/>
  <c r="C29" i="89"/>
  <c r="B29" i="89"/>
  <c r="A28" i="89"/>
  <c r="K28" i="89"/>
  <c r="J28" i="89"/>
  <c r="I28" i="89"/>
  <c r="H28" i="89"/>
  <c r="G28" i="89"/>
  <c r="F28" i="89"/>
  <c r="E28" i="89"/>
  <c r="D28" i="89"/>
  <c r="C28" i="89"/>
  <c r="B28" i="89"/>
  <c r="A27" i="89"/>
  <c r="K27" i="89"/>
  <c r="J27" i="89"/>
  <c r="I27" i="89"/>
  <c r="H27" i="89"/>
  <c r="G27" i="89"/>
  <c r="F27" i="89"/>
  <c r="E27" i="89"/>
  <c r="D27" i="89"/>
  <c r="C27" i="89"/>
  <c r="B27" i="89"/>
  <c r="A26" i="89"/>
  <c r="K26" i="89"/>
  <c r="J26" i="89"/>
  <c r="I26" i="89"/>
  <c r="H26" i="89"/>
  <c r="G26" i="89"/>
  <c r="F26" i="89"/>
  <c r="E26" i="89"/>
  <c r="D26" i="89"/>
  <c r="C26" i="89"/>
  <c r="B26" i="89"/>
  <c r="A25" i="89"/>
  <c r="K25" i="89"/>
  <c r="J25" i="89"/>
  <c r="I25" i="89"/>
  <c r="H25" i="89"/>
  <c r="G25" i="89"/>
  <c r="F25" i="89"/>
  <c r="E25" i="89"/>
  <c r="D25" i="89"/>
  <c r="C25" i="89"/>
  <c r="B25" i="89"/>
  <c r="A24" i="89"/>
  <c r="K24" i="89"/>
  <c r="J24" i="89"/>
  <c r="I24" i="89"/>
  <c r="H24" i="89"/>
  <c r="G24" i="89"/>
  <c r="F24" i="89"/>
  <c r="E24" i="89"/>
  <c r="D24" i="89"/>
  <c r="C24" i="89"/>
  <c r="B24" i="89"/>
  <c r="A23" i="89"/>
  <c r="K23" i="89"/>
  <c r="J23" i="89"/>
  <c r="I23" i="89"/>
  <c r="H23" i="89"/>
  <c r="G23" i="89"/>
  <c r="F23" i="89"/>
  <c r="E23" i="89"/>
  <c r="D23" i="89"/>
  <c r="C23" i="89"/>
  <c r="B23" i="89"/>
  <c r="A22" i="89"/>
  <c r="K22" i="89"/>
  <c r="J22" i="89"/>
  <c r="I22" i="89"/>
  <c r="H22" i="89"/>
  <c r="G22" i="89"/>
  <c r="F22" i="89"/>
  <c r="E22" i="89"/>
  <c r="D22" i="89"/>
  <c r="C22" i="89"/>
  <c r="B22" i="89"/>
  <c r="A21" i="89"/>
  <c r="K21" i="89"/>
  <c r="J21" i="89"/>
  <c r="I21" i="89"/>
  <c r="H21" i="89"/>
  <c r="G21" i="89"/>
  <c r="F21" i="89"/>
  <c r="E21" i="89"/>
  <c r="D21" i="89"/>
  <c r="C21" i="89"/>
  <c r="B21" i="89"/>
  <c r="A20" i="89"/>
  <c r="K20" i="89"/>
  <c r="J20" i="89"/>
  <c r="I20" i="89"/>
  <c r="H20" i="89"/>
  <c r="G20" i="89"/>
  <c r="F20" i="89"/>
  <c r="E20" i="89"/>
  <c r="D20" i="89"/>
  <c r="C20" i="89"/>
  <c r="B20" i="89"/>
  <c r="A19" i="89"/>
  <c r="K19" i="89"/>
  <c r="J19" i="89"/>
  <c r="I19" i="89"/>
  <c r="H19" i="89"/>
  <c r="G19" i="89"/>
  <c r="F19" i="89"/>
  <c r="E19" i="89"/>
  <c r="D19" i="89"/>
  <c r="C19" i="89"/>
  <c r="B19" i="89"/>
  <c r="A18" i="89"/>
  <c r="K18" i="89"/>
  <c r="J18" i="89"/>
  <c r="I18" i="89"/>
  <c r="H18" i="89"/>
  <c r="G18" i="89"/>
  <c r="F18" i="89"/>
  <c r="E18" i="89"/>
  <c r="D18" i="89"/>
  <c r="C18" i="89"/>
  <c r="B18" i="89"/>
  <c r="A17" i="89"/>
  <c r="K17" i="89"/>
  <c r="J17" i="89"/>
  <c r="I17" i="89"/>
  <c r="H17" i="89"/>
  <c r="G17" i="89"/>
  <c r="F17" i="89"/>
  <c r="E17" i="89"/>
  <c r="D17" i="89"/>
  <c r="C17" i="89"/>
  <c r="B17" i="89"/>
  <c r="A16" i="89"/>
  <c r="K16" i="89"/>
  <c r="J16" i="89"/>
  <c r="I16" i="89"/>
  <c r="H16" i="89"/>
  <c r="G16" i="89"/>
  <c r="F16" i="89"/>
  <c r="E16" i="89"/>
  <c r="D16" i="89"/>
  <c r="C16" i="89"/>
  <c r="B16" i="89"/>
  <c r="A15" i="89"/>
  <c r="K15" i="89"/>
  <c r="J15" i="89"/>
  <c r="I15" i="89"/>
  <c r="H15" i="89"/>
  <c r="G15" i="89"/>
  <c r="F15" i="89"/>
  <c r="E15" i="89"/>
  <c r="D15" i="89"/>
  <c r="C15" i="89"/>
  <c r="B15" i="89"/>
  <c r="A14" i="89"/>
  <c r="K14" i="89"/>
  <c r="J14" i="89"/>
  <c r="I14" i="89"/>
  <c r="H14" i="89"/>
  <c r="G14" i="89"/>
  <c r="F14" i="89"/>
  <c r="E14" i="89"/>
  <c r="D14" i="89"/>
  <c r="C14" i="89"/>
  <c r="B14" i="89"/>
  <c r="A13" i="89"/>
  <c r="K13" i="89"/>
  <c r="J13" i="89"/>
  <c r="I13" i="89"/>
  <c r="H13" i="89"/>
  <c r="G13" i="89"/>
  <c r="F13" i="89"/>
  <c r="E13" i="89"/>
  <c r="D13" i="89"/>
  <c r="C13" i="89"/>
  <c r="B13" i="89"/>
  <c r="A12" i="89"/>
  <c r="K12" i="89"/>
  <c r="J12" i="89"/>
  <c r="I12" i="89"/>
  <c r="H12" i="89"/>
  <c r="G12" i="89"/>
  <c r="F12" i="89"/>
  <c r="E12" i="89"/>
  <c r="D12" i="89"/>
  <c r="C12" i="89"/>
  <c r="B12" i="89"/>
  <c r="A11" i="89"/>
  <c r="K11" i="89"/>
  <c r="J11" i="89"/>
  <c r="I11" i="89"/>
  <c r="H11" i="89"/>
  <c r="G11" i="89"/>
  <c r="F11" i="89"/>
  <c r="E11" i="89"/>
  <c r="D11" i="89"/>
  <c r="C11" i="89"/>
  <c r="B11" i="89"/>
  <c r="A10" i="89"/>
  <c r="K10" i="89"/>
  <c r="J10" i="89"/>
  <c r="I10" i="89"/>
  <c r="H10" i="89"/>
  <c r="G10" i="89"/>
  <c r="F10" i="89"/>
  <c r="E10" i="89"/>
  <c r="D10" i="89"/>
  <c r="C10" i="89"/>
  <c r="B10" i="89"/>
  <c r="A9" i="89"/>
  <c r="K9" i="89"/>
  <c r="J9" i="89"/>
  <c r="I9" i="89"/>
  <c r="H9" i="89"/>
  <c r="G9" i="89"/>
  <c r="F9" i="89"/>
  <c r="E9" i="89"/>
  <c r="D9" i="89"/>
  <c r="C9" i="89"/>
  <c r="B9" i="89"/>
  <c r="A8" i="89"/>
  <c r="K8" i="89"/>
  <c r="J8" i="89"/>
  <c r="I8" i="89"/>
  <c r="H8" i="89"/>
  <c r="G8" i="89"/>
  <c r="F8" i="89"/>
  <c r="E8" i="89"/>
  <c r="D8" i="89"/>
  <c r="C8" i="89"/>
  <c r="B8" i="89"/>
  <c r="A7" i="89"/>
  <c r="K7" i="89"/>
  <c r="J7" i="89"/>
  <c r="I7" i="89"/>
  <c r="H7" i="89"/>
  <c r="G7" i="89"/>
  <c r="F7" i="89"/>
  <c r="E7" i="89"/>
  <c r="D7" i="89"/>
  <c r="C7" i="89"/>
  <c r="B7" i="89"/>
  <c r="A6" i="89"/>
  <c r="K6" i="89"/>
  <c r="J6" i="89"/>
  <c r="I6" i="89"/>
  <c r="H6" i="89"/>
  <c r="G6" i="89"/>
  <c r="F6" i="89"/>
  <c r="E6" i="89"/>
  <c r="D6" i="89"/>
  <c r="C6" i="89"/>
  <c r="B6" i="89"/>
  <c r="A5" i="89"/>
  <c r="K5" i="89"/>
  <c r="J5" i="89"/>
  <c r="I5" i="89"/>
  <c r="H5" i="89"/>
  <c r="G5" i="89"/>
  <c r="F5" i="89"/>
  <c r="E5" i="89"/>
  <c r="D5" i="89"/>
  <c r="C5" i="89"/>
  <c r="B5" i="89"/>
  <c r="A4" i="89"/>
  <c r="K4" i="89"/>
  <c r="J4" i="89"/>
  <c r="I4" i="89"/>
  <c r="H4" i="89"/>
  <c r="G4" i="89"/>
  <c r="F4" i="89"/>
  <c r="E4" i="89"/>
  <c r="D4" i="89"/>
  <c r="C4" i="89"/>
  <c r="B4" i="89"/>
  <c r="A3" i="89"/>
  <c r="K3" i="89"/>
  <c r="J3" i="89"/>
  <c r="I3" i="89"/>
  <c r="H3" i="89"/>
  <c r="G3" i="89"/>
  <c r="F3" i="89"/>
  <c r="E3" i="89"/>
  <c r="D3" i="89"/>
  <c r="C3" i="89"/>
  <c r="B3" i="89"/>
  <c r="C1" i="87"/>
  <c r="A1" i="87"/>
  <c r="A256" i="87"/>
  <c r="B1" i="87"/>
  <c r="K256" i="87"/>
  <c r="J256" i="87"/>
  <c r="I256" i="87"/>
  <c r="H256" i="87"/>
  <c r="G256" i="87"/>
  <c r="F256" i="87"/>
  <c r="E256" i="87"/>
  <c r="D256" i="87"/>
  <c r="C256" i="87"/>
  <c r="B256" i="87"/>
  <c r="A255" i="87"/>
  <c r="K255" i="87"/>
  <c r="J255" i="87"/>
  <c r="I255" i="87"/>
  <c r="H255" i="87"/>
  <c r="G255" i="87"/>
  <c r="F255" i="87"/>
  <c r="E255" i="87"/>
  <c r="D255" i="87"/>
  <c r="C255" i="87"/>
  <c r="B255" i="87"/>
  <c r="A254" i="87"/>
  <c r="K254" i="87"/>
  <c r="J254" i="87"/>
  <c r="I254" i="87"/>
  <c r="H254" i="87"/>
  <c r="G254" i="87"/>
  <c r="F254" i="87"/>
  <c r="E254" i="87"/>
  <c r="D254" i="87"/>
  <c r="C254" i="87"/>
  <c r="B254" i="87"/>
  <c r="A253" i="87"/>
  <c r="K253" i="87"/>
  <c r="J253" i="87"/>
  <c r="I253" i="87"/>
  <c r="H253" i="87"/>
  <c r="G253" i="87"/>
  <c r="F253" i="87"/>
  <c r="E253" i="87"/>
  <c r="D253" i="87"/>
  <c r="C253" i="87"/>
  <c r="B253" i="87"/>
  <c r="A252" i="87"/>
  <c r="K252" i="87"/>
  <c r="J252" i="87"/>
  <c r="I252" i="87"/>
  <c r="H252" i="87"/>
  <c r="G252" i="87"/>
  <c r="F252" i="87"/>
  <c r="E252" i="87"/>
  <c r="D252" i="87"/>
  <c r="C252" i="87"/>
  <c r="B252" i="87"/>
  <c r="A251" i="87"/>
  <c r="K251" i="87"/>
  <c r="J251" i="87"/>
  <c r="I251" i="87"/>
  <c r="H251" i="87"/>
  <c r="G251" i="87"/>
  <c r="F251" i="87"/>
  <c r="E251" i="87"/>
  <c r="D251" i="87"/>
  <c r="C251" i="87"/>
  <c r="B251" i="87"/>
  <c r="A250" i="87"/>
  <c r="K250" i="87"/>
  <c r="J250" i="87"/>
  <c r="I250" i="87"/>
  <c r="H250" i="87"/>
  <c r="G250" i="87"/>
  <c r="F250" i="87"/>
  <c r="E250" i="87"/>
  <c r="D250" i="87"/>
  <c r="C250" i="87"/>
  <c r="B250" i="87"/>
  <c r="A249" i="87"/>
  <c r="K249" i="87"/>
  <c r="J249" i="87"/>
  <c r="I249" i="87"/>
  <c r="H249" i="87"/>
  <c r="G249" i="87"/>
  <c r="F249" i="87"/>
  <c r="E249" i="87"/>
  <c r="D249" i="87"/>
  <c r="C249" i="87"/>
  <c r="B249" i="87"/>
  <c r="A248" i="87"/>
  <c r="K248" i="87"/>
  <c r="J248" i="87"/>
  <c r="I248" i="87"/>
  <c r="H248" i="87"/>
  <c r="G248" i="87"/>
  <c r="F248" i="87"/>
  <c r="E248" i="87"/>
  <c r="D248" i="87"/>
  <c r="C248" i="87"/>
  <c r="B248" i="87"/>
  <c r="A247" i="87"/>
  <c r="K247" i="87"/>
  <c r="J247" i="87"/>
  <c r="I247" i="87"/>
  <c r="H247" i="87"/>
  <c r="G247" i="87"/>
  <c r="F247" i="87"/>
  <c r="E247" i="87"/>
  <c r="D247" i="87"/>
  <c r="C247" i="87"/>
  <c r="B247" i="87"/>
  <c r="A246" i="87"/>
  <c r="K246" i="87"/>
  <c r="J246" i="87"/>
  <c r="I246" i="87"/>
  <c r="H246" i="87"/>
  <c r="G246" i="87"/>
  <c r="F246" i="87"/>
  <c r="E246" i="87"/>
  <c r="D246" i="87"/>
  <c r="C246" i="87"/>
  <c r="B246" i="87"/>
  <c r="A245" i="87"/>
  <c r="K245" i="87"/>
  <c r="J245" i="87"/>
  <c r="I245" i="87"/>
  <c r="H245" i="87"/>
  <c r="G245" i="87"/>
  <c r="F245" i="87"/>
  <c r="E245" i="87"/>
  <c r="D245" i="87"/>
  <c r="C245" i="87"/>
  <c r="B245" i="87"/>
  <c r="A244" i="87"/>
  <c r="K244" i="87"/>
  <c r="J244" i="87"/>
  <c r="I244" i="87"/>
  <c r="H244" i="87"/>
  <c r="G244" i="87"/>
  <c r="F244" i="87"/>
  <c r="E244" i="87"/>
  <c r="D244" i="87"/>
  <c r="C244" i="87"/>
  <c r="B244" i="87"/>
  <c r="A243" i="87"/>
  <c r="K243" i="87"/>
  <c r="J243" i="87"/>
  <c r="I243" i="87"/>
  <c r="H243" i="87"/>
  <c r="G243" i="87"/>
  <c r="F243" i="87"/>
  <c r="E243" i="87"/>
  <c r="D243" i="87"/>
  <c r="C243" i="87"/>
  <c r="B243" i="87"/>
  <c r="A242" i="87"/>
  <c r="K242" i="87"/>
  <c r="J242" i="87"/>
  <c r="I242" i="87"/>
  <c r="H242" i="87"/>
  <c r="G242" i="87"/>
  <c r="F242" i="87"/>
  <c r="E242" i="87"/>
  <c r="D242" i="87"/>
  <c r="C242" i="87"/>
  <c r="B242" i="87"/>
  <c r="A241" i="87"/>
  <c r="K241" i="87"/>
  <c r="J241" i="87"/>
  <c r="I241" i="87"/>
  <c r="H241" i="87"/>
  <c r="G241" i="87"/>
  <c r="F241" i="87"/>
  <c r="E241" i="87"/>
  <c r="D241" i="87"/>
  <c r="C241" i="87"/>
  <c r="B241" i="87"/>
  <c r="A240" i="87"/>
  <c r="K240" i="87"/>
  <c r="J240" i="87"/>
  <c r="I240" i="87"/>
  <c r="H240" i="87"/>
  <c r="G240" i="87"/>
  <c r="F240" i="87"/>
  <c r="E240" i="87"/>
  <c r="D240" i="87"/>
  <c r="C240" i="87"/>
  <c r="B240" i="87"/>
  <c r="A239" i="87"/>
  <c r="K239" i="87"/>
  <c r="J239" i="87"/>
  <c r="I239" i="87"/>
  <c r="H239" i="87"/>
  <c r="G239" i="87"/>
  <c r="F239" i="87"/>
  <c r="E239" i="87"/>
  <c r="D239" i="87"/>
  <c r="C239" i="87"/>
  <c r="B239" i="87"/>
  <c r="A238" i="87"/>
  <c r="K238" i="87"/>
  <c r="J238" i="87"/>
  <c r="I238" i="87"/>
  <c r="H238" i="87"/>
  <c r="G238" i="87"/>
  <c r="F238" i="87"/>
  <c r="E238" i="87"/>
  <c r="D238" i="87"/>
  <c r="C238" i="87"/>
  <c r="B238" i="87"/>
  <c r="A237" i="87"/>
  <c r="K237" i="87"/>
  <c r="J237" i="87"/>
  <c r="I237" i="87"/>
  <c r="H237" i="87"/>
  <c r="G237" i="87"/>
  <c r="F237" i="87"/>
  <c r="E237" i="87"/>
  <c r="D237" i="87"/>
  <c r="C237" i="87"/>
  <c r="B237" i="87"/>
  <c r="A236" i="87"/>
  <c r="K236" i="87"/>
  <c r="J236" i="87"/>
  <c r="I236" i="87"/>
  <c r="H236" i="87"/>
  <c r="G236" i="87"/>
  <c r="F236" i="87"/>
  <c r="E236" i="87"/>
  <c r="D236" i="87"/>
  <c r="C236" i="87"/>
  <c r="B236" i="87"/>
  <c r="A235" i="87"/>
  <c r="K235" i="87"/>
  <c r="J235" i="87"/>
  <c r="I235" i="87"/>
  <c r="H235" i="87"/>
  <c r="G235" i="87"/>
  <c r="F235" i="87"/>
  <c r="E235" i="87"/>
  <c r="D235" i="87"/>
  <c r="C235" i="87"/>
  <c r="B235" i="87"/>
  <c r="A234" i="87"/>
  <c r="K234" i="87"/>
  <c r="J234" i="87"/>
  <c r="I234" i="87"/>
  <c r="H234" i="87"/>
  <c r="G234" i="87"/>
  <c r="F234" i="87"/>
  <c r="E234" i="87"/>
  <c r="D234" i="87"/>
  <c r="C234" i="87"/>
  <c r="B234" i="87"/>
  <c r="A233" i="87"/>
  <c r="K233" i="87"/>
  <c r="J233" i="87"/>
  <c r="I233" i="87"/>
  <c r="H233" i="87"/>
  <c r="G233" i="87"/>
  <c r="F233" i="87"/>
  <c r="E233" i="87"/>
  <c r="D233" i="87"/>
  <c r="C233" i="87"/>
  <c r="B233" i="87"/>
  <c r="A232" i="87"/>
  <c r="K232" i="87"/>
  <c r="J232" i="87"/>
  <c r="I232" i="87"/>
  <c r="H232" i="87"/>
  <c r="G232" i="87"/>
  <c r="F232" i="87"/>
  <c r="E232" i="87"/>
  <c r="D232" i="87"/>
  <c r="C232" i="87"/>
  <c r="B232" i="87"/>
  <c r="A231" i="87"/>
  <c r="K231" i="87"/>
  <c r="J231" i="87"/>
  <c r="I231" i="87"/>
  <c r="H231" i="87"/>
  <c r="G231" i="87"/>
  <c r="F231" i="87"/>
  <c r="E231" i="87"/>
  <c r="D231" i="87"/>
  <c r="C231" i="87"/>
  <c r="B231" i="87"/>
  <c r="A230" i="87"/>
  <c r="K230" i="87"/>
  <c r="J230" i="87"/>
  <c r="I230" i="87"/>
  <c r="H230" i="87"/>
  <c r="G230" i="87"/>
  <c r="F230" i="87"/>
  <c r="E230" i="87"/>
  <c r="D230" i="87"/>
  <c r="C230" i="87"/>
  <c r="B230" i="87"/>
  <c r="A229" i="87"/>
  <c r="K229" i="87"/>
  <c r="J229" i="87"/>
  <c r="I229" i="87"/>
  <c r="H229" i="87"/>
  <c r="G229" i="87"/>
  <c r="F229" i="87"/>
  <c r="E229" i="87"/>
  <c r="D229" i="87"/>
  <c r="C229" i="87"/>
  <c r="B229" i="87"/>
  <c r="A228" i="87"/>
  <c r="K228" i="87"/>
  <c r="J228" i="87"/>
  <c r="I228" i="87"/>
  <c r="H228" i="87"/>
  <c r="G228" i="87"/>
  <c r="F228" i="87"/>
  <c r="E228" i="87"/>
  <c r="D228" i="87"/>
  <c r="C228" i="87"/>
  <c r="B228" i="87"/>
  <c r="A227" i="87"/>
  <c r="K227" i="87"/>
  <c r="J227" i="87"/>
  <c r="I227" i="87"/>
  <c r="H227" i="87"/>
  <c r="G227" i="87"/>
  <c r="F227" i="87"/>
  <c r="E227" i="87"/>
  <c r="D227" i="87"/>
  <c r="C227" i="87"/>
  <c r="B227" i="87"/>
  <c r="A226" i="87"/>
  <c r="K226" i="87"/>
  <c r="J226" i="87"/>
  <c r="I226" i="87"/>
  <c r="H226" i="87"/>
  <c r="G226" i="87"/>
  <c r="F226" i="87"/>
  <c r="E226" i="87"/>
  <c r="D226" i="87"/>
  <c r="C226" i="87"/>
  <c r="B226" i="87"/>
  <c r="A225" i="87"/>
  <c r="K225" i="87"/>
  <c r="J225" i="87"/>
  <c r="I225" i="87"/>
  <c r="H225" i="87"/>
  <c r="G225" i="87"/>
  <c r="F225" i="87"/>
  <c r="E225" i="87"/>
  <c r="D225" i="87"/>
  <c r="C225" i="87"/>
  <c r="B225" i="87"/>
  <c r="A224" i="87"/>
  <c r="K224" i="87"/>
  <c r="J224" i="87"/>
  <c r="I224" i="87"/>
  <c r="H224" i="87"/>
  <c r="G224" i="87"/>
  <c r="F224" i="87"/>
  <c r="E224" i="87"/>
  <c r="D224" i="87"/>
  <c r="C224" i="87"/>
  <c r="B224" i="87"/>
  <c r="A223" i="87"/>
  <c r="K223" i="87"/>
  <c r="J223" i="87"/>
  <c r="I223" i="87"/>
  <c r="H223" i="87"/>
  <c r="G223" i="87"/>
  <c r="F223" i="87"/>
  <c r="E223" i="87"/>
  <c r="D223" i="87"/>
  <c r="C223" i="87"/>
  <c r="B223" i="87"/>
  <c r="A222" i="87"/>
  <c r="K222" i="87"/>
  <c r="J222" i="87"/>
  <c r="I222" i="87"/>
  <c r="H222" i="87"/>
  <c r="G222" i="87"/>
  <c r="F222" i="87"/>
  <c r="E222" i="87"/>
  <c r="D222" i="87"/>
  <c r="C222" i="87"/>
  <c r="B222" i="87"/>
  <c r="A221" i="87"/>
  <c r="K221" i="87"/>
  <c r="J221" i="87"/>
  <c r="I221" i="87"/>
  <c r="H221" i="87"/>
  <c r="G221" i="87"/>
  <c r="F221" i="87"/>
  <c r="E221" i="87"/>
  <c r="D221" i="87"/>
  <c r="C221" i="87"/>
  <c r="B221" i="87"/>
  <c r="A220" i="87"/>
  <c r="K220" i="87"/>
  <c r="J220" i="87"/>
  <c r="I220" i="87"/>
  <c r="H220" i="87"/>
  <c r="G220" i="87"/>
  <c r="F220" i="87"/>
  <c r="E220" i="87"/>
  <c r="D220" i="87"/>
  <c r="C220" i="87"/>
  <c r="B220" i="87"/>
  <c r="A219" i="87"/>
  <c r="K219" i="87"/>
  <c r="J219" i="87"/>
  <c r="I219" i="87"/>
  <c r="H219" i="87"/>
  <c r="G219" i="87"/>
  <c r="F219" i="87"/>
  <c r="E219" i="87"/>
  <c r="D219" i="87"/>
  <c r="C219" i="87"/>
  <c r="B219" i="87"/>
  <c r="A218" i="87"/>
  <c r="K218" i="87"/>
  <c r="J218" i="87"/>
  <c r="I218" i="87"/>
  <c r="H218" i="87"/>
  <c r="G218" i="87"/>
  <c r="F218" i="87"/>
  <c r="E218" i="87"/>
  <c r="D218" i="87"/>
  <c r="C218" i="87"/>
  <c r="B218" i="87"/>
  <c r="A217" i="87"/>
  <c r="K217" i="87"/>
  <c r="J217" i="87"/>
  <c r="I217" i="87"/>
  <c r="H217" i="87"/>
  <c r="G217" i="87"/>
  <c r="F217" i="87"/>
  <c r="E217" i="87"/>
  <c r="D217" i="87"/>
  <c r="C217" i="87"/>
  <c r="B217" i="87"/>
  <c r="A216" i="87"/>
  <c r="K216" i="87"/>
  <c r="J216" i="87"/>
  <c r="I216" i="87"/>
  <c r="H216" i="87"/>
  <c r="G216" i="87"/>
  <c r="F216" i="87"/>
  <c r="E216" i="87"/>
  <c r="D216" i="87"/>
  <c r="C216" i="87"/>
  <c r="B216" i="87"/>
  <c r="A215" i="87"/>
  <c r="K215" i="87"/>
  <c r="J215" i="87"/>
  <c r="I215" i="87"/>
  <c r="H215" i="87"/>
  <c r="G215" i="87"/>
  <c r="F215" i="87"/>
  <c r="E215" i="87"/>
  <c r="D215" i="87"/>
  <c r="C215" i="87"/>
  <c r="B215" i="87"/>
  <c r="A214" i="87"/>
  <c r="K214" i="87"/>
  <c r="J214" i="87"/>
  <c r="I214" i="87"/>
  <c r="H214" i="87"/>
  <c r="G214" i="87"/>
  <c r="F214" i="87"/>
  <c r="E214" i="87"/>
  <c r="D214" i="87"/>
  <c r="C214" i="87"/>
  <c r="B214" i="87"/>
  <c r="A213" i="87"/>
  <c r="K213" i="87"/>
  <c r="J213" i="87"/>
  <c r="I213" i="87"/>
  <c r="H213" i="87"/>
  <c r="G213" i="87"/>
  <c r="F213" i="87"/>
  <c r="E213" i="87"/>
  <c r="D213" i="87"/>
  <c r="C213" i="87"/>
  <c r="B213" i="87"/>
  <c r="A212" i="87"/>
  <c r="K212" i="87"/>
  <c r="J212" i="87"/>
  <c r="I212" i="87"/>
  <c r="H212" i="87"/>
  <c r="G212" i="87"/>
  <c r="F212" i="87"/>
  <c r="E212" i="87"/>
  <c r="D212" i="87"/>
  <c r="C212" i="87"/>
  <c r="B212" i="87"/>
  <c r="A211" i="87"/>
  <c r="K211" i="87"/>
  <c r="J211" i="87"/>
  <c r="I211" i="87"/>
  <c r="H211" i="87"/>
  <c r="G211" i="87"/>
  <c r="F211" i="87"/>
  <c r="E211" i="87"/>
  <c r="D211" i="87"/>
  <c r="C211" i="87"/>
  <c r="B211" i="87"/>
  <c r="A210" i="87"/>
  <c r="K210" i="87"/>
  <c r="J210" i="87"/>
  <c r="I210" i="87"/>
  <c r="H210" i="87"/>
  <c r="G210" i="87"/>
  <c r="F210" i="87"/>
  <c r="E210" i="87"/>
  <c r="D210" i="87"/>
  <c r="C210" i="87"/>
  <c r="B210" i="87"/>
  <c r="A209" i="87"/>
  <c r="K209" i="87"/>
  <c r="J209" i="87"/>
  <c r="I209" i="87"/>
  <c r="H209" i="87"/>
  <c r="G209" i="87"/>
  <c r="F209" i="87"/>
  <c r="E209" i="87"/>
  <c r="D209" i="87"/>
  <c r="C209" i="87"/>
  <c r="B209" i="87"/>
  <c r="A208" i="87"/>
  <c r="K208" i="87"/>
  <c r="J208" i="87"/>
  <c r="I208" i="87"/>
  <c r="H208" i="87"/>
  <c r="G208" i="87"/>
  <c r="F208" i="87"/>
  <c r="E208" i="87"/>
  <c r="D208" i="87"/>
  <c r="C208" i="87"/>
  <c r="B208" i="87"/>
  <c r="A207" i="87"/>
  <c r="K207" i="87"/>
  <c r="J207" i="87"/>
  <c r="I207" i="87"/>
  <c r="H207" i="87"/>
  <c r="G207" i="87"/>
  <c r="F207" i="87"/>
  <c r="E207" i="87"/>
  <c r="D207" i="87"/>
  <c r="C207" i="87"/>
  <c r="B207" i="87"/>
  <c r="A206" i="87"/>
  <c r="K206" i="87"/>
  <c r="J206" i="87"/>
  <c r="I206" i="87"/>
  <c r="H206" i="87"/>
  <c r="G206" i="87"/>
  <c r="F206" i="87"/>
  <c r="E206" i="87"/>
  <c r="D206" i="87"/>
  <c r="C206" i="87"/>
  <c r="B206" i="87"/>
  <c r="A205" i="87"/>
  <c r="K205" i="87"/>
  <c r="J205" i="87"/>
  <c r="I205" i="87"/>
  <c r="H205" i="87"/>
  <c r="G205" i="87"/>
  <c r="F205" i="87"/>
  <c r="E205" i="87"/>
  <c r="D205" i="87"/>
  <c r="C205" i="87"/>
  <c r="B205" i="87"/>
  <c r="A204" i="87"/>
  <c r="K204" i="87"/>
  <c r="J204" i="87"/>
  <c r="I204" i="87"/>
  <c r="H204" i="87"/>
  <c r="G204" i="87"/>
  <c r="F204" i="87"/>
  <c r="E204" i="87"/>
  <c r="D204" i="87"/>
  <c r="C204" i="87"/>
  <c r="B204" i="87"/>
  <c r="A203" i="87"/>
  <c r="K203" i="87"/>
  <c r="J203" i="87"/>
  <c r="I203" i="87"/>
  <c r="H203" i="87"/>
  <c r="G203" i="87"/>
  <c r="F203" i="87"/>
  <c r="E203" i="87"/>
  <c r="D203" i="87"/>
  <c r="C203" i="87"/>
  <c r="B203" i="87"/>
  <c r="A202" i="87"/>
  <c r="K202" i="87"/>
  <c r="J202" i="87"/>
  <c r="I202" i="87"/>
  <c r="H202" i="87"/>
  <c r="G202" i="87"/>
  <c r="F202" i="87"/>
  <c r="E202" i="87"/>
  <c r="D202" i="87"/>
  <c r="C202" i="87"/>
  <c r="B202" i="87"/>
  <c r="A201" i="87"/>
  <c r="K201" i="87"/>
  <c r="J201" i="87"/>
  <c r="I201" i="87"/>
  <c r="H201" i="87"/>
  <c r="G201" i="87"/>
  <c r="F201" i="87"/>
  <c r="E201" i="87"/>
  <c r="D201" i="87"/>
  <c r="C201" i="87"/>
  <c r="B201" i="87"/>
  <c r="A200" i="87"/>
  <c r="K200" i="87"/>
  <c r="J200" i="87"/>
  <c r="I200" i="87"/>
  <c r="H200" i="87"/>
  <c r="G200" i="87"/>
  <c r="F200" i="87"/>
  <c r="E200" i="87"/>
  <c r="D200" i="87"/>
  <c r="C200" i="87"/>
  <c r="B200" i="87"/>
  <c r="A199" i="87"/>
  <c r="K199" i="87"/>
  <c r="J199" i="87"/>
  <c r="I199" i="87"/>
  <c r="H199" i="87"/>
  <c r="G199" i="87"/>
  <c r="F199" i="87"/>
  <c r="E199" i="87"/>
  <c r="D199" i="87"/>
  <c r="C199" i="87"/>
  <c r="B199" i="87"/>
  <c r="A198" i="87"/>
  <c r="K198" i="87"/>
  <c r="J198" i="87"/>
  <c r="I198" i="87"/>
  <c r="H198" i="87"/>
  <c r="G198" i="87"/>
  <c r="F198" i="87"/>
  <c r="E198" i="87"/>
  <c r="D198" i="87"/>
  <c r="C198" i="87"/>
  <c r="B198" i="87"/>
  <c r="A197" i="87"/>
  <c r="K197" i="87"/>
  <c r="J197" i="87"/>
  <c r="I197" i="87"/>
  <c r="H197" i="87"/>
  <c r="G197" i="87"/>
  <c r="F197" i="87"/>
  <c r="E197" i="87"/>
  <c r="D197" i="87"/>
  <c r="C197" i="87"/>
  <c r="B197" i="87"/>
  <c r="A196" i="87"/>
  <c r="K196" i="87"/>
  <c r="J196" i="87"/>
  <c r="I196" i="87"/>
  <c r="H196" i="87"/>
  <c r="G196" i="87"/>
  <c r="F196" i="87"/>
  <c r="E196" i="87"/>
  <c r="D196" i="87"/>
  <c r="C196" i="87"/>
  <c r="B196" i="87"/>
  <c r="A195" i="87"/>
  <c r="K195" i="87"/>
  <c r="J195" i="87"/>
  <c r="I195" i="87"/>
  <c r="H195" i="87"/>
  <c r="G195" i="87"/>
  <c r="F195" i="87"/>
  <c r="E195" i="87"/>
  <c r="D195" i="87"/>
  <c r="C195" i="87"/>
  <c r="B195" i="87"/>
  <c r="A194" i="87"/>
  <c r="K194" i="87"/>
  <c r="J194" i="87"/>
  <c r="I194" i="87"/>
  <c r="H194" i="87"/>
  <c r="G194" i="87"/>
  <c r="F194" i="87"/>
  <c r="E194" i="87"/>
  <c r="D194" i="87"/>
  <c r="C194" i="87"/>
  <c r="B194" i="87"/>
  <c r="A193" i="87"/>
  <c r="K193" i="87"/>
  <c r="J193" i="87"/>
  <c r="I193" i="87"/>
  <c r="H193" i="87"/>
  <c r="G193" i="87"/>
  <c r="F193" i="87"/>
  <c r="E193" i="87"/>
  <c r="D193" i="87"/>
  <c r="C193" i="87"/>
  <c r="B193" i="87"/>
  <c r="A192" i="87"/>
  <c r="K192" i="87"/>
  <c r="J192" i="87"/>
  <c r="I192" i="87"/>
  <c r="H192" i="87"/>
  <c r="G192" i="87"/>
  <c r="F192" i="87"/>
  <c r="E192" i="87"/>
  <c r="D192" i="87"/>
  <c r="C192" i="87"/>
  <c r="B192" i="87"/>
  <c r="A191" i="87"/>
  <c r="K191" i="87"/>
  <c r="J191" i="87"/>
  <c r="I191" i="87"/>
  <c r="H191" i="87"/>
  <c r="G191" i="87"/>
  <c r="F191" i="87"/>
  <c r="E191" i="87"/>
  <c r="D191" i="87"/>
  <c r="C191" i="87"/>
  <c r="B191" i="87"/>
  <c r="A190" i="87"/>
  <c r="K190" i="87"/>
  <c r="J190" i="87"/>
  <c r="I190" i="87"/>
  <c r="H190" i="87"/>
  <c r="G190" i="87"/>
  <c r="F190" i="87"/>
  <c r="E190" i="87"/>
  <c r="D190" i="87"/>
  <c r="C190" i="87"/>
  <c r="B190" i="87"/>
  <c r="A189" i="87"/>
  <c r="K189" i="87"/>
  <c r="J189" i="87"/>
  <c r="I189" i="87"/>
  <c r="H189" i="87"/>
  <c r="G189" i="87"/>
  <c r="F189" i="87"/>
  <c r="E189" i="87"/>
  <c r="D189" i="87"/>
  <c r="C189" i="87"/>
  <c r="B189" i="87"/>
  <c r="A188" i="87"/>
  <c r="K188" i="87"/>
  <c r="J188" i="87"/>
  <c r="I188" i="87"/>
  <c r="H188" i="87"/>
  <c r="G188" i="87"/>
  <c r="F188" i="87"/>
  <c r="E188" i="87"/>
  <c r="D188" i="87"/>
  <c r="C188" i="87"/>
  <c r="B188" i="87"/>
  <c r="A187" i="87"/>
  <c r="K187" i="87"/>
  <c r="J187" i="87"/>
  <c r="I187" i="87"/>
  <c r="H187" i="87"/>
  <c r="G187" i="87"/>
  <c r="F187" i="87"/>
  <c r="E187" i="87"/>
  <c r="D187" i="87"/>
  <c r="C187" i="87"/>
  <c r="B187" i="87"/>
  <c r="A186" i="87"/>
  <c r="K186" i="87"/>
  <c r="J186" i="87"/>
  <c r="I186" i="87"/>
  <c r="H186" i="87"/>
  <c r="G186" i="87"/>
  <c r="F186" i="87"/>
  <c r="E186" i="87"/>
  <c r="D186" i="87"/>
  <c r="C186" i="87"/>
  <c r="B186" i="87"/>
  <c r="A185" i="87"/>
  <c r="K185" i="87"/>
  <c r="J185" i="87"/>
  <c r="I185" i="87"/>
  <c r="H185" i="87"/>
  <c r="G185" i="87"/>
  <c r="F185" i="87"/>
  <c r="E185" i="87"/>
  <c r="D185" i="87"/>
  <c r="C185" i="87"/>
  <c r="B185" i="87"/>
  <c r="A184" i="87"/>
  <c r="K184" i="87"/>
  <c r="J184" i="87"/>
  <c r="I184" i="87"/>
  <c r="H184" i="87"/>
  <c r="G184" i="87"/>
  <c r="F184" i="87"/>
  <c r="E184" i="87"/>
  <c r="D184" i="87"/>
  <c r="C184" i="87"/>
  <c r="B184" i="87"/>
  <c r="A183" i="87"/>
  <c r="K183" i="87"/>
  <c r="J183" i="87"/>
  <c r="I183" i="87"/>
  <c r="H183" i="87"/>
  <c r="G183" i="87"/>
  <c r="F183" i="87"/>
  <c r="E183" i="87"/>
  <c r="D183" i="87"/>
  <c r="C183" i="87"/>
  <c r="B183" i="87"/>
  <c r="A182" i="87"/>
  <c r="K182" i="87"/>
  <c r="J182" i="87"/>
  <c r="I182" i="87"/>
  <c r="H182" i="87"/>
  <c r="G182" i="87"/>
  <c r="F182" i="87"/>
  <c r="E182" i="87"/>
  <c r="D182" i="87"/>
  <c r="C182" i="87"/>
  <c r="B182" i="87"/>
  <c r="A181" i="87"/>
  <c r="K181" i="87"/>
  <c r="J181" i="87"/>
  <c r="I181" i="87"/>
  <c r="H181" i="87"/>
  <c r="G181" i="87"/>
  <c r="F181" i="87"/>
  <c r="E181" i="87"/>
  <c r="D181" i="87"/>
  <c r="C181" i="87"/>
  <c r="B181" i="87"/>
  <c r="A180" i="87"/>
  <c r="K180" i="87"/>
  <c r="J180" i="87"/>
  <c r="I180" i="87"/>
  <c r="H180" i="87"/>
  <c r="G180" i="87"/>
  <c r="F180" i="87"/>
  <c r="E180" i="87"/>
  <c r="D180" i="87"/>
  <c r="C180" i="87"/>
  <c r="B180" i="87"/>
  <c r="A179" i="87"/>
  <c r="K179" i="87"/>
  <c r="J179" i="87"/>
  <c r="I179" i="87"/>
  <c r="H179" i="87"/>
  <c r="G179" i="87"/>
  <c r="F179" i="87"/>
  <c r="E179" i="87"/>
  <c r="D179" i="87"/>
  <c r="C179" i="87"/>
  <c r="B179" i="87"/>
  <c r="A178" i="87"/>
  <c r="K178" i="87"/>
  <c r="J178" i="87"/>
  <c r="I178" i="87"/>
  <c r="H178" i="87"/>
  <c r="G178" i="87"/>
  <c r="F178" i="87"/>
  <c r="E178" i="87"/>
  <c r="D178" i="87"/>
  <c r="C178" i="87"/>
  <c r="B178" i="87"/>
  <c r="A177" i="87"/>
  <c r="K177" i="87"/>
  <c r="J177" i="87"/>
  <c r="I177" i="87"/>
  <c r="H177" i="87"/>
  <c r="G177" i="87"/>
  <c r="F177" i="87"/>
  <c r="E177" i="87"/>
  <c r="D177" i="87"/>
  <c r="C177" i="87"/>
  <c r="B177" i="87"/>
  <c r="A176" i="87"/>
  <c r="K176" i="87"/>
  <c r="J176" i="87"/>
  <c r="I176" i="87"/>
  <c r="H176" i="87"/>
  <c r="G176" i="87"/>
  <c r="F176" i="87"/>
  <c r="E176" i="87"/>
  <c r="D176" i="87"/>
  <c r="C176" i="87"/>
  <c r="B176" i="87"/>
  <c r="A175" i="87"/>
  <c r="K175" i="87"/>
  <c r="J175" i="87"/>
  <c r="I175" i="87"/>
  <c r="H175" i="87"/>
  <c r="G175" i="87"/>
  <c r="F175" i="87"/>
  <c r="E175" i="87"/>
  <c r="D175" i="87"/>
  <c r="C175" i="87"/>
  <c r="B175" i="87"/>
  <c r="A174" i="87"/>
  <c r="K174" i="87"/>
  <c r="J174" i="87"/>
  <c r="I174" i="87"/>
  <c r="H174" i="87"/>
  <c r="G174" i="87"/>
  <c r="F174" i="87"/>
  <c r="E174" i="87"/>
  <c r="D174" i="87"/>
  <c r="C174" i="87"/>
  <c r="B174" i="87"/>
  <c r="A173" i="87"/>
  <c r="K173" i="87"/>
  <c r="J173" i="87"/>
  <c r="I173" i="87"/>
  <c r="H173" i="87"/>
  <c r="G173" i="87"/>
  <c r="F173" i="87"/>
  <c r="E173" i="87"/>
  <c r="D173" i="87"/>
  <c r="C173" i="87"/>
  <c r="B173" i="87"/>
  <c r="A172" i="87"/>
  <c r="K172" i="87"/>
  <c r="J172" i="87"/>
  <c r="I172" i="87"/>
  <c r="H172" i="87"/>
  <c r="G172" i="87"/>
  <c r="F172" i="87"/>
  <c r="E172" i="87"/>
  <c r="D172" i="87"/>
  <c r="C172" i="87"/>
  <c r="B172" i="87"/>
  <c r="A171" i="87"/>
  <c r="K171" i="87"/>
  <c r="J171" i="87"/>
  <c r="I171" i="87"/>
  <c r="H171" i="87"/>
  <c r="G171" i="87"/>
  <c r="F171" i="87"/>
  <c r="E171" i="87"/>
  <c r="D171" i="87"/>
  <c r="C171" i="87"/>
  <c r="B171" i="87"/>
  <c r="A170" i="87"/>
  <c r="K170" i="87"/>
  <c r="J170" i="87"/>
  <c r="I170" i="87"/>
  <c r="H170" i="87"/>
  <c r="G170" i="87"/>
  <c r="F170" i="87"/>
  <c r="E170" i="87"/>
  <c r="D170" i="87"/>
  <c r="C170" i="87"/>
  <c r="B170" i="87"/>
  <c r="A169" i="87"/>
  <c r="K169" i="87"/>
  <c r="J169" i="87"/>
  <c r="I169" i="87"/>
  <c r="H169" i="87"/>
  <c r="G169" i="87"/>
  <c r="F169" i="87"/>
  <c r="E169" i="87"/>
  <c r="D169" i="87"/>
  <c r="C169" i="87"/>
  <c r="B169" i="87"/>
  <c r="A168" i="87"/>
  <c r="K168" i="87"/>
  <c r="J168" i="87"/>
  <c r="I168" i="87"/>
  <c r="H168" i="87"/>
  <c r="G168" i="87"/>
  <c r="F168" i="87"/>
  <c r="E168" i="87"/>
  <c r="D168" i="87"/>
  <c r="C168" i="87"/>
  <c r="B168" i="87"/>
  <c r="A167" i="87"/>
  <c r="K167" i="87"/>
  <c r="J167" i="87"/>
  <c r="I167" i="87"/>
  <c r="H167" i="87"/>
  <c r="G167" i="87"/>
  <c r="F167" i="87"/>
  <c r="E167" i="87"/>
  <c r="D167" i="87"/>
  <c r="C167" i="87"/>
  <c r="B167" i="87"/>
  <c r="A166" i="87"/>
  <c r="K166" i="87"/>
  <c r="J166" i="87"/>
  <c r="I166" i="87"/>
  <c r="H166" i="87"/>
  <c r="G166" i="87"/>
  <c r="F166" i="87"/>
  <c r="E166" i="87"/>
  <c r="D166" i="87"/>
  <c r="C166" i="87"/>
  <c r="B166" i="87"/>
  <c r="A165" i="87"/>
  <c r="K165" i="87"/>
  <c r="J165" i="87"/>
  <c r="I165" i="87"/>
  <c r="H165" i="87"/>
  <c r="G165" i="87"/>
  <c r="F165" i="87"/>
  <c r="E165" i="87"/>
  <c r="D165" i="87"/>
  <c r="C165" i="87"/>
  <c r="B165" i="87"/>
  <c r="A164" i="87"/>
  <c r="K164" i="87"/>
  <c r="J164" i="87"/>
  <c r="I164" i="87"/>
  <c r="H164" i="87"/>
  <c r="G164" i="87"/>
  <c r="F164" i="87"/>
  <c r="E164" i="87"/>
  <c r="D164" i="87"/>
  <c r="C164" i="87"/>
  <c r="B164" i="87"/>
  <c r="A163" i="87"/>
  <c r="K163" i="87"/>
  <c r="J163" i="87"/>
  <c r="I163" i="87"/>
  <c r="H163" i="87"/>
  <c r="G163" i="87"/>
  <c r="F163" i="87"/>
  <c r="E163" i="87"/>
  <c r="D163" i="87"/>
  <c r="C163" i="87"/>
  <c r="B163" i="87"/>
  <c r="A162" i="87"/>
  <c r="K162" i="87"/>
  <c r="J162" i="87"/>
  <c r="I162" i="87"/>
  <c r="H162" i="87"/>
  <c r="G162" i="87"/>
  <c r="F162" i="87"/>
  <c r="E162" i="87"/>
  <c r="D162" i="87"/>
  <c r="C162" i="87"/>
  <c r="B162" i="87"/>
  <c r="A161" i="87"/>
  <c r="K161" i="87"/>
  <c r="J161" i="87"/>
  <c r="I161" i="87"/>
  <c r="H161" i="87"/>
  <c r="G161" i="87"/>
  <c r="F161" i="87"/>
  <c r="E161" i="87"/>
  <c r="D161" i="87"/>
  <c r="C161" i="87"/>
  <c r="B161" i="87"/>
  <c r="A160" i="87"/>
  <c r="K160" i="87"/>
  <c r="J160" i="87"/>
  <c r="I160" i="87"/>
  <c r="H160" i="87"/>
  <c r="G160" i="87"/>
  <c r="F160" i="87"/>
  <c r="E160" i="87"/>
  <c r="D160" i="87"/>
  <c r="C160" i="87"/>
  <c r="B160" i="87"/>
  <c r="A159" i="87"/>
  <c r="K159" i="87"/>
  <c r="J159" i="87"/>
  <c r="I159" i="87"/>
  <c r="H159" i="87"/>
  <c r="G159" i="87"/>
  <c r="F159" i="87"/>
  <c r="E159" i="87"/>
  <c r="D159" i="87"/>
  <c r="C159" i="87"/>
  <c r="B159" i="87"/>
  <c r="A158" i="87"/>
  <c r="K158" i="87"/>
  <c r="J158" i="87"/>
  <c r="I158" i="87"/>
  <c r="H158" i="87"/>
  <c r="G158" i="87"/>
  <c r="F158" i="87"/>
  <c r="E158" i="87"/>
  <c r="D158" i="87"/>
  <c r="C158" i="87"/>
  <c r="B158" i="87"/>
  <c r="A157" i="87"/>
  <c r="K157" i="87"/>
  <c r="J157" i="87"/>
  <c r="I157" i="87"/>
  <c r="H157" i="87"/>
  <c r="G157" i="87"/>
  <c r="F157" i="87"/>
  <c r="E157" i="87"/>
  <c r="D157" i="87"/>
  <c r="C157" i="87"/>
  <c r="B157" i="87"/>
  <c r="A156" i="87"/>
  <c r="K156" i="87"/>
  <c r="J156" i="87"/>
  <c r="I156" i="87"/>
  <c r="H156" i="87"/>
  <c r="G156" i="87"/>
  <c r="F156" i="87"/>
  <c r="E156" i="87"/>
  <c r="D156" i="87"/>
  <c r="C156" i="87"/>
  <c r="B156" i="87"/>
  <c r="A155" i="87"/>
  <c r="K155" i="87"/>
  <c r="J155" i="87"/>
  <c r="I155" i="87"/>
  <c r="H155" i="87"/>
  <c r="G155" i="87"/>
  <c r="F155" i="87"/>
  <c r="E155" i="87"/>
  <c r="D155" i="87"/>
  <c r="C155" i="87"/>
  <c r="B155" i="87"/>
  <c r="A154" i="87"/>
  <c r="K154" i="87"/>
  <c r="J154" i="87"/>
  <c r="I154" i="87"/>
  <c r="H154" i="87"/>
  <c r="G154" i="87"/>
  <c r="F154" i="87"/>
  <c r="E154" i="87"/>
  <c r="D154" i="87"/>
  <c r="C154" i="87"/>
  <c r="B154" i="87"/>
  <c r="A153" i="87"/>
  <c r="K153" i="87"/>
  <c r="J153" i="87"/>
  <c r="I153" i="87"/>
  <c r="H153" i="87"/>
  <c r="G153" i="87"/>
  <c r="F153" i="87"/>
  <c r="E153" i="87"/>
  <c r="D153" i="87"/>
  <c r="C153" i="87"/>
  <c r="B153" i="87"/>
  <c r="A152" i="87"/>
  <c r="K152" i="87"/>
  <c r="J152" i="87"/>
  <c r="I152" i="87"/>
  <c r="H152" i="87"/>
  <c r="G152" i="87"/>
  <c r="F152" i="87"/>
  <c r="E152" i="87"/>
  <c r="D152" i="87"/>
  <c r="C152" i="87"/>
  <c r="B152" i="87"/>
  <c r="A151" i="87"/>
  <c r="K151" i="87"/>
  <c r="J151" i="87"/>
  <c r="I151" i="87"/>
  <c r="H151" i="87"/>
  <c r="G151" i="87"/>
  <c r="F151" i="87"/>
  <c r="E151" i="87"/>
  <c r="D151" i="87"/>
  <c r="C151" i="87"/>
  <c r="B151" i="87"/>
  <c r="A150" i="87"/>
  <c r="K150" i="87"/>
  <c r="J150" i="87"/>
  <c r="I150" i="87"/>
  <c r="H150" i="87"/>
  <c r="G150" i="87"/>
  <c r="F150" i="87"/>
  <c r="E150" i="87"/>
  <c r="D150" i="87"/>
  <c r="C150" i="87"/>
  <c r="B150" i="87"/>
  <c r="A149" i="87"/>
  <c r="K149" i="87"/>
  <c r="J149" i="87"/>
  <c r="I149" i="87"/>
  <c r="H149" i="87"/>
  <c r="G149" i="87"/>
  <c r="F149" i="87"/>
  <c r="E149" i="87"/>
  <c r="D149" i="87"/>
  <c r="C149" i="87"/>
  <c r="B149" i="87"/>
  <c r="A148" i="87"/>
  <c r="K148" i="87"/>
  <c r="J148" i="87"/>
  <c r="I148" i="87"/>
  <c r="H148" i="87"/>
  <c r="G148" i="87"/>
  <c r="F148" i="87"/>
  <c r="E148" i="87"/>
  <c r="D148" i="87"/>
  <c r="C148" i="87"/>
  <c r="B148" i="87"/>
  <c r="A147" i="87"/>
  <c r="K147" i="87"/>
  <c r="J147" i="87"/>
  <c r="I147" i="87"/>
  <c r="H147" i="87"/>
  <c r="G147" i="87"/>
  <c r="F147" i="87"/>
  <c r="E147" i="87"/>
  <c r="D147" i="87"/>
  <c r="C147" i="87"/>
  <c r="B147" i="87"/>
  <c r="A146" i="87"/>
  <c r="K146" i="87"/>
  <c r="J146" i="87"/>
  <c r="I146" i="87"/>
  <c r="H146" i="87"/>
  <c r="G146" i="87"/>
  <c r="F146" i="87"/>
  <c r="E146" i="87"/>
  <c r="D146" i="87"/>
  <c r="C146" i="87"/>
  <c r="B146" i="87"/>
  <c r="A145" i="87"/>
  <c r="K145" i="87"/>
  <c r="J145" i="87"/>
  <c r="I145" i="87"/>
  <c r="H145" i="87"/>
  <c r="G145" i="87"/>
  <c r="F145" i="87"/>
  <c r="E145" i="87"/>
  <c r="D145" i="87"/>
  <c r="C145" i="87"/>
  <c r="B145" i="87"/>
  <c r="A144" i="87"/>
  <c r="K144" i="87"/>
  <c r="J144" i="87"/>
  <c r="I144" i="87"/>
  <c r="H144" i="87"/>
  <c r="G144" i="87"/>
  <c r="F144" i="87"/>
  <c r="E144" i="87"/>
  <c r="D144" i="87"/>
  <c r="C144" i="87"/>
  <c r="B144" i="87"/>
  <c r="A143" i="87"/>
  <c r="K143" i="87"/>
  <c r="J143" i="87"/>
  <c r="I143" i="87"/>
  <c r="H143" i="87"/>
  <c r="G143" i="87"/>
  <c r="F143" i="87"/>
  <c r="E143" i="87"/>
  <c r="D143" i="87"/>
  <c r="C143" i="87"/>
  <c r="B143" i="87"/>
  <c r="A142" i="87"/>
  <c r="K142" i="87"/>
  <c r="J142" i="87"/>
  <c r="I142" i="87"/>
  <c r="H142" i="87"/>
  <c r="G142" i="87"/>
  <c r="F142" i="87"/>
  <c r="E142" i="87"/>
  <c r="D142" i="87"/>
  <c r="C142" i="87"/>
  <c r="B142" i="87"/>
  <c r="A141" i="87"/>
  <c r="K141" i="87"/>
  <c r="J141" i="87"/>
  <c r="I141" i="87"/>
  <c r="H141" i="87"/>
  <c r="G141" i="87"/>
  <c r="F141" i="87"/>
  <c r="E141" i="87"/>
  <c r="D141" i="87"/>
  <c r="C141" i="87"/>
  <c r="B141" i="87"/>
  <c r="A140" i="87"/>
  <c r="K140" i="87"/>
  <c r="J140" i="87"/>
  <c r="I140" i="87"/>
  <c r="H140" i="87"/>
  <c r="G140" i="87"/>
  <c r="F140" i="87"/>
  <c r="E140" i="87"/>
  <c r="D140" i="87"/>
  <c r="C140" i="87"/>
  <c r="B140" i="87"/>
  <c r="A139" i="87"/>
  <c r="K139" i="87"/>
  <c r="J139" i="87"/>
  <c r="I139" i="87"/>
  <c r="H139" i="87"/>
  <c r="G139" i="87"/>
  <c r="F139" i="87"/>
  <c r="E139" i="87"/>
  <c r="D139" i="87"/>
  <c r="C139" i="87"/>
  <c r="B139" i="87"/>
  <c r="A138" i="87"/>
  <c r="K138" i="87"/>
  <c r="J138" i="87"/>
  <c r="I138" i="87"/>
  <c r="H138" i="87"/>
  <c r="G138" i="87"/>
  <c r="F138" i="87"/>
  <c r="E138" i="87"/>
  <c r="D138" i="87"/>
  <c r="C138" i="87"/>
  <c r="B138" i="87"/>
  <c r="A137" i="87"/>
  <c r="K137" i="87"/>
  <c r="J137" i="87"/>
  <c r="I137" i="87"/>
  <c r="H137" i="87"/>
  <c r="G137" i="87"/>
  <c r="F137" i="87"/>
  <c r="E137" i="87"/>
  <c r="D137" i="87"/>
  <c r="C137" i="87"/>
  <c r="B137" i="87"/>
  <c r="A136" i="87"/>
  <c r="K136" i="87"/>
  <c r="J136" i="87"/>
  <c r="I136" i="87"/>
  <c r="H136" i="87"/>
  <c r="G136" i="87"/>
  <c r="F136" i="87"/>
  <c r="E136" i="87"/>
  <c r="D136" i="87"/>
  <c r="C136" i="87"/>
  <c r="B136" i="87"/>
  <c r="A135" i="87"/>
  <c r="K135" i="87"/>
  <c r="J135" i="87"/>
  <c r="I135" i="87"/>
  <c r="H135" i="87"/>
  <c r="G135" i="87"/>
  <c r="F135" i="87"/>
  <c r="E135" i="87"/>
  <c r="D135" i="87"/>
  <c r="C135" i="87"/>
  <c r="B135" i="87"/>
  <c r="A134" i="87"/>
  <c r="K134" i="87"/>
  <c r="J134" i="87"/>
  <c r="I134" i="87"/>
  <c r="H134" i="87"/>
  <c r="G134" i="87"/>
  <c r="F134" i="87"/>
  <c r="E134" i="87"/>
  <c r="D134" i="87"/>
  <c r="C134" i="87"/>
  <c r="B134" i="87"/>
  <c r="A133" i="87"/>
  <c r="K133" i="87"/>
  <c r="J133" i="87"/>
  <c r="I133" i="87"/>
  <c r="H133" i="87"/>
  <c r="G133" i="87"/>
  <c r="F133" i="87"/>
  <c r="E133" i="87"/>
  <c r="D133" i="87"/>
  <c r="C133" i="87"/>
  <c r="B133" i="87"/>
  <c r="A132" i="87"/>
  <c r="K132" i="87"/>
  <c r="J132" i="87"/>
  <c r="I132" i="87"/>
  <c r="H132" i="87"/>
  <c r="G132" i="87"/>
  <c r="F132" i="87"/>
  <c r="E132" i="87"/>
  <c r="D132" i="87"/>
  <c r="C132" i="87"/>
  <c r="B132" i="87"/>
  <c r="A131" i="87"/>
  <c r="K131" i="87"/>
  <c r="J131" i="87"/>
  <c r="I131" i="87"/>
  <c r="H131" i="87"/>
  <c r="G131" i="87"/>
  <c r="F131" i="87"/>
  <c r="E131" i="87"/>
  <c r="D131" i="87"/>
  <c r="C131" i="87"/>
  <c r="B131" i="87"/>
  <c r="A130" i="87"/>
  <c r="K130" i="87"/>
  <c r="J130" i="87"/>
  <c r="I130" i="87"/>
  <c r="H130" i="87"/>
  <c r="G130" i="87"/>
  <c r="F130" i="87"/>
  <c r="E130" i="87"/>
  <c r="D130" i="87"/>
  <c r="C130" i="87"/>
  <c r="B130" i="87"/>
  <c r="A129" i="87"/>
  <c r="K129" i="87"/>
  <c r="J129" i="87"/>
  <c r="I129" i="87"/>
  <c r="H129" i="87"/>
  <c r="G129" i="87"/>
  <c r="F129" i="87"/>
  <c r="E129" i="87"/>
  <c r="D129" i="87"/>
  <c r="C129" i="87"/>
  <c r="B129" i="87"/>
  <c r="A128" i="87"/>
  <c r="K128" i="87"/>
  <c r="J128" i="87"/>
  <c r="I128" i="87"/>
  <c r="H128" i="87"/>
  <c r="G128" i="87"/>
  <c r="F128" i="87"/>
  <c r="E128" i="87"/>
  <c r="D128" i="87"/>
  <c r="C128" i="87"/>
  <c r="B128" i="87"/>
  <c r="A127" i="87"/>
  <c r="K127" i="87"/>
  <c r="J127" i="87"/>
  <c r="I127" i="87"/>
  <c r="H127" i="87"/>
  <c r="G127" i="87"/>
  <c r="F127" i="87"/>
  <c r="E127" i="87"/>
  <c r="D127" i="87"/>
  <c r="C127" i="87"/>
  <c r="B127" i="87"/>
  <c r="A126" i="87"/>
  <c r="K126" i="87"/>
  <c r="J126" i="87"/>
  <c r="I126" i="87"/>
  <c r="H126" i="87"/>
  <c r="G126" i="87"/>
  <c r="F126" i="87"/>
  <c r="E126" i="87"/>
  <c r="D126" i="87"/>
  <c r="C126" i="87"/>
  <c r="B126" i="87"/>
  <c r="A125" i="87"/>
  <c r="K125" i="87"/>
  <c r="J125" i="87"/>
  <c r="I125" i="87"/>
  <c r="H125" i="87"/>
  <c r="G125" i="87"/>
  <c r="F125" i="87"/>
  <c r="E125" i="87"/>
  <c r="D125" i="87"/>
  <c r="C125" i="87"/>
  <c r="B125" i="87"/>
  <c r="A124" i="87"/>
  <c r="K124" i="87"/>
  <c r="J124" i="87"/>
  <c r="I124" i="87"/>
  <c r="H124" i="87"/>
  <c r="G124" i="87"/>
  <c r="F124" i="87"/>
  <c r="E124" i="87"/>
  <c r="D124" i="87"/>
  <c r="C124" i="87"/>
  <c r="B124" i="87"/>
  <c r="A123" i="87"/>
  <c r="K123" i="87"/>
  <c r="J123" i="87"/>
  <c r="I123" i="87"/>
  <c r="H123" i="87"/>
  <c r="G123" i="87"/>
  <c r="F123" i="87"/>
  <c r="E123" i="87"/>
  <c r="D123" i="87"/>
  <c r="C123" i="87"/>
  <c r="B123" i="87"/>
  <c r="A122" i="87"/>
  <c r="K122" i="87"/>
  <c r="J122" i="87"/>
  <c r="I122" i="87"/>
  <c r="H122" i="87"/>
  <c r="G122" i="87"/>
  <c r="F122" i="87"/>
  <c r="E122" i="87"/>
  <c r="D122" i="87"/>
  <c r="C122" i="87"/>
  <c r="B122" i="87"/>
  <c r="A121" i="87"/>
  <c r="K121" i="87"/>
  <c r="J121" i="87"/>
  <c r="I121" i="87"/>
  <c r="H121" i="87"/>
  <c r="G121" i="87"/>
  <c r="F121" i="87"/>
  <c r="E121" i="87"/>
  <c r="D121" i="87"/>
  <c r="C121" i="87"/>
  <c r="B121" i="87"/>
  <c r="A120" i="87"/>
  <c r="K120" i="87"/>
  <c r="J120" i="87"/>
  <c r="I120" i="87"/>
  <c r="H120" i="87"/>
  <c r="G120" i="87"/>
  <c r="F120" i="87"/>
  <c r="E120" i="87"/>
  <c r="D120" i="87"/>
  <c r="C120" i="87"/>
  <c r="B120" i="87"/>
  <c r="A119" i="87"/>
  <c r="K119" i="87"/>
  <c r="J119" i="87"/>
  <c r="I119" i="87"/>
  <c r="H119" i="87"/>
  <c r="G119" i="87"/>
  <c r="F119" i="87"/>
  <c r="E119" i="87"/>
  <c r="D119" i="87"/>
  <c r="C119" i="87"/>
  <c r="B119" i="87"/>
  <c r="A118" i="87"/>
  <c r="K118" i="87"/>
  <c r="J118" i="87"/>
  <c r="I118" i="87"/>
  <c r="H118" i="87"/>
  <c r="G118" i="87"/>
  <c r="F118" i="87"/>
  <c r="E118" i="87"/>
  <c r="D118" i="87"/>
  <c r="C118" i="87"/>
  <c r="B118" i="87"/>
  <c r="A117" i="87"/>
  <c r="K117" i="87"/>
  <c r="J117" i="87"/>
  <c r="I117" i="87"/>
  <c r="H117" i="87"/>
  <c r="G117" i="87"/>
  <c r="F117" i="87"/>
  <c r="E117" i="87"/>
  <c r="D117" i="87"/>
  <c r="C117" i="87"/>
  <c r="B117" i="87"/>
  <c r="A116" i="87"/>
  <c r="K116" i="87"/>
  <c r="J116" i="87"/>
  <c r="I116" i="87"/>
  <c r="H116" i="87"/>
  <c r="G116" i="87"/>
  <c r="F116" i="87"/>
  <c r="E116" i="87"/>
  <c r="D116" i="87"/>
  <c r="C116" i="87"/>
  <c r="B116" i="87"/>
  <c r="A115" i="87"/>
  <c r="K115" i="87"/>
  <c r="J115" i="87"/>
  <c r="I115" i="87"/>
  <c r="H115" i="87"/>
  <c r="G115" i="87"/>
  <c r="F115" i="87"/>
  <c r="E115" i="87"/>
  <c r="D115" i="87"/>
  <c r="C115" i="87"/>
  <c r="B115" i="87"/>
  <c r="A114" i="87"/>
  <c r="K114" i="87"/>
  <c r="J114" i="87"/>
  <c r="I114" i="87"/>
  <c r="H114" i="87"/>
  <c r="G114" i="87"/>
  <c r="F114" i="87"/>
  <c r="E114" i="87"/>
  <c r="D114" i="87"/>
  <c r="C114" i="87"/>
  <c r="B114" i="87"/>
  <c r="A113" i="87"/>
  <c r="K113" i="87"/>
  <c r="J113" i="87"/>
  <c r="I113" i="87"/>
  <c r="H113" i="87"/>
  <c r="G113" i="87"/>
  <c r="F113" i="87"/>
  <c r="E113" i="87"/>
  <c r="D113" i="87"/>
  <c r="C113" i="87"/>
  <c r="B113" i="87"/>
  <c r="A112" i="87"/>
  <c r="K112" i="87"/>
  <c r="J112" i="87"/>
  <c r="I112" i="87"/>
  <c r="H112" i="87"/>
  <c r="G112" i="87"/>
  <c r="F112" i="87"/>
  <c r="E112" i="87"/>
  <c r="D112" i="87"/>
  <c r="C112" i="87"/>
  <c r="B112" i="87"/>
  <c r="A111" i="87"/>
  <c r="K111" i="87"/>
  <c r="J111" i="87"/>
  <c r="I111" i="87"/>
  <c r="H111" i="87"/>
  <c r="G111" i="87"/>
  <c r="F111" i="87"/>
  <c r="E111" i="87"/>
  <c r="D111" i="87"/>
  <c r="C111" i="87"/>
  <c r="B111" i="87"/>
  <c r="A110" i="87"/>
  <c r="K110" i="87"/>
  <c r="J110" i="87"/>
  <c r="I110" i="87"/>
  <c r="H110" i="87"/>
  <c r="G110" i="87"/>
  <c r="F110" i="87"/>
  <c r="E110" i="87"/>
  <c r="D110" i="87"/>
  <c r="C110" i="87"/>
  <c r="B110" i="87"/>
  <c r="A109" i="87"/>
  <c r="K109" i="87"/>
  <c r="J109" i="87"/>
  <c r="I109" i="87"/>
  <c r="H109" i="87"/>
  <c r="G109" i="87"/>
  <c r="F109" i="87"/>
  <c r="E109" i="87"/>
  <c r="D109" i="87"/>
  <c r="C109" i="87"/>
  <c r="B109" i="87"/>
  <c r="A108" i="87"/>
  <c r="K108" i="87"/>
  <c r="J108" i="87"/>
  <c r="I108" i="87"/>
  <c r="H108" i="87"/>
  <c r="G108" i="87"/>
  <c r="F108" i="87"/>
  <c r="E108" i="87"/>
  <c r="D108" i="87"/>
  <c r="C108" i="87"/>
  <c r="B108" i="87"/>
  <c r="A107" i="87"/>
  <c r="K107" i="87"/>
  <c r="J107" i="87"/>
  <c r="I107" i="87"/>
  <c r="H107" i="87"/>
  <c r="G107" i="87"/>
  <c r="F107" i="87"/>
  <c r="E107" i="87"/>
  <c r="D107" i="87"/>
  <c r="C107" i="87"/>
  <c r="B107" i="87"/>
  <c r="A106" i="87"/>
  <c r="K106" i="87"/>
  <c r="J106" i="87"/>
  <c r="I106" i="87"/>
  <c r="H106" i="87"/>
  <c r="G106" i="87"/>
  <c r="F106" i="87"/>
  <c r="E106" i="87"/>
  <c r="D106" i="87"/>
  <c r="C106" i="87"/>
  <c r="B106" i="87"/>
  <c r="A105" i="87"/>
  <c r="K105" i="87"/>
  <c r="J105" i="87"/>
  <c r="I105" i="87"/>
  <c r="H105" i="87"/>
  <c r="G105" i="87"/>
  <c r="F105" i="87"/>
  <c r="E105" i="87"/>
  <c r="D105" i="87"/>
  <c r="C105" i="87"/>
  <c r="B105" i="87"/>
  <c r="A104" i="87"/>
  <c r="K104" i="87"/>
  <c r="J104" i="87"/>
  <c r="I104" i="87"/>
  <c r="H104" i="87"/>
  <c r="G104" i="87"/>
  <c r="F104" i="87"/>
  <c r="E104" i="87"/>
  <c r="D104" i="87"/>
  <c r="C104" i="87"/>
  <c r="B104" i="87"/>
  <c r="A103" i="87"/>
  <c r="K103" i="87"/>
  <c r="J103" i="87"/>
  <c r="I103" i="87"/>
  <c r="H103" i="87"/>
  <c r="G103" i="87"/>
  <c r="F103" i="87"/>
  <c r="E103" i="87"/>
  <c r="D103" i="87"/>
  <c r="C103" i="87"/>
  <c r="B103" i="87"/>
  <c r="A102" i="87"/>
  <c r="K102" i="87"/>
  <c r="J102" i="87"/>
  <c r="I102" i="87"/>
  <c r="H102" i="87"/>
  <c r="G102" i="87"/>
  <c r="F102" i="87"/>
  <c r="E102" i="87"/>
  <c r="D102" i="87"/>
  <c r="C102" i="87"/>
  <c r="B102" i="87"/>
  <c r="A101" i="87"/>
  <c r="K101" i="87"/>
  <c r="J101" i="87"/>
  <c r="I101" i="87"/>
  <c r="H101" i="87"/>
  <c r="G101" i="87"/>
  <c r="F101" i="87"/>
  <c r="E101" i="87"/>
  <c r="D101" i="87"/>
  <c r="C101" i="87"/>
  <c r="B101" i="87"/>
  <c r="A100" i="87"/>
  <c r="K100" i="87"/>
  <c r="J100" i="87"/>
  <c r="I100" i="87"/>
  <c r="H100" i="87"/>
  <c r="G100" i="87"/>
  <c r="F100" i="87"/>
  <c r="E100" i="87"/>
  <c r="D100" i="87"/>
  <c r="C100" i="87"/>
  <c r="B100" i="87"/>
  <c r="A99" i="87"/>
  <c r="K99" i="87"/>
  <c r="J99" i="87"/>
  <c r="I99" i="87"/>
  <c r="H99" i="87"/>
  <c r="G99" i="87"/>
  <c r="F99" i="87"/>
  <c r="E99" i="87"/>
  <c r="D99" i="87"/>
  <c r="C99" i="87"/>
  <c r="B99" i="87"/>
  <c r="A98" i="87"/>
  <c r="K98" i="87"/>
  <c r="J98" i="87"/>
  <c r="I98" i="87"/>
  <c r="H98" i="87"/>
  <c r="G98" i="87"/>
  <c r="F98" i="87"/>
  <c r="E98" i="87"/>
  <c r="D98" i="87"/>
  <c r="C98" i="87"/>
  <c r="B98" i="87"/>
  <c r="A97" i="87"/>
  <c r="K97" i="87"/>
  <c r="J97" i="87"/>
  <c r="I97" i="87"/>
  <c r="H97" i="87"/>
  <c r="G97" i="87"/>
  <c r="F97" i="87"/>
  <c r="E97" i="87"/>
  <c r="D97" i="87"/>
  <c r="C97" i="87"/>
  <c r="B97" i="87"/>
  <c r="A96" i="87"/>
  <c r="K96" i="87"/>
  <c r="J96" i="87"/>
  <c r="I96" i="87"/>
  <c r="H96" i="87"/>
  <c r="G96" i="87"/>
  <c r="F96" i="87"/>
  <c r="E96" i="87"/>
  <c r="D96" i="87"/>
  <c r="C96" i="87"/>
  <c r="B96" i="87"/>
  <c r="A95" i="87"/>
  <c r="K95" i="87"/>
  <c r="J95" i="87"/>
  <c r="I95" i="87"/>
  <c r="H95" i="87"/>
  <c r="G95" i="87"/>
  <c r="F95" i="87"/>
  <c r="E95" i="87"/>
  <c r="D95" i="87"/>
  <c r="C95" i="87"/>
  <c r="B95" i="87"/>
  <c r="A94" i="87"/>
  <c r="K94" i="87"/>
  <c r="J94" i="87"/>
  <c r="I94" i="87"/>
  <c r="H94" i="87"/>
  <c r="G94" i="87"/>
  <c r="F94" i="87"/>
  <c r="E94" i="87"/>
  <c r="D94" i="87"/>
  <c r="C94" i="87"/>
  <c r="B94" i="87"/>
  <c r="A93" i="87"/>
  <c r="K93" i="87"/>
  <c r="J93" i="87"/>
  <c r="I93" i="87"/>
  <c r="H93" i="87"/>
  <c r="G93" i="87"/>
  <c r="F93" i="87"/>
  <c r="E93" i="87"/>
  <c r="D93" i="87"/>
  <c r="C93" i="87"/>
  <c r="B93" i="87"/>
  <c r="A92" i="87"/>
  <c r="K92" i="87"/>
  <c r="J92" i="87"/>
  <c r="I92" i="87"/>
  <c r="H92" i="87"/>
  <c r="G92" i="87"/>
  <c r="F92" i="87"/>
  <c r="E92" i="87"/>
  <c r="D92" i="87"/>
  <c r="C92" i="87"/>
  <c r="B92" i="87"/>
  <c r="A91" i="87"/>
  <c r="K91" i="87"/>
  <c r="J91" i="87"/>
  <c r="I91" i="87"/>
  <c r="H91" i="87"/>
  <c r="G91" i="87"/>
  <c r="F91" i="87"/>
  <c r="E91" i="87"/>
  <c r="D91" i="87"/>
  <c r="C91" i="87"/>
  <c r="B91" i="87"/>
  <c r="A90" i="87"/>
  <c r="K90" i="87"/>
  <c r="J90" i="87"/>
  <c r="I90" i="87"/>
  <c r="H90" i="87"/>
  <c r="G90" i="87"/>
  <c r="F90" i="87"/>
  <c r="E90" i="87"/>
  <c r="D90" i="87"/>
  <c r="C90" i="87"/>
  <c r="B90" i="87"/>
  <c r="A89" i="87"/>
  <c r="K89" i="87"/>
  <c r="J89" i="87"/>
  <c r="I89" i="87"/>
  <c r="H89" i="87"/>
  <c r="G89" i="87"/>
  <c r="F89" i="87"/>
  <c r="E89" i="87"/>
  <c r="D89" i="87"/>
  <c r="C89" i="87"/>
  <c r="B89" i="87"/>
  <c r="A88" i="87"/>
  <c r="K88" i="87"/>
  <c r="J88" i="87"/>
  <c r="I88" i="87"/>
  <c r="H88" i="87"/>
  <c r="G88" i="87"/>
  <c r="F88" i="87"/>
  <c r="E88" i="87"/>
  <c r="D88" i="87"/>
  <c r="C88" i="87"/>
  <c r="B88" i="87"/>
  <c r="A87" i="87"/>
  <c r="K87" i="87"/>
  <c r="J87" i="87"/>
  <c r="I87" i="87"/>
  <c r="H87" i="87"/>
  <c r="G87" i="87"/>
  <c r="F87" i="87"/>
  <c r="E87" i="87"/>
  <c r="D87" i="87"/>
  <c r="C87" i="87"/>
  <c r="B87" i="87"/>
  <c r="A86" i="87"/>
  <c r="K86" i="87"/>
  <c r="J86" i="87"/>
  <c r="I86" i="87"/>
  <c r="H86" i="87"/>
  <c r="G86" i="87"/>
  <c r="F86" i="87"/>
  <c r="E86" i="87"/>
  <c r="D86" i="87"/>
  <c r="C86" i="87"/>
  <c r="B86" i="87"/>
  <c r="A85" i="87"/>
  <c r="K85" i="87"/>
  <c r="J85" i="87"/>
  <c r="I85" i="87"/>
  <c r="H85" i="87"/>
  <c r="G85" i="87"/>
  <c r="F85" i="87"/>
  <c r="E85" i="87"/>
  <c r="D85" i="87"/>
  <c r="C85" i="87"/>
  <c r="B85" i="87"/>
  <c r="A84" i="87"/>
  <c r="K84" i="87"/>
  <c r="J84" i="87"/>
  <c r="I84" i="87"/>
  <c r="H84" i="87"/>
  <c r="G84" i="87"/>
  <c r="F84" i="87"/>
  <c r="E84" i="87"/>
  <c r="D84" i="87"/>
  <c r="C84" i="87"/>
  <c r="B84" i="87"/>
  <c r="A83" i="87"/>
  <c r="K83" i="87"/>
  <c r="J83" i="87"/>
  <c r="I83" i="87"/>
  <c r="H83" i="87"/>
  <c r="G83" i="87"/>
  <c r="F83" i="87"/>
  <c r="E83" i="87"/>
  <c r="D83" i="87"/>
  <c r="C83" i="87"/>
  <c r="B83" i="87"/>
  <c r="A82" i="87"/>
  <c r="K82" i="87"/>
  <c r="J82" i="87"/>
  <c r="I82" i="87"/>
  <c r="H82" i="87"/>
  <c r="G82" i="87"/>
  <c r="F82" i="87"/>
  <c r="E82" i="87"/>
  <c r="D82" i="87"/>
  <c r="C82" i="87"/>
  <c r="B82" i="87"/>
  <c r="A81" i="87"/>
  <c r="K81" i="87"/>
  <c r="J81" i="87"/>
  <c r="I81" i="87"/>
  <c r="H81" i="87"/>
  <c r="G81" i="87"/>
  <c r="F81" i="87"/>
  <c r="E81" i="87"/>
  <c r="D81" i="87"/>
  <c r="C81" i="87"/>
  <c r="B81" i="87"/>
  <c r="A80" i="87"/>
  <c r="K80" i="87"/>
  <c r="J80" i="87"/>
  <c r="I80" i="87"/>
  <c r="H80" i="87"/>
  <c r="G80" i="87"/>
  <c r="F80" i="87"/>
  <c r="E80" i="87"/>
  <c r="D80" i="87"/>
  <c r="C80" i="87"/>
  <c r="B80" i="87"/>
  <c r="A79" i="87"/>
  <c r="K79" i="87"/>
  <c r="J79" i="87"/>
  <c r="I79" i="87"/>
  <c r="H79" i="87"/>
  <c r="G79" i="87"/>
  <c r="F79" i="87"/>
  <c r="E79" i="87"/>
  <c r="D79" i="87"/>
  <c r="C79" i="87"/>
  <c r="B79" i="87"/>
  <c r="A78" i="87"/>
  <c r="K78" i="87"/>
  <c r="J78" i="87"/>
  <c r="I78" i="87"/>
  <c r="H78" i="87"/>
  <c r="G78" i="87"/>
  <c r="F78" i="87"/>
  <c r="E78" i="87"/>
  <c r="D78" i="87"/>
  <c r="C78" i="87"/>
  <c r="B78" i="87"/>
  <c r="A77" i="87"/>
  <c r="K77" i="87"/>
  <c r="J77" i="87"/>
  <c r="I77" i="87"/>
  <c r="H77" i="87"/>
  <c r="G77" i="87"/>
  <c r="F77" i="87"/>
  <c r="E77" i="87"/>
  <c r="D77" i="87"/>
  <c r="C77" i="87"/>
  <c r="B77" i="87"/>
  <c r="A76" i="87"/>
  <c r="K76" i="87"/>
  <c r="J76" i="87"/>
  <c r="I76" i="87"/>
  <c r="H76" i="87"/>
  <c r="G76" i="87"/>
  <c r="F76" i="87"/>
  <c r="E76" i="87"/>
  <c r="D76" i="87"/>
  <c r="C76" i="87"/>
  <c r="B76" i="87"/>
  <c r="A75" i="87"/>
  <c r="K75" i="87"/>
  <c r="J75" i="87"/>
  <c r="I75" i="87"/>
  <c r="H75" i="87"/>
  <c r="G75" i="87"/>
  <c r="F75" i="87"/>
  <c r="E75" i="87"/>
  <c r="D75" i="87"/>
  <c r="C75" i="87"/>
  <c r="B75" i="87"/>
  <c r="A74" i="87"/>
  <c r="K74" i="87"/>
  <c r="J74" i="87"/>
  <c r="I74" i="87"/>
  <c r="H74" i="87"/>
  <c r="G74" i="87"/>
  <c r="F74" i="87"/>
  <c r="E74" i="87"/>
  <c r="D74" i="87"/>
  <c r="C74" i="87"/>
  <c r="B74" i="87"/>
  <c r="A73" i="87"/>
  <c r="K73" i="87"/>
  <c r="J73" i="87"/>
  <c r="I73" i="87"/>
  <c r="H73" i="87"/>
  <c r="G73" i="87"/>
  <c r="F73" i="87"/>
  <c r="E73" i="87"/>
  <c r="D73" i="87"/>
  <c r="C73" i="87"/>
  <c r="B73" i="87"/>
  <c r="A72" i="87"/>
  <c r="K72" i="87"/>
  <c r="J72" i="87"/>
  <c r="I72" i="87"/>
  <c r="H72" i="87"/>
  <c r="G72" i="87"/>
  <c r="F72" i="87"/>
  <c r="E72" i="87"/>
  <c r="D72" i="87"/>
  <c r="C72" i="87"/>
  <c r="B72" i="87"/>
  <c r="A71" i="87"/>
  <c r="K71" i="87"/>
  <c r="J71" i="87"/>
  <c r="I71" i="87"/>
  <c r="H71" i="87"/>
  <c r="G71" i="87"/>
  <c r="F71" i="87"/>
  <c r="E71" i="87"/>
  <c r="D71" i="87"/>
  <c r="C71" i="87"/>
  <c r="B71" i="87"/>
  <c r="A70" i="87"/>
  <c r="K70" i="87"/>
  <c r="J70" i="87"/>
  <c r="I70" i="87"/>
  <c r="H70" i="87"/>
  <c r="G70" i="87"/>
  <c r="F70" i="87"/>
  <c r="E70" i="87"/>
  <c r="D70" i="87"/>
  <c r="C70" i="87"/>
  <c r="B70" i="87"/>
  <c r="A69" i="87"/>
  <c r="K69" i="87"/>
  <c r="J69" i="87"/>
  <c r="I69" i="87"/>
  <c r="H69" i="87"/>
  <c r="G69" i="87"/>
  <c r="F69" i="87"/>
  <c r="E69" i="87"/>
  <c r="D69" i="87"/>
  <c r="C69" i="87"/>
  <c r="B69" i="87"/>
  <c r="A68" i="87"/>
  <c r="K68" i="87"/>
  <c r="J68" i="87"/>
  <c r="I68" i="87"/>
  <c r="H68" i="87"/>
  <c r="G68" i="87"/>
  <c r="F68" i="87"/>
  <c r="E68" i="87"/>
  <c r="D68" i="87"/>
  <c r="C68" i="87"/>
  <c r="B68" i="87"/>
  <c r="A67" i="87"/>
  <c r="K67" i="87"/>
  <c r="J67" i="87"/>
  <c r="I67" i="87"/>
  <c r="H67" i="87"/>
  <c r="G67" i="87"/>
  <c r="F67" i="87"/>
  <c r="E67" i="87"/>
  <c r="D67" i="87"/>
  <c r="C67" i="87"/>
  <c r="B67" i="87"/>
  <c r="A66" i="87"/>
  <c r="K66" i="87"/>
  <c r="J66" i="87"/>
  <c r="I66" i="87"/>
  <c r="H66" i="87"/>
  <c r="G66" i="87"/>
  <c r="F66" i="87"/>
  <c r="E66" i="87"/>
  <c r="D66" i="87"/>
  <c r="C66" i="87"/>
  <c r="B66" i="87"/>
  <c r="A65" i="87"/>
  <c r="K65" i="87"/>
  <c r="J65" i="87"/>
  <c r="I65" i="87"/>
  <c r="H65" i="87"/>
  <c r="G65" i="87"/>
  <c r="F65" i="87"/>
  <c r="E65" i="87"/>
  <c r="D65" i="87"/>
  <c r="C65" i="87"/>
  <c r="B65" i="87"/>
  <c r="A64" i="87"/>
  <c r="K64" i="87"/>
  <c r="J64" i="87"/>
  <c r="I64" i="87"/>
  <c r="H64" i="87"/>
  <c r="G64" i="87"/>
  <c r="F64" i="87"/>
  <c r="E64" i="87"/>
  <c r="D64" i="87"/>
  <c r="C64" i="87"/>
  <c r="B64" i="87"/>
  <c r="A63" i="87"/>
  <c r="K63" i="87"/>
  <c r="J63" i="87"/>
  <c r="I63" i="87"/>
  <c r="H63" i="87"/>
  <c r="G63" i="87"/>
  <c r="F63" i="87"/>
  <c r="E63" i="87"/>
  <c r="D63" i="87"/>
  <c r="C63" i="87"/>
  <c r="B63" i="87"/>
  <c r="A62" i="87"/>
  <c r="K62" i="87"/>
  <c r="J62" i="87"/>
  <c r="I62" i="87"/>
  <c r="H62" i="87"/>
  <c r="G62" i="87"/>
  <c r="F62" i="87"/>
  <c r="E62" i="87"/>
  <c r="D62" i="87"/>
  <c r="C62" i="87"/>
  <c r="B62" i="87"/>
  <c r="A61" i="87"/>
  <c r="K61" i="87"/>
  <c r="J61" i="87"/>
  <c r="I61" i="87"/>
  <c r="H61" i="87"/>
  <c r="G61" i="87"/>
  <c r="F61" i="87"/>
  <c r="E61" i="87"/>
  <c r="D61" i="87"/>
  <c r="C61" i="87"/>
  <c r="B61" i="87"/>
  <c r="A60" i="87"/>
  <c r="K60" i="87"/>
  <c r="J60" i="87"/>
  <c r="I60" i="87"/>
  <c r="H60" i="87"/>
  <c r="G60" i="87"/>
  <c r="F60" i="87"/>
  <c r="E60" i="87"/>
  <c r="D60" i="87"/>
  <c r="C60" i="87"/>
  <c r="B60" i="87"/>
  <c r="A59" i="87"/>
  <c r="K59" i="87"/>
  <c r="J59" i="87"/>
  <c r="I59" i="87"/>
  <c r="H59" i="87"/>
  <c r="G59" i="87"/>
  <c r="F59" i="87"/>
  <c r="E59" i="87"/>
  <c r="D59" i="87"/>
  <c r="C59" i="87"/>
  <c r="B59" i="87"/>
  <c r="A58" i="87"/>
  <c r="K58" i="87"/>
  <c r="J58" i="87"/>
  <c r="I58" i="87"/>
  <c r="H58" i="87"/>
  <c r="G58" i="87"/>
  <c r="F58" i="87"/>
  <c r="E58" i="87"/>
  <c r="D58" i="87"/>
  <c r="C58" i="87"/>
  <c r="B58" i="87"/>
  <c r="A57" i="87"/>
  <c r="K57" i="87"/>
  <c r="J57" i="87"/>
  <c r="I57" i="87"/>
  <c r="H57" i="87"/>
  <c r="G57" i="87"/>
  <c r="F57" i="87"/>
  <c r="E57" i="87"/>
  <c r="D57" i="87"/>
  <c r="C57" i="87"/>
  <c r="B57" i="87"/>
  <c r="A56" i="87"/>
  <c r="K56" i="87"/>
  <c r="J56" i="87"/>
  <c r="I56" i="87"/>
  <c r="H56" i="87"/>
  <c r="G56" i="87"/>
  <c r="F56" i="87"/>
  <c r="E56" i="87"/>
  <c r="D56" i="87"/>
  <c r="C56" i="87"/>
  <c r="B56" i="87"/>
  <c r="A55" i="87"/>
  <c r="K55" i="87"/>
  <c r="J55" i="87"/>
  <c r="I55" i="87"/>
  <c r="H55" i="87"/>
  <c r="G55" i="87"/>
  <c r="F55" i="87"/>
  <c r="E55" i="87"/>
  <c r="D55" i="87"/>
  <c r="C55" i="87"/>
  <c r="B55" i="87"/>
  <c r="A54" i="87"/>
  <c r="K54" i="87"/>
  <c r="J54" i="87"/>
  <c r="I54" i="87"/>
  <c r="H54" i="87"/>
  <c r="G54" i="87"/>
  <c r="F54" i="87"/>
  <c r="E54" i="87"/>
  <c r="D54" i="87"/>
  <c r="C54" i="87"/>
  <c r="B54" i="87"/>
  <c r="A53" i="87"/>
  <c r="K53" i="87"/>
  <c r="J53" i="87"/>
  <c r="I53" i="87"/>
  <c r="H53" i="87"/>
  <c r="G53" i="87"/>
  <c r="F53" i="87"/>
  <c r="E53" i="87"/>
  <c r="D53" i="87"/>
  <c r="C53" i="87"/>
  <c r="B53" i="87"/>
  <c r="A52" i="87"/>
  <c r="K52" i="87"/>
  <c r="J52" i="87"/>
  <c r="I52" i="87"/>
  <c r="H52" i="87"/>
  <c r="G52" i="87"/>
  <c r="F52" i="87"/>
  <c r="E52" i="87"/>
  <c r="D52" i="87"/>
  <c r="C52" i="87"/>
  <c r="B52" i="87"/>
  <c r="A51" i="87"/>
  <c r="K51" i="87"/>
  <c r="J51" i="87"/>
  <c r="I51" i="87"/>
  <c r="H51" i="87"/>
  <c r="G51" i="87"/>
  <c r="F51" i="87"/>
  <c r="E51" i="87"/>
  <c r="D51" i="87"/>
  <c r="C51" i="87"/>
  <c r="B51" i="87"/>
  <c r="A50" i="87"/>
  <c r="K50" i="87"/>
  <c r="J50" i="87"/>
  <c r="I50" i="87"/>
  <c r="H50" i="87"/>
  <c r="G50" i="87"/>
  <c r="F50" i="87"/>
  <c r="E50" i="87"/>
  <c r="D50" i="87"/>
  <c r="C50" i="87"/>
  <c r="B50" i="87"/>
  <c r="A49" i="87"/>
  <c r="K49" i="87"/>
  <c r="J49" i="87"/>
  <c r="I49" i="87"/>
  <c r="H49" i="87"/>
  <c r="G49" i="87"/>
  <c r="F49" i="87"/>
  <c r="E49" i="87"/>
  <c r="D49" i="87"/>
  <c r="C49" i="87"/>
  <c r="B49" i="87"/>
  <c r="A48" i="87"/>
  <c r="K48" i="87"/>
  <c r="J48" i="87"/>
  <c r="I48" i="87"/>
  <c r="H48" i="87"/>
  <c r="G48" i="87"/>
  <c r="F48" i="87"/>
  <c r="E48" i="87"/>
  <c r="D48" i="87"/>
  <c r="C48" i="87"/>
  <c r="B48" i="87"/>
  <c r="A47" i="87"/>
  <c r="K47" i="87"/>
  <c r="J47" i="87"/>
  <c r="I47" i="87"/>
  <c r="H47" i="87"/>
  <c r="G47" i="87"/>
  <c r="F47" i="87"/>
  <c r="E47" i="87"/>
  <c r="D47" i="87"/>
  <c r="C47" i="87"/>
  <c r="B47" i="87"/>
  <c r="A46" i="87"/>
  <c r="K46" i="87"/>
  <c r="J46" i="87"/>
  <c r="I46" i="87"/>
  <c r="H46" i="87"/>
  <c r="G46" i="87"/>
  <c r="F46" i="87"/>
  <c r="E46" i="87"/>
  <c r="D46" i="87"/>
  <c r="C46" i="87"/>
  <c r="B46" i="87"/>
  <c r="A45" i="87"/>
  <c r="K45" i="87"/>
  <c r="J45" i="87"/>
  <c r="I45" i="87"/>
  <c r="H45" i="87"/>
  <c r="G45" i="87"/>
  <c r="F45" i="87"/>
  <c r="E45" i="87"/>
  <c r="D45" i="87"/>
  <c r="C45" i="87"/>
  <c r="B45" i="87"/>
  <c r="A44" i="87"/>
  <c r="K44" i="87"/>
  <c r="J44" i="87"/>
  <c r="I44" i="87"/>
  <c r="H44" i="87"/>
  <c r="G44" i="87"/>
  <c r="F44" i="87"/>
  <c r="E44" i="87"/>
  <c r="D44" i="87"/>
  <c r="C44" i="87"/>
  <c r="B44" i="87"/>
  <c r="A43" i="87"/>
  <c r="K43" i="87"/>
  <c r="J43" i="87"/>
  <c r="I43" i="87"/>
  <c r="H43" i="87"/>
  <c r="G43" i="87"/>
  <c r="F43" i="87"/>
  <c r="E43" i="87"/>
  <c r="D43" i="87"/>
  <c r="C43" i="87"/>
  <c r="B43" i="87"/>
  <c r="A42" i="87"/>
  <c r="K42" i="87"/>
  <c r="J42" i="87"/>
  <c r="I42" i="87"/>
  <c r="H42" i="87"/>
  <c r="G42" i="87"/>
  <c r="F42" i="87"/>
  <c r="E42" i="87"/>
  <c r="D42" i="87"/>
  <c r="C42" i="87"/>
  <c r="B42" i="87"/>
  <c r="A41" i="87"/>
  <c r="K41" i="87"/>
  <c r="J41" i="87"/>
  <c r="I41" i="87"/>
  <c r="H41" i="87"/>
  <c r="G41" i="87"/>
  <c r="F41" i="87"/>
  <c r="E41" i="87"/>
  <c r="D41" i="87"/>
  <c r="C41" i="87"/>
  <c r="B41" i="87"/>
  <c r="A40" i="87"/>
  <c r="K40" i="87"/>
  <c r="J40" i="87"/>
  <c r="I40" i="87"/>
  <c r="H40" i="87"/>
  <c r="G40" i="87"/>
  <c r="F40" i="87"/>
  <c r="E40" i="87"/>
  <c r="D40" i="87"/>
  <c r="C40" i="87"/>
  <c r="B40" i="87"/>
  <c r="A39" i="87"/>
  <c r="K39" i="87"/>
  <c r="J39" i="87"/>
  <c r="I39" i="87"/>
  <c r="H39" i="87"/>
  <c r="G39" i="87"/>
  <c r="F39" i="87"/>
  <c r="E39" i="87"/>
  <c r="D39" i="87"/>
  <c r="C39" i="87"/>
  <c r="B39" i="87"/>
  <c r="A38" i="87"/>
  <c r="K38" i="87"/>
  <c r="J38" i="87"/>
  <c r="I38" i="87"/>
  <c r="H38" i="87"/>
  <c r="G38" i="87"/>
  <c r="F38" i="87"/>
  <c r="E38" i="87"/>
  <c r="D38" i="87"/>
  <c r="C38" i="87"/>
  <c r="B38" i="87"/>
  <c r="A37" i="87"/>
  <c r="K37" i="87"/>
  <c r="J37" i="87"/>
  <c r="I37" i="87"/>
  <c r="H37" i="87"/>
  <c r="G37" i="87"/>
  <c r="F37" i="87"/>
  <c r="E37" i="87"/>
  <c r="D37" i="87"/>
  <c r="C37" i="87"/>
  <c r="B37" i="87"/>
  <c r="A36" i="87"/>
  <c r="K36" i="87"/>
  <c r="J36" i="87"/>
  <c r="I36" i="87"/>
  <c r="H36" i="87"/>
  <c r="G36" i="87"/>
  <c r="F36" i="87"/>
  <c r="E36" i="87"/>
  <c r="D36" i="87"/>
  <c r="C36" i="87"/>
  <c r="B36" i="87"/>
  <c r="A35" i="87"/>
  <c r="K35" i="87"/>
  <c r="J35" i="87"/>
  <c r="I35" i="87"/>
  <c r="H35" i="87"/>
  <c r="G35" i="87"/>
  <c r="F35" i="87"/>
  <c r="E35" i="87"/>
  <c r="D35" i="87"/>
  <c r="C35" i="87"/>
  <c r="B35" i="87"/>
  <c r="A34" i="87"/>
  <c r="K34" i="87"/>
  <c r="J34" i="87"/>
  <c r="I34" i="87"/>
  <c r="H34" i="87"/>
  <c r="G34" i="87"/>
  <c r="F34" i="87"/>
  <c r="E34" i="87"/>
  <c r="D34" i="87"/>
  <c r="C34" i="87"/>
  <c r="B34" i="87"/>
  <c r="A33" i="87"/>
  <c r="K33" i="87"/>
  <c r="J33" i="87"/>
  <c r="I33" i="87"/>
  <c r="H33" i="87"/>
  <c r="G33" i="87"/>
  <c r="F33" i="87"/>
  <c r="E33" i="87"/>
  <c r="D33" i="87"/>
  <c r="C33" i="87"/>
  <c r="B33" i="87"/>
  <c r="A32" i="87"/>
  <c r="K32" i="87"/>
  <c r="J32" i="87"/>
  <c r="I32" i="87"/>
  <c r="H32" i="87"/>
  <c r="G32" i="87"/>
  <c r="F32" i="87"/>
  <c r="E32" i="87"/>
  <c r="D32" i="87"/>
  <c r="C32" i="87"/>
  <c r="B32" i="87"/>
  <c r="A31" i="87"/>
  <c r="K31" i="87"/>
  <c r="J31" i="87"/>
  <c r="I31" i="87"/>
  <c r="H31" i="87"/>
  <c r="G31" i="87"/>
  <c r="F31" i="87"/>
  <c r="E31" i="87"/>
  <c r="D31" i="87"/>
  <c r="C31" i="87"/>
  <c r="B31" i="87"/>
  <c r="A30" i="87"/>
  <c r="K30" i="87"/>
  <c r="J30" i="87"/>
  <c r="I30" i="87"/>
  <c r="H30" i="87"/>
  <c r="G30" i="87"/>
  <c r="F30" i="87"/>
  <c r="E30" i="87"/>
  <c r="D30" i="87"/>
  <c r="C30" i="87"/>
  <c r="B30" i="87"/>
  <c r="A29" i="87"/>
  <c r="K29" i="87"/>
  <c r="J29" i="87"/>
  <c r="I29" i="87"/>
  <c r="H29" i="87"/>
  <c r="G29" i="87"/>
  <c r="F29" i="87"/>
  <c r="E29" i="87"/>
  <c r="D29" i="87"/>
  <c r="C29" i="87"/>
  <c r="B29" i="87"/>
  <c r="A28" i="87"/>
  <c r="K28" i="87"/>
  <c r="J28" i="87"/>
  <c r="I28" i="87"/>
  <c r="H28" i="87"/>
  <c r="G28" i="87"/>
  <c r="F28" i="87"/>
  <c r="E28" i="87"/>
  <c r="D28" i="87"/>
  <c r="C28" i="87"/>
  <c r="B28" i="87"/>
  <c r="A27" i="87"/>
  <c r="K27" i="87"/>
  <c r="J27" i="87"/>
  <c r="I27" i="87"/>
  <c r="H27" i="87"/>
  <c r="G27" i="87"/>
  <c r="F27" i="87"/>
  <c r="E27" i="87"/>
  <c r="D27" i="87"/>
  <c r="C27" i="87"/>
  <c r="B27" i="87"/>
  <c r="A26" i="87"/>
  <c r="K26" i="87"/>
  <c r="J26" i="87"/>
  <c r="I26" i="87"/>
  <c r="H26" i="87"/>
  <c r="G26" i="87"/>
  <c r="F26" i="87"/>
  <c r="E26" i="87"/>
  <c r="D26" i="87"/>
  <c r="C26" i="87"/>
  <c r="B26" i="87"/>
  <c r="A25" i="87"/>
  <c r="K25" i="87"/>
  <c r="J25" i="87"/>
  <c r="I25" i="87"/>
  <c r="H25" i="87"/>
  <c r="G25" i="87"/>
  <c r="F25" i="87"/>
  <c r="E25" i="87"/>
  <c r="D25" i="87"/>
  <c r="C25" i="87"/>
  <c r="B25" i="87"/>
  <c r="A24" i="87"/>
  <c r="K24" i="87"/>
  <c r="J24" i="87"/>
  <c r="I24" i="87"/>
  <c r="H24" i="87"/>
  <c r="G24" i="87"/>
  <c r="F24" i="87"/>
  <c r="E24" i="87"/>
  <c r="D24" i="87"/>
  <c r="C24" i="87"/>
  <c r="B24" i="87"/>
  <c r="A23" i="87"/>
  <c r="K23" i="87"/>
  <c r="J23" i="87"/>
  <c r="I23" i="87"/>
  <c r="H23" i="87"/>
  <c r="G23" i="87"/>
  <c r="F23" i="87"/>
  <c r="E23" i="87"/>
  <c r="D23" i="87"/>
  <c r="C23" i="87"/>
  <c r="B23" i="87"/>
  <c r="A22" i="87"/>
  <c r="K22" i="87"/>
  <c r="J22" i="87"/>
  <c r="I22" i="87"/>
  <c r="H22" i="87"/>
  <c r="G22" i="87"/>
  <c r="F22" i="87"/>
  <c r="E22" i="87"/>
  <c r="D22" i="87"/>
  <c r="C22" i="87"/>
  <c r="B22" i="87"/>
  <c r="A21" i="87"/>
  <c r="K21" i="87"/>
  <c r="J21" i="87"/>
  <c r="I21" i="87"/>
  <c r="H21" i="87"/>
  <c r="G21" i="87"/>
  <c r="F21" i="87"/>
  <c r="E21" i="87"/>
  <c r="D21" i="87"/>
  <c r="C21" i="87"/>
  <c r="B21" i="87"/>
  <c r="A20" i="87"/>
  <c r="K20" i="87"/>
  <c r="J20" i="87"/>
  <c r="I20" i="87"/>
  <c r="H20" i="87"/>
  <c r="G20" i="87"/>
  <c r="F20" i="87"/>
  <c r="E20" i="87"/>
  <c r="D20" i="87"/>
  <c r="C20" i="87"/>
  <c r="B20" i="87"/>
  <c r="A19" i="87"/>
  <c r="K19" i="87"/>
  <c r="J19" i="87"/>
  <c r="I19" i="87"/>
  <c r="H19" i="87"/>
  <c r="G19" i="87"/>
  <c r="F19" i="87"/>
  <c r="E19" i="87"/>
  <c r="D19" i="87"/>
  <c r="C19" i="87"/>
  <c r="B19" i="87"/>
  <c r="A18" i="87"/>
  <c r="K18" i="87"/>
  <c r="J18" i="87"/>
  <c r="I18" i="87"/>
  <c r="H18" i="87"/>
  <c r="G18" i="87"/>
  <c r="F18" i="87"/>
  <c r="E18" i="87"/>
  <c r="D18" i="87"/>
  <c r="C18" i="87"/>
  <c r="B18" i="87"/>
  <c r="A17" i="87"/>
  <c r="K17" i="87"/>
  <c r="J17" i="87"/>
  <c r="I17" i="87"/>
  <c r="H17" i="87"/>
  <c r="G17" i="87"/>
  <c r="F17" i="87"/>
  <c r="E17" i="87"/>
  <c r="D17" i="87"/>
  <c r="C17" i="87"/>
  <c r="B17" i="87"/>
  <c r="A16" i="87"/>
  <c r="K16" i="87"/>
  <c r="J16" i="87"/>
  <c r="I16" i="87"/>
  <c r="H16" i="87"/>
  <c r="G16" i="87"/>
  <c r="F16" i="87"/>
  <c r="E16" i="87"/>
  <c r="D16" i="87"/>
  <c r="C16" i="87"/>
  <c r="B16" i="87"/>
  <c r="A15" i="87"/>
  <c r="K15" i="87"/>
  <c r="J15" i="87"/>
  <c r="I15" i="87"/>
  <c r="H15" i="87"/>
  <c r="G15" i="87"/>
  <c r="F15" i="87"/>
  <c r="E15" i="87"/>
  <c r="D15" i="87"/>
  <c r="C15" i="87"/>
  <c r="B15" i="87"/>
  <c r="A14" i="87"/>
  <c r="K14" i="87"/>
  <c r="J14" i="87"/>
  <c r="I14" i="87"/>
  <c r="H14" i="87"/>
  <c r="G14" i="87"/>
  <c r="F14" i="87"/>
  <c r="E14" i="87"/>
  <c r="D14" i="87"/>
  <c r="C14" i="87"/>
  <c r="B14" i="87"/>
  <c r="A13" i="87"/>
  <c r="K13" i="87"/>
  <c r="J13" i="87"/>
  <c r="I13" i="87"/>
  <c r="H13" i="87"/>
  <c r="G13" i="87"/>
  <c r="F13" i="87"/>
  <c r="E13" i="87"/>
  <c r="D13" i="87"/>
  <c r="C13" i="87"/>
  <c r="B13" i="87"/>
  <c r="A12" i="87"/>
  <c r="K12" i="87"/>
  <c r="J12" i="87"/>
  <c r="I12" i="87"/>
  <c r="H12" i="87"/>
  <c r="G12" i="87"/>
  <c r="F12" i="87"/>
  <c r="E12" i="87"/>
  <c r="D12" i="87"/>
  <c r="C12" i="87"/>
  <c r="B12" i="87"/>
  <c r="A11" i="87"/>
  <c r="K11" i="87"/>
  <c r="J11" i="87"/>
  <c r="I11" i="87"/>
  <c r="H11" i="87"/>
  <c r="G11" i="87"/>
  <c r="F11" i="87"/>
  <c r="E11" i="87"/>
  <c r="D11" i="87"/>
  <c r="C11" i="87"/>
  <c r="B11" i="87"/>
  <c r="A10" i="87"/>
  <c r="K10" i="87"/>
  <c r="J10" i="87"/>
  <c r="I10" i="87"/>
  <c r="H10" i="87"/>
  <c r="G10" i="87"/>
  <c r="F10" i="87"/>
  <c r="E10" i="87"/>
  <c r="D10" i="87"/>
  <c r="C10" i="87"/>
  <c r="B10" i="87"/>
  <c r="A9" i="87"/>
  <c r="K9" i="87"/>
  <c r="J9" i="87"/>
  <c r="I9" i="87"/>
  <c r="H9" i="87"/>
  <c r="G9" i="87"/>
  <c r="F9" i="87"/>
  <c r="E9" i="87"/>
  <c r="D9" i="87"/>
  <c r="C9" i="87"/>
  <c r="B9" i="87"/>
  <c r="A8" i="87"/>
  <c r="K8" i="87"/>
  <c r="J8" i="87"/>
  <c r="I8" i="87"/>
  <c r="H8" i="87"/>
  <c r="G8" i="87"/>
  <c r="F8" i="87"/>
  <c r="E8" i="87"/>
  <c r="D8" i="87"/>
  <c r="C8" i="87"/>
  <c r="B8" i="87"/>
  <c r="A7" i="87"/>
  <c r="K7" i="87"/>
  <c r="J7" i="87"/>
  <c r="I7" i="87"/>
  <c r="H7" i="87"/>
  <c r="G7" i="87"/>
  <c r="F7" i="87"/>
  <c r="E7" i="87"/>
  <c r="D7" i="87"/>
  <c r="C7" i="87"/>
  <c r="B7" i="87"/>
  <c r="A6" i="87"/>
  <c r="K6" i="87"/>
  <c r="J6" i="87"/>
  <c r="I6" i="87"/>
  <c r="H6" i="87"/>
  <c r="G6" i="87"/>
  <c r="F6" i="87"/>
  <c r="E6" i="87"/>
  <c r="D6" i="87"/>
  <c r="C6" i="87"/>
  <c r="B6" i="87"/>
  <c r="A5" i="87"/>
  <c r="K5" i="87"/>
  <c r="J5" i="87"/>
  <c r="I5" i="87"/>
  <c r="H5" i="87"/>
  <c r="G5" i="87"/>
  <c r="F5" i="87"/>
  <c r="E5" i="87"/>
  <c r="D5" i="87"/>
  <c r="C5" i="87"/>
  <c r="B5" i="87"/>
  <c r="A4" i="87"/>
  <c r="K4" i="87"/>
  <c r="J4" i="87"/>
  <c r="I4" i="87"/>
  <c r="H4" i="87"/>
  <c r="G4" i="87"/>
  <c r="F4" i="87"/>
  <c r="E4" i="87"/>
  <c r="D4" i="87"/>
  <c r="C4" i="87"/>
  <c r="B4" i="87"/>
  <c r="A3" i="87"/>
  <c r="K3" i="87"/>
  <c r="J3" i="87"/>
  <c r="I3" i="87"/>
  <c r="H3" i="87"/>
  <c r="G3" i="87"/>
  <c r="F3" i="87"/>
  <c r="E3" i="87"/>
  <c r="D3" i="87"/>
  <c r="C3" i="87"/>
  <c r="B3" i="87"/>
  <c r="M255" i="82"/>
  <c r="L255" i="82"/>
  <c r="K255" i="82"/>
  <c r="H255" i="82"/>
  <c r="A255" i="82"/>
  <c r="M254" i="82"/>
  <c r="L254" i="82"/>
  <c r="K254" i="82"/>
  <c r="H254" i="82"/>
  <c r="A254" i="82"/>
  <c r="M253" i="82"/>
  <c r="L253" i="82"/>
  <c r="K253" i="82"/>
  <c r="H253" i="82"/>
  <c r="A253" i="82"/>
  <c r="M252" i="82"/>
  <c r="L252" i="82"/>
  <c r="K252" i="82"/>
  <c r="H252" i="82"/>
  <c r="A252" i="82"/>
  <c r="M251" i="82"/>
  <c r="L251" i="82"/>
  <c r="K251" i="82"/>
  <c r="H251" i="82"/>
  <c r="A251" i="82"/>
  <c r="M250" i="82"/>
  <c r="L250" i="82"/>
  <c r="K250" i="82"/>
  <c r="H250" i="82"/>
  <c r="A250" i="82"/>
  <c r="M249" i="82"/>
  <c r="L249" i="82"/>
  <c r="K249" i="82"/>
  <c r="H249" i="82"/>
  <c r="A249" i="82"/>
  <c r="M248" i="82"/>
  <c r="L248" i="82"/>
  <c r="K248" i="82"/>
  <c r="H248" i="82"/>
  <c r="A248" i="82"/>
  <c r="M247" i="82"/>
  <c r="L247" i="82"/>
  <c r="K247" i="82"/>
  <c r="H247" i="82"/>
  <c r="A247" i="82"/>
  <c r="M246" i="82"/>
  <c r="L246" i="82"/>
  <c r="K246" i="82"/>
  <c r="H246" i="82"/>
  <c r="A246" i="82"/>
  <c r="M100" i="82"/>
  <c r="L100" i="82"/>
  <c r="K100" i="82"/>
  <c r="H100" i="82"/>
  <c r="A100" i="82"/>
  <c r="M101" i="82"/>
  <c r="L101" i="82"/>
  <c r="K101" i="82"/>
  <c r="H101" i="82"/>
  <c r="A101" i="82"/>
  <c r="M99" i="82"/>
  <c r="L99" i="82"/>
  <c r="K99" i="82"/>
  <c r="H99" i="82"/>
  <c r="A99" i="82"/>
  <c r="M98" i="82"/>
  <c r="L98" i="82"/>
  <c r="K98" i="82"/>
  <c r="H98" i="82"/>
  <c r="A98" i="82"/>
  <c r="M97" i="82"/>
  <c r="L97" i="82"/>
  <c r="K97" i="82"/>
  <c r="H97" i="82"/>
  <c r="A97" i="82"/>
  <c r="M96" i="82"/>
  <c r="L96" i="82"/>
  <c r="K96" i="82"/>
  <c r="H96" i="82"/>
  <c r="A96" i="82"/>
  <c r="M95" i="82"/>
  <c r="L95" i="82"/>
  <c r="K95" i="82"/>
  <c r="H95" i="82"/>
  <c r="A95" i="82"/>
  <c r="M94" i="82"/>
  <c r="L94" i="82"/>
  <c r="K94" i="82"/>
  <c r="H94" i="82"/>
  <c r="A94" i="82"/>
  <c r="M245" i="82"/>
  <c r="L245" i="82"/>
  <c r="K245" i="82"/>
  <c r="H245" i="82"/>
  <c r="A245" i="82"/>
  <c r="M244" i="82"/>
  <c r="L244" i="82"/>
  <c r="K244" i="82"/>
  <c r="H244" i="82"/>
  <c r="A244" i="82"/>
  <c r="M243" i="82"/>
  <c r="L243" i="82"/>
  <c r="K243" i="82"/>
  <c r="H243" i="82"/>
  <c r="A243" i="82"/>
  <c r="M242" i="82"/>
  <c r="L242" i="82"/>
  <c r="K242" i="82"/>
  <c r="H242" i="82"/>
  <c r="A242" i="82"/>
  <c r="M241" i="82"/>
  <c r="L241" i="82"/>
  <c r="K241" i="82"/>
  <c r="H241" i="82"/>
  <c r="A241" i="82"/>
  <c r="M240" i="82"/>
  <c r="L240" i="82"/>
  <c r="K240" i="82"/>
  <c r="H240" i="82"/>
  <c r="A240" i="82"/>
  <c r="M239" i="82"/>
  <c r="L239" i="82"/>
  <c r="K239" i="82"/>
  <c r="H239" i="82"/>
  <c r="A239" i="82"/>
  <c r="M238" i="82"/>
  <c r="L238" i="82"/>
  <c r="K238" i="82"/>
  <c r="H238" i="82"/>
  <c r="A238" i="82"/>
  <c r="M237" i="82"/>
  <c r="L237" i="82"/>
  <c r="K237" i="82"/>
  <c r="H237" i="82"/>
  <c r="A237" i="82"/>
  <c r="M236" i="82"/>
  <c r="L236" i="82"/>
  <c r="K236" i="82"/>
  <c r="H236" i="82"/>
  <c r="A236" i="82"/>
  <c r="M235" i="82"/>
  <c r="L235" i="82"/>
  <c r="K235" i="82"/>
  <c r="H235" i="82"/>
  <c r="A235" i="82"/>
  <c r="M234" i="82"/>
  <c r="L234" i="82"/>
  <c r="K234" i="82"/>
  <c r="H234" i="82"/>
  <c r="A234" i="82"/>
  <c r="M233" i="82"/>
  <c r="L233" i="82"/>
  <c r="K233" i="82"/>
  <c r="H233" i="82"/>
  <c r="A233" i="82"/>
  <c r="M232" i="82"/>
  <c r="L232" i="82"/>
  <c r="K232" i="82"/>
  <c r="H232" i="82"/>
  <c r="A232" i="82"/>
  <c r="M231" i="82"/>
  <c r="L231" i="82"/>
  <c r="K231" i="82"/>
  <c r="H231" i="82"/>
  <c r="A231" i="82"/>
  <c r="M230" i="82"/>
  <c r="L230" i="82"/>
  <c r="K230" i="82"/>
  <c r="H230" i="82"/>
  <c r="A230" i="82"/>
  <c r="M229" i="82"/>
  <c r="L229" i="82"/>
  <c r="K229" i="82"/>
  <c r="H229" i="82"/>
  <c r="A229" i="82"/>
  <c r="M228" i="82"/>
  <c r="L228" i="82"/>
  <c r="K228" i="82"/>
  <c r="H228" i="82"/>
  <c r="A228" i="82"/>
  <c r="M227" i="82"/>
  <c r="L227" i="82"/>
  <c r="K227" i="82"/>
  <c r="H227" i="82"/>
  <c r="A227" i="82"/>
  <c r="M226" i="82"/>
  <c r="L226" i="82"/>
  <c r="K226" i="82"/>
  <c r="H226" i="82"/>
  <c r="A226" i="82"/>
  <c r="M225" i="82"/>
  <c r="L225" i="82"/>
  <c r="K225" i="82"/>
  <c r="H225" i="82"/>
  <c r="A225" i="82"/>
  <c r="M224" i="82"/>
  <c r="L224" i="82"/>
  <c r="K224" i="82"/>
  <c r="H224" i="82"/>
  <c r="A224" i="82"/>
  <c r="M223" i="82"/>
  <c r="L223" i="82"/>
  <c r="K223" i="82"/>
  <c r="H223" i="82"/>
  <c r="A223" i="82"/>
  <c r="M222" i="82"/>
  <c r="L222" i="82"/>
  <c r="K222" i="82"/>
  <c r="H222" i="82"/>
  <c r="A222" i="82"/>
  <c r="M221" i="82"/>
  <c r="L221" i="82"/>
  <c r="K221" i="82"/>
  <c r="H221" i="82"/>
  <c r="A221" i="82"/>
  <c r="M220" i="82"/>
  <c r="L220" i="82"/>
  <c r="K220" i="82"/>
  <c r="H220" i="82"/>
  <c r="A220" i="82"/>
  <c r="M219" i="82"/>
  <c r="L219" i="82"/>
  <c r="K219" i="82"/>
  <c r="H219" i="82"/>
  <c r="A219" i="82"/>
  <c r="M218" i="82"/>
  <c r="L218" i="82"/>
  <c r="K218" i="82"/>
  <c r="H218" i="82"/>
  <c r="A218" i="82"/>
  <c r="M217" i="82"/>
  <c r="L217" i="82"/>
  <c r="K217" i="82"/>
  <c r="H217" i="82"/>
  <c r="A217" i="82"/>
  <c r="M216" i="82"/>
  <c r="L216" i="82"/>
  <c r="K216" i="82"/>
  <c r="H216" i="82"/>
  <c r="A216" i="82"/>
  <c r="M215" i="82"/>
  <c r="L215" i="82"/>
  <c r="K215" i="82"/>
  <c r="H215" i="82"/>
  <c r="A215" i="82"/>
  <c r="M214" i="82"/>
  <c r="L214" i="82"/>
  <c r="K214" i="82"/>
  <c r="H214" i="82"/>
  <c r="A214" i="82"/>
  <c r="M213" i="82"/>
  <c r="L213" i="82"/>
  <c r="K213" i="82"/>
  <c r="H213" i="82"/>
  <c r="A213" i="82"/>
  <c r="M212" i="82"/>
  <c r="L212" i="82"/>
  <c r="K212" i="82"/>
  <c r="H212" i="82"/>
  <c r="A212" i="82"/>
  <c r="M211" i="82"/>
  <c r="L211" i="82"/>
  <c r="K211" i="82"/>
  <c r="H211" i="82"/>
  <c r="A211" i="82"/>
  <c r="M210" i="82"/>
  <c r="L210" i="82"/>
  <c r="K210" i="82"/>
  <c r="H210" i="82"/>
  <c r="A210" i="82"/>
  <c r="M209" i="82"/>
  <c r="L209" i="82"/>
  <c r="K209" i="82"/>
  <c r="H209" i="82"/>
  <c r="A209" i="82"/>
  <c r="M208" i="82"/>
  <c r="L208" i="82"/>
  <c r="K208" i="82"/>
  <c r="H208" i="82"/>
  <c r="A208" i="82"/>
  <c r="M207" i="82"/>
  <c r="L207" i="82"/>
  <c r="K207" i="82"/>
  <c r="H207" i="82"/>
  <c r="A207" i="82"/>
  <c r="M206" i="82"/>
  <c r="L206" i="82"/>
  <c r="K206" i="82"/>
  <c r="H206" i="82"/>
  <c r="A206" i="82"/>
  <c r="M205" i="82"/>
  <c r="L205" i="82"/>
  <c r="K205" i="82"/>
  <c r="H205" i="82"/>
  <c r="A205" i="82"/>
  <c r="M204" i="82"/>
  <c r="L204" i="82"/>
  <c r="K204" i="82"/>
  <c r="H204" i="82"/>
  <c r="A204" i="82"/>
  <c r="M203" i="82"/>
  <c r="L203" i="82"/>
  <c r="K203" i="82"/>
  <c r="H203" i="82"/>
  <c r="A203" i="82"/>
  <c r="M202" i="82"/>
  <c r="L202" i="82"/>
  <c r="K202" i="82"/>
  <c r="H202" i="82"/>
  <c r="A202" i="82"/>
  <c r="M201" i="82"/>
  <c r="L201" i="82"/>
  <c r="K201" i="82"/>
  <c r="H201" i="82"/>
  <c r="A201" i="82"/>
  <c r="M200" i="82"/>
  <c r="L200" i="82"/>
  <c r="K200" i="82"/>
  <c r="H200" i="82"/>
  <c r="A200" i="82"/>
  <c r="M199" i="82"/>
  <c r="L199" i="82"/>
  <c r="K199" i="82"/>
  <c r="H199" i="82"/>
  <c r="A199" i="82"/>
  <c r="M198" i="82"/>
  <c r="L198" i="82"/>
  <c r="K198" i="82"/>
  <c r="H198" i="82"/>
  <c r="A198" i="82"/>
  <c r="M197" i="82"/>
  <c r="L197" i="82"/>
  <c r="K197" i="82"/>
  <c r="H197" i="82"/>
  <c r="A197" i="82"/>
  <c r="M196" i="82"/>
  <c r="L196" i="82"/>
  <c r="K196" i="82"/>
  <c r="H196" i="82"/>
  <c r="A196" i="82"/>
  <c r="M195" i="82"/>
  <c r="L195" i="82"/>
  <c r="K195" i="82"/>
  <c r="H195" i="82"/>
  <c r="A195" i="82"/>
  <c r="M194" i="82"/>
  <c r="L194" i="82"/>
  <c r="K194" i="82"/>
  <c r="H194" i="82"/>
  <c r="A194" i="82"/>
  <c r="M193" i="82"/>
  <c r="L193" i="82"/>
  <c r="K193" i="82"/>
  <c r="H193" i="82"/>
  <c r="A193" i="82"/>
  <c r="M192" i="82"/>
  <c r="L192" i="82"/>
  <c r="K192" i="82"/>
  <c r="H192" i="82"/>
  <c r="A192" i="82"/>
  <c r="M191" i="82"/>
  <c r="L191" i="82"/>
  <c r="K191" i="82"/>
  <c r="H191" i="82"/>
  <c r="A191" i="82"/>
  <c r="M190" i="82"/>
  <c r="L190" i="82"/>
  <c r="K190" i="82"/>
  <c r="H190" i="82"/>
  <c r="A190" i="82"/>
  <c r="M189" i="82"/>
  <c r="L189" i="82"/>
  <c r="K189" i="82"/>
  <c r="H189" i="82"/>
  <c r="A189" i="82"/>
  <c r="M188" i="82"/>
  <c r="L188" i="82"/>
  <c r="K188" i="82"/>
  <c r="H188" i="82"/>
  <c r="A188" i="82"/>
  <c r="M187" i="82"/>
  <c r="L187" i="82"/>
  <c r="K187" i="82"/>
  <c r="H187" i="82"/>
  <c r="A187" i="82"/>
  <c r="M186" i="82"/>
  <c r="L186" i="82"/>
  <c r="K186" i="82"/>
  <c r="H186" i="82"/>
  <c r="A186" i="82"/>
  <c r="M185" i="82"/>
  <c r="L185" i="82"/>
  <c r="K185" i="82"/>
  <c r="H185" i="82"/>
  <c r="A185" i="82"/>
  <c r="M184" i="82"/>
  <c r="L184" i="82"/>
  <c r="K184" i="82"/>
  <c r="H184" i="82"/>
  <c r="A184" i="82"/>
  <c r="M183" i="82"/>
  <c r="L183" i="82"/>
  <c r="K183" i="82"/>
  <c r="H183" i="82"/>
  <c r="A183" i="82"/>
  <c r="M182" i="82"/>
  <c r="L182" i="82"/>
  <c r="K182" i="82"/>
  <c r="H182" i="82"/>
  <c r="A182" i="82"/>
  <c r="M181" i="82"/>
  <c r="L181" i="82"/>
  <c r="K181" i="82"/>
  <c r="H181" i="82"/>
  <c r="A181" i="82"/>
  <c r="M180" i="82"/>
  <c r="L180" i="82"/>
  <c r="K180" i="82"/>
  <c r="H180" i="82"/>
  <c r="A180" i="82"/>
  <c r="M179" i="82"/>
  <c r="L179" i="82"/>
  <c r="K179" i="82"/>
  <c r="H179" i="82"/>
  <c r="A179" i="82"/>
  <c r="M178" i="82"/>
  <c r="L178" i="82"/>
  <c r="K178" i="82"/>
  <c r="H178" i="82"/>
  <c r="A178" i="82"/>
  <c r="M177" i="82"/>
  <c r="L177" i="82"/>
  <c r="K177" i="82"/>
  <c r="H177" i="82"/>
  <c r="A177" i="82"/>
  <c r="M176" i="82"/>
  <c r="L176" i="82"/>
  <c r="K176" i="82"/>
  <c r="H176" i="82"/>
  <c r="A176" i="82"/>
  <c r="M175" i="82"/>
  <c r="L175" i="82"/>
  <c r="K175" i="82"/>
  <c r="H175" i="82"/>
  <c r="A175" i="82"/>
  <c r="M174" i="82"/>
  <c r="L174" i="82"/>
  <c r="K174" i="82"/>
  <c r="H174" i="82"/>
  <c r="A174" i="82"/>
  <c r="M173" i="82"/>
  <c r="L173" i="82"/>
  <c r="K173" i="82"/>
  <c r="H173" i="82"/>
  <c r="A173" i="82"/>
  <c r="M172" i="82"/>
  <c r="L172" i="82"/>
  <c r="K172" i="82"/>
  <c r="H172" i="82"/>
  <c r="A172" i="82"/>
  <c r="M171" i="82"/>
  <c r="L171" i="82"/>
  <c r="K171" i="82"/>
  <c r="H171" i="82"/>
  <c r="A171" i="82"/>
  <c r="M170" i="82"/>
  <c r="L170" i="82"/>
  <c r="K170" i="82"/>
  <c r="H170" i="82"/>
  <c r="A170" i="82"/>
  <c r="M169" i="82"/>
  <c r="L169" i="82"/>
  <c r="K169" i="82"/>
  <c r="H169" i="82"/>
  <c r="A169" i="82"/>
  <c r="M168" i="82"/>
  <c r="L168" i="82"/>
  <c r="K168" i="82"/>
  <c r="H168" i="82"/>
  <c r="A168" i="82"/>
  <c r="M167" i="82"/>
  <c r="L167" i="82"/>
  <c r="K167" i="82"/>
  <c r="H167" i="82"/>
  <c r="A167" i="82"/>
  <c r="M166" i="82"/>
  <c r="L166" i="82"/>
  <c r="K166" i="82"/>
  <c r="H166" i="82"/>
  <c r="A166" i="82"/>
  <c r="M165" i="82"/>
  <c r="L165" i="82"/>
  <c r="K165" i="82"/>
  <c r="H165" i="82"/>
  <c r="A165" i="82"/>
  <c r="M164" i="82"/>
  <c r="L164" i="82"/>
  <c r="K164" i="82"/>
  <c r="H164" i="82"/>
  <c r="A164" i="82"/>
  <c r="M163" i="82"/>
  <c r="L163" i="82"/>
  <c r="K163" i="82"/>
  <c r="H163" i="82"/>
  <c r="A163" i="82"/>
  <c r="M162" i="82"/>
  <c r="L162" i="82"/>
  <c r="K162" i="82"/>
  <c r="H162" i="82"/>
  <c r="A162" i="82"/>
  <c r="M161" i="82"/>
  <c r="L161" i="82"/>
  <c r="K161" i="82"/>
  <c r="H161" i="82"/>
  <c r="A161" i="82"/>
  <c r="M160" i="82"/>
  <c r="L160" i="82"/>
  <c r="K160" i="82"/>
  <c r="H160" i="82"/>
  <c r="A160" i="82"/>
  <c r="M159" i="82"/>
  <c r="L159" i="82"/>
  <c r="K159" i="82"/>
  <c r="H159" i="82"/>
  <c r="A159" i="82"/>
  <c r="M158" i="82"/>
  <c r="L158" i="82"/>
  <c r="K158" i="82"/>
  <c r="H158" i="82"/>
  <c r="A158" i="82"/>
  <c r="M157" i="82"/>
  <c r="L157" i="82"/>
  <c r="K157" i="82"/>
  <c r="H157" i="82"/>
  <c r="A157" i="82"/>
  <c r="M156" i="82"/>
  <c r="L156" i="82"/>
  <c r="K156" i="82"/>
  <c r="H156" i="82"/>
  <c r="A156" i="82"/>
  <c r="M155" i="82"/>
  <c r="L155" i="82"/>
  <c r="K155" i="82"/>
  <c r="H155" i="82"/>
  <c r="A155" i="82"/>
  <c r="M154" i="82"/>
  <c r="L154" i="82"/>
  <c r="K154" i="82"/>
  <c r="H154" i="82"/>
  <c r="A154" i="82"/>
  <c r="M153" i="82"/>
  <c r="L153" i="82"/>
  <c r="K153" i="82"/>
  <c r="H153" i="82"/>
  <c r="A153" i="82"/>
  <c r="M152" i="82"/>
  <c r="L152" i="82"/>
  <c r="K152" i="82"/>
  <c r="H152" i="82"/>
  <c r="A152" i="82"/>
  <c r="M151" i="82"/>
  <c r="L151" i="82"/>
  <c r="K151" i="82"/>
  <c r="H151" i="82"/>
  <c r="A151" i="82"/>
  <c r="M150" i="82"/>
  <c r="L150" i="82"/>
  <c r="K150" i="82"/>
  <c r="H150" i="82"/>
  <c r="A150" i="82"/>
  <c r="M149" i="82"/>
  <c r="L149" i="82"/>
  <c r="K149" i="82"/>
  <c r="H149" i="82"/>
  <c r="A149" i="82"/>
  <c r="M148" i="82"/>
  <c r="L148" i="82"/>
  <c r="K148" i="82"/>
  <c r="H148" i="82"/>
  <c r="A148" i="82"/>
  <c r="M147" i="82"/>
  <c r="L147" i="82"/>
  <c r="K147" i="82"/>
  <c r="H147" i="82"/>
  <c r="A147" i="82"/>
  <c r="M146" i="82"/>
  <c r="L146" i="82"/>
  <c r="K146" i="82"/>
  <c r="H146" i="82"/>
  <c r="A146" i="82"/>
  <c r="M145" i="82"/>
  <c r="L145" i="82"/>
  <c r="K145" i="82"/>
  <c r="H145" i="82"/>
  <c r="A145" i="82"/>
  <c r="M144" i="82"/>
  <c r="L144" i="82"/>
  <c r="K144" i="82"/>
  <c r="H144" i="82"/>
  <c r="A144" i="82"/>
  <c r="M143" i="82"/>
  <c r="L143" i="82"/>
  <c r="K143" i="82"/>
  <c r="H143" i="82"/>
  <c r="A143" i="82"/>
  <c r="M142" i="82"/>
  <c r="L142" i="82"/>
  <c r="K142" i="82"/>
  <c r="H142" i="82"/>
  <c r="A142" i="82"/>
  <c r="M141" i="82"/>
  <c r="L141" i="82"/>
  <c r="K141" i="82"/>
  <c r="H141" i="82"/>
  <c r="A141" i="82"/>
  <c r="M140" i="82"/>
  <c r="L140" i="82"/>
  <c r="K140" i="82"/>
  <c r="H140" i="82"/>
  <c r="A140" i="82"/>
  <c r="M139" i="82"/>
  <c r="L139" i="82"/>
  <c r="K139" i="82"/>
  <c r="H139" i="82"/>
  <c r="A139" i="82"/>
  <c r="M138" i="82"/>
  <c r="L138" i="82"/>
  <c r="K138" i="82"/>
  <c r="H138" i="82"/>
  <c r="A138" i="82"/>
  <c r="M137" i="82"/>
  <c r="L137" i="82"/>
  <c r="K137" i="82"/>
  <c r="H137" i="82"/>
  <c r="A137" i="82"/>
  <c r="M136" i="82"/>
  <c r="L136" i="82"/>
  <c r="K136" i="82"/>
  <c r="H136" i="82"/>
  <c r="A136" i="82"/>
  <c r="M135" i="82"/>
  <c r="L135" i="82"/>
  <c r="K135" i="82"/>
  <c r="H135" i="82"/>
  <c r="A135" i="82"/>
  <c r="M134" i="82"/>
  <c r="L134" i="82"/>
  <c r="K134" i="82"/>
  <c r="H134" i="82"/>
  <c r="A134" i="82"/>
  <c r="M133" i="82"/>
  <c r="L133" i="82"/>
  <c r="K133" i="82"/>
  <c r="H133" i="82"/>
  <c r="A133" i="82"/>
  <c r="M132" i="82"/>
  <c r="L132" i="82"/>
  <c r="K132" i="82"/>
  <c r="H132" i="82"/>
  <c r="A132" i="82"/>
  <c r="M131" i="82"/>
  <c r="L131" i="82"/>
  <c r="K131" i="82"/>
  <c r="H131" i="82"/>
  <c r="A131" i="82"/>
  <c r="M130" i="82"/>
  <c r="L130" i="82"/>
  <c r="K130" i="82"/>
  <c r="H130" i="82"/>
  <c r="A130" i="82"/>
  <c r="M129" i="82"/>
  <c r="L129" i="82"/>
  <c r="K129" i="82"/>
  <c r="H129" i="82"/>
  <c r="A129" i="82"/>
  <c r="M128" i="82"/>
  <c r="L128" i="82"/>
  <c r="K128" i="82"/>
  <c r="H128" i="82"/>
  <c r="A128" i="82"/>
  <c r="M127" i="82"/>
  <c r="L127" i="82"/>
  <c r="K127" i="82"/>
  <c r="H127" i="82"/>
  <c r="A127" i="82"/>
  <c r="M126" i="82"/>
  <c r="L126" i="82"/>
  <c r="K126" i="82"/>
  <c r="H126" i="82"/>
  <c r="A126" i="82"/>
  <c r="M125" i="82"/>
  <c r="L125" i="82"/>
  <c r="K125" i="82"/>
  <c r="H125" i="82"/>
  <c r="A125" i="82"/>
  <c r="M124" i="82"/>
  <c r="L124" i="82"/>
  <c r="K124" i="82"/>
  <c r="H124" i="82"/>
  <c r="A124" i="82"/>
  <c r="M123" i="82"/>
  <c r="L123" i="82"/>
  <c r="K123" i="82"/>
  <c r="H123" i="82"/>
  <c r="A123" i="82"/>
  <c r="M122" i="82"/>
  <c r="L122" i="82"/>
  <c r="K122" i="82"/>
  <c r="H122" i="82"/>
  <c r="A122" i="82"/>
  <c r="M121" i="82"/>
  <c r="L121" i="82"/>
  <c r="K121" i="82"/>
  <c r="H121" i="82"/>
  <c r="A121" i="82"/>
  <c r="M120" i="82"/>
  <c r="L120" i="82"/>
  <c r="K120" i="82"/>
  <c r="H120" i="82"/>
  <c r="A120" i="82"/>
  <c r="M119" i="82"/>
  <c r="L119" i="82"/>
  <c r="K119" i="82"/>
  <c r="H119" i="82"/>
  <c r="A119" i="82"/>
  <c r="M118" i="82"/>
  <c r="L118" i="82"/>
  <c r="K118" i="82"/>
  <c r="H118" i="82"/>
  <c r="A118" i="82"/>
  <c r="M117" i="82"/>
  <c r="L117" i="82"/>
  <c r="K117" i="82"/>
  <c r="H117" i="82"/>
  <c r="A117" i="82"/>
  <c r="M116" i="82"/>
  <c r="L116" i="82"/>
  <c r="K116" i="82"/>
  <c r="H116" i="82"/>
  <c r="A116" i="82"/>
  <c r="M115" i="82"/>
  <c r="L115" i="82"/>
  <c r="K115" i="82"/>
  <c r="H115" i="82"/>
  <c r="A115" i="82"/>
  <c r="M114" i="82"/>
  <c r="L114" i="82"/>
  <c r="K114" i="82"/>
  <c r="H114" i="82"/>
  <c r="A114" i="82"/>
  <c r="M113" i="82"/>
  <c r="L113" i="82"/>
  <c r="K113" i="82"/>
  <c r="H113" i="82"/>
  <c r="A113" i="82"/>
  <c r="M112" i="82"/>
  <c r="L112" i="82"/>
  <c r="K112" i="82"/>
  <c r="H112" i="82"/>
  <c r="A112" i="82"/>
  <c r="M111" i="82"/>
  <c r="L111" i="82"/>
  <c r="K111" i="82"/>
  <c r="H111" i="82"/>
  <c r="A111" i="82"/>
  <c r="M110" i="82"/>
  <c r="L110" i="82"/>
  <c r="K110" i="82"/>
  <c r="H110" i="82"/>
  <c r="A110" i="82"/>
  <c r="M109" i="82"/>
  <c r="L109" i="82"/>
  <c r="K109" i="82"/>
  <c r="H109" i="82"/>
  <c r="A109" i="82"/>
  <c r="M108" i="82"/>
  <c r="L108" i="82"/>
  <c r="K108" i="82"/>
  <c r="H108" i="82"/>
  <c r="A108" i="82"/>
  <c r="M107" i="82"/>
  <c r="L107" i="82"/>
  <c r="K107" i="82"/>
  <c r="H107" i="82"/>
  <c r="A107" i="82"/>
  <c r="M106" i="82"/>
  <c r="L106" i="82"/>
  <c r="K106" i="82"/>
  <c r="H106" i="82"/>
  <c r="A106" i="82"/>
  <c r="M105" i="82"/>
  <c r="L105" i="82"/>
  <c r="K105" i="82"/>
  <c r="H105" i="82"/>
  <c r="A105" i="82"/>
  <c r="M104" i="82"/>
  <c r="L104" i="82"/>
  <c r="K104" i="82"/>
  <c r="H104" i="82"/>
  <c r="A104" i="82"/>
  <c r="M103" i="82"/>
  <c r="L103" i="82"/>
  <c r="K103" i="82"/>
  <c r="H103" i="82"/>
  <c r="A103" i="82"/>
  <c r="M102" i="82"/>
  <c r="L102" i="82"/>
  <c r="K102" i="82"/>
  <c r="H102" i="82"/>
  <c r="A102" i="82"/>
  <c r="M93" i="82"/>
  <c r="L93" i="82"/>
  <c r="K93" i="82"/>
  <c r="H93" i="82"/>
  <c r="A93" i="82"/>
  <c r="M92" i="82"/>
  <c r="L92" i="82"/>
  <c r="K92" i="82"/>
  <c r="H92" i="82"/>
  <c r="A92" i="82"/>
  <c r="M91" i="82"/>
  <c r="L91" i="82"/>
  <c r="K91" i="82"/>
  <c r="H91" i="82"/>
  <c r="A91" i="82"/>
  <c r="M90" i="82"/>
  <c r="L90" i="82"/>
  <c r="K90" i="82"/>
  <c r="H90" i="82"/>
  <c r="A90" i="82"/>
  <c r="M89" i="82"/>
  <c r="L89" i="82"/>
  <c r="K89" i="82"/>
  <c r="H89" i="82"/>
  <c r="A89" i="82"/>
  <c r="M88" i="82"/>
  <c r="L88" i="82"/>
  <c r="K88" i="82"/>
  <c r="H88" i="82"/>
  <c r="A88" i="82"/>
  <c r="M87" i="82"/>
  <c r="L87" i="82"/>
  <c r="K87" i="82"/>
  <c r="H87" i="82"/>
  <c r="A87" i="82"/>
  <c r="M86" i="82"/>
  <c r="L86" i="82"/>
  <c r="K86" i="82"/>
  <c r="H86" i="82"/>
  <c r="A86" i="82"/>
  <c r="M85" i="82"/>
  <c r="L85" i="82"/>
  <c r="K85" i="82"/>
  <c r="H85" i="82"/>
  <c r="A85" i="82"/>
  <c r="M84" i="82"/>
  <c r="L84" i="82"/>
  <c r="K84" i="82"/>
  <c r="H84" i="82"/>
  <c r="A84" i="82"/>
  <c r="M83" i="82"/>
  <c r="L83" i="82"/>
  <c r="K83" i="82"/>
  <c r="H83" i="82"/>
  <c r="A83" i="82"/>
  <c r="M82" i="82"/>
  <c r="L82" i="82"/>
  <c r="K82" i="82"/>
  <c r="H82" i="82"/>
  <c r="A82" i="82"/>
  <c r="M81" i="82"/>
  <c r="L81" i="82"/>
  <c r="K81" i="82"/>
  <c r="H81" i="82"/>
  <c r="A81" i="82"/>
  <c r="M80" i="82"/>
  <c r="L80" i="82"/>
  <c r="K80" i="82"/>
  <c r="H80" i="82"/>
  <c r="A80" i="82"/>
  <c r="M79" i="82"/>
  <c r="L79" i="82"/>
  <c r="K79" i="82"/>
  <c r="H79" i="82"/>
  <c r="A79" i="82"/>
  <c r="M78" i="82"/>
  <c r="L78" i="82"/>
  <c r="K78" i="82"/>
  <c r="H78" i="82"/>
  <c r="A78" i="82"/>
  <c r="M77" i="82"/>
  <c r="L77" i="82"/>
  <c r="K77" i="82"/>
  <c r="H77" i="82"/>
  <c r="A77" i="82"/>
  <c r="M76" i="82"/>
  <c r="L76" i="82"/>
  <c r="K76" i="82"/>
  <c r="H76" i="82"/>
  <c r="A76" i="82"/>
  <c r="M75" i="82"/>
  <c r="L75" i="82"/>
  <c r="K75" i="82"/>
  <c r="H75" i="82"/>
  <c r="A75" i="82"/>
  <c r="M74" i="82"/>
  <c r="L74" i="82"/>
  <c r="K74" i="82"/>
  <c r="H74" i="82"/>
  <c r="A74" i="82"/>
  <c r="M73" i="82"/>
  <c r="L73" i="82"/>
  <c r="K73" i="82"/>
  <c r="H73" i="82"/>
  <c r="A73" i="82"/>
  <c r="M72" i="82"/>
  <c r="L72" i="82"/>
  <c r="K72" i="82"/>
  <c r="H72" i="82"/>
  <c r="A72" i="82"/>
  <c r="M71" i="82"/>
  <c r="L71" i="82"/>
  <c r="K71" i="82"/>
  <c r="H71" i="82"/>
  <c r="A71" i="82"/>
  <c r="M70" i="82"/>
  <c r="L70" i="82"/>
  <c r="K70" i="82"/>
  <c r="H70" i="82"/>
  <c r="A70" i="82"/>
  <c r="M69" i="82"/>
  <c r="L69" i="82"/>
  <c r="K69" i="82"/>
  <c r="H69" i="82"/>
  <c r="A69" i="82"/>
  <c r="M68" i="82"/>
  <c r="L68" i="82"/>
  <c r="K68" i="82"/>
  <c r="H68" i="82"/>
  <c r="A68" i="82"/>
  <c r="M67" i="82"/>
  <c r="L67" i="82"/>
  <c r="K67" i="82"/>
  <c r="H67" i="82"/>
  <c r="A67" i="82"/>
  <c r="M66" i="82"/>
  <c r="L66" i="82"/>
  <c r="K66" i="82"/>
  <c r="H66" i="82"/>
  <c r="A66" i="82"/>
  <c r="M65" i="82"/>
  <c r="L65" i="82"/>
  <c r="K65" i="82"/>
  <c r="H65" i="82"/>
  <c r="A65" i="82"/>
  <c r="M64" i="82"/>
  <c r="L64" i="82"/>
  <c r="K64" i="82"/>
  <c r="H64" i="82"/>
  <c r="A64" i="82"/>
  <c r="M63" i="82"/>
  <c r="L63" i="82"/>
  <c r="K63" i="82"/>
  <c r="H63" i="82"/>
  <c r="A63" i="82"/>
  <c r="M62" i="82"/>
  <c r="L62" i="82"/>
  <c r="K62" i="82"/>
  <c r="H62" i="82"/>
  <c r="A62" i="82"/>
  <c r="M61" i="82"/>
  <c r="L61" i="82"/>
  <c r="K61" i="82"/>
  <c r="H61" i="82"/>
  <c r="A61" i="82"/>
  <c r="M60" i="82"/>
  <c r="L60" i="82"/>
  <c r="K60" i="82"/>
  <c r="H60" i="82"/>
  <c r="A60" i="82"/>
  <c r="M59" i="82"/>
  <c r="L59" i="82"/>
  <c r="K59" i="82"/>
  <c r="H59" i="82"/>
  <c r="A59" i="82"/>
  <c r="M58" i="82"/>
  <c r="L58" i="82"/>
  <c r="K58" i="82"/>
  <c r="H58" i="82"/>
  <c r="A58" i="82"/>
  <c r="M57" i="82"/>
  <c r="L57" i="82"/>
  <c r="K57" i="82"/>
  <c r="H57" i="82"/>
  <c r="A57" i="82"/>
  <c r="M56" i="82"/>
  <c r="L56" i="82"/>
  <c r="K56" i="82"/>
  <c r="H56" i="82"/>
  <c r="A56" i="82"/>
  <c r="M55" i="82"/>
  <c r="L55" i="82"/>
  <c r="K55" i="82"/>
  <c r="H55" i="82"/>
  <c r="A55" i="82"/>
  <c r="M54" i="82"/>
  <c r="L54" i="82"/>
  <c r="K54" i="82"/>
  <c r="H54" i="82"/>
  <c r="A54" i="82"/>
  <c r="M53" i="82"/>
  <c r="L53" i="82"/>
  <c r="K53" i="82"/>
  <c r="H53" i="82"/>
  <c r="A53" i="82"/>
  <c r="M52" i="82"/>
  <c r="L52" i="82"/>
  <c r="K52" i="82"/>
  <c r="H52" i="82"/>
  <c r="A52" i="82"/>
  <c r="M51" i="82"/>
  <c r="L51" i="82"/>
  <c r="K51" i="82"/>
  <c r="H51" i="82"/>
  <c r="A51" i="82"/>
  <c r="M50" i="82"/>
  <c r="L50" i="82"/>
  <c r="K50" i="82"/>
  <c r="H50" i="82"/>
  <c r="A50" i="82"/>
  <c r="M49" i="82"/>
  <c r="L49" i="82"/>
  <c r="K49" i="82"/>
  <c r="H49" i="82"/>
  <c r="A49" i="82"/>
  <c r="M48" i="82"/>
  <c r="L48" i="82"/>
  <c r="K48" i="82"/>
  <c r="H48" i="82"/>
  <c r="A48" i="82"/>
  <c r="M47" i="82"/>
  <c r="L47" i="82"/>
  <c r="K47" i="82"/>
  <c r="H47" i="82"/>
  <c r="A47" i="82"/>
  <c r="M46" i="82"/>
  <c r="L46" i="82"/>
  <c r="K46" i="82"/>
  <c r="H46" i="82"/>
  <c r="A46" i="82"/>
  <c r="M45" i="82"/>
  <c r="L45" i="82"/>
  <c r="K45" i="82"/>
  <c r="H45" i="82"/>
  <c r="A45" i="82"/>
  <c r="M44" i="82"/>
  <c r="L44" i="82"/>
  <c r="K44" i="82"/>
  <c r="H44" i="82"/>
  <c r="A44" i="82"/>
  <c r="M43" i="82"/>
  <c r="L43" i="82"/>
  <c r="K43" i="82"/>
  <c r="H43" i="82"/>
  <c r="A43" i="82"/>
  <c r="M42" i="82"/>
  <c r="L42" i="82"/>
  <c r="K42" i="82"/>
  <c r="H42" i="82"/>
  <c r="A42" i="82"/>
  <c r="M41" i="82"/>
  <c r="L41" i="82"/>
  <c r="K41" i="82"/>
  <c r="H41" i="82"/>
  <c r="A41" i="82"/>
  <c r="M40" i="82"/>
  <c r="L40" i="82"/>
  <c r="K40" i="82"/>
  <c r="H40" i="82"/>
  <c r="A40" i="82"/>
  <c r="M39" i="82"/>
  <c r="L39" i="82"/>
  <c r="K39" i="82"/>
  <c r="H39" i="82"/>
  <c r="A39" i="82"/>
  <c r="M38" i="82"/>
  <c r="L38" i="82"/>
  <c r="K38" i="82"/>
  <c r="H38" i="82"/>
  <c r="A38" i="82"/>
  <c r="M37" i="82"/>
  <c r="L37" i="82"/>
  <c r="K37" i="82"/>
  <c r="H37" i="82"/>
  <c r="A37" i="82"/>
  <c r="M36" i="82"/>
  <c r="L36" i="82"/>
  <c r="K36" i="82"/>
  <c r="H36" i="82"/>
  <c r="A36" i="82"/>
  <c r="M35" i="82"/>
  <c r="L35" i="82"/>
  <c r="K35" i="82"/>
  <c r="H35" i="82"/>
  <c r="A35" i="82"/>
  <c r="M34" i="82"/>
  <c r="L34" i="82"/>
  <c r="K34" i="82"/>
  <c r="H34" i="82"/>
  <c r="A34" i="82"/>
  <c r="M33" i="82"/>
  <c r="L33" i="82"/>
  <c r="K33" i="82"/>
  <c r="H33" i="82"/>
  <c r="A33" i="82"/>
  <c r="M32" i="82"/>
  <c r="L32" i="82"/>
  <c r="K32" i="82"/>
  <c r="H32" i="82"/>
  <c r="A32" i="82"/>
  <c r="M31" i="82"/>
  <c r="L31" i="82"/>
  <c r="K31" i="82"/>
  <c r="H31" i="82"/>
  <c r="A31" i="82"/>
  <c r="M30" i="82"/>
  <c r="L30" i="82"/>
  <c r="K30" i="82"/>
  <c r="H30" i="82"/>
  <c r="A30" i="82"/>
  <c r="M29" i="82"/>
  <c r="L29" i="82"/>
  <c r="K29" i="82"/>
  <c r="H29" i="82"/>
  <c r="A29" i="82"/>
  <c r="M28" i="82"/>
  <c r="L28" i="82"/>
  <c r="K28" i="82"/>
  <c r="H28" i="82"/>
  <c r="A28" i="82"/>
  <c r="M27" i="82"/>
  <c r="L27" i="82"/>
  <c r="K27" i="82"/>
  <c r="H27" i="82"/>
  <c r="A27" i="82"/>
  <c r="M26" i="82"/>
  <c r="L26" i="82"/>
  <c r="K26" i="82"/>
  <c r="H26" i="82"/>
  <c r="A26" i="82"/>
  <c r="M25" i="82"/>
  <c r="L25" i="82"/>
  <c r="K25" i="82"/>
  <c r="H25" i="82"/>
  <c r="A25" i="82"/>
  <c r="M24" i="82"/>
  <c r="L24" i="82"/>
  <c r="K24" i="82"/>
  <c r="H24" i="82"/>
  <c r="A24" i="82"/>
  <c r="M23" i="82"/>
  <c r="L23" i="82"/>
  <c r="K23" i="82"/>
  <c r="H23" i="82"/>
  <c r="A23" i="82"/>
  <c r="M22" i="82"/>
  <c r="L22" i="82"/>
  <c r="K22" i="82"/>
  <c r="H22" i="82"/>
  <c r="A22" i="82"/>
  <c r="M21" i="82"/>
  <c r="L21" i="82"/>
  <c r="K21" i="82"/>
  <c r="H21" i="82"/>
  <c r="A21" i="82"/>
  <c r="M20" i="82"/>
  <c r="L20" i="82"/>
  <c r="K20" i="82"/>
  <c r="H20" i="82"/>
  <c r="A20" i="82"/>
  <c r="M19" i="82"/>
  <c r="L19" i="82"/>
  <c r="K19" i="82"/>
  <c r="H19" i="82"/>
  <c r="A19" i="82"/>
  <c r="M18" i="82"/>
  <c r="L18" i="82"/>
  <c r="K18" i="82"/>
  <c r="H18" i="82"/>
  <c r="A18" i="82"/>
  <c r="M17" i="82"/>
  <c r="L17" i="82"/>
  <c r="K17" i="82"/>
  <c r="H17" i="82"/>
  <c r="A17" i="82"/>
  <c r="M16" i="82"/>
  <c r="L16" i="82"/>
  <c r="K16" i="82"/>
  <c r="H16" i="82"/>
  <c r="A16" i="82"/>
  <c r="M15" i="82"/>
  <c r="L15" i="82"/>
  <c r="K15" i="82"/>
  <c r="H15" i="82"/>
  <c r="A15" i="82"/>
  <c r="M14" i="82"/>
  <c r="L14" i="82"/>
  <c r="K14" i="82"/>
  <c r="H14" i="82"/>
  <c r="A14" i="82"/>
  <c r="M13" i="82"/>
  <c r="L13" i="82"/>
  <c r="K13" i="82"/>
  <c r="H13" i="82"/>
  <c r="A13" i="82"/>
  <c r="M12" i="82"/>
  <c r="L12" i="82"/>
  <c r="K12" i="82"/>
  <c r="H12" i="82"/>
  <c r="A12" i="82"/>
  <c r="M11" i="82"/>
  <c r="L11" i="82"/>
  <c r="K11" i="82"/>
  <c r="H11" i="82"/>
  <c r="A11" i="82"/>
  <c r="M10" i="82"/>
  <c r="L10" i="82"/>
  <c r="K10" i="82"/>
  <c r="H10" i="82"/>
  <c r="A10" i="82"/>
  <c r="M9" i="82"/>
  <c r="L9" i="82"/>
  <c r="K9" i="82"/>
  <c r="H9" i="82"/>
  <c r="A9" i="82"/>
  <c r="M8" i="82"/>
  <c r="L8" i="82"/>
  <c r="K8" i="82"/>
  <c r="H8" i="82"/>
  <c r="A8" i="82"/>
  <c r="M7" i="82"/>
  <c r="L7" i="82"/>
  <c r="K7" i="82"/>
  <c r="H7" i="82"/>
  <c r="A7" i="82"/>
  <c r="M6" i="82"/>
  <c r="L6" i="82"/>
  <c r="K6" i="82"/>
  <c r="H6" i="82"/>
  <c r="A6" i="82"/>
  <c r="M5" i="82"/>
  <c r="L5" i="82"/>
  <c r="K5" i="82"/>
  <c r="H5" i="82"/>
  <c r="A5" i="82"/>
  <c r="M4" i="82"/>
  <c r="L4" i="82"/>
  <c r="K4" i="82"/>
  <c r="H4" i="82"/>
  <c r="A4" i="82"/>
  <c r="M3" i="82"/>
  <c r="L3" i="82"/>
  <c r="K3" i="82"/>
  <c r="H3" i="82"/>
  <c r="A3" i="82"/>
  <c r="M2" i="82"/>
  <c r="L2" i="82"/>
  <c r="K2" i="82"/>
  <c r="H2" i="82"/>
  <c r="A2" i="82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<sst xmlns="http://schemas.openxmlformats.org/spreadsheetml/2006/main" count="244" uniqueCount="74">
  <si>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</si>
  <si>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</si>
  <si>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</si>
  <si>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</si>
  <si>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</si>
  <si>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</si>
  <si>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</si>
  <si>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</si>
  <si>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</si>
  <si>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</si>
  <si>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</si>
  <si>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</si>
  <si>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</si>
  <si>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</si>
  <si>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</si>
  <si>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</si>
  <si>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</si>
  <si>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</si>
  <si>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</si>
  <si>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</si>
  <si>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</si>
  <si>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</si>
  <si>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</si>
  <si>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</si>
  <si>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0PremiumW3</t>
    <phoneticPr fontId="3"/>
  </si>
  <si>
    <t>0PremiumS3</t>
    <phoneticPr fontId="3"/>
  </si>
  <si>
    <t>0PremiumW4</t>
    <phoneticPr fontId="3"/>
  </si>
  <si>
    <t>0PremiumN4</t>
    <phoneticPr fontId="3"/>
  </si>
  <si>
    <t>0PremiumS4</t>
    <phoneticPr fontId="3"/>
  </si>
  <si>
    <t>0PremiumSS4</t>
    <phoneticPr fontId="3"/>
  </si>
  <si>
    <t>0PremiumN5</t>
    <phoneticPr fontId="3"/>
  </si>
  <si>
    <t>0PremiumS5</t>
    <phoneticPr fontId="3"/>
  </si>
  <si>
    <t>0PremiumSS5</t>
    <phoneticPr fontId="3"/>
  </si>
  <si>
    <t>label</t>
    <phoneticPr fontId="3"/>
  </si>
  <si>
    <t>1PremiumW4</t>
  </si>
  <si>
    <t>1PremiumN4</t>
    <phoneticPr fontId="3"/>
  </si>
  <si>
    <t>1PremiumS4</t>
    <phoneticPr fontId="3"/>
  </si>
  <si>
    <t>1PremiumSS4</t>
    <phoneticPr fontId="3"/>
  </si>
  <si>
    <t>1PremiumN5</t>
    <phoneticPr fontId="3"/>
  </si>
  <si>
    <t>1PremiumS5</t>
    <phoneticPr fontId="3"/>
  </si>
  <si>
    <t>1PremiumSS5</t>
    <phoneticPr fontId="3"/>
  </si>
  <si>
    <t>0PremiumN3</t>
    <phoneticPr fontId="3"/>
  </si>
  <si>
    <t>label</t>
    <phoneticPr fontId="3"/>
  </si>
  <si>
    <t>pickup_flg</t>
    <phoneticPr fontId="3"/>
  </si>
  <si>
    <t>レアリティ</t>
  </si>
  <si>
    <t>ラベル</t>
  </si>
  <si>
    <t>ラベル別出現率</t>
  </si>
  <si>
    <t>全体出現率</t>
  </si>
  <si>
    <t>出現確率</t>
  </si>
  <si>
    <t>出現枚数</t>
  </si>
  <si>
    <t>出現率</t>
  </si>
  <si>
    <t>全体比率</t>
  </si>
  <si>
    <t>個別比率</t>
  </si>
  <si>
    <t>一体確率</t>
  </si>
  <si>
    <t>個別比率×1000</t>
  </si>
  <si>
    <t>R3</t>
  </si>
  <si>
    <t>PremiumW</t>
  </si>
  <si>
    <t>PremiumN</t>
  </si>
  <si>
    <t>PremiumS</t>
  </si>
  <si>
    <t>R4</t>
  </si>
  <si>
    <t>PremiumSS</t>
  </si>
  <si>
    <t>R5</t>
  </si>
  <si>
    <t>合計</t>
  </si>
  <si>
    <t>PremiumWpick</t>
    <phoneticPr fontId="3"/>
  </si>
  <si>
    <t>PremiumNpick</t>
    <phoneticPr fontId="3"/>
  </si>
  <si>
    <t>PremiumSpick</t>
    <phoneticPr fontId="3"/>
  </si>
  <si>
    <t>PremiumSpick</t>
    <phoneticPr fontId="3"/>
  </si>
  <si>
    <t>PremiumSSpick</t>
    <phoneticPr fontId="3"/>
  </si>
  <si>
    <t>-</t>
    <phoneticPr fontId="3"/>
  </si>
  <si>
    <t>-</t>
    <phoneticPr fontId="3"/>
  </si>
  <si>
    <t>-</t>
    <phoneticPr fontId="3"/>
  </si>
  <si>
    <t>通常テーブル</t>
    <rPh sb="0" eb="2">
      <t>ツウジョウ</t>
    </rPh>
    <phoneticPr fontId="3"/>
  </si>
  <si>
    <t>☆４以上テーブル</t>
    <rPh sb="2" eb="4">
      <t>イジョウ</t>
    </rPh>
    <phoneticPr fontId="3"/>
  </si>
  <si>
    <t>汎用ラベル</t>
    <rPh sb="0" eb="2">
      <t>ハンヨウ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</si>
</sst>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000%"/>
  </numFmts>
  <fonts count="4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</borders>
  <cellStyleXfs count="2776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74">
    <xf numFmtId="0" fontId="0" fillId="0" borderId="0" xfId="0"/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8" fillId="0" borderId="12" xfId="2" applyFont="1" applyBorder="1" applyAlignment="1">
      <alignment vertical="center"/>
    </xf>
    <xf numFmtId="0" fontId="8" fillId="0" borderId="14" xfId="2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7" fillId="4" borderId="15" xfId="0" applyFont="1" applyFill="1" applyBorder="1" applyAlignment="1">
      <alignment horizontal="right"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8" fillId="0" borderId="16" xfId="2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0" borderId="17" xfId="2" applyFont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0" fillId="4" borderId="1" xfId="0" applyFill="1" applyBorder="1"/>
    <xf numFmtId="0" fontId="0" fillId="24" borderId="24" xfId="0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0" fontId="38" fillId="24" borderId="25" xfId="0" applyFont="1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5" xfId="0" applyFill="1" applyBorder="1" applyAlignment="1">
      <alignment vertical="center"/>
    </xf>
    <xf numFmtId="10" fontId="0" fillId="0" borderId="22" xfId="0" applyNumberFormat="1" applyBorder="1" applyAlignment="1">
      <alignment vertical="center"/>
    </xf>
    <xf numFmtId="10" fontId="39" fillId="0" borderId="22" xfId="0" applyNumberFormat="1" applyFont="1" applyBorder="1" applyAlignment="1">
      <alignment vertical="center"/>
    </xf>
    <xf numFmtId="0" fontId="0" fillId="24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10" fontId="39" fillId="0" borderId="27" xfId="0" applyNumberFormat="1" applyFont="1" applyBorder="1" applyAlignment="1">
      <alignment vertical="center"/>
    </xf>
    <xf numFmtId="0" fontId="0" fillId="23" borderId="22" xfId="0" applyFill="1" applyBorder="1" applyAlignment="1">
      <alignment vertical="center"/>
    </xf>
    <xf numFmtId="10" fontId="0" fillId="0" borderId="28" xfId="0" applyNumberFormat="1" applyBorder="1" applyAlignment="1">
      <alignment vertical="center"/>
    </xf>
    <xf numFmtId="10" fontId="39" fillId="0" borderId="28" xfId="0" applyNumberFormat="1" applyFont="1" applyBorder="1" applyAlignment="1">
      <alignment vertical="center"/>
    </xf>
    <xf numFmtId="0" fontId="0" fillId="24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10" fontId="39" fillId="0" borderId="29" xfId="0" applyNumberFormat="1" applyFont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0" fillId="25" borderId="28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10" fontId="0" fillId="0" borderId="12" xfId="0" applyNumberFormat="1" applyBorder="1" applyAlignment="1">
      <alignment vertical="center"/>
    </xf>
    <xf numFmtId="0" fontId="0" fillId="24" borderId="30" xfId="0" applyFill="1" applyBorder="1" applyAlignment="1">
      <alignment horizontal="center" vertical="center"/>
    </xf>
    <xf numFmtId="177" fontId="0" fillId="26" borderId="22" xfId="0" applyNumberFormat="1" applyFont="1" applyFill="1" applyBorder="1" applyAlignment="1">
      <alignment vertical="center"/>
    </xf>
    <xf numFmtId="0" fontId="0" fillId="26" borderId="22" xfId="0" applyFont="1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0" fillId="24" borderId="31" xfId="0" applyFill="1" applyBorder="1" applyAlignment="1">
      <alignment vertical="center"/>
    </xf>
    <xf numFmtId="0" fontId="0" fillId="24" borderId="19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38" fillId="24" borderId="30" xfId="0" applyFont="1" applyFill="1" applyBorder="1" applyAlignment="1">
      <alignment horizontal="center" vertical="center"/>
    </xf>
    <xf numFmtId="0" fontId="38" fillId="24" borderId="21" xfId="0" applyFont="1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</cellXfs>
  <cellStyles count="277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8"/>
  <sheetViews>
    <sheetView workbookViewId="0">
      <selection activeCell="D21" sqref="D21"/>
    </sheetView>
  </sheetViews>
  <sheetFormatPr baseColWidth="12" defaultRowHeight="14" x14ac:dyDescent="0"/>
  <cols>
    <col min="1" max="1" width="15.1640625" customWidth="1"/>
  </cols>
  <sheetData>
    <row r="1" spans="1:2">
      <c r="A1" t="s">
        <v>33</v>
      </c>
      <c r="B1" t="s">
        <v>18</v>
      </c>
    </row>
    <row r="2" spans="1:2">
      <c r="A2" s="42" t="s">
        <v>24</v>
      </c>
      <c r="B2">
        <v>2460</v>
      </c>
    </row>
    <row r="3" spans="1:2">
      <c r="A3" s="42" t="s">
        <v>41</v>
      </c>
      <c r="B3">
        <v>2679</v>
      </c>
    </row>
    <row r="4" spans="1:2">
      <c r="A4" s="42" t="s">
        <v>25</v>
      </c>
      <c r="B4">
        <v>469</v>
      </c>
    </row>
    <row r="5" spans="1:2">
      <c r="A5" s="42" t="s">
        <v>26</v>
      </c>
      <c r="B5">
        <v>851</v>
      </c>
    </row>
    <row r="6" spans="1:2">
      <c r="A6" s="42" t="s">
        <v>27</v>
      </c>
      <c r="B6">
        <v>824</v>
      </c>
    </row>
    <row r="7" spans="1:2">
      <c r="A7" s="42" t="s">
        <v>28</v>
      </c>
      <c r="B7">
        <v>165</v>
      </c>
    </row>
    <row r="8" spans="1:2">
      <c r="A8" s="42" t="s">
        <v>29</v>
      </c>
      <c r="B8">
        <v>449</v>
      </c>
    </row>
    <row r="9" spans="1:2">
      <c r="A9" s="42" t="s">
        <v>30</v>
      </c>
      <c r="B9">
        <v>270</v>
      </c>
    </row>
    <row r="10" spans="1:2">
      <c r="A10" s="42" t="s">
        <v>31</v>
      </c>
      <c r="B10">
        <v>26</v>
      </c>
    </row>
    <row r="11" spans="1:2">
      <c r="A11" s="42" t="s">
        <v>32</v>
      </c>
      <c r="B11">
        <v>64</v>
      </c>
    </row>
    <row r="12" spans="1:2">
      <c r="A12" s="42" t="s">
        <v>34</v>
      </c>
      <c r="B12">
        <v>2150</v>
      </c>
    </row>
    <row r="13" spans="1:2">
      <c r="A13" s="42" t="s">
        <v>35</v>
      </c>
      <c r="B13">
        <v>2266</v>
      </c>
    </row>
    <row r="14" spans="1:2">
      <c r="A14" s="42" t="s">
        <v>36</v>
      </c>
      <c r="B14">
        <v>411</v>
      </c>
    </row>
    <row r="15" spans="1:2">
      <c r="A15" s="42" t="s">
        <v>37</v>
      </c>
      <c r="B15">
        <v>320</v>
      </c>
    </row>
    <row r="16" spans="1:2">
      <c r="A16" s="42" t="s">
        <v>38</v>
      </c>
      <c r="B16">
        <v>184</v>
      </c>
    </row>
    <row r="17" spans="1:2">
      <c r="A17" s="42" t="s">
        <v>39</v>
      </c>
      <c r="B17">
        <v>17</v>
      </c>
    </row>
    <row r="18" spans="1:2">
      <c r="A18" s="42" t="s">
        <v>40</v>
      </c>
      <c r="B18">
        <v>13</v>
      </c>
    </row>
  </sheetData>
  <autoFilter ref="A1:B18"/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1"/>
  <sheetViews>
    <sheetView tabSelected="1" workbookViewId="0">
      <selection activeCell="B1" sqref="B1:K24"/>
    </sheetView>
  </sheetViews>
  <sheetFormatPr baseColWidth="12" defaultRowHeight="14" x14ac:dyDescent="0"/>
  <cols>
    <col min="1" max="1" width="15.1640625" customWidth="1"/>
  </cols>
  <sheetData>
    <row r="1" spans="1:11">
      <c r="B1" t="s">
        <v>71</v>
      </c>
    </row>
    <row r="2" spans="1:11">
      <c r="B2" s="69" t="s">
        <v>44</v>
      </c>
      <c r="C2" s="70"/>
      <c r="D2" s="71" t="s">
        <v>45</v>
      </c>
      <c r="E2" s="72"/>
      <c r="F2" s="64" t="s">
        <v>46</v>
      </c>
      <c r="G2" s="69" t="s">
        <v>47</v>
      </c>
      <c r="H2" s="73"/>
      <c r="I2" s="73"/>
      <c r="J2" s="73"/>
      <c r="K2" s="70"/>
    </row>
    <row r="3" spans="1:11">
      <c r="A3" t="s">
        <v>73</v>
      </c>
      <c r="B3" s="44" t="s">
        <v>44</v>
      </c>
      <c r="C3" s="44" t="s">
        <v>48</v>
      </c>
      <c r="D3" s="46" t="s">
        <v>45</v>
      </c>
      <c r="E3" s="45" t="s">
        <v>49</v>
      </c>
      <c r="F3" s="45" t="s">
        <v>50</v>
      </c>
      <c r="G3" s="47" t="s">
        <v>50</v>
      </c>
      <c r="H3" s="47" t="s">
        <v>53</v>
      </c>
      <c r="I3" s="47" t="s">
        <v>51</v>
      </c>
      <c r="J3" s="47" t="s">
        <v>52</v>
      </c>
      <c r="K3" s="48" t="s">
        <v>54</v>
      </c>
    </row>
    <row r="4" spans="1:11">
      <c r="A4" t="str">
        <f>"0"&amp;D4&amp;RIGHT(B4,1)</f>
        <v>0PremiumW3</v>
      </c>
      <c r="B4" s="67" t="s">
        <v>55</v>
      </c>
      <c r="C4" s="50">
        <v>0.71</v>
      </c>
      <c r="D4" s="51" t="s">
        <v>56</v>
      </c>
      <c r="E4" s="52">
        <v>20</v>
      </c>
      <c r="F4" s="53">
        <v>0.43</v>
      </c>
      <c r="G4" s="65">
        <f>C4*F4</f>
        <v>0.30529999999999996</v>
      </c>
      <c r="H4" s="65">
        <f>IFERROR(G4/E4,0)</f>
        <v>1.5264999999999997E-2</v>
      </c>
      <c r="I4" s="66">
        <f>$E$24*G4</f>
        <v>47.016199999999991</v>
      </c>
      <c r="J4" s="66">
        <f>$E$24*H4</f>
        <v>2.3508099999999996</v>
      </c>
      <c r="K4" s="54">
        <f>ROUND(J4*1000,0)</f>
        <v>2351</v>
      </c>
    </row>
    <row r="5" spans="1:11">
      <c r="A5" t="str">
        <f>"0"&amp;D5&amp;RIGHT(B5,1)</f>
        <v>0PremiumWpick3</v>
      </c>
      <c r="B5" s="67" t="s">
        <v>55</v>
      </c>
      <c r="C5" s="50">
        <v>0.71</v>
      </c>
      <c r="D5" s="61" t="s">
        <v>63</v>
      </c>
      <c r="E5" s="58">
        <v>0</v>
      </c>
      <c r="F5" s="59">
        <v>0</v>
      </c>
      <c r="G5" s="65">
        <f t="shared" ref="G5:G23" si="0">C5*F5</f>
        <v>0</v>
      </c>
      <c r="H5" s="65">
        <f>IFERROR(G5/E5,0)</f>
        <v>0</v>
      </c>
      <c r="I5" s="66">
        <f t="shared" ref="I5:I23" si="1">$E$24*G5</f>
        <v>0</v>
      </c>
      <c r="J5" s="66">
        <f t="shared" ref="J5:J23" si="2">$E$24*H5</f>
        <v>0</v>
      </c>
      <c r="K5" s="54">
        <f t="shared" ref="K5:K23" si="3">ROUND(J5*1000,0)</f>
        <v>0</v>
      </c>
    </row>
    <row r="6" spans="1:11">
      <c r="A6" t="str">
        <f t="shared" ref="A6:A23" si="4">"0"&amp;D6&amp;RIGHT(B6,1)</f>
        <v>0PremiumN3</v>
      </c>
      <c r="B6" s="67" t="s">
        <v>55</v>
      </c>
      <c r="C6" s="50">
        <v>0.71</v>
      </c>
      <c r="D6" s="57" t="s">
        <v>57</v>
      </c>
      <c r="E6" s="58">
        <v>20</v>
      </c>
      <c r="F6" s="59">
        <v>0.44500000000000001</v>
      </c>
      <c r="G6" s="65">
        <f t="shared" si="0"/>
        <v>0.31595000000000001</v>
      </c>
      <c r="H6" s="65">
        <f t="shared" ref="H6:H23" si="5">IFERROR(G6/E6,0)</f>
        <v>1.5797499999999999E-2</v>
      </c>
      <c r="I6" s="66">
        <f t="shared" si="1"/>
        <v>48.656300000000002</v>
      </c>
      <c r="J6" s="66">
        <f t="shared" si="2"/>
        <v>2.4328149999999997</v>
      </c>
      <c r="K6" s="54">
        <f t="shared" si="3"/>
        <v>2433</v>
      </c>
    </row>
    <row r="7" spans="1:11">
      <c r="A7" t="str">
        <f t="shared" si="4"/>
        <v>0PremiumNpick3</v>
      </c>
      <c r="B7" s="67" t="s">
        <v>55</v>
      </c>
      <c r="C7" s="50">
        <v>0.71</v>
      </c>
      <c r="D7" s="61" t="s">
        <v>64</v>
      </c>
      <c r="E7" s="58">
        <v>0</v>
      </c>
      <c r="F7" s="59">
        <v>0</v>
      </c>
      <c r="G7" s="65">
        <f t="shared" si="0"/>
        <v>0</v>
      </c>
      <c r="H7" s="65">
        <f t="shared" si="5"/>
        <v>0</v>
      </c>
      <c r="I7" s="66">
        <f t="shared" si="1"/>
        <v>0</v>
      </c>
      <c r="J7" s="66">
        <f t="shared" si="2"/>
        <v>0</v>
      </c>
      <c r="K7" s="54">
        <f t="shared" si="3"/>
        <v>0</v>
      </c>
    </row>
    <row r="8" spans="1:11">
      <c r="A8" t="str">
        <f t="shared" si="4"/>
        <v>0PremiumS3</v>
      </c>
      <c r="B8" s="67" t="s">
        <v>55</v>
      </c>
      <c r="C8" s="50">
        <v>0.71</v>
      </c>
      <c r="D8" s="57" t="s">
        <v>58</v>
      </c>
      <c r="E8" s="58">
        <v>12</v>
      </c>
      <c r="F8" s="59">
        <v>2.5000000000000001E-2</v>
      </c>
      <c r="G8" s="65">
        <f t="shared" si="0"/>
        <v>1.7749999999999998E-2</v>
      </c>
      <c r="H8" s="65">
        <f t="shared" si="5"/>
        <v>1.4791666666666666E-3</v>
      </c>
      <c r="I8" s="66">
        <f t="shared" si="1"/>
        <v>2.7334999999999998</v>
      </c>
      <c r="J8" s="66">
        <f t="shared" si="2"/>
        <v>0.22779166666666667</v>
      </c>
      <c r="K8" s="54">
        <f t="shared" si="3"/>
        <v>228</v>
      </c>
    </row>
    <row r="9" spans="1:11">
      <c r="A9" t="str">
        <f t="shared" si="4"/>
        <v>0PremiumSpick3</v>
      </c>
      <c r="B9" s="67" t="s">
        <v>55</v>
      </c>
      <c r="C9" s="50">
        <v>0.71</v>
      </c>
      <c r="D9" s="61" t="s">
        <v>65</v>
      </c>
      <c r="E9" s="58">
        <v>2</v>
      </c>
      <c r="F9" s="59">
        <v>0.1</v>
      </c>
      <c r="G9" s="65">
        <f t="shared" si="0"/>
        <v>7.0999999999999994E-2</v>
      </c>
      <c r="H9" s="65">
        <f t="shared" si="5"/>
        <v>3.5499999999999997E-2</v>
      </c>
      <c r="I9" s="66">
        <f t="shared" si="1"/>
        <v>10.933999999999999</v>
      </c>
      <c r="J9" s="66">
        <f t="shared" si="2"/>
        <v>5.4669999999999996</v>
      </c>
      <c r="K9" s="54">
        <f t="shared" si="3"/>
        <v>5467</v>
      </c>
    </row>
    <row r="10" spans="1:11">
      <c r="A10" t="str">
        <f t="shared" si="4"/>
        <v>0PremiumW4</v>
      </c>
      <c r="B10" s="67" t="s">
        <v>59</v>
      </c>
      <c r="C10" s="56">
        <v>0.25</v>
      </c>
      <c r="D10" s="57" t="s">
        <v>56</v>
      </c>
      <c r="E10" s="58">
        <v>20</v>
      </c>
      <c r="F10" s="59">
        <v>0.41880000000000001</v>
      </c>
      <c r="G10" s="65">
        <f t="shared" si="0"/>
        <v>0.1047</v>
      </c>
      <c r="H10" s="65">
        <f t="shared" si="5"/>
        <v>5.2350000000000001E-3</v>
      </c>
      <c r="I10" s="66">
        <f t="shared" si="1"/>
        <v>16.123799999999999</v>
      </c>
      <c r="J10" s="66">
        <f t="shared" si="2"/>
        <v>0.80618999999999996</v>
      </c>
      <c r="K10" s="54">
        <f t="shared" si="3"/>
        <v>806</v>
      </c>
    </row>
    <row r="11" spans="1:11">
      <c r="A11" t="str">
        <f t="shared" si="4"/>
        <v>0PremiumWpick4</v>
      </c>
      <c r="B11" s="67" t="s">
        <v>59</v>
      </c>
      <c r="C11" s="56">
        <v>0.25</v>
      </c>
      <c r="D11" s="61" t="s">
        <v>63</v>
      </c>
      <c r="E11" s="58">
        <v>0</v>
      </c>
      <c r="F11" s="59">
        <v>0</v>
      </c>
      <c r="G11" s="65">
        <f t="shared" si="0"/>
        <v>0</v>
      </c>
      <c r="H11" s="65">
        <f t="shared" si="5"/>
        <v>0</v>
      </c>
      <c r="I11" s="66">
        <f t="shared" si="1"/>
        <v>0</v>
      </c>
      <c r="J11" s="66">
        <f t="shared" si="2"/>
        <v>0</v>
      </c>
      <c r="K11" s="54">
        <f t="shared" si="3"/>
        <v>0</v>
      </c>
    </row>
    <row r="12" spans="1:11">
      <c r="A12" t="str">
        <f t="shared" si="4"/>
        <v>0PremiumN4</v>
      </c>
      <c r="B12" s="67" t="s">
        <v>59</v>
      </c>
      <c r="C12" s="56">
        <v>0.25</v>
      </c>
      <c r="D12" s="57" t="s">
        <v>57</v>
      </c>
      <c r="E12" s="58">
        <v>20</v>
      </c>
      <c r="F12" s="59">
        <v>0.37119999999999997</v>
      </c>
      <c r="G12" s="65">
        <f t="shared" si="0"/>
        <v>9.2799999999999994E-2</v>
      </c>
      <c r="H12" s="65">
        <f t="shared" si="5"/>
        <v>4.64E-3</v>
      </c>
      <c r="I12" s="66">
        <f t="shared" si="1"/>
        <v>14.2912</v>
      </c>
      <c r="J12" s="66">
        <f t="shared" si="2"/>
        <v>0.71455999999999997</v>
      </c>
      <c r="K12" s="54">
        <f t="shared" si="3"/>
        <v>715</v>
      </c>
    </row>
    <row r="13" spans="1:11">
      <c r="A13" t="str">
        <f t="shared" si="4"/>
        <v>0PremiumNpick4</v>
      </c>
      <c r="B13" s="67" t="s">
        <v>59</v>
      </c>
      <c r="C13" s="56">
        <v>0.25</v>
      </c>
      <c r="D13" s="61" t="s">
        <v>64</v>
      </c>
      <c r="E13" s="58">
        <v>0</v>
      </c>
      <c r="F13" s="59">
        <v>0</v>
      </c>
      <c r="G13" s="65">
        <f t="shared" si="0"/>
        <v>0</v>
      </c>
      <c r="H13" s="65">
        <f t="shared" si="5"/>
        <v>0</v>
      </c>
      <c r="I13" s="66">
        <f t="shared" si="1"/>
        <v>0</v>
      </c>
      <c r="J13" s="66">
        <f t="shared" si="2"/>
        <v>0</v>
      </c>
      <c r="K13" s="54">
        <f t="shared" si="3"/>
        <v>0</v>
      </c>
    </row>
    <row r="14" spans="1:11">
      <c r="A14" t="str">
        <f t="shared" si="4"/>
        <v>0PremiumS4</v>
      </c>
      <c r="B14" s="67" t="s">
        <v>59</v>
      </c>
      <c r="C14" s="56">
        <v>0.25</v>
      </c>
      <c r="D14" s="57" t="s">
        <v>58</v>
      </c>
      <c r="E14" s="58">
        <v>12</v>
      </c>
      <c r="F14" s="59">
        <v>2.5000000000000001E-2</v>
      </c>
      <c r="G14" s="65">
        <f t="shared" si="0"/>
        <v>6.2500000000000003E-3</v>
      </c>
      <c r="H14" s="65">
        <f t="shared" si="5"/>
        <v>5.2083333333333333E-4</v>
      </c>
      <c r="I14" s="66">
        <f t="shared" si="1"/>
        <v>0.96250000000000002</v>
      </c>
      <c r="J14" s="66">
        <f t="shared" si="2"/>
        <v>8.0208333333333326E-2</v>
      </c>
      <c r="K14" s="54">
        <f t="shared" si="3"/>
        <v>80</v>
      </c>
    </row>
    <row r="15" spans="1:11">
      <c r="A15" t="str">
        <f t="shared" si="4"/>
        <v>0PremiumSpick4</v>
      </c>
      <c r="B15" s="67" t="s">
        <v>59</v>
      </c>
      <c r="C15" s="56">
        <v>0.25</v>
      </c>
      <c r="D15" s="61" t="s">
        <v>66</v>
      </c>
      <c r="E15" s="58">
        <v>2</v>
      </c>
      <c r="F15" s="59">
        <v>0.1</v>
      </c>
      <c r="G15" s="65">
        <f t="shared" si="0"/>
        <v>2.5000000000000001E-2</v>
      </c>
      <c r="H15" s="65">
        <f t="shared" si="5"/>
        <v>1.2500000000000001E-2</v>
      </c>
      <c r="I15" s="66">
        <f t="shared" si="1"/>
        <v>3.85</v>
      </c>
      <c r="J15" s="66">
        <f t="shared" si="2"/>
        <v>1.925</v>
      </c>
      <c r="K15" s="54">
        <f t="shared" si="3"/>
        <v>1925</v>
      </c>
    </row>
    <row r="16" spans="1:11">
      <c r="A16" t="str">
        <f t="shared" si="4"/>
        <v>0PremiumSS4</v>
      </c>
      <c r="B16" s="67" t="s">
        <v>59</v>
      </c>
      <c r="C16" s="56">
        <v>0.25</v>
      </c>
      <c r="D16" s="57" t="s">
        <v>60</v>
      </c>
      <c r="E16" s="58">
        <v>4</v>
      </c>
      <c r="F16" s="59">
        <v>1.4999999999999999E-2</v>
      </c>
      <c r="G16" s="65">
        <f t="shared" si="0"/>
        <v>3.7499999999999999E-3</v>
      </c>
      <c r="H16" s="65">
        <f t="shared" si="5"/>
        <v>9.3749999999999997E-4</v>
      </c>
      <c r="I16" s="66">
        <f t="shared" si="1"/>
        <v>0.57750000000000001</v>
      </c>
      <c r="J16" s="66">
        <f t="shared" si="2"/>
        <v>0.144375</v>
      </c>
      <c r="K16" s="54">
        <f t="shared" si="3"/>
        <v>144</v>
      </c>
    </row>
    <row r="17" spans="1:11">
      <c r="A17" t="str">
        <f t="shared" si="4"/>
        <v>0PremiumSSpick4</v>
      </c>
      <c r="B17" s="67" t="s">
        <v>59</v>
      </c>
      <c r="C17" s="56">
        <v>0.25</v>
      </c>
      <c r="D17" s="61" t="s">
        <v>67</v>
      </c>
      <c r="E17" s="58">
        <v>2</v>
      </c>
      <c r="F17" s="59">
        <v>7.0000000000000007E-2</v>
      </c>
      <c r="G17" s="65">
        <f t="shared" si="0"/>
        <v>1.7500000000000002E-2</v>
      </c>
      <c r="H17" s="65">
        <f t="shared" si="5"/>
        <v>8.7500000000000008E-3</v>
      </c>
      <c r="I17" s="66">
        <f t="shared" si="1"/>
        <v>2.6950000000000003</v>
      </c>
      <c r="J17" s="66">
        <f t="shared" si="2"/>
        <v>1.3475000000000001</v>
      </c>
      <c r="K17" s="54">
        <f t="shared" si="3"/>
        <v>1348</v>
      </c>
    </row>
    <row r="18" spans="1:11">
      <c r="A18" t="str">
        <f t="shared" si="4"/>
        <v>0PremiumN5</v>
      </c>
      <c r="B18" s="67" t="s">
        <v>61</v>
      </c>
      <c r="C18" s="56">
        <v>0.04</v>
      </c>
      <c r="D18" s="57" t="s">
        <v>57</v>
      </c>
      <c r="E18" s="58">
        <v>20</v>
      </c>
      <c r="F18" s="59">
        <v>0.78120000000000001</v>
      </c>
      <c r="G18" s="65">
        <f t="shared" si="0"/>
        <v>3.1248000000000001E-2</v>
      </c>
      <c r="H18" s="65">
        <f t="shared" si="5"/>
        <v>1.5624E-3</v>
      </c>
      <c r="I18" s="66">
        <f t="shared" si="1"/>
        <v>4.8121920000000005</v>
      </c>
      <c r="J18" s="66">
        <f t="shared" si="2"/>
        <v>0.24060960000000001</v>
      </c>
      <c r="K18" s="54">
        <f t="shared" si="3"/>
        <v>241</v>
      </c>
    </row>
    <row r="19" spans="1:11">
      <c r="A19" t="str">
        <f t="shared" si="4"/>
        <v>0PremiumNpick5</v>
      </c>
      <c r="B19" s="67" t="s">
        <v>61</v>
      </c>
      <c r="C19" s="56">
        <v>0.04</v>
      </c>
      <c r="D19" s="61" t="s">
        <v>64</v>
      </c>
      <c r="E19" s="58">
        <v>0</v>
      </c>
      <c r="F19" s="59">
        <v>0</v>
      </c>
      <c r="G19" s="65">
        <f t="shared" si="0"/>
        <v>0</v>
      </c>
      <c r="H19" s="65">
        <f t="shared" si="5"/>
        <v>0</v>
      </c>
      <c r="I19" s="66">
        <f t="shared" si="1"/>
        <v>0</v>
      </c>
      <c r="J19" s="66">
        <f t="shared" si="2"/>
        <v>0</v>
      </c>
      <c r="K19" s="54">
        <f t="shared" si="3"/>
        <v>0</v>
      </c>
    </row>
    <row r="20" spans="1:11">
      <c r="A20" t="str">
        <f t="shared" si="4"/>
        <v>0PremiumS5</v>
      </c>
      <c r="B20" s="67" t="s">
        <v>61</v>
      </c>
      <c r="C20" s="56">
        <v>0.04</v>
      </c>
      <c r="D20" s="57" t="s">
        <v>58</v>
      </c>
      <c r="E20" s="58">
        <v>12</v>
      </c>
      <c r="F20" s="59">
        <v>2.5000000000000001E-2</v>
      </c>
      <c r="G20" s="65">
        <f t="shared" si="0"/>
        <v>1E-3</v>
      </c>
      <c r="H20" s="65">
        <f t="shared" si="5"/>
        <v>8.3333333333333331E-5</v>
      </c>
      <c r="I20" s="66">
        <f t="shared" si="1"/>
        <v>0.154</v>
      </c>
      <c r="J20" s="66">
        <f t="shared" si="2"/>
        <v>1.2833333333333334E-2</v>
      </c>
      <c r="K20" s="54">
        <f t="shared" si="3"/>
        <v>13</v>
      </c>
    </row>
    <row r="21" spans="1:11">
      <c r="A21" t="str">
        <f t="shared" si="4"/>
        <v>0PremiumSpick5</v>
      </c>
      <c r="B21" s="67" t="s">
        <v>61</v>
      </c>
      <c r="C21" s="56">
        <v>0.04</v>
      </c>
      <c r="D21" s="61" t="s">
        <v>65</v>
      </c>
      <c r="E21" s="58">
        <v>2</v>
      </c>
      <c r="F21" s="59">
        <v>0.1</v>
      </c>
      <c r="G21" s="65">
        <f t="shared" si="0"/>
        <v>4.0000000000000001E-3</v>
      </c>
      <c r="H21" s="65">
        <f t="shared" si="5"/>
        <v>2E-3</v>
      </c>
      <c r="I21" s="66">
        <f t="shared" si="1"/>
        <v>0.61599999999999999</v>
      </c>
      <c r="J21" s="66">
        <f t="shared" si="2"/>
        <v>0.308</v>
      </c>
      <c r="K21" s="54">
        <f t="shared" si="3"/>
        <v>308</v>
      </c>
    </row>
    <row r="22" spans="1:11">
      <c r="A22" t="str">
        <f t="shared" si="4"/>
        <v>0PremiumSS5</v>
      </c>
      <c r="B22" s="67" t="s">
        <v>61</v>
      </c>
      <c r="C22" s="56">
        <v>0.04</v>
      </c>
      <c r="D22" s="57" t="s">
        <v>60</v>
      </c>
      <c r="E22" s="58">
        <v>4</v>
      </c>
      <c r="F22" s="59">
        <v>3.1300000000000001E-2</v>
      </c>
      <c r="G22" s="65">
        <f t="shared" si="0"/>
        <v>1.2520000000000001E-3</v>
      </c>
      <c r="H22" s="65">
        <f t="shared" si="5"/>
        <v>3.1300000000000002E-4</v>
      </c>
      <c r="I22" s="66">
        <f t="shared" si="1"/>
        <v>0.19280800000000001</v>
      </c>
      <c r="J22" s="66">
        <f t="shared" si="2"/>
        <v>4.8202000000000002E-2</v>
      </c>
      <c r="K22" s="54">
        <f t="shared" si="3"/>
        <v>48</v>
      </c>
    </row>
    <row r="23" spans="1:11">
      <c r="A23" t="str">
        <f t="shared" si="4"/>
        <v>0PremiumSSpick5</v>
      </c>
      <c r="B23" s="67" t="s">
        <v>61</v>
      </c>
      <c r="C23" s="56">
        <v>0.04</v>
      </c>
      <c r="D23" s="61" t="s">
        <v>67</v>
      </c>
      <c r="E23" s="58">
        <v>2</v>
      </c>
      <c r="F23" s="59">
        <v>6.25E-2</v>
      </c>
      <c r="G23" s="65">
        <f t="shared" si="0"/>
        <v>2.5000000000000001E-3</v>
      </c>
      <c r="H23" s="65">
        <f t="shared" si="5"/>
        <v>1.25E-3</v>
      </c>
      <c r="I23" s="66">
        <f t="shared" si="1"/>
        <v>0.38500000000000001</v>
      </c>
      <c r="J23" s="66">
        <f t="shared" si="2"/>
        <v>0.1925</v>
      </c>
      <c r="K23" s="54">
        <f t="shared" si="3"/>
        <v>193</v>
      </c>
    </row>
    <row r="24" spans="1:11">
      <c r="B24" s="62"/>
      <c r="C24" s="63">
        <v>1</v>
      </c>
      <c r="D24" s="57" t="s">
        <v>62</v>
      </c>
      <c r="E24" s="58">
        <f>SUM(E4:E23)</f>
        <v>154</v>
      </c>
      <c r="F24" s="49">
        <f>SUM(F4:F22)</f>
        <v>2.9375</v>
      </c>
      <c r="G24" s="55">
        <f>SUM(G4:G23)</f>
        <v>1</v>
      </c>
      <c r="H24" s="55" t="s">
        <v>68</v>
      </c>
      <c r="I24" s="58">
        <f>SUM(I4:I23)</f>
        <v>154</v>
      </c>
      <c r="J24" s="58" t="s">
        <v>69</v>
      </c>
      <c r="K24" s="60" t="s">
        <v>70</v>
      </c>
    </row>
    <row r="25" spans="1:11">
      <c r="B25" t="s">
        <v>72</v>
      </c>
    </row>
    <row r="26" spans="1:11">
      <c r="B26" s="69" t="s">
        <v>44</v>
      </c>
      <c r="C26" s="70"/>
      <c r="D26" s="71" t="s">
        <v>45</v>
      </c>
      <c r="E26" s="72"/>
      <c r="F26" s="64" t="s">
        <v>46</v>
      </c>
      <c r="G26" s="69" t="s">
        <v>47</v>
      </c>
      <c r="H26" s="73"/>
      <c r="I26" s="73"/>
      <c r="J26" s="73"/>
      <c r="K26" s="70"/>
    </row>
    <row r="27" spans="1:11">
      <c r="B27" s="44" t="s">
        <v>44</v>
      </c>
      <c r="C27" s="44" t="s">
        <v>48</v>
      </c>
      <c r="D27" s="46" t="s">
        <v>45</v>
      </c>
      <c r="E27" s="45" t="s">
        <v>49</v>
      </c>
      <c r="F27" s="45" t="s">
        <v>50</v>
      </c>
      <c r="G27" s="47" t="s">
        <v>50</v>
      </c>
      <c r="H27" s="47" t="s">
        <v>53</v>
      </c>
      <c r="I27" s="47" t="s">
        <v>51</v>
      </c>
      <c r="J27" s="47" t="s">
        <v>52</v>
      </c>
      <c r="K27" s="48" t="s">
        <v>54</v>
      </c>
    </row>
    <row r="28" spans="1:11">
      <c r="A28" t="str">
        <f>"1"&amp;D28&amp;RIGHT(B28,1)</f>
        <v>1PremiumW4</v>
      </c>
      <c r="B28" s="68" t="s">
        <v>59</v>
      </c>
      <c r="C28" s="56">
        <v>0.96</v>
      </c>
      <c r="D28" s="57" t="s">
        <v>56</v>
      </c>
      <c r="E28" s="58">
        <v>20</v>
      </c>
      <c r="F28" s="59">
        <v>0.42699999999999999</v>
      </c>
      <c r="G28" s="65">
        <f>C28*F28</f>
        <v>0.40991999999999995</v>
      </c>
      <c r="H28" s="65">
        <f t="shared" ref="H28:H41" si="6">IFERROR(G28/E28,0)</f>
        <v>2.0495999999999997E-2</v>
      </c>
      <c r="I28" s="66">
        <f>$E$42*G28</f>
        <v>40.991999999999997</v>
      </c>
      <c r="J28" s="66">
        <f t="shared" ref="J28:J41" si="7">$E$42*H28</f>
        <v>2.0495999999999999</v>
      </c>
      <c r="K28" s="54">
        <f t="shared" ref="K28:K41" si="8">ROUND(J28*1000,0)</f>
        <v>2050</v>
      </c>
    </row>
    <row r="29" spans="1:11">
      <c r="A29" t="str">
        <f t="shared" ref="A29:A41" si="9">"1"&amp;D29&amp;RIGHT(B29,1)</f>
        <v>1PremiumWpick4</v>
      </c>
      <c r="B29" s="68" t="s">
        <v>59</v>
      </c>
      <c r="C29" s="56">
        <v>0.96</v>
      </c>
      <c r="D29" s="61" t="s">
        <v>63</v>
      </c>
      <c r="E29" s="58">
        <v>0</v>
      </c>
      <c r="F29" s="59">
        <v>0</v>
      </c>
      <c r="G29" s="65">
        <f t="shared" ref="G29:G41" si="10">C29*F29</f>
        <v>0</v>
      </c>
      <c r="H29" s="65">
        <f t="shared" si="6"/>
        <v>0</v>
      </c>
      <c r="I29" s="66">
        <f t="shared" ref="I29:I41" si="11">$E$42*G29</f>
        <v>0</v>
      </c>
      <c r="J29" s="66">
        <f t="shared" si="7"/>
        <v>0</v>
      </c>
      <c r="K29" s="54">
        <f t="shared" si="8"/>
        <v>0</v>
      </c>
    </row>
    <row r="30" spans="1:11">
      <c r="A30" t="str">
        <f t="shared" si="9"/>
        <v>1PremiumN4</v>
      </c>
      <c r="B30" s="68" t="s">
        <v>59</v>
      </c>
      <c r="C30" s="56">
        <v>0.96</v>
      </c>
      <c r="D30" s="57" t="s">
        <v>57</v>
      </c>
      <c r="E30" s="58">
        <v>20</v>
      </c>
      <c r="F30" s="59">
        <v>0.42299999999999999</v>
      </c>
      <c r="G30" s="65">
        <f t="shared" si="10"/>
        <v>0.40608</v>
      </c>
      <c r="H30" s="65">
        <f t="shared" si="6"/>
        <v>2.0303999999999999E-2</v>
      </c>
      <c r="I30" s="66">
        <f t="shared" si="11"/>
        <v>40.607999999999997</v>
      </c>
      <c r="J30" s="66">
        <f t="shared" si="7"/>
        <v>2.0303999999999998</v>
      </c>
      <c r="K30" s="54">
        <f t="shared" si="8"/>
        <v>2030</v>
      </c>
    </row>
    <row r="31" spans="1:11">
      <c r="A31" t="str">
        <f t="shared" si="9"/>
        <v>1PremiumNpick4</v>
      </c>
      <c r="B31" s="68" t="s">
        <v>59</v>
      </c>
      <c r="C31" s="56">
        <v>0.96</v>
      </c>
      <c r="D31" s="61" t="s">
        <v>64</v>
      </c>
      <c r="E31" s="58">
        <v>0</v>
      </c>
      <c r="F31" s="59">
        <v>0</v>
      </c>
      <c r="G31" s="65">
        <f t="shared" si="10"/>
        <v>0</v>
      </c>
      <c r="H31" s="65">
        <f t="shared" si="6"/>
        <v>0</v>
      </c>
      <c r="I31" s="66">
        <f t="shared" si="11"/>
        <v>0</v>
      </c>
      <c r="J31" s="66">
        <f t="shared" si="7"/>
        <v>0</v>
      </c>
      <c r="K31" s="54">
        <f t="shared" si="8"/>
        <v>0</v>
      </c>
    </row>
    <row r="32" spans="1:11">
      <c r="A32" t="str">
        <f t="shared" si="9"/>
        <v>1PremiumS4</v>
      </c>
      <c r="B32" s="68" t="s">
        <v>59</v>
      </c>
      <c r="C32" s="56">
        <v>0.96</v>
      </c>
      <c r="D32" s="57" t="s">
        <v>58</v>
      </c>
      <c r="E32" s="58">
        <v>12</v>
      </c>
      <c r="F32" s="59">
        <v>2.5000000000000001E-2</v>
      </c>
      <c r="G32" s="65">
        <f t="shared" si="10"/>
        <v>2.4E-2</v>
      </c>
      <c r="H32" s="65">
        <f t="shared" si="6"/>
        <v>2E-3</v>
      </c>
      <c r="I32" s="66">
        <f t="shared" si="11"/>
        <v>2.4</v>
      </c>
      <c r="J32" s="66">
        <f t="shared" si="7"/>
        <v>0.2</v>
      </c>
      <c r="K32" s="54">
        <f t="shared" si="8"/>
        <v>200</v>
      </c>
    </row>
    <row r="33" spans="1:11">
      <c r="A33" t="str">
        <f t="shared" si="9"/>
        <v>1PremiumSpick4</v>
      </c>
      <c r="B33" s="68" t="s">
        <v>59</v>
      </c>
      <c r="C33" s="56">
        <v>0.96</v>
      </c>
      <c r="D33" s="61" t="s">
        <v>66</v>
      </c>
      <c r="E33" s="58">
        <v>2</v>
      </c>
      <c r="F33" s="59">
        <v>0.1</v>
      </c>
      <c r="G33" s="65">
        <f t="shared" si="10"/>
        <v>9.6000000000000002E-2</v>
      </c>
      <c r="H33" s="65">
        <f t="shared" si="6"/>
        <v>4.8000000000000001E-2</v>
      </c>
      <c r="I33" s="66">
        <f t="shared" si="11"/>
        <v>9.6</v>
      </c>
      <c r="J33" s="66">
        <f>$E$42*H33</f>
        <v>4.8</v>
      </c>
      <c r="K33" s="54">
        <f t="shared" si="8"/>
        <v>4800</v>
      </c>
    </row>
    <row r="34" spans="1:11">
      <c r="A34" t="str">
        <f t="shared" si="9"/>
        <v>1PremiumSS4</v>
      </c>
      <c r="B34" s="68" t="s">
        <v>59</v>
      </c>
      <c r="C34" s="56">
        <v>0.96</v>
      </c>
      <c r="D34" s="57" t="s">
        <v>60</v>
      </c>
      <c r="E34" s="58">
        <v>4</v>
      </c>
      <c r="F34" s="59">
        <v>5.0000000000000001E-3</v>
      </c>
      <c r="G34" s="65">
        <f t="shared" si="10"/>
        <v>4.7999999999999996E-3</v>
      </c>
      <c r="H34" s="65">
        <f t="shared" si="6"/>
        <v>1.1999999999999999E-3</v>
      </c>
      <c r="I34" s="66">
        <f t="shared" si="11"/>
        <v>0.48</v>
      </c>
      <c r="J34" s="66">
        <f t="shared" si="7"/>
        <v>0.12</v>
      </c>
      <c r="K34" s="54">
        <f t="shared" si="8"/>
        <v>120</v>
      </c>
    </row>
    <row r="35" spans="1:11">
      <c r="A35" t="str">
        <f t="shared" si="9"/>
        <v>1PremiumSSpick4</v>
      </c>
      <c r="B35" s="68" t="s">
        <v>59</v>
      </c>
      <c r="C35" s="56">
        <v>0.96</v>
      </c>
      <c r="D35" s="61" t="s">
        <v>67</v>
      </c>
      <c r="E35" s="58">
        <v>2</v>
      </c>
      <c r="F35" s="59">
        <v>0.02</v>
      </c>
      <c r="G35" s="65">
        <f t="shared" si="10"/>
        <v>1.9199999999999998E-2</v>
      </c>
      <c r="H35" s="65">
        <f t="shared" si="6"/>
        <v>9.5999999999999992E-3</v>
      </c>
      <c r="I35" s="66">
        <f t="shared" si="11"/>
        <v>1.92</v>
      </c>
      <c r="J35" s="66">
        <f t="shared" si="7"/>
        <v>0.96</v>
      </c>
      <c r="K35" s="54">
        <f t="shared" si="8"/>
        <v>960</v>
      </c>
    </row>
    <row r="36" spans="1:11">
      <c r="A36" t="str">
        <f t="shared" si="9"/>
        <v>1PremiumN5</v>
      </c>
      <c r="B36" s="67" t="s">
        <v>61</v>
      </c>
      <c r="C36" s="56">
        <v>0.04</v>
      </c>
      <c r="D36" s="57" t="s">
        <v>57</v>
      </c>
      <c r="E36" s="58">
        <v>20</v>
      </c>
      <c r="F36" s="59">
        <v>0.85</v>
      </c>
      <c r="G36" s="65">
        <f t="shared" si="10"/>
        <v>3.4000000000000002E-2</v>
      </c>
      <c r="H36" s="65">
        <f t="shared" si="6"/>
        <v>1.7000000000000001E-3</v>
      </c>
      <c r="I36" s="66">
        <f t="shared" si="11"/>
        <v>3.4000000000000004</v>
      </c>
      <c r="J36" s="66">
        <f t="shared" si="7"/>
        <v>0.17</v>
      </c>
      <c r="K36" s="54">
        <f t="shared" si="8"/>
        <v>170</v>
      </c>
    </row>
    <row r="37" spans="1:11">
      <c r="A37" t="str">
        <f t="shared" si="9"/>
        <v>1PremiumNpick5</v>
      </c>
      <c r="B37" s="67" t="s">
        <v>61</v>
      </c>
      <c r="C37" s="56">
        <v>0.04</v>
      </c>
      <c r="D37" s="61" t="s">
        <v>64</v>
      </c>
      <c r="E37" s="58">
        <v>0</v>
      </c>
      <c r="F37" s="59">
        <v>0</v>
      </c>
      <c r="G37" s="65">
        <f t="shared" si="10"/>
        <v>0</v>
      </c>
      <c r="H37" s="65">
        <f t="shared" si="6"/>
        <v>0</v>
      </c>
      <c r="I37" s="66">
        <f t="shared" si="11"/>
        <v>0</v>
      </c>
      <c r="J37" s="66">
        <f t="shared" si="7"/>
        <v>0</v>
      </c>
      <c r="K37" s="54">
        <f t="shared" si="8"/>
        <v>0</v>
      </c>
    </row>
    <row r="38" spans="1:11">
      <c r="A38" t="str">
        <f t="shared" si="9"/>
        <v>1PremiumS5</v>
      </c>
      <c r="B38" s="67" t="s">
        <v>61</v>
      </c>
      <c r="C38" s="56">
        <v>0.04</v>
      </c>
      <c r="D38" s="57" t="s">
        <v>58</v>
      </c>
      <c r="E38" s="58">
        <v>12</v>
      </c>
      <c r="F38" s="59">
        <v>2.5000000000000001E-2</v>
      </c>
      <c r="G38" s="65">
        <f t="shared" si="10"/>
        <v>1E-3</v>
      </c>
      <c r="H38" s="65">
        <f t="shared" si="6"/>
        <v>8.3333333333333331E-5</v>
      </c>
      <c r="I38" s="66">
        <f t="shared" si="11"/>
        <v>0.1</v>
      </c>
      <c r="J38" s="66">
        <f t="shared" si="7"/>
        <v>8.3333333333333332E-3</v>
      </c>
      <c r="K38" s="54">
        <f t="shared" si="8"/>
        <v>8</v>
      </c>
    </row>
    <row r="39" spans="1:11">
      <c r="A39" t="str">
        <f t="shared" si="9"/>
        <v>1PremiumSpick5</v>
      </c>
      <c r="B39" s="67" t="s">
        <v>61</v>
      </c>
      <c r="C39" s="56">
        <v>0.04</v>
      </c>
      <c r="D39" s="61" t="s">
        <v>65</v>
      </c>
      <c r="E39" s="58">
        <v>2</v>
      </c>
      <c r="F39" s="59">
        <v>0.1</v>
      </c>
      <c r="G39" s="65">
        <f t="shared" si="10"/>
        <v>4.0000000000000001E-3</v>
      </c>
      <c r="H39" s="65">
        <f t="shared" si="6"/>
        <v>2E-3</v>
      </c>
      <c r="I39" s="66">
        <f t="shared" si="11"/>
        <v>0.4</v>
      </c>
      <c r="J39" s="66">
        <f t="shared" si="7"/>
        <v>0.2</v>
      </c>
      <c r="K39" s="54">
        <f t="shared" si="8"/>
        <v>200</v>
      </c>
    </row>
    <row r="40" spans="1:11">
      <c r="A40" t="str">
        <f t="shared" si="9"/>
        <v>1PremiumSS5</v>
      </c>
      <c r="B40" s="67" t="s">
        <v>61</v>
      </c>
      <c r="C40" s="56">
        <v>0.04</v>
      </c>
      <c r="D40" s="57" t="s">
        <v>60</v>
      </c>
      <c r="E40" s="58">
        <v>4</v>
      </c>
      <c r="F40" s="59">
        <v>5.0000000000000001E-3</v>
      </c>
      <c r="G40" s="65">
        <f t="shared" si="10"/>
        <v>2.0000000000000001E-4</v>
      </c>
      <c r="H40" s="65">
        <f t="shared" si="6"/>
        <v>5.0000000000000002E-5</v>
      </c>
      <c r="I40" s="66">
        <f t="shared" si="11"/>
        <v>0.02</v>
      </c>
      <c r="J40" s="66">
        <f t="shared" si="7"/>
        <v>5.0000000000000001E-3</v>
      </c>
      <c r="K40" s="54">
        <f t="shared" si="8"/>
        <v>5</v>
      </c>
    </row>
    <row r="41" spans="1:11">
      <c r="A41" t="str">
        <f t="shared" si="9"/>
        <v>1PremiumSSpick5</v>
      </c>
      <c r="B41" s="67" t="s">
        <v>61</v>
      </c>
      <c r="C41" s="56">
        <v>0.04</v>
      </c>
      <c r="D41" s="61" t="s">
        <v>67</v>
      </c>
      <c r="E41" s="58">
        <v>2</v>
      </c>
      <c r="F41" s="59">
        <v>0.02</v>
      </c>
      <c r="G41" s="65">
        <f t="shared" si="10"/>
        <v>8.0000000000000004E-4</v>
      </c>
      <c r="H41" s="65">
        <f t="shared" si="6"/>
        <v>4.0000000000000002E-4</v>
      </c>
      <c r="I41" s="66">
        <f t="shared" si="11"/>
        <v>0.08</v>
      </c>
      <c r="J41" s="66">
        <f t="shared" si="7"/>
        <v>0.04</v>
      </c>
      <c r="K41" s="54">
        <f t="shared" si="8"/>
        <v>40</v>
      </c>
    </row>
    <row r="42" spans="1:11">
      <c r="B42" s="62"/>
      <c r="C42" s="63">
        <v>1</v>
      </c>
      <c r="D42" s="57" t="s">
        <v>62</v>
      </c>
      <c r="E42" s="58">
        <f>SUM(E28:E41)</f>
        <v>100</v>
      </c>
      <c r="F42" s="49">
        <f>SUM(F28:F41)</f>
        <v>2</v>
      </c>
      <c r="G42" s="55">
        <f>SUM(G28:G41)</f>
        <v>1</v>
      </c>
      <c r="H42" s="55" t="s">
        <v>68</v>
      </c>
      <c r="I42" s="58">
        <f>SUM(I28:I41)</f>
        <v>100</v>
      </c>
      <c r="J42" s="58" t="s">
        <v>69</v>
      </c>
      <c r="K42" s="60" t="s">
        <v>70</v>
      </c>
    </row>
    <row r="76" spans="1:1">
      <c r="A76" s="42"/>
    </row>
    <row r="77" spans="1:1">
      <c r="A77" s="42"/>
    </row>
    <row r="78" spans="1:1">
      <c r="A78" s="42"/>
    </row>
    <row r="79" spans="1:1">
      <c r="A79" s="19"/>
    </row>
    <row r="80" spans="1:1">
      <c r="A80" s="42"/>
    </row>
    <row r="81" spans="1:1">
      <c r="A81" s="42"/>
    </row>
    <row r="82" spans="1:1">
      <c r="A82" s="42"/>
    </row>
    <row r="83" spans="1:1">
      <c r="A83" s="19"/>
    </row>
    <row r="84" spans="1:1">
      <c r="A84" s="42"/>
    </row>
    <row r="85" spans="1:1">
      <c r="A85" s="19"/>
    </row>
    <row r="86" spans="1:1">
      <c r="A86" s="42"/>
    </row>
    <row r="87" spans="1:1">
      <c r="A87" s="42"/>
    </row>
    <row r="88" spans="1:1">
      <c r="A88" s="19"/>
    </row>
    <row r="89" spans="1:1">
      <c r="A89" s="42"/>
    </row>
    <row r="90" spans="1:1">
      <c r="A90" s="19"/>
    </row>
    <row r="91" spans="1:1">
      <c r="A91" s="42"/>
    </row>
    <row r="92" spans="1:1">
      <c r="A92" s="42"/>
    </row>
    <row r="93" spans="1:1">
      <c r="A93" s="42"/>
    </row>
    <row r="94" spans="1:1">
      <c r="A94" s="19"/>
    </row>
    <row r="95" spans="1:1">
      <c r="A95" s="42"/>
    </row>
    <row r="96" spans="1:1">
      <c r="A96" s="19"/>
    </row>
    <row r="97" spans="1:1">
      <c r="A97" s="42"/>
    </row>
    <row r="98" spans="1:1">
      <c r="A98" s="42"/>
    </row>
    <row r="99" spans="1:1">
      <c r="A99" s="19"/>
    </row>
    <row r="100" spans="1:1">
      <c r="A100" s="42"/>
    </row>
    <row r="101" spans="1:1">
      <c r="A101" s="19"/>
    </row>
  </sheetData>
  <mergeCells count="6">
    <mergeCell ref="B26:C26"/>
    <mergeCell ref="D26:E26"/>
    <mergeCell ref="G26:K26"/>
    <mergeCell ref="B2:C2"/>
    <mergeCell ref="D2:E2"/>
    <mergeCell ref="G2:K2"/>
  </mergeCells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55"/>
  <sheetViews>
    <sheetView showGridLines="0" workbookViewId="0">
      <pane ySplit="1" topLeftCell="A2" activePane="bottomLeft" state="frozen"/>
      <selection activeCell="M24" sqref="M24"/>
      <selection pane="bottomLeft" activeCell="O2" sqref="O2:O255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5" width="17.6640625" style="1" customWidth="1" outlineLevel="1"/>
    <col min="6" max="6" width="7.5" style="1" customWidth="1"/>
    <col min="7" max="7" width="10.5" style="1" customWidth="1"/>
    <col min="8" max="8" width="23.33203125" style="1" customWidth="1" outlineLevel="1"/>
    <col min="9" max="9" width="13.6640625" style="1" customWidth="1" outlineLevel="1"/>
    <col min="10" max="10" width="9.6640625" style="1" customWidth="1" outlineLevel="1"/>
    <col min="11" max="11" width="10.5" style="5" customWidth="1" outlineLevel="1"/>
    <col min="12" max="12" width="18.83203125" style="1" customWidth="1" outlineLevel="1"/>
    <col min="13" max="13" width="19" style="1" customWidth="1" outlineLevel="1"/>
    <col min="14" max="14" width="13.1640625" style="1" bestFit="1" customWidth="1"/>
    <col min="15" max="15" width="11.33203125" style="1" bestFit="1" customWidth="1"/>
    <col min="16" max="16384" width="12.83203125" style="1"/>
  </cols>
  <sheetData>
    <row r="1" spans="1:20" ht="21" customHeight="1">
      <c r="A1" s="8" t="s">
        <v>15</v>
      </c>
      <c r="B1" s="4" t="s">
        <v>2</v>
      </c>
      <c r="C1" s="3" t="s">
        <v>1</v>
      </c>
      <c r="D1" s="3" t="s">
        <v>42</v>
      </c>
      <c r="E1" s="3" t="s">
        <v>43</v>
      </c>
      <c r="F1" s="4" t="s">
        <v>3</v>
      </c>
      <c r="G1" s="4" t="s">
        <v>4</v>
      </c>
      <c r="H1" s="3" t="s">
        <v>9</v>
      </c>
      <c r="I1" s="3" t="s">
        <v>10</v>
      </c>
      <c r="J1" s="3" t="s">
        <v>7</v>
      </c>
      <c r="K1" s="3" t="s">
        <v>11</v>
      </c>
      <c r="L1" s="3" t="s">
        <v>12</v>
      </c>
      <c r="M1" s="3" t="s">
        <v>13</v>
      </c>
      <c r="N1" s="4" t="s">
        <v>5</v>
      </c>
      <c r="O1" s="4" t="s">
        <v>6</v>
      </c>
      <c r="P1" s="17" t="s">
        <v>19</v>
      </c>
      <c r="Q1" s="17" t="s">
        <v>20</v>
      </c>
      <c r="R1" s="17" t="s">
        <v>21</v>
      </c>
      <c r="S1" s="17" t="s">
        <v>22</v>
      </c>
      <c r="T1" s="17" t="s">
        <v>23</v>
      </c>
    </row>
    <row r="2" spans="1:20" ht="21" customHeight="1">
      <c r="A2" s="8" t="str">
        <f t="shared" ref="A2:A65" si="0">F2&amp;G2&amp;N2</f>
        <v>11271</v>
      </c>
      <c r="B2" s="2">
        <v>114</v>
      </c>
      <c r="C2" s="10" t="str">
        <f ca="1">F2&amp;I2&amp;J2</f>
        <v>1PremiumW4</v>
      </c>
      <c r="D2" s="10" t="str">
        <f ca="1">F2&amp;I2&amp;E2&amp;J2</f>
        <v>1PremiumW4</v>
      </c>
      <c r="E2" s="10" t="str">
        <f>IF(OR(G2=380,G2=381,G2=382,G2=383,G2=384,G2=385,G2=386,G2=387,G2=388,G2=389),"pick","")</f>
        <v/>
      </c>
      <c r="F2" s="6">
        <v>1</v>
      </c>
      <c r="G2" s="7">
        <v>127</v>
      </c>
      <c r="H2" s="10" t="str">
        <f ca="1">VLOOKUP($G2,OFFSET([1]characters!$A$2,0,0,COUNTA([1]characters!$A:$A),MATCH(H$1,[1]characters!$2:$2,0)-MATCH($G$1,[1]characters!$2:$2,0)+1),MATCH(H$1,[1]characters!$2:$2,0)-MATCH($G$1,[1]characters!$2:$2,0)+1,FALSE)</f>
        <v>狂喜の賢者 ユノ</v>
      </c>
      <c r="I2" s="10" t="str">
        <f ca="1">VLOOKUP($G2,OFFSET([1]characters!$A$2,0,0,COUNTA([1]characters!$A:$A),MATCH(I$1,[1]characters!$2:$2,0)-MATCH($G$1,[1]characters!$2:$2,0)+1),MATCH(I$1,[1]characters!$2:$2,0)-MATCH($G$1,[1]characters!$2:$2,0)+1,FALSE)</f>
        <v>PremiumW</v>
      </c>
      <c r="J2" s="10">
        <f ca="1">VLOOKUP($G2,OFFSET([1]characters!$A$2,0,0,COUNTA([1]characters!$A:$A),MATCH(J$1,[1]characters!$2:$2,0)-MATCH($G$1,[1]characters!$2:$2,0)+1),MATCH(J$1,[1]characters!$2:$2,0)-MATCH($G$1,[1]characters!$2:$2,0)+1,FALSE)</f>
        <v>4</v>
      </c>
      <c r="K2" s="10" t="str">
        <f ca="1">VLOOKUP($G2,OFFSET([1]characters!$A$2,0,0,COUNTA([1]characters!$A:$A),MATCH(K$1,[1]characters!$2:$2,0)-MATCH($G$1,[1]characters!$2:$2,0)+1),MATCH(K$1,[1]characters!$2:$2,0)-MATCH($G$1,[1]characters!$2:$2,0)+1,FALSE)</f>
        <v>red</v>
      </c>
      <c r="L2" s="10" t="str">
        <f ca="1">VLOOKUP($G2,OFFSET([1]characters!$A$2,0,0,COUNTA([1]characters!$A:$A),MATCH("タイプ",[1]characters!$1:$1,0)-MATCH($G$1,[1]characters!$2:$2,0)+2),MATCH("タイプ",[1]characters!$1:$1,0)-MATCH($G$1,[1]characters!$2:$2,0)+2,FALSE)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" s="10" t="str">
        <f ca="1">VLOOKUP($G2,OFFSET([1]characters!$A$2,0,0,COUNTA([1]characters!$A:$A),MATCH($M$1,[1]characters!$1:$1,0)-MATCH($G$1,[1]characters!$2:$2,0)+2),MATCH($M$1,[1]characters!$1:$1,0)-MATCH($G$1,[1]characters!$2:$2,0)+2,FALSE)</f>
        <v>ヒューマン</v>
      </c>
      <c r="N2" s="6">
        <v>1</v>
      </c>
      <c r="O2" s="43">
        <f ca="1">VLOOKUP(D2,gacha_114_base!A:K,11,FALSE)</f>
        <v>2050</v>
      </c>
      <c r="P2" s="28">
        <v>0</v>
      </c>
      <c r="Q2" s="28">
        <v>0</v>
      </c>
      <c r="R2" s="28">
        <v>0</v>
      </c>
      <c r="S2" s="28">
        <v>0</v>
      </c>
      <c r="T2" s="28">
        <v>1</v>
      </c>
    </row>
    <row r="3" spans="1:20" ht="21" customHeight="1">
      <c r="A3" s="8" t="str">
        <f t="shared" si="0"/>
        <v>11291</v>
      </c>
      <c r="B3" s="2">
        <v>114</v>
      </c>
      <c r="C3" s="10" t="str">
        <f t="shared" ref="C3:C65" ca="1" si="1">F3&amp;I3&amp;J3</f>
        <v>1PremiumW4</v>
      </c>
      <c r="D3" s="10" t="str">
        <f t="shared" ref="D3:D66" ca="1" si="2">F3&amp;I3&amp;E3&amp;J3</f>
        <v>1PremiumW4</v>
      </c>
      <c r="E3" s="10" t="str">
        <f t="shared" ref="E3:E66" si="3">IF(OR(G3=380,G3=381,G3=382,G3=383,G3=384,G3=385,G3=386,G3=387,G3=388,G3=389),"pick","")</f>
        <v/>
      </c>
      <c r="F3" s="6">
        <v>1</v>
      </c>
      <c r="G3" s="7">
        <v>129</v>
      </c>
      <c r="H3" s="10" t="str">
        <f ca="1">VLOOKUP($G3,OFFSET([1]characters!$A$2,0,0,COUNTA([1]characters!$A:$A),MATCH(H$1,[1]characters!$2:$2,0)-MATCH($G$1,[1]characters!$2:$2,0)+1),MATCH(H$1,[1]characters!$2:$2,0)-MATCH($G$1,[1]characters!$2:$2,0)+1,FALSE)</f>
        <v>孤高の狼憑き アマラ</v>
      </c>
      <c r="I3" s="10" t="str">
        <f ca="1">VLOOKUP($G3,OFFSET([1]characters!$A$2,0,0,COUNTA([1]characters!$A:$A),MATCH(I$1,[1]characters!$2:$2,0)-MATCH($G$1,[1]characters!$2:$2,0)+1),MATCH(I$1,[1]characters!$2:$2,0)-MATCH($G$1,[1]characters!$2:$2,0)+1,FALSE)</f>
        <v>PremiumW</v>
      </c>
      <c r="J3" s="10">
        <f ca="1">VLOOKUP($G3,OFFSET([1]characters!$A$2,0,0,COUNTA([1]characters!$A:$A),MATCH(J$1,[1]characters!$2:$2,0)-MATCH($G$1,[1]characters!$2:$2,0)+1),MATCH(J$1,[1]characters!$2:$2,0)-MATCH($G$1,[1]characters!$2:$2,0)+1,FALSE)</f>
        <v>4</v>
      </c>
      <c r="K3" s="10" t="str">
        <f ca="1">VLOOKUP($G3,OFFSET([1]characters!$A$2,0,0,COUNTA([1]characters!$A:$A),MATCH(K$1,[1]characters!$2:$2,0)-MATCH($G$1,[1]characters!$2:$2,0)+1),MATCH(K$1,[1]characters!$2:$2,0)-MATCH($G$1,[1]characters!$2:$2,0)+1,FALSE)</f>
        <v>green</v>
      </c>
      <c r="L3" s="10" t="str">
        <f ca="1">VLOOKUP($G3,OFFSET([1]characters!$A$2,0,0,COUNTA([1]characters!$A:$A),MATCH("タイプ",[1]characters!$1:$1,0)-MATCH($G$1,[1]characters!$2:$2,0)+2),MATCH("タイプ",[1]characters!$1:$1,0)-MATCH($G$1,[1]characters!$2:$2,0)+2,FALSE)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3" s="10" t="str">
        <f ca="1">VLOOKUP($G3,OFFSET([1]characters!$A$2,0,0,COUNTA([1]characters!$A:$A),MATCH($M$1,[1]characters!$1:$1,0)-MATCH($G$1,[1]characters!$2:$2,0)+2),MATCH($M$1,[1]characters!$1:$1,0)-MATCH($G$1,[1]characters!$2:$2,0)+2,FALSE)</f>
        <v>ヒューマン</v>
      </c>
      <c r="N3" s="6">
        <v>1</v>
      </c>
      <c r="O3" s="43">
        <f ca="1">VLOOKUP(D3,gacha_114_base!A:K,11,FALSE)</f>
        <v>2050</v>
      </c>
      <c r="P3" s="28">
        <v>0</v>
      </c>
      <c r="Q3" s="28">
        <v>0</v>
      </c>
      <c r="R3" s="28">
        <v>0</v>
      </c>
      <c r="S3" s="28">
        <v>0</v>
      </c>
      <c r="T3" s="28">
        <v>1</v>
      </c>
    </row>
    <row r="4" spans="1:20" ht="21" customHeight="1">
      <c r="A4" s="8" t="str">
        <f t="shared" si="0"/>
        <v>11311</v>
      </c>
      <c r="B4" s="2">
        <v>114</v>
      </c>
      <c r="C4" s="10" t="str">
        <f t="shared" ca="1" si="1"/>
        <v>1PremiumW4</v>
      </c>
      <c r="D4" s="10" t="str">
        <f t="shared" ca="1" si="2"/>
        <v>1PremiumW4</v>
      </c>
      <c r="E4" s="10" t="str">
        <f t="shared" si="3"/>
        <v/>
      </c>
      <c r="F4" s="6">
        <v>1</v>
      </c>
      <c r="G4" s="7">
        <v>131</v>
      </c>
      <c r="H4" s="10" t="str">
        <f ca="1">VLOOKUP($G4,OFFSET([1]characters!$A$2,0,0,COUNTA([1]characters!$A:$A),MATCH(H$1,[1]characters!$2:$2,0)-MATCH($G$1,[1]characters!$2:$2,0)+1),MATCH(H$1,[1]characters!$2:$2,0)-MATCH($G$1,[1]characters!$2:$2,0)+1,FALSE)</f>
        <v>月下の人狼 ローレンス</v>
      </c>
      <c r="I4" s="10" t="str">
        <f ca="1">VLOOKUP($G4,OFFSET([1]characters!$A$2,0,0,COUNTA([1]characters!$A:$A),MATCH(I$1,[1]characters!$2:$2,0)-MATCH($G$1,[1]characters!$2:$2,0)+1),MATCH(I$1,[1]characters!$2:$2,0)-MATCH($G$1,[1]characters!$2:$2,0)+1,FALSE)</f>
        <v>PremiumW</v>
      </c>
      <c r="J4" s="10">
        <f ca="1">VLOOKUP($G4,OFFSET([1]characters!$A$2,0,0,COUNTA([1]characters!$A:$A),MATCH(J$1,[1]characters!$2:$2,0)-MATCH($G$1,[1]characters!$2:$2,0)+1),MATCH(J$1,[1]characters!$2:$2,0)-MATCH($G$1,[1]characters!$2:$2,0)+1,FALSE)</f>
        <v>4</v>
      </c>
      <c r="K4" s="10" t="str">
        <f ca="1">VLOOKUP($G4,OFFSET([1]characters!$A$2,0,0,COUNTA([1]characters!$A:$A),MATCH(K$1,[1]characters!$2:$2,0)-MATCH($G$1,[1]characters!$2:$2,0)+1),MATCH(K$1,[1]characters!$2:$2,0)-MATCH($G$1,[1]characters!$2:$2,0)+1,FALSE)</f>
        <v>blue</v>
      </c>
      <c r="L4" s="10" t="str">
        <f ca="1">VLOOKUP($G4,OFFSET([1]characters!$A$2,0,0,COUNTA([1]characters!$A:$A),MATCH("タイプ",[1]characters!$1:$1,0)-MATCH($G$1,[1]characters!$2:$2,0)+2),MATCH("タイプ",[1]characters!$1:$1,0)-MATCH($G$1,[1]characters!$2:$2,0)+2,FALSE)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4" s="10" t="str">
        <f ca="1">VLOOKUP($G4,OFFSET([1]characters!$A$2,0,0,COUNTA([1]characters!$A:$A),MATCH($M$1,[1]characters!$1:$1,0)-MATCH($G$1,[1]characters!$2:$2,0)+2),MATCH($M$1,[1]characters!$1:$1,0)-MATCH($G$1,[1]characters!$2:$2,0)+2,FALSE)</f>
        <v>アニマル</v>
      </c>
      <c r="N4" s="6">
        <v>1</v>
      </c>
      <c r="O4" s="43">
        <f ca="1">VLOOKUP(D4,gacha_114_base!A:K,11,FALSE)</f>
        <v>2050</v>
      </c>
      <c r="P4" s="28">
        <v>0</v>
      </c>
      <c r="Q4" s="28">
        <v>0</v>
      </c>
      <c r="R4" s="28">
        <v>0</v>
      </c>
      <c r="S4" s="28">
        <v>0</v>
      </c>
      <c r="T4" s="28">
        <v>1</v>
      </c>
    </row>
    <row r="5" spans="1:20" ht="21" customHeight="1">
      <c r="A5" s="8" t="str">
        <f t="shared" si="0"/>
        <v>11331</v>
      </c>
      <c r="B5" s="2">
        <v>114</v>
      </c>
      <c r="C5" s="10" t="str">
        <f t="shared" ca="1" si="1"/>
        <v>1PremiumW4</v>
      </c>
      <c r="D5" s="10" t="str">
        <f t="shared" ca="1" si="2"/>
        <v>1PremiumW4</v>
      </c>
      <c r="E5" s="10" t="str">
        <f t="shared" si="3"/>
        <v/>
      </c>
      <c r="F5" s="6">
        <v>1</v>
      </c>
      <c r="G5" s="7">
        <v>133</v>
      </c>
      <c r="H5" s="10" t="str">
        <f ca="1">VLOOKUP($G5,OFFSET([1]characters!$A$2,0,0,COUNTA([1]characters!$A:$A),MATCH(H$1,[1]characters!$2:$2,0)-MATCH($G$1,[1]characters!$2:$2,0)+1),MATCH(H$1,[1]characters!$2:$2,0)-MATCH($G$1,[1]characters!$2:$2,0)+1,FALSE)</f>
        <v>迅雷の刀剣 ハヤト</v>
      </c>
      <c r="I5" s="10" t="str">
        <f ca="1">VLOOKUP($G5,OFFSET([1]characters!$A$2,0,0,COUNTA([1]characters!$A:$A),MATCH(I$1,[1]characters!$2:$2,0)-MATCH($G$1,[1]characters!$2:$2,0)+1),MATCH(I$1,[1]characters!$2:$2,0)-MATCH($G$1,[1]characters!$2:$2,0)+1,FALSE)</f>
        <v>PremiumW</v>
      </c>
      <c r="J5" s="10">
        <f ca="1">VLOOKUP($G5,OFFSET([1]characters!$A$2,0,0,COUNTA([1]characters!$A:$A),MATCH(J$1,[1]characters!$2:$2,0)-MATCH($G$1,[1]characters!$2:$2,0)+1),MATCH(J$1,[1]characters!$2:$2,0)-MATCH($G$1,[1]characters!$2:$2,0)+1,FALSE)</f>
        <v>4</v>
      </c>
      <c r="K5" s="10" t="str">
        <f ca="1">VLOOKUP($G5,OFFSET([1]characters!$A$2,0,0,COUNTA([1]characters!$A:$A),MATCH(K$1,[1]characters!$2:$2,0)-MATCH($G$1,[1]characters!$2:$2,0)+1),MATCH(K$1,[1]characters!$2:$2,0)-MATCH($G$1,[1]characters!$2:$2,0)+1,FALSE)</f>
        <v>yellow</v>
      </c>
      <c r="L5" s="10" t="str">
        <f ca="1">VLOOKUP($G5,OFFSET([1]characters!$A$2,0,0,COUNTA([1]characters!$A:$A),MATCH("タイプ",[1]characters!$1:$1,0)-MATCH($G$1,[1]characters!$2:$2,0)+2),MATCH("タイプ",[1]characters!$1:$1,0)-MATCH($G$1,[1]characters!$2:$2,0)+2,FALSE)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5" s="10" t="str">
        <f ca="1">VLOOKUP($G5,OFFSET([1]characters!$A$2,0,0,COUNTA([1]characters!$A:$A),MATCH($M$1,[1]characters!$1:$1,0)-MATCH($G$1,[1]characters!$2:$2,0)+2),MATCH($M$1,[1]characters!$1:$1,0)-MATCH($G$1,[1]characters!$2:$2,0)+2,FALSE)</f>
        <v>ヒューマン</v>
      </c>
      <c r="N5" s="6">
        <v>1</v>
      </c>
      <c r="O5" s="43">
        <f ca="1">VLOOKUP(D5,gacha_114_base!A:K,11,FALSE)</f>
        <v>2050</v>
      </c>
      <c r="P5" s="28">
        <v>0</v>
      </c>
      <c r="Q5" s="28">
        <v>0</v>
      </c>
      <c r="R5" s="28">
        <v>0</v>
      </c>
      <c r="S5" s="28">
        <v>0</v>
      </c>
      <c r="T5" s="28">
        <v>1</v>
      </c>
    </row>
    <row r="6" spans="1:20" ht="21" customHeight="1">
      <c r="A6" s="8" t="str">
        <f t="shared" si="0"/>
        <v>11351</v>
      </c>
      <c r="B6" s="2">
        <v>114</v>
      </c>
      <c r="C6" s="10" t="str">
        <f t="shared" ca="1" si="1"/>
        <v>1PremiumW4</v>
      </c>
      <c r="D6" s="10" t="str">
        <f t="shared" ca="1" si="2"/>
        <v>1PremiumW4</v>
      </c>
      <c r="E6" s="10" t="str">
        <f t="shared" si="3"/>
        <v/>
      </c>
      <c r="F6" s="6">
        <v>1</v>
      </c>
      <c r="G6" s="7">
        <v>135</v>
      </c>
      <c r="H6" s="10" t="str">
        <f ca="1">VLOOKUP($G6,OFFSET([1]characters!$A$2,0,0,COUNTA([1]characters!$A:$A),MATCH(H$1,[1]characters!$2:$2,0)-MATCH($G$1,[1]characters!$2:$2,0)+1),MATCH(H$1,[1]characters!$2:$2,0)-MATCH($G$1,[1]characters!$2:$2,0)+1,FALSE)</f>
        <v>京の炎華夕霧</v>
      </c>
      <c r="I6" s="10" t="str">
        <f ca="1">VLOOKUP($G6,OFFSET([1]characters!$A$2,0,0,COUNTA([1]characters!$A:$A),MATCH(I$1,[1]characters!$2:$2,0)-MATCH($G$1,[1]characters!$2:$2,0)+1),MATCH(I$1,[1]characters!$2:$2,0)-MATCH($G$1,[1]characters!$2:$2,0)+1,FALSE)</f>
        <v>PremiumW</v>
      </c>
      <c r="J6" s="10">
        <f ca="1">VLOOKUP($G6,OFFSET([1]characters!$A$2,0,0,COUNTA([1]characters!$A:$A),MATCH(J$1,[1]characters!$2:$2,0)-MATCH($G$1,[1]characters!$2:$2,0)+1),MATCH(J$1,[1]characters!$2:$2,0)-MATCH($G$1,[1]characters!$2:$2,0)+1,FALSE)</f>
        <v>4</v>
      </c>
      <c r="K6" s="10" t="str">
        <f ca="1">VLOOKUP($G6,OFFSET([1]characters!$A$2,0,0,COUNTA([1]characters!$A:$A),MATCH(K$1,[1]characters!$2:$2,0)-MATCH($G$1,[1]characters!$2:$2,0)+1),MATCH(K$1,[1]characters!$2:$2,0)-MATCH($G$1,[1]characters!$2:$2,0)+1,FALSE)</f>
        <v>red</v>
      </c>
      <c r="L6" s="10" t="str">
        <f ca="1">VLOOKUP($G6,OFFSET([1]characters!$A$2,0,0,COUNTA([1]characters!$A:$A),MATCH("タイプ",[1]characters!$1:$1,0)-MATCH($G$1,[1]characters!$2:$2,0)+2),MATCH("タイプ",[1]characters!$1:$1,0)-MATCH($G$1,[1]characters!$2:$2,0)+2,FALSE)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6" s="10" t="str">
        <f ca="1">VLOOKUP($G6,OFFSET([1]characters!$A$2,0,0,COUNTA([1]characters!$A:$A),MATCH($M$1,[1]characters!$1:$1,0)-MATCH($G$1,[1]characters!$2:$2,0)+2),MATCH($M$1,[1]characters!$1:$1,0)-MATCH($G$1,[1]characters!$2:$2,0)+2,FALSE)</f>
        <v>ヒューマン</v>
      </c>
      <c r="N6" s="6">
        <v>1</v>
      </c>
      <c r="O6" s="43">
        <f ca="1">VLOOKUP(D6,gacha_114_base!A:K,11,FALSE)</f>
        <v>2050</v>
      </c>
      <c r="P6" s="28">
        <v>0</v>
      </c>
      <c r="Q6" s="28">
        <v>0</v>
      </c>
      <c r="R6" s="28">
        <v>0</v>
      </c>
      <c r="S6" s="28">
        <v>0</v>
      </c>
      <c r="T6" s="28">
        <v>1</v>
      </c>
    </row>
    <row r="7" spans="1:20" ht="21" customHeight="1">
      <c r="A7" s="8" t="str">
        <f t="shared" si="0"/>
        <v>11371</v>
      </c>
      <c r="B7" s="2">
        <v>114</v>
      </c>
      <c r="C7" s="10" t="str">
        <f t="shared" ca="1" si="1"/>
        <v>1PremiumW4</v>
      </c>
      <c r="D7" s="10" t="str">
        <f t="shared" ca="1" si="2"/>
        <v>1PremiumW4</v>
      </c>
      <c r="E7" s="10" t="str">
        <f t="shared" si="3"/>
        <v/>
      </c>
      <c r="F7" s="6">
        <v>1</v>
      </c>
      <c r="G7" s="7">
        <v>137</v>
      </c>
      <c r="H7" s="10" t="str">
        <f ca="1">VLOOKUP($G7,OFFSET([1]characters!$A$2,0,0,COUNTA([1]characters!$A:$A),MATCH(H$1,[1]characters!$2:$2,0)-MATCH($G$1,[1]characters!$2:$2,0)+1),MATCH(H$1,[1]characters!$2:$2,0)-MATCH($G$1,[1]characters!$2:$2,0)+1,FALSE)</f>
        <v>清福の仕立屋 チハヤ</v>
      </c>
      <c r="I7" s="10" t="str">
        <f ca="1">VLOOKUP($G7,OFFSET([1]characters!$A$2,0,0,COUNTA([1]characters!$A:$A),MATCH(I$1,[1]characters!$2:$2,0)-MATCH($G$1,[1]characters!$2:$2,0)+1),MATCH(I$1,[1]characters!$2:$2,0)-MATCH($G$1,[1]characters!$2:$2,0)+1,FALSE)</f>
        <v>PremiumW</v>
      </c>
      <c r="J7" s="10">
        <f ca="1">VLOOKUP($G7,OFFSET([1]characters!$A$2,0,0,COUNTA([1]characters!$A:$A),MATCH(J$1,[1]characters!$2:$2,0)-MATCH($G$1,[1]characters!$2:$2,0)+1),MATCH(J$1,[1]characters!$2:$2,0)-MATCH($G$1,[1]characters!$2:$2,0)+1,FALSE)</f>
        <v>4</v>
      </c>
      <c r="K7" s="10" t="str">
        <f ca="1">VLOOKUP($G7,OFFSET([1]characters!$A$2,0,0,COUNTA([1]characters!$A:$A),MATCH(K$1,[1]characters!$2:$2,0)-MATCH($G$1,[1]characters!$2:$2,0)+1),MATCH(K$1,[1]characters!$2:$2,0)-MATCH($G$1,[1]characters!$2:$2,0)+1,FALSE)</f>
        <v>green</v>
      </c>
      <c r="L7" s="10" t="str">
        <f ca="1">VLOOKUP($G7,OFFSET([1]characters!$A$2,0,0,COUNTA([1]characters!$A:$A),MATCH("タイプ",[1]characters!$1:$1,0)-MATCH($G$1,[1]characters!$2:$2,0)+2),MATCH("タイプ",[1]characters!$1:$1,0)-MATCH($G$1,[1]characters!$2:$2,0)+2,FALSE)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7" s="10" t="str">
        <f ca="1">VLOOKUP($G7,OFFSET([1]characters!$A$2,0,0,COUNTA([1]characters!$A:$A),MATCH($M$1,[1]characters!$1:$1,0)-MATCH($G$1,[1]characters!$2:$2,0)+2),MATCH($M$1,[1]characters!$1:$1,0)-MATCH($G$1,[1]characters!$2:$2,0)+2,FALSE)</f>
        <v>ヒューマン</v>
      </c>
      <c r="N7" s="6">
        <v>1</v>
      </c>
      <c r="O7" s="43">
        <f ca="1">VLOOKUP(D7,gacha_114_base!A:K,11,FALSE)</f>
        <v>2050</v>
      </c>
      <c r="P7" s="28">
        <v>0</v>
      </c>
      <c r="Q7" s="28">
        <v>0</v>
      </c>
      <c r="R7" s="28">
        <v>0</v>
      </c>
      <c r="S7" s="28">
        <v>0</v>
      </c>
      <c r="T7" s="28">
        <v>1</v>
      </c>
    </row>
    <row r="8" spans="1:20" ht="21" customHeight="1">
      <c r="A8" s="8" t="str">
        <f t="shared" si="0"/>
        <v>11391</v>
      </c>
      <c r="B8" s="2">
        <v>114</v>
      </c>
      <c r="C8" s="10" t="str">
        <f t="shared" ca="1" si="1"/>
        <v>1PremiumW4</v>
      </c>
      <c r="D8" s="10" t="str">
        <f t="shared" ca="1" si="2"/>
        <v>1PremiumW4</v>
      </c>
      <c r="E8" s="10" t="str">
        <f t="shared" si="3"/>
        <v/>
      </c>
      <c r="F8" s="6">
        <v>1</v>
      </c>
      <c r="G8" s="7">
        <v>139</v>
      </c>
      <c r="H8" s="10" t="str">
        <f ca="1">VLOOKUP($G8,OFFSET([1]characters!$A$2,0,0,COUNTA([1]characters!$A:$A),MATCH(H$1,[1]characters!$2:$2,0)-MATCH($G$1,[1]characters!$2:$2,0)+1),MATCH(H$1,[1]characters!$2:$2,0)-MATCH($G$1,[1]characters!$2:$2,0)+1,FALSE)</f>
        <v>蒼昇刃姫 トモエ</v>
      </c>
      <c r="I8" s="10" t="str">
        <f ca="1">VLOOKUP($G8,OFFSET([1]characters!$A$2,0,0,COUNTA([1]characters!$A:$A),MATCH(I$1,[1]characters!$2:$2,0)-MATCH($G$1,[1]characters!$2:$2,0)+1),MATCH(I$1,[1]characters!$2:$2,0)-MATCH($G$1,[1]characters!$2:$2,0)+1,FALSE)</f>
        <v>PremiumW</v>
      </c>
      <c r="J8" s="10">
        <f ca="1">VLOOKUP($G8,OFFSET([1]characters!$A$2,0,0,COUNTA([1]characters!$A:$A),MATCH(J$1,[1]characters!$2:$2,0)-MATCH($G$1,[1]characters!$2:$2,0)+1),MATCH(J$1,[1]characters!$2:$2,0)-MATCH($G$1,[1]characters!$2:$2,0)+1,FALSE)</f>
        <v>4</v>
      </c>
      <c r="K8" s="10" t="str">
        <f ca="1">VLOOKUP($G8,OFFSET([1]characters!$A$2,0,0,COUNTA([1]characters!$A:$A),MATCH(K$1,[1]characters!$2:$2,0)-MATCH($G$1,[1]characters!$2:$2,0)+1),MATCH(K$1,[1]characters!$2:$2,0)-MATCH($G$1,[1]characters!$2:$2,0)+1,FALSE)</f>
        <v>blue</v>
      </c>
      <c r="L8" s="10" t="str">
        <f ca="1">VLOOKUP($G8,OFFSET([1]characters!$A$2,0,0,COUNTA([1]characters!$A:$A),MATCH("タイプ",[1]characters!$1:$1,0)-MATCH($G$1,[1]characters!$2:$2,0)+2),MATCH("タイプ",[1]characters!$1:$1,0)-MATCH($G$1,[1]characters!$2:$2,0)+2,FALSE)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8" s="10" t="str">
        <f ca="1">VLOOKUP($G8,OFFSET([1]characters!$A$2,0,0,COUNTA([1]characters!$A:$A),MATCH($M$1,[1]characters!$1:$1,0)-MATCH($G$1,[1]characters!$2:$2,0)+2),MATCH($M$1,[1]characters!$1:$1,0)-MATCH($G$1,[1]characters!$2:$2,0)+2,FALSE)</f>
        <v>ヒューマン</v>
      </c>
      <c r="N8" s="6">
        <v>1</v>
      </c>
      <c r="O8" s="43">
        <f ca="1">VLOOKUP(D8,gacha_114_base!A:K,11,FALSE)</f>
        <v>2050</v>
      </c>
      <c r="P8" s="28">
        <v>0</v>
      </c>
      <c r="Q8" s="28">
        <v>0</v>
      </c>
      <c r="R8" s="28">
        <v>0</v>
      </c>
      <c r="S8" s="28">
        <v>0</v>
      </c>
      <c r="T8" s="28">
        <v>1</v>
      </c>
    </row>
    <row r="9" spans="1:20" ht="21" customHeight="1">
      <c r="A9" s="8" t="str">
        <f t="shared" si="0"/>
        <v>11411</v>
      </c>
      <c r="B9" s="2">
        <v>114</v>
      </c>
      <c r="C9" s="10" t="str">
        <f t="shared" ca="1" si="1"/>
        <v>1PremiumW4</v>
      </c>
      <c r="D9" s="10" t="str">
        <f t="shared" ca="1" si="2"/>
        <v>1PremiumW4</v>
      </c>
      <c r="E9" s="10" t="str">
        <f t="shared" si="3"/>
        <v/>
      </c>
      <c r="F9" s="6">
        <v>1</v>
      </c>
      <c r="G9" s="7">
        <v>141</v>
      </c>
      <c r="H9" s="10" t="str">
        <f ca="1">VLOOKUP($G9,OFFSET([1]characters!$A$2,0,0,COUNTA([1]characters!$A:$A),MATCH(H$1,[1]characters!$2:$2,0)-MATCH($G$1,[1]characters!$2:$2,0)+1),MATCH(H$1,[1]characters!$2:$2,0)-MATCH($G$1,[1]characters!$2:$2,0)+1,FALSE)</f>
        <v>妖狐演舞 タマモ</v>
      </c>
      <c r="I9" s="10" t="str">
        <f ca="1">VLOOKUP($G9,OFFSET([1]characters!$A$2,0,0,COUNTA([1]characters!$A:$A),MATCH(I$1,[1]characters!$2:$2,0)-MATCH($G$1,[1]characters!$2:$2,0)+1),MATCH(I$1,[1]characters!$2:$2,0)-MATCH($G$1,[1]characters!$2:$2,0)+1,FALSE)</f>
        <v>PremiumW</v>
      </c>
      <c r="J9" s="10">
        <f ca="1">VLOOKUP($G9,OFFSET([1]characters!$A$2,0,0,COUNTA([1]characters!$A:$A),MATCH(J$1,[1]characters!$2:$2,0)-MATCH($G$1,[1]characters!$2:$2,0)+1),MATCH(J$1,[1]characters!$2:$2,0)-MATCH($G$1,[1]characters!$2:$2,0)+1,FALSE)</f>
        <v>4</v>
      </c>
      <c r="K9" s="10" t="str">
        <f ca="1">VLOOKUP($G9,OFFSET([1]characters!$A$2,0,0,COUNTA([1]characters!$A:$A),MATCH(K$1,[1]characters!$2:$2,0)-MATCH($G$1,[1]characters!$2:$2,0)+1),MATCH(K$1,[1]characters!$2:$2,0)-MATCH($G$1,[1]characters!$2:$2,0)+1,FALSE)</f>
        <v>yellow</v>
      </c>
      <c r="L9" s="10" t="str">
        <f ca="1">VLOOKUP($G9,OFFSET([1]characters!$A$2,0,0,COUNTA([1]characters!$A:$A),MATCH("タイプ",[1]characters!$1:$1,0)-MATCH($G$1,[1]characters!$2:$2,0)+2),MATCH("タイプ",[1]characters!$1:$1,0)-MATCH($G$1,[1]characters!$2:$2,0)+2,FALSE)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9" s="10" t="str">
        <f ca="1">VLOOKUP($G9,OFFSET([1]characters!$A$2,0,0,COUNTA([1]characters!$A:$A),MATCH($M$1,[1]characters!$1:$1,0)-MATCH($G$1,[1]characters!$2:$2,0)+2),MATCH($M$1,[1]characters!$1:$1,0)-MATCH($G$1,[1]characters!$2:$2,0)+2,FALSE)</f>
        <v>アニマル</v>
      </c>
      <c r="N9" s="6">
        <v>1</v>
      </c>
      <c r="O9" s="43">
        <f ca="1">VLOOKUP(D9,gacha_114_base!A:K,11,FALSE)</f>
        <v>2050</v>
      </c>
      <c r="P9" s="28">
        <v>0</v>
      </c>
      <c r="Q9" s="28">
        <v>0</v>
      </c>
      <c r="R9" s="28">
        <v>0</v>
      </c>
      <c r="S9" s="28">
        <v>0</v>
      </c>
      <c r="T9" s="28">
        <v>1</v>
      </c>
    </row>
    <row r="10" spans="1:20" ht="21" customHeight="1">
      <c r="A10" s="8" t="str">
        <f t="shared" si="0"/>
        <v>11431</v>
      </c>
      <c r="B10" s="2">
        <v>114</v>
      </c>
      <c r="C10" s="10" t="str">
        <f t="shared" ca="1" si="1"/>
        <v>1PremiumW4</v>
      </c>
      <c r="D10" s="10" t="str">
        <f t="shared" ca="1" si="2"/>
        <v>1PremiumW4</v>
      </c>
      <c r="E10" s="10" t="str">
        <f t="shared" si="3"/>
        <v/>
      </c>
      <c r="F10" s="6">
        <v>1</v>
      </c>
      <c r="G10" s="7">
        <v>143</v>
      </c>
      <c r="H10" s="10" t="str">
        <f ca="1">VLOOKUP($G10,OFFSET([1]characters!$A$2,0,0,COUNTA([1]characters!$A:$A),MATCH(H$1,[1]characters!$2:$2,0)-MATCH($G$1,[1]characters!$2:$2,0)+1),MATCH(H$1,[1]characters!$2:$2,0)-MATCH($G$1,[1]characters!$2:$2,0)+1,FALSE)</f>
        <v>深紅の死神 赤ずきん</v>
      </c>
      <c r="I10" s="10" t="str">
        <f ca="1">VLOOKUP($G10,OFFSET([1]characters!$A$2,0,0,COUNTA([1]characters!$A:$A),MATCH(I$1,[1]characters!$2:$2,0)-MATCH($G$1,[1]characters!$2:$2,0)+1),MATCH(I$1,[1]characters!$2:$2,0)-MATCH($G$1,[1]characters!$2:$2,0)+1,FALSE)</f>
        <v>PremiumW</v>
      </c>
      <c r="J10" s="10">
        <f ca="1">VLOOKUP($G10,OFFSET([1]characters!$A$2,0,0,COUNTA([1]characters!$A:$A),MATCH(J$1,[1]characters!$2:$2,0)-MATCH($G$1,[1]characters!$2:$2,0)+1),MATCH(J$1,[1]characters!$2:$2,0)-MATCH($G$1,[1]characters!$2:$2,0)+1,FALSE)</f>
        <v>4</v>
      </c>
      <c r="K10" s="10" t="str">
        <f ca="1">VLOOKUP($G10,OFFSET([1]characters!$A$2,0,0,COUNTA([1]characters!$A:$A),MATCH(K$1,[1]characters!$2:$2,0)-MATCH($G$1,[1]characters!$2:$2,0)+1),MATCH(K$1,[1]characters!$2:$2,0)-MATCH($G$1,[1]characters!$2:$2,0)+1,FALSE)</f>
        <v>red</v>
      </c>
      <c r="L10" s="10" t="str">
        <f ca="1">VLOOKUP($G10,OFFSET([1]characters!$A$2,0,0,COUNTA([1]characters!$A:$A),MATCH("タイプ",[1]characters!$1:$1,0)-MATCH($G$1,[1]characters!$2:$2,0)+2),MATCH("タイプ",[1]characters!$1:$1,0)-MATCH($G$1,[1]characters!$2:$2,0)+2,FALSE)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0" s="10" t="str">
        <f ca="1">VLOOKUP($G10,OFFSET([1]characters!$A$2,0,0,COUNTA([1]characters!$A:$A),MATCH($M$1,[1]characters!$1:$1,0)-MATCH($G$1,[1]characters!$2:$2,0)+2),MATCH($M$1,[1]characters!$1:$1,0)-MATCH($G$1,[1]characters!$2:$2,0)+2,FALSE)</f>
        <v>ヒューマン</v>
      </c>
      <c r="N10" s="6">
        <v>1</v>
      </c>
      <c r="O10" s="43">
        <f ca="1">VLOOKUP(D10,gacha_114_base!A:K,11,FALSE)</f>
        <v>2050</v>
      </c>
      <c r="P10" s="28">
        <v>0</v>
      </c>
      <c r="Q10" s="28">
        <v>0</v>
      </c>
      <c r="R10" s="28">
        <v>0</v>
      </c>
      <c r="S10" s="28">
        <v>0</v>
      </c>
      <c r="T10" s="28">
        <v>1</v>
      </c>
    </row>
    <row r="11" spans="1:20" ht="21" customHeight="1">
      <c r="A11" s="8" t="str">
        <f t="shared" si="0"/>
        <v>11451</v>
      </c>
      <c r="B11" s="2">
        <v>114</v>
      </c>
      <c r="C11" s="10" t="str">
        <f t="shared" ca="1" si="1"/>
        <v>1PremiumW4</v>
      </c>
      <c r="D11" s="10" t="str">
        <f t="shared" ca="1" si="2"/>
        <v>1PremiumW4</v>
      </c>
      <c r="E11" s="10" t="str">
        <f t="shared" si="3"/>
        <v/>
      </c>
      <c r="F11" s="6">
        <v>1</v>
      </c>
      <c r="G11" s="7">
        <v>145</v>
      </c>
      <c r="H11" s="10" t="str">
        <f ca="1">VLOOKUP($G11,OFFSET([1]characters!$A$2,0,0,COUNTA([1]characters!$A:$A),MATCH(H$1,[1]characters!$2:$2,0)-MATCH($G$1,[1]characters!$2:$2,0)+1),MATCH(H$1,[1]characters!$2:$2,0)-MATCH($G$1,[1]characters!$2:$2,0)+1,FALSE)</f>
        <v>魔性妖艶 かぐや</v>
      </c>
      <c r="I11" s="10" t="str">
        <f ca="1">VLOOKUP($G11,OFFSET([1]characters!$A$2,0,0,COUNTA([1]characters!$A:$A),MATCH(I$1,[1]characters!$2:$2,0)-MATCH($G$1,[1]characters!$2:$2,0)+1),MATCH(I$1,[1]characters!$2:$2,0)-MATCH($G$1,[1]characters!$2:$2,0)+1,FALSE)</f>
        <v>PremiumW</v>
      </c>
      <c r="J11" s="10">
        <f ca="1">VLOOKUP($G11,OFFSET([1]characters!$A$2,0,0,COUNTA([1]characters!$A:$A),MATCH(J$1,[1]characters!$2:$2,0)-MATCH($G$1,[1]characters!$2:$2,0)+1),MATCH(J$1,[1]characters!$2:$2,0)-MATCH($G$1,[1]characters!$2:$2,0)+1,FALSE)</f>
        <v>4</v>
      </c>
      <c r="K11" s="10" t="str">
        <f ca="1">VLOOKUP($G11,OFFSET([1]characters!$A$2,0,0,COUNTA([1]characters!$A:$A),MATCH(K$1,[1]characters!$2:$2,0)-MATCH($G$1,[1]characters!$2:$2,0)+1),MATCH(K$1,[1]characters!$2:$2,0)-MATCH($G$1,[1]characters!$2:$2,0)+1,FALSE)</f>
        <v>green</v>
      </c>
      <c r="L11" s="10" t="str">
        <f ca="1">VLOOKUP($G11,OFFSET([1]characters!$A$2,0,0,COUNTA([1]characters!$A:$A),MATCH("タイプ",[1]characters!$1:$1,0)-MATCH($G$1,[1]characters!$2:$2,0)+2),MATCH("タイプ",[1]characters!$1:$1,0)-MATCH($G$1,[1]characters!$2:$2,0)+2,FALSE)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1" s="10" t="str">
        <f ca="1">VLOOKUP($G11,OFFSET([1]characters!$A$2,0,0,COUNTA([1]characters!$A:$A),MATCH($M$1,[1]characters!$1:$1,0)-MATCH($G$1,[1]characters!$2:$2,0)+2),MATCH($M$1,[1]characters!$1:$1,0)-MATCH($G$1,[1]characters!$2:$2,0)+2,FALSE)</f>
        <v>ヒューマン</v>
      </c>
      <c r="N11" s="6">
        <v>1</v>
      </c>
      <c r="O11" s="43">
        <f ca="1">VLOOKUP(D11,gacha_114_base!A:K,11,FALSE)</f>
        <v>2050</v>
      </c>
      <c r="P11" s="28">
        <v>0</v>
      </c>
      <c r="Q11" s="28">
        <v>0</v>
      </c>
      <c r="R11" s="28">
        <v>0</v>
      </c>
      <c r="S11" s="28">
        <v>0</v>
      </c>
      <c r="T11" s="28">
        <v>1</v>
      </c>
    </row>
    <row r="12" spans="1:20" ht="21" customHeight="1">
      <c r="A12" s="8" t="str">
        <f t="shared" si="0"/>
        <v>11471</v>
      </c>
      <c r="B12" s="2">
        <v>114</v>
      </c>
      <c r="C12" s="10" t="str">
        <f t="shared" ca="1" si="1"/>
        <v>1PremiumW4</v>
      </c>
      <c r="D12" s="10" t="str">
        <f t="shared" ca="1" si="2"/>
        <v>1PremiumW4</v>
      </c>
      <c r="E12" s="10" t="str">
        <f t="shared" si="3"/>
        <v/>
      </c>
      <c r="F12" s="6">
        <v>1</v>
      </c>
      <c r="G12" s="7">
        <v>147</v>
      </c>
      <c r="H12" s="10" t="str">
        <f ca="1">VLOOKUP($G12,OFFSET([1]characters!$A$2,0,0,COUNTA([1]characters!$A:$A),MATCH(H$1,[1]characters!$2:$2,0)-MATCH($G$1,[1]characters!$2:$2,0)+1),MATCH(H$1,[1]characters!$2:$2,0)-MATCH($G$1,[1]characters!$2:$2,0)+1,FALSE)</f>
        <v>蒼き閃光 元マーメイド</v>
      </c>
      <c r="I12" s="10" t="str">
        <f ca="1">VLOOKUP($G12,OFFSET([1]characters!$A$2,0,0,COUNTA([1]characters!$A:$A),MATCH(I$1,[1]characters!$2:$2,0)-MATCH($G$1,[1]characters!$2:$2,0)+1),MATCH(I$1,[1]characters!$2:$2,0)-MATCH($G$1,[1]characters!$2:$2,0)+1,FALSE)</f>
        <v>PremiumW</v>
      </c>
      <c r="J12" s="10">
        <f ca="1">VLOOKUP($G12,OFFSET([1]characters!$A$2,0,0,COUNTA([1]characters!$A:$A),MATCH(J$1,[1]characters!$2:$2,0)-MATCH($G$1,[1]characters!$2:$2,0)+1),MATCH(J$1,[1]characters!$2:$2,0)-MATCH($G$1,[1]characters!$2:$2,0)+1,FALSE)</f>
        <v>4</v>
      </c>
      <c r="K12" s="10" t="str">
        <f ca="1">VLOOKUP($G12,OFFSET([1]characters!$A$2,0,0,COUNTA([1]characters!$A:$A),MATCH(K$1,[1]characters!$2:$2,0)-MATCH($G$1,[1]characters!$2:$2,0)+1),MATCH(K$1,[1]characters!$2:$2,0)-MATCH($G$1,[1]characters!$2:$2,0)+1,FALSE)</f>
        <v>blue</v>
      </c>
      <c r="L12" s="10" t="str">
        <f ca="1">VLOOKUP($G12,OFFSET([1]characters!$A$2,0,0,COUNTA([1]characters!$A:$A),MATCH("タイプ",[1]characters!$1:$1,0)-MATCH($G$1,[1]characters!$2:$2,0)+2),MATCH("タイプ",[1]characters!$1:$1,0)-MATCH($G$1,[1]characters!$2:$2,0)+2,FALSE)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2" s="10" t="str">
        <f ca="1">VLOOKUP($G12,OFFSET([1]characters!$A$2,0,0,COUNTA([1]characters!$A:$A),MATCH($M$1,[1]characters!$1:$1,0)-MATCH($G$1,[1]characters!$2:$2,0)+2),MATCH($M$1,[1]characters!$1:$1,0)-MATCH($G$1,[1]characters!$2:$2,0)+2,FALSE)</f>
        <v>ヒューマン</v>
      </c>
      <c r="N12" s="6">
        <v>1</v>
      </c>
      <c r="O12" s="43">
        <f ca="1">VLOOKUP(D12,gacha_114_base!A:K,11,FALSE)</f>
        <v>2050</v>
      </c>
      <c r="P12" s="28">
        <v>0</v>
      </c>
      <c r="Q12" s="28">
        <v>0</v>
      </c>
      <c r="R12" s="28">
        <v>0</v>
      </c>
      <c r="S12" s="28">
        <v>0</v>
      </c>
      <c r="T12" s="28">
        <v>1</v>
      </c>
    </row>
    <row r="13" spans="1:20" ht="21" customHeight="1">
      <c r="A13" s="8" t="str">
        <f t="shared" si="0"/>
        <v>11491</v>
      </c>
      <c r="B13" s="2">
        <v>114</v>
      </c>
      <c r="C13" s="10" t="str">
        <f t="shared" ca="1" si="1"/>
        <v>1PremiumW4</v>
      </c>
      <c r="D13" s="10" t="str">
        <f t="shared" ca="1" si="2"/>
        <v>1PremiumW4</v>
      </c>
      <c r="E13" s="10" t="str">
        <f t="shared" si="3"/>
        <v/>
      </c>
      <c r="F13" s="6">
        <v>1</v>
      </c>
      <c r="G13" s="7">
        <v>149</v>
      </c>
      <c r="H13" s="10" t="str">
        <f ca="1">VLOOKUP($G13,OFFSET([1]characters!$A$2,0,0,COUNTA([1]characters!$A:$A),MATCH(H$1,[1]characters!$2:$2,0)-MATCH($G$1,[1]characters!$2:$2,0)+1),MATCH(H$1,[1]characters!$2:$2,0)-MATCH($G$1,[1]characters!$2:$2,0)+1,FALSE)</f>
        <v>雷撃蹴技を極めし者 シンデレラ</v>
      </c>
      <c r="I13" s="10" t="str">
        <f ca="1">VLOOKUP($G13,OFFSET([1]characters!$A$2,0,0,COUNTA([1]characters!$A:$A),MATCH(I$1,[1]characters!$2:$2,0)-MATCH($G$1,[1]characters!$2:$2,0)+1),MATCH(I$1,[1]characters!$2:$2,0)-MATCH($G$1,[1]characters!$2:$2,0)+1,FALSE)</f>
        <v>PremiumW</v>
      </c>
      <c r="J13" s="10">
        <f ca="1">VLOOKUP($G13,OFFSET([1]characters!$A$2,0,0,COUNTA([1]characters!$A:$A),MATCH(J$1,[1]characters!$2:$2,0)-MATCH($G$1,[1]characters!$2:$2,0)+1),MATCH(J$1,[1]characters!$2:$2,0)-MATCH($G$1,[1]characters!$2:$2,0)+1,FALSE)</f>
        <v>4</v>
      </c>
      <c r="K13" s="10" t="str">
        <f ca="1">VLOOKUP($G13,OFFSET([1]characters!$A$2,0,0,COUNTA([1]characters!$A:$A),MATCH(K$1,[1]characters!$2:$2,0)-MATCH($G$1,[1]characters!$2:$2,0)+1),MATCH(K$1,[1]characters!$2:$2,0)-MATCH($G$1,[1]characters!$2:$2,0)+1,FALSE)</f>
        <v>yellow</v>
      </c>
      <c r="L13" s="10" t="str">
        <f ca="1">VLOOKUP($G13,OFFSET([1]characters!$A$2,0,0,COUNTA([1]characters!$A:$A),MATCH("タイプ",[1]characters!$1:$1,0)-MATCH($G$1,[1]characters!$2:$2,0)+2),MATCH("タイプ",[1]characters!$1:$1,0)-MATCH($G$1,[1]characters!$2:$2,0)+2,FALSE)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3" s="10" t="str">
        <f ca="1">VLOOKUP($G13,OFFSET([1]characters!$A$2,0,0,COUNTA([1]characters!$A:$A),MATCH($M$1,[1]characters!$1:$1,0)-MATCH($G$1,[1]characters!$2:$2,0)+2),MATCH($M$1,[1]characters!$1:$1,0)-MATCH($G$1,[1]characters!$2:$2,0)+2,FALSE)</f>
        <v>ヒューマン</v>
      </c>
      <c r="N13" s="6">
        <v>1</v>
      </c>
      <c r="O13" s="43">
        <f ca="1">VLOOKUP(D13,gacha_114_base!A:K,11,FALSE)</f>
        <v>2050</v>
      </c>
      <c r="P13" s="28">
        <v>0</v>
      </c>
      <c r="Q13" s="28">
        <v>0</v>
      </c>
      <c r="R13" s="28">
        <v>0</v>
      </c>
      <c r="S13" s="28">
        <v>0</v>
      </c>
      <c r="T13" s="28">
        <v>1</v>
      </c>
    </row>
    <row r="14" spans="1:20" ht="21" customHeight="1">
      <c r="A14" s="8" t="str">
        <f t="shared" si="0"/>
        <v>11511</v>
      </c>
      <c r="B14" s="2">
        <v>114</v>
      </c>
      <c r="C14" s="10" t="str">
        <f t="shared" ca="1" si="1"/>
        <v>1PremiumW4</v>
      </c>
      <c r="D14" s="10" t="str">
        <f t="shared" ca="1" si="2"/>
        <v>1PremiumW4</v>
      </c>
      <c r="E14" s="10" t="str">
        <f t="shared" si="3"/>
        <v/>
      </c>
      <c r="F14" s="6">
        <v>1</v>
      </c>
      <c r="G14" s="7">
        <v>151</v>
      </c>
      <c r="H14" s="10" t="str">
        <f ca="1">VLOOKUP($G14,OFFSET([1]characters!$A$2,0,0,COUNTA([1]characters!$A:$A),MATCH(H$1,[1]characters!$2:$2,0)-MATCH($G$1,[1]characters!$2:$2,0)+1),MATCH(H$1,[1]characters!$2:$2,0)-MATCH($G$1,[1]characters!$2:$2,0)+1,FALSE)</f>
        <v>毒煙の処刑人サキ</v>
      </c>
      <c r="I14" s="10" t="str">
        <f ca="1">VLOOKUP($G14,OFFSET([1]characters!$A$2,0,0,COUNTA([1]characters!$A:$A),MATCH(I$1,[1]characters!$2:$2,0)-MATCH($G$1,[1]characters!$2:$2,0)+1),MATCH(I$1,[1]characters!$2:$2,0)-MATCH($G$1,[1]characters!$2:$2,0)+1,FALSE)</f>
        <v>PremiumW</v>
      </c>
      <c r="J14" s="10">
        <f ca="1">VLOOKUP($G14,OFFSET([1]characters!$A$2,0,0,COUNTA([1]characters!$A:$A),MATCH(J$1,[1]characters!$2:$2,0)-MATCH($G$1,[1]characters!$2:$2,0)+1),MATCH(J$1,[1]characters!$2:$2,0)-MATCH($G$1,[1]characters!$2:$2,0)+1,FALSE)</f>
        <v>4</v>
      </c>
      <c r="K14" s="10" t="str">
        <f ca="1">VLOOKUP($G14,OFFSET([1]characters!$A$2,0,0,COUNTA([1]characters!$A:$A),MATCH(K$1,[1]characters!$2:$2,0)-MATCH($G$1,[1]characters!$2:$2,0)+1),MATCH(K$1,[1]characters!$2:$2,0)-MATCH($G$1,[1]characters!$2:$2,0)+1,FALSE)</f>
        <v>red</v>
      </c>
      <c r="L14" s="10" t="str">
        <f ca="1">VLOOKUP($G14,OFFSET([1]characters!$A$2,0,0,COUNTA([1]characters!$A:$A),MATCH("タイプ",[1]characters!$1:$1,0)-MATCH($G$1,[1]characters!$2:$2,0)+2),MATCH("タイプ",[1]characters!$1:$1,0)-MATCH($G$1,[1]characters!$2:$2,0)+2,FALSE)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4" s="10" t="str">
        <f ca="1">VLOOKUP($G14,OFFSET([1]characters!$A$2,0,0,COUNTA([1]characters!$A:$A),MATCH($M$1,[1]characters!$1:$1,0)-MATCH($G$1,[1]characters!$2:$2,0)+2),MATCH($M$1,[1]characters!$1:$1,0)-MATCH($G$1,[1]characters!$2:$2,0)+2,FALSE)</f>
        <v>ヒューマン</v>
      </c>
      <c r="N14" s="6">
        <v>1</v>
      </c>
      <c r="O14" s="43">
        <f ca="1">VLOOKUP(D14,gacha_114_base!A:K,11,FALSE)</f>
        <v>2050</v>
      </c>
      <c r="P14" s="28">
        <v>0</v>
      </c>
      <c r="Q14" s="28">
        <v>0</v>
      </c>
      <c r="R14" s="28">
        <v>0</v>
      </c>
      <c r="S14" s="28">
        <v>0</v>
      </c>
      <c r="T14" s="28">
        <v>1</v>
      </c>
    </row>
    <row r="15" spans="1:20" ht="21" customHeight="1">
      <c r="A15" s="8" t="str">
        <f t="shared" si="0"/>
        <v>11531</v>
      </c>
      <c r="B15" s="2">
        <v>114</v>
      </c>
      <c r="C15" s="10" t="str">
        <f t="shared" ca="1" si="1"/>
        <v>1PremiumW4</v>
      </c>
      <c r="D15" s="10" t="str">
        <f t="shared" ca="1" si="2"/>
        <v>1PremiumW4</v>
      </c>
      <c r="E15" s="10" t="str">
        <f t="shared" si="3"/>
        <v/>
      </c>
      <c r="F15" s="6">
        <v>1</v>
      </c>
      <c r="G15" s="7">
        <v>153</v>
      </c>
      <c r="H15" s="10" t="str">
        <f ca="1">VLOOKUP($G15,OFFSET([1]characters!$A$2,0,0,COUNTA([1]characters!$A:$A),MATCH(H$1,[1]characters!$2:$2,0)-MATCH($G$1,[1]characters!$2:$2,0)+1),MATCH(H$1,[1]characters!$2:$2,0)-MATCH($G$1,[1]characters!$2:$2,0)+1,FALSE)</f>
        <v>拳聖ランラン</v>
      </c>
      <c r="I15" s="10" t="str">
        <f ca="1">VLOOKUP($G15,OFFSET([1]characters!$A$2,0,0,COUNTA([1]characters!$A:$A),MATCH(I$1,[1]characters!$2:$2,0)-MATCH($G$1,[1]characters!$2:$2,0)+1),MATCH(I$1,[1]characters!$2:$2,0)-MATCH($G$1,[1]characters!$2:$2,0)+1,FALSE)</f>
        <v>PremiumW</v>
      </c>
      <c r="J15" s="10">
        <f ca="1">VLOOKUP($G15,OFFSET([1]characters!$A$2,0,0,COUNTA([1]characters!$A:$A),MATCH(J$1,[1]characters!$2:$2,0)-MATCH($G$1,[1]characters!$2:$2,0)+1),MATCH(J$1,[1]characters!$2:$2,0)-MATCH($G$1,[1]characters!$2:$2,0)+1,FALSE)</f>
        <v>4</v>
      </c>
      <c r="K15" s="10" t="str">
        <f ca="1">VLOOKUP($G15,OFFSET([1]characters!$A$2,0,0,COUNTA([1]characters!$A:$A),MATCH(K$1,[1]characters!$2:$2,0)-MATCH($G$1,[1]characters!$2:$2,0)+1),MATCH(K$1,[1]characters!$2:$2,0)-MATCH($G$1,[1]characters!$2:$2,0)+1,FALSE)</f>
        <v>green</v>
      </c>
      <c r="L15" s="10" t="str">
        <f ca="1">VLOOKUP($G15,OFFSET([1]characters!$A$2,0,0,COUNTA([1]characters!$A:$A),MATCH("タイプ",[1]characters!$1:$1,0)-MATCH($G$1,[1]characters!$2:$2,0)+2),MATCH("タイプ",[1]characters!$1:$1,0)-MATCH($G$1,[1]characters!$2:$2,0)+2,FALSE)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5" s="10" t="str">
        <f ca="1">VLOOKUP($G15,OFFSET([1]characters!$A$2,0,0,COUNTA([1]characters!$A:$A),MATCH($M$1,[1]characters!$1:$1,0)-MATCH($G$1,[1]characters!$2:$2,0)+2),MATCH($M$1,[1]characters!$1:$1,0)-MATCH($G$1,[1]characters!$2:$2,0)+2,FALSE)</f>
        <v>ヒューマン</v>
      </c>
      <c r="N15" s="6">
        <v>1</v>
      </c>
      <c r="O15" s="43">
        <f ca="1">VLOOKUP(D15,gacha_114_base!A:K,11,FALSE)</f>
        <v>2050</v>
      </c>
      <c r="P15" s="28">
        <v>0</v>
      </c>
      <c r="Q15" s="28">
        <v>0</v>
      </c>
      <c r="R15" s="28">
        <v>0</v>
      </c>
      <c r="S15" s="28">
        <v>0</v>
      </c>
      <c r="T15" s="28">
        <v>1</v>
      </c>
    </row>
    <row r="16" spans="1:20" ht="21" customHeight="1">
      <c r="A16" s="8" t="str">
        <f t="shared" si="0"/>
        <v>11551</v>
      </c>
      <c r="B16" s="2">
        <v>114</v>
      </c>
      <c r="C16" s="10" t="str">
        <f t="shared" ca="1" si="1"/>
        <v>1PremiumW4</v>
      </c>
      <c r="D16" s="10" t="str">
        <f t="shared" ca="1" si="2"/>
        <v>1PremiumW4</v>
      </c>
      <c r="E16" s="10" t="str">
        <f t="shared" si="3"/>
        <v/>
      </c>
      <c r="F16" s="6">
        <v>1</v>
      </c>
      <c r="G16" s="7">
        <v>155</v>
      </c>
      <c r="H16" s="10" t="str">
        <f ca="1">VLOOKUP($G16,OFFSET([1]characters!$A$2,0,0,COUNTA([1]characters!$A:$A),MATCH(H$1,[1]characters!$2:$2,0)-MATCH($G$1,[1]characters!$2:$2,0)+1),MATCH(H$1,[1]characters!$2:$2,0)-MATCH($G$1,[1]characters!$2:$2,0)+1,FALSE)</f>
        <v>隻眼の掃除屋 ハンナ</v>
      </c>
      <c r="I16" s="10" t="str">
        <f ca="1">VLOOKUP($G16,OFFSET([1]characters!$A$2,0,0,COUNTA([1]characters!$A:$A),MATCH(I$1,[1]characters!$2:$2,0)-MATCH($G$1,[1]characters!$2:$2,0)+1),MATCH(I$1,[1]characters!$2:$2,0)-MATCH($G$1,[1]characters!$2:$2,0)+1,FALSE)</f>
        <v>PremiumW</v>
      </c>
      <c r="J16" s="10">
        <f ca="1">VLOOKUP($G16,OFFSET([1]characters!$A$2,0,0,COUNTA([1]characters!$A:$A),MATCH(J$1,[1]characters!$2:$2,0)-MATCH($G$1,[1]characters!$2:$2,0)+1),MATCH(J$1,[1]characters!$2:$2,0)-MATCH($G$1,[1]characters!$2:$2,0)+1,FALSE)</f>
        <v>4</v>
      </c>
      <c r="K16" s="10" t="str">
        <f ca="1">VLOOKUP($G16,OFFSET([1]characters!$A$2,0,0,COUNTA([1]characters!$A:$A),MATCH(K$1,[1]characters!$2:$2,0)-MATCH($G$1,[1]characters!$2:$2,0)+1),MATCH(K$1,[1]characters!$2:$2,0)-MATCH($G$1,[1]characters!$2:$2,0)+1,FALSE)</f>
        <v>blue</v>
      </c>
      <c r="L16" s="10" t="str">
        <f ca="1">VLOOKUP($G16,OFFSET([1]characters!$A$2,0,0,COUNTA([1]characters!$A:$A),MATCH("タイプ",[1]characters!$1:$1,0)-MATCH($G$1,[1]characters!$2:$2,0)+2),MATCH("タイプ",[1]characters!$1:$1,0)-MATCH($G$1,[1]characters!$2:$2,0)+2,FALSE)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6" s="10" t="str">
        <f ca="1">VLOOKUP($G16,OFFSET([1]characters!$A$2,0,0,COUNTA([1]characters!$A:$A),MATCH($M$1,[1]characters!$1:$1,0)-MATCH($G$1,[1]characters!$2:$2,0)+2),MATCH($M$1,[1]characters!$1:$1,0)-MATCH($G$1,[1]characters!$2:$2,0)+2,FALSE)</f>
        <v>ヒューマン</v>
      </c>
      <c r="N16" s="6">
        <v>1</v>
      </c>
      <c r="O16" s="43">
        <f ca="1">VLOOKUP(D16,gacha_114_base!A:K,11,FALSE)</f>
        <v>2050</v>
      </c>
      <c r="P16" s="28">
        <v>0</v>
      </c>
      <c r="Q16" s="28">
        <v>0</v>
      </c>
      <c r="R16" s="28">
        <v>0</v>
      </c>
      <c r="S16" s="28">
        <v>0</v>
      </c>
      <c r="T16" s="28">
        <v>1</v>
      </c>
    </row>
    <row r="17" spans="1:20" ht="21" customHeight="1">
      <c r="A17" s="8" t="str">
        <f t="shared" si="0"/>
        <v>11571</v>
      </c>
      <c r="B17" s="2">
        <v>114</v>
      </c>
      <c r="C17" s="10" t="str">
        <f t="shared" ca="1" si="1"/>
        <v>1PremiumW4</v>
      </c>
      <c r="D17" s="10" t="str">
        <f t="shared" ca="1" si="2"/>
        <v>1PremiumW4</v>
      </c>
      <c r="E17" s="10" t="str">
        <f t="shared" si="3"/>
        <v/>
      </c>
      <c r="F17" s="6">
        <v>1</v>
      </c>
      <c r="G17" s="7">
        <v>157</v>
      </c>
      <c r="H17" s="10" t="str">
        <f ca="1">VLOOKUP($G17,OFFSET([1]characters!$A$2,0,0,COUNTA([1]characters!$A:$A),MATCH(H$1,[1]characters!$2:$2,0)-MATCH($G$1,[1]characters!$2:$2,0)+1),MATCH(H$1,[1]characters!$2:$2,0)-MATCH($G$1,[1]characters!$2:$2,0)+1,FALSE)</f>
        <v>雷光舞姫 エレナ</v>
      </c>
      <c r="I17" s="10" t="str">
        <f ca="1">VLOOKUP($G17,OFFSET([1]characters!$A$2,0,0,COUNTA([1]characters!$A:$A),MATCH(I$1,[1]characters!$2:$2,0)-MATCH($G$1,[1]characters!$2:$2,0)+1),MATCH(I$1,[1]characters!$2:$2,0)-MATCH($G$1,[1]characters!$2:$2,0)+1,FALSE)</f>
        <v>PremiumW</v>
      </c>
      <c r="J17" s="10">
        <f ca="1">VLOOKUP($G17,OFFSET([1]characters!$A$2,0,0,COUNTA([1]characters!$A:$A),MATCH(J$1,[1]characters!$2:$2,0)-MATCH($G$1,[1]characters!$2:$2,0)+1),MATCH(J$1,[1]characters!$2:$2,0)-MATCH($G$1,[1]characters!$2:$2,0)+1,FALSE)</f>
        <v>4</v>
      </c>
      <c r="K17" s="10" t="str">
        <f ca="1">VLOOKUP($G17,OFFSET([1]characters!$A$2,0,0,COUNTA([1]characters!$A:$A),MATCH(K$1,[1]characters!$2:$2,0)-MATCH($G$1,[1]characters!$2:$2,0)+1),MATCH(K$1,[1]characters!$2:$2,0)-MATCH($G$1,[1]characters!$2:$2,0)+1,FALSE)</f>
        <v>yellow</v>
      </c>
      <c r="L17" s="10" t="str">
        <f ca="1">VLOOKUP($G17,OFFSET([1]characters!$A$2,0,0,COUNTA([1]characters!$A:$A),MATCH("タイプ",[1]characters!$1:$1,0)-MATCH($G$1,[1]characters!$2:$2,0)+2),MATCH("タイプ",[1]characters!$1:$1,0)-MATCH($G$1,[1]characters!$2:$2,0)+2,FALSE)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7" s="10" t="str">
        <f ca="1">VLOOKUP($G17,OFFSET([1]characters!$A$2,0,0,COUNTA([1]characters!$A:$A),MATCH($M$1,[1]characters!$1:$1,0)-MATCH($G$1,[1]characters!$2:$2,0)+2),MATCH($M$1,[1]characters!$1:$1,0)-MATCH($G$1,[1]characters!$2:$2,0)+2,FALSE)</f>
        <v>ヒューマン</v>
      </c>
      <c r="N17" s="6">
        <v>1</v>
      </c>
      <c r="O17" s="43">
        <f ca="1">VLOOKUP(D17,gacha_114_base!A:K,11,FALSE)</f>
        <v>2050</v>
      </c>
      <c r="P17" s="28">
        <v>0</v>
      </c>
      <c r="Q17" s="28">
        <v>0</v>
      </c>
      <c r="R17" s="28">
        <v>0</v>
      </c>
      <c r="S17" s="28">
        <v>0</v>
      </c>
      <c r="T17" s="28">
        <v>1</v>
      </c>
    </row>
    <row r="18" spans="1:20" ht="21" customHeight="1">
      <c r="A18" s="8" t="str">
        <f t="shared" si="0"/>
        <v>11591</v>
      </c>
      <c r="B18" s="2">
        <v>114</v>
      </c>
      <c r="C18" s="10" t="str">
        <f t="shared" ca="1" si="1"/>
        <v>1PremiumW4</v>
      </c>
      <c r="D18" s="10" t="str">
        <f t="shared" ca="1" si="2"/>
        <v>1PremiumW4</v>
      </c>
      <c r="E18" s="10" t="str">
        <f t="shared" si="3"/>
        <v/>
      </c>
      <c r="F18" s="6">
        <v>1</v>
      </c>
      <c r="G18" s="7">
        <v>159</v>
      </c>
      <c r="H18" s="10" t="str">
        <f ca="1">VLOOKUP($G18,OFFSET([1]characters!$A$2,0,0,COUNTA([1]characters!$A:$A),MATCH(H$1,[1]characters!$2:$2,0)-MATCH($G$1,[1]characters!$2:$2,0)+1),MATCH(H$1,[1]characters!$2:$2,0)-MATCH($G$1,[1]characters!$2:$2,0)+1,FALSE)</f>
        <v>邪を狩りし者 シャルロッテ</v>
      </c>
      <c r="I18" s="10" t="str">
        <f ca="1">VLOOKUP($G18,OFFSET([1]characters!$A$2,0,0,COUNTA([1]characters!$A:$A),MATCH(I$1,[1]characters!$2:$2,0)-MATCH($G$1,[1]characters!$2:$2,0)+1),MATCH(I$1,[1]characters!$2:$2,0)-MATCH($G$1,[1]characters!$2:$2,0)+1,FALSE)</f>
        <v>PremiumW</v>
      </c>
      <c r="J18" s="10">
        <f ca="1">VLOOKUP($G18,OFFSET([1]characters!$A$2,0,0,COUNTA([1]characters!$A:$A),MATCH(J$1,[1]characters!$2:$2,0)-MATCH($G$1,[1]characters!$2:$2,0)+1),MATCH(J$1,[1]characters!$2:$2,0)-MATCH($G$1,[1]characters!$2:$2,0)+1,FALSE)</f>
        <v>4</v>
      </c>
      <c r="K18" s="10" t="str">
        <f ca="1">VLOOKUP($G18,OFFSET([1]characters!$A$2,0,0,COUNTA([1]characters!$A:$A),MATCH(K$1,[1]characters!$2:$2,0)-MATCH($G$1,[1]characters!$2:$2,0)+1),MATCH(K$1,[1]characters!$2:$2,0)-MATCH($G$1,[1]characters!$2:$2,0)+1,FALSE)</f>
        <v>red</v>
      </c>
      <c r="L18" s="10" t="str">
        <f ca="1">VLOOKUP($G18,OFFSET([1]characters!$A$2,0,0,COUNTA([1]characters!$A:$A),MATCH("タイプ",[1]characters!$1:$1,0)-MATCH($G$1,[1]characters!$2:$2,0)+2),MATCH("タイプ",[1]characters!$1:$1,0)-MATCH($G$1,[1]characters!$2:$2,0)+2,FALSE)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8" s="10" t="str">
        <f ca="1">VLOOKUP($G18,OFFSET([1]characters!$A$2,0,0,COUNTA([1]characters!$A:$A),MATCH($M$1,[1]characters!$1:$1,0)-MATCH($G$1,[1]characters!$2:$2,0)+2),MATCH($M$1,[1]characters!$1:$1,0)-MATCH($G$1,[1]characters!$2:$2,0)+2,FALSE)</f>
        <v>ヒューマン</v>
      </c>
      <c r="N18" s="6">
        <v>1</v>
      </c>
      <c r="O18" s="43">
        <f ca="1">VLOOKUP(D18,gacha_114_base!A:K,11,FALSE)</f>
        <v>2050</v>
      </c>
      <c r="P18" s="28">
        <v>0</v>
      </c>
      <c r="Q18" s="28">
        <v>0</v>
      </c>
      <c r="R18" s="28">
        <v>0</v>
      </c>
      <c r="S18" s="28">
        <v>0</v>
      </c>
      <c r="T18" s="28">
        <v>1</v>
      </c>
    </row>
    <row r="19" spans="1:20" ht="21" customHeight="1">
      <c r="A19" s="8" t="str">
        <f t="shared" si="0"/>
        <v>11611</v>
      </c>
      <c r="B19" s="2">
        <v>114</v>
      </c>
      <c r="C19" s="10" t="str">
        <f t="shared" ca="1" si="1"/>
        <v>1PremiumW4</v>
      </c>
      <c r="D19" s="10" t="str">
        <f t="shared" ca="1" si="2"/>
        <v>1PremiumW4</v>
      </c>
      <c r="E19" s="10" t="str">
        <f t="shared" si="3"/>
        <v/>
      </c>
      <c r="F19" s="6">
        <v>1</v>
      </c>
      <c r="G19" s="7">
        <v>161</v>
      </c>
      <c r="H19" s="10" t="str">
        <f ca="1">VLOOKUP($G19,OFFSET([1]characters!$A$2,0,0,COUNTA([1]characters!$A:$A),MATCH(H$1,[1]characters!$2:$2,0)-MATCH($G$1,[1]characters!$2:$2,0)+1),MATCH(H$1,[1]characters!$2:$2,0)-MATCH($G$1,[1]characters!$2:$2,0)+1,FALSE)</f>
        <v>咆哮の先導者 クリエ</v>
      </c>
      <c r="I19" s="10" t="str">
        <f ca="1">VLOOKUP($G19,OFFSET([1]characters!$A$2,0,0,COUNTA([1]characters!$A:$A),MATCH(I$1,[1]characters!$2:$2,0)-MATCH($G$1,[1]characters!$2:$2,0)+1),MATCH(I$1,[1]characters!$2:$2,0)-MATCH($G$1,[1]characters!$2:$2,0)+1,FALSE)</f>
        <v>PremiumW</v>
      </c>
      <c r="J19" s="10">
        <f ca="1">VLOOKUP($G19,OFFSET([1]characters!$A$2,0,0,COUNTA([1]characters!$A:$A),MATCH(J$1,[1]characters!$2:$2,0)-MATCH($G$1,[1]characters!$2:$2,0)+1),MATCH(J$1,[1]characters!$2:$2,0)-MATCH($G$1,[1]characters!$2:$2,0)+1,FALSE)</f>
        <v>4</v>
      </c>
      <c r="K19" s="10" t="str">
        <f ca="1">VLOOKUP($G19,OFFSET([1]characters!$A$2,0,0,COUNTA([1]characters!$A:$A),MATCH(K$1,[1]characters!$2:$2,0)-MATCH($G$1,[1]characters!$2:$2,0)+1),MATCH(K$1,[1]characters!$2:$2,0)-MATCH($G$1,[1]characters!$2:$2,0)+1,FALSE)</f>
        <v>green</v>
      </c>
      <c r="L19" s="10" t="str">
        <f ca="1">VLOOKUP($G19,OFFSET([1]characters!$A$2,0,0,COUNTA([1]characters!$A:$A),MATCH("タイプ",[1]characters!$1:$1,0)-MATCH($G$1,[1]characters!$2:$2,0)+2),MATCH("タイプ",[1]characters!$1:$1,0)-MATCH($G$1,[1]characters!$2:$2,0)+2,FALSE)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9" s="10" t="str">
        <f ca="1">VLOOKUP($G19,OFFSET([1]characters!$A$2,0,0,COUNTA([1]characters!$A:$A),MATCH($M$1,[1]characters!$1:$1,0)-MATCH($G$1,[1]characters!$2:$2,0)+2),MATCH($M$1,[1]characters!$1:$1,0)-MATCH($G$1,[1]characters!$2:$2,0)+2,FALSE)</f>
        <v>ヒューマン</v>
      </c>
      <c r="N19" s="6">
        <v>1</v>
      </c>
      <c r="O19" s="43">
        <f ca="1">VLOOKUP(D19,gacha_114_base!A:K,11,FALSE)</f>
        <v>2050</v>
      </c>
      <c r="P19" s="28">
        <v>0</v>
      </c>
      <c r="Q19" s="28">
        <v>0</v>
      </c>
      <c r="R19" s="28">
        <v>0</v>
      </c>
      <c r="S19" s="28">
        <v>0</v>
      </c>
      <c r="T19" s="28">
        <v>1</v>
      </c>
    </row>
    <row r="20" spans="1:20" ht="21" customHeight="1">
      <c r="A20" s="8" t="str">
        <f t="shared" si="0"/>
        <v>11631</v>
      </c>
      <c r="B20" s="2">
        <v>114</v>
      </c>
      <c r="C20" s="10" t="str">
        <f ca="1">F20&amp;I20&amp;J20</f>
        <v>1PremiumW4</v>
      </c>
      <c r="D20" s="10" t="str">
        <f t="shared" ca="1" si="2"/>
        <v>1PremiumW4</v>
      </c>
      <c r="E20" s="10" t="str">
        <f t="shared" si="3"/>
        <v/>
      </c>
      <c r="F20" s="6">
        <v>1</v>
      </c>
      <c r="G20" s="7">
        <v>163</v>
      </c>
      <c r="H20" s="10" t="str">
        <f ca="1">VLOOKUP($G20,OFFSET([1]characters!$A$2,0,0,COUNTA([1]characters!$A:$A),MATCH(H$1,[1]characters!$2:$2,0)-MATCH($G$1,[1]characters!$2:$2,0)+1),MATCH(H$1,[1]characters!$2:$2,0)-MATCH($G$1,[1]characters!$2:$2,0)+1,FALSE)</f>
        <v>冷酷な狂嬢 クララ</v>
      </c>
      <c r="I20" s="10" t="str">
        <f ca="1">VLOOKUP($G20,OFFSET([1]characters!$A$2,0,0,COUNTA([1]characters!$A:$A),MATCH(I$1,[1]characters!$2:$2,0)-MATCH($G$1,[1]characters!$2:$2,0)+1),MATCH(I$1,[1]characters!$2:$2,0)-MATCH($G$1,[1]characters!$2:$2,0)+1,FALSE)</f>
        <v>PremiumW</v>
      </c>
      <c r="J20" s="10">
        <f ca="1">VLOOKUP($G20,OFFSET([1]characters!$A$2,0,0,COUNTA([1]characters!$A:$A),MATCH(J$1,[1]characters!$2:$2,0)-MATCH($G$1,[1]characters!$2:$2,0)+1),MATCH(J$1,[1]characters!$2:$2,0)-MATCH($G$1,[1]characters!$2:$2,0)+1,FALSE)</f>
        <v>4</v>
      </c>
      <c r="K20" s="10" t="str">
        <f ca="1">VLOOKUP($G20,OFFSET([1]characters!$A$2,0,0,COUNTA([1]characters!$A:$A),MATCH(K$1,[1]characters!$2:$2,0)-MATCH($G$1,[1]characters!$2:$2,0)+1),MATCH(K$1,[1]characters!$2:$2,0)-MATCH($G$1,[1]characters!$2:$2,0)+1,FALSE)</f>
        <v>blue</v>
      </c>
      <c r="L20" s="10" t="str">
        <f ca="1">VLOOKUP($G20,OFFSET([1]characters!$A$2,0,0,COUNTA([1]characters!$A:$A),MATCH("タイプ",[1]characters!$1:$1,0)-MATCH($G$1,[1]characters!$2:$2,0)+2),MATCH("タイプ",[1]characters!$1:$1,0)-MATCH($G$1,[1]characters!$2:$2,0)+2,FALSE)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0" s="10" t="str">
        <f ca="1">VLOOKUP($G20,OFFSET([1]characters!$A$2,0,0,COUNTA([1]characters!$A:$A),MATCH($M$1,[1]characters!$1:$1,0)-MATCH($G$1,[1]characters!$2:$2,0)+2),MATCH($M$1,[1]characters!$1:$1,0)-MATCH($G$1,[1]characters!$2:$2,0)+2,FALSE)</f>
        <v>ヒューマン</v>
      </c>
      <c r="N20" s="6">
        <v>1</v>
      </c>
      <c r="O20" s="43">
        <f ca="1">VLOOKUP(D20,gacha_114_base!A:K,11,FALSE)</f>
        <v>2050</v>
      </c>
      <c r="P20" s="28">
        <v>0</v>
      </c>
      <c r="Q20" s="28">
        <v>0</v>
      </c>
      <c r="R20" s="28">
        <v>0</v>
      </c>
      <c r="S20" s="28">
        <v>0</v>
      </c>
      <c r="T20" s="28">
        <v>1</v>
      </c>
    </row>
    <row r="21" spans="1:20" ht="21" customHeight="1">
      <c r="A21" s="8" t="str">
        <f t="shared" si="0"/>
        <v>11651</v>
      </c>
      <c r="B21" s="2">
        <v>114</v>
      </c>
      <c r="C21" s="10" t="str">
        <f t="shared" ca="1" si="1"/>
        <v>1PremiumW4</v>
      </c>
      <c r="D21" s="10" t="str">
        <f t="shared" ca="1" si="2"/>
        <v>1PremiumW4</v>
      </c>
      <c r="E21" s="10" t="str">
        <f t="shared" si="3"/>
        <v/>
      </c>
      <c r="F21" s="6">
        <v>1</v>
      </c>
      <c r="G21" s="7">
        <v>165</v>
      </c>
      <c r="H21" s="10" t="str">
        <f ca="1">VLOOKUP($G21,OFFSET([1]characters!$A$2,0,0,COUNTA([1]characters!$A:$A),MATCH(H$1,[1]characters!$2:$2,0)-MATCH($G$1,[1]characters!$2:$2,0)+1),MATCH(H$1,[1]characters!$2:$2,0)-MATCH($G$1,[1]characters!$2:$2,0)+1,FALSE)</f>
        <v>イブとたったひとりのトモダチ</v>
      </c>
      <c r="I21" s="10" t="str">
        <f ca="1">VLOOKUP($G21,OFFSET([1]characters!$A$2,0,0,COUNTA([1]characters!$A:$A),MATCH(I$1,[1]characters!$2:$2,0)-MATCH($G$1,[1]characters!$2:$2,0)+1),MATCH(I$1,[1]characters!$2:$2,0)-MATCH($G$1,[1]characters!$2:$2,0)+1,FALSE)</f>
        <v>PremiumW</v>
      </c>
      <c r="J21" s="10">
        <f ca="1">VLOOKUP($G21,OFFSET([1]characters!$A$2,0,0,COUNTA([1]characters!$A:$A),MATCH(J$1,[1]characters!$2:$2,0)-MATCH($G$1,[1]characters!$2:$2,0)+1),MATCH(J$1,[1]characters!$2:$2,0)-MATCH($G$1,[1]characters!$2:$2,0)+1,FALSE)</f>
        <v>4</v>
      </c>
      <c r="K21" s="10" t="str">
        <f ca="1">VLOOKUP($G21,OFFSET([1]characters!$A$2,0,0,COUNTA([1]characters!$A:$A),MATCH(K$1,[1]characters!$2:$2,0)-MATCH($G$1,[1]characters!$2:$2,0)+1),MATCH(K$1,[1]characters!$2:$2,0)-MATCH($G$1,[1]characters!$2:$2,0)+1,FALSE)</f>
        <v>yellow</v>
      </c>
      <c r="L21" s="10" t="str">
        <f ca="1">VLOOKUP($G21,OFFSET([1]characters!$A$2,0,0,COUNTA([1]characters!$A:$A),MATCH("タイプ",[1]characters!$1:$1,0)-MATCH($G$1,[1]characters!$2:$2,0)+2),MATCH("タイプ",[1]characters!$1:$1,0)-MATCH($G$1,[1]characters!$2:$2,0)+2,FALSE)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1" s="10" t="str">
        <f ca="1">VLOOKUP($G21,OFFSET([1]characters!$A$2,0,0,COUNTA([1]characters!$A:$A),MATCH($M$1,[1]characters!$1:$1,0)-MATCH($G$1,[1]characters!$2:$2,0)+2),MATCH($M$1,[1]characters!$1:$1,0)-MATCH($G$1,[1]characters!$2:$2,0)+2,FALSE)</f>
        <v>ヒューマン</v>
      </c>
      <c r="N21" s="6">
        <v>1</v>
      </c>
      <c r="O21" s="43">
        <f ca="1">VLOOKUP(D21,gacha_114_base!A:K,11,FALSE)</f>
        <v>2050</v>
      </c>
      <c r="P21" s="28">
        <v>0</v>
      </c>
      <c r="Q21" s="28">
        <v>0</v>
      </c>
      <c r="R21" s="28">
        <v>0</v>
      </c>
      <c r="S21" s="28">
        <v>0</v>
      </c>
      <c r="T21" s="28">
        <v>1</v>
      </c>
    </row>
    <row r="22" spans="1:20" ht="21" customHeight="1">
      <c r="A22" s="8" t="str">
        <f t="shared" si="0"/>
        <v>11671</v>
      </c>
      <c r="B22" s="2">
        <v>114</v>
      </c>
      <c r="C22" s="10" t="str">
        <f t="shared" ca="1" si="1"/>
        <v>1PremiumN4</v>
      </c>
      <c r="D22" s="10" t="str">
        <f t="shared" ca="1" si="2"/>
        <v>1PremiumN4</v>
      </c>
      <c r="E22" s="10" t="str">
        <f t="shared" si="3"/>
        <v/>
      </c>
      <c r="F22" s="6">
        <v>1</v>
      </c>
      <c r="G22" s="7">
        <v>167</v>
      </c>
      <c r="H22" s="10" t="str">
        <f ca="1">VLOOKUP($G22,OFFSET([1]characters!$A$2,0,0,COUNTA([1]characters!$A:$A),MATCH(H$1,[1]characters!$2:$2,0)-MATCH($G$1,[1]characters!$2:$2,0)+1),MATCH(H$1,[1]characters!$2:$2,0)-MATCH($G$1,[1]characters!$2:$2,0)+1,FALSE)</f>
        <v>逆徒 ベリアル</v>
      </c>
      <c r="I22" s="10" t="str">
        <f ca="1">VLOOKUP($G22,OFFSET([1]characters!$A$2,0,0,COUNTA([1]characters!$A:$A),MATCH(I$1,[1]characters!$2:$2,0)-MATCH($G$1,[1]characters!$2:$2,0)+1),MATCH(I$1,[1]characters!$2:$2,0)-MATCH($G$1,[1]characters!$2:$2,0)+1,FALSE)</f>
        <v>PremiumN</v>
      </c>
      <c r="J22" s="10">
        <f ca="1">VLOOKUP($G22,OFFSET([1]characters!$A$2,0,0,COUNTA([1]characters!$A:$A),MATCH(J$1,[1]characters!$2:$2,0)-MATCH($G$1,[1]characters!$2:$2,0)+1),MATCH(J$1,[1]characters!$2:$2,0)-MATCH($G$1,[1]characters!$2:$2,0)+1,FALSE)</f>
        <v>4</v>
      </c>
      <c r="K22" s="10" t="str">
        <f ca="1">VLOOKUP($G22,OFFSET([1]characters!$A$2,0,0,COUNTA([1]characters!$A:$A),MATCH(K$1,[1]characters!$2:$2,0)-MATCH($G$1,[1]characters!$2:$2,0)+1),MATCH(K$1,[1]characters!$2:$2,0)-MATCH($G$1,[1]characters!$2:$2,0)+1,FALSE)</f>
        <v>red</v>
      </c>
      <c r="L22" s="10" t="str">
        <f ca="1">VLOOKUP($G22,OFFSET([1]characters!$A$2,0,0,COUNTA([1]characters!$A:$A),MATCH("タイプ",[1]characters!$1:$1,0)-MATCH($G$1,[1]characters!$2:$2,0)+2),MATCH("タイプ",[1]characters!$1:$1,0)-MATCH($G$1,[1]characters!$2:$2,0)+2,FALSE)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2" s="10" t="str">
        <f ca="1">VLOOKUP($G22,OFFSET([1]characters!$A$2,0,0,COUNTA([1]characters!$A:$A),MATCH($M$1,[1]characters!$1:$1,0)-MATCH($G$1,[1]characters!$2:$2,0)+2),MATCH($M$1,[1]characters!$1:$1,0)-MATCH($G$1,[1]characters!$2:$2,0)+2,FALSE)</f>
        <v>ゴッド</v>
      </c>
      <c r="N22" s="6">
        <v>1</v>
      </c>
      <c r="O22" s="43">
        <f ca="1">VLOOKUP(D22,gacha_114_base!A:K,11,FALSE)</f>
        <v>2030</v>
      </c>
      <c r="P22" s="28">
        <v>0</v>
      </c>
      <c r="Q22" s="28">
        <v>0</v>
      </c>
      <c r="R22" s="28">
        <v>0</v>
      </c>
      <c r="S22" s="28">
        <v>0</v>
      </c>
      <c r="T22" s="28">
        <v>1</v>
      </c>
    </row>
    <row r="23" spans="1:20" ht="21" customHeight="1">
      <c r="A23" s="8" t="str">
        <f t="shared" si="0"/>
        <v>11701</v>
      </c>
      <c r="B23" s="2">
        <v>114</v>
      </c>
      <c r="C23" s="10" t="str">
        <f t="shared" ca="1" si="1"/>
        <v>1PremiumN4</v>
      </c>
      <c r="D23" s="10" t="str">
        <f t="shared" ca="1" si="2"/>
        <v>1PremiumN4</v>
      </c>
      <c r="E23" s="10" t="str">
        <f t="shared" si="3"/>
        <v/>
      </c>
      <c r="F23" s="6">
        <v>1</v>
      </c>
      <c r="G23" s="7">
        <v>170</v>
      </c>
      <c r="H23" s="10" t="str">
        <f ca="1">VLOOKUP($G23,OFFSET([1]characters!$A$2,0,0,COUNTA([1]characters!$A:$A),MATCH(H$1,[1]characters!$2:$2,0)-MATCH($G$1,[1]characters!$2:$2,0)+1),MATCH(H$1,[1]characters!$2:$2,0)-MATCH($G$1,[1]characters!$2:$2,0)+1,FALSE)</f>
        <v>識徒 オセ</v>
      </c>
      <c r="I23" s="10" t="str">
        <f ca="1">VLOOKUP($G23,OFFSET([1]characters!$A$2,0,0,COUNTA([1]characters!$A:$A),MATCH(I$1,[1]characters!$2:$2,0)-MATCH($G$1,[1]characters!$2:$2,0)+1),MATCH(I$1,[1]characters!$2:$2,0)-MATCH($G$1,[1]characters!$2:$2,0)+1,FALSE)</f>
        <v>PremiumN</v>
      </c>
      <c r="J23" s="10">
        <f ca="1">VLOOKUP($G23,OFFSET([1]characters!$A$2,0,0,COUNTA([1]characters!$A:$A),MATCH(J$1,[1]characters!$2:$2,0)-MATCH($G$1,[1]characters!$2:$2,0)+1),MATCH(J$1,[1]characters!$2:$2,0)-MATCH($G$1,[1]characters!$2:$2,0)+1,FALSE)</f>
        <v>4</v>
      </c>
      <c r="K23" s="10" t="str">
        <f ca="1">VLOOKUP($G23,OFFSET([1]characters!$A$2,0,0,COUNTA([1]characters!$A:$A),MATCH(K$1,[1]characters!$2:$2,0)-MATCH($G$1,[1]characters!$2:$2,0)+1),MATCH(K$1,[1]characters!$2:$2,0)-MATCH($G$1,[1]characters!$2:$2,0)+1,FALSE)</f>
        <v>green</v>
      </c>
      <c r="L23" s="10" t="str">
        <f ca="1">VLOOKUP($G23,OFFSET([1]characters!$A$2,0,0,COUNTA([1]characters!$A:$A),MATCH("タイプ",[1]characters!$1:$1,0)-MATCH($G$1,[1]characters!$2:$2,0)+2),MATCH("タイプ",[1]characters!$1:$1,0)-MATCH($G$1,[1]characters!$2:$2,0)+2,FALSE)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3" s="10" t="str">
        <f ca="1">VLOOKUP($G23,OFFSET([1]characters!$A$2,0,0,COUNTA([1]characters!$A:$A),MATCH($M$1,[1]characters!$1:$1,0)-MATCH($G$1,[1]characters!$2:$2,0)+2),MATCH($M$1,[1]characters!$1:$1,0)-MATCH($G$1,[1]characters!$2:$2,0)+2,FALSE)</f>
        <v>ゴッド</v>
      </c>
      <c r="N23" s="6">
        <v>1</v>
      </c>
      <c r="O23" s="43">
        <f ca="1">VLOOKUP(D23,gacha_114_base!A:K,11,FALSE)</f>
        <v>2030</v>
      </c>
      <c r="P23" s="28">
        <v>0</v>
      </c>
      <c r="Q23" s="28">
        <v>0</v>
      </c>
      <c r="R23" s="28">
        <v>0</v>
      </c>
      <c r="S23" s="28">
        <v>0</v>
      </c>
      <c r="T23" s="28">
        <v>1</v>
      </c>
    </row>
    <row r="24" spans="1:20" ht="21" customHeight="1">
      <c r="A24" s="8" t="str">
        <f t="shared" si="0"/>
        <v>11731</v>
      </c>
      <c r="B24" s="2">
        <v>114</v>
      </c>
      <c r="C24" s="10" t="str">
        <f t="shared" ca="1" si="1"/>
        <v>1PremiumN4</v>
      </c>
      <c r="D24" s="10" t="str">
        <f t="shared" ca="1" si="2"/>
        <v>1PremiumN4</v>
      </c>
      <c r="E24" s="10" t="str">
        <f t="shared" si="3"/>
        <v/>
      </c>
      <c r="F24" s="6">
        <v>1</v>
      </c>
      <c r="G24" s="7">
        <v>173</v>
      </c>
      <c r="H24" s="10" t="str">
        <f ca="1">VLOOKUP($G24,OFFSET([1]characters!$A$2,0,0,COUNTA([1]characters!$A:$A),MATCH(H$1,[1]characters!$2:$2,0)-MATCH($G$1,[1]characters!$2:$2,0)+1),MATCH(H$1,[1]characters!$2:$2,0)-MATCH($G$1,[1]characters!$2:$2,0)+1,FALSE)</f>
        <v>公爵 フォルネウス</v>
      </c>
      <c r="I24" s="10" t="str">
        <f ca="1">VLOOKUP($G24,OFFSET([1]characters!$A$2,0,0,COUNTA([1]characters!$A:$A),MATCH(I$1,[1]characters!$2:$2,0)-MATCH($G$1,[1]characters!$2:$2,0)+1),MATCH(I$1,[1]characters!$2:$2,0)-MATCH($G$1,[1]characters!$2:$2,0)+1,FALSE)</f>
        <v>PremiumN</v>
      </c>
      <c r="J24" s="10">
        <f ca="1">VLOOKUP($G24,OFFSET([1]characters!$A$2,0,0,COUNTA([1]characters!$A:$A),MATCH(J$1,[1]characters!$2:$2,0)-MATCH($G$1,[1]characters!$2:$2,0)+1),MATCH(J$1,[1]characters!$2:$2,0)-MATCH($G$1,[1]characters!$2:$2,0)+1,FALSE)</f>
        <v>4</v>
      </c>
      <c r="K24" s="10" t="str">
        <f ca="1">VLOOKUP($G24,OFFSET([1]characters!$A$2,0,0,COUNTA([1]characters!$A:$A),MATCH(K$1,[1]characters!$2:$2,0)-MATCH($G$1,[1]characters!$2:$2,0)+1),MATCH(K$1,[1]characters!$2:$2,0)-MATCH($G$1,[1]characters!$2:$2,0)+1,FALSE)</f>
        <v>blue</v>
      </c>
      <c r="L24" s="10" t="str">
        <f ca="1">VLOOKUP($G24,OFFSET([1]characters!$A$2,0,0,COUNTA([1]characters!$A:$A),MATCH("タイプ",[1]characters!$1:$1,0)-MATCH($G$1,[1]characters!$2:$2,0)+2),MATCH("タイプ",[1]characters!$1:$1,0)-MATCH($G$1,[1]characters!$2:$2,0)+2,FALSE)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4" s="10" t="str">
        <f ca="1">VLOOKUP($G24,OFFSET([1]characters!$A$2,0,0,COUNTA([1]characters!$A:$A),MATCH($M$1,[1]characters!$1:$1,0)-MATCH($G$1,[1]characters!$2:$2,0)+2),MATCH($M$1,[1]characters!$1:$1,0)-MATCH($G$1,[1]characters!$2:$2,0)+2,FALSE)</f>
        <v>ゴッド</v>
      </c>
      <c r="N24" s="6">
        <v>1</v>
      </c>
      <c r="O24" s="43">
        <f ca="1">VLOOKUP(D24,gacha_114_base!A:K,11,FALSE)</f>
        <v>2030</v>
      </c>
      <c r="P24" s="28">
        <v>0</v>
      </c>
      <c r="Q24" s="28">
        <v>0</v>
      </c>
      <c r="R24" s="28">
        <v>0</v>
      </c>
      <c r="S24" s="28">
        <v>0</v>
      </c>
      <c r="T24" s="28">
        <v>1</v>
      </c>
    </row>
    <row r="25" spans="1:20" ht="21" customHeight="1">
      <c r="A25" s="8" t="str">
        <f t="shared" si="0"/>
        <v>11761</v>
      </c>
      <c r="B25" s="2">
        <v>114</v>
      </c>
      <c r="C25" s="10" t="str">
        <f t="shared" ca="1" si="1"/>
        <v>1PremiumN4</v>
      </c>
      <c r="D25" s="10" t="str">
        <f t="shared" ca="1" si="2"/>
        <v>1PremiumN4</v>
      </c>
      <c r="E25" s="10" t="str">
        <f t="shared" si="3"/>
        <v/>
      </c>
      <c r="F25" s="6">
        <v>1</v>
      </c>
      <c r="G25" s="7">
        <v>176</v>
      </c>
      <c r="H25" s="10" t="str">
        <f ca="1">VLOOKUP($G25,OFFSET([1]characters!$A$2,0,0,COUNTA([1]characters!$A:$A),MATCH(H$1,[1]characters!$2:$2,0)-MATCH($G$1,[1]characters!$2:$2,0)+1),MATCH(H$1,[1]characters!$2:$2,0)-MATCH($G$1,[1]characters!$2:$2,0)+1,FALSE)</f>
        <v>異教徒 バフォメット</v>
      </c>
      <c r="I25" s="10" t="str">
        <f ca="1">VLOOKUP($G25,OFFSET([1]characters!$A$2,0,0,COUNTA([1]characters!$A:$A),MATCH(I$1,[1]characters!$2:$2,0)-MATCH($G$1,[1]characters!$2:$2,0)+1),MATCH(I$1,[1]characters!$2:$2,0)-MATCH($G$1,[1]characters!$2:$2,0)+1,FALSE)</f>
        <v>PremiumN</v>
      </c>
      <c r="J25" s="10">
        <f ca="1">VLOOKUP($G25,OFFSET([1]characters!$A$2,0,0,COUNTA([1]characters!$A:$A),MATCH(J$1,[1]characters!$2:$2,0)-MATCH($G$1,[1]characters!$2:$2,0)+1),MATCH(J$1,[1]characters!$2:$2,0)-MATCH($G$1,[1]characters!$2:$2,0)+1,FALSE)</f>
        <v>4</v>
      </c>
      <c r="K25" s="10" t="str">
        <f ca="1">VLOOKUP($G25,OFFSET([1]characters!$A$2,0,0,COUNTA([1]characters!$A:$A),MATCH(K$1,[1]characters!$2:$2,0)-MATCH($G$1,[1]characters!$2:$2,0)+1),MATCH(K$1,[1]characters!$2:$2,0)-MATCH($G$1,[1]characters!$2:$2,0)+1,FALSE)</f>
        <v>yellow</v>
      </c>
      <c r="L25" s="10" t="str">
        <f ca="1">VLOOKUP($G25,OFFSET([1]characters!$A$2,0,0,COUNTA([1]characters!$A:$A),MATCH("タイプ",[1]characters!$1:$1,0)-MATCH($G$1,[1]characters!$2:$2,0)+2),MATCH("タイプ",[1]characters!$1:$1,0)-MATCH($G$1,[1]characters!$2:$2,0)+2,FALSE)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5" s="10" t="str">
        <f ca="1">VLOOKUP($G25,OFFSET([1]characters!$A$2,0,0,COUNTA([1]characters!$A:$A),MATCH($M$1,[1]characters!$1:$1,0)-MATCH($G$1,[1]characters!$2:$2,0)+2),MATCH($M$1,[1]characters!$1:$1,0)-MATCH($G$1,[1]characters!$2:$2,0)+2,FALSE)</f>
        <v>ゴッド</v>
      </c>
      <c r="N25" s="6">
        <v>1</v>
      </c>
      <c r="O25" s="43">
        <f ca="1">VLOOKUP(D25,gacha_114_base!A:K,11,FALSE)</f>
        <v>2030</v>
      </c>
      <c r="P25" s="28">
        <v>0</v>
      </c>
      <c r="Q25" s="28">
        <v>0</v>
      </c>
      <c r="R25" s="28">
        <v>0</v>
      </c>
      <c r="S25" s="28">
        <v>0</v>
      </c>
      <c r="T25" s="28">
        <v>1</v>
      </c>
    </row>
    <row r="26" spans="1:20" ht="21" customHeight="1">
      <c r="A26" s="8" t="str">
        <f t="shared" si="0"/>
        <v>11791</v>
      </c>
      <c r="B26" s="2">
        <v>114</v>
      </c>
      <c r="C26" s="10" t="str">
        <f t="shared" ca="1" si="1"/>
        <v>1PremiumN4</v>
      </c>
      <c r="D26" s="10" t="str">
        <f t="shared" ca="1" si="2"/>
        <v>1PremiumN4</v>
      </c>
      <c r="E26" s="10" t="str">
        <f t="shared" si="3"/>
        <v/>
      </c>
      <c r="F26" s="6">
        <v>1</v>
      </c>
      <c r="G26" s="7">
        <v>179</v>
      </c>
      <c r="H26" s="10" t="str">
        <f ca="1">VLOOKUP($G26,OFFSET([1]characters!$A$2,0,0,COUNTA([1]characters!$A:$A),MATCH(H$1,[1]characters!$2:$2,0)-MATCH($G$1,[1]characters!$2:$2,0)+1),MATCH(H$1,[1]characters!$2:$2,0)-MATCH($G$1,[1]characters!$2:$2,0)+1,FALSE)</f>
        <v>番犬 ケルベロス</v>
      </c>
      <c r="I26" s="10" t="str">
        <f ca="1">VLOOKUP($G26,OFFSET([1]characters!$A$2,0,0,COUNTA([1]characters!$A:$A),MATCH(I$1,[1]characters!$2:$2,0)-MATCH($G$1,[1]characters!$2:$2,0)+1),MATCH(I$1,[1]characters!$2:$2,0)-MATCH($G$1,[1]characters!$2:$2,0)+1,FALSE)</f>
        <v>PremiumN</v>
      </c>
      <c r="J26" s="10">
        <f ca="1">VLOOKUP($G26,OFFSET([1]characters!$A$2,0,0,COUNTA([1]characters!$A:$A),MATCH(J$1,[1]characters!$2:$2,0)-MATCH($G$1,[1]characters!$2:$2,0)+1),MATCH(J$1,[1]characters!$2:$2,0)-MATCH($G$1,[1]characters!$2:$2,0)+1,FALSE)</f>
        <v>4</v>
      </c>
      <c r="K26" s="10" t="str">
        <f ca="1">VLOOKUP($G26,OFFSET([1]characters!$A$2,0,0,COUNTA([1]characters!$A:$A),MATCH(K$1,[1]characters!$2:$2,0)-MATCH($G$1,[1]characters!$2:$2,0)+1),MATCH(K$1,[1]characters!$2:$2,0)-MATCH($G$1,[1]characters!$2:$2,0)+1,FALSE)</f>
        <v>red</v>
      </c>
      <c r="L26" s="10" t="str">
        <f ca="1">VLOOKUP($G26,OFFSET([1]characters!$A$2,0,0,COUNTA([1]characters!$A:$A),MATCH("タイプ",[1]characters!$1:$1,0)-MATCH($G$1,[1]characters!$2:$2,0)+2),MATCH("タイプ",[1]characters!$1:$1,0)-MATCH($G$1,[1]characters!$2:$2,0)+2,FALSE)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6" s="10" t="str">
        <f ca="1">VLOOKUP($G26,OFFSET([1]characters!$A$2,0,0,COUNTA([1]characters!$A:$A),MATCH($M$1,[1]characters!$1:$1,0)-MATCH($G$1,[1]characters!$2:$2,0)+2),MATCH($M$1,[1]characters!$1:$1,0)-MATCH($G$1,[1]characters!$2:$2,0)+2,FALSE)</f>
        <v>アニマル</v>
      </c>
      <c r="N26" s="6">
        <v>1</v>
      </c>
      <c r="O26" s="43">
        <f ca="1">VLOOKUP(D26,gacha_114_base!A:K,11,FALSE)</f>
        <v>2030</v>
      </c>
      <c r="P26" s="28">
        <v>0</v>
      </c>
      <c r="Q26" s="28">
        <v>0</v>
      </c>
      <c r="R26" s="28">
        <v>0</v>
      </c>
      <c r="S26" s="28">
        <v>0</v>
      </c>
      <c r="T26" s="28">
        <v>1</v>
      </c>
    </row>
    <row r="27" spans="1:20" ht="21" customHeight="1">
      <c r="A27" s="8" t="str">
        <f t="shared" si="0"/>
        <v>11821</v>
      </c>
      <c r="B27" s="2">
        <v>114</v>
      </c>
      <c r="C27" s="10" t="str">
        <f t="shared" ca="1" si="1"/>
        <v>1PremiumN4</v>
      </c>
      <c r="D27" s="10" t="str">
        <f t="shared" ca="1" si="2"/>
        <v>1PremiumN4</v>
      </c>
      <c r="E27" s="10" t="str">
        <f t="shared" si="3"/>
        <v/>
      </c>
      <c r="F27" s="6">
        <v>1</v>
      </c>
      <c r="G27" s="7">
        <v>182</v>
      </c>
      <c r="H27" s="10" t="str">
        <f ca="1">VLOOKUP($G27,OFFSET([1]characters!$A$2,0,0,COUNTA([1]characters!$A:$A),MATCH(H$1,[1]characters!$2:$2,0)-MATCH($G$1,[1]characters!$2:$2,0)+1),MATCH(H$1,[1]characters!$2:$2,0)-MATCH($G$1,[1]characters!$2:$2,0)+1,FALSE)</f>
        <v>放蕩者 ベヒモス</v>
      </c>
      <c r="I27" s="10" t="str">
        <f ca="1">VLOOKUP($G27,OFFSET([1]characters!$A$2,0,0,COUNTA([1]characters!$A:$A),MATCH(I$1,[1]characters!$2:$2,0)-MATCH($G$1,[1]characters!$2:$2,0)+1),MATCH(I$1,[1]characters!$2:$2,0)-MATCH($G$1,[1]characters!$2:$2,0)+1,FALSE)</f>
        <v>PremiumN</v>
      </c>
      <c r="J27" s="10">
        <f ca="1">VLOOKUP($G27,OFFSET([1]characters!$A$2,0,0,COUNTA([1]characters!$A:$A),MATCH(J$1,[1]characters!$2:$2,0)-MATCH($G$1,[1]characters!$2:$2,0)+1),MATCH(J$1,[1]characters!$2:$2,0)-MATCH($G$1,[1]characters!$2:$2,0)+1,FALSE)</f>
        <v>4</v>
      </c>
      <c r="K27" s="10" t="str">
        <f ca="1">VLOOKUP($G27,OFFSET([1]characters!$A$2,0,0,COUNTA([1]characters!$A:$A),MATCH(K$1,[1]characters!$2:$2,0)-MATCH($G$1,[1]characters!$2:$2,0)+1),MATCH(K$1,[1]characters!$2:$2,0)-MATCH($G$1,[1]characters!$2:$2,0)+1,FALSE)</f>
        <v>green</v>
      </c>
      <c r="L27" s="10" t="str">
        <f ca="1">VLOOKUP($G27,OFFSET([1]characters!$A$2,0,0,COUNTA([1]characters!$A:$A),MATCH("タイプ",[1]characters!$1:$1,0)-MATCH($G$1,[1]characters!$2:$2,0)+2),MATCH("タイプ",[1]characters!$1:$1,0)-MATCH($G$1,[1]characters!$2:$2,0)+2,FALSE)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7" s="10" t="str">
        <f ca="1">VLOOKUP($G27,OFFSET([1]characters!$A$2,0,0,COUNTA([1]characters!$A:$A),MATCH($M$1,[1]characters!$1:$1,0)-MATCH($G$1,[1]characters!$2:$2,0)+2),MATCH($M$1,[1]characters!$1:$1,0)-MATCH($G$1,[1]characters!$2:$2,0)+2,FALSE)</f>
        <v>アニマル</v>
      </c>
      <c r="N27" s="6">
        <v>1</v>
      </c>
      <c r="O27" s="43">
        <f ca="1">VLOOKUP(D27,gacha_114_base!A:K,11,FALSE)</f>
        <v>2030</v>
      </c>
      <c r="P27" s="28">
        <v>0</v>
      </c>
      <c r="Q27" s="28">
        <v>0</v>
      </c>
      <c r="R27" s="28">
        <v>0</v>
      </c>
      <c r="S27" s="28">
        <v>0</v>
      </c>
      <c r="T27" s="28">
        <v>1</v>
      </c>
    </row>
    <row r="28" spans="1:20" ht="21" customHeight="1">
      <c r="A28" s="8" t="str">
        <f t="shared" si="0"/>
        <v>11851</v>
      </c>
      <c r="B28" s="2">
        <v>114</v>
      </c>
      <c r="C28" s="10" t="str">
        <f t="shared" ca="1" si="1"/>
        <v>1PremiumN4</v>
      </c>
      <c r="D28" s="10" t="str">
        <f t="shared" ca="1" si="2"/>
        <v>1PremiumN4</v>
      </c>
      <c r="E28" s="10" t="str">
        <f t="shared" si="3"/>
        <v/>
      </c>
      <c r="F28" s="6">
        <v>1</v>
      </c>
      <c r="G28" s="7">
        <v>185</v>
      </c>
      <c r="H28" s="10" t="str">
        <f ca="1">VLOOKUP($G28,OFFSET([1]characters!$A$2,0,0,COUNTA([1]characters!$A:$A),MATCH(H$1,[1]characters!$2:$2,0)-MATCH($G$1,[1]characters!$2:$2,0)+1),MATCH(H$1,[1]characters!$2:$2,0)-MATCH($G$1,[1]characters!$2:$2,0)+1,FALSE)</f>
        <v>海姫 クラーケン</v>
      </c>
      <c r="I28" s="10" t="str">
        <f ca="1">VLOOKUP($G28,OFFSET([1]characters!$A$2,0,0,COUNTA([1]characters!$A:$A),MATCH(I$1,[1]characters!$2:$2,0)-MATCH($G$1,[1]characters!$2:$2,0)+1),MATCH(I$1,[1]characters!$2:$2,0)-MATCH($G$1,[1]characters!$2:$2,0)+1,FALSE)</f>
        <v>PremiumN</v>
      </c>
      <c r="J28" s="10">
        <f ca="1">VLOOKUP($G28,OFFSET([1]characters!$A$2,0,0,COUNTA([1]characters!$A:$A),MATCH(J$1,[1]characters!$2:$2,0)-MATCH($G$1,[1]characters!$2:$2,0)+1),MATCH(J$1,[1]characters!$2:$2,0)-MATCH($G$1,[1]characters!$2:$2,0)+1,FALSE)</f>
        <v>4</v>
      </c>
      <c r="K28" s="10" t="str">
        <f ca="1">VLOOKUP($G28,OFFSET([1]characters!$A$2,0,0,COUNTA([1]characters!$A:$A),MATCH(K$1,[1]characters!$2:$2,0)-MATCH($G$1,[1]characters!$2:$2,0)+1),MATCH(K$1,[1]characters!$2:$2,0)-MATCH($G$1,[1]characters!$2:$2,0)+1,FALSE)</f>
        <v>blue</v>
      </c>
      <c r="L28" s="10" t="str">
        <f ca="1">VLOOKUP($G28,OFFSET([1]characters!$A$2,0,0,COUNTA([1]characters!$A:$A),MATCH("タイプ",[1]characters!$1:$1,0)-MATCH($G$1,[1]characters!$2:$2,0)+2),MATCH("タイプ",[1]characters!$1:$1,0)-MATCH($G$1,[1]characters!$2:$2,0)+2,FALSE)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28" s="10" t="str">
        <f ca="1">VLOOKUP($G28,OFFSET([1]characters!$A$2,0,0,COUNTA([1]characters!$A:$A),MATCH($M$1,[1]characters!$1:$1,0)-MATCH($G$1,[1]characters!$2:$2,0)+2),MATCH($M$1,[1]characters!$1:$1,0)-MATCH($G$1,[1]characters!$2:$2,0)+2,FALSE)</f>
        <v>アニマル</v>
      </c>
      <c r="N28" s="6">
        <v>1</v>
      </c>
      <c r="O28" s="43">
        <f ca="1">VLOOKUP(D28,gacha_114_base!A:K,11,FALSE)</f>
        <v>2030</v>
      </c>
      <c r="P28" s="28">
        <v>0</v>
      </c>
      <c r="Q28" s="28">
        <v>0</v>
      </c>
      <c r="R28" s="28">
        <v>0</v>
      </c>
      <c r="S28" s="28">
        <v>0</v>
      </c>
      <c r="T28" s="28">
        <v>1</v>
      </c>
    </row>
    <row r="29" spans="1:20" ht="21" customHeight="1">
      <c r="A29" s="8" t="str">
        <f t="shared" si="0"/>
        <v>11881</v>
      </c>
      <c r="B29" s="2">
        <v>114</v>
      </c>
      <c r="C29" s="10" t="str">
        <f t="shared" ca="1" si="1"/>
        <v>1PremiumN4</v>
      </c>
      <c r="D29" s="10" t="str">
        <f t="shared" ca="1" si="2"/>
        <v>1PremiumN4</v>
      </c>
      <c r="E29" s="10" t="str">
        <f t="shared" si="3"/>
        <v/>
      </c>
      <c r="F29" s="6">
        <v>1</v>
      </c>
      <c r="G29" s="7">
        <v>188</v>
      </c>
      <c r="H29" s="10" t="str">
        <f ca="1">VLOOKUP($G29,OFFSET([1]characters!$A$2,0,0,COUNTA([1]characters!$A:$A),MATCH(H$1,[1]characters!$2:$2,0)-MATCH($G$1,[1]characters!$2:$2,0)+1),MATCH(H$1,[1]characters!$2:$2,0)-MATCH($G$1,[1]characters!$2:$2,0)+1,FALSE)</f>
        <v>猛禽 ホルス</v>
      </c>
      <c r="I29" s="10" t="str">
        <f ca="1">VLOOKUP($G29,OFFSET([1]characters!$A$2,0,0,COUNTA([1]characters!$A:$A),MATCH(I$1,[1]characters!$2:$2,0)-MATCH($G$1,[1]characters!$2:$2,0)+1),MATCH(I$1,[1]characters!$2:$2,0)-MATCH($G$1,[1]characters!$2:$2,0)+1,FALSE)</f>
        <v>PremiumN</v>
      </c>
      <c r="J29" s="10">
        <f ca="1">VLOOKUP($G29,OFFSET([1]characters!$A$2,0,0,COUNTA([1]characters!$A:$A),MATCH(J$1,[1]characters!$2:$2,0)-MATCH($G$1,[1]characters!$2:$2,0)+1),MATCH(J$1,[1]characters!$2:$2,0)-MATCH($G$1,[1]characters!$2:$2,0)+1,FALSE)</f>
        <v>4</v>
      </c>
      <c r="K29" s="10" t="str">
        <f ca="1">VLOOKUP($G29,OFFSET([1]characters!$A$2,0,0,COUNTA([1]characters!$A:$A),MATCH(K$1,[1]characters!$2:$2,0)-MATCH($G$1,[1]characters!$2:$2,0)+1),MATCH(K$1,[1]characters!$2:$2,0)-MATCH($G$1,[1]characters!$2:$2,0)+1,FALSE)</f>
        <v>yellow</v>
      </c>
      <c r="L29" s="10" t="str">
        <f ca="1">VLOOKUP($G29,OFFSET([1]characters!$A$2,0,0,COUNTA([1]characters!$A:$A),MATCH("タイプ",[1]characters!$1:$1,0)-MATCH($G$1,[1]characters!$2:$2,0)+2),MATCH("タイプ",[1]characters!$1:$1,0)-MATCH($G$1,[1]characters!$2:$2,0)+2,FALSE)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9" s="10" t="str">
        <f ca="1">VLOOKUP($G29,OFFSET([1]characters!$A$2,0,0,COUNTA([1]characters!$A:$A),MATCH($M$1,[1]characters!$1:$1,0)-MATCH($G$1,[1]characters!$2:$2,0)+2),MATCH($M$1,[1]characters!$1:$1,0)-MATCH($G$1,[1]characters!$2:$2,0)+2,FALSE)</f>
        <v>アニマル</v>
      </c>
      <c r="N29" s="6">
        <v>1</v>
      </c>
      <c r="O29" s="43">
        <f ca="1">VLOOKUP(D29,gacha_114_base!A:K,11,FALSE)</f>
        <v>2030</v>
      </c>
      <c r="P29" s="28">
        <v>0</v>
      </c>
      <c r="Q29" s="28">
        <v>0</v>
      </c>
      <c r="R29" s="28">
        <v>0</v>
      </c>
      <c r="S29" s="28">
        <v>0</v>
      </c>
      <c r="T29" s="28">
        <v>1</v>
      </c>
    </row>
    <row r="30" spans="1:20" ht="21" customHeight="1">
      <c r="A30" s="8" t="str">
        <f t="shared" si="0"/>
        <v>11911</v>
      </c>
      <c r="B30" s="2">
        <v>114</v>
      </c>
      <c r="C30" s="10" t="str">
        <f t="shared" ca="1" si="1"/>
        <v>1PremiumN4</v>
      </c>
      <c r="D30" s="10" t="str">
        <f t="shared" ca="1" si="2"/>
        <v>1PremiumN4</v>
      </c>
      <c r="E30" s="10" t="str">
        <f t="shared" si="3"/>
        <v/>
      </c>
      <c r="F30" s="6">
        <v>1</v>
      </c>
      <c r="G30" s="7">
        <v>191</v>
      </c>
      <c r="H30" s="10" t="str">
        <f ca="1">VLOOKUP($G30,OFFSET([1]characters!$A$2,0,0,COUNTA([1]characters!$A:$A),MATCH(H$1,[1]characters!$2:$2,0)-MATCH($G$1,[1]characters!$2:$2,0)+1),MATCH(H$1,[1]characters!$2:$2,0)-MATCH($G$1,[1]characters!$2:$2,0)+1,FALSE)</f>
        <v>始祖 卑弥呼</v>
      </c>
      <c r="I30" s="10" t="str">
        <f ca="1">VLOOKUP($G30,OFFSET([1]characters!$A$2,0,0,COUNTA([1]characters!$A:$A),MATCH(I$1,[1]characters!$2:$2,0)-MATCH($G$1,[1]characters!$2:$2,0)+1),MATCH(I$1,[1]characters!$2:$2,0)-MATCH($G$1,[1]characters!$2:$2,0)+1,FALSE)</f>
        <v>PremiumN</v>
      </c>
      <c r="J30" s="10">
        <f ca="1">VLOOKUP($G30,OFFSET([1]characters!$A$2,0,0,COUNTA([1]characters!$A:$A),MATCH(J$1,[1]characters!$2:$2,0)-MATCH($G$1,[1]characters!$2:$2,0)+1),MATCH(J$1,[1]characters!$2:$2,0)-MATCH($G$1,[1]characters!$2:$2,0)+1,FALSE)</f>
        <v>4</v>
      </c>
      <c r="K30" s="10" t="str">
        <f ca="1">VLOOKUP($G30,OFFSET([1]characters!$A$2,0,0,COUNTA([1]characters!$A:$A),MATCH(K$1,[1]characters!$2:$2,0)-MATCH($G$1,[1]characters!$2:$2,0)+1),MATCH(K$1,[1]characters!$2:$2,0)-MATCH($G$1,[1]characters!$2:$2,0)+1,FALSE)</f>
        <v>red</v>
      </c>
      <c r="L30" s="10" t="str">
        <f ca="1">VLOOKUP($G30,OFFSET([1]characters!$A$2,0,0,COUNTA([1]characters!$A:$A),MATCH("タイプ",[1]characters!$1:$1,0)-MATCH($G$1,[1]characters!$2:$2,0)+2),MATCH("タイプ",[1]characters!$1:$1,0)-MATCH($G$1,[1]characters!$2:$2,0)+2,FALSE)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30" s="10" t="str">
        <f ca="1">VLOOKUP($G30,OFFSET([1]characters!$A$2,0,0,COUNTA([1]characters!$A:$A),MATCH($M$1,[1]characters!$1:$1,0)-MATCH($G$1,[1]characters!$2:$2,0)+2),MATCH($M$1,[1]characters!$1:$1,0)-MATCH($G$1,[1]characters!$2:$2,0)+2,FALSE)</f>
        <v>ヒューマン</v>
      </c>
      <c r="N30" s="6">
        <v>1</v>
      </c>
      <c r="O30" s="43">
        <f ca="1">VLOOKUP(D30,gacha_114_base!A:K,11,FALSE)</f>
        <v>2030</v>
      </c>
      <c r="P30" s="28">
        <v>0</v>
      </c>
      <c r="Q30" s="28">
        <v>0</v>
      </c>
      <c r="R30" s="28">
        <v>0</v>
      </c>
      <c r="S30" s="28">
        <v>0</v>
      </c>
      <c r="T30" s="28">
        <v>1</v>
      </c>
    </row>
    <row r="31" spans="1:20" ht="21" customHeight="1">
      <c r="A31" s="8" t="str">
        <f t="shared" si="0"/>
        <v>11941</v>
      </c>
      <c r="B31" s="2">
        <v>114</v>
      </c>
      <c r="C31" s="10" t="str">
        <f t="shared" ca="1" si="1"/>
        <v>1PremiumN4</v>
      </c>
      <c r="D31" s="10" t="str">
        <f t="shared" ca="1" si="2"/>
        <v>1PremiumN4</v>
      </c>
      <c r="E31" s="10" t="str">
        <f t="shared" si="3"/>
        <v/>
      </c>
      <c r="F31" s="6">
        <v>1</v>
      </c>
      <c r="G31" s="7">
        <v>194</v>
      </c>
      <c r="H31" s="10" t="str">
        <f ca="1">VLOOKUP($G31,OFFSET([1]characters!$A$2,0,0,COUNTA([1]characters!$A:$A),MATCH(H$1,[1]characters!$2:$2,0)-MATCH($G$1,[1]characters!$2:$2,0)+1),MATCH(H$1,[1]characters!$2:$2,0)-MATCH($G$1,[1]characters!$2:$2,0)+1,FALSE)</f>
        <v>スナイパー ロビンフッド</v>
      </c>
      <c r="I31" s="10" t="str">
        <f ca="1">VLOOKUP($G31,OFFSET([1]characters!$A$2,0,0,COUNTA([1]characters!$A:$A),MATCH(I$1,[1]characters!$2:$2,0)-MATCH($G$1,[1]characters!$2:$2,0)+1),MATCH(I$1,[1]characters!$2:$2,0)-MATCH($G$1,[1]characters!$2:$2,0)+1,FALSE)</f>
        <v>PremiumN</v>
      </c>
      <c r="J31" s="10">
        <f ca="1">VLOOKUP($G31,OFFSET([1]characters!$A$2,0,0,COUNTA([1]characters!$A:$A),MATCH(J$1,[1]characters!$2:$2,0)-MATCH($G$1,[1]characters!$2:$2,0)+1),MATCH(J$1,[1]characters!$2:$2,0)-MATCH($G$1,[1]characters!$2:$2,0)+1,FALSE)</f>
        <v>4</v>
      </c>
      <c r="K31" s="10" t="str">
        <f ca="1">VLOOKUP($G31,OFFSET([1]characters!$A$2,0,0,COUNTA([1]characters!$A:$A),MATCH(K$1,[1]characters!$2:$2,0)-MATCH($G$1,[1]characters!$2:$2,0)+1),MATCH(K$1,[1]characters!$2:$2,0)-MATCH($G$1,[1]characters!$2:$2,0)+1,FALSE)</f>
        <v>green</v>
      </c>
      <c r="L31" s="10" t="str">
        <f ca="1">VLOOKUP($G31,OFFSET([1]characters!$A$2,0,0,COUNTA([1]characters!$A:$A),MATCH("タイプ",[1]characters!$1:$1,0)-MATCH($G$1,[1]characters!$2:$2,0)+2),MATCH("タイプ",[1]characters!$1:$1,0)-MATCH($G$1,[1]characters!$2:$2,0)+2,FALSE)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31" s="10" t="str">
        <f ca="1">VLOOKUP($G31,OFFSET([1]characters!$A$2,0,0,COUNTA([1]characters!$A:$A),MATCH($M$1,[1]characters!$1:$1,0)-MATCH($G$1,[1]characters!$2:$2,0)+2),MATCH($M$1,[1]characters!$1:$1,0)-MATCH($G$1,[1]characters!$2:$2,0)+2,FALSE)</f>
        <v>ヒューマン</v>
      </c>
      <c r="N31" s="6">
        <v>1</v>
      </c>
      <c r="O31" s="43">
        <f ca="1">VLOOKUP(D31,gacha_114_base!A:K,11,FALSE)</f>
        <v>2030</v>
      </c>
      <c r="P31" s="28">
        <v>0</v>
      </c>
      <c r="Q31" s="28">
        <v>0</v>
      </c>
      <c r="R31" s="28">
        <v>0</v>
      </c>
      <c r="S31" s="28">
        <v>0</v>
      </c>
      <c r="T31" s="28">
        <v>1</v>
      </c>
    </row>
    <row r="32" spans="1:20" ht="21" customHeight="1">
      <c r="A32" s="8" t="str">
        <f t="shared" si="0"/>
        <v>11971</v>
      </c>
      <c r="B32" s="2">
        <v>114</v>
      </c>
      <c r="C32" s="10" t="str">
        <f t="shared" ca="1" si="1"/>
        <v>1PremiumN4</v>
      </c>
      <c r="D32" s="10" t="str">
        <f t="shared" ca="1" si="2"/>
        <v>1PremiumN4</v>
      </c>
      <c r="E32" s="10" t="str">
        <f t="shared" si="3"/>
        <v/>
      </c>
      <c r="F32" s="6">
        <v>1</v>
      </c>
      <c r="G32" s="7">
        <v>197</v>
      </c>
      <c r="H32" s="10" t="str">
        <f ca="1">VLOOKUP($G32,OFFSET([1]characters!$A$2,0,0,COUNTA([1]characters!$A:$A),MATCH(H$1,[1]characters!$2:$2,0)-MATCH($G$1,[1]characters!$2:$2,0)+1),MATCH(H$1,[1]characters!$2:$2,0)-MATCH($G$1,[1]characters!$2:$2,0)+1,FALSE)</f>
        <v>鉄腕 アキレス</v>
      </c>
      <c r="I32" s="10" t="str">
        <f ca="1">VLOOKUP($G32,OFFSET([1]characters!$A$2,0,0,COUNTA([1]characters!$A:$A),MATCH(I$1,[1]characters!$2:$2,0)-MATCH($G$1,[1]characters!$2:$2,0)+1),MATCH(I$1,[1]characters!$2:$2,0)-MATCH($G$1,[1]characters!$2:$2,0)+1,FALSE)</f>
        <v>PremiumN</v>
      </c>
      <c r="J32" s="10">
        <f ca="1">VLOOKUP($G32,OFFSET([1]characters!$A$2,0,0,COUNTA([1]characters!$A:$A),MATCH(J$1,[1]characters!$2:$2,0)-MATCH($G$1,[1]characters!$2:$2,0)+1),MATCH(J$1,[1]characters!$2:$2,0)-MATCH($G$1,[1]characters!$2:$2,0)+1,FALSE)</f>
        <v>4</v>
      </c>
      <c r="K32" s="10" t="str">
        <f ca="1">VLOOKUP($G32,OFFSET([1]characters!$A$2,0,0,COUNTA([1]characters!$A:$A),MATCH(K$1,[1]characters!$2:$2,0)-MATCH($G$1,[1]characters!$2:$2,0)+1),MATCH(K$1,[1]characters!$2:$2,0)-MATCH($G$1,[1]characters!$2:$2,0)+1,FALSE)</f>
        <v>yellow</v>
      </c>
      <c r="L32" s="10" t="str">
        <f ca="1">VLOOKUP($G32,OFFSET([1]characters!$A$2,0,0,COUNTA([1]characters!$A:$A),MATCH("タイプ",[1]characters!$1:$1,0)-MATCH($G$1,[1]characters!$2:$2,0)+2),MATCH("タイプ",[1]characters!$1:$1,0)-MATCH($G$1,[1]characters!$2:$2,0)+2,FALSE)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32" s="10" t="str">
        <f ca="1">VLOOKUP($G32,OFFSET([1]characters!$A$2,0,0,COUNTA([1]characters!$A:$A),MATCH($M$1,[1]characters!$1:$1,0)-MATCH($G$1,[1]characters!$2:$2,0)+2),MATCH($M$1,[1]characters!$1:$1,0)-MATCH($G$1,[1]characters!$2:$2,0)+2,FALSE)</f>
        <v>ヒューマン</v>
      </c>
      <c r="N32" s="6">
        <v>1</v>
      </c>
      <c r="O32" s="43">
        <f ca="1">VLOOKUP(D32,gacha_114_base!A:K,11,FALSE)</f>
        <v>2030</v>
      </c>
      <c r="P32" s="28">
        <v>0</v>
      </c>
      <c r="Q32" s="28">
        <v>0</v>
      </c>
      <c r="R32" s="28">
        <v>0</v>
      </c>
      <c r="S32" s="28">
        <v>0</v>
      </c>
      <c r="T32" s="28">
        <v>1</v>
      </c>
    </row>
    <row r="33" spans="1:20" ht="21" customHeight="1">
      <c r="A33" s="8" t="str">
        <f t="shared" si="0"/>
        <v>12001</v>
      </c>
      <c r="B33" s="2">
        <v>114</v>
      </c>
      <c r="C33" s="10" t="str">
        <f t="shared" ca="1" si="1"/>
        <v>1PremiumN4</v>
      </c>
      <c r="D33" s="10" t="str">
        <f t="shared" ca="1" si="2"/>
        <v>1PremiumN4</v>
      </c>
      <c r="E33" s="10" t="str">
        <f t="shared" si="3"/>
        <v/>
      </c>
      <c r="F33" s="6">
        <v>1</v>
      </c>
      <c r="G33" s="7">
        <v>200</v>
      </c>
      <c r="H33" s="10" t="str">
        <f ca="1">VLOOKUP($G33,OFFSET([1]characters!$A$2,0,0,COUNTA([1]characters!$A:$A),MATCH(H$1,[1]characters!$2:$2,0)-MATCH($G$1,[1]characters!$2:$2,0)+1),MATCH(H$1,[1]characters!$2:$2,0)-MATCH($G$1,[1]characters!$2:$2,0)+1,FALSE)</f>
        <v>大剣士 ジークフリート</v>
      </c>
      <c r="I33" s="10" t="str">
        <f ca="1">VLOOKUP($G33,OFFSET([1]characters!$A$2,0,0,COUNTA([1]characters!$A:$A),MATCH(I$1,[1]characters!$2:$2,0)-MATCH($G$1,[1]characters!$2:$2,0)+1),MATCH(I$1,[1]characters!$2:$2,0)-MATCH($G$1,[1]characters!$2:$2,0)+1,FALSE)</f>
        <v>PremiumN</v>
      </c>
      <c r="J33" s="10">
        <f ca="1">VLOOKUP($G33,OFFSET([1]characters!$A$2,0,0,COUNTA([1]characters!$A:$A),MATCH(J$1,[1]characters!$2:$2,0)-MATCH($G$1,[1]characters!$2:$2,0)+1),MATCH(J$1,[1]characters!$2:$2,0)-MATCH($G$1,[1]characters!$2:$2,0)+1,FALSE)</f>
        <v>4</v>
      </c>
      <c r="K33" s="10" t="str">
        <f ca="1">VLOOKUP($G33,OFFSET([1]characters!$A$2,0,0,COUNTA([1]characters!$A:$A),MATCH(K$1,[1]characters!$2:$2,0)-MATCH($G$1,[1]characters!$2:$2,0)+1),MATCH(K$1,[1]characters!$2:$2,0)-MATCH($G$1,[1]characters!$2:$2,0)+1,FALSE)</f>
        <v>blue</v>
      </c>
      <c r="L33" s="10" t="str">
        <f ca="1">VLOOKUP($G33,OFFSET([1]characters!$A$2,0,0,COUNTA([1]characters!$A:$A),MATCH("タイプ",[1]characters!$1:$1,0)-MATCH($G$1,[1]characters!$2:$2,0)+2),MATCH("タイプ",[1]characters!$1:$1,0)-MATCH($G$1,[1]characters!$2:$2,0)+2,FALSE)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33" s="10" t="str">
        <f ca="1">VLOOKUP($G33,OFFSET([1]characters!$A$2,0,0,COUNTA([1]characters!$A:$A),MATCH($M$1,[1]characters!$1:$1,0)-MATCH($G$1,[1]characters!$2:$2,0)+2),MATCH($M$1,[1]characters!$1:$1,0)-MATCH($G$1,[1]characters!$2:$2,0)+2,FALSE)</f>
        <v>ヒューマン</v>
      </c>
      <c r="N33" s="6">
        <v>1</v>
      </c>
      <c r="O33" s="43">
        <f ca="1">VLOOKUP(D33,gacha_114_base!A:K,11,FALSE)</f>
        <v>2030</v>
      </c>
      <c r="P33" s="28">
        <v>0</v>
      </c>
      <c r="Q33" s="28">
        <v>0</v>
      </c>
      <c r="R33" s="28">
        <v>0</v>
      </c>
      <c r="S33" s="28">
        <v>0</v>
      </c>
      <c r="T33" s="28">
        <v>1</v>
      </c>
    </row>
    <row r="34" spans="1:20" ht="21" customHeight="1">
      <c r="A34" s="8" t="str">
        <f t="shared" si="0"/>
        <v>12031</v>
      </c>
      <c r="B34" s="2">
        <v>114</v>
      </c>
      <c r="C34" s="10" t="str">
        <f t="shared" ca="1" si="1"/>
        <v>1PremiumN4</v>
      </c>
      <c r="D34" s="10" t="str">
        <f t="shared" ca="1" si="2"/>
        <v>1PremiumN4</v>
      </c>
      <c r="E34" s="10" t="str">
        <f t="shared" si="3"/>
        <v/>
      </c>
      <c r="F34" s="6">
        <v>1</v>
      </c>
      <c r="G34" s="7">
        <v>203</v>
      </c>
      <c r="H34" s="10" t="str">
        <f ca="1">VLOOKUP($G34,OFFSET([1]characters!$A$2,0,0,COUNTA([1]characters!$A:$A),MATCH(H$1,[1]characters!$2:$2,0)-MATCH($G$1,[1]characters!$2:$2,0)+1),MATCH(H$1,[1]characters!$2:$2,0)-MATCH($G$1,[1]characters!$2:$2,0)+1,FALSE)</f>
        <v>焔神 プロメテウス</v>
      </c>
      <c r="I34" s="10" t="str">
        <f ca="1">VLOOKUP($G34,OFFSET([1]characters!$A$2,0,0,COUNTA([1]characters!$A:$A),MATCH(I$1,[1]characters!$2:$2,0)-MATCH($G$1,[1]characters!$2:$2,0)+1),MATCH(I$1,[1]characters!$2:$2,0)-MATCH($G$1,[1]characters!$2:$2,0)+1,FALSE)</f>
        <v>PremiumN</v>
      </c>
      <c r="J34" s="10">
        <f ca="1">VLOOKUP($G34,OFFSET([1]characters!$A$2,0,0,COUNTA([1]characters!$A:$A),MATCH(J$1,[1]characters!$2:$2,0)-MATCH($G$1,[1]characters!$2:$2,0)+1),MATCH(J$1,[1]characters!$2:$2,0)-MATCH($G$1,[1]characters!$2:$2,0)+1,FALSE)</f>
        <v>4</v>
      </c>
      <c r="K34" s="10" t="str">
        <f ca="1">VLOOKUP($G34,OFFSET([1]characters!$A$2,0,0,COUNTA([1]characters!$A:$A),MATCH(K$1,[1]characters!$2:$2,0)-MATCH($G$1,[1]characters!$2:$2,0)+1),MATCH(K$1,[1]characters!$2:$2,0)-MATCH($G$1,[1]characters!$2:$2,0)+1,FALSE)</f>
        <v>red</v>
      </c>
      <c r="L34" s="10" t="str">
        <f ca="1">VLOOKUP($G34,OFFSET([1]characters!$A$2,0,0,COUNTA([1]characters!$A:$A),MATCH("タイプ",[1]characters!$1:$1,0)-MATCH($G$1,[1]characters!$2:$2,0)+2),MATCH("タイプ",[1]characters!$1:$1,0)-MATCH($G$1,[1]characters!$2:$2,0)+2,FALSE)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34" s="10" t="str">
        <f ca="1">VLOOKUP($G34,OFFSET([1]characters!$A$2,0,0,COUNTA([1]characters!$A:$A),MATCH($M$1,[1]characters!$1:$1,0)-MATCH($G$1,[1]characters!$2:$2,0)+2),MATCH($M$1,[1]characters!$1:$1,0)-MATCH($G$1,[1]characters!$2:$2,0)+2,FALSE)</f>
        <v>ゴッド</v>
      </c>
      <c r="N34" s="6">
        <v>1</v>
      </c>
      <c r="O34" s="43">
        <f ca="1">VLOOKUP(D34,gacha_114_base!A:K,11,FALSE)</f>
        <v>2030</v>
      </c>
      <c r="P34" s="28">
        <v>0</v>
      </c>
      <c r="Q34" s="28">
        <v>0</v>
      </c>
      <c r="R34" s="28">
        <v>0</v>
      </c>
      <c r="S34" s="28">
        <v>0</v>
      </c>
      <c r="T34" s="28">
        <v>1</v>
      </c>
    </row>
    <row r="35" spans="1:20" ht="21" customHeight="1">
      <c r="A35" s="8" t="str">
        <f t="shared" si="0"/>
        <v>12061</v>
      </c>
      <c r="B35" s="2">
        <v>114</v>
      </c>
      <c r="C35" s="10" t="str">
        <f t="shared" ca="1" si="1"/>
        <v>1PremiumN4</v>
      </c>
      <c r="D35" s="10" t="str">
        <f t="shared" ca="1" si="2"/>
        <v>1PremiumN4</v>
      </c>
      <c r="E35" s="10" t="str">
        <f t="shared" si="3"/>
        <v/>
      </c>
      <c r="F35" s="6">
        <v>1</v>
      </c>
      <c r="G35" s="7">
        <v>206</v>
      </c>
      <c r="H35" s="10" t="str">
        <f ca="1">VLOOKUP($G35,OFFSET([1]characters!$A$2,0,0,COUNTA([1]characters!$A:$A),MATCH(H$1,[1]characters!$2:$2,0)-MATCH($G$1,[1]characters!$2:$2,0)+1),MATCH(H$1,[1]characters!$2:$2,0)-MATCH($G$1,[1]characters!$2:$2,0)+1,FALSE)</f>
        <v>美神 アフロディーテ</v>
      </c>
      <c r="I35" s="10" t="str">
        <f ca="1">VLOOKUP($G35,OFFSET([1]characters!$A$2,0,0,COUNTA([1]characters!$A:$A),MATCH(I$1,[1]characters!$2:$2,0)-MATCH($G$1,[1]characters!$2:$2,0)+1),MATCH(I$1,[1]characters!$2:$2,0)-MATCH($G$1,[1]characters!$2:$2,0)+1,FALSE)</f>
        <v>PremiumN</v>
      </c>
      <c r="J35" s="10">
        <f ca="1">VLOOKUP($G35,OFFSET([1]characters!$A$2,0,0,COUNTA([1]characters!$A:$A),MATCH(J$1,[1]characters!$2:$2,0)-MATCH($G$1,[1]characters!$2:$2,0)+1),MATCH(J$1,[1]characters!$2:$2,0)-MATCH($G$1,[1]characters!$2:$2,0)+1,FALSE)</f>
        <v>4</v>
      </c>
      <c r="K35" s="10" t="str">
        <f ca="1">VLOOKUP($G35,OFFSET([1]characters!$A$2,0,0,COUNTA([1]characters!$A:$A),MATCH(K$1,[1]characters!$2:$2,0)-MATCH($G$1,[1]characters!$2:$2,0)+1),MATCH(K$1,[1]characters!$2:$2,0)-MATCH($G$1,[1]characters!$2:$2,0)+1,FALSE)</f>
        <v>green</v>
      </c>
      <c r="L35" s="10" t="str">
        <f ca="1">VLOOKUP($G35,OFFSET([1]characters!$A$2,0,0,COUNTA([1]characters!$A:$A),MATCH("タイプ",[1]characters!$1:$1,0)-MATCH($G$1,[1]characters!$2:$2,0)+2),MATCH("タイプ",[1]characters!$1:$1,0)-MATCH($G$1,[1]characters!$2:$2,0)+2,FALSE)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35" s="10" t="str">
        <f ca="1">VLOOKUP($G35,OFFSET([1]characters!$A$2,0,0,COUNTA([1]characters!$A:$A),MATCH($M$1,[1]characters!$1:$1,0)-MATCH($G$1,[1]characters!$2:$2,0)+2),MATCH($M$1,[1]characters!$1:$1,0)-MATCH($G$1,[1]characters!$2:$2,0)+2,FALSE)</f>
        <v>ゴッド</v>
      </c>
      <c r="N35" s="6">
        <v>1</v>
      </c>
      <c r="O35" s="43">
        <f ca="1">VLOOKUP(D35,gacha_114_base!A:K,11,FALSE)</f>
        <v>2030</v>
      </c>
      <c r="P35" s="28">
        <v>0</v>
      </c>
      <c r="Q35" s="28">
        <v>0</v>
      </c>
      <c r="R35" s="28">
        <v>0</v>
      </c>
      <c r="S35" s="28">
        <v>0</v>
      </c>
      <c r="T35" s="28">
        <v>1</v>
      </c>
    </row>
    <row r="36" spans="1:20" ht="21" customHeight="1">
      <c r="A36" s="8" t="str">
        <f t="shared" si="0"/>
        <v>12091</v>
      </c>
      <c r="B36" s="2">
        <v>114</v>
      </c>
      <c r="C36" s="10" t="str">
        <f t="shared" ca="1" si="1"/>
        <v>1PremiumN4</v>
      </c>
      <c r="D36" s="10" t="str">
        <f t="shared" ca="1" si="2"/>
        <v>1PremiumN4</v>
      </c>
      <c r="E36" s="10" t="str">
        <f t="shared" si="3"/>
        <v/>
      </c>
      <c r="F36" s="6">
        <v>1</v>
      </c>
      <c r="G36" s="7">
        <v>209</v>
      </c>
      <c r="H36" s="10" t="str">
        <f ca="1">VLOOKUP($G36,OFFSET([1]characters!$A$2,0,0,COUNTA([1]characters!$A:$A),MATCH(H$1,[1]characters!$2:$2,0)-MATCH($G$1,[1]characters!$2:$2,0)+1),MATCH(H$1,[1]characters!$2:$2,0)-MATCH($G$1,[1]characters!$2:$2,0)+1,FALSE)</f>
        <v>孤神 テティス</v>
      </c>
      <c r="I36" s="10" t="str">
        <f ca="1">VLOOKUP($G36,OFFSET([1]characters!$A$2,0,0,COUNTA([1]characters!$A:$A),MATCH(I$1,[1]characters!$2:$2,0)-MATCH($G$1,[1]characters!$2:$2,0)+1),MATCH(I$1,[1]characters!$2:$2,0)-MATCH($G$1,[1]characters!$2:$2,0)+1,FALSE)</f>
        <v>PremiumN</v>
      </c>
      <c r="J36" s="10">
        <f ca="1">VLOOKUP($G36,OFFSET([1]characters!$A$2,0,0,COUNTA([1]characters!$A:$A),MATCH(J$1,[1]characters!$2:$2,0)-MATCH($G$1,[1]characters!$2:$2,0)+1),MATCH(J$1,[1]characters!$2:$2,0)-MATCH($G$1,[1]characters!$2:$2,0)+1,FALSE)</f>
        <v>4</v>
      </c>
      <c r="K36" s="10" t="str">
        <f ca="1">VLOOKUP($G36,OFFSET([1]characters!$A$2,0,0,COUNTA([1]characters!$A:$A),MATCH(K$1,[1]characters!$2:$2,0)-MATCH($G$1,[1]characters!$2:$2,0)+1),MATCH(K$1,[1]characters!$2:$2,0)-MATCH($G$1,[1]characters!$2:$2,0)+1,FALSE)</f>
        <v>blue</v>
      </c>
      <c r="L36" s="10" t="str">
        <f ca="1">VLOOKUP($G36,OFFSET([1]characters!$A$2,0,0,COUNTA([1]characters!$A:$A),MATCH("タイプ",[1]characters!$1:$1,0)-MATCH($G$1,[1]characters!$2:$2,0)+2),MATCH("タイプ",[1]characters!$1:$1,0)-MATCH($G$1,[1]characters!$2:$2,0)+2,FALSE)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36" s="10" t="str">
        <f ca="1">VLOOKUP($G36,OFFSET([1]characters!$A$2,0,0,COUNTA([1]characters!$A:$A),MATCH($M$1,[1]characters!$1:$1,0)-MATCH($G$1,[1]characters!$2:$2,0)+2),MATCH($M$1,[1]characters!$1:$1,0)-MATCH($G$1,[1]characters!$2:$2,0)+2,FALSE)</f>
        <v>ゴッド</v>
      </c>
      <c r="N36" s="6">
        <v>1</v>
      </c>
      <c r="O36" s="43">
        <f ca="1">VLOOKUP(D36,gacha_114_base!A:K,11,FALSE)</f>
        <v>2030</v>
      </c>
      <c r="P36" s="28">
        <v>0</v>
      </c>
      <c r="Q36" s="28">
        <v>0</v>
      </c>
      <c r="R36" s="28">
        <v>0</v>
      </c>
      <c r="S36" s="28">
        <v>0</v>
      </c>
      <c r="T36" s="28">
        <v>1</v>
      </c>
    </row>
    <row r="37" spans="1:20" ht="21" customHeight="1">
      <c r="A37" s="8" t="str">
        <f t="shared" si="0"/>
        <v>12121</v>
      </c>
      <c r="B37" s="2">
        <v>114</v>
      </c>
      <c r="C37" s="10" t="str">
        <f t="shared" ca="1" si="1"/>
        <v>1PremiumN4</v>
      </c>
      <c r="D37" s="10" t="str">
        <f t="shared" ca="1" si="2"/>
        <v>1PremiumN4</v>
      </c>
      <c r="E37" s="10" t="str">
        <f t="shared" si="3"/>
        <v/>
      </c>
      <c r="F37" s="6">
        <v>1</v>
      </c>
      <c r="G37" s="7">
        <v>212</v>
      </c>
      <c r="H37" s="10" t="str">
        <f ca="1">VLOOKUP($G37,OFFSET([1]characters!$A$2,0,0,COUNTA([1]characters!$A:$A),MATCH(H$1,[1]characters!$2:$2,0)-MATCH($G$1,[1]characters!$2:$2,0)+1),MATCH(H$1,[1]characters!$2:$2,0)-MATCH($G$1,[1]characters!$2:$2,0)+1,FALSE)</f>
        <v>星神 アストライアー</v>
      </c>
      <c r="I37" s="10" t="str">
        <f ca="1">VLOOKUP($G37,OFFSET([1]characters!$A$2,0,0,COUNTA([1]characters!$A:$A),MATCH(I$1,[1]characters!$2:$2,0)-MATCH($G$1,[1]characters!$2:$2,0)+1),MATCH(I$1,[1]characters!$2:$2,0)-MATCH($G$1,[1]characters!$2:$2,0)+1,FALSE)</f>
        <v>PremiumN</v>
      </c>
      <c r="J37" s="10">
        <f ca="1">VLOOKUP($G37,OFFSET([1]characters!$A$2,0,0,COUNTA([1]characters!$A:$A),MATCH(J$1,[1]characters!$2:$2,0)-MATCH($G$1,[1]characters!$2:$2,0)+1),MATCH(J$1,[1]characters!$2:$2,0)-MATCH($G$1,[1]characters!$2:$2,0)+1,FALSE)</f>
        <v>4</v>
      </c>
      <c r="K37" s="10" t="str">
        <f ca="1">VLOOKUP($G37,OFFSET([1]characters!$A$2,0,0,COUNTA([1]characters!$A:$A),MATCH(K$1,[1]characters!$2:$2,0)-MATCH($G$1,[1]characters!$2:$2,0)+1),MATCH(K$1,[1]characters!$2:$2,0)-MATCH($G$1,[1]characters!$2:$2,0)+1,FALSE)</f>
        <v>yellow</v>
      </c>
      <c r="L37" s="10" t="str">
        <f ca="1">VLOOKUP($G37,OFFSET([1]characters!$A$2,0,0,COUNTA([1]characters!$A:$A),MATCH("タイプ",[1]characters!$1:$1,0)-MATCH($G$1,[1]characters!$2:$2,0)+2),MATCH("タイプ",[1]characters!$1:$1,0)-MATCH($G$1,[1]characters!$2:$2,0)+2,FALSE)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37" s="10" t="str">
        <f ca="1">VLOOKUP($G37,OFFSET([1]characters!$A$2,0,0,COUNTA([1]characters!$A:$A),MATCH($M$1,[1]characters!$1:$1,0)-MATCH($G$1,[1]characters!$2:$2,0)+2),MATCH($M$1,[1]characters!$1:$1,0)-MATCH($G$1,[1]characters!$2:$2,0)+2,FALSE)</f>
        <v>ゴッド</v>
      </c>
      <c r="N37" s="6">
        <v>1</v>
      </c>
      <c r="O37" s="43">
        <f ca="1">VLOOKUP(D37,gacha_114_base!A:K,11,FALSE)</f>
        <v>2030</v>
      </c>
      <c r="P37" s="28">
        <v>0</v>
      </c>
      <c r="Q37" s="28">
        <v>0</v>
      </c>
      <c r="R37" s="28">
        <v>0</v>
      </c>
      <c r="S37" s="28">
        <v>0</v>
      </c>
      <c r="T37" s="28">
        <v>1</v>
      </c>
    </row>
    <row r="38" spans="1:20" ht="21" customHeight="1">
      <c r="A38" s="8" t="str">
        <f t="shared" si="0"/>
        <v>12151</v>
      </c>
      <c r="B38" s="2">
        <v>114</v>
      </c>
      <c r="C38" s="10" t="str">
        <f t="shared" ca="1" si="1"/>
        <v>1PremiumN4</v>
      </c>
      <c r="D38" s="10" t="str">
        <f t="shared" ca="1" si="2"/>
        <v>1PremiumN4</v>
      </c>
      <c r="E38" s="10" t="str">
        <f t="shared" si="3"/>
        <v/>
      </c>
      <c r="F38" s="6">
        <v>1</v>
      </c>
      <c r="G38" s="7">
        <v>215</v>
      </c>
      <c r="H38" s="10" t="str">
        <f ca="1">VLOOKUP($G38,OFFSET([1]characters!$A$2,0,0,COUNTA([1]characters!$A:$A),MATCH(H$1,[1]characters!$2:$2,0)-MATCH($G$1,[1]characters!$2:$2,0)+1),MATCH(H$1,[1]characters!$2:$2,0)-MATCH($G$1,[1]characters!$2:$2,0)+1,FALSE)</f>
        <v>死導者 アズラエル</v>
      </c>
      <c r="I38" s="10" t="str">
        <f ca="1">VLOOKUP($G38,OFFSET([1]characters!$A$2,0,0,COUNTA([1]characters!$A:$A),MATCH(I$1,[1]characters!$2:$2,0)-MATCH($G$1,[1]characters!$2:$2,0)+1),MATCH(I$1,[1]characters!$2:$2,0)-MATCH($G$1,[1]characters!$2:$2,0)+1,FALSE)</f>
        <v>PremiumN</v>
      </c>
      <c r="J38" s="10">
        <f ca="1">VLOOKUP($G38,OFFSET([1]characters!$A$2,0,0,COUNTA([1]characters!$A:$A),MATCH(J$1,[1]characters!$2:$2,0)-MATCH($G$1,[1]characters!$2:$2,0)+1),MATCH(J$1,[1]characters!$2:$2,0)-MATCH($G$1,[1]characters!$2:$2,0)+1,FALSE)</f>
        <v>4</v>
      </c>
      <c r="K38" s="10" t="str">
        <f ca="1">VLOOKUP($G38,OFFSET([1]characters!$A$2,0,0,COUNTA([1]characters!$A:$A),MATCH(K$1,[1]characters!$2:$2,0)-MATCH($G$1,[1]characters!$2:$2,0)+1),MATCH(K$1,[1]characters!$2:$2,0)-MATCH($G$1,[1]characters!$2:$2,0)+1,FALSE)</f>
        <v>red</v>
      </c>
      <c r="L38" s="10" t="str">
        <f ca="1">VLOOKUP($G38,OFFSET([1]characters!$A$2,0,0,COUNTA([1]characters!$A:$A),MATCH("タイプ",[1]characters!$1:$1,0)-MATCH($G$1,[1]characters!$2:$2,0)+2),MATCH("タイプ",[1]characters!$1:$1,0)-MATCH($G$1,[1]characters!$2:$2,0)+2,FALSE)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38" s="10" t="str">
        <f ca="1">VLOOKUP($G38,OFFSET([1]characters!$A$2,0,0,COUNTA([1]characters!$A:$A),MATCH($M$1,[1]characters!$1:$1,0)-MATCH($G$1,[1]characters!$2:$2,0)+2),MATCH($M$1,[1]characters!$1:$1,0)-MATCH($G$1,[1]characters!$2:$2,0)+2,FALSE)</f>
        <v>ゴッド</v>
      </c>
      <c r="N38" s="6">
        <v>1</v>
      </c>
      <c r="O38" s="43">
        <f ca="1">VLOOKUP(D38,gacha_114_base!A:K,11,FALSE)</f>
        <v>2030</v>
      </c>
      <c r="P38" s="28">
        <v>0</v>
      </c>
      <c r="Q38" s="28">
        <v>0</v>
      </c>
      <c r="R38" s="28">
        <v>0</v>
      </c>
      <c r="S38" s="28">
        <v>0</v>
      </c>
      <c r="T38" s="28">
        <v>1</v>
      </c>
    </row>
    <row r="39" spans="1:20" ht="21" customHeight="1">
      <c r="A39" s="8" t="str">
        <f t="shared" si="0"/>
        <v>12181</v>
      </c>
      <c r="B39" s="2">
        <v>114</v>
      </c>
      <c r="C39" s="10" t="str">
        <f t="shared" ca="1" si="1"/>
        <v>1PremiumN4</v>
      </c>
      <c r="D39" s="10" t="str">
        <f t="shared" ca="1" si="2"/>
        <v>1PremiumN4</v>
      </c>
      <c r="E39" s="10" t="str">
        <f t="shared" si="3"/>
        <v/>
      </c>
      <c r="F39" s="6">
        <v>1</v>
      </c>
      <c r="G39" s="7">
        <v>218</v>
      </c>
      <c r="H39" s="10" t="str">
        <f ca="1">VLOOKUP($G39,OFFSET([1]characters!$A$2,0,0,COUNTA([1]characters!$A:$A),MATCH(H$1,[1]characters!$2:$2,0)-MATCH($G$1,[1]characters!$2:$2,0)+1),MATCH(H$1,[1]characters!$2:$2,0)-MATCH($G$1,[1]characters!$2:$2,0)+1,FALSE)</f>
        <v>聖蛇 ケツァクアトル</v>
      </c>
      <c r="I39" s="10" t="str">
        <f ca="1">VLOOKUP($G39,OFFSET([1]characters!$A$2,0,0,COUNTA([1]characters!$A:$A),MATCH(I$1,[1]characters!$2:$2,0)-MATCH($G$1,[1]characters!$2:$2,0)+1),MATCH(I$1,[1]characters!$2:$2,0)-MATCH($G$1,[1]characters!$2:$2,0)+1,FALSE)</f>
        <v>PremiumN</v>
      </c>
      <c r="J39" s="10">
        <f ca="1">VLOOKUP($G39,OFFSET([1]characters!$A$2,0,0,COUNTA([1]characters!$A:$A),MATCH(J$1,[1]characters!$2:$2,0)-MATCH($G$1,[1]characters!$2:$2,0)+1),MATCH(J$1,[1]characters!$2:$2,0)-MATCH($G$1,[1]characters!$2:$2,0)+1,FALSE)</f>
        <v>4</v>
      </c>
      <c r="K39" s="10" t="str">
        <f ca="1">VLOOKUP($G39,OFFSET([1]characters!$A$2,0,0,COUNTA([1]characters!$A:$A),MATCH(K$1,[1]characters!$2:$2,0)-MATCH($G$1,[1]characters!$2:$2,0)+1),MATCH(K$1,[1]characters!$2:$2,0)-MATCH($G$1,[1]characters!$2:$2,0)+1,FALSE)</f>
        <v>green</v>
      </c>
      <c r="L39" s="10" t="str">
        <f ca="1">VLOOKUP($G39,OFFSET([1]characters!$A$2,0,0,COUNTA([1]characters!$A:$A),MATCH("タイプ",[1]characters!$1:$1,0)-MATCH($G$1,[1]characters!$2:$2,0)+2),MATCH("タイプ",[1]characters!$1:$1,0)-MATCH($G$1,[1]characters!$2:$2,0)+2,FALSE)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39" s="10" t="str">
        <f ca="1">VLOOKUP($G39,OFFSET([1]characters!$A$2,0,0,COUNTA([1]characters!$A:$A),MATCH($M$1,[1]characters!$1:$1,0)-MATCH($G$1,[1]characters!$2:$2,0)+2),MATCH($M$1,[1]characters!$1:$1,0)-MATCH($G$1,[1]characters!$2:$2,0)+2,FALSE)</f>
        <v>ドラゴン</v>
      </c>
      <c r="N39" s="6">
        <v>1</v>
      </c>
      <c r="O39" s="43">
        <f ca="1">VLOOKUP(D39,gacha_114_base!A:K,11,FALSE)</f>
        <v>2030</v>
      </c>
      <c r="P39" s="28">
        <v>0</v>
      </c>
      <c r="Q39" s="28">
        <v>0</v>
      </c>
      <c r="R39" s="28">
        <v>0</v>
      </c>
      <c r="S39" s="28">
        <v>0</v>
      </c>
      <c r="T39" s="28">
        <v>1</v>
      </c>
    </row>
    <row r="40" spans="1:20" ht="21" customHeight="1">
      <c r="A40" s="8" t="str">
        <f t="shared" si="0"/>
        <v>12211</v>
      </c>
      <c r="B40" s="2">
        <v>114</v>
      </c>
      <c r="C40" s="10" t="str">
        <f t="shared" ca="1" si="1"/>
        <v>1PremiumN4</v>
      </c>
      <c r="D40" s="10" t="str">
        <f t="shared" ca="1" si="2"/>
        <v>1PremiumN4</v>
      </c>
      <c r="E40" s="10" t="str">
        <f t="shared" si="3"/>
        <v/>
      </c>
      <c r="F40" s="6">
        <v>1</v>
      </c>
      <c r="G40" s="7">
        <v>221</v>
      </c>
      <c r="H40" s="10" t="str">
        <f ca="1">VLOOKUP($G40,OFFSET([1]characters!$A$2,0,0,COUNTA([1]characters!$A:$A),MATCH(H$1,[1]characters!$2:$2,0)-MATCH($G$1,[1]characters!$2:$2,0)+1),MATCH(H$1,[1]characters!$2:$2,0)-MATCH($G$1,[1]characters!$2:$2,0)+1,FALSE)</f>
        <v>宰相 ルキフグス</v>
      </c>
      <c r="I40" s="10" t="str">
        <f ca="1">VLOOKUP($G40,OFFSET([1]characters!$A$2,0,0,COUNTA([1]characters!$A:$A),MATCH(I$1,[1]characters!$2:$2,0)-MATCH($G$1,[1]characters!$2:$2,0)+1),MATCH(I$1,[1]characters!$2:$2,0)-MATCH($G$1,[1]characters!$2:$2,0)+1,FALSE)</f>
        <v>PremiumN</v>
      </c>
      <c r="J40" s="10">
        <f ca="1">VLOOKUP($G40,OFFSET([1]characters!$A$2,0,0,COUNTA([1]characters!$A:$A),MATCH(J$1,[1]characters!$2:$2,0)-MATCH($G$1,[1]characters!$2:$2,0)+1),MATCH(J$1,[1]characters!$2:$2,0)-MATCH($G$1,[1]characters!$2:$2,0)+1,FALSE)</f>
        <v>4</v>
      </c>
      <c r="K40" s="10" t="str">
        <f ca="1">VLOOKUP($G40,OFFSET([1]characters!$A$2,0,0,COUNTA([1]characters!$A:$A),MATCH(K$1,[1]characters!$2:$2,0)-MATCH($G$1,[1]characters!$2:$2,0)+1),MATCH(K$1,[1]characters!$2:$2,0)-MATCH($G$1,[1]characters!$2:$2,0)+1,FALSE)</f>
        <v>blue</v>
      </c>
      <c r="L40" s="10" t="str">
        <f ca="1">VLOOKUP($G40,OFFSET([1]characters!$A$2,0,0,COUNTA([1]characters!$A:$A),MATCH("タイプ",[1]characters!$1:$1,0)-MATCH($G$1,[1]characters!$2:$2,0)+2),MATCH("タイプ",[1]characters!$1:$1,0)-MATCH($G$1,[1]characters!$2:$2,0)+2,FALSE)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40" s="10" t="str">
        <f ca="1">VLOOKUP($G40,OFFSET([1]characters!$A$2,0,0,COUNTA([1]characters!$A:$A),MATCH($M$1,[1]characters!$1:$1,0)-MATCH($G$1,[1]characters!$2:$2,0)+2),MATCH($M$1,[1]characters!$1:$1,0)-MATCH($G$1,[1]characters!$2:$2,0)+2,FALSE)</f>
        <v>ゴッド</v>
      </c>
      <c r="N40" s="6">
        <v>1</v>
      </c>
      <c r="O40" s="43">
        <f ca="1">VLOOKUP(D40,gacha_114_base!A:K,11,FALSE)</f>
        <v>2030</v>
      </c>
      <c r="P40" s="28">
        <v>0</v>
      </c>
      <c r="Q40" s="28">
        <v>0</v>
      </c>
      <c r="R40" s="28">
        <v>0</v>
      </c>
      <c r="S40" s="28">
        <v>0</v>
      </c>
      <c r="T40" s="28">
        <v>1</v>
      </c>
    </row>
    <row r="41" spans="1:20" ht="21" customHeight="1">
      <c r="A41" s="8" t="str">
        <f t="shared" si="0"/>
        <v>12241</v>
      </c>
      <c r="B41" s="2">
        <v>114</v>
      </c>
      <c r="C41" s="10" t="str">
        <f t="shared" ca="1" si="1"/>
        <v>1PremiumN4</v>
      </c>
      <c r="D41" s="10" t="str">
        <f t="shared" ca="1" si="2"/>
        <v>1PremiumN4</v>
      </c>
      <c r="E41" s="10" t="str">
        <f t="shared" si="3"/>
        <v/>
      </c>
      <c r="F41" s="6">
        <v>1</v>
      </c>
      <c r="G41" s="7">
        <v>224</v>
      </c>
      <c r="H41" s="10" t="str">
        <f ca="1">VLOOKUP($G41,OFFSET([1]characters!$A$2,0,0,COUNTA([1]characters!$A:$A),MATCH(H$1,[1]characters!$2:$2,0)-MATCH($G$1,[1]characters!$2:$2,0)+1),MATCH(H$1,[1]characters!$2:$2,0)-MATCH($G$1,[1]characters!$2:$2,0)+1,FALSE)</f>
        <v>巨腕 ヘラクレス</v>
      </c>
      <c r="I41" s="10" t="str">
        <f ca="1">VLOOKUP($G41,OFFSET([1]characters!$A$2,0,0,COUNTA([1]characters!$A:$A),MATCH(I$1,[1]characters!$2:$2,0)-MATCH($G$1,[1]characters!$2:$2,0)+1),MATCH(I$1,[1]characters!$2:$2,0)-MATCH($G$1,[1]characters!$2:$2,0)+1,FALSE)</f>
        <v>PremiumN</v>
      </c>
      <c r="J41" s="10">
        <f ca="1">VLOOKUP($G41,OFFSET([1]characters!$A$2,0,0,COUNTA([1]characters!$A:$A),MATCH(J$1,[1]characters!$2:$2,0)-MATCH($G$1,[1]characters!$2:$2,0)+1),MATCH(J$1,[1]characters!$2:$2,0)-MATCH($G$1,[1]characters!$2:$2,0)+1,FALSE)</f>
        <v>4</v>
      </c>
      <c r="K41" s="10" t="str">
        <f ca="1">VLOOKUP($G41,OFFSET([1]characters!$A$2,0,0,COUNTA([1]characters!$A:$A),MATCH(K$1,[1]characters!$2:$2,0)-MATCH($G$1,[1]characters!$2:$2,0)+1),MATCH(K$1,[1]characters!$2:$2,0)-MATCH($G$1,[1]characters!$2:$2,0)+1,FALSE)</f>
        <v>yellow</v>
      </c>
      <c r="L41" s="10" t="str">
        <f ca="1">VLOOKUP($G41,OFFSET([1]characters!$A$2,0,0,COUNTA([1]characters!$A:$A),MATCH("タイプ",[1]characters!$1:$1,0)-MATCH($G$1,[1]characters!$2:$2,0)+2),MATCH("タイプ",[1]characters!$1:$1,0)-MATCH($G$1,[1]characters!$2:$2,0)+2,FALSE)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41" s="10" t="str">
        <f ca="1">VLOOKUP($G41,OFFSET([1]characters!$A$2,0,0,COUNTA([1]characters!$A:$A),MATCH($M$1,[1]characters!$1:$1,0)-MATCH($G$1,[1]characters!$2:$2,0)+2),MATCH($M$1,[1]characters!$1:$1,0)-MATCH($G$1,[1]characters!$2:$2,0)+2,FALSE)</f>
        <v>ヒューマン</v>
      </c>
      <c r="N41" s="6">
        <v>1</v>
      </c>
      <c r="O41" s="43">
        <f ca="1">VLOOKUP(D41,gacha_114_base!A:K,11,FALSE)</f>
        <v>2030</v>
      </c>
      <c r="P41" s="28">
        <v>0</v>
      </c>
      <c r="Q41" s="28">
        <v>0</v>
      </c>
      <c r="R41" s="28">
        <v>0</v>
      </c>
      <c r="S41" s="28">
        <v>0</v>
      </c>
      <c r="T41" s="28">
        <v>1</v>
      </c>
    </row>
    <row r="42" spans="1:20" ht="21" customHeight="1">
      <c r="A42" s="8" t="str">
        <f t="shared" si="0"/>
        <v>12271</v>
      </c>
      <c r="B42" s="2">
        <v>114</v>
      </c>
      <c r="C42" s="10" t="str">
        <f t="shared" ca="1" si="1"/>
        <v>1PremiumS4</v>
      </c>
      <c r="D42" s="10" t="str">
        <f t="shared" ca="1" si="2"/>
        <v>1PremiumS4</v>
      </c>
      <c r="E42" s="10" t="str">
        <f t="shared" si="3"/>
        <v/>
      </c>
      <c r="F42" s="6">
        <v>1</v>
      </c>
      <c r="G42" s="7">
        <v>227</v>
      </c>
      <c r="H42" s="10" t="str">
        <f ca="1">VLOOKUP($G42,OFFSET([1]characters!$A$2,0,0,COUNTA([1]characters!$A:$A),MATCH(H$1,[1]characters!$2:$2,0)-MATCH($G$1,[1]characters!$2:$2,0)+1),MATCH(H$1,[1]characters!$2:$2,0)-MATCH($G$1,[1]characters!$2:$2,0)+1,FALSE)</f>
        <v>滅弾 アレス</v>
      </c>
      <c r="I42" s="10" t="str">
        <f ca="1">VLOOKUP($G42,OFFSET([1]characters!$A$2,0,0,COUNTA([1]characters!$A:$A),MATCH(I$1,[1]characters!$2:$2,0)-MATCH($G$1,[1]characters!$2:$2,0)+1),MATCH(I$1,[1]characters!$2:$2,0)-MATCH($G$1,[1]characters!$2:$2,0)+1,FALSE)</f>
        <v>PremiumS</v>
      </c>
      <c r="J42" s="10">
        <f ca="1">VLOOKUP($G42,OFFSET([1]characters!$A$2,0,0,COUNTA([1]characters!$A:$A),MATCH(J$1,[1]characters!$2:$2,0)-MATCH($G$1,[1]characters!$2:$2,0)+1),MATCH(J$1,[1]characters!$2:$2,0)-MATCH($G$1,[1]characters!$2:$2,0)+1,FALSE)</f>
        <v>4</v>
      </c>
      <c r="K42" s="10" t="str">
        <f ca="1">VLOOKUP($G42,OFFSET([1]characters!$A$2,0,0,COUNTA([1]characters!$A:$A),MATCH(K$1,[1]characters!$2:$2,0)-MATCH($G$1,[1]characters!$2:$2,0)+1),MATCH(K$1,[1]characters!$2:$2,0)-MATCH($G$1,[1]characters!$2:$2,0)+1,FALSE)</f>
        <v>red</v>
      </c>
      <c r="L42" s="10" t="str">
        <f ca="1">VLOOKUP($G42,OFFSET([1]characters!$A$2,0,0,COUNTA([1]characters!$A:$A),MATCH("タイプ",[1]characters!$1:$1,0)-MATCH($G$1,[1]characters!$2:$2,0)+2),MATCH("タイプ",[1]characters!$1:$1,0)-MATCH($G$1,[1]characters!$2:$2,0)+2,FALSE)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42" s="10" t="str">
        <f ca="1">VLOOKUP($G42,OFFSET([1]characters!$A$2,0,0,COUNTA([1]characters!$A:$A),MATCH($M$1,[1]characters!$1:$1,0)-MATCH($G$1,[1]characters!$2:$2,0)+2),MATCH($M$1,[1]characters!$1:$1,0)-MATCH($G$1,[1]characters!$2:$2,0)+2,FALSE)</f>
        <v>ゴッド</v>
      </c>
      <c r="N42" s="6">
        <v>1</v>
      </c>
      <c r="O42" s="43">
        <f ca="1">VLOOKUP(D42,gacha_114_base!A:K,11,FALSE)</f>
        <v>200</v>
      </c>
      <c r="P42" s="28">
        <v>0</v>
      </c>
      <c r="Q42" s="28">
        <v>0</v>
      </c>
      <c r="R42" s="28">
        <v>0</v>
      </c>
      <c r="S42" s="28">
        <v>0</v>
      </c>
      <c r="T42" s="28">
        <v>1</v>
      </c>
    </row>
    <row r="43" spans="1:20" ht="21" customHeight="1">
      <c r="A43" s="8" t="str">
        <f t="shared" si="0"/>
        <v>12301</v>
      </c>
      <c r="B43" s="2">
        <v>114</v>
      </c>
      <c r="C43" s="10" t="str">
        <f t="shared" ca="1" si="1"/>
        <v>1PremiumS4</v>
      </c>
      <c r="D43" s="10" t="str">
        <f t="shared" ca="1" si="2"/>
        <v>1PremiumS4</v>
      </c>
      <c r="E43" s="10" t="str">
        <f t="shared" si="3"/>
        <v/>
      </c>
      <c r="F43" s="6">
        <v>1</v>
      </c>
      <c r="G43" s="7">
        <v>230</v>
      </c>
      <c r="H43" s="10" t="str">
        <f ca="1">VLOOKUP($G43,OFFSET([1]characters!$A$2,0,0,COUNTA([1]characters!$A:$A),MATCH(H$1,[1]characters!$2:$2,0)-MATCH($G$1,[1]characters!$2:$2,0)+1),MATCH(H$1,[1]characters!$2:$2,0)-MATCH($G$1,[1]characters!$2:$2,0)+1,FALSE)</f>
        <v>毒銃 ヨルムンガンド</v>
      </c>
      <c r="I43" s="10" t="str">
        <f ca="1">VLOOKUP($G43,OFFSET([1]characters!$A$2,0,0,COUNTA([1]characters!$A:$A),MATCH(I$1,[1]characters!$2:$2,0)-MATCH($G$1,[1]characters!$2:$2,0)+1),MATCH(I$1,[1]characters!$2:$2,0)-MATCH($G$1,[1]characters!$2:$2,0)+1,FALSE)</f>
        <v>PremiumS</v>
      </c>
      <c r="J43" s="10">
        <f ca="1">VLOOKUP($G43,OFFSET([1]characters!$A$2,0,0,COUNTA([1]characters!$A:$A),MATCH(J$1,[1]characters!$2:$2,0)-MATCH($G$1,[1]characters!$2:$2,0)+1),MATCH(J$1,[1]characters!$2:$2,0)-MATCH($G$1,[1]characters!$2:$2,0)+1,FALSE)</f>
        <v>4</v>
      </c>
      <c r="K43" s="10" t="str">
        <f ca="1">VLOOKUP($G43,OFFSET([1]characters!$A$2,0,0,COUNTA([1]characters!$A:$A),MATCH(K$1,[1]characters!$2:$2,0)-MATCH($G$1,[1]characters!$2:$2,0)+1),MATCH(K$1,[1]characters!$2:$2,0)-MATCH($G$1,[1]characters!$2:$2,0)+1,FALSE)</f>
        <v>green</v>
      </c>
      <c r="L43" s="10" t="str">
        <f ca="1">VLOOKUP($G43,OFFSET([1]characters!$A$2,0,0,COUNTA([1]characters!$A:$A),MATCH("タイプ",[1]characters!$1:$1,0)-MATCH($G$1,[1]characters!$2:$2,0)+2),MATCH("タイプ",[1]characters!$1:$1,0)-MATCH($G$1,[1]characters!$2:$2,0)+2,FALSE)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43" s="10" t="str">
        <f ca="1">VLOOKUP($G43,OFFSET([1]characters!$A$2,0,0,COUNTA([1]characters!$A:$A),MATCH($M$1,[1]characters!$1:$1,0)-MATCH($G$1,[1]characters!$2:$2,0)+2),MATCH($M$1,[1]characters!$1:$1,0)-MATCH($G$1,[1]characters!$2:$2,0)+2,FALSE)</f>
        <v>ドラゴン</v>
      </c>
      <c r="N43" s="6">
        <v>1</v>
      </c>
      <c r="O43" s="43">
        <f ca="1">VLOOKUP(D43,gacha_114_base!A:K,11,FALSE)</f>
        <v>200</v>
      </c>
      <c r="P43" s="28">
        <v>0</v>
      </c>
      <c r="Q43" s="28">
        <v>0</v>
      </c>
      <c r="R43" s="28">
        <v>0</v>
      </c>
      <c r="S43" s="28">
        <v>0</v>
      </c>
      <c r="T43" s="28">
        <v>1</v>
      </c>
    </row>
    <row r="44" spans="1:20" ht="21" customHeight="1">
      <c r="A44" s="8" t="str">
        <f t="shared" si="0"/>
        <v>12331</v>
      </c>
      <c r="B44" s="2">
        <v>114</v>
      </c>
      <c r="C44" s="10" t="str">
        <f t="shared" ca="1" si="1"/>
        <v>1PremiumS4</v>
      </c>
      <c r="D44" s="10" t="str">
        <f t="shared" ca="1" si="2"/>
        <v>1PremiumS4</v>
      </c>
      <c r="E44" s="10" t="str">
        <f t="shared" si="3"/>
        <v/>
      </c>
      <c r="F44" s="6">
        <v>1</v>
      </c>
      <c r="G44" s="7">
        <v>233</v>
      </c>
      <c r="H44" s="10" t="str">
        <f ca="1">VLOOKUP($G44,OFFSET([1]characters!$A$2,0,0,COUNTA([1]characters!$A:$A),MATCH(H$1,[1]characters!$2:$2,0)-MATCH($G$1,[1]characters!$2:$2,0)+1),MATCH(H$1,[1]characters!$2:$2,0)-MATCH($G$1,[1]characters!$2:$2,0)+1,FALSE)</f>
        <v>遂行 パーシヴァル</v>
      </c>
      <c r="I44" s="10" t="str">
        <f ca="1">VLOOKUP($G44,OFFSET([1]characters!$A$2,0,0,COUNTA([1]characters!$A:$A),MATCH(I$1,[1]characters!$2:$2,0)-MATCH($G$1,[1]characters!$2:$2,0)+1),MATCH(I$1,[1]characters!$2:$2,0)-MATCH($G$1,[1]characters!$2:$2,0)+1,FALSE)</f>
        <v>PremiumS</v>
      </c>
      <c r="J44" s="10">
        <f ca="1">VLOOKUP($G44,OFFSET([1]characters!$A$2,0,0,COUNTA([1]characters!$A:$A),MATCH(J$1,[1]characters!$2:$2,0)-MATCH($G$1,[1]characters!$2:$2,0)+1),MATCH(J$1,[1]characters!$2:$2,0)-MATCH($G$1,[1]characters!$2:$2,0)+1,FALSE)</f>
        <v>4</v>
      </c>
      <c r="K44" s="10" t="str">
        <f ca="1">VLOOKUP($G44,OFFSET([1]characters!$A$2,0,0,COUNTA([1]characters!$A:$A),MATCH(K$1,[1]characters!$2:$2,0)-MATCH($G$1,[1]characters!$2:$2,0)+1),MATCH(K$1,[1]characters!$2:$2,0)-MATCH($G$1,[1]characters!$2:$2,0)+1,FALSE)</f>
        <v>blue</v>
      </c>
      <c r="L44" s="10" t="str">
        <f ca="1">VLOOKUP($G44,OFFSET([1]characters!$A$2,0,0,COUNTA([1]characters!$A:$A),MATCH("タイプ",[1]characters!$1:$1,0)-MATCH($G$1,[1]characters!$2:$2,0)+2),MATCH("タイプ",[1]characters!$1:$1,0)-MATCH($G$1,[1]characters!$2:$2,0)+2,FALSE)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44" s="10" t="str">
        <f ca="1">VLOOKUP($G44,OFFSET([1]characters!$A$2,0,0,COUNTA([1]characters!$A:$A),MATCH($M$1,[1]characters!$1:$1,0)-MATCH($G$1,[1]characters!$2:$2,0)+2),MATCH($M$1,[1]characters!$1:$1,0)-MATCH($G$1,[1]characters!$2:$2,0)+2,FALSE)</f>
        <v>ヒューマン</v>
      </c>
      <c r="N44" s="6">
        <v>1</v>
      </c>
      <c r="O44" s="43">
        <f ca="1">VLOOKUP(D44,gacha_114_base!A:K,11,FALSE)</f>
        <v>200</v>
      </c>
      <c r="P44" s="28">
        <v>0</v>
      </c>
      <c r="Q44" s="28">
        <v>0</v>
      </c>
      <c r="R44" s="28">
        <v>0</v>
      </c>
      <c r="S44" s="28">
        <v>0</v>
      </c>
      <c r="T44" s="28">
        <v>1</v>
      </c>
    </row>
    <row r="45" spans="1:20" ht="21" customHeight="1">
      <c r="A45" s="8" t="str">
        <f t="shared" si="0"/>
        <v>12361</v>
      </c>
      <c r="B45" s="2">
        <v>114</v>
      </c>
      <c r="C45" s="10" t="str">
        <f t="shared" ca="1" si="1"/>
        <v>1PremiumS4</v>
      </c>
      <c r="D45" s="10" t="str">
        <f t="shared" ca="1" si="2"/>
        <v>1PremiumS4</v>
      </c>
      <c r="E45" s="10" t="str">
        <f t="shared" si="3"/>
        <v/>
      </c>
      <c r="F45" s="6">
        <v>1</v>
      </c>
      <c r="G45" s="7">
        <v>236</v>
      </c>
      <c r="H45" s="10" t="str">
        <f ca="1">VLOOKUP($G45,OFFSET([1]characters!$A$2,0,0,COUNTA([1]characters!$A:$A),MATCH(H$1,[1]characters!$2:$2,0)-MATCH($G$1,[1]characters!$2:$2,0)+1),MATCH(H$1,[1]characters!$2:$2,0)-MATCH($G$1,[1]characters!$2:$2,0)+1,FALSE)</f>
        <v>神産 イザナミ</v>
      </c>
      <c r="I45" s="10" t="str">
        <f ca="1">VLOOKUP($G45,OFFSET([1]characters!$A$2,0,0,COUNTA([1]characters!$A:$A),MATCH(I$1,[1]characters!$2:$2,0)-MATCH($G$1,[1]characters!$2:$2,0)+1),MATCH(I$1,[1]characters!$2:$2,0)-MATCH($G$1,[1]characters!$2:$2,0)+1,FALSE)</f>
        <v>PremiumS</v>
      </c>
      <c r="J45" s="10">
        <f ca="1">VLOOKUP($G45,OFFSET([1]characters!$A$2,0,0,COUNTA([1]characters!$A:$A),MATCH(J$1,[1]characters!$2:$2,0)-MATCH($G$1,[1]characters!$2:$2,0)+1),MATCH(J$1,[1]characters!$2:$2,0)-MATCH($G$1,[1]characters!$2:$2,0)+1,FALSE)</f>
        <v>4</v>
      </c>
      <c r="K45" s="10" t="str">
        <f ca="1">VLOOKUP($G45,OFFSET([1]characters!$A$2,0,0,COUNTA([1]characters!$A:$A),MATCH(K$1,[1]characters!$2:$2,0)-MATCH($G$1,[1]characters!$2:$2,0)+1),MATCH(K$1,[1]characters!$2:$2,0)-MATCH($G$1,[1]characters!$2:$2,0)+1,FALSE)</f>
        <v>yellow</v>
      </c>
      <c r="L45" s="10" t="str">
        <f ca="1">VLOOKUP($G45,OFFSET([1]characters!$A$2,0,0,COUNTA([1]characters!$A:$A),MATCH("タイプ",[1]characters!$1:$1,0)-MATCH($G$1,[1]characters!$2:$2,0)+2),MATCH("タイプ",[1]characters!$1:$1,0)-MATCH($G$1,[1]characters!$2:$2,0)+2,FALSE)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45" s="10" t="str">
        <f ca="1">VLOOKUP($G45,OFFSET([1]characters!$A$2,0,0,COUNTA([1]characters!$A:$A),MATCH($M$1,[1]characters!$1:$1,0)-MATCH($G$1,[1]characters!$2:$2,0)+2),MATCH($M$1,[1]characters!$1:$1,0)-MATCH($G$1,[1]characters!$2:$2,0)+2,FALSE)</f>
        <v>ゴッド</v>
      </c>
      <c r="N45" s="6">
        <v>1</v>
      </c>
      <c r="O45" s="43">
        <f ca="1">VLOOKUP(D45,gacha_114_base!A:K,11,FALSE)</f>
        <v>200</v>
      </c>
      <c r="P45" s="28">
        <v>0</v>
      </c>
      <c r="Q45" s="28">
        <v>0</v>
      </c>
      <c r="R45" s="28">
        <v>0</v>
      </c>
      <c r="S45" s="28">
        <v>0</v>
      </c>
      <c r="T45" s="28">
        <v>1</v>
      </c>
    </row>
    <row r="46" spans="1:20" ht="21" customHeight="1">
      <c r="A46" s="8" t="str">
        <f t="shared" si="0"/>
        <v>11681</v>
      </c>
      <c r="B46" s="2">
        <v>114</v>
      </c>
      <c r="C46" s="10" t="str">
        <f t="shared" ca="1" si="1"/>
        <v>1PremiumN5</v>
      </c>
      <c r="D46" s="10" t="str">
        <f t="shared" ca="1" si="2"/>
        <v>1PremiumN5</v>
      </c>
      <c r="E46" s="10" t="str">
        <f t="shared" si="3"/>
        <v/>
      </c>
      <c r="F46" s="6">
        <v>1</v>
      </c>
      <c r="G46" s="7">
        <v>168</v>
      </c>
      <c r="H46" s="10" t="str">
        <f ca="1">VLOOKUP($G46,OFFSET([1]characters!$A$2,0,0,COUNTA([1]characters!$A:$A),MATCH(H$1,[1]characters!$2:$2,0)-MATCH($G$1,[1]characters!$2:$2,0)+1),MATCH(H$1,[1]characters!$2:$2,0)-MATCH($G$1,[1]characters!$2:$2,0)+1,FALSE)</f>
        <v>猛進の大逆者 ベリアル</v>
      </c>
      <c r="I46" s="10" t="str">
        <f ca="1">VLOOKUP($G46,OFFSET([1]characters!$A$2,0,0,COUNTA([1]characters!$A:$A),MATCH(I$1,[1]characters!$2:$2,0)-MATCH($G$1,[1]characters!$2:$2,0)+1),MATCH(I$1,[1]characters!$2:$2,0)-MATCH($G$1,[1]characters!$2:$2,0)+1,FALSE)</f>
        <v>PremiumN</v>
      </c>
      <c r="J46" s="10">
        <f ca="1">VLOOKUP($G46,OFFSET([1]characters!$A$2,0,0,COUNTA([1]characters!$A:$A),MATCH(J$1,[1]characters!$2:$2,0)-MATCH($G$1,[1]characters!$2:$2,0)+1),MATCH(J$1,[1]characters!$2:$2,0)-MATCH($G$1,[1]characters!$2:$2,0)+1,FALSE)</f>
        <v>5</v>
      </c>
      <c r="K46" s="10" t="str">
        <f ca="1">VLOOKUP($G46,OFFSET([1]characters!$A$2,0,0,COUNTA([1]characters!$A:$A),MATCH(K$1,[1]characters!$2:$2,0)-MATCH($G$1,[1]characters!$2:$2,0)+1),MATCH(K$1,[1]characters!$2:$2,0)-MATCH($G$1,[1]characters!$2:$2,0)+1,FALSE)</f>
        <v>red</v>
      </c>
      <c r="L46" s="10" t="str">
        <f ca="1">VLOOKUP($G46,OFFSET([1]characters!$A$2,0,0,COUNTA([1]characters!$A:$A),MATCH("タイプ",[1]characters!$1:$1,0)-MATCH($G$1,[1]characters!$2:$2,0)+2),MATCH("タイプ",[1]characters!$1:$1,0)-MATCH($G$1,[1]characters!$2:$2,0)+2,FALSE)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46" s="10" t="str">
        <f ca="1">VLOOKUP($G46,OFFSET([1]characters!$A$2,0,0,COUNTA([1]characters!$A:$A),MATCH($M$1,[1]characters!$1:$1,0)-MATCH($G$1,[1]characters!$2:$2,0)+2),MATCH($M$1,[1]characters!$1:$1,0)-MATCH($G$1,[1]characters!$2:$2,0)+2,FALSE)</f>
        <v>ゴッド</v>
      </c>
      <c r="N46" s="6">
        <v>1</v>
      </c>
      <c r="O46" s="43">
        <f ca="1">VLOOKUP(D46,gacha_114_base!A:K,11,FALSE)</f>
        <v>170</v>
      </c>
      <c r="P46" s="28">
        <v>0</v>
      </c>
      <c r="Q46" s="28">
        <v>0</v>
      </c>
      <c r="R46" s="28">
        <v>0</v>
      </c>
      <c r="S46" s="28">
        <v>0</v>
      </c>
      <c r="T46" s="28">
        <v>1</v>
      </c>
    </row>
    <row r="47" spans="1:20" ht="21" customHeight="1">
      <c r="A47" s="8" t="str">
        <f t="shared" si="0"/>
        <v>11711</v>
      </c>
      <c r="B47" s="2">
        <v>114</v>
      </c>
      <c r="C47" s="10" t="str">
        <f t="shared" ca="1" si="1"/>
        <v>1PremiumN5</v>
      </c>
      <c r="D47" s="10" t="str">
        <f t="shared" ca="1" si="2"/>
        <v>1PremiumN5</v>
      </c>
      <c r="E47" s="10" t="str">
        <f t="shared" si="3"/>
        <v/>
      </c>
      <c r="F47" s="6">
        <v>1</v>
      </c>
      <c r="G47" s="7">
        <v>171</v>
      </c>
      <c r="H47" s="10" t="str">
        <f ca="1">VLOOKUP($G47,OFFSET([1]characters!$A$2,0,0,COUNTA([1]characters!$A:$A),MATCH(H$1,[1]characters!$2:$2,0)-MATCH($G$1,[1]characters!$2:$2,0)+1),MATCH(H$1,[1]characters!$2:$2,0)-MATCH($G$1,[1]characters!$2:$2,0)+1,FALSE)</f>
        <v>精解の預知者 オセ</v>
      </c>
      <c r="I47" s="10" t="str">
        <f ca="1">VLOOKUP($G47,OFFSET([1]characters!$A$2,0,0,COUNTA([1]characters!$A:$A),MATCH(I$1,[1]characters!$2:$2,0)-MATCH($G$1,[1]characters!$2:$2,0)+1),MATCH(I$1,[1]characters!$2:$2,0)-MATCH($G$1,[1]characters!$2:$2,0)+1,FALSE)</f>
        <v>PremiumN</v>
      </c>
      <c r="J47" s="10">
        <f ca="1">VLOOKUP($G47,OFFSET([1]characters!$A$2,0,0,COUNTA([1]characters!$A:$A),MATCH(J$1,[1]characters!$2:$2,0)-MATCH($G$1,[1]characters!$2:$2,0)+1),MATCH(J$1,[1]characters!$2:$2,0)-MATCH($G$1,[1]characters!$2:$2,0)+1,FALSE)</f>
        <v>5</v>
      </c>
      <c r="K47" s="10" t="str">
        <f ca="1">VLOOKUP($G47,OFFSET([1]characters!$A$2,0,0,COUNTA([1]characters!$A:$A),MATCH(K$1,[1]characters!$2:$2,0)-MATCH($G$1,[1]characters!$2:$2,0)+1),MATCH(K$1,[1]characters!$2:$2,0)-MATCH($G$1,[1]characters!$2:$2,0)+1,FALSE)</f>
        <v>green</v>
      </c>
      <c r="L47" s="10" t="str">
        <f ca="1">VLOOKUP($G47,OFFSET([1]characters!$A$2,0,0,COUNTA([1]characters!$A:$A),MATCH("タイプ",[1]characters!$1:$1,0)-MATCH($G$1,[1]characters!$2:$2,0)+2),MATCH("タイプ",[1]characters!$1:$1,0)-MATCH($G$1,[1]characters!$2:$2,0)+2,FALSE)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47" s="10" t="str">
        <f ca="1">VLOOKUP($G47,OFFSET([1]characters!$A$2,0,0,COUNTA([1]characters!$A:$A),MATCH($M$1,[1]characters!$1:$1,0)-MATCH($G$1,[1]characters!$2:$2,0)+2),MATCH($M$1,[1]characters!$1:$1,0)-MATCH($G$1,[1]characters!$2:$2,0)+2,FALSE)</f>
        <v>ゴッド</v>
      </c>
      <c r="N47" s="6">
        <v>1</v>
      </c>
      <c r="O47" s="43">
        <f ca="1">VLOOKUP(D47,gacha_114_base!A:K,11,FALSE)</f>
        <v>170</v>
      </c>
      <c r="P47" s="28">
        <v>0</v>
      </c>
      <c r="Q47" s="28">
        <v>0</v>
      </c>
      <c r="R47" s="28">
        <v>0</v>
      </c>
      <c r="S47" s="28">
        <v>0</v>
      </c>
      <c r="T47" s="28">
        <v>1</v>
      </c>
    </row>
    <row r="48" spans="1:20" ht="21" customHeight="1">
      <c r="A48" s="8" t="str">
        <f t="shared" si="0"/>
        <v>11741</v>
      </c>
      <c r="B48" s="2">
        <v>114</v>
      </c>
      <c r="C48" s="10" t="str">
        <f t="shared" ca="1" si="1"/>
        <v>1PremiumN5</v>
      </c>
      <c r="D48" s="10" t="str">
        <f t="shared" ca="1" si="2"/>
        <v>1PremiumN5</v>
      </c>
      <c r="E48" s="10" t="str">
        <f t="shared" si="3"/>
        <v/>
      </c>
      <c r="F48" s="6">
        <v>1</v>
      </c>
      <c r="G48" s="7">
        <v>174</v>
      </c>
      <c r="H48" s="10" t="str">
        <f ca="1">VLOOKUP($G48,OFFSET([1]characters!$A$2,0,0,COUNTA([1]characters!$A:$A),MATCH(H$1,[1]characters!$2:$2,0)-MATCH($G$1,[1]characters!$2:$2,0)+1),MATCH(H$1,[1]characters!$2:$2,0)-MATCH($G$1,[1]characters!$2:$2,0)+1,FALSE)</f>
        <v>偽愛の大公爵 フォルネウス</v>
      </c>
      <c r="I48" s="10" t="str">
        <f ca="1">VLOOKUP($G48,OFFSET([1]characters!$A$2,0,0,COUNTA([1]characters!$A:$A),MATCH(I$1,[1]characters!$2:$2,0)-MATCH($G$1,[1]characters!$2:$2,0)+1),MATCH(I$1,[1]characters!$2:$2,0)-MATCH($G$1,[1]characters!$2:$2,0)+1,FALSE)</f>
        <v>PremiumN</v>
      </c>
      <c r="J48" s="10">
        <f ca="1">VLOOKUP($G48,OFFSET([1]characters!$A$2,0,0,COUNTA([1]characters!$A:$A),MATCH(J$1,[1]characters!$2:$2,0)-MATCH($G$1,[1]characters!$2:$2,0)+1),MATCH(J$1,[1]characters!$2:$2,0)-MATCH($G$1,[1]characters!$2:$2,0)+1,FALSE)</f>
        <v>5</v>
      </c>
      <c r="K48" s="10" t="str">
        <f ca="1">VLOOKUP($G48,OFFSET([1]characters!$A$2,0,0,COUNTA([1]characters!$A:$A),MATCH(K$1,[1]characters!$2:$2,0)-MATCH($G$1,[1]characters!$2:$2,0)+1),MATCH(K$1,[1]characters!$2:$2,0)-MATCH($G$1,[1]characters!$2:$2,0)+1,FALSE)</f>
        <v>blue</v>
      </c>
      <c r="L48" s="10" t="str">
        <f ca="1">VLOOKUP($G48,OFFSET([1]characters!$A$2,0,0,COUNTA([1]characters!$A:$A),MATCH("タイプ",[1]characters!$1:$1,0)-MATCH($G$1,[1]characters!$2:$2,0)+2),MATCH("タイプ",[1]characters!$1:$1,0)-MATCH($G$1,[1]characters!$2:$2,0)+2,FALSE)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48" s="10" t="str">
        <f ca="1">VLOOKUP($G48,OFFSET([1]characters!$A$2,0,0,COUNTA([1]characters!$A:$A),MATCH($M$1,[1]characters!$1:$1,0)-MATCH($G$1,[1]characters!$2:$2,0)+2),MATCH($M$1,[1]characters!$1:$1,0)-MATCH($G$1,[1]characters!$2:$2,0)+2,FALSE)</f>
        <v>ゴッド</v>
      </c>
      <c r="N48" s="6">
        <v>1</v>
      </c>
      <c r="O48" s="43">
        <f ca="1">VLOOKUP(D48,gacha_114_base!A:K,11,FALSE)</f>
        <v>170</v>
      </c>
      <c r="P48" s="28">
        <v>0</v>
      </c>
      <c r="Q48" s="28">
        <v>0</v>
      </c>
      <c r="R48" s="28">
        <v>0</v>
      </c>
      <c r="S48" s="28">
        <v>0</v>
      </c>
      <c r="T48" s="28">
        <v>1</v>
      </c>
    </row>
    <row r="49" spans="1:20" ht="21" customHeight="1">
      <c r="A49" s="8" t="str">
        <f t="shared" si="0"/>
        <v>11771</v>
      </c>
      <c r="B49" s="2">
        <v>114</v>
      </c>
      <c r="C49" s="10" t="str">
        <f t="shared" ca="1" si="1"/>
        <v>1PremiumN5</v>
      </c>
      <c r="D49" s="10" t="str">
        <f t="shared" ca="1" si="2"/>
        <v>1PremiumN5</v>
      </c>
      <c r="E49" s="10" t="str">
        <f t="shared" si="3"/>
        <v/>
      </c>
      <c r="F49" s="6">
        <v>1</v>
      </c>
      <c r="G49" s="7">
        <v>177</v>
      </c>
      <c r="H49" s="10" t="str">
        <f ca="1">VLOOKUP($G49,OFFSET([1]characters!$A$2,0,0,COUNTA([1]characters!$A:$A),MATCH(H$1,[1]characters!$2:$2,0)-MATCH($G$1,[1]characters!$2:$2,0)+1),MATCH(H$1,[1]characters!$2:$2,0)-MATCH($G$1,[1]characters!$2:$2,0)+1,FALSE)</f>
        <v>黒魔の異端師 バフォメット</v>
      </c>
      <c r="I49" s="10" t="str">
        <f ca="1">VLOOKUP($G49,OFFSET([1]characters!$A$2,0,0,COUNTA([1]characters!$A:$A),MATCH(I$1,[1]characters!$2:$2,0)-MATCH($G$1,[1]characters!$2:$2,0)+1),MATCH(I$1,[1]characters!$2:$2,0)-MATCH($G$1,[1]characters!$2:$2,0)+1,FALSE)</f>
        <v>PremiumN</v>
      </c>
      <c r="J49" s="10">
        <f ca="1">VLOOKUP($G49,OFFSET([1]characters!$A$2,0,0,COUNTA([1]characters!$A:$A),MATCH(J$1,[1]characters!$2:$2,0)-MATCH($G$1,[1]characters!$2:$2,0)+1),MATCH(J$1,[1]characters!$2:$2,0)-MATCH($G$1,[1]characters!$2:$2,0)+1,FALSE)</f>
        <v>5</v>
      </c>
      <c r="K49" s="10" t="str">
        <f ca="1">VLOOKUP($G49,OFFSET([1]characters!$A$2,0,0,COUNTA([1]characters!$A:$A),MATCH(K$1,[1]characters!$2:$2,0)-MATCH($G$1,[1]characters!$2:$2,0)+1),MATCH(K$1,[1]characters!$2:$2,0)-MATCH($G$1,[1]characters!$2:$2,0)+1,FALSE)</f>
        <v>yellow</v>
      </c>
      <c r="L49" s="10" t="str">
        <f ca="1">VLOOKUP($G49,OFFSET([1]characters!$A$2,0,0,COUNTA([1]characters!$A:$A),MATCH("タイプ",[1]characters!$1:$1,0)-MATCH($G$1,[1]characters!$2:$2,0)+2),MATCH("タイプ",[1]characters!$1:$1,0)-MATCH($G$1,[1]characters!$2:$2,0)+2,FALSE)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49" s="10" t="str">
        <f ca="1">VLOOKUP($G49,OFFSET([1]characters!$A$2,0,0,COUNTA([1]characters!$A:$A),MATCH($M$1,[1]characters!$1:$1,0)-MATCH($G$1,[1]characters!$2:$2,0)+2),MATCH($M$1,[1]characters!$1:$1,0)-MATCH($G$1,[1]characters!$2:$2,0)+2,FALSE)</f>
        <v>ゴッド</v>
      </c>
      <c r="N49" s="6">
        <v>1</v>
      </c>
      <c r="O49" s="43">
        <f ca="1">VLOOKUP(D49,gacha_114_base!A:K,11,FALSE)</f>
        <v>170</v>
      </c>
      <c r="P49" s="28">
        <v>0</v>
      </c>
      <c r="Q49" s="28">
        <v>0</v>
      </c>
      <c r="R49" s="28">
        <v>0</v>
      </c>
      <c r="S49" s="28">
        <v>0</v>
      </c>
      <c r="T49" s="28">
        <v>1</v>
      </c>
    </row>
    <row r="50" spans="1:20" ht="21" customHeight="1">
      <c r="A50" s="8" t="str">
        <f t="shared" si="0"/>
        <v>11801</v>
      </c>
      <c r="B50" s="2">
        <v>114</v>
      </c>
      <c r="C50" s="10" t="str">
        <f t="shared" ca="1" si="1"/>
        <v>1PremiumN5</v>
      </c>
      <c r="D50" s="10" t="str">
        <f t="shared" ca="1" si="2"/>
        <v>1PremiumN5</v>
      </c>
      <c r="E50" s="10" t="str">
        <f t="shared" si="3"/>
        <v/>
      </c>
      <c r="F50" s="6">
        <v>1</v>
      </c>
      <c r="G50" s="7">
        <v>180</v>
      </c>
      <c r="H50" s="10" t="str">
        <f ca="1">VLOOKUP($G50,OFFSET([1]characters!$A$2,0,0,COUNTA([1]characters!$A:$A),MATCH(H$1,[1]characters!$2:$2,0)-MATCH($G$1,[1]characters!$2:$2,0)+1),MATCH(H$1,[1]characters!$2:$2,0)-MATCH($G$1,[1]characters!$2:$2,0)+1,FALSE)</f>
        <v>地獄の大門番 ケルベロス</v>
      </c>
      <c r="I50" s="10" t="str">
        <f ca="1">VLOOKUP($G50,OFFSET([1]characters!$A$2,0,0,COUNTA([1]characters!$A:$A),MATCH(I$1,[1]characters!$2:$2,0)-MATCH($G$1,[1]characters!$2:$2,0)+1),MATCH(I$1,[1]characters!$2:$2,0)-MATCH($G$1,[1]characters!$2:$2,0)+1,FALSE)</f>
        <v>PremiumN</v>
      </c>
      <c r="J50" s="10">
        <f ca="1">VLOOKUP($G50,OFFSET([1]characters!$A$2,0,0,COUNTA([1]characters!$A:$A),MATCH(J$1,[1]characters!$2:$2,0)-MATCH($G$1,[1]characters!$2:$2,0)+1),MATCH(J$1,[1]characters!$2:$2,0)-MATCH($G$1,[1]characters!$2:$2,0)+1,FALSE)</f>
        <v>5</v>
      </c>
      <c r="K50" s="10" t="str">
        <f ca="1">VLOOKUP($G50,OFFSET([1]characters!$A$2,0,0,COUNTA([1]characters!$A:$A),MATCH(K$1,[1]characters!$2:$2,0)-MATCH($G$1,[1]characters!$2:$2,0)+1),MATCH(K$1,[1]characters!$2:$2,0)-MATCH($G$1,[1]characters!$2:$2,0)+1,FALSE)</f>
        <v>red</v>
      </c>
      <c r="L50" s="10" t="str">
        <f ca="1">VLOOKUP($G50,OFFSET([1]characters!$A$2,0,0,COUNTA([1]characters!$A:$A),MATCH("タイプ",[1]characters!$1:$1,0)-MATCH($G$1,[1]characters!$2:$2,0)+2),MATCH("タイプ",[1]characters!$1:$1,0)-MATCH($G$1,[1]characters!$2:$2,0)+2,FALSE)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50" s="10" t="str">
        <f ca="1">VLOOKUP($G50,OFFSET([1]characters!$A$2,0,0,COUNTA([1]characters!$A:$A),MATCH($M$1,[1]characters!$1:$1,0)-MATCH($G$1,[1]characters!$2:$2,0)+2),MATCH($M$1,[1]characters!$1:$1,0)-MATCH($G$1,[1]characters!$2:$2,0)+2,FALSE)</f>
        <v>アニマル</v>
      </c>
      <c r="N50" s="6">
        <v>1</v>
      </c>
      <c r="O50" s="43">
        <f ca="1">VLOOKUP(D50,gacha_114_base!A:K,11,FALSE)</f>
        <v>170</v>
      </c>
      <c r="P50" s="28">
        <v>0</v>
      </c>
      <c r="Q50" s="28">
        <v>0</v>
      </c>
      <c r="R50" s="28">
        <v>0</v>
      </c>
      <c r="S50" s="28">
        <v>0</v>
      </c>
      <c r="T50" s="28">
        <v>1</v>
      </c>
    </row>
    <row r="51" spans="1:20" ht="21" customHeight="1">
      <c r="A51" s="8" t="str">
        <f t="shared" si="0"/>
        <v>11831</v>
      </c>
      <c r="B51" s="2">
        <v>114</v>
      </c>
      <c r="C51" s="10" t="str">
        <f t="shared" ca="1" si="1"/>
        <v>1PremiumN5</v>
      </c>
      <c r="D51" s="10" t="str">
        <f t="shared" ca="1" si="2"/>
        <v>1PremiumN5</v>
      </c>
      <c r="E51" s="10" t="str">
        <f t="shared" si="3"/>
        <v/>
      </c>
      <c r="F51" s="6">
        <v>1</v>
      </c>
      <c r="G51" s="7">
        <v>183</v>
      </c>
      <c r="H51" s="10" t="str">
        <f ca="1">VLOOKUP($G51,OFFSET([1]characters!$A$2,0,0,COUNTA([1]characters!$A:$A),MATCH(H$1,[1]characters!$2:$2,0)-MATCH($G$1,[1]characters!$2:$2,0)+1),MATCH(H$1,[1]characters!$2:$2,0)-MATCH($G$1,[1]characters!$2:$2,0)+1,FALSE)</f>
        <v>鈍重な彷徨者 ベヒモス</v>
      </c>
      <c r="I51" s="10" t="str">
        <f ca="1">VLOOKUP($G51,OFFSET([1]characters!$A$2,0,0,COUNTA([1]characters!$A:$A),MATCH(I$1,[1]characters!$2:$2,0)-MATCH($G$1,[1]characters!$2:$2,0)+1),MATCH(I$1,[1]characters!$2:$2,0)-MATCH($G$1,[1]characters!$2:$2,0)+1,FALSE)</f>
        <v>PremiumN</v>
      </c>
      <c r="J51" s="10">
        <f ca="1">VLOOKUP($G51,OFFSET([1]characters!$A$2,0,0,COUNTA([1]characters!$A:$A),MATCH(J$1,[1]characters!$2:$2,0)-MATCH($G$1,[1]characters!$2:$2,0)+1),MATCH(J$1,[1]characters!$2:$2,0)-MATCH($G$1,[1]characters!$2:$2,0)+1,FALSE)</f>
        <v>5</v>
      </c>
      <c r="K51" s="10" t="str">
        <f ca="1">VLOOKUP($G51,OFFSET([1]characters!$A$2,0,0,COUNTA([1]characters!$A:$A),MATCH(K$1,[1]characters!$2:$2,0)-MATCH($G$1,[1]characters!$2:$2,0)+1),MATCH(K$1,[1]characters!$2:$2,0)-MATCH($G$1,[1]characters!$2:$2,0)+1,FALSE)</f>
        <v>green</v>
      </c>
      <c r="L51" s="10" t="str">
        <f ca="1">VLOOKUP($G51,OFFSET([1]characters!$A$2,0,0,COUNTA([1]characters!$A:$A),MATCH("タイプ",[1]characters!$1:$1,0)-MATCH($G$1,[1]characters!$2:$2,0)+2),MATCH("タイプ",[1]characters!$1:$1,0)-MATCH($G$1,[1]characters!$2:$2,0)+2,FALSE)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51" s="10" t="str">
        <f ca="1">VLOOKUP($G51,OFFSET([1]characters!$A$2,0,0,COUNTA([1]characters!$A:$A),MATCH($M$1,[1]characters!$1:$1,0)-MATCH($G$1,[1]characters!$2:$2,0)+2),MATCH($M$1,[1]characters!$1:$1,0)-MATCH($G$1,[1]characters!$2:$2,0)+2,FALSE)</f>
        <v>アニマル</v>
      </c>
      <c r="N51" s="6">
        <v>1</v>
      </c>
      <c r="O51" s="43">
        <f ca="1">VLOOKUP(D51,gacha_114_base!A:K,11,FALSE)</f>
        <v>170</v>
      </c>
      <c r="P51" s="28">
        <v>0</v>
      </c>
      <c r="Q51" s="28">
        <v>0</v>
      </c>
      <c r="R51" s="28">
        <v>0</v>
      </c>
      <c r="S51" s="28">
        <v>0</v>
      </c>
      <c r="T51" s="28">
        <v>1</v>
      </c>
    </row>
    <row r="52" spans="1:20" ht="21" customHeight="1">
      <c r="A52" s="8" t="str">
        <f t="shared" si="0"/>
        <v>11861</v>
      </c>
      <c r="B52" s="2">
        <v>114</v>
      </c>
      <c r="C52" s="10" t="str">
        <f t="shared" ca="1" si="1"/>
        <v>1PremiumN5</v>
      </c>
      <c r="D52" s="10" t="str">
        <f t="shared" ca="1" si="2"/>
        <v>1PremiumN5</v>
      </c>
      <c r="E52" s="10" t="str">
        <f t="shared" si="3"/>
        <v/>
      </c>
      <c r="F52" s="6">
        <v>1</v>
      </c>
      <c r="G52" s="7">
        <v>186</v>
      </c>
      <c r="H52" s="10" t="str">
        <f ca="1">VLOOKUP($G52,OFFSET([1]characters!$A$2,0,0,COUNTA([1]characters!$A:$A),MATCH(H$1,[1]characters!$2:$2,0)-MATCH($G$1,[1]characters!$2:$2,0)+1),MATCH(H$1,[1]characters!$2:$2,0)-MATCH($G$1,[1]characters!$2:$2,0)+1,FALSE)</f>
        <v>誇り高き多触姫・クラーケン</v>
      </c>
      <c r="I52" s="10" t="str">
        <f ca="1">VLOOKUP($G52,OFFSET([1]characters!$A$2,0,0,COUNTA([1]characters!$A:$A),MATCH(I$1,[1]characters!$2:$2,0)-MATCH($G$1,[1]characters!$2:$2,0)+1),MATCH(I$1,[1]characters!$2:$2,0)-MATCH($G$1,[1]characters!$2:$2,0)+1,FALSE)</f>
        <v>PremiumN</v>
      </c>
      <c r="J52" s="10">
        <f ca="1">VLOOKUP($G52,OFFSET([1]characters!$A$2,0,0,COUNTA([1]characters!$A:$A),MATCH(J$1,[1]characters!$2:$2,0)-MATCH($G$1,[1]characters!$2:$2,0)+1),MATCH(J$1,[1]characters!$2:$2,0)-MATCH($G$1,[1]characters!$2:$2,0)+1,FALSE)</f>
        <v>5</v>
      </c>
      <c r="K52" s="10" t="str">
        <f ca="1">VLOOKUP($G52,OFFSET([1]characters!$A$2,0,0,COUNTA([1]characters!$A:$A),MATCH(K$1,[1]characters!$2:$2,0)-MATCH($G$1,[1]characters!$2:$2,0)+1),MATCH(K$1,[1]characters!$2:$2,0)-MATCH($G$1,[1]characters!$2:$2,0)+1,FALSE)</f>
        <v>blue</v>
      </c>
      <c r="L52" s="10" t="str">
        <f ca="1">VLOOKUP($G52,OFFSET([1]characters!$A$2,0,0,COUNTA([1]characters!$A:$A),MATCH("タイプ",[1]characters!$1:$1,0)-MATCH($G$1,[1]characters!$2:$2,0)+2),MATCH("タイプ",[1]characters!$1:$1,0)-MATCH($G$1,[1]characters!$2:$2,0)+2,FALSE)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52" s="10" t="str">
        <f ca="1">VLOOKUP($G52,OFFSET([1]characters!$A$2,0,0,COUNTA([1]characters!$A:$A),MATCH($M$1,[1]characters!$1:$1,0)-MATCH($G$1,[1]characters!$2:$2,0)+2),MATCH($M$1,[1]characters!$1:$1,0)-MATCH($G$1,[1]characters!$2:$2,0)+2,FALSE)</f>
        <v>アニマル</v>
      </c>
      <c r="N52" s="6">
        <v>1</v>
      </c>
      <c r="O52" s="43">
        <f ca="1">VLOOKUP(D52,gacha_114_base!A:K,11,FALSE)</f>
        <v>170</v>
      </c>
      <c r="P52" s="28">
        <v>0</v>
      </c>
      <c r="Q52" s="28">
        <v>0</v>
      </c>
      <c r="R52" s="28">
        <v>0</v>
      </c>
      <c r="S52" s="28">
        <v>0</v>
      </c>
      <c r="T52" s="28">
        <v>1</v>
      </c>
    </row>
    <row r="53" spans="1:20" ht="21" customHeight="1">
      <c r="A53" s="8" t="str">
        <f t="shared" si="0"/>
        <v>11891</v>
      </c>
      <c r="B53" s="2">
        <v>114</v>
      </c>
      <c r="C53" s="10" t="str">
        <f t="shared" ca="1" si="1"/>
        <v>1PremiumN5</v>
      </c>
      <c r="D53" s="10" t="str">
        <f t="shared" ca="1" si="2"/>
        <v>1PremiumN5</v>
      </c>
      <c r="E53" s="10" t="str">
        <f t="shared" si="3"/>
        <v/>
      </c>
      <c r="F53" s="6">
        <v>1</v>
      </c>
      <c r="G53" s="7">
        <v>189</v>
      </c>
      <c r="H53" s="10" t="str">
        <f ca="1">VLOOKUP($G53,OFFSET([1]characters!$A$2,0,0,COUNTA([1]characters!$A:$A),MATCH(H$1,[1]characters!$2:$2,0)-MATCH($G$1,[1]characters!$2:$2,0)+1),MATCH(H$1,[1]characters!$2:$2,0)-MATCH($G$1,[1]characters!$2:$2,0)+1,FALSE)</f>
        <v>迅雷の王禽 ホルス</v>
      </c>
      <c r="I53" s="10" t="str">
        <f ca="1">VLOOKUP($G53,OFFSET([1]characters!$A$2,0,0,COUNTA([1]characters!$A:$A),MATCH(I$1,[1]characters!$2:$2,0)-MATCH($G$1,[1]characters!$2:$2,0)+1),MATCH(I$1,[1]characters!$2:$2,0)-MATCH($G$1,[1]characters!$2:$2,0)+1,FALSE)</f>
        <v>PremiumN</v>
      </c>
      <c r="J53" s="10">
        <f ca="1">VLOOKUP($G53,OFFSET([1]characters!$A$2,0,0,COUNTA([1]characters!$A:$A),MATCH(J$1,[1]characters!$2:$2,0)-MATCH($G$1,[1]characters!$2:$2,0)+1),MATCH(J$1,[1]characters!$2:$2,0)-MATCH($G$1,[1]characters!$2:$2,0)+1,FALSE)</f>
        <v>5</v>
      </c>
      <c r="K53" s="10" t="str">
        <f ca="1">VLOOKUP($G53,OFFSET([1]characters!$A$2,0,0,COUNTA([1]characters!$A:$A),MATCH(K$1,[1]characters!$2:$2,0)-MATCH($G$1,[1]characters!$2:$2,0)+1),MATCH(K$1,[1]characters!$2:$2,0)-MATCH($G$1,[1]characters!$2:$2,0)+1,FALSE)</f>
        <v>yellow</v>
      </c>
      <c r="L53" s="10" t="str">
        <f ca="1">VLOOKUP($G53,OFFSET([1]characters!$A$2,0,0,COUNTA([1]characters!$A:$A),MATCH("タイプ",[1]characters!$1:$1,0)-MATCH($G$1,[1]characters!$2:$2,0)+2),MATCH("タイプ",[1]characters!$1:$1,0)-MATCH($G$1,[1]characters!$2:$2,0)+2,FALSE)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53" s="10" t="str">
        <f ca="1">VLOOKUP($G53,OFFSET([1]characters!$A$2,0,0,COUNTA([1]characters!$A:$A),MATCH($M$1,[1]characters!$1:$1,0)-MATCH($G$1,[1]characters!$2:$2,0)+2),MATCH($M$1,[1]characters!$1:$1,0)-MATCH($G$1,[1]characters!$2:$2,0)+2,FALSE)</f>
        <v>アニマル</v>
      </c>
      <c r="N53" s="6">
        <v>1</v>
      </c>
      <c r="O53" s="43">
        <f ca="1">VLOOKUP(D53,gacha_114_base!A:K,11,FALSE)</f>
        <v>170</v>
      </c>
      <c r="P53" s="28">
        <v>0</v>
      </c>
      <c r="Q53" s="28">
        <v>0</v>
      </c>
      <c r="R53" s="28">
        <v>0</v>
      </c>
      <c r="S53" s="28">
        <v>0</v>
      </c>
      <c r="T53" s="28">
        <v>1</v>
      </c>
    </row>
    <row r="54" spans="1:20" ht="21" customHeight="1">
      <c r="A54" s="8" t="str">
        <f t="shared" si="0"/>
        <v>11921</v>
      </c>
      <c r="B54" s="2">
        <v>114</v>
      </c>
      <c r="C54" s="10" t="str">
        <f t="shared" ca="1" si="1"/>
        <v>1PremiumN5</v>
      </c>
      <c r="D54" s="10" t="str">
        <f t="shared" ca="1" si="2"/>
        <v>1PremiumN5</v>
      </c>
      <c r="E54" s="10" t="str">
        <f t="shared" si="3"/>
        <v/>
      </c>
      <c r="F54" s="6">
        <v>1</v>
      </c>
      <c r="G54" s="7">
        <v>192</v>
      </c>
      <c r="H54" s="10" t="str">
        <f ca="1">VLOOKUP($G54,OFFSET([1]characters!$A$2,0,0,COUNTA([1]characters!$A:$A),MATCH(H$1,[1]characters!$2:$2,0)-MATCH($G$1,[1]characters!$2:$2,0)+1),MATCH(H$1,[1]characters!$2:$2,0)-MATCH($G$1,[1]characters!$2:$2,0)+1,FALSE)</f>
        <v>荘厳なる始祖帝 卑弥呼</v>
      </c>
      <c r="I54" s="10" t="str">
        <f ca="1">VLOOKUP($G54,OFFSET([1]characters!$A$2,0,0,COUNTA([1]characters!$A:$A),MATCH(I$1,[1]characters!$2:$2,0)-MATCH($G$1,[1]characters!$2:$2,0)+1),MATCH(I$1,[1]characters!$2:$2,0)-MATCH($G$1,[1]characters!$2:$2,0)+1,FALSE)</f>
        <v>PremiumN</v>
      </c>
      <c r="J54" s="10">
        <f ca="1">VLOOKUP($G54,OFFSET([1]characters!$A$2,0,0,COUNTA([1]characters!$A:$A),MATCH(J$1,[1]characters!$2:$2,0)-MATCH($G$1,[1]characters!$2:$2,0)+1),MATCH(J$1,[1]characters!$2:$2,0)-MATCH($G$1,[1]characters!$2:$2,0)+1,FALSE)</f>
        <v>5</v>
      </c>
      <c r="K54" s="10" t="str">
        <f ca="1">VLOOKUP($G54,OFFSET([1]characters!$A$2,0,0,COUNTA([1]characters!$A:$A),MATCH(K$1,[1]characters!$2:$2,0)-MATCH($G$1,[1]characters!$2:$2,0)+1),MATCH(K$1,[1]characters!$2:$2,0)-MATCH($G$1,[1]characters!$2:$2,0)+1,FALSE)</f>
        <v>red</v>
      </c>
      <c r="L54" s="10" t="str">
        <f ca="1">VLOOKUP($G54,OFFSET([1]characters!$A$2,0,0,COUNTA([1]characters!$A:$A),MATCH("タイプ",[1]characters!$1:$1,0)-MATCH($G$1,[1]characters!$2:$2,0)+2),MATCH("タイプ",[1]characters!$1:$1,0)-MATCH($G$1,[1]characters!$2:$2,0)+2,FALSE)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54" s="10" t="str">
        <f ca="1">VLOOKUP($G54,OFFSET([1]characters!$A$2,0,0,COUNTA([1]characters!$A:$A),MATCH($M$1,[1]characters!$1:$1,0)-MATCH($G$1,[1]characters!$2:$2,0)+2),MATCH($M$1,[1]characters!$1:$1,0)-MATCH($G$1,[1]characters!$2:$2,0)+2,FALSE)</f>
        <v>ヒューマン</v>
      </c>
      <c r="N54" s="6">
        <v>1</v>
      </c>
      <c r="O54" s="43">
        <f ca="1">VLOOKUP(D54,gacha_114_base!A:K,11,FALSE)</f>
        <v>170</v>
      </c>
      <c r="P54" s="28">
        <v>0</v>
      </c>
      <c r="Q54" s="28">
        <v>0</v>
      </c>
      <c r="R54" s="28">
        <v>0</v>
      </c>
      <c r="S54" s="28">
        <v>0</v>
      </c>
      <c r="T54" s="28">
        <v>1</v>
      </c>
    </row>
    <row r="55" spans="1:20" ht="21" customHeight="1">
      <c r="A55" s="8" t="str">
        <f t="shared" si="0"/>
        <v>11951</v>
      </c>
      <c r="B55" s="2">
        <v>114</v>
      </c>
      <c r="C55" s="10" t="str">
        <f t="shared" ca="1" si="1"/>
        <v>1PremiumN5</v>
      </c>
      <c r="D55" s="10" t="str">
        <f t="shared" ca="1" si="2"/>
        <v>1PremiumN5</v>
      </c>
      <c r="E55" s="10" t="str">
        <f t="shared" si="3"/>
        <v/>
      </c>
      <c r="F55" s="6">
        <v>1</v>
      </c>
      <c r="G55" s="7">
        <v>195</v>
      </c>
      <c r="H55" s="10" t="str">
        <f ca="1">VLOOKUP($G55,OFFSET([1]characters!$A$2,0,0,COUNTA([1]characters!$A:$A),MATCH(H$1,[1]characters!$2:$2,0)-MATCH($G$1,[1]characters!$2:$2,0)+1),MATCH(H$1,[1]characters!$2:$2,0)-MATCH($G$1,[1]characters!$2:$2,0)+1,FALSE)</f>
        <v>グランドハンター ロビンフッド</v>
      </c>
      <c r="I55" s="10" t="str">
        <f ca="1">VLOOKUP($G55,OFFSET([1]characters!$A$2,0,0,COUNTA([1]characters!$A:$A),MATCH(I$1,[1]characters!$2:$2,0)-MATCH($G$1,[1]characters!$2:$2,0)+1),MATCH(I$1,[1]characters!$2:$2,0)-MATCH($G$1,[1]characters!$2:$2,0)+1,FALSE)</f>
        <v>PremiumN</v>
      </c>
      <c r="J55" s="10">
        <f ca="1">VLOOKUP($G55,OFFSET([1]characters!$A$2,0,0,COUNTA([1]characters!$A:$A),MATCH(J$1,[1]characters!$2:$2,0)-MATCH($G$1,[1]characters!$2:$2,0)+1),MATCH(J$1,[1]characters!$2:$2,0)-MATCH($G$1,[1]characters!$2:$2,0)+1,FALSE)</f>
        <v>5</v>
      </c>
      <c r="K55" s="10" t="str">
        <f ca="1">VLOOKUP($G55,OFFSET([1]characters!$A$2,0,0,COUNTA([1]characters!$A:$A),MATCH(K$1,[1]characters!$2:$2,0)-MATCH($G$1,[1]characters!$2:$2,0)+1),MATCH(K$1,[1]characters!$2:$2,0)-MATCH($G$1,[1]characters!$2:$2,0)+1,FALSE)</f>
        <v>green</v>
      </c>
      <c r="L55" s="10" t="str">
        <f ca="1">VLOOKUP($G55,OFFSET([1]characters!$A$2,0,0,COUNTA([1]characters!$A:$A),MATCH("タイプ",[1]characters!$1:$1,0)-MATCH($G$1,[1]characters!$2:$2,0)+2),MATCH("タイプ",[1]characters!$1:$1,0)-MATCH($G$1,[1]characters!$2:$2,0)+2,FALSE)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55" s="10" t="str">
        <f ca="1">VLOOKUP($G55,OFFSET([1]characters!$A$2,0,0,COUNTA([1]characters!$A:$A),MATCH($M$1,[1]characters!$1:$1,0)-MATCH($G$1,[1]characters!$2:$2,0)+2),MATCH($M$1,[1]characters!$1:$1,0)-MATCH($G$1,[1]characters!$2:$2,0)+2,FALSE)</f>
        <v>ヒューマン</v>
      </c>
      <c r="N55" s="6">
        <v>1</v>
      </c>
      <c r="O55" s="43">
        <f ca="1">VLOOKUP(D55,gacha_114_base!A:K,11,FALSE)</f>
        <v>170</v>
      </c>
      <c r="P55" s="28">
        <v>0</v>
      </c>
      <c r="Q55" s="28">
        <v>0</v>
      </c>
      <c r="R55" s="28">
        <v>0</v>
      </c>
      <c r="S55" s="28">
        <v>0</v>
      </c>
      <c r="T55" s="28">
        <v>1</v>
      </c>
    </row>
    <row r="56" spans="1:20" ht="21" customHeight="1">
      <c r="A56" s="8" t="str">
        <f t="shared" si="0"/>
        <v>11981</v>
      </c>
      <c r="B56" s="2">
        <v>114</v>
      </c>
      <c r="C56" s="10" t="str">
        <f t="shared" ca="1" si="1"/>
        <v>1PremiumN5</v>
      </c>
      <c r="D56" s="10" t="str">
        <f t="shared" ca="1" si="2"/>
        <v>1PremiumN5</v>
      </c>
      <c r="E56" s="10" t="str">
        <f t="shared" si="3"/>
        <v/>
      </c>
      <c r="F56" s="6">
        <v>1</v>
      </c>
      <c r="G56" s="7">
        <v>198</v>
      </c>
      <c r="H56" s="10" t="str">
        <f ca="1">VLOOKUP($G56,OFFSET([1]characters!$A$2,0,0,COUNTA([1]characters!$A:$A),MATCH(H$1,[1]characters!$2:$2,0)-MATCH($G$1,[1]characters!$2:$2,0)+1),MATCH(H$1,[1]characters!$2:$2,0)-MATCH($G$1,[1]characters!$2:$2,0)+1,FALSE)</f>
        <v>砕骨の剛腕 アキレス</v>
      </c>
      <c r="I56" s="10" t="str">
        <f ca="1">VLOOKUP($G56,OFFSET([1]characters!$A$2,0,0,COUNTA([1]characters!$A:$A),MATCH(I$1,[1]characters!$2:$2,0)-MATCH($G$1,[1]characters!$2:$2,0)+1),MATCH(I$1,[1]characters!$2:$2,0)-MATCH($G$1,[1]characters!$2:$2,0)+1,FALSE)</f>
        <v>PremiumN</v>
      </c>
      <c r="J56" s="10">
        <f ca="1">VLOOKUP($G56,OFFSET([1]characters!$A$2,0,0,COUNTA([1]characters!$A:$A),MATCH(J$1,[1]characters!$2:$2,0)-MATCH($G$1,[1]characters!$2:$2,0)+1),MATCH(J$1,[1]characters!$2:$2,0)-MATCH($G$1,[1]characters!$2:$2,0)+1,FALSE)</f>
        <v>5</v>
      </c>
      <c r="K56" s="10" t="str">
        <f ca="1">VLOOKUP($G56,OFFSET([1]characters!$A$2,0,0,COUNTA([1]characters!$A:$A),MATCH(K$1,[1]characters!$2:$2,0)-MATCH($G$1,[1]characters!$2:$2,0)+1),MATCH(K$1,[1]characters!$2:$2,0)-MATCH($G$1,[1]characters!$2:$2,0)+1,FALSE)</f>
        <v>yellow</v>
      </c>
      <c r="L56" s="10" t="str">
        <f ca="1">VLOOKUP($G56,OFFSET([1]characters!$A$2,0,0,COUNTA([1]characters!$A:$A),MATCH("タイプ",[1]characters!$1:$1,0)-MATCH($G$1,[1]characters!$2:$2,0)+2),MATCH("タイプ",[1]characters!$1:$1,0)-MATCH($G$1,[1]characters!$2:$2,0)+2,FALSE)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56" s="10" t="str">
        <f ca="1">VLOOKUP($G56,OFFSET([1]characters!$A$2,0,0,COUNTA([1]characters!$A:$A),MATCH($M$1,[1]characters!$1:$1,0)-MATCH($G$1,[1]characters!$2:$2,0)+2),MATCH($M$1,[1]characters!$1:$1,0)-MATCH($G$1,[1]characters!$2:$2,0)+2,FALSE)</f>
        <v>ヒューマン</v>
      </c>
      <c r="N56" s="6">
        <v>1</v>
      </c>
      <c r="O56" s="43">
        <f ca="1">VLOOKUP(D56,gacha_114_base!A:K,11,FALSE)</f>
        <v>170</v>
      </c>
      <c r="P56" s="28">
        <v>0</v>
      </c>
      <c r="Q56" s="28">
        <v>0</v>
      </c>
      <c r="R56" s="28">
        <v>0</v>
      </c>
      <c r="S56" s="28">
        <v>0</v>
      </c>
      <c r="T56" s="28">
        <v>1</v>
      </c>
    </row>
    <row r="57" spans="1:20" ht="21" customHeight="1">
      <c r="A57" s="8" t="str">
        <f t="shared" si="0"/>
        <v>12011</v>
      </c>
      <c r="B57" s="2">
        <v>114</v>
      </c>
      <c r="C57" s="10" t="str">
        <f t="shared" ca="1" si="1"/>
        <v>1PremiumN5</v>
      </c>
      <c r="D57" s="10" t="str">
        <f t="shared" ca="1" si="2"/>
        <v>1PremiumN5</v>
      </c>
      <c r="E57" s="10" t="str">
        <f t="shared" si="3"/>
        <v/>
      </c>
      <c r="F57" s="6">
        <v>1</v>
      </c>
      <c r="G57" s="7">
        <v>201</v>
      </c>
      <c r="H57" s="10" t="str">
        <f ca="1">VLOOKUP($G57,OFFSET([1]characters!$A$2,0,0,COUNTA([1]characters!$A:$A),MATCH(H$1,[1]characters!$2:$2,0)-MATCH($G$1,[1]characters!$2:$2,0)+1),MATCH(H$1,[1]characters!$2:$2,0)-MATCH($G$1,[1]characters!$2:$2,0)+1,FALSE)</f>
        <v>斬空の大破剣 ジークフリート</v>
      </c>
      <c r="I57" s="10" t="str">
        <f ca="1">VLOOKUP($G57,OFFSET([1]characters!$A$2,0,0,COUNTA([1]characters!$A:$A),MATCH(I$1,[1]characters!$2:$2,0)-MATCH($G$1,[1]characters!$2:$2,0)+1),MATCH(I$1,[1]characters!$2:$2,0)-MATCH($G$1,[1]characters!$2:$2,0)+1,FALSE)</f>
        <v>PremiumN</v>
      </c>
      <c r="J57" s="10">
        <f ca="1">VLOOKUP($G57,OFFSET([1]characters!$A$2,0,0,COUNTA([1]characters!$A:$A),MATCH(J$1,[1]characters!$2:$2,0)-MATCH($G$1,[1]characters!$2:$2,0)+1),MATCH(J$1,[1]characters!$2:$2,0)-MATCH($G$1,[1]characters!$2:$2,0)+1,FALSE)</f>
        <v>5</v>
      </c>
      <c r="K57" s="10" t="str">
        <f ca="1">VLOOKUP($G57,OFFSET([1]characters!$A$2,0,0,COUNTA([1]characters!$A:$A),MATCH(K$1,[1]characters!$2:$2,0)-MATCH($G$1,[1]characters!$2:$2,0)+1),MATCH(K$1,[1]characters!$2:$2,0)-MATCH($G$1,[1]characters!$2:$2,0)+1,FALSE)</f>
        <v>blue</v>
      </c>
      <c r="L57" s="10" t="str">
        <f ca="1">VLOOKUP($G57,OFFSET([1]characters!$A$2,0,0,COUNTA([1]characters!$A:$A),MATCH("タイプ",[1]characters!$1:$1,0)-MATCH($G$1,[1]characters!$2:$2,0)+2),MATCH("タイプ",[1]characters!$1:$1,0)-MATCH($G$1,[1]characters!$2:$2,0)+2,FALSE)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57" s="10" t="str">
        <f ca="1">VLOOKUP($G57,OFFSET([1]characters!$A$2,0,0,COUNTA([1]characters!$A:$A),MATCH($M$1,[1]characters!$1:$1,0)-MATCH($G$1,[1]characters!$2:$2,0)+2),MATCH($M$1,[1]characters!$1:$1,0)-MATCH($G$1,[1]characters!$2:$2,0)+2,FALSE)</f>
        <v>ヒューマン</v>
      </c>
      <c r="N57" s="6">
        <v>1</v>
      </c>
      <c r="O57" s="43">
        <f ca="1">VLOOKUP(D57,gacha_114_base!A:K,11,FALSE)</f>
        <v>170</v>
      </c>
      <c r="P57" s="28">
        <v>0</v>
      </c>
      <c r="Q57" s="28">
        <v>0</v>
      </c>
      <c r="R57" s="28">
        <v>0</v>
      </c>
      <c r="S57" s="28">
        <v>0</v>
      </c>
      <c r="T57" s="28">
        <v>1</v>
      </c>
    </row>
    <row r="58" spans="1:20" ht="21" customHeight="1">
      <c r="A58" s="8" t="str">
        <f t="shared" si="0"/>
        <v>12041</v>
      </c>
      <c r="B58" s="2">
        <v>114</v>
      </c>
      <c r="C58" s="10" t="str">
        <f t="shared" ca="1" si="1"/>
        <v>1PremiumN5</v>
      </c>
      <c r="D58" s="10" t="str">
        <f t="shared" ca="1" si="2"/>
        <v>1PremiumN5</v>
      </c>
      <c r="E58" s="10" t="str">
        <f t="shared" si="3"/>
        <v/>
      </c>
      <c r="F58" s="6">
        <v>1</v>
      </c>
      <c r="G58" s="7">
        <v>204</v>
      </c>
      <c r="H58" s="10" t="str">
        <f ca="1">VLOOKUP($G58,OFFSET([1]characters!$A$2,0,0,COUNTA([1]characters!$A:$A),MATCH(H$1,[1]characters!$2:$2,0)-MATCH($G$1,[1]characters!$2:$2,0)+1),MATCH(H$1,[1]characters!$2:$2,0)-MATCH($G$1,[1]characters!$2:$2,0)+1,FALSE)</f>
        <v>慟哭の巨焔 プロメテウス</v>
      </c>
      <c r="I58" s="10" t="str">
        <f ca="1">VLOOKUP($G58,OFFSET([1]characters!$A$2,0,0,COUNTA([1]characters!$A:$A),MATCH(I$1,[1]characters!$2:$2,0)-MATCH($G$1,[1]characters!$2:$2,0)+1),MATCH(I$1,[1]characters!$2:$2,0)-MATCH($G$1,[1]characters!$2:$2,0)+1,FALSE)</f>
        <v>PremiumN</v>
      </c>
      <c r="J58" s="10">
        <f ca="1">VLOOKUP($G58,OFFSET([1]characters!$A$2,0,0,COUNTA([1]characters!$A:$A),MATCH(J$1,[1]characters!$2:$2,0)-MATCH($G$1,[1]characters!$2:$2,0)+1),MATCH(J$1,[1]characters!$2:$2,0)-MATCH($G$1,[1]characters!$2:$2,0)+1,FALSE)</f>
        <v>5</v>
      </c>
      <c r="K58" s="10" t="str">
        <f ca="1">VLOOKUP($G58,OFFSET([1]characters!$A$2,0,0,COUNTA([1]characters!$A:$A),MATCH(K$1,[1]characters!$2:$2,0)-MATCH($G$1,[1]characters!$2:$2,0)+1),MATCH(K$1,[1]characters!$2:$2,0)-MATCH($G$1,[1]characters!$2:$2,0)+1,FALSE)</f>
        <v>red</v>
      </c>
      <c r="L58" s="10" t="str">
        <f ca="1">VLOOKUP($G58,OFFSET([1]characters!$A$2,0,0,COUNTA([1]characters!$A:$A),MATCH("タイプ",[1]characters!$1:$1,0)-MATCH($G$1,[1]characters!$2:$2,0)+2),MATCH("タイプ",[1]characters!$1:$1,0)-MATCH($G$1,[1]characters!$2:$2,0)+2,FALSE)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58" s="10" t="str">
        <f ca="1">VLOOKUP($G58,OFFSET([1]characters!$A$2,0,0,COUNTA([1]characters!$A:$A),MATCH($M$1,[1]characters!$1:$1,0)-MATCH($G$1,[1]characters!$2:$2,0)+2),MATCH($M$1,[1]characters!$1:$1,0)-MATCH($G$1,[1]characters!$2:$2,0)+2,FALSE)</f>
        <v>ゴッド</v>
      </c>
      <c r="N58" s="6">
        <v>1</v>
      </c>
      <c r="O58" s="43">
        <f ca="1">VLOOKUP(D58,gacha_114_base!A:K,11,FALSE)</f>
        <v>170</v>
      </c>
      <c r="P58" s="28">
        <v>0</v>
      </c>
      <c r="Q58" s="28">
        <v>0</v>
      </c>
      <c r="R58" s="28">
        <v>0</v>
      </c>
      <c r="S58" s="28">
        <v>0</v>
      </c>
      <c r="T58" s="28">
        <v>1</v>
      </c>
    </row>
    <row r="59" spans="1:20" ht="21" customHeight="1">
      <c r="A59" s="8" t="str">
        <f t="shared" si="0"/>
        <v>12071</v>
      </c>
      <c r="B59" s="2">
        <v>114</v>
      </c>
      <c r="C59" s="10" t="str">
        <f t="shared" ca="1" si="1"/>
        <v>1PremiumN5</v>
      </c>
      <c r="D59" s="10" t="str">
        <f t="shared" ca="1" si="2"/>
        <v>1PremiumN5</v>
      </c>
      <c r="E59" s="10" t="str">
        <f t="shared" si="3"/>
        <v/>
      </c>
      <c r="F59" s="6">
        <v>1</v>
      </c>
      <c r="G59" s="7">
        <v>207</v>
      </c>
      <c r="H59" s="10" t="str">
        <f ca="1">VLOOKUP($G59,OFFSET([1]characters!$A$2,0,0,COUNTA([1]characters!$A:$A),MATCH(H$1,[1]characters!$2:$2,0)-MATCH($G$1,[1]characters!$2:$2,0)+1),MATCH(H$1,[1]characters!$2:$2,0)-MATCH($G$1,[1]characters!$2:$2,0)+1,FALSE)</f>
        <v>豊穣の麗神・アフロディーテ</v>
      </c>
      <c r="I59" s="10" t="str">
        <f ca="1">VLOOKUP($G59,OFFSET([1]characters!$A$2,0,0,COUNTA([1]characters!$A:$A),MATCH(I$1,[1]characters!$2:$2,0)-MATCH($G$1,[1]characters!$2:$2,0)+1),MATCH(I$1,[1]characters!$2:$2,0)-MATCH($G$1,[1]characters!$2:$2,0)+1,FALSE)</f>
        <v>PremiumN</v>
      </c>
      <c r="J59" s="10">
        <f ca="1">VLOOKUP($G59,OFFSET([1]characters!$A$2,0,0,COUNTA([1]characters!$A:$A),MATCH(J$1,[1]characters!$2:$2,0)-MATCH($G$1,[1]characters!$2:$2,0)+1),MATCH(J$1,[1]characters!$2:$2,0)-MATCH($G$1,[1]characters!$2:$2,0)+1,FALSE)</f>
        <v>5</v>
      </c>
      <c r="K59" s="10" t="str">
        <f ca="1">VLOOKUP($G59,OFFSET([1]characters!$A$2,0,0,COUNTA([1]characters!$A:$A),MATCH(K$1,[1]characters!$2:$2,0)-MATCH($G$1,[1]characters!$2:$2,0)+1),MATCH(K$1,[1]characters!$2:$2,0)-MATCH($G$1,[1]characters!$2:$2,0)+1,FALSE)</f>
        <v>green</v>
      </c>
      <c r="L59" s="10" t="str">
        <f ca="1">VLOOKUP($G59,OFFSET([1]characters!$A$2,0,0,COUNTA([1]characters!$A:$A),MATCH("タイプ",[1]characters!$1:$1,0)-MATCH($G$1,[1]characters!$2:$2,0)+2),MATCH("タイプ",[1]characters!$1:$1,0)-MATCH($G$1,[1]characters!$2:$2,0)+2,FALSE)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59" s="10" t="str">
        <f ca="1">VLOOKUP($G59,OFFSET([1]characters!$A$2,0,0,COUNTA([1]characters!$A:$A),MATCH($M$1,[1]characters!$1:$1,0)-MATCH($G$1,[1]characters!$2:$2,0)+2),MATCH($M$1,[1]characters!$1:$1,0)-MATCH($G$1,[1]characters!$2:$2,0)+2,FALSE)</f>
        <v>ゴッド</v>
      </c>
      <c r="N59" s="6">
        <v>1</v>
      </c>
      <c r="O59" s="43">
        <f ca="1">VLOOKUP(D59,gacha_114_base!A:K,11,FALSE)</f>
        <v>170</v>
      </c>
      <c r="P59" s="28">
        <v>0</v>
      </c>
      <c r="Q59" s="28">
        <v>0</v>
      </c>
      <c r="R59" s="28">
        <v>0</v>
      </c>
      <c r="S59" s="28">
        <v>0</v>
      </c>
      <c r="T59" s="28">
        <v>1</v>
      </c>
    </row>
    <row r="60" spans="1:20" ht="21" customHeight="1">
      <c r="A60" s="8" t="str">
        <f t="shared" si="0"/>
        <v>12101</v>
      </c>
      <c r="B60" s="2">
        <v>114</v>
      </c>
      <c r="C60" s="10" t="str">
        <f t="shared" ca="1" si="1"/>
        <v>1PremiumN5</v>
      </c>
      <c r="D60" s="10" t="str">
        <f t="shared" ca="1" si="2"/>
        <v>1PremiumN5</v>
      </c>
      <c r="E60" s="10" t="str">
        <f t="shared" si="3"/>
        <v/>
      </c>
      <c r="F60" s="6">
        <v>1</v>
      </c>
      <c r="G60" s="7">
        <v>210</v>
      </c>
      <c r="H60" s="10" t="str">
        <f ca="1">VLOOKUP($G60,OFFSET([1]characters!$A$2,0,0,COUNTA([1]characters!$A:$A),MATCH(H$1,[1]characters!$2:$2,0)-MATCH($G$1,[1]characters!$2:$2,0)+1),MATCH(H$1,[1]characters!$2:$2,0)-MATCH($G$1,[1]characters!$2:$2,0)+1,FALSE)</f>
        <v>海底の孤高神 テティス</v>
      </c>
      <c r="I60" s="10" t="str">
        <f ca="1">VLOOKUP($G60,OFFSET([1]characters!$A$2,0,0,COUNTA([1]characters!$A:$A),MATCH(I$1,[1]characters!$2:$2,0)-MATCH($G$1,[1]characters!$2:$2,0)+1),MATCH(I$1,[1]characters!$2:$2,0)-MATCH($G$1,[1]characters!$2:$2,0)+1,FALSE)</f>
        <v>PremiumN</v>
      </c>
      <c r="J60" s="10">
        <f ca="1">VLOOKUP($G60,OFFSET([1]characters!$A$2,0,0,COUNTA([1]characters!$A:$A),MATCH(J$1,[1]characters!$2:$2,0)-MATCH($G$1,[1]characters!$2:$2,0)+1),MATCH(J$1,[1]characters!$2:$2,0)-MATCH($G$1,[1]characters!$2:$2,0)+1,FALSE)</f>
        <v>5</v>
      </c>
      <c r="K60" s="10" t="str">
        <f ca="1">VLOOKUP($G60,OFFSET([1]characters!$A$2,0,0,COUNTA([1]characters!$A:$A),MATCH(K$1,[1]characters!$2:$2,0)-MATCH($G$1,[1]characters!$2:$2,0)+1),MATCH(K$1,[1]characters!$2:$2,0)-MATCH($G$1,[1]characters!$2:$2,0)+1,FALSE)</f>
        <v>blue</v>
      </c>
      <c r="L60" s="10" t="str">
        <f ca="1">VLOOKUP($G60,OFFSET([1]characters!$A$2,0,0,COUNTA([1]characters!$A:$A),MATCH("タイプ",[1]characters!$1:$1,0)-MATCH($G$1,[1]characters!$2:$2,0)+2),MATCH("タイプ",[1]characters!$1:$1,0)-MATCH($G$1,[1]characters!$2:$2,0)+2,FALSE)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60" s="10" t="str">
        <f ca="1">VLOOKUP($G60,OFFSET([1]characters!$A$2,0,0,COUNTA([1]characters!$A:$A),MATCH($M$1,[1]characters!$1:$1,0)-MATCH($G$1,[1]characters!$2:$2,0)+2),MATCH($M$1,[1]characters!$1:$1,0)-MATCH($G$1,[1]characters!$2:$2,0)+2,FALSE)</f>
        <v>ゴッド</v>
      </c>
      <c r="N60" s="6">
        <v>1</v>
      </c>
      <c r="O60" s="43">
        <f ca="1">VLOOKUP(D60,gacha_114_base!A:K,11,FALSE)</f>
        <v>170</v>
      </c>
      <c r="P60" s="28">
        <v>0</v>
      </c>
      <c r="Q60" s="28">
        <v>0</v>
      </c>
      <c r="R60" s="28">
        <v>0</v>
      </c>
      <c r="S60" s="28">
        <v>0</v>
      </c>
      <c r="T60" s="28">
        <v>1</v>
      </c>
    </row>
    <row r="61" spans="1:20" ht="21" customHeight="1">
      <c r="A61" s="8" t="str">
        <f t="shared" si="0"/>
        <v>12131</v>
      </c>
      <c r="B61" s="2">
        <v>114</v>
      </c>
      <c r="C61" s="10" t="str">
        <f t="shared" ca="1" si="1"/>
        <v>1PremiumN5</v>
      </c>
      <c r="D61" s="10" t="str">
        <f t="shared" ca="1" si="2"/>
        <v>1PremiumN5</v>
      </c>
      <c r="E61" s="10" t="str">
        <f t="shared" si="3"/>
        <v/>
      </c>
      <c r="F61" s="6">
        <v>1</v>
      </c>
      <c r="G61" s="7">
        <v>213</v>
      </c>
      <c r="H61" s="10" t="str">
        <f ca="1">VLOOKUP($G61,OFFSET([1]characters!$A$2,0,0,COUNTA([1]characters!$A:$A),MATCH(H$1,[1]characters!$2:$2,0)-MATCH($G$1,[1]characters!$2:$2,0)+1),MATCH(H$1,[1]characters!$2:$2,0)-MATCH($G$1,[1]characters!$2:$2,0)+1,FALSE)</f>
        <v>満天の星降神 アストライアー</v>
      </c>
      <c r="I61" s="10" t="str">
        <f ca="1">VLOOKUP($G61,OFFSET([1]characters!$A$2,0,0,COUNTA([1]characters!$A:$A),MATCH(I$1,[1]characters!$2:$2,0)-MATCH($G$1,[1]characters!$2:$2,0)+1),MATCH(I$1,[1]characters!$2:$2,0)-MATCH($G$1,[1]characters!$2:$2,0)+1,FALSE)</f>
        <v>PremiumN</v>
      </c>
      <c r="J61" s="10">
        <f ca="1">VLOOKUP($G61,OFFSET([1]characters!$A$2,0,0,COUNTA([1]characters!$A:$A),MATCH(J$1,[1]characters!$2:$2,0)-MATCH($G$1,[1]characters!$2:$2,0)+1),MATCH(J$1,[1]characters!$2:$2,0)-MATCH($G$1,[1]characters!$2:$2,0)+1,FALSE)</f>
        <v>5</v>
      </c>
      <c r="K61" s="10" t="str">
        <f ca="1">VLOOKUP($G61,OFFSET([1]characters!$A$2,0,0,COUNTA([1]characters!$A:$A),MATCH(K$1,[1]characters!$2:$2,0)-MATCH($G$1,[1]characters!$2:$2,0)+1),MATCH(K$1,[1]characters!$2:$2,0)-MATCH($G$1,[1]characters!$2:$2,0)+1,FALSE)</f>
        <v>yellow</v>
      </c>
      <c r="L61" s="10" t="str">
        <f ca="1">VLOOKUP($G61,OFFSET([1]characters!$A$2,0,0,COUNTA([1]characters!$A:$A),MATCH("タイプ",[1]characters!$1:$1,0)-MATCH($G$1,[1]characters!$2:$2,0)+2),MATCH("タイプ",[1]characters!$1:$1,0)-MATCH($G$1,[1]characters!$2:$2,0)+2,FALSE)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61" s="10" t="str">
        <f ca="1">VLOOKUP($G61,OFFSET([1]characters!$A$2,0,0,COUNTA([1]characters!$A:$A),MATCH($M$1,[1]characters!$1:$1,0)-MATCH($G$1,[1]characters!$2:$2,0)+2),MATCH($M$1,[1]characters!$1:$1,0)-MATCH($G$1,[1]characters!$2:$2,0)+2,FALSE)</f>
        <v>ゴッド</v>
      </c>
      <c r="N61" s="6">
        <v>1</v>
      </c>
      <c r="O61" s="43">
        <f ca="1">VLOOKUP(D61,gacha_114_base!A:K,11,FALSE)</f>
        <v>170</v>
      </c>
      <c r="P61" s="28">
        <v>0</v>
      </c>
      <c r="Q61" s="28">
        <v>0</v>
      </c>
      <c r="R61" s="28">
        <v>0</v>
      </c>
      <c r="S61" s="28">
        <v>0</v>
      </c>
      <c r="T61" s="28">
        <v>1</v>
      </c>
    </row>
    <row r="62" spans="1:20" ht="21" customHeight="1">
      <c r="A62" s="8" t="str">
        <f t="shared" si="0"/>
        <v>12161</v>
      </c>
      <c r="B62" s="2">
        <v>114</v>
      </c>
      <c r="C62" s="10" t="str">
        <f t="shared" ca="1" si="1"/>
        <v>1PremiumN5</v>
      </c>
      <c r="D62" s="10" t="str">
        <f t="shared" ca="1" si="2"/>
        <v>1PremiumN5</v>
      </c>
      <c r="E62" s="10" t="str">
        <f t="shared" si="3"/>
        <v/>
      </c>
      <c r="F62" s="6">
        <v>1</v>
      </c>
      <c r="G62" s="7">
        <v>216</v>
      </c>
      <c r="H62" s="10" t="str">
        <f ca="1">VLOOKUP($G62,OFFSET([1]characters!$A$2,0,0,COUNTA([1]characters!$A:$A),MATCH(H$1,[1]characters!$2:$2,0)-MATCH($G$1,[1]characters!$2:$2,0)+1),MATCH(H$1,[1]characters!$2:$2,0)-MATCH($G$1,[1]characters!$2:$2,0)+1,FALSE)</f>
        <v>百読の死導司書 アズラエル</v>
      </c>
      <c r="I62" s="10" t="str">
        <f ca="1">VLOOKUP($G62,OFFSET([1]characters!$A$2,0,0,COUNTA([1]characters!$A:$A),MATCH(I$1,[1]characters!$2:$2,0)-MATCH($G$1,[1]characters!$2:$2,0)+1),MATCH(I$1,[1]characters!$2:$2,0)-MATCH($G$1,[1]characters!$2:$2,0)+1,FALSE)</f>
        <v>PremiumN</v>
      </c>
      <c r="J62" s="10">
        <f ca="1">VLOOKUP($G62,OFFSET([1]characters!$A$2,0,0,COUNTA([1]characters!$A:$A),MATCH(J$1,[1]characters!$2:$2,0)-MATCH($G$1,[1]characters!$2:$2,0)+1),MATCH(J$1,[1]characters!$2:$2,0)-MATCH($G$1,[1]characters!$2:$2,0)+1,FALSE)</f>
        <v>5</v>
      </c>
      <c r="K62" s="10" t="str">
        <f ca="1">VLOOKUP($G62,OFFSET([1]characters!$A$2,0,0,COUNTA([1]characters!$A:$A),MATCH(K$1,[1]characters!$2:$2,0)-MATCH($G$1,[1]characters!$2:$2,0)+1),MATCH(K$1,[1]characters!$2:$2,0)-MATCH($G$1,[1]characters!$2:$2,0)+1,FALSE)</f>
        <v>red</v>
      </c>
      <c r="L62" s="10" t="str">
        <f ca="1">VLOOKUP($G62,OFFSET([1]characters!$A$2,0,0,COUNTA([1]characters!$A:$A),MATCH("タイプ",[1]characters!$1:$1,0)-MATCH($G$1,[1]characters!$2:$2,0)+2),MATCH("タイプ",[1]characters!$1:$1,0)-MATCH($G$1,[1]characters!$2:$2,0)+2,FALSE)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62" s="10" t="str">
        <f ca="1">VLOOKUP($G62,OFFSET([1]characters!$A$2,0,0,COUNTA([1]characters!$A:$A),MATCH($M$1,[1]characters!$1:$1,0)-MATCH($G$1,[1]characters!$2:$2,0)+2),MATCH($M$1,[1]characters!$1:$1,0)-MATCH($G$1,[1]characters!$2:$2,0)+2,FALSE)</f>
        <v>ゴッド</v>
      </c>
      <c r="N62" s="6">
        <v>1</v>
      </c>
      <c r="O62" s="43">
        <f ca="1">VLOOKUP(D62,gacha_114_base!A:K,11,FALSE)</f>
        <v>170</v>
      </c>
      <c r="P62" s="28">
        <v>0</v>
      </c>
      <c r="Q62" s="28">
        <v>0</v>
      </c>
      <c r="R62" s="28">
        <v>0</v>
      </c>
      <c r="S62" s="28">
        <v>0</v>
      </c>
      <c r="T62" s="28">
        <v>1</v>
      </c>
    </row>
    <row r="63" spans="1:20" ht="21" customHeight="1">
      <c r="A63" s="8" t="str">
        <f t="shared" si="0"/>
        <v>12191</v>
      </c>
      <c r="B63" s="2">
        <v>114</v>
      </c>
      <c r="C63" s="10" t="str">
        <f t="shared" ca="1" si="1"/>
        <v>1PremiumN5</v>
      </c>
      <c r="D63" s="10" t="str">
        <f t="shared" ca="1" si="2"/>
        <v>1PremiumN5</v>
      </c>
      <c r="E63" s="10" t="str">
        <f t="shared" si="3"/>
        <v/>
      </c>
      <c r="F63" s="6">
        <v>1</v>
      </c>
      <c r="G63" s="7">
        <v>219</v>
      </c>
      <c r="H63" s="10" t="str">
        <f ca="1">VLOOKUP($G63,OFFSET([1]characters!$A$2,0,0,COUNTA([1]characters!$A:$A),MATCH(H$1,[1]characters!$2:$2,0)-MATCH($G$1,[1]characters!$2:$2,0)+1),MATCH(H$1,[1]characters!$2:$2,0)-MATCH($G$1,[1]characters!$2:$2,0)+1,FALSE)</f>
        <v>覇翼の聖蛇竜 ケツァクアトル</v>
      </c>
      <c r="I63" s="10" t="str">
        <f ca="1">VLOOKUP($G63,OFFSET([1]characters!$A$2,0,0,COUNTA([1]characters!$A:$A),MATCH(I$1,[1]characters!$2:$2,0)-MATCH($G$1,[1]characters!$2:$2,0)+1),MATCH(I$1,[1]characters!$2:$2,0)-MATCH($G$1,[1]characters!$2:$2,0)+1,FALSE)</f>
        <v>PremiumN</v>
      </c>
      <c r="J63" s="10">
        <f ca="1">VLOOKUP($G63,OFFSET([1]characters!$A$2,0,0,COUNTA([1]characters!$A:$A),MATCH(J$1,[1]characters!$2:$2,0)-MATCH($G$1,[1]characters!$2:$2,0)+1),MATCH(J$1,[1]characters!$2:$2,0)-MATCH($G$1,[1]characters!$2:$2,0)+1,FALSE)</f>
        <v>5</v>
      </c>
      <c r="K63" s="10" t="str">
        <f ca="1">VLOOKUP($G63,OFFSET([1]characters!$A$2,0,0,COUNTA([1]characters!$A:$A),MATCH(K$1,[1]characters!$2:$2,0)-MATCH($G$1,[1]characters!$2:$2,0)+1),MATCH(K$1,[1]characters!$2:$2,0)-MATCH($G$1,[1]characters!$2:$2,0)+1,FALSE)</f>
        <v>green</v>
      </c>
      <c r="L63" s="10" t="str">
        <f ca="1">VLOOKUP($G63,OFFSET([1]characters!$A$2,0,0,COUNTA([1]characters!$A:$A),MATCH("タイプ",[1]characters!$1:$1,0)-MATCH($G$1,[1]characters!$2:$2,0)+2),MATCH("タイプ",[1]characters!$1:$1,0)-MATCH($G$1,[1]characters!$2:$2,0)+2,FALSE)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63" s="10" t="str">
        <f ca="1">VLOOKUP($G63,OFFSET([1]characters!$A$2,0,0,COUNTA([1]characters!$A:$A),MATCH($M$1,[1]characters!$1:$1,0)-MATCH($G$1,[1]characters!$2:$2,0)+2),MATCH($M$1,[1]characters!$1:$1,0)-MATCH($G$1,[1]characters!$2:$2,0)+2,FALSE)</f>
        <v>ドラゴン</v>
      </c>
      <c r="N63" s="6">
        <v>1</v>
      </c>
      <c r="O63" s="43">
        <f ca="1">VLOOKUP(D63,gacha_114_base!A:K,11,FALSE)</f>
        <v>170</v>
      </c>
      <c r="P63" s="28">
        <v>0</v>
      </c>
      <c r="Q63" s="28">
        <v>0</v>
      </c>
      <c r="R63" s="28">
        <v>0</v>
      </c>
      <c r="S63" s="28">
        <v>0</v>
      </c>
      <c r="T63" s="28">
        <v>1</v>
      </c>
    </row>
    <row r="64" spans="1:20" ht="21" customHeight="1">
      <c r="A64" s="8" t="str">
        <f t="shared" si="0"/>
        <v>12221</v>
      </c>
      <c r="B64" s="2">
        <v>114</v>
      </c>
      <c r="C64" s="10" t="str">
        <f t="shared" ca="1" si="1"/>
        <v>1PremiumN5</v>
      </c>
      <c r="D64" s="10" t="str">
        <f t="shared" ca="1" si="2"/>
        <v>1PremiumN5</v>
      </c>
      <c r="E64" s="10" t="str">
        <f t="shared" si="3"/>
        <v/>
      </c>
      <c r="F64" s="6">
        <v>1</v>
      </c>
      <c r="G64" s="7">
        <v>222</v>
      </c>
      <c r="H64" s="10" t="str">
        <f ca="1">VLOOKUP($G64,OFFSET([1]characters!$A$2,0,0,COUNTA([1]characters!$A:$A),MATCH(H$1,[1]characters!$2:$2,0)-MATCH($G$1,[1]characters!$2:$2,0)+1),MATCH(H$1,[1]characters!$2:$2,0)-MATCH($G$1,[1]characters!$2:$2,0)+1,FALSE)</f>
        <v>避光の鉄鎖宰相 ルキフグス</v>
      </c>
      <c r="I64" s="10" t="str">
        <f ca="1">VLOOKUP($G64,OFFSET([1]characters!$A$2,0,0,COUNTA([1]characters!$A:$A),MATCH(I$1,[1]characters!$2:$2,0)-MATCH($G$1,[1]characters!$2:$2,0)+1),MATCH(I$1,[1]characters!$2:$2,0)-MATCH($G$1,[1]characters!$2:$2,0)+1,FALSE)</f>
        <v>PremiumN</v>
      </c>
      <c r="J64" s="10">
        <f ca="1">VLOOKUP($G64,OFFSET([1]characters!$A$2,0,0,COUNTA([1]characters!$A:$A),MATCH(J$1,[1]characters!$2:$2,0)-MATCH($G$1,[1]characters!$2:$2,0)+1),MATCH(J$1,[1]characters!$2:$2,0)-MATCH($G$1,[1]characters!$2:$2,0)+1,FALSE)</f>
        <v>5</v>
      </c>
      <c r="K64" s="10" t="str">
        <f ca="1">VLOOKUP($G64,OFFSET([1]characters!$A$2,0,0,COUNTA([1]characters!$A:$A),MATCH(K$1,[1]characters!$2:$2,0)-MATCH($G$1,[1]characters!$2:$2,0)+1),MATCH(K$1,[1]characters!$2:$2,0)-MATCH($G$1,[1]characters!$2:$2,0)+1,FALSE)</f>
        <v>blue</v>
      </c>
      <c r="L64" s="10" t="str">
        <f ca="1">VLOOKUP($G64,OFFSET([1]characters!$A$2,0,0,COUNTA([1]characters!$A:$A),MATCH("タイプ",[1]characters!$1:$1,0)-MATCH($G$1,[1]characters!$2:$2,0)+2),MATCH("タイプ",[1]characters!$1:$1,0)-MATCH($G$1,[1]characters!$2:$2,0)+2,FALSE)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64" s="10" t="str">
        <f ca="1">VLOOKUP($G64,OFFSET([1]characters!$A$2,0,0,COUNTA([1]characters!$A:$A),MATCH($M$1,[1]characters!$1:$1,0)-MATCH($G$1,[1]characters!$2:$2,0)+2),MATCH($M$1,[1]characters!$1:$1,0)-MATCH($G$1,[1]characters!$2:$2,0)+2,FALSE)</f>
        <v>ゴッド</v>
      </c>
      <c r="N64" s="6">
        <v>1</v>
      </c>
      <c r="O64" s="43">
        <f ca="1">VLOOKUP(D64,gacha_114_base!A:K,11,FALSE)</f>
        <v>170</v>
      </c>
      <c r="P64" s="28">
        <v>0</v>
      </c>
      <c r="Q64" s="28">
        <v>0</v>
      </c>
      <c r="R64" s="28">
        <v>0</v>
      </c>
      <c r="S64" s="28">
        <v>0</v>
      </c>
      <c r="T64" s="28">
        <v>1</v>
      </c>
    </row>
    <row r="65" spans="1:20" ht="21" customHeight="1">
      <c r="A65" s="8" t="str">
        <f t="shared" si="0"/>
        <v>12251</v>
      </c>
      <c r="B65" s="2">
        <v>114</v>
      </c>
      <c r="C65" s="10" t="str">
        <f t="shared" ca="1" si="1"/>
        <v>1PremiumN5</v>
      </c>
      <c r="D65" s="10" t="str">
        <f t="shared" ca="1" si="2"/>
        <v>1PremiumN5</v>
      </c>
      <c r="E65" s="10" t="str">
        <f t="shared" si="3"/>
        <v/>
      </c>
      <c r="F65" s="6">
        <v>1</v>
      </c>
      <c r="G65" s="7">
        <v>225</v>
      </c>
      <c r="H65" s="10" t="str">
        <f ca="1">VLOOKUP($G65,OFFSET([1]characters!$A$2,0,0,COUNTA([1]characters!$A:$A),MATCH(H$1,[1]characters!$2:$2,0)-MATCH($G$1,[1]characters!$2:$2,0)+1),MATCH(H$1,[1]characters!$2:$2,0)-MATCH($G$1,[1]characters!$2:$2,0)+1,FALSE)</f>
        <v>咆哮の巨獅腕 ヘラクレス</v>
      </c>
      <c r="I65" s="10" t="str">
        <f ca="1">VLOOKUP($G65,OFFSET([1]characters!$A$2,0,0,COUNTA([1]characters!$A:$A),MATCH(I$1,[1]characters!$2:$2,0)-MATCH($G$1,[1]characters!$2:$2,0)+1),MATCH(I$1,[1]characters!$2:$2,0)-MATCH($G$1,[1]characters!$2:$2,0)+1,FALSE)</f>
        <v>PremiumN</v>
      </c>
      <c r="J65" s="10">
        <f ca="1">VLOOKUP($G65,OFFSET([1]characters!$A$2,0,0,COUNTA([1]characters!$A:$A),MATCH(J$1,[1]characters!$2:$2,0)-MATCH($G$1,[1]characters!$2:$2,0)+1),MATCH(J$1,[1]characters!$2:$2,0)-MATCH($G$1,[1]characters!$2:$2,0)+1,FALSE)</f>
        <v>5</v>
      </c>
      <c r="K65" s="10" t="str">
        <f ca="1">VLOOKUP($G65,OFFSET([1]characters!$A$2,0,0,COUNTA([1]characters!$A:$A),MATCH(K$1,[1]characters!$2:$2,0)-MATCH($G$1,[1]characters!$2:$2,0)+1),MATCH(K$1,[1]characters!$2:$2,0)-MATCH($G$1,[1]characters!$2:$2,0)+1,FALSE)</f>
        <v>yellow</v>
      </c>
      <c r="L65" s="10" t="str">
        <f ca="1">VLOOKUP($G65,OFFSET([1]characters!$A$2,0,0,COUNTA([1]characters!$A:$A),MATCH("タイプ",[1]characters!$1:$1,0)-MATCH($G$1,[1]characters!$2:$2,0)+2),MATCH("タイプ",[1]characters!$1:$1,0)-MATCH($G$1,[1]characters!$2:$2,0)+2,FALSE)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65" s="10" t="str">
        <f ca="1">VLOOKUP($G65,OFFSET([1]characters!$A$2,0,0,COUNTA([1]characters!$A:$A),MATCH($M$1,[1]characters!$1:$1,0)-MATCH($G$1,[1]characters!$2:$2,0)+2),MATCH($M$1,[1]characters!$1:$1,0)-MATCH($G$1,[1]characters!$2:$2,0)+2,FALSE)</f>
        <v>ヒューマン</v>
      </c>
      <c r="N65" s="6">
        <v>1</v>
      </c>
      <c r="O65" s="43">
        <f ca="1">VLOOKUP(D65,gacha_114_base!A:K,11,FALSE)</f>
        <v>170</v>
      </c>
      <c r="P65" s="28">
        <v>0</v>
      </c>
      <c r="Q65" s="28">
        <v>0</v>
      </c>
      <c r="R65" s="28">
        <v>0</v>
      </c>
      <c r="S65" s="28">
        <v>0</v>
      </c>
      <c r="T65" s="28">
        <v>1</v>
      </c>
    </row>
    <row r="66" spans="1:20" ht="21" customHeight="1">
      <c r="A66" s="8" t="str">
        <f t="shared" ref="A66:A154" si="4">F66&amp;G66&amp;N66</f>
        <v>12281</v>
      </c>
      <c r="B66" s="2">
        <v>114</v>
      </c>
      <c r="C66" s="10" t="str">
        <f ca="1">F66&amp;I66&amp;J66</f>
        <v>1PremiumS5</v>
      </c>
      <c r="D66" s="10" t="str">
        <f t="shared" ca="1" si="2"/>
        <v>1PremiumS5</v>
      </c>
      <c r="E66" s="10" t="str">
        <f t="shared" si="3"/>
        <v/>
      </c>
      <c r="F66" s="6">
        <v>1</v>
      </c>
      <c r="G66" s="7">
        <v>228</v>
      </c>
      <c r="H66" s="10" t="str">
        <f ca="1">VLOOKUP($G66,OFFSET([1]characters!$A$2,0,0,COUNTA([1]characters!$A:$A),MATCH(H$1,[1]characters!$2:$2,0)-MATCH($G$1,[1]characters!$2:$2,0)+1),MATCH(H$1,[1]characters!$2:$2,0)-MATCH($G$1,[1]characters!$2:$2,0)+1,FALSE)</f>
        <v>殲滅の掃射砲 アレス</v>
      </c>
      <c r="I66" s="10" t="str">
        <f ca="1">VLOOKUP($G66,OFFSET([1]characters!$A$2,0,0,COUNTA([1]characters!$A:$A),MATCH(I$1,[1]characters!$2:$2,0)-MATCH($G$1,[1]characters!$2:$2,0)+1),MATCH(I$1,[1]characters!$2:$2,0)-MATCH($G$1,[1]characters!$2:$2,0)+1,FALSE)</f>
        <v>PremiumS</v>
      </c>
      <c r="J66" s="10">
        <f ca="1">VLOOKUP($G66,OFFSET([1]characters!$A$2,0,0,COUNTA([1]characters!$A:$A),MATCH(J$1,[1]characters!$2:$2,0)-MATCH($G$1,[1]characters!$2:$2,0)+1),MATCH(J$1,[1]characters!$2:$2,0)-MATCH($G$1,[1]characters!$2:$2,0)+1,FALSE)</f>
        <v>5</v>
      </c>
      <c r="K66" s="10" t="str">
        <f ca="1">VLOOKUP($G66,OFFSET([1]characters!$A$2,0,0,COUNTA([1]characters!$A:$A),MATCH(K$1,[1]characters!$2:$2,0)-MATCH($G$1,[1]characters!$2:$2,0)+1),MATCH(K$1,[1]characters!$2:$2,0)-MATCH($G$1,[1]characters!$2:$2,0)+1,FALSE)</f>
        <v>red</v>
      </c>
      <c r="L66" s="10" t="str">
        <f ca="1">VLOOKUP($G66,OFFSET([1]characters!$A$2,0,0,COUNTA([1]characters!$A:$A),MATCH("タイプ",[1]characters!$1:$1,0)-MATCH($G$1,[1]characters!$2:$2,0)+2),MATCH("タイプ",[1]characters!$1:$1,0)-MATCH($G$1,[1]characters!$2:$2,0)+2,FALSE)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66" s="10" t="str">
        <f ca="1">VLOOKUP($G66,OFFSET([1]characters!$A$2,0,0,COUNTA([1]characters!$A:$A),MATCH($M$1,[1]characters!$1:$1,0)-MATCH($G$1,[1]characters!$2:$2,0)+2),MATCH($M$1,[1]characters!$1:$1,0)-MATCH($G$1,[1]characters!$2:$2,0)+2,FALSE)</f>
        <v>ゴッド</v>
      </c>
      <c r="N66" s="6">
        <v>1</v>
      </c>
      <c r="O66" s="43">
        <f ca="1">VLOOKUP(D66,gacha_114_base!A:K,11,FALSE)</f>
        <v>8</v>
      </c>
      <c r="P66" s="28">
        <v>0</v>
      </c>
      <c r="Q66" s="28">
        <v>0</v>
      </c>
      <c r="R66" s="28">
        <v>0</v>
      </c>
      <c r="S66" s="28">
        <v>0</v>
      </c>
      <c r="T66" s="28">
        <v>1</v>
      </c>
    </row>
    <row r="67" spans="1:20" ht="21" customHeight="1">
      <c r="A67" s="8" t="str">
        <f t="shared" si="4"/>
        <v>12311</v>
      </c>
      <c r="B67" s="2">
        <v>114</v>
      </c>
      <c r="C67" s="10" t="str">
        <f t="shared" ref="C67:C130" ca="1" si="5">F67&amp;I67&amp;J67</f>
        <v>1PremiumS5</v>
      </c>
      <c r="D67" s="10" t="str">
        <f t="shared" ref="D67:D130" ca="1" si="6">F67&amp;I67&amp;E67&amp;J67</f>
        <v>1PremiumS5</v>
      </c>
      <c r="E67" s="10" t="str">
        <f t="shared" ref="E67:E130" si="7">IF(OR(G67=380,G67=381,G67=382,G67=383,G67=384,G67=385,G67=386,G67=387,G67=388,G67=389),"pick","")</f>
        <v/>
      </c>
      <c r="F67" s="6">
        <v>1</v>
      </c>
      <c r="G67" s="7">
        <v>231</v>
      </c>
      <c r="H67" s="10" t="str">
        <f ca="1">VLOOKUP($G67,OFFSET([1]characters!$A$2,0,0,COUNTA([1]characters!$A:$A),MATCH(H$1,[1]characters!$2:$2,0)-MATCH($G$1,[1]characters!$2:$2,0)+1),MATCH(H$1,[1]characters!$2:$2,0)-MATCH($G$1,[1]characters!$2:$2,0)+1,FALSE)</f>
        <v>必中の咬銃 ヨルムンガンド</v>
      </c>
      <c r="I67" s="10" t="str">
        <f ca="1">VLOOKUP($G67,OFFSET([1]characters!$A$2,0,0,COUNTA([1]characters!$A:$A),MATCH(I$1,[1]characters!$2:$2,0)-MATCH($G$1,[1]characters!$2:$2,0)+1),MATCH(I$1,[1]characters!$2:$2,0)-MATCH($G$1,[1]characters!$2:$2,0)+1,FALSE)</f>
        <v>PremiumS</v>
      </c>
      <c r="J67" s="10">
        <f ca="1">VLOOKUP($G67,OFFSET([1]characters!$A$2,0,0,COUNTA([1]characters!$A:$A),MATCH(J$1,[1]characters!$2:$2,0)-MATCH($G$1,[1]characters!$2:$2,0)+1),MATCH(J$1,[1]characters!$2:$2,0)-MATCH($G$1,[1]characters!$2:$2,0)+1,FALSE)</f>
        <v>5</v>
      </c>
      <c r="K67" s="10" t="str">
        <f ca="1">VLOOKUP($G67,OFFSET([1]characters!$A$2,0,0,COUNTA([1]characters!$A:$A),MATCH(K$1,[1]characters!$2:$2,0)-MATCH($G$1,[1]characters!$2:$2,0)+1),MATCH(K$1,[1]characters!$2:$2,0)-MATCH($G$1,[1]characters!$2:$2,0)+1,FALSE)</f>
        <v>green</v>
      </c>
      <c r="L67" s="10" t="str">
        <f ca="1">VLOOKUP($G67,OFFSET([1]characters!$A$2,0,0,COUNTA([1]characters!$A:$A),MATCH("タイプ",[1]characters!$1:$1,0)-MATCH($G$1,[1]characters!$2:$2,0)+2),MATCH("タイプ",[1]characters!$1:$1,0)-MATCH($G$1,[1]characters!$2:$2,0)+2,FALSE)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67" s="10" t="str">
        <f ca="1">VLOOKUP($G67,OFFSET([1]characters!$A$2,0,0,COUNTA([1]characters!$A:$A),MATCH($M$1,[1]characters!$1:$1,0)-MATCH($G$1,[1]characters!$2:$2,0)+2),MATCH($M$1,[1]characters!$1:$1,0)-MATCH($G$1,[1]characters!$2:$2,0)+2,FALSE)</f>
        <v>ドラゴン</v>
      </c>
      <c r="N67" s="6">
        <v>1</v>
      </c>
      <c r="O67" s="43">
        <f ca="1">VLOOKUP(D67,gacha_114_base!A:K,11,FALSE)</f>
        <v>8</v>
      </c>
      <c r="P67" s="28">
        <v>0</v>
      </c>
      <c r="Q67" s="28">
        <v>0</v>
      </c>
      <c r="R67" s="28">
        <v>0</v>
      </c>
      <c r="S67" s="28">
        <v>0</v>
      </c>
      <c r="T67" s="28">
        <v>1</v>
      </c>
    </row>
    <row r="68" spans="1:20" ht="21" customHeight="1">
      <c r="A68" s="8" t="str">
        <f t="shared" si="4"/>
        <v>12341</v>
      </c>
      <c r="B68" s="2">
        <v>114</v>
      </c>
      <c r="C68" s="10" t="str">
        <f t="shared" ca="1" si="5"/>
        <v>1PremiumS5</v>
      </c>
      <c r="D68" s="10" t="str">
        <f t="shared" ca="1" si="6"/>
        <v>1PremiumS5</v>
      </c>
      <c r="E68" s="10" t="str">
        <f t="shared" si="7"/>
        <v/>
      </c>
      <c r="F68" s="6">
        <v>1</v>
      </c>
      <c r="G68" s="7">
        <v>234</v>
      </c>
      <c r="H68" s="10" t="str">
        <f ca="1">VLOOKUP($G68,OFFSET([1]characters!$A$2,0,0,COUNTA([1]characters!$A:$A),MATCH(H$1,[1]characters!$2:$2,0)-MATCH($G$1,[1]characters!$2:$2,0)+1),MATCH(H$1,[1]characters!$2:$2,0)-MATCH($G$1,[1]characters!$2:$2,0)+1,FALSE)</f>
        <v>精密なる照準 パーシヴァル</v>
      </c>
      <c r="I68" s="10" t="str">
        <f ca="1">VLOOKUP($G68,OFFSET([1]characters!$A$2,0,0,COUNTA([1]characters!$A:$A),MATCH(I$1,[1]characters!$2:$2,0)-MATCH($G$1,[1]characters!$2:$2,0)+1),MATCH(I$1,[1]characters!$2:$2,0)-MATCH($G$1,[1]characters!$2:$2,0)+1,FALSE)</f>
        <v>PremiumS</v>
      </c>
      <c r="J68" s="10">
        <f ca="1">VLOOKUP($G68,OFFSET([1]characters!$A$2,0,0,COUNTA([1]characters!$A:$A),MATCH(J$1,[1]characters!$2:$2,0)-MATCH($G$1,[1]characters!$2:$2,0)+1),MATCH(J$1,[1]characters!$2:$2,0)-MATCH($G$1,[1]characters!$2:$2,0)+1,FALSE)</f>
        <v>5</v>
      </c>
      <c r="K68" s="10" t="str">
        <f ca="1">VLOOKUP($G68,OFFSET([1]characters!$A$2,0,0,COUNTA([1]characters!$A:$A),MATCH(K$1,[1]characters!$2:$2,0)-MATCH($G$1,[1]characters!$2:$2,0)+1),MATCH(K$1,[1]characters!$2:$2,0)-MATCH($G$1,[1]characters!$2:$2,0)+1,FALSE)</f>
        <v>blue</v>
      </c>
      <c r="L68" s="10" t="str">
        <f ca="1">VLOOKUP($G68,OFFSET([1]characters!$A$2,0,0,COUNTA([1]characters!$A:$A),MATCH("タイプ",[1]characters!$1:$1,0)-MATCH($G$1,[1]characters!$2:$2,0)+2),MATCH("タイプ",[1]characters!$1:$1,0)-MATCH($G$1,[1]characters!$2:$2,0)+2,FALSE)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68" s="10" t="str">
        <f ca="1">VLOOKUP($G68,OFFSET([1]characters!$A$2,0,0,COUNTA([1]characters!$A:$A),MATCH($M$1,[1]characters!$1:$1,0)-MATCH($G$1,[1]characters!$2:$2,0)+2),MATCH($M$1,[1]characters!$1:$1,0)-MATCH($G$1,[1]characters!$2:$2,0)+2,FALSE)</f>
        <v>ヒューマン</v>
      </c>
      <c r="N68" s="6">
        <v>1</v>
      </c>
      <c r="O68" s="43">
        <f ca="1">VLOOKUP(D68,gacha_114_base!A:K,11,FALSE)</f>
        <v>8</v>
      </c>
      <c r="P68" s="28">
        <v>0</v>
      </c>
      <c r="Q68" s="28">
        <v>0</v>
      </c>
      <c r="R68" s="28">
        <v>0</v>
      </c>
      <c r="S68" s="28">
        <v>0</v>
      </c>
      <c r="T68" s="28">
        <v>1</v>
      </c>
    </row>
    <row r="69" spans="1:20" s="26" customFormat="1" ht="21" customHeight="1" thickBot="1">
      <c r="A69" s="22" t="str">
        <f t="shared" si="4"/>
        <v>12371</v>
      </c>
      <c r="B69" s="2">
        <v>114</v>
      </c>
      <c r="C69" s="10" t="str">
        <f t="shared" ca="1" si="5"/>
        <v>1PremiumS5</v>
      </c>
      <c r="D69" s="10" t="str">
        <f t="shared" ca="1" si="6"/>
        <v>1PremiumS5</v>
      </c>
      <c r="E69" s="10" t="str">
        <f t="shared" si="7"/>
        <v/>
      </c>
      <c r="F69" s="6">
        <v>1</v>
      </c>
      <c r="G69" s="7">
        <v>237</v>
      </c>
      <c r="H69" s="10" t="str">
        <f ca="1">VLOOKUP($G69,OFFSET([1]characters!$A$2,0,0,COUNTA([1]characters!$A:$A),MATCH(H$1,[1]characters!$2:$2,0)-MATCH($G$1,[1]characters!$2:$2,0)+1),MATCH(H$1,[1]characters!$2:$2,0)-MATCH($G$1,[1]characters!$2:$2,0)+1,FALSE)</f>
        <v>森羅万象の神母 イザナミ</v>
      </c>
      <c r="I69" s="10" t="str">
        <f ca="1">VLOOKUP($G69,OFFSET([1]characters!$A$2,0,0,COUNTA([1]characters!$A:$A),MATCH(I$1,[1]characters!$2:$2,0)-MATCH($G$1,[1]characters!$2:$2,0)+1),MATCH(I$1,[1]characters!$2:$2,0)-MATCH($G$1,[1]characters!$2:$2,0)+1,FALSE)</f>
        <v>PremiumS</v>
      </c>
      <c r="J69" s="10">
        <f ca="1">VLOOKUP($G69,OFFSET([1]characters!$A$2,0,0,COUNTA([1]characters!$A:$A),MATCH(J$1,[1]characters!$2:$2,0)-MATCH($G$1,[1]characters!$2:$2,0)+1),MATCH(J$1,[1]characters!$2:$2,0)-MATCH($G$1,[1]characters!$2:$2,0)+1,FALSE)</f>
        <v>5</v>
      </c>
      <c r="K69" s="10" t="str">
        <f ca="1">VLOOKUP($G69,OFFSET([1]characters!$A$2,0,0,COUNTA([1]characters!$A:$A),MATCH(K$1,[1]characters!$2:$2,0)-MATCH($G$1,[1]characters!$2:$2,0)+1),MATCH(K$1,[1]characters!$2:$2,0)-MATCH($G$1,[1]characters!$2:$2,0)+1,FALSE)</f>
        <v>yellow</v>
      </c>
      <c r="L69" s="10" t="str">
        <f ca="1">VLOOKUP($G69,OFFSET([1]characters!$A$2,0,0,COUNTA([1]characters!$A:$A),MATCH("タイプ",[1]characters!$1:$1,0)-MATCH($G$1,[1]characters!$2:$2,0)+2),MATCH("タイプ",[1]characters!$1:$1,0)-MATCH($G$1,[1]characters!$2:$2,0)+2,FALSE)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69" s="10" t="str">
        <f ca="1">VLOOKUP($G69,OFFSET([1]characters!$A$2,0,0,COUNTA([1]characters!$A:$A),MATCH($M$1,[1]characters!$1:$1,0)-MATCH($G$1,[1]characters!$2:$2,0)+2),MATCH($M$1,[1]characters!$1:$1,0)-MATCH($G$1,[1]characters!$2:$2,0)+2,FALSE)</f>
        <v>ゴッド</v>
      </c>
      <c r="N69" s="6">
        <v>1</v>
      </c>
      <c r="O69" s="43">
        <f ca="1">VLOOKUP(D69,gacha_114_base!A:K,11,FALSE)</f>
        <v>8</v>
      </c>
      <c r="P69" s="28">
        <v>0</v>
      </c>
      <c r="Q69" s="28">
        <v>0</v>
      </c>
      <c r="R69" s="28">
        <v>0</v>
      </c>
      <c r="S69" s="28">
        <v>0</v>
      </c>
      <c r="T69" s="28">
        <v>1</v>
      </c>
    </row>
    <row r="70" spans="1:20" ht="21" customHeight="1">
      <c r="A70" s="8" t="str">
        <f t="shared" si="4"/>
        <v>12391</v>
      </c>
      <c r="B70" s="2">
        <v>114</v>
      </c>
      <c r="C70" s="10" t="str">
        <f t="shared" ca="1" si="5"/>
        <v>1PremiumS4</v>
      </c>
      <c r="D70" s="10" t="str">
        <f t="shared" ca="1" si="6"/>
        <v>1PremiumS4</v>
      </c>
      <c r="E70" s="10" t="str">
        <f t="shared" si="7"/>
        <v/>
      </c>
      <c r="F70" s="6">
        <v>1</v>
      </c>
      <c r="G70" s="19">
        <v>239</v>
      </c>
      <c r="H70" s="10" t="str">
        <f ca="1">VLOOKUP($G70,OFFSET([1]characters!$A$2,0,0,COUNTA([1]characters!$A:$A),MATCH(H$1,[1]characters!$2:$2,0)-MATCH($G$1,[1]characters!$2:$2,0)+1),MATCH(H$1,[1]characters!$2:$2,0)-MATCH($G$1,[1]characters!$2:$2,0)+1,FALSE)</f>
        <v>豪炎の天使 ウリエル</v>
      </c>
      <c r="I70" s="10" t="str">
        <f ca="1">VLOOKUP($G70,OFFSET([1]characters!$A$2,0,0,COUNTA([1]characters!$A:$A),MATCH(I$1,[1]characters!$2:$2,0)-MATCH($G$1,[1]characters!$2:$2,0)+1),MATCH(I$1,[1]characters!$2:$2,0)-MATCH($G$1,[1]characters!$2:$2,0)+1,FALSE)</f>
        <v>PremiumS</v>
      </c>
      <c r="J70" s="10">
        <f ca="1">VLOOKUP($G70,OFFSET([1]characters!$A$2,0,0,COUNTA([1]characters!$A:$A),MATCH(J$1,[1]characters!$2:$2,0)-MATCH($G$1,[1]characters!$2:$2,0)+1),MATCH(J$1,[1]characters!$2:$2,0)-MATCH($G$1,[1]characters!$2:$2,0)+1,FALSE)</f>
        <v>4</v>
      </c>
      <c r="K70" s="10" t="str">
        <f ca="1">VLOOKUP($G70,OFFSET([1]characters!$A$2,0,0,COUNTA([1]characters!$A:$A),MATCH(K$1,[1]characters!$2:$2,0)-MATCH($G$1,[1]characters!$2:$2,0)+1),MATCH(K$1,[1]characters!$2:$2,0)-MATCH($G$1,[1]characters!$2:$2,0)+1,FALSE)</f>
        <v>red</v>
      </c>
      <c r="L70" s="10" t="str">
        <f ca="1">VLOOKUP($G70,OFFSET([1]characters!$A$2,0,0,COUNTA([1]characters!$A:$A),MATCH("タイプ",[1]characters!$1:$1,0)-MATCH($G$1,[1]characters!$2:$2,0)+2),MATCH("タイプ",[1]characters!$1:$1,0)-MATCH($G$1,[1]characters!$2:$2,0)+2,FALSE)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70" s="10" t="str">
        <f ca="1">VLOOKUP($G70,OFFSET([1]characters!$A$2,0,0,COUNTA([1]characters!$A:$A),MATCH($M$1,[1]characters!$1:$1,0)-MATCH($G$1,[1]characters!$2:$2,0)+2),MATCH($M$1,[1]characters!$1:$1,0)-MATCH($G$1,[1]characters!$2:$2,0)+2,FALSE)</f>
        <v>マシン</v>
      </c>
      <c r="N70" s="6">
        <v>1</v>
      </c>
      <c r="O70" s="43">
        <f ca="1">VLOOKUP(D70,gacha_114_base!A:K,11,FALSE)</f>
        <v>200</v>
      </c>
      <c r="P70" s="28">
        <v>0</v>
      </c>
      <c r="Q70" s="28">
        <v>0</v>
      </c>
      <c r="R70" s="28">
        <v>0</v>
      </c>
      <c r="S70" s="28">
        <v>0</v>
      </c>
      <c r="T70" s="28">
        <v>1</v>
      </c>
    </row>
    <row r="71" spans="1:20" ht="21" customHeight="1">
      <c r="A71" s="8" t="str">
        <f t="shared" si="4"/>
        <v>12401</v>
      </c>
      <c r="B71" s="2">
        <v>114</v>
      </c>
      <c r="C71" s="10" t="str">
        <f t="shared" ca="1" si="5"/>
        <v>1PremiumS5</v>
      </c>
      <c r="D71" s="10" t="str">
        <f t="shared" ca="1" si="6"/>
        <v>1PremiumS5</v>
      </c>
      <c r="E71" s="10" t="str">
        <f t="shared" si="7"/>
        <v/>
      </c>
      <c r="F71" s="6">
        <v>1</v>
      </c>
      <c r="G71" s="19">
        <v>240</v>
      </c>
      <c r="H71" s="10" t="str">
        <f ca="1">VLOOKUP($G71,OFFSET([1]characters!$A$2,0,0,COUNTA([1]characters!$A:$A),MATCH(H$1,[1]characters!$2:$2,0)-MATCH($G$1,[1]characters!$2:$2,0)+1),MATCH(H$1,[1]characters!$2:$2,0)-MATCH($G$1,[1]characters!$2:$2,0)+1,FALSE)</f>
        <v>轟炎の天使 ウリエル・スレイヤー</v>
      </c>
      <c r="I71" s="10" t="str">
        <f ca="1">VLOOKUP($G71,OFFSET([1]characters!$A$2,0,0,COUNTA([1]characters!$A:$A),MATCH(I$1,[1]characters!$2:$2,0)-MATCH($G$1,[1]characters!$2:$2,0)+1),MATCH(I$1,[1]characters!$2:$2,0)-MATCH($G$1,[1]characters!$2:$2,0)+1,FALSE)</f>
        <v>PremiumS</v>
      </c>
      <c r="J71" s="10">
        <f ca="1">VLOOKUP($G71,OFFSET([1]characters!$A$2,0,0,COUNTA([1]characters!$A:$A),MATCH(J$1,[1]characters!$2:$2,0)-MATCH($G$1,[1]characters!$2:$2,0)+1),MATCH(J$1,[1]characters!$2:$2,0)-MATCH($G$1,[1]characters!$2:$2,0)+1,FALSE)</f>
        <v>5</v>
      </c>
      <c r="K71" s="10" t="str">
        <f ca="1">VLOOKUP($G71,OFFSET([1]characters!$A$2,0,0,COUNTA([1]characters!$A:$A),MATCH(K$1,[1]characters!$2:$2,0)-MATCH($G$1,[1]characters!$2:$2,0)+1),MATCH(K$1,[1]characters!$2:$2,0)-MATCH($G$1,[1]characters!$2:$2,0)+1,FALSE)</f>
        <v>red</v>
      </c>
      <c r="L71" s="10" t="str">
        <f ca="1">VLOOKUP($G71,OFFSET([1]characters!$A$2,0,0,COUNTA([1]characters!$A:$A),MATCH("タイプ",[1]characters!$1:$1,0)-MATCH($G$1,[1]characters!$2:$2,0)+2),MATCH("タイプ",[1]characters!$1:$1,0)-MATCH($G$1,[1]characters!$2:$2,0)+2,FALSE)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71" s="10" t="str">
        <f ca="1">VLOOKUP($G71,OFFSET([1]characters!$A$2,0,0,COUNTA([1]characters!$A:$A),MATCH($M$1,[1]characters!$1:$1,0)-MATCH($G$1,[1]characters!$2:$2,0)+2),MATCH($M$1,[1]characters!$1:$1,0)-MATCH($G$1,[1]characters!$2:$2,0)+2,FALSE)</f>
        <v>マシン</v>
      </c>
      <c r="N71" s="6">
        <v>1</v>
      </c>
      <c r="O71" s="43">
        <f ca="1">VLOOKUP(D71,gacha_114_base!A:K,11,FALSE)</f>
        <v>8</v>
      </c>
      <c r="P71" s="28">
        <v>0</v>
      </c>
      <c r="Q71" s="28">
        <v>0</v>
      </c>
      <c r="R71" s="28">
        <v>0</v>
      </c>
      <c r="S71" s="28">
        <v>0</v>
      </c>
      <c r="T71" s="28">
        <v>1</v>
      </c>
    </row>
    <row r="72" spans="1:20" ht="21" customHeight="1">
      <c r="A72" s="8" t="str">
        <f t="shared" si="4"/>
        <v>12421</v>
      </c>
      <c r="B72" s="2">
        <v>114</v>
      </c>
      <c r="C72" s="10" t="str">
        <f t="shared" ca="1" si="5"/>
        <v>1PremiumS4</v>
      </c>
      <c r="D72" s="10" t="str">
        <f t="shared" ca="1" si="6"/>
        <v>1PremiumS4</v>
      </c>
      <c r="E72" s="10" t="str">
        <f t="shared" si="7"/>
        <v/>
      </c>
      <c r="F72" s="6">
        <v>1</v>
      </c>
      <c r="G72" s="19">
        <v>242</v>
      </c>
      <c r="H72" s="10" t="str">
        <f ca="1">VLOOKUP($G72,OFFSET([1]characters!$A$2,0,0,COUNTA([1]characters!$A:$A),MATCH(H$1,[1]characters!$2:$2,0)-MATCH($G$1,[1]characters!$2:$2,0)+1),MATCH(H$1,[1]characters!$2:$2,0)-MATCH($G$1,[1]characters!$2:$2,0)+1,FALSE)</f>
        <v>百花の天使 ガブリエル</v>
      </c>
      <c r="I72" s="10" t="str">
        <f ca="1">VLOOKUP($G72,OFFSET([1]characters!$A$2,0,0,COUNTA([1]characters!$A:$A),MATCH(I$1,[1]characters!$2:$2,0)-MATCH($G$1,[1]characters!$2:$2,0)+1),MATCH(I$1,[1]characters!$2:$2,0)-MATCH($G$1,[1]characters!$2:$2,0)+1,FALSE)</f>
        <v>PremiumS</v>
      </c>
      <c r="J72" s="10">
        <f ca="1">VLOOKUP($G72,OFFSET([1]characters!$A$2,0,0,COUNTA([1]characters!$A:$A),MATCH(J$1,[1]characters!$2:$2,0)-MATCH($G$1,[1]characters!$2:$2,0)+1),MATCH(J$1,[1]characters!$2:$2,0)-MATCH($G$1,[1]characters!$2:$2,0)+1,FALSE)</f>
        <v>4</v>
      </c>
      <c r="K72" s="10" t="str">
        <f ca="1">VLOOKUP($G72,OFFSET([1]characters!$A$2,0,0,COUNTA([1]characters!$A:$A),MATCH(K$1,[1]characters!$2:$2,0)-MATCH($G$1,[1]characters!$2:$2,0)+1),MATCH(K$1,[1]characters!$2:$2,0)-MATCH($G$1,[1]characters!$2:$2,0)+1,FALSE)</f>
        <v>green</v>
      </c>
      <c r="L72" s="10" t="str">
        <f ca="1">VLOOKUP($G72,OFFSET([1]characters!$A$2,0,0,COUNTA([1]characters!$A:$A),MATCH("タイプ",[1]characters!$1:$1,0)-MATCH($G$1,[1]characters!$2:$2,0)+2),MATCH("タイプ",[1]characters!$1:$1,0)-MATCH($G$1,[1]characters!$2:$2,0)+2,FALSE)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72" s="10" t="str">
        <f ca="1">VLOOKUP($G72,OFFSET([1]characters!$A$2,0,0,COUNTA([1]characters!$A:$A),MATCH($M$1,[1]characters!$1:$1,0)-MATCH($G$1,[1]characters!$2:$2,0)+2),MATCH($M$1,[1]characters!$1:$1,0)-MATCH($G$1,[1]characters!$2:$2,0)+2,FALSE)</f>
        <v>マシン</v>
      </c>
      <c r="N72" s="6">
        <v>1</v>
      </c>
      <c r="O72" s="43">
        <f ca="1">VLOOKUP(D72,gacha_114_base!A:K,11,FALSE)</f>
        <v>200</v>
      </c>
      <c r="P72" s="28">
        <v>0</v>
      </c>
      <c r="Q72" s="28">
        <v>0</v>
      </c>
      <c r="R72" s="28">
        <v>0</v>
      </c>
      <c r="S72" s="28">
        <v>0</v>
      </c>
      <c r="T72" s="28">
        <v>1</v>
      </c>
    </row>
    <row r="73" spans="1:20" ht="21" customHeight="1">
      <c r="A73" s="8" t="str">
        <f t="shared" si="4"/>
        <v>12431</v>
      </c>
      <c r="B73" s="2">
        <v>114</v>
      </c>
      <c r="C73" s="10" t="str">
        <f t="shared" ca="1" si="5"/>
        <v>1PremiumS5</v>
      </c>
      <c r="D73" s="10" t="str">
        <f t="shared" ca="1" si="6"/>
        <v>1PremiumS5</v>
      </c>
      <c r="E73" s="10" t="str">
        <f t="shared" si="7"/>
        <v/>
      </c>
      <c r="F73" s="6">
        <v>1</v>
      </c>
      <c r="G73" s="19">
        <v>243</v>
      </c>
      <c r="H73" s="10" t="str">
        <f ca="1">VLOOKUP($G73,OFFSET([1]characters!$A$2,0,0,COUNTA([1]characters!$A:$A),MATCH(H$1,[1]characters!$2:$2,0)-MATCH($G$1,[1]characters!$2:$2,0)+1),MATCH(H$1,[1]characters!$2:$2,0)-MATCH($G$1,[1]characters!$2:$2,0)+1,FALSE)</f>
        <v>万花の天使 ガブリエル・ブルーム</v>
      </c>
      <c r="I73" s="10" t="str">
        <f ca="1">VLOOKUP($G73,OFFSET([1]characters!$A$2,0,0,COUNTA([1]characters!$A:$A),MATCH(I$1,[1]characters!$2:$2,0)-MATCH($G$1,[1]characters!$2:$2,0)+1),MATCH(I$1,[1]characters!$2:$2,0)-MATCH($G$1,[1]characters!$2:$2,0)+1,FALSE)</f>
        <v>PremiumS</v>
      </c>
      <c r="J73" s="10">
        <f ca="1">VLOOKUP($G73,OFFSET([1]characters!$A$2,0,0,COUNTA([1]characters!$A:$A),MATCH(J$1,[1]characters!$2:$2,0)-MATCH($G$1,[1]characters!$2:$2,0)+1),MATCH(J$1,[1]characters!$2:$2,0)-MATCH($G$1,[1]characters!$2:$2,0)+1,FALSE)</f>
        <v>5</v>
      </c>
      <c r="K73" s="10" t="str">
        <f ca="1">VLOOKUP($G73,OFFSET([1]characters!$A$2,0,0,COUNTA([1]characters!$A:$A),MATCH(K$1,[1]characters!$2:$2,0)-MATCH($G$1,[1]characters!$2:$2,0)+1),MATCH(K$1,[1]characters!$2:$2,0)-MATCH($G$1,[1]characters!$2:$2,0)+1,FALSE)</f>
        <v>green</v>
      </c>
      <c r="L73" s="10" t="str">
        <f ca="1">VLOOKUP($G73,OFFSET([1]characters!$A$2,0,0,COUNTA([1]characters!$A:$A),MATCH("タイプ",[1]characters!$1:$1,0)-MATCH($G$1,[1]characters!$2:$2,0)+2),MATCH("タイプ",[1]characters!$1:$1,0)-MATCH($G$1,[1]characters!$2:$2,0)+2,FALSE)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73" s="10" t="str">
        <f ca="1">VLOOKUP($G73,OFFSET([1]characters!$A$2,0,0,COUNTA([1]characters!$A:$A),MATCH($M$1,[1]characters!$1:$1,0)-MATCH($G$1,[1]characters!$2:$2,0)+2),MATCH($M$1,[1]characters!$1:$1,0)-MATCH($G$1,[1]characters!$2:$2,0)+2,FALSE)</f>
        <v>マシン</v>
      </c>
      <c r="N73" s="6">
        <v>1</v>
      </c>
      <c r="O73" s="43">
        <f ca="1">VLOOKUP(D73,gacha_114_base!A:K,11,FALSE)</f>
        <v>8</v>
      </c>
      <c r="P73" s="28">
        <v>0</v>
      </c>
      <c r="Q73" s="28">
        <v>0</v>
      </c>
      <c r="R73" s="28">
        <v>0</v>
      </c>
      <c r="S73" s="28">
        <v>0</v>
      </c>
      <c r="T73" s="28">
        <v>1</v>
      </c>
    </row>
    <row r="74" spans="1:20" ht="21" customHeight="1">
      <c r="A74" s="8" t="str">
        <f t="shared" si="4"/>
        <v>12451</v>
      </c>
      <c r="B74" s="2">
        <v>114</v>
      </c>
      <c r="C74" s="10" t="str">
        <f t="shared" ca="1" si="5"/>
        <v>1PremiumS4</v>
      </c>
      <c r="D74" s="10" t="str">
        <f t="shared" ca="1" si="6"/>
        <v>1PremiumS4</v>
      </c>
      <c r="E74" s="10" t="str">
        <f t="shared" si="7"/>
        <v/>
      </c>
      <c r="F74" s="6">
        <v>1</v>
      </c>
      <c r="G74" s="19">
        <v>245</v>
      </c>
      <c r="H74" s="10" t="str">
        <f ca="1">VLOOKUP($G74,OFFSET([1]characters!$A$2,0,0,COUNTA([1]characters!$A:$A),MATCH(H$1,[1]characters!$2:$2,0)-MATCH($G$1,[1]characters!$2:$2,0)+1),MATCH(H$1,[1]characters!$2:$2,0)-MATCH($G$1,[1]characters!$2:$2,0)+1,FALSE)</f>
        <v>鎮癒の天使 ラファエル</v>
      </c>
      <c r="I74" s="10" t="str">
        <f ca="1">VLOOKUP($G74,OFFSET([1]characters!$A$2,0,0,COUNTA([1]characters!$A:$A),MATCH(I$1,[1]characters!$2:$2,0)-MATCH($G$1,[1]characters!$2:$2,0)+1),MATCH(I$1,[1]characters!$2:$2,0)-MATCH($G$1,[1]characters!$2:$2,0)+1,FALSE)</f>
        <v>PremiumS</v>
      </c>
      <c r="J74" s="10">
        <f ca="1">VLOOKUP($G74,OFFSET([1]characters!$A$2,0,0,COUNTA([1]characters!$A:$A),MATCH(J$1,[1]characters!$2:$2,0)-MATCH($G$1,[1]characters!$2:$2,0)+1),MATCH(J$1,[1]characters!$2:$2,0)-MATCH($G$1,[1]characters!$2:$2,0)+1,FALSE)</f>
        <v>4</v>
      </c>
      <c r="K74" s="10" t="str">
        <f ca="1">VLOOKUP($G74,OFFSET([1]characters!$A$2,0,0,COUNTA([1]characters!$A:$A),MATCH(K$1,[1]characters!$2:$2,0)-MATCH($G$1,[1]characters!$2:$2,0)+1),MATCH(K$1,[1]characters!$2:$2,0)-MATCH($G$1,[1]characters!$2:$2,0)+1,FALSE)</f>
        <v>blue</v>
      </c>
      <c r="L74" s="10" t="str">
        <f ca="1">VLOOKUP($G74,OFFSET([1]characters!$A$2,0,0,COUNTA([1]characters!$A:$A),MATCH("タイプ",[1]characters!$1:$1,0)-MATCH($G$1,[1]characters!$2:$2,0)+2),MATCH("タイプ",[1]characters!$1:$1,0)-MATCH($G$1,[1]characters!$2:$2,0)+2,FALSE)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74" s="10" t="str">
        <f ca="1">VLOOKUP($G74,OFFSET([1]characters!$A$2,0,0,COUNTA([1]characters!$A:$A),MATCH($M$1,[1]characters!$1:$1,0)-MATCH($G$1,[1]characters!$2:$2,0)+2),MATCH($M$1,[1]characters!$1:$1,0)-MATCH($G$1,[1]characters!$2:$2,0)+2,FALSE)</f>
        <v>マシン</v>
      </c>
      <c r="N74" s="6">
        <v>1</v>
      </c>
      <c r="O74" s="43">
        <f ca="1">VLOOKUP(D74,gacha_114_base!A:K,11,FALSE)</f>
        <v>200</v>
      </c>
      <c r="P74" s="28">
        <v>0</v>
      </c>
      <c r="Q74" s="28">
        <v>0</v>
      </c>
      <c r="R74" s="28">
        <v>0</v>
      </c>
      <c r="S74" s="28">
        <v>0</v>
      </c>
      <c r="T74" s="28">
        <v>1</v>
      </c>
    </row>
    <row r="75" spans="1:20" ht="21" customHeight="1">
      <c r="A75" s="8" t="str">
        <f t="shared" si="4"/>
        <v>12461</v>
      </c>
      <c r="B75" s="2">
        <v>114</v>
      </c>
      <c r="C75" s="10" t="str">
        <f t="shared" ca="1" si="5"/>
        <v>1PremiumS5</v>
      </c>
      <c r="D75" s="10" t="str">
        <f t="shared" ca="1" si="6"/>
        <v>1PremiumS5</v>
      </c>
      <c r="E75" s="10" t="str">
        <f t="shared" si="7"/>
        <v/>
      </c>
      <c r="F75" s="6">
        <v>1</v>
      </c>
      <c r="G75" s="19">
        <v>246</v>
      </c>
      <c r="H75" s="10" t="str">
        <f ca="1">VLOOKUP($G75,OFFSET([1]characters!$A$2,0,0,COUNTA([1]characters!$A:$A),MATCH(H$1,[1]characters!$2:$2,0)-MATCH($G$1,[1]characters!$2:$2,0)+1),MATCH(H$1,[1]characters!$2:$2,0)-MATCH($G$1,[1]characters!$2:$2,0)+1,FALSE)</f>
        <v>真癒の天使 ラファエル・メディカ</v>
      </c>
      <c r="I75" s="10" t="str">
        <f ca="1">VLOOKUP($G75,OFFSET([1]characters!$A$2,0,0,COUNTA([1]characters!$A:$A),MATCH(I$1,[1]characters!$2:$2,0)-MATCH($G$1,[1]characters!$2:$2,0)+1),MATCH(I$1,[1]characters!$2:$2,0)-MATCH($G$1,[1]characters!$2:$2,0)+1,FALSE)</f>
        <v>PremiumS</v>
      </c>
      <c r="J75" s="10">
        <f ca="1">VLOOKUP($G75,OFFSET([1]characters!$A$2,0,0,COUNTA([1]characters!$A:$A),MATCH(J$1,[1]characters!$2:$2,0)-MATCH($G$1,[1]characters!$2:$2,0)+1),MATCH(J$1,[1]characters!$2:$2,0)-MATCH($G$1,[1]characters!$2:$2,0)+1,FALSE)</f>
        <v>5</v>
      </c>
      <c r="K75" s="10" t="str">
        <f ca="1">VLOOKUP($G75,OFFSET([1]characters!$A$2,0,0,COUNTA([1]characters!$A:$A),MATCH(K$1,[1]characters!$2:$2,0)-MATCH($G$1,[1]characters!$2:$2,0)+1),MATCH(K$1,[1]characters!$2:$2,0)-MATCH($G$1,[1]characters!$2:$2,0)+1,FALSE)</f>
        <v>blue</v>
      </c>
      <c r="L75" s="10" t="str">
        <f ca="1">VLOOKUP($G75,OFFSET([1]characters!$A$2,0,0,COUNTA([1]characters!$A:$A),MATCH("タイプ",[1]characters!$1:$1,0)-MATCH($G$1,[1]characters!$2:$2,0)+2),MATCH("タイプ",[1]characters!$1:$1,0)-MATCH($G$1,[1]characters!$2:$2,0)+2,FALSE)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75" s="10" t="str">
        <f ca="1">VLOOKUP($G75,OFFSET([1]characters!$A$2,0,0,COUNTA([1]characters!$A:$A),MATCH($M$1,[1]characters!$1:$1,0)-MATCH($G$1,[1]characters!$2:$2,0)+2),MATCH($M$1,[1]characters!$1:$1,0)-MATCH($G$1,[1]characters!$2:$2,0)+2,FALSE)</f>
        <v>マシン</v>
      </c>
      <c r="N75" s="6">
        <v>1</v>
      </c>
      <c r="O75" s="43">
        <f ca="1">VLOOKUP(D75,gacha_114_base!A:K,11,FALSE)</f>
        <v>8</v>
      </c>
      <c r="P75" s="28">
        <v>0</v>
      </c>
      <c r="Q75" s="28">
        <v>0</v>
      </c>
      <c r="R75" s="28">
        <v>0</v>
      </c>
      <c r="S75" s="28">
        <v>0</v>
      </c>
      <c r="T75" s="28">
        <v>1</v>
      </c>
    </row>
    <row r="76" spans="1:20" ht="21" customHeight="1">
      <c r="A76" s="8" t="str">
        <f t="shared" si="4"/>
        <v>12481</v>
      </c>
      <c r="B76" s="2">
        <v>114</v>
      </c>
      <c r="C76" s="10" t="str">
        <f t="shared" ca="1" si="5"/>
        <v>1PremiumS4</v>
      </c>
      <c r="D76" s="10" t="str">
        <f t="shared" ca="1" si="6"/>
        <v>1PremiumS4</v>
      </c>
      <c r="E76" s="10" t="str">
        <f t="shared" si="7"/>
        <v/>
      </c>
      <c r="F76" s="6">
        <v>1</v>
      </c>
      <c r="G76" s="19">
        <v>248</v>
      </c>
      <c r="H76" s="10" t="str">
        <f ca="1">VLOOKUP($G76,OFFSET([1]characters!$A$2,0,0,COUNTA([1]characters!$A:$A),MATCH(H$1,[1]characters!$2:$2,0)-MATCH($G$1,[1]characters!$2:$2,0)+1),MATCH(H$1,[1]characters!$2:$2,0)-MATCH($G$1,[1]characters!$2:$2,0)+1,FALSE)</f>
        <v>彩電の天使 ミカエル</v>
      </c>
      <c r="I76" s="10" t="str">
        <f ca="1">VLOOKUP($G76,OFFSET([1]characters!$A$2,0,0,COUNTA([1]characters!$A:$A),MATCH(I$1,[1]characters!$2:$2,0)-MATCH($G$1,[1]characters!$2:$2,0)+1),MATCH(I$1,[1]characters!$2:$2,0)-MATCH($G$1,[1]characters!$2:$2,0)+1,FALSE)</f>
        <v>PremiumS</v>
      </c>
      <c r="J76" s="10">
        <f ca="1">VLOOKUP($G76,OFFSET([1]characters!$A$2,0,0,COUNTA([1]characters!$A:$A),MATCH(J$1,[1]characters!$2:$2,0)-MATCH($G$1,[1]characters!$2:$2,0)+1),MATCH(J$1,[1]characters!$2:$2,0)-MATCH($G$1,[1]characters!$2:$2,0)+1,FALSE)</f>
        <v>4</v>
      </c>
      <c r="K76" s="10" t="str">
        <f ca="1">VLOOKUP($G76,OFFSET([1]characters!$A$2,0,0,COUNTA([1]characters!$A:$A),MATCH(K$1,[1]characters!$2:$2,0)-MATCH($G$1,[1]characters!$2:$2,0)+1),MATCH(K$1,[1]characters!$2:$2,0)-MATCH($G$1,[1]characters!$2:$2,0)+1,FALSE)</f>
        <v>yellow</v>
      </c>
      <c r="L76" s="10" t="str">
        <f ca="1">VLOOKUP($G76,OFFSET([1]characters!$A$2,0,0,COUNTA([1]characters!$A:$A),MATCH("タイプ",[1]characters!$1:$1,0)-MATCH($G$1,[1]characters!$2:$2,0)+2),MATCH("タイプ",[1]characters!$1:$1,0)-MATCH($G$1,[1]characters!$2:$2,0)+2,FALSE)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76" s="10" t="str">
        <f ca="1">VLOOKUP($G76,OFFSET([1]characters!$A$2,0,0,COUNTA([1]characters!$A:$A),MATCH($M$1,[1]characters!$1:$1,0)-MATCH($G$1,[1]characters!$2:$2,0)+2),MATCH($M$1,[1]characters!$1:$1,0)-MATCH($G$1,[1]characters!$2:$2,0)+2,FALSE)</f>
        <v>マシン</v>
      </c>
      <c r="N76" s="6">
        <v>1</v>
      </c>
      <c r="O76" s="43">
        <f ca="1">VLOOKUP(D76,gacha_114_base!A:K,11,FALSE)</f>
        <v>200</v>
      </c>
      <c r="P76" s="28">
        <v>0</v>
      </c>
      <c r="Q76" s="28">
        <v>0</v>
      </c>
      <c r="R76" s="28">
        <v>0</v>
      </c>
      <c r="S76" s="28">
        <v>0</v>
      </c>
      <c r="T76" s="28">
        <v>1</v>
      </c>
    </row>
    <row r="77" spans="1:20" s="26" customFormat="1" ht="21" customHeight="1" thickBot="1">
      <c r="A77" s="22" t="str">
        <f t="shared" si="4"/>
        <v>12491</v>
      </c>
      <c r="B77" s="2">
        <v>114</v>
      </c>
      <c r="C77" s="10" t="str">
        <f t="shared" ca="1" si="5"/>
        <v>1PremiumS5</v>
      </c>
      <c r="D77" s="10" t="str">
        <f t="shared" ca="1" si="6"/>
        <v>1PremiumS5</v>
      </c>
      <c r="E77" s="10" t="str">
        <f t="shared" si="7"/>
        <v/>
      </c>
      <c r="F77" s="6">
        <v>1</v>
      </c>
      <c r="G77" s="19">
        <v>249</v>
      </c>
      <c r="H77" s="10" t="str">
        <f ca="1">VLOOKUP($G77,OFFSET([1]characters!$A$2,0,0,COUNTA([1]characters!$A:$A),MATCH(H$1,[1]characters!$2:$2,0)-MATCH($G$1,[1]characters!$2:$2,0)+1),MATCH(H$1,[1]characters!$2:$2,0)-MATCH($G$1,[1]characters!$2:$2,0)+1,FALSE)</f>
        <v>雷電の天使 ミカエル・ゲイナー</v>
      </c>
      <c r="I77" s="10" t="str">
        <f ca="1">VLOOKUP($G77,OFFSET([1]characters!$A$2,0,0,COUNTA([1]characters!$A:$A),MATCH(I$1,[1]characters!$2:$2,0)-MATCH($G$1,[1]characters!$2:$2,0)+1),MATCH(I$1,[1]characters!$2:$2,0)-MATCH($G$1,[1]characters!$2:$2,0)+1,FALSE)</f>
        <v>PremiumS</v>
      </c>
      <c r="J77" s="10">
        <f ca="1">VLOOKUP($G77,OFFSET([1]characters!$A$2,0,0,COUNTA([1]characters!$A:$A),MATCH(J$1,[1]characters!$2:$2,0)-MATCH($G$1,[1]characters!$2:$2,0)+1),MATCH(J$1,[1]characters!$2:$2,0)-MATCH($G$1,[1]characters!$2:$2,0)+1,FALSE)</f>
        <v>5</v>
      </c>
      <c r="K77" s="10" t="str">
        <f ca="1">VLOOKUP($G77,OFFSET([1]characters!$A$2,0,0,COUNTA([1]characters!$A:$A),MATCH(K$1,[1]characters!$2:$2,0)-MATCH($G$1,[1]characters!$2:$2,0)+1),MATCH(K$1,[1]characters!$2:$2,0)-MATCH($G$1,[1]characters!$2:$2,0)+1,FALSE)</f>
        <v>yellow</v>
      </c>
      <c r="L77" s="10" t="str">
        <f ca="1">VLOOKUP($G77,OFFSET([1]characters!$A$2,0,0,COUNTA([1]characters!$A:$A),MATCH("タイプ",[1]characters!$1:$1,0)-MATCH($G$1,[1]characters!$2:$2,0)+2),MATCH("タイプ",[1]characters!$1:$1,0)-MATCH($G$1,[1]characters!$2:$2,0)+2,FALSE)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77" s="10" t="str">
        <f ca="1">VLOOKUP($G77,OFFSET([1]characters!$A$2,0,0,COUNTA([1]characters!$A:$A),MATCH($M$1,[1]characters!$1:$1,0)-MATCH($G$1,[1]characters!$2:$2,0)+2),MATCH($M$1,[1]characters!$1:$1,0)-MATCH($G$1,[1]characters!$2:$2,0)+2,FALSE)</f>
        <v>マシン</v>
      </c>
      <c r="N77" s="6">
        <v>1</v>
      </c>
      <c r="O77" s="43">
        <f ca="1">VLOOKUP(D77,gacha_114_base!A:K,11,FALSE)</f>
        <v>8</v>
      </c>
      <c r="P77" s="28">
        <v>0</v>
      </c>
      <c r="Q77" s="28">
        <v>0</v>
      </c>
      <c r="R77" s="28">
        <v>0</v>
      </c>
      <c r="S77" s="28">
        <v>0</v>
      </c>
      <c r="T77" s="28">
        <v>1</v>
      </c>
    </row>
    <row r="78" spans="1:20" ht="21" customHeight="1" thickBot="1">
      <c r="A78" s="22" t="str">
        <f t="shared" si="4"/>
        <v>12511</v>
      </c>
      <c r="B78" s="2">
        <v>114</v>
      </c>
      <c r="C78" s="10" t="str">
        <f t="shared" ca="1" si="5"/>
        <v>1PremiumS4</v>
      </c>
      <c r="D78" s="10" t="str">
        <f t="shared" ca="1" si="6"/>
        <v>1PremiumS4</v>
      </c>
      <c r="E78" s="10" t="str">
        <f t="shared" si="7"/>
        <v/>
      </c>
      <c r="F78" s="6">
        <v>1</v>
      </c>
      <c r="G78" s="7">
        <v>251</v>
      </c>
      <c r="H78" s="10" t="str">
        <f ca="1">VLOOKUP($G78,OFFSET([1]characters!$A$2,0,0,COUNTA([1]characters!$A:$A),MATCH(H$1,[1]characters!$2:$2,0)-MATCH($G$1,[1]characters!$2:$2,0)+1),MATCH(H$1,[1]characters!$2:$2,0)-MATCH($G$1,[1]characters!$2:$2,0)+1,FALSE)</f>
        <v>強欲 マンモン</v>
      </c>
      <c r="I78" s="10" t="str">
        <f ca="1">VLOOKUP($G78,OFFSET([1]characters!$A$2,0,0,COUNTA([1]characters!$A:$A),MATCH(I$1,[1]characters!$2:$2,0)-MATCH($G$1,[1]characters!$2:$2,0)+1),MATCH(I$1,[1]characters!$2:$2,0)-MATCH($G$1,[1]characters!$2:$2,0)+1,FALSE)</f>
        <v>PremiumS</v>
      </c>
      <c r="J78" s="10">
        <f ca="1">VLOOKUP($G78,OFFSET([1]characters!$A$2,0,0,COUNTA([1]characters!$A:$A),MATCH(J$1,[1]characters!$2:$2,0)-MATCH($G$1,[1]characters!$2:$2,0)+1),MATCH(J$1,[1]characters!$2:$2,0)-MATCH($G$1,[1]characters!$2:$2,0)+1,FALSE)</f>
        <v>4</v>
      </c>
      <c r="K78" s="10" t="str">
        <f ca="1">VLOOKUP($G78,OFFSET([1]characters!$A$2,0,0,COUNTA([1]characters!$A:$A),MATCH(K$1,[1]characters!$2:$2,0)-MATCH($G$1,[1]characters!$2:$2,0)+1),MATCH(K$1,[1]characters!$2:$2,0)-MATCH($G$1,[1]characters!$2:$2,0)+1,FALSE)</f>
        <v>red</v>
      </c>
      <c r="L78" s="10" t="str">
        <f ca="1">VLOOKUP($G78,OFFSET([1]characters!$A$2,0,0,COUNTA([1]characters!$A:$A),MATCH("タイプ",[1]characters!$1:$1,0)-MATCH($G$1,[1]characters!$2:$2,0)+2),MATCH("タイプ",[1]characters!$1:$1,0)-MATCH($G$1,[1]characters!$2:$2,0)+2,FALSE)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78" s="10" t="str">
        <f ca="1">VLOOKUP($G78,OFFSET([1]characters!$A$2,0,0,COUNTA([1]characters!$A:$A),MATCH($M$1,[1]characters!$1:$1,0)-MATCH($G$1,[1]characters!$2:$2,0)+2),MATCH($M$1,[1]characters!$1:$1,0)-MATCH($G$1,[1]characters!$2:$2,0)+2,FALSE)</f>
        <v>ゴッド</v>
      </c>
      <c r="N78" s="6">
        <v>1</v>
      </c>
      <c r="O78" s="43">
        <f ca="1">VLOOKUP(D78,gacha_114_base!A:K,11,FALSE)</f>
        <v>200</v>
      </c>
      <c r="P78" s="28">
        <v>0</v>
      </c>
      <c r="Q78" s="28">
        <v>0</v>
      </c>
      <c r="R78" s="28">
        <v>0</v>
      </c>
      <c r="S78" s="28">
        <v>0</v>
      </c>
      <c r="T78" s="28">
        <v>1</v>
      </c>
    </row>
    <row r="79" spans="1:20" ht="21" customHeight="1" thickBot="1">
      <c r="A79" s="22" t="str">
        <f t="shared" si="4"/>
        <v>12521</v>
      </c>
      <c r="B79" s="2">
        <v>114</v>
      </c>
      <c r="C79" s="10" t="str">
        <f t="shared" ca="1" si="5"/>
        <v>1PremiumS5</v>
      </c>
      <c r="D79" s="10" t="str">
        <f t="shared" ca="1" si="6"/>
        <v>1PremiumS5</v>
      </c>
      <c r="E79" s="10" t="str">
        <f t="shared" si="7"/>
        <v/>
      </c>
      <c r="F79" s="6">
        <v>1</v>
      </c>
      <c r="G79" s="7">
        <v>252</v>
      </c>
      <c r="H79" s="10" t="str">
        <f ca="1">VLOOKUP($G79,OFFSET([1]characters!$A$2,0,0,COUNTA([1]characters!$A:$A),MATCH(H$1,[1]characters!$2:$2,0)-MATCH($G$1,[1]characters!$2:$2,0)+1),MATCH(H$1,[1]characters!$2:$2,0)-MATCH($G$1,[1]characters!$2:$2,0)+1,FALSE)</f>
        <v>強欲の沸騰 マンモン</v>
      </c>
      <c r="I79" s="10" t="str">
        <f ca="1">VLOOKUP($G79,OFFSET([1]characters!$A$2,0,0,COUNTA([1]characters!$A:$A),MATCH(I$1,[1]characters!$2:$2,0)-MATCH($G$1,[1]characters!$2:$2,0)+1),MATCH(I$1,[1]characters!$2:$2,0)-MATCH($G$1,[1]characters!$2:$2,0)+1,FALSE)</f>
        <v>PremiumS</v>
      </c>
      <c r="J79" s="10">
        <f ca="1">VLOOKUP($G79,OFFSET([1]characters!$A$2,0,0,COUNTA([1]characters!$A:$A),MATCH(J$1,[1]characters!$2:$2,0)-MATCH($G$1,[1]characters!$2:$2,0)+1),MATCH(J$1,[1]characters!$2:$2,0)-MATCH($G$1,[1]characters!$2:$2,0)+1,FALSE)</f>
        <v>5</v>
      </c>
      <c r="K79" s="10" t="str">
        <f ca="1">VLOOKUP($G79,OFFSET([1]characters!$A$2,0,0,COUNTA([1]characters!$A:$A),MATCH(K$1,[1]characters!$2:$2,0)-MATCH($G$1,[1]characters!$2:$2,0)+1),MATCH(K$1,[1]characters!$2:$2,0)-MATCH($G$1,[1]characters!$2:$2,0)+1,FALSE)</f>
        <v>red</v>
      </c>
      <c r="L79" s="10" t="str">
        <f ca="1">VLOOKUP($G79,OFFSET([1]characters!$A$2,0,0,COUNTA([1]characters!$A:$A),MATCH("タイプ",[1]characters!$1:$1,0)-MATCH($G$1,[1]characters!$2:$2,0)+2),MATCH("タイプ",[1]characters!$1:$1,0)-MATCH($G$1,[1]characters!$2:$2,0)+2,FALSE)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79" s="10" t="str">
        <f ca="1">VLOOKUP($G79,OFFSET([1]characters!$A$2,0,0,COUNTA([1]characters!$A:$A),MATCH($M$1,[1]characters!$1:$1,0)-MATCH($G$1,[1]characters!$2:$2,0)+2),MATCH($M$1,[1]characters!$1:$1,0)-MATCH($G$1,[1]characters!$2:$2,0)+2,FALSE)</f>
        <v>ゴッド</v>
      </c>
      <c r="N79" s="6">
        <v>1</v>
      </c>
      <c r="O79" s="43">
        <f ca="1">VLOOKUP(D79,gacha_114_base!A:K,11,FALSE)</f>
        <v>8</v>
      </c>
      <c r="P79" s="28">
        <v>0</v>
      </c>
      <c r="Q79" s="28">
        <v>0</v>
      </c>
      <c r="R79" s="28">
        <v>0</v>
      </c>
      <c r="S79" s="28">
        <v>0</v>
      </c>
      <c r="T79" s="28">
        <v>1</v>
      </c>
    </row>
    <row r="80" spans="1:20" ht="21" customHeight="1" thickBot="1">
      <c r="A80" s="22" t="str">
        <f t="shared" si="4"/>
        <v>12541</v>
      </c>
      <c r="B80" s="2">
        <v>114</v>
      </c>
      <c r="C80" s="10" t="str">
        <f t="shared" ca="1" si="5"/>
        <v>1PremiumS4</v>
      </c>
      <c r="D80" s="10" t="str">
        <f t="shared" ca="1" si="6"/>
        <v>1PremiumS4</v>
      </c>
      <c r="E80" s="10" t="str">
        <f t="shared" si="7"/>
        <v/>
      </c>
      <c r="F80" s="6">
        <v>1</v>
      </c>
      <c r="G80" s="7">
        <v>254</v>
      </c>
      <c r="H80" s="10" t="str">
        <f ca="1">VLOOKUP($G80,OFFSET([1]characters!$A$2,0,0,COUNTA([1]characters!$A:$A),MATCH(H$1,[1]characters!$2:$2,0)-MATCH($G$1,[1]characters!$2:$2,0)+1),MATCH(H$1,[1]characters!$2:$2,0)-MATCH($G$1,[1]characters!$2:$2,0)+1,FALSE)</f>
        <v>怠惰 ベルフェゴール</v>
      </c>
      <c r="I80" s="10" t="str">
        <f ca="1">VLOOKUP($G80,OFFSET([1]characters!$A$2,0,0,COUNTA([1]characters!$A:$A),MATCH(I$1,[1]characters!$2:$2,0)-MATCH($G$1,[1]characters!$2:$2,0)+1),MATCH(I$1,[1]characters!$2:$2,0)-MATCH($G$1,[1]characters!$2:$2,0)+1,FALSE)</f>
        <v>PremiumS</v>
      </c>
      <c r="J80" s="10">
        <f ca="1">VLOOKUP($G80,OFFSET([1]characters!$A$2,0,0,COUNTA([1]characters!$A:$A),MATCH(J$1,[1]characters!$2:$2,0)-MATCH($G$1,[1]characters!$2:$2,0)+1),MATCH(J$1,[1]characters!$2:$2,0)-MATCH($G$1,[1]characters!$2:$2,0)+1,FALSE)</f>
        <v>4</v>
      </c>
      <c r="K80" s="10" t="str">
        <f ca="1">VLOOKUP($G80,OFFSET([1]characters!$A$2,0,0,COUNTA([1]characters!$A:$A),MATCH(K$1,[1]characters!$2:$2,0)-MATCH($G$1,[1]characters!$2:$2,0)+1),MATCH(K$1,[1]characters!$2:$2,0)-MATCH($G$1,[1]characters!$2:$2,0)+1,FALSE)</f>
        <v>green</v>
      </c>
      <c r="L80" s="10" t="str">
        <f ca="1">VLOOKUP($G80,OFFSET([1]characters!$A$2,0,0,COUNTA([1]characters!$A:$A),MATCH("タイプ",[1]characters!$1:$1,0)-MATCH($G$1,[1]characters!$2:$2,0)+2),MATCH("タイプ",[1]characters!$1:$1,0)-MATCH($G$1,[1]characters!$2:$2,0)+2,FALSE)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80" s="10" t="str">
        <f ca="1">VLOOKUP($G80,OFFSET([1]characters!$A$2,0,0,COUNTA([1]characters!$A:$A),MATCH($M$1,[1]characters!$1:$1,0)-MATCH($G$1,[1]characters!$2:$2,0)+2),MATCH($M$1,[1]characters!$1:$1,0)-MATCH($G$1,[1]characters!$2:$2,0)+2,FALSE)</f>
        <v>ゴッド</v>
      </c>
      <c r="N80" s="6">
        <v>1</v>
      </c>
      <c r="O80" s="43">
        <f ca="1">VLOOKUP(D80,gacha_114_base!A:K,11,FALSE)</f>
        <v>200</v>
      </c>
      <c r="P80" s="28">
        <v>0</v>
      </c>
      <c r="Q80" s="28">
        <v>0</v>
      </c>
      <c r="R80" s="28">
        <v>0</v>
      </c>
      <c r="S80" s="28">
        <v>0</v>
      </c>
      <c r="T80" s="28">
        <v>1</v>
      </c>
    </row>
    <row r="81" spans="1:20" ht="21" customHeight="1" thickBot="1">
      <c r="A81" s="22" t="str">
        <f t="shared" si="4"/>
        <v>12551</v>
      </c>
      <c r="B81" s="2">
        <v>114</v>
      </c>
      <c r="C81" s="10" t="str">
        <f t="shared" ca="1" si="5"/>
        <v>1PremiumS5</v>
      </c>
      <c r="D81" s="10" t="str">
        <f t="shared" ca="1" si="6"/>
        <v>1PremiumS5</v>
      </c>
      <c r="E81" s="10" t="str">
        <f t="shared" si="7"/>
        <v/>
      </c>
      <c r="F81" s="6">
        <v>1</v>
      </c>
      <c r="G81" s="7">
        <v>255</v>
      </c>
      <c r="H81" s="10" t="str">
        <f ca="1">VLOOKUP($G81,OFFSET([1]characters!$A$2,0,0,COUNTA([1]characters!$A:$A),MATCH(H$1,[1]characters!$2:$2,0)-MATCH($G$1,[1]characters!$2:$2,0)+1),MATCH(H$1,[1]characters!$2:$2,0)-MATCH($G$1,[1]characters!$2:$2,0)+1,FALSE)</f>
        <v>怠惰の頂点 ベルフェゴール</v>
      </c>
      <c r="I81" s="10" t="str">
        <f ca="1">VLOOKUP($G81,OFFSET([1]characters!$A$2,0,0,COUNTA([1]characters!$A:$A),MATCH(I$1,[1]characters!$2:$2,0)-MATCH($G$1,[1]characters!$2:$2,0)+1),MATCH(I$1,[1]characters!$2:$2,0)-MATCH($G$1,[1]characters!$2:$2,0)+1,FALSE)</f>
        <v>PremiumS</v>
      </c>
      <c r="J81" s="10">
        <f ca="1">VLOOKUP($G81,OFFSET([1]characters!$A$2,0,0,COUNTA([1]characters!$A:$A),MATCH(J$1,[1]characters!$2:$2,0)-MATCH($G$1,[1]characters!$2:$2,0)+1),MATCH(J$1,[1]characters!$2:$2,0)-MATCH($G$1,[1]characters!$2:$2,0)+1,FALSE)</f>
        <v>5</v>
      </c>
      <c r="K81" s="10" t="str">
        <f ca="1">VLOOKUP($G81,OFFSET([1]characters!$A$2,0,0,COUNTA([1]characters!$A:$A),MATCH(K$1,[1]characters!$2:$2,0)-MATCH($G$1,[1]characters!$2:$2,0)+1),MATCH(K$1,[1]characters!$2:$2,0)-MATCH($G$1,[1]characters!$2:$2,0)+1,FALSE)</f>
        <v>green</v>
      </c>
      <c r="L81" s="10" t="str">
        <f ca="1">VLOOKUP($G81,OFFSET([1]characters!$A$2,0,0,COUNTA([1]characters!$A:$A),MATCH("タイプ",[1]characters!$1:$1,0)-MATCH($G$1,[1]characters!$2:$2,0)+2),MATCH("タイプ",[1]characters!$1:$1,0)-MATCH($G$1,[1]characters!$2:$2,0)+2,FALSE)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81" s="10" t="str">
        <f ca="1">VLOOKUP($G81,OFFSET([1]characters!$A$2,0,0,COUNTA([1]characters!$A:$A),MATCH($M$1,[1]characters!$1:$1,0)-MATCH($G$1,[1]characters!$2:$2,0)+2),MATCH($M$1,[1]characters!$1:$1,0)-MATCH($G$1,[1]characters!$2:$2,0)+2,FALSE)</f>
        <v>ゴッド</v>
      </c>
      <c r="N81" s="6">
        <v>1</v>
      </c>
      <c r="O81" s="43">
        <f ca="1">VLOOKUP(D81,gacha_114_base!A:K,11,FALSE)</f>
        <v>8</v>
      </c>
      <c r="P81" s="28">
        <v>0</v>
      </c>
      <c r="Q81" s="28">
        <v>0</v>
      </c>
      <c r="R81" s="28">
        <v>0</v>
      </c>
      <c r="S81" s="28">
        <v>0</v>
      </c>
      <c r="T81" s="28">
        <v>1</v>
      </c>
    </row>
    <row r="82" spans="1:20" ht="21" customHeight="1" thickBot="1">
      <c r="A82" s="22" t="str">
        <f t="shared" si="4"/>
        <v>12571</v>
      </c>
      <c r="B82" s="2">
        <v>114</v>
      </c>
      <c r="C82" s="10" t="str">
        <f t="shared" ca="1" si="5"/>
        <v>1PremiumS4</v>
      </c>
      <c r="D82" s="10" t="str">
        <f t="shared" ca="1" si="6"/>
        <v>1PremiumS4</v>
      </c>
      <c r="E82" s="10" t="str">
        <f t="shared" si="7"/>
        <v/>
      </c>
      <c r="F82" s="6">
        <v>1</v>
      </c>
      <c r="G82" s="7">
        <v>257</v>
      </c>
      <c r="H82" s="10" t="str">
        <f ca="1">VLOOKUP($G82,OFFSET([1]characters!$A$2,0,0,COUNTA([1]characters!$A:$A),MATCH(H$1,[1]characters!$2:$2,0)-MATCH($G$1,[1]characters!$2:$2,0)+1),MATCH(H$1,[1]characters!$2:$2,0)-MATCH($G$1,[1]characters!$2:$2,0)+1,FALSE)</f>
        <v>色欲 アスモデウス</v>
      </c>
      <c r="I82" s="10" t="str">
        <f ca="1">VLOOKUP($G82,OFFSET([1]characters!$A$2,0,0,COUNTA([1]characters!$A:$A),MATCH(I$1,[1]characters!$2:$2,0)-MATCH($G$1,[1]characters!$2:$2,0)+1),MATCH(I$1,[1]characters!$2:$2,0)-MATCH($G$1,[1]characters!$2:$2,0)+1,FALSE)</f>
        <v>PremiumS</v>
      </c>
      <c r="J82" s="10">
        <f ca="1">VLOOKUP($G82,OFFSET([1]characters!$A$2,0,0,COUNTA([1]characters!$A:$A),MATCH(J$1,[1]characters!$2:$2,0)-MATCH($G$1,[1]characters!$2:$2,0)+1),MATCH(J$1,[1]characters!$2:$2,0)-MATCH($G$1,[1]characters!$2:$2,0)+1,FALSE)</f>
        <v>4</v>
      </c>
      <c r="K82" s="10" t="str">
        <f ca="1">VLOOKUP($G82,OFFSET([1]characters!$A$2,0,0,COUNTA([1]characters!$A:$A),MATCH(K$1,[1]characters!$2:$2,0)-MATCH($G$1,[1]characters!$2:$2,0)+1),MATCH(K$1,[1]characters!$2:$2,0)-MATCH($G$1,[1]characters!$2:$2,0)+1,FALSE)</f>
        <v>blue</v>
      </c>
      <c r="L82" s="10" t="str">
        <f ca="1">VLOOKUP($G82,OFFSET([1]characters!$A$2,0,0,COUNTA([1]characters!$A:$A),MATCH("タイプ",[1]characters!$1:$1,0)-MATCH($G$1,[1]characters!$2:$2,0)+2),MATCH("タイプ",[1]characters!$1:$1,0)-MATCH($G$1,[1]characters!$2:$2,0)+2,FALSE)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82" s="10" t="str">
        <f ca="1">VLOOKUP($G82,OFFSET([1]characters!$A$2,0,0,COUNTA([1]characters!$A:$A),MATCH($M$1,[1]characters!$1:$1,0)-MATCH($G$1,[1]characters!$2:$2,0)+2),MATCH($M$1,[1]characters!$1:$1,0)-MATCH($G$1,[1]characters!$2:$2,0)+2,FALSE)</f>
        <v>ゴッド</v>
      </c>
      <c r="N82" s="6">
        <v>1</v>
      </c>
      <c r="O82" s="43">
        <f ca="1">VLOOKUP(D82,gacha_114_base!A:K,11,FALSE)</f>
        <v>200</v>
      </c>
      <c r="P82" s="28">
        <v>0</v>
      </c>
      <c r="Q82" s="28">
        <v>0</v>
      </c>
      <c r="R82" s="28">
        <v>0</v>
      </c>
      <c r="S82" s="28">
        <v>0</v>
      </c>
      <c r="T82" s="28">
        <v>1</v>
      </c>
    </row>
    <row r="83" spans="1:20" ht="21" customHeight="1" thickBot="1">
      <c r="A83" s="22" t="str">
        <f t="shared" si="4"/>
        <v>12581</v>
      </c>
      <c r="B83" s="2">
        <v>114</v>
      </c>
      <c r="C83" s="10" t="str">
        <f t="shared" ca="1" si="5"/>
        <v>1PremiumS5</v>
      </c>
      <c r="D83" s="10" t="str">
        <f t="shared" ca="1" si="6"/>
        <v>1PremiumS5</v>
      </c>
      <c r="E83" s="10" t="str">
        <f t="shared" si="7"/>
        <v/>
      </c>
      <c r="F83" s="6">
        <v>1</v>
      </c>
      <c r="G83" s="7">
        <v>258</v>
      </c>
      <c r="H83" s="10" t="str">
        <f ca="1">VLOOKUP($G83,OFFSET([1]characters!$A$2,0,0,COUNTA([1]characters!$A:$A),MATCH(H$1,[1]characters!$2:$2,0)-MATCH($G$1,[1]characters!$2:$2,0)+1),MATCH(H$1,[1]characters!$2:$2,0)-MATCH($G$1,[1]characters!$2:$2,0)+1,FALSE)</f>
        <v>色欲の源流 アスモデウス</v>
      </c>
      <c r="I83" s="10" t="str">
        <f ca="1">VLOOKUP($G83,OFFSET([1]characters!$A$2,0,0,COUNTA([1]characters!$A:$A),MATCH(I$1,[1]characters!$2:$2,0)-MATCH($G$1,[1]characters!$2:$2,0)+1),MATCH(I$1,[1]characters!$2:$2,0)-MATCH($G$1,[1]characters!$2:$2,0)+1,FALSE)</f>
        <v>PremiumS</v>
      </c>
      <c r="J83" s="10">
        <f ca="1">VLOOKUP($G83,OFFSET([1]characters!$A$2,0,0,COUNTA([1]characters!$A:$A),MATCH(J$1,[1]characters!$2:$2,0)-MATCH($G$1,[1]characters!$2:$2,0)+1),MATCH(J$1,[1]characters!$2:$2,0)-MATCH($G$1,[1]characters!$2:$2,0)+1,FALSE)</f>
        <v>5</v>
      </c>
      <c r="K83" s="10" t="str">
        <f ca="1">VLOOKUP($G83,OFFSET([1]characters!$A$2,0,0,COUNTA([1]characters!$A:$A),MATCH(K$1,[1]characters!$2:$2,0)-MATCH($G$1,[1]characters!$2:$2,0)+1),MATCH(K$1,[1]characters!$2:$2,0)-MATCH($G$1,[1]characters!$2:$2,0)+1,FALSE)</f>
        <v>blue</v>
      </c>
      <c r="L83" s="10" t="str">
        <f ca="1">VLOOKUP($G83,OFFSET([1]characters!$A$2,0,0,COUNTA([1]characters!$A:$A),MATCH("タイプ",[1]characters!$1:$1,0)-MATCH($G$1,[1]characters!$2:$2,0)+2),MATCH("タイプ",[1]characters!$1:$1,0)-MATCH($G$1,[1]characters!$2:$2,0)+2,FALSE)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83" s="10" t="str">
        <f ca="1">VLOOKUP($G83,OFFSET([1]characters!$A$2,0,0,COUNTA([1]characters!$A:$A),MATCH($M$1,[1]characters!$1:$1,0)-MATCH($G$1,[1]characters!$2:$2,0)+2),MATCH($M$1,[1]characters!$1:$1,0)-MATCH($G$1,[1]characters!$2:$2,0)+2,FALSE)</f>
        <v>ゴッド</v>
      </c>
      <c r="N83" s="6">
        <v>1</v>
      </c>
      <c r="O83" s="43">
        <f ca="1">VLOOKUP(D83,gacha_114_base!A:K,11,FALSE)</f>
        <v>8</v>
      </c>
      <c r="P83" s="28">
        <v>0</v>
      </c>
      <c r="Q83" s="28">
        <v>0</v>
      </c>
      <c r="R83" s="28">
        <v>0</v>
      </c>
      <c r="S83" s="28">
        <v>0</v>
      </c>
      <c r="T83" s="28">
        <v>1</v>
      </c>
    </row>
    <row r="84" spans="1:20" ht="21" customHeight="1" thickBot="1">
      <c r="A84" s="22" t="str">
        <f t="shared" si="4"/>
        <v>12601</v>
      </c>
      <c r="B84" s="2">
        <v>114</v>
      </c>
      <c r="C84" s="10" t="str">
        <f t="shared" ca="1" si="5"/>
        <v>1PremiumS4</v>
      </c>
      <c r="D84" s="10" t="str">
        <f t="shared" ca="1" si="6"/>
        <v>1PremiumS4</v>
      </c>
      <c r="E84" s="10" t="str">
        <f t="shared" si="7"/>
        <v/>
      </c>
      <c r="F84" s="6">
        <v>1</v>
      </c>
      <c r="G84" s="7">
        <v>260</v>
      </c>
      <c r="H84" s="10" t="str">
        <f ca="1">VLOOKUP($G84,OFFSET([1]characters!$A$2,0,0,COUNTA([1]characters!$A:$A),MATCH(H$1,[1]characters!$2:$2,0)-MATCH($G$1,[1]characters!$2:$2,0)+1),MATCH(H$1,[1]characters!$2:$2,0)-MATCH($G$1,[1]characters!$2:$2,0)+1,FALSE)</f>
        <v>輪廻 ウロボロス</v>
      </c>
      <c r="I84" s="10" t="str">
        <f ca="1">VLOOKUP($G84,OFFSET([1]characters!$A$2,0,0,COUNTA([1]characters!$A:$A),MATCH(I$1,[1]characters!$2:$2,0)-MATCH($G$1,[1]characters!$2:$2,0)+1),MATCH(I$1,[1]characters!$2:$2,0)-MATCH($G$1,[1]characters!$2:$2,0)+1,FALSE)</f>
        <v>PremiumS</v>
      </c>
      <c r="J84" s="10">
        <f ca="1">VLOOKUP($G84,OFFSET([1]characters!$A$2,0,0,COUNTA([1]characters!$A:$A),MATCH(J$1,[1]characters!$2:$2,0)-MATCH($G$1,[1]characters!$2:$2,0)+1),MATCH(J$1,[1]characters!$2:$2,0)-MATCH($G$1,[1]characters!$2:$2,0)+1,FALSE)</f>
        <v>4</v>
      </c>
      <c r="K84" s="10" t="str">
        <f ca="1">VLOOKUP($G84,OFFSET([1]characters!$A$2,0,0,COUNTA([1]characters!$A:$A),MATCH(K$1,[1]characters!$2:$2,0)-MATCH($G$1,[1]characters!$2:$2,0)+1),MATCH(K$1,[1]characters!$2:$2,0)-MATCH($G$1,[1]characters!$2:$2,0)+1,FALSE)</f>
        <v>yellow</v>
      </c>
      <c r="L84" s="10" t="str">
        <f ca="1">VLOOKUP($G84,OFFSET([1]characters!$A$2,0,0,COUNTA([1]characters!$A:$A),MATCH("タイプ",[1]characters!$1:$1,0)-MATCH($G$1,[1]characters!$2:$2,0)+2),MATCH("タイプ",[1]characters!$1:$1,0)-MATCH($G$1,[1]characters!$2:$2,0)+2,FALSE)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84" s="10" t="str">
        <f ca="1">VLOOKUP($G84,OFFSET([1]characters!$A$2,0,0,COUNTA([1]characters!$A:$A),MATCH($M$1,[1]characters!$1:$1,0)-MATCH($G$1,[1]characters!$2:$2,0)+2),MATCH($M$1,[1]characters!$1:$1,0)-MATCH($G$1,[1]characters!$2:$2,0)+2,FALSE)</f>
        <v>ドラゴン</v>
      </c>
      <c r="N84" s="6">
        <v>1</v>
      </c>
      <c r="O84" s="43">
        <f ca="1">VLOOKUP(D84,gacha_114_base!A:K,11,FALSE)</f>
        <v>200</v>
      </c>
      <c r="P84" s="28">
        <v>0</v>
      </c>
      <c r="Q84" s="28">
        <v>0</v>
      </c>
      <c r="R84" s="28">
        <v>0</v>
      </c>
      <c r="S84" s="28">
        <v>0</v>
      </c>
      <c r="T84" s="28">
        <v>1</v>
      </c>
    </row>
    <row r="85" spans="1:20" ht="21" customHeight="1" thickBot="1">
      <c r="A85" s="22" t="str">
        <f t="shared" si="4"/>
        <v>12611</v>
      </c>
      <c r="B85" s="2">
        <v>114</v>
      </c>
      <c r="C85" s="10" t="str">
        <f t="shared" ca="1" si="5"/>
        <v>1PremiumS5</v>
      </c>
      <c r="D85" s="10" t="str">
        <f t="shared" ca="1" si="6"/>
        <v>1PremiumS5</v>
      </c>
      <c r="E85" s="10" t="str">
        <f t="shared" si="7"/>
        <v/>
      </c>
      <c r="F85" s="6">
        <v>1</v>
      </c>
      <c r="G85" s="7">
        <v>261</v>
      </c>
      <c r="H85" s="10" t="str">
        <f ca="1">VLOOKUP($G85,OFFSET([1]characters!$A$2,0,0,COUNTA([1]characters!$A:$A),MATCH(H$1,[1]characters!$2:$2,0)-MATCH($G$1,[1]characters!$2:$2,0)+1),MATCH(H$1,[1]characters!$2:$2,0)-MATCH($G$1,[1]characters!$2:$2,0)+1,FALSE)</f>
        <v>輪廻の蛇龍 ウロボロス</v>
      </c>
      <c r="I85" s="10" t="str">
        <f ca="1">VLOOKUP($G85,OFFSET([1]characters!$A$2,0,0,COUNTA([1]characters!$A:$A),MATCH(I$1,[1]characters!$2:$2,0)-MATCH($G$1,[1]characters!$2:$2,0)+1),MATCH(I$1,[1]characters!$2:$2,0)-MATCH($G$1,[1]characters!$2:$2,0)+1,FALSE)</f>
        <v>PremiumS</v>
      </c>
      <c r="J85" s="10">
        <f ca="1">VLOOKUP($G85,OFFSET([1]characters!$A$2,0,0,COUNTA([1]characters!$A:$A),MATCH(J$1,[1]characters!$2:$2,0)-MATCH($G$1,[1]characters!$2:$2,0)+1),MATCH(J$1,[1]characters!$2:$2,0)-MATCH($G$1,[1]characters!$2:$2,0)+1,FALSE)</f>
        <v>5</v>
      </c>
      <c r="K85" s="10" t="str">
        <f ca="1">VLOOKUP($G85,OFFSET([1]characters!$A$2,0,0,COUNTA([1]characters!$A:$A),MATCH(K$1,[1]characters!$2:$2,0)-MATCH($G$1,[1]characters!$2:$2,0)+1),MATCH(K$1,[1]characters!$2:$2,0)-MATCH($G$1,[1]characters!$2:$2,0)+1,FALSE)</f>
        <v>yellow</v>
      </c>
      <c r="L85" s="10" t="str">
        <f ca="1">VLOOKUP($G85,OFFSET([1]characters!$A$2,0,0,COUNTA([1]characters!$A:$A),MATCH("タイプ",[1]characters!$1:$1,0)-MATCH($G$1,[1]characters!$2:$2,0)+2),MATCH("タイプ",[1]characters!$1:$1,0)-MATCH($G$1,[1]characters!$2:$2,0)+2,FALSE)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85" s="10" t="str">
        <f ca="1">VLOOKUP($G85,OFFSET([1]characters!$A$2,0,0,COUNTA([1]characters!$A:$A),MATCH($M$1,[1]characters!$1:$1,0)-MATCH($G$1,[1]characters!$2:$2,0)+2),MATCH($M$1,[1]characters!$1:$1,0)-MATCH($G$1,[1]characters!$2:$2,0)+2,FALSE)</f>
        <v>ドラゴン</v>
      </c>
      <c r="N85" s="6">
        <v>1</v>
      </c>
      <c r="O85" s="43">
        <f ca="1">VLOOKUP(D85,gacha_114_base!A:K,11,FALSE)</f>
        <v>8</v>
      </c>
      <c r="P85" s="28">
        <v>0</v>
      </c>
      <c r="Q85" s="28">
        <v>0</v>
      </c>
      <c r="R85" s="28">
        <v>0</v>
      </c>
      <c r="S85" s="28">
        <v>0</v>
      </c>
      <c r="T85" s="28">
        <v>1</v>
      </c>
    </row>
    <row r="86" spans="1:20" ht="21" customHeight="1" thickBot="1">
      <c r="A86" s="22" t="str">
        <f t="shared" si="4"/>
        <v>13201</v>
      </c>
      <c r="B86" s="2">
        <v>114</v>
      </c>
      <c r="C86" s="10" t="str">
        <f t="shared" ca="1" si="5"/>
        <v>1PremiumSS4</v>
      </c>
      <c r="D86" s="10" t="str">
        <f t="shared" ca="1" si="6"/>
        <v>1PremiumSS4</v>
      </c>
      <c r="E86" s="10" t="str">
        <f t="shared" si="7"/>
        <v/>
      </c>
      <c r="F86" s="21">
        <v>1</v>
      </c>
      <c r="G86" s="27">
        <v>320</v>
      </c>
      <c r="H86" s="20" t="str">
        <f ca="1">VLOOKUP($G86,OFFSET([1]characters!$A$2,0,0,COUNTA([1]characters!$A:$A),MATCH(H$1,[1]characters!$2:$2,0)-MATCH($G$1,[1]characters!$2:$2,0)+1),MATCH(H$1,[1]characters!$2:$2,0)-MATCH($G$1,[1]characters!$2:$2,0)+1,FALSE)</f>
        <v>烈志士 近藤勇</v>
      </c>
      <c r="I86" s="20" t="str">
        <f ca="1">VLOOKUP($G86,OFFSET([1]characters!$A$2,0,0,COUNTA([1]characters!$A:$A),MATCH(I$1,[1]characters!$2:$2,0)-MATCH($G$1,[1]characters!$2:$2,0)+1),MATCH(I$1,[1]characters!$2:$2,0)-MATCH($G$1,[1]characters!$2:$2,0)+1,FALSE)</f>
        <v>PremiumSS</v>
      </c>
      <c r="J86" s="20">
        <f ca="1">VLOOKUP($G86,OFFSET([1]characters!$A$2,0,0,COUNTA([1]characters!$A:$A),MATCH(J$1,[1]characters!$2:$2,0)-MATCH($G$1,[1]characters!$2:$2,0)+1),MATCH(J$1,[1]characters!$2:$2,0)-MATCH($G$1,[1]characters!$2:$2,0)+1,FALSE)</f>
        <v>4</v>
      </c>
      <c r="K86" s="20" t="str">
        <f ca="1">VLOOKUP($G86,OFFSET([1]characters!$A$2,0,0,COUNTA([1]characters!$A:$A),MATCH(K$1,[1]characters!$2:$2,0)-MATCH($G$1,[1]characters!$2:$2,0)+1),MATCH(K$1,[1]characters!$2:$2,0)-MATCH($G$1,[1]characters!$2:$2,0)+1,FALSE)</f>
        <v>red</v>
      </c>
      <c r="L86" s="20" t="str">
        <f ca="1">VLOOKUP($G86,OFFSET([1]characters!$A$2,0,0,COUNTA([1]characters!$A:$A),MATCH("タイプ",[1]characters!$1:$1,0)-MATCH($G$1,[1]characters!$2:$2,0)+2),MATCH("タイプ",[1]characters!$1:$1,0)-MATCH($G$1,[1]characters!$2:$2,0)+2,FALSE)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86" s="20" t="str">
        <f ca="1">VLOOKUP($G86,OFFSET([1]characters!$A$2,0,0,COUNTA([1]characters!$A:$A),MATCH($M$1,[1]characters!$1:$1,0)-MATCH($G$1,[1]characters!$2:$2,0)+2),MATCH($M$1,[1]characters!$1:$1,0)-MATCH($G$1,[1]characters!$2:$2,0)+2,FALSE)</f>
        <v>ヒューマン</v>
      </c>
      <c r="N86" s="21">
        <v>1</v>
      </c>
      <c r="O86" s="43">
        <f ca="1">VLOOKUP(D86,gacha_114_base!A:K,11,FALSE)</f>
        <v>120</v>
      </c>
      <c r="P86" s="18">
        <v>0</v>
      </c>
      <c r="Q86" s="18">
        <v>0</v>
      </c>
      <c r="R86" s="18">
        <v>0</v>
      </c>
      <c r="S86" s="18">
        <v>0</v>
      </c>
      <c r="T86" s="18">
        <v>1</v>
      </c>
    </row>
    <row r="87" spans="1:20" ht="21" customHeight="1" thickBot="1">
      <c r="A87" s="22" t="str">
        <f t="shared" si="4"/>
        <v>13211</v>
      </c>
      <c r="B87" s="2">
        <v>114</v>
      </c>
      <c r="C87" s="10" t="str">
        <f t="shared" ca="1" si="5"/>
        <v>1PremiumSS5</v>
      </c>
      <c r="D87" s="10" t="str">
        <f t="shared" ca="1" si="6"/>
        <v>1PremiumSS5</v>
      </c>
      <c r="E87" s="10" t="str">
        <f t="shared" si="7"/>
        <v/>
      </c>
      <c r="F87" s="6">
        <v>1</v>
      </c>
      <c r="G87" s="7">
        <v>321</v>
      </c>
      <c r="H87" s="10" t="str">
        <f ca="1">VLOOKUP($G87,OFFSET([1]characters!$A$2,0,0,COUNTA([1]characters!$A:$A),MATCH(H$1,[1]characters!$2:$2,0)-MATCH($G$1,[1]characters!$2:$2,0)+1),MATCH(H$1,[1]characters!$2:$2,0)-MATCH($G$1,[1]characters!$2:$2,0)+1,FALSE)</f>
        <v>巌鉄の烈志士 近藤勇</v>
      </c>
      <c r="I87" s="10" t="str">
        <f ca="1">VLOOKUP($G87,OFFSET([1]characters!$A$2,0,0,COUNTA([1]characters!$A:$A),MATCH(I$1,[1]characters!$2:$2,0)-MATCH($G$1,[1]characters!$2:$2,0)+1),MATCH(I$1,[1]characters!$2:$2,0)-MATCH($G$1,[1]characters!$2:$2,0)+1,FALSE)</f>
        <v>PremiumSS</v>
      </c>
      <c r="J87" s="10">
        <f ca="1">VLOOKUP($G87,OFFSET([1]characters!$A$2,0,0,COUNTA([1]characters!$A:$A),MATCH(J$1,[1]characters!$2:$2,0)-MATCH($G$1,[1]characters!$2:$2,0)+1),MATCH(J$1,[1]characters!$2:$2,0)-MATCH($G$1,[1]characters!$2:$2,0)+1,FALSE)</f>
        <v>5</v>
      </c>
      <c r="K87" s="10" t="str">
        <f ca="1">VLOOKUP($G87,OFFSET([1]characters!$A$2,0,0,COUNTA([1]characters!$A:$A),MATCH(K$1,[1]characters!$2:$2,0)-MATCH($G$1,[1]characters!$2:$2,0)+1),MATCH(K$1,[1]characters!$2:$2,0)-MATCH($G$1,[1]characters!$2:$2,0)+1,FALSE)</f>
        <v>red</v>
      </c>
      <c r="L87" s="10" t="str">
        <f ca="1">VLOOKUP($G87,OFFSET([1]characters!$A$2,0,0,COUNTA([1]characters!$A:$A),MATCH("タイプ",[1]characters!$1:$1,0)-MATCH($G$1,[1]characters!$2:$2,0)+2),MATCH("タイプ",[1]characters!$1:$1,0)-MATCH($G$1,[1]characters!$2:$2,0)+2,FALSE)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87" s="10" t="str">
        <f ca="1">VLOOKUP($G87,OFFSET([1]characters!$A$2,0,0,COUNTA([1]characters!$A:$A),MATCH($M$1,[1]characters!$1:$1,0)-MATCH($G$1,[1]characters!$2:$2,0)+2),MATCH($M$1,[1]characters!$1:$1,0)-MATCH($G$1,[1]characters!$2:$2,0)+2,FALSE)</f>
        <v>ヒューマン</v>
      </c>
      <c r="N87" s="6">
        <v>1</v>
      </c>
      <c r="O87" s="43">
        <f ca="1">VLOOKUP(D87,gacha_114_base!A:K,11,FALSE)</f>
        <v>5</v>
      </c>
      <c r="P87" s="28">
        <v>0</v>
      </c>
      <c r="Q87" s="28">
        <v>0</v>
      </c>
      <c r="R87" s="28">
        <v>0</v>
      </c>
      <c r="S87" s="28">
        <v>0</v>
      </c>
      <c r="T87" s="28">
        <v>1</v>
      </c>
    </row>
    <row r="88" spans="1:20" ht="21" customHeight="1" thickBot="1">
      <c r="A88" s="22" t="str">
        <f t="shared" si="4"/>
        <v>13221</v>
      </c>
      <c r="B88" s="2">
        <v>114</v>
      </c>
      <c r="C88" s="10" t="str">
        <f t="shared" ca="1" si="5"/>
        <v>1PremiumSS4</v>
      </c>
      <c r="D88" s="10" t="str">
        <f t="shared" ca="1" si="6"/>
        <v>1PremiumSS4</v>
      </c>
      <c r="E88" s="10" t="str">
        <f t="shared" si="7"/>
        <v/>
      </c>
      <c r="F88" s="6">
        <v>1</v>
      </c>
      <c r="G88" s="7">
        <v>322</v>
      </c>
      <c r="H88" s="10" t="str">
        <f ca="1">VLOOKUP($G88,OFFSET([1]characters!$A$2,0,0,COUNTA([1]characters!$A:$A),MATCH(H$1,[1]characters!$2:$2,0)-MATCH($G$1,[1]characters!$2:$2,0)+1),MATCH(H$1,[1]characters!$2:$2,0)-MATCH($G$1,[1]characters!$2:$2,0)+1,FALSE)</f>
        <v>愛志士 土方歳三</v>
      </c>
      <c r="I88" s="10" t="str">
        <f ca="1">VLOOKUP($G88,OFFSET([1]characters!$A$2,0,0,COUNTA([1]characters!$A:$A),MATCH(I$1,[1]characters!$2:$2,0)-MATCH($G$1,[1]characters!$2:$2,0)+1),MATCH(I$1,[1]characters!$2:$2,0)-MATCH($G$1,[1]characters!$2:$2,0)+1,FALSE)</f>
        <v>PremiumSS</v>
      </c>
      <c r="J88" s="10">
        <f ca="1">VLOOKUP($G88,OFFSET([1]characters!$A$2,0,0,COUNTA([1]characters!$A:$A),MATCH(J$1,[1]characters!$2:$2,0)-MATCH($G$1,[1]characters!$2:$2,0)+1),MATCH(J$1,[1]characters!$2:$2,0)-MATCH($G$1,[1]characters!$2:$2,0)+1,FALSE)</f>
        <v>4</v>
      </c>
      <c r="K88" s="10" t="str">
        <f ca="1">VLOOKUP($G88,OFFSET([1]characters!$A$2,0,0,COUNTA([1]characters!$A:$A),MATCH(K$1,[1]characters!$2:$2,0)-MATCH($G$1,[1]characters!$2:$2,0)+1),MATCH(K$1,[1]characters!$2:$2,0)-MATCH($G$1,[1]characters!$2:$2,0)+1,FALSE)</f>
        <v>green</v>
      </c>
      <c r="L88" s="10" t="str">
        <f ca="1">VLOOKUP($G88,OFFSET([1]characters!$A$2,0,0,COUNTA([1]characters!$A:$A),MATCH("タイプ",[1]characters!$1:$1,0)-MATCH($G$1,[1]characters!$2:$2,0)+2),MATCH("タイプ",[1]characters!$1:$1,0)-MATCH($G$1,[1]characters!$2:$2,0)+2,FALSE)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88" s="10" t="str">
        <f ca="1">VLOOKUP($G88,OFFSET([1]characters!$A$2,0,0,COUNTA([1]characters!$A:$A),MATCH($M$1,[1]characters!$1:$1,0)-MATCH($G$1,[1]characters!$2:$2,0)+2),MATCH($M$1,[1]characters!$1:$1,0)-MATCH($G$1,[1]characters!$2:$2,0)+2,FALSE)</f>
        <v>ヒューマン</v>
      </c>
      <c r="N88" s="6">
        <v>1</v>
      </c>
      <c r="O88" s="43">
        <f ca="1">VLOOKUP(D88,gacha_114_base!A:K,11,FALSE)</f>
        <v>120</v>
      </c>
      <c r="P88" s="28">
        <v>0</v>
      </c>
      <c r="Q88" s="28">
        <v>0</v>
      </c>
      <c r="R88" s="28">
        <v>0</v>
      </c>
      <c r="S88" s="28">
        <v>0</v>
      </c>
      <c r="T88" s="28">
        <v>1</v>
      </c>
    </row>
    <row r="89" spans="1:20" ht="21" customHeight="1" thickBot="1">
      <c r="A89" s="22" t="str">
        <f t="shared" si="4"/>
        <v>13231</v>
      </c>
      <c r="B89" s="2">
        <v>114</v>
      </c>
      <c r="C89" s="10" t="str">
        <f t="shared" ca="1" si="5"/>
        <v>1PremiumSS5</v>
      </c>
      <c r="D89" s="10" t="str">
        <f t="shared" ca="1" si="6"/>
        <v>1PremiumSS5</v>
      </c>
      <c r="E89" s="10" t="str">
        <f t="shared" si="7"/>
        <v/>
      </c>
      <c r="F89" s="6">
        <v>1</v>
      </c>
      <c r="G89" s="7">
        <v>323</v>
      </c>
      <c r="H89" s="10" t="str">
        <f ca="1">VLOOKUP($G89,OFFSET([1]characters!$A$2,0,0,COUNTA([1]characters!$A:$A),MATCH(H$1,[1]characters!$2:$2,0)-MATCH($G$1,[1]characters!$2:$2,0)+1),MATCH(H$1,[1]characters!$2:$2,0)-MATCH($G$1,[1]characters!$2:$2,0)+1,FALSE)</f>
        <v>流麗の愛志士 土方歳三</v>
      </c>
      <c r="I89" s="10" t="str">
        <f ca="1">VLOOKUP($G89,OFFSET([1]characters!$A$2,0,0,COUNTA([1]characters!$A:$A),MATCH(I$1,[1]characters!$2:$2,0)-MATCH($G$1,[1]characters!$2:$2,0)+1),MATCH(I$1,[1]characters!$2:$2,0)-MATCH($G$1,[1]characters!$2:$2,0)+1,FALSE)</f>
        <v>PremiumSS</v>
      </c>
      <c r="J89" s="10">
        <f ca="1">VLOOKUP($G89,OFFSET([1]characters!$A$2,0,0,COUNTA([1]characters!$A:$A),MATCH(J$1,[1]characters!$2:$2,0)-MATCH($G$1,[1]characters!$2:$2,0)+1),MATCH(J$1,[1]characters!$2:$2,0)-MATCH($G$1,[1]characters!$2:$2,0)+1,FALSE)</f>
        <v>5</v>
      </c>
      <c r="K89" s="10" t="str">
        <f ca="1">VLOOKUP($G89,OFFSET([1]characters!$A$2,0,0,COUNTA([1]characters!$A:$A),MATCH(K$1,[1]characters!$2:$2,0)-MATCH($G$1,[1]characters!$2:$2,0)+1),MATCH(K$1,[1]characters!$2:$2,0)-MATCH($G$1,[1]characters!$2:$2,0)+1,FALSE)</f>
        <v>green</v>
      </c>
      <c r="L89" s="10" t="str">
        <f ca="1">VLOOKUP($G89,OFFSET([1]characters!$A$2,0,0,COUNTA([1]characters!$A:$A),MATCH("タイプ",[1]characters!$1:$1,0)-MATCH($G$1,[1]characters!$2:$2,0)+2),MATCH("タイプ",[1]characters!$1:$1,0)-MATCH($G$1,[1]characters!$2:$2,0)+2,FALSE)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89" s="10" t="str">
        <f ca="1">VLOOKUP($G89,OFFSET([1]characters!$A$2,0,0,COUNTA([1]characters!$A:$A),MATCH($M$1,[1]characters!$1:$1,0)-MATCH($G$1,[1]characters!$2:$2,0)+2),MATCH($M$1,[1]characters!$1:$1,0)-MATCH($G$1,[1]characters!$2:$2,0)+2,FALSE)</f>
        <v>ヒューマン</v>
      </c>
      <c r="N89" s="6">
        <v>1</v>
      </c>
      <c r="O89" s="43">
        <f ca="1">VLOOKUP(D89,gacha_114_base!A:K,11,FALSE)</f>
        <v>5</v>
      </c>
      <c r="P89" s="28">
        <v>0</v>
      </c>
      <c r="Q89" s="28">
        <v>0</v>
      </c>
      <c r="R89" s="28">
        <v>0</v>
      </c>
      <c r="S89" s="28">
        <v>0</v>
      </c>
      <c r="T89" s="28">
        <v>1</v>
      </c>
    </row>
    <row r="90" spans="1:20" ht="21" customHeight="1" thickBot="1">
      <c r="A90" s="22" t="str">
        <f t="shared" si="4"/>
        <v>13241</v>
      </c>
      <c r="B90" s="2">
        <v>114</v>
      </c>
      <c r="C90" s="10" t="str">
        <f t="shared" ca="1" si="5"/>
        <v>1PremiumSS4</v>
      </c>
      <c r="D90" s="10" t="str">
        <f t="shared" ca="1" si="6"/>
        <v>1PremiumSS4</v>
      </c>
      <c r="E90" s="10" t="str">
        <f t="shared" si="7"/>
        <v/>
      </c>
      <c r="F90" s="6">
        <v>1</v>
      </c>
      <c r="G90" s="7">
        <v>324</v>
      </c>
      <c r="H90" s="10" t="str">
        <f ca="1">VLOOKUP($G90,OFFSET([1]characters!$A$2,0,0,COUNTA([1]characters!$A:$A),MATCH(H$1,[1]characters!$2:$2,0)-MATCH($G$1,[1]characters!$2:$2,0)+1),MATCH(H$1,[1]characters!$2:$2,0)-MATCH($G$1,[1]characters!$2:$2,0)+1,FALSE)</f>
        <v>凛志士 沖田総司</v>
      </c>
      <c r="I90" s="10" t="str">
        <f ca="1">VLOOKUP($G90,OFFSET([1]characters!$A$2,0,0,COUNTA([1]characters!$A:$A),MATCH(I$1,[1]characters!$2:$2,0)-MATCH($G$1,[1]characters!$2:$2,0)+1),MATCH(I$1,[1]characters!$2:$2,0)-MATCH($G$1,[1]characters!$2:$2,0)+1,FALSE)</f>
        <v>PremiumSS</v>
      </c>
      <c r="J90" s="10">
        <f ca="1">VLOOKUP($G90,OFFSET([1]characters!$A$2,0,0,COUNTA([1]characters!$A:$A),MATCH(J$1,[1]characters!$2:$2,0)-MATCH($G$1,[1]characters!$2:$2,0)+1),MATCH(J$1,[1]characters!$2:$2,0)-MATCH($G$1,[1]characters!$2:$2,0)+1,FALSE)</f>
        <v>4</v>
      </c>
      <c r="K90" s="10" t="str">
        <f ca="1">VLOOKUP($G90,OFFSET([1]characters!$A$2,0,0,COUNTA([1]characters!$A:$A),MATCH(K$1,[1]characters!$2:$2,0)-MATCH($G$1,[1]characters!$2:$2,0)+1),MATCH(K$1,[1]characters!$2:$2,0)-MATCH($G$1,[1]characters!$2:$2,0)+1,FALSE)</f>
        <v>blue</v>
      </c>
      <c r="L90" s="10" t="str">
        <f ca="1">VLOOKUP($G90,OFFSET([1]characters!$A$2,0,0,COUNTA([1]characters!$A:$A),MATCH("タイプ",[1]characters!$1:$1,0)-MATCH($G$1,[1]characters!$2:$2,0)+2),MATCH("タイプ",[1]characters!$1:$1,0)-MATCH($G$1,[1]characters!$2:$2,0)+2,FALSE)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90" s="10" t="str">
        <f ca="1">VLOOKUP($G90,OFFSET([1]characters!$A$2,0,0,COUNTA([1]characters!$A:$A),MATCH($M$1,[1]characters!$1:$1,0)-MATCH($G$1,[1]characters!$2:$2,0)+2),MATCH($M$1,[1]characters!$1:$1,0)-MATCH($G$1,[1]characters!$2:$2,0)+2,FALSE)</f>
        <v>ヒューマン</v>
      </c>
      <c r="N90" s="6">
        <v>1</v>
      </c>
      <c r="O90" s="43">
        <f ca="1">VLOOKUP(D90,gacha_114_base!A:K,11,FALSE)</f>
        <v>120</v>
      </c>
      <c r="P90" s="28">
        <v>0</v>
      </c>
      <c r="Q90" s="28">
        <v>0</v>
      </c>
      <c r="R90" s="28">
        <v>0</v>
      </c>
      <c r="S90" s="28">
        <v>0</v>
      </c>
      <c r="T90" s="28">
        <v>1</v>
      </c>
    </row>
    <row r="91" spans="1:20" ht="21" customHeight="1" thickBot="1">
      <c r="A91" s="22" t="str">
        <f t="shared" si="4"/>
        <v>13251</v>
      </c>
      <c r="B91" s="2">
        <v>114</v>
      </c>
      <c r="C91" s="10" t="str">
        <f t="shared" ca="1" si="5"/>
        <v>1PremiumSS5</v>
      </c>
      <c r="D91" s="10" t="str">
        <f t="shared" ca="1" si="6"/>
        <v>1PremiumSS5</v>
      </c>
      <c r="E91" s="10" t="str">
        <f t="shared" si="7"/>
        <v/>
      </c>
      <c r="F91" s="6">
        <v>1</v>
      </c>
      <c r="G91" s="7">
        <v>325</v>
      </c>
      <c r="H91" s="10" t="str">
        <f ca="1">VLOOKUP($G91,OFFSET([1]characters!$A$2,0,0,COUNTA([1]characters!$A:$A),MATCH(H$1,[1]characters!$2:$2,0)-MATCH($G$1,[1]characters!$2:$2,0)+1),MATCH(H$1,[1]characters!$2:$2,0)-MATCH($G$1,[1]characters!$2:$2,0)+1,FALSE)</f>
        <v>天賦の凛志士 沖田総司</v>
      </c>
      <c r="I91" s="10" t="str">
        <f ca="1">VLOOKUP($G91,OFFSET([1]characters!$A$2,0,0,COUNTA([1]characters!$A:$A),MATCH(I$1,[1]characters!$2:$2,0)-MATCH($G$1,[1]characters!$2:$2,0)+1),MATCH(I$1,[1]characters!$2:$2,0)-MATCH($G$1,[1]characters!$2:$2,0)+1,FALSE)</f>
        <v>PremiumSS</v>
      </c>
      <c r="J91" s="10">
        <f ca="1">VLOOKUP($G91,OFFSET([1]characters!$A$2,0,0,COUNTA([1]characters!$A:$A),MATCH(J$1,[1]characters!$2:$2,0)-MATCH($G$1,[1]characters!$2:$2,0)+1),MATCH(J$1,[1]characters!$2:$2,0)-MATCH($G$1,[1]characters!$2:$2,0)+1,FALSE)</f>
        <v>5</v>
      </c>
      <c r="K91" s="10" t="str">
        <f ca="1">VLOOKUP($G91,OFFSET([1]characters!$A$2,0,0,COUNTA([1]characters!$A:$A),MATCH(K$1,[1]characters!$2:$2,0)-MATCH($G$1,[1]characters!$2:$2,0)+1),MATCH(K$1,[1]characters!$2:$2,0)-MATCH($G$1,[1]characters!$2:$2,0)+1,FALSE)</f>
        <v>blue</v>
      </c>
      <c r="L91" s="10" t="str">
        <f ca="1">VLOOKUP($G91,OFFSET([1]characters!$A$2,0,0,COUNTA([1]characters!$A:$A),MATCH("タイプ",[1]characters!$1:$1,0)-MATCH($G$1,[1]characters!$2:$2,0)+2),MATCH("タイプ",[1]characters!$1:$1,0)-MATCH($G$1,[1]characters!$2:$2,0)+2,FALSE)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91" s="10" t="str">
        <f ca="1">VLOOKUP($G91,OFFSET([1]characters!$A$2,0,0,COUNTA([1]characters!$A:$A),MATCH($M$1,[1]characters!$1:$1,0)-MATCH($G$1,[1]characters!$2:$2,0)+2),MATCH($M$1,[1]characters!$1:$1,0)-MATCH($G$1,[1]characters!$2:$2,0)+2,FALSE)</f>
        <v>ヒューマン</v>
      </c>
      <c r="N91" s="6">
        <v>1</v>
      </c>
      <c r="O91" s="43">
        <f ca="1">VLOOKUP(D91,gacha_114_base!A:K,11,FALSE)</f>
        <v>5</v>
      </c>
      <c r="P91" s="28">
        <v>0</v>
      </c>
      <c r="Q91" s="28">
        <v>0</v>
      </c>
      <c r="R91" s="28">
        <v>0</v>
      </c>
      <c r="S91" s="28">
        <v>0</v>
      </c>
      <c r="T91" s="28">
        <v>1</v>
      </c>
    </row>
    <row r="92" spans="1:20" ht="21" customHeight="1" thickBot="1">
      <c r="A92" s="22" t="str">
        <f t="shared" si="4"/>
        <v>13261</v>
      </c>
      <c r="B92" s="2">
        <v>114</v>
      </c>
      <c r="C92" s="10" t="str">
        <f t="shared" ca="1" si="5"/>
        <v>1PremiumSS4</v>
      </c>
      <c r="D92" s="10" t="str">
        <f t="shared" ca="1" si="6"/>
        <v>1PremiumSS4</v>
      </c>
      <c r="E92" s="10" t="str">
        <f t="shared" si="7"/>
        <v/>
      </c>
      <c r="F92" s="34">
        <v>1</v>
      </c>
      <c r="G92" s="35">
        <v>326</v>
      </c>
      <c r="H92" s="36" t="str">
        <f ca="1">VLOOKUP($G92,OFFSET([1]characters!$A$2,0,0,COUNTA([1]characters!$A:$A),MATCH(H$1,[1]characters!$2:$2,0)-MATCH($G$1,[1]characters!$2:$2,0)+1),MATCH(H$1,[1]characters!$2:$2,0)-MATCH($G$1,[1]characters!$2:$2,0)+1,FALSE)</f>
        <v>妖志士 斎藤一</v>
      </c>
      <c r="I92" s="36" t="str">
        <f ca="1">VLOOKUP($G92,OFFSET([1]characters!$A$2,0,0,COUNTA([1]characters!$A:$A),MATCH(I$1,[1]characters!$2:$2,0)-MATCH($G$1,[1]characters!$2:$2,0)+1),MATCH(I$1,[1]characters!$2:$2,0)-MATCH($G$1,[1]characters!$2:$2,0)+1,FALSE)</f>
        <v>PremiumSS</v>
      </c>
      <c r="J92" s="36">
        <f ca="1">VLOOKUP($G92,OFFSET([1]characters!$A$2,0,0,COUNTA([1]characters!$A:$A),MATCH(J$1,[1]characters!$2:$2,0)-MATCH($G$1,[1]characters!$2:$2,0)+1),MATCH(J$1,[1]characters!$2:$2,0)-MATCH($G$1,[1]characters!$2:$2,0)+1,FALSE)</f>
        <v>4</v>
      </c>
      <c r="K92" s="36" t="str">
        <f ca="1">VLOOKUP($G92,OFFSET([1]characters!$A$2,0,0,COUNTA([1]characters!$A:$A),MATCH(K$1,[1]characters!$2:$2,0)-MATCH($G$1,[1]characters!$2:$2,0)+1),MATCH(K$1,[1]characters!$2:$2,0)-MATCH($G$1,[1]characters!$2:$2,0)+1,FALSE)</f>
        <v>yellow</v>
      </c>
      <c r="L92" s="36" t="str">
        <f ca="1">VLOOKUP($G92,OFFSET([1]characters!$A$2,0,0,COUNTA([1]characters!$A:$A),MATCH("タイプ",[1]characters!$1:$1,0)-MATCH($G$1,[1]characters!$2:$2,0)+2),MATCH("タイプ",[1]characters!$1:$1,0)-MATCH($G$1,[1]characters!$2:$2,0)+2,FALSE)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92" s="36" t="str">
        <f ca="1">VLOOKUP($G92,OFFSET([1]characters!$A$2,0,0,COUNTA([1]characters!$A:$A),MATCH($M$1,[1]characters!$1:$1,0)-MATCH($G$1,[1]characters!$2:$2,0)+2),MATCH($M$1,[1]characters!$1:$1,0)-MATCH($G$1,[1]characters!$2:$2,0)+2,FALSE)</f>
        <v>ヒューマン</v>
      </c>
      <c r="N92" s="34">
        <v>1</v>
      </c>
      <c r="O92" s="43">
        <f ca="1">VLOOKUP(D92,gacha_114_base!A:K,11,FALSE)</f>
        <v>120</v>
      </c>
      <c r="P92" s="37">
        <v>0</v>
      </c>
      <c r="Q92" s="37">
        <v>0</v>
      </c>
      <c r="R92" s="37">
        <v>0</v>
      </c>
      <c r="S92" s="37">
        <v>0</v>
      </c>
      <c r="T92" s="37">
        <v>1</v>
      </c>
    </row>
    <row r="93" spans="1:20" ht="21" customHeight="1" thickBot="1">
      <c r="A93" s="22" t="str">
        <f t="shared" si="4"/>
        <v>13271</v>
      </c>
      <c r="B93" s="2">
        <v>114</v>
      </c>
      <c r="C93" s="10" t="str">
        <f t="shared" ca="1" si="5"/>
        <v>1PremiumSS5</v>
      </c>
      <c r="D93" s="10" t="str">
        <f t="shared" ca="1" si="6"/>
        <v>1PremiumSS5</v>
      </c>
      <c r="E93" s="10" t="str">
        <f t="shared" si="7"/>
        <v/>
      </c>
      <c r="F93" s="6">
        <v>1</v>
      </c>
      <c r="G93" s="7">
        <v>327</v>
      </c>
      <c r="H93" s="10" t="str">
        <f ca="1">VLOOKUP($G93,OFFSET([1]characters!$A$2,0,0,COUNTA([1]characters!$A:$A),MATCH(H$1,[1]characters!$2:$2,0)-MATCH($G$1,[1]characters!$2:$2,0)+1),MATCH(H$1,[1]characters!$2:$2,0)-MATCH($G$1,[1]characters!$2:$2,0)+1,FALSE)</f>
        <v>千殺の妖志士 斎藤一</v>
      </c>
      <c r="I93" s="10" t="str">
        <f ca="1">VLOOKUP($G93,OFFSET([1]characters!$A$2,0,0,COUNTA([1]characters!$A:$A),MATCH(I$1,[1]characters!$2:$2,0)-MATCH($G$1,[1]characters!$2:$2,0)+1),MATCH(I$1,[1]characters!$2:$2,0)-MATCH($G$1,[1]characters!$2:$2,0)+1,FALSE)</f>
        <v>PremiumSS</v>
      </c>
      <c r="J93" s="10">
        <f ca="1">VLOOKUP($G93,OFFSET([1]characters!$A$2,0,0,COUNTA([1]characters!$A:$A),MATCH(J$1,[1]characters!$2:$2,0)-MATCH($G$1,[1]characters!$2:$2,0)+1),MATCH(J$1,[1]characters!$2:$2,0)-MATCH($G$1,[1]characters!$2:$2,0)+1,FALSE)</f>
        <v>5</v>
      </c>
      <c r="K93" s="10" t="str">
        <f ca="1">VLOOKUP($G93,OFFSET([1]characters!$A$2,0,0,COUNTA([1]characters!$A:$A),MATCH(K$1,[1]characters!$2:$2,0)-MATCH($G$1,[1]characters!$2:$2,0)+1),MATCH(K$1,[1]characters!$2:$2,0)-MATCH($G$1,[1]characters!$2:$2,0)+1,FALSE)</f>
        <v>yellow</v>
      </c>
      <c r="L93" s="10" t="str">
        <f ca="1">VLOOKUP($G93,OFFSET([1]characters!$A$2,0,0,COUNTA([1]characters!$A:$A),MATCH("タイプ",[1]characters!$1:$1,0)-MATCH($G$1,[1]characters!$2:$2,0)+2),MATCH("タイプ",[1]characters!$1:$1,0)-MATCH($G$1,[1]characters!$2:$2,0)+2,FALSE)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93" s="10" t="str">
        <f ca="1">VLOOKUP($G93,OFFSET([1]characters!$A$2,0,0,COUNTA([1]characters!$A:$A),MATCH($M$1,[1]characters!$1:$1,0)-MATCH($G$1,[1]characters!$2:$2,0)+2),MATCH($M$1,[1]characters!$1:$1,0)-MATCH($G$1,[1]characters!$2:$2,0)+2,FALSE)</f>
        <v>ヒューマン</v>
      </c>
      <c r="N93" s="6">
        <v>1</v>
      </c>
      <c r="O93" s="43">
        <f ca="1">VLOOKUP(D93,gacha_114_base!A:K,11,FALSE)</f>
        <v>5</v>
      </c>
      <c r="P93" s="28">
        <v>0</v>
      </c>
      <c r="Q93" s="28">
        <v>0</v>
      </c>
      <c r="R93" s="28">
        <v>0</v>
      </c>
      <c r="S93" s="28">
        <v>0</v>
      </c>
      <c r="T93" s="28">
        <v>1</v>
      </c>
    </row>
    <row r="94" spans="1:20" ht="21" customHeight="1" thickBot="1">
      <c r="A94" s="22" t="str">
        <f t="shared" ref="A94:A101" si="8">F94&amp;G94&amp;N94</f>
        <v>13811</v>
      </c>
      <c r="B94" s="2">
        <v>114</v>
      </c>
      <c r="C94" s="10" t="str">
        <f ca="1">F94&amp;I94&amp;J94&amp;"new"</f>
        <v>1PremiumS4new</v>
      </c>
      <c r="D94" s="10" t="str">
        <f t="shared" ca="1" si="6"/>
        <v>1PremiumSpick4</v>
      </c>
      <c r="E94" s="10" t="str">
        <f t="shared" si="7"/>
        <v>pick</v>
      </c>
      <c r="F94" s="6">
        <v>1</v>
      </c>
      <c r="G94" s="27">
        <v>381</v>
      </c>
      <c r="H94" s="10" t="str">
        <f ca="1">VLOOKUP($G94,OFFSET([1]characters!$A$2,0,0,COUNTA([1]characters!$A:$A),MATCH(H$1,[1]characters!$2:$2,0)-MATCH($G$1,[1]characters!$2:$2,0)+1),MATCH(H$1,[1]characters!$2:$2,0)-MATCH($G$1,[1]characters!$2:$2,0)+1,FALSE)</f>
        <v>肉食の恋火 バハムート</v>
      </c>
      <c r="I94" s="10" t="str">
        <f ca="1">VLOOKUP($G94,OFFSET([1]characters!$A$2,0,0,COUNTA([1]characters!$A:$A),MATCH(I$1,[1]characters!$2:$2,0)-MATCH($G$1,[1]characters!$2:$2,0)+1),MATCH(I$1,[1]characters!$2:$2,0)-MATCH($G$1,[1]characters!$2:$2,0)+1,FALSE)</f>
        <v>PremiumS</v>
      </c>
      <c r="J94" s="10">
        <f ca="1">VLOOKUP($G94,OFFSET([1]characters!$A$2,0,0,COUNTA([1]characters!$A:$A),MATCH(J$1,[1]characters!$2:$2,0)-MATCH($G$1,[1]characters!$2:$2,0)+1),MATCH(J$1,[1]characters!$2:$2,0)-MATCH($G$1,[1]characters!$2:$2,0)+1,FALSE)</f>
        <v>4</v>
      </c>
      <c r="K94" s="10" t="str">
        <f ca="1">VLOOKUP($G94,OFFSET([1]characters!$A$2,0,0,COUNTA([1]characters!$A:$A),MATCH(K$1,[1]characters!$2:$2,0)-MATCH($G$1,[1]characters!$2:$2,0)+1),MATCH(K$1,[1]characters!$2:$2,0)-MATCH($G$1,[1]characters!$2:$2,0)+1,FALSE)</f>
        <v>red</v>
      </c>
      <c r="L94" s="10" t="str">
        <f ca="1">VLOOKUP($G94,OFFSET([1]characters!$A$2,0,0,COUNTA([1]characters!$A:$A),MATCH("タイプ",[1]characters!$1:$1,0)-MATCH($G$1,[1]characters!$2:$2,0)+2),MATCH("タイプ",[1]characters!$1:$1,0)-MATCH($G$1,[1]characters!$2:$2,0)+2,FALSE)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94" s="10" t="str">
        <f ca="1">VLOOKUP($G94,OFFSET([1]characters!$A$2,0,0,COUNTA([1]characters!$A:$A),MATCH($M$1,[1]characters!$1:$1,0)-MATCH($G$1,[1]characters!$2:$2,0)+2),MATCH($M$1,[1]characters!$1:$1,0)-MATCH($G$1,[1]characters!$2:$2,0)+2,FALSE)</f>
        <v>ドラゴン</v>
      </c>
      <c r="N94" s="6">
        <v>1</v>
      </c>
      <c r="O94" s="43">
        <f ca="1">VLOOKUP(D94,gacha_114_base!A:K,11,FALSE)</f>
        <v>4800</v>
      </c>
      <c r="P94" s="28">
        <v>0</v>
      </c>
      <c r="Q94" s="28">
        <v>0</v>
      </c>
      <c r="R94" s="28">
        <v>0</v>
      </c>
      <c r="S94" s="28">
        <v>0</v>
      </c>
      <c r="T94" s="28">
        <v>1</v>
      </c>
    </row>
    <row r="95" spans="1:20" ht="21" customHeight="1" thickBot="1">
      <c r="A95" s="22" t="str">
        <f t="shared" si="8"/>
        <v>13821</v>
      </c>
      <c r="B95" s="2">
        <v>114</v>
      </c>
      <c r="C95" s="10" t="str">
        <f t="shared" ref="C95:C101" ca="1" si="9">F95&amp;I95&amp;J95&amp;"new"</f>
        <v>1PremiumS5new</v>
      </c>
      <c r="D95" s="10" t="str">
        <f t="shared" ca="1" si="6"/>
        <v>1PremiumSpick5</v>
      </c>
      <c r="E95" s="10" t="str">
        <f t="shared" si="7"/>
        <v>pick</v>
      </c>
      <c r="F95" s="6">
        <v>1</v>
      </c>
      <c r="G95" s="27">
        <v>382</v>
      </c>
      <c r="H95" s="10" t="str">
        <f ca="1">VLOOKUP($G95,OFFSET([1]characters!$A$2,0,0,COUNTA([1]characters!$A:$A),MATCH(H$1,[1]characters!$2:$2,0)-MATCH($G$1,[1]characters!$2:$2,0)+1),MATCH(H$1,[1]characters!$2:$2,0)-MATCH($G$1,[1]characters!$2:$2,0)+1,FALSE)</f>
        <v>激情の愛炎 バハムート</v>
      </c>
      <c r="I95" s="10" t="str">
        <f ca="1">VLOOKUP($G95,OFFSET([1]characters!$A$2,0,0,COUNTA([1]characters!$A:$A),MATCH(I$1,[1]characters!$2:$2,0)-MATCH($G$1,[1]characters!$2:$2,0)+1),MATCH(I$1,[1]characters!$2:$2,0)-MATCH($G$1,[1]characters!$2:$2,0)+1,FALSE)</f>
        <v>PremiumS</v>
      </c>
      <c r="J95" s="10">
        <f ca="1">VLOOKUP($G95,OFFSET([1]characters!$A$2,0,0,COUNTA([1]characters!$A:$A),MATCH(J$1,[1]characters!$2:$2,0)-MATCH($G$1,[1]characters!$2:$2,0)+1),MATCH(J$1,[1]characters!$2:$2,0)-MATCH($G$1,[1]characters!$2:$2,0)+1,FALSE)</f>
        <v>5</v>
      </c>
      <c r="K95" s="10" t="str">
        <f ca="1">VLOOKUP($G95,OFFSET([1]characters!$A$2,0,0,COUNTA([1]characters!$A:$A),MATCH(K$1,[1]characters!$2:$2,0)-MATCH($G$1,[1]characters!$2:$2,0)+1),MATCH(K$1,[1]characters!$2:$2,0)-MATCH($G$1,[1]characters!$2:$2,0)+1,FALSE)</f>
        <v>red</v>
      </c>
      <c r="L95" s="10" t="str">
        <f ca="1">VLOOKUP($G95,OFFSET([1]characters!$A$2,0,0,COUNTA([1]characters!$A:$A),MATCH("タイプ",[1]characters!$1:$1,0)-MATCH($G$1,[1]characters!$2:$2,0)+2),MATCH("タイプ",[1]characters!$1:$1,0)-MATCH($G$1,[1]characters!$2:$2,0)+2,FALSE)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95" s="10" t="str">
        <f ca="1">VLOOKUP($G95,OFFSET([1]characters!$A$2,0,0,COUNTA([1]characters!$A:$A),MATCH($M$1,[1]characters!$1:$1,0)-MATCH($G$1,[1]characters!$2:$2,0)+2),MATCH($M$1,[1]characters!$1:$1,0)-MATCH($G$1,[1]characters!$2:$2,0)+2,FALSE)</f>
        <v>ドラゴン</v>
      </c>
      <c r="N95" s="6">
        <v>1</v>
      </c>
      <c r="O95" s="43">
        <f ca="1">VLOOKUP(D95,gacha_114_base!A:K,11,FALSE)</f>
        <v>200</v>
      </c>
      <c r="P95" s="28">
        <v>0</v>
      </c>
      <c r="Q95" s="28">
        <v>0</v>
      </c>
      <c r="R95" s="28">
        <v>0</v>
      </c>
      <c r="S95" s="28">
        <v>0</v>
      </c>
      <c r="T95" s="28">
        <v>1</v>
      </c>
    </row>
    <row r="96" spans="1:20" ht="21" customHeight="1" thickBot="1">
      <c r="A96" s="22" t="str">
        <f t="shared" si="8"/>
        <v>13831</v>
      </c>
      <c r="B96" s="2">
        <v>114</v>
      </c>
      <c r="C96" s="10" t="str">
        <f t="shared" ca="1" si="9"/>
        <v>1PremiumSS4new</v>
      </c>
      <c r="D96" s="10" t="str">
        <f t="shared" ca="1" si="6"/>
        <v>1PremiumSSpick4</v>
      </c>
      <c r="E96" s="10" t="str">
        <f t="shared" si="7"/>
        <v>pick</v>
      </c>
      <c r="F96" s="6">
        <v>1</v>
      </c>
      <c r="G96" s="27">
        <v>383</v>
      </c>
      <c r="H96" s="10" t="str">
        <f ca="1">VLOOKUP($G96,OFFSET([1]characters!$A$2,0,0,COUNTA([1]characters!$A:$A),MATCH(H$1,[1]characters!$2:$2,0)-MATCH($G$1,[1]characters!$2:$2,0)+1),MATCH(H$1,[1]characters!$2:$2,0)-MATCH($G$1,[1]characters!$2:$2,0)+1,FALSE)</f>
        <v>酒宴の蟒蛇 ヤマタノオロチ</v>
      </c>
      <c r="I96" s="10" t="str">
        <f ca="1">VLOOKUP($G96,OFFSET([1]characters!$A$2,0,0,COUNTA([1]characters!$A:$A),MATCH(I$1,[1]characters!$2:$2,0)-MATCH($G$1,[1]characters!$2:$2,0)+1),MATCH(I$1,[1]characters!$2:$2,0)-MATCH($G$1,[1]characters!$2:$2,0)+1,FALSE)</f>
        <v>PremiumSS</v>
      </c>
      <c r="J96" s="10">
        <f ca="1">VLOOKUP($G96,OFFSET([1]characters!$A$2,0,0,COUNTA([1]characters!$A:$A),MATCH(J$1,[1]characters!$2:$2,0)-MATCH($G$1,[1]characters!$2:$2,0)+1),MATCH(J$1,[1]characters!$2:$2,0)-MATCH($G$1,[1]characters!$2:$2,0)+1,FALSE)</f>
        <v>4</v>
      </c>
      <c r="K96" s="10" t="str">
        <f ca="1">VLOOKUP($G96,OFFSET([1]characters!$A$2,0,0,COUNTA([1]characters!$A:$A),MATCH(K$1,[1]characters!$2:$2,0)-MATCH($G$1,[1]characters!$2:$2,0)+1),MATCH(K$1,[1]characters!$2:$2,0)-MATCH($G$1,[1]characters!$2:$2,0)+1,FALSE)</f>
        <v>green</v>
      </c>
      <c r="L96" s="10" t="str">
        <f ca="1">VLOOKUP($G96,OFFSET([1]characters!$A$2,0,0,COUNTA([1]characters!$A:$A),MATCH("タイプ",[1]characters!$1:$1,0)-MATCH($G$1,[1]characters!$2:$2,0)+2),MATCH("タイプ",[1]characters!$1:$1,0)-MATCH($G$1,[1]characters!$2:$2,0)+2,FALSE)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96" s="10" t="str">
        <f ca="1">VLOOKUP($G96,OFFSET([1]characters!$A$2,0,0,COUNTA([1]characters!$A:$A),MATCH($M$1,[1]characters!$1:$1,0)-MATCH($G$1,[1]characters!$2:$2,0)+2),MATCH($M$1,[1]characters!$1:$1,0)-MATCH($G$1,[1]characters!$2:$2,0)+2,FALSE)</f>
        <v>ドラゴン</v>
      </c>
      <c r="N96" s="6">
        <v>1</v>
      </c>
      <c r="O96" s="43">
        <f ca="1">VLOOKUP(D96,gacha_114_base!A:K,11,FALSE)</f>
        <v>960</v>
      </c>
      <c r="P96" s="28">
        <v>0</v>
      </c>
      <c r="Q96" s="28">
        <v>0</v>
      </c>
      <c r="R96" s="28">
        <v>0</v>
      </c>
      <c r="S96" s="28">
        <v>0</v>
      </c>
      <c r="T96" s="28">
        <v>1</v>
      </c>
    </row>
    <row r="97" spans="1:20" ht="21" customHeight="1" thickBot="1">
      <c r="A97" s="22" t="str">
        <f t="shared" si="8"/>
        <v>13841</v>
      </c>
      <c r="B97" s="2">
        <v>114</v>
      </c>
      <c r="C97" s="10" t="str">
        <f t="shared" ca="1" si="9"/>
        <v>1PremiumSS5new</v>
      </c>
      <c r="D97" s="10" t="str">
        <f t="shared" ca="1" si="6"/>
        <v>1PremiumSSpick5</v>
      </c>
      <c r="E97" s="10" t="str">
        <f t="shared" si="7"/>
        <v>pick</v>
      </c>
      <c r="F97" s="6">
        <v>1</v>
      </c>
      <c r="G97" s="27">
        <v>384</v>
      </c>
      <c r="H97" s="10" t="str">
        <f ca="1">VLOOKUP($G97,OFFSET([1]characters!$A$2,0,0,COUNTA([1]characters!$A:$A),MATCH(H$1,[1]characters!$2:$2,0)-MATCH($G$1,[1]characters!$2:$2,0)+1),MATCH(H$1,[1]characters!$2:$2,0)-MATCH($G$1,[1]characters!$2:$2,0)+1,FALSE)</f>
        <v>破国の呑龍 ヤマタノオロチ</v>
      </c>
      <c r="I97" s="10" t="str">
        <f ca="1">VLOOKUP($G97,OFFSET([1]characters!$A$2,0,0,COUNTA([1]characters!$A:$A),MATCH(I$1,[1]characters!$2:$2,0)-MATCH($G$1,[1]characters!$2:$2,0)+1),MATCH(I$1,[1]characters!$2:$2,0)-MATCH($G$1,[1]characters!$2:$2,0)+1,FALSE)</f>
        <v>PremiumSS</v>
      </c>
      <c r="J97" s="10">
        <f ca="1">VLOOKUP($G97,OFFSET([1]characters!$A$2,0,0,COUNTA([1]characters!$A:$A),MATCH(J$1,[1]characters!$2:$2,0)-MATCH($G$1,[1]characters!$2:$2,0)+1),MATCH(J$1,[1]characters!$2:$2,0)-MATCH($G$1,[1]characters!$2:$2,0)+1,FALSE)</f>
        <v>5</v>
      </c>
      <c r="K97" s="10" t="str">
        <f ca="1">VLOOKUP($G97,OFFSET([1]characters!$A$2,0,0,COUNTA([1]characters!$A:$A),MATCH(K$1,[1]characters!$2:$2,0)-MATCH($G$1,[1]characters!$2:$2,0)+1),MATCH(K$1,[1]characters!$2:$2,0)-MATCH($G$1,[1]characters!$2:$2,0)+1,FALSE)</f>
        <v>green</v>
      </c>
      <c r="L97" s="10" t="str">
        <f ca="1">VLOOKUP($G97,OFFSET([1]characters!$A$2,0,0,COUNTA([1]characters!$A:$A),MATCH("タイプ",[1]characters!$1:$1,0)-MATCH($G$1,[1]characters!$2:$2,0)+2),MATCH("タイプ",[1]characters!$1:$1,0)-MATCH($G$1,[1]characters!$2:$2,0)+2,FALSE)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97" s="10" t="str">
        <f ca="1">VLOOKUP($G97,OFFSET([1]characters!$A$2,0,0,COUNTA([1]characters!$A:$A),MATCH($M$1,[1]characters!$1:$1,0)-MATCH($G$1,[1]characters!$2:$2,0)+2),MATCH($M$1,[1]characters!$1:$1,0)-MATCH($G$1,[1]characters!$2:$2,0)+2,FALSE)</f>
        <v>ドラゴン</v>
      </c>
      <c r="N97" s="6">
        <v>1</v>
      </c>
      <c r="O97" s="43">
        <f ca="1">VLOOKUP(D97,gacha_114_base!A:K,11,FALSE)</f>
        <v>40</v>
      </c>
      <c r="P97" s="28">
        <v>0</v>
      </c>
      <c r="Q97" s="28">
        <v>0</v>
      </c>
      <c r="R97" s="28">
        <v>0</v>
      </c>
      <c r="S97" s="28">
        <v>0</v>
      </c>
      <c r="T97" s="28">
        <v>1</v>
      </c>
    </row>
    <row r="98" spans="1:20" ht="21" customHeight="1" thickBot="1">
      <c r="A98" s="22" t="str">
        <f t="shared" si="8"/>
        <v>13851</v>
      </c>
      <c r="B98" s="2">
        <v>114</v>
      </c>
      <c r="C98" s="10" t="str">
        <f t="shared" ca="1" si="9"/>
        <v>1PremiumSS4new</v>
      </c>
      <c r="D98" s="10" t="str">
        <f t="shared" ca="1" si="6"/>
        <v>1PremiumSSpick4</v>
      </c>
      <c r="E98" s="10" t="str">
        <f t="shared" si="7"/>
        <v>pick</v>
      </c>
      <c r="F98" s="6">
        <v>1</v>
      </c>
      <c r="G98" s="27">
        <v>385</v>
      </c>
      <c r="H98" s="10" t="str">
        <f ca="1">VLOOKUP($G98,OFFSET([1]characters!$A$2,0,0,COUNTA([1]characters!$A:$A),MATCH(H$1,[1]characters!$2:$2,0)-MATCH($G$1,[1]characters!$2:$2,0)+1),MATCH(H$1,[1]characters!$2:$2,0)-MATCH($G$1,[1]characters!$2:$2,0)+1,FALSE)</f>
        <v>波烈の出奔 リヴァイアサン</v>
      </c>
      <c r="I98" s="10" t="str">
        <f ca="1">VLOOKUP($G98,OFFSET([1]characters!$A$2,0,0,COUNTA([1]characters!$A:$A),MATCH(I$1,[1]characters!$2:$2,0)-MATCH($G$1,[1]characters!$2:$2,0)+1),MATCH(I$1,[1]characters!$2:$2,0)-MATCH($G$1,[1]characters!$2:$2,0)+1,FALSE)</f>
        <v>PremiumSS</v>
      </c>
      <c r="J98" s="10">
        <f ca="1">VLOOKUP($G98,OFFSET([1]characters!$A$2,0,0,COUNTA([1]characters!$A:$A),MATCH(J$1,[1]characters!$2:$2,0)-MATCH($G$1,[1]characters!$2:$2,0)+1),MATCH(J$1,[1]characters!$2:$2,0)-MATCH($G$1,[1]characters!$2:$2,0)+1,FALSE)</f>
        <v>4</v>
      </c>
      <c r="K98" s="10" t="str">
        <f ca="1">VLOOKUP($G98,OFFSET([1]characters!$A$2,0,0,COUNTA([1]characters!$A:$A),MATCH(K$1,[1]characters!$2:$2,0)-MATCH($G$1,[1]characters!$2:$2,0)+1),MATCH(K$1,[1]characters!$2:$2,0)-MATCH($G$1,[1]characters!$2:$2,0)+1,FALSE)</f>
        <v>blue</v>
      </c>
      <c r="L98" s="10" t="str">
        <f ca="1">VLOOKUP($G98,OFFSET([1]characters!$A$2,0,0,COUNTA([1]characters!$A:$A),MATCH("タイプ",[1]characters!$1:$1,0)-MATCH($G$1,[1]characters!$2:$2,0)+2),MATCH("タイプ",[1]characters!$1:$1,0)-MATCH($G$1,[1]characters!$2:$2,0)+2,FALSE)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98" s="10" t="str">
        <f ca="1">VLOOKUP($G98,OFFSET([1]characters!$A$2,0,0,COUNTA([1]characters!$A:$A),MATCH($M$1,[1]characters!$1:$1,0)-MATCH($G$1,[1]characters!$2:$2,0)+2),MATCH($M$1,[1]characters!$1:$1,0)-MATCH($G$1,[1]characters!$2:$2,0)+2,FALSE)</f>
        <v>ドラゴン</v>
      </c>
      <c r="N98" s="6">
        <v>1</v>
      </c>
      <c r="O98" s="43">
        <f ca="1">VLOOKUP(D98,gacha_114_base!A:K,11,FALSE)</f>
        <v>960</v>
      </c>
      <c r="P98" s="28">
        <v>0</v>
      </c>
      <c r="Q98" s="28">
        <v>0</v>
      </c>
      <c r="R98" s="28">
        <v>0</v>
      </c>
      <c r="S98" s="28">
        <v>0</v>
      </c>
      <c r="T98" s="28">
        <v>1</v>
      </c>
    </row>
    <row r="99" spans="1:20" ht="21" customHeight="1" thickBot="1">
      <c r="A99" s="22" t="str">
        <f t="shared" si="8"/>
        <v>13861</v>
      </c>
      <c r="B99" s="2">
        <v>114</v>
      </c>
      <c r="C99" s="10" t="str">
        <f t="shared" ca="1" si="9"/>
        <v>1PremiumSS5new</v>
      </c>
      <c r="D99" s="10" t="str">
        <f t="shared" ca="1" si="6"/>
        <v>1PremiumSSpick5</v>
      </c>
      <c r="E99" s="10" t="str">
        <f t="shared" si="7"/>
        <v>pick</v>
      </c>
      <c r="F99" s="34">
        <v>1</v>
      </c>
      <c r="G99" s="33">
        <v>386</v>
      </c>
      <c r="H99" s="36" t="str">
        <f ca="1">VLOOKUP($G99,OFFSET([1]characters!$A$2,0,0,COUNTA([1]characters!$A:$A),MATCH(H$1,[1]characters!$2:$2,0)-MATCH($G$1,[1]characters!$2:$2,0)+1),MATCH(H$1,[1]characters!$2:$2,0)-MATCH($G$1,[1]characters!$2:$2,0)+1,FALSE)</f>
        <v>氾乱の海龍 リヴァイアサン</v>
      </c>
      <c r="I99" s="36" t="str">
        <f ca="1">VLOOKUP($G99,OFFSET([1]characters!$A$2,0,0,COUNTA([1]characters!$A:$A),MATCH(I$1,[1]characters!$2:$2,0)-MATCH($G$1,[1]characters!$2:$2,0)+1),MATCH(I$1,[1]characters!$2:$2,0)-MATCH($G$1,[1]characters!$2:$2,0)+1,FALSE)</f>
        <v>PremiumSS</v>
      </c>
      <c r="J99" s="36">
        <f ca="1">VLOOKUP($G99,OFFSET([1]characters!$A$2,0,0,COUNTA([1]characters!$A:$A),MATCH(J$1,[1]characters!$2:$2,0)-MATCH($G$1,[1]characters!$2:$2,0)+1),MATCH(J$1,[1]characters!$2:$2,0)-MATCH($G$1,[1]characters!$2:$2,0)+1,FALSE)</f>
        <v>5</v>
      </c>
      <c r="K99" s="36" t="str">
        <f ca="1">VLOOKUP($G99,OFFSET([1]characters!$A$2,0,0,COUNTA([1]characters!$A:$A),MATCH(K$1,[1]characters!$2:$2,0)-MATCH($G$1,[1]characters!$2:$2,0)+1),MATCH(K$1,[1]characters!$2:$2,0)-MATCH($G$1,[1]characters!$2:$2,0)+1,FALSE)</f>
        <v>blue</v>
      </c>
      <c r="L99" s="36" t="str">
        <f ca="1">VLOOKUP($G99,OFFSET([1]characters!$A$2,0,0,COUNTA([1]characters!$A:$A),MATCH("タイプ",[1]characters!$1:$1,0)-MATCH($G$1,[1]characters!$2:$2,0)+2),MATCH("タイプ",[1]characters!$1:$1,0)-MATCH($G$1,[1]characters!$2:$2,0)+2,FALSE)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99" s="36" t="str">
        <f ca="1">VLOOKUP($G99,OFFSET([1]characters!$A$2,0,0,COUNTA([1]characters!$A:$A),MATCH($M$1,[1]characters!$1:$1,0)-MATCH($G$1,[1]characters!$2:$2,0)+2),MATCH($M$1,[1]characters!$1:$1,0)-MATCH($G$1,[1]characters!$2:$2,0)+2,FALSE)</f>
        <v>ドラゴン</v>
      </c>
      <c r="N99" s="34">
        <v>1</v>
      </c>
      <c r="O99" s="43">
        <f ca="1">VLOOKUP(D99,gacha_114_base!A:K,11,FALSE)</f>
        <v>40</v>
      </c>
      <c r="P99" s="37">
        <v>0</v>
      </c>
      <c r="Q99" s="37">
        <v>0</v>
      </c>
      <c r="R99" s="37">
        <v>0</v>
      </c>
      <c r="S99" s="37">
        <v>0</v>
      </c>
      <c r="T99" s="37">
        <v>1</v>
      </c>
    </row>
    <row r="100" spans="1:20" ht="21" customHeight="1">
      <c r="A100" s="32" t="str">
        <f t="shared" ref="A100" si="10">F100&amp;G100&amp;N100</f>
        <v>13881</v>
      </c>
      <c r="B100" s="38">
        <v>114</v>
      </c>
      <c r="C100" s="10" t="str">
        <f t="shared" ca="1" si="9"/>
        <v>1PremiumS4new</v>
      </c>
      <c r="D100" s="10" t="str">
        <f t="shared" ca="1" si="6"/>
        <v>1PremiumSpick4</v>
      </c>
      <c r="E100" s="10" t="str">
        <f t="shared" si="7"/>
        <v>pick</v>
      </c>
      <c r="F100" s="34">
        <v>1</v>
      </c>
      <c r="G100" s="35">
        <v>388</v>
      </c>
      <c r="H100" s="36" t="str">
        <f ca="1">VLOOKUP($G100,OFFSET([1]characters!$A$2,0,0,COUNTA([1]characters!$A:$A),MATCH(H$1,[1]characters!$2:$2,0)-MATCH($G$1,[1]characters!$2:$2,0)+1),MATCH(H$1,[1]characters!$2:$2,0)-MATCH($G$1,[1]characters!$2:$2,0)+1,FALSE)</f>
        <v>神円の恋姫 スフィンクス</v>
      </c>
      <c r="I100" s="36" t="str">
        <f ca="1">VLOOKUP($G100,OFFSET([1]characters!$A$2,0,0,COUNTA([1]characters!$A:$A),MATCH(I$1,[1]characters!$2:$2,0)-MATCH($G$1,[1]characters!$2:$2,0)+1),MATCH(I$1,[1]characters!$2:$2,0)-MATCH($G$1,[1]characters!$2:$2,0)+1,FALSE)</f>
        <v>PremiumS</v>
      </c>
      <c r="J100" s="36">
        <f ca="1">VLOOKUP($G100,OFFSET([1]characters!$A$2,0,0,COUNTA([1]characters!$A:$A),MATCH(J$1,[1]characters!$2:$2,0)-MATCH($G$1,[1]characters!$2:$2,0)+1),MATCH(J$1,[1]characters!$2:$2,0)-MATCH($G$1,[1]characters!$2:$2,0)+1,FALSE)</f>
        <v>4</v>
      </c>
      <c r="K100" s="36" t="str">
        <f ca="1">VLOOKUP($G100,OFFSET([1]characters!$A$2,0,0,COUNTA([1]characters!$A:$A),MATCH(K$1,[1]characters!$2:$2,0)-MATCH($G$1,[1]characters!$2:$2,0)+1),MATCH(K$1,[1]characters!$2:$2,0)-MATCH($G$1,[1]characters!$2:$2,0)+1,FALSE)</f>
        <v>yellow</v>
      </c>
      <c r="L100" s="36" t="str">
        <f ca="1">VLOOKUP($G100,OFFSET([1]characters!$A$2,0,0,COUNTA([1]characters!$A:$A),MATCH("タイプ",[1]characters!$1:$1,0)-MATCH($G$1,[1]characters!$2:$2,0)+2),MATCH("タイプ",[1]characters!$1:$1,0)-MATCH($G$1,[1]characters!$2:$2,0)+2,FALSE)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00" s="36" t="str">
        <f ca="1">VLOOKUP($G100,OFFSET([1]characters!$A$2,0,0,COUNTA([1]characters!$A:$A),MATCH($M$1,[1]characters!$1:$1,0)-MATCH($G$1,[1]characters!$2:$2,0)+2),MATCH($M$1,[1]characters!$1:$1,0)-MATCH($G$1,[1]characters!$2:$2,0)+2,FALSE)</f>
        <v>アニマル</v>
      </c>
      <c r="N100" s="34">
        <v>1</v>
      </c>
      <c r="O100" s="43">
        <f ca="1">VLOOKUP(D100,gacha_114_base!A:K,11,FALSE)</f>
        <v>4800</v>
      </c>
      <c r="P100" s="37">
        <v>0</v>
      </c>
      <c r="Q100" s="37">
        <v>0</v>
      </c>
      <c r="R100" s="37">
        <v>0</v>
      </c>
      <c r="S100" s="37">
        <v>0</v>
      </c>
      <c r="T100" s="37">
        <v>1</v>
      </c>
    </row>
    <row r="101" spans="1:20" s="40" customFormat="1" ht="21" customHeight="1" thickBot="1">
      <c r="A101" s="39" t="str">
        <f t="shared" si="8"/>
        <v>13891</v>
      </c>
      <c r="B101" s="30">
        <v>114</v>
      </c>
      <c r="C101" s="10" t="str">
        <f t="shared" ca="1" si="9"/>
        <v>1PremiumS5new</v>
      </c>
      <c r="D101" s="10" t="str">
        <f t="shared" ca="1" si="6"/>
        <v>1PremiumSpick5</v>
      </c>
      <c r="E101" s="10" t="str">
        <f t="shared" si="7"/>
        <v>pick</v>
      </c>
      <c r="F101" s="24">
        <v>1</v>
      </c>
      <c r="G101" s="25">
        <v>389</v>
      </c>
      <c r="H101" s="23" t="str">
        <f ca="1">VLOOKUP($G101,OFFSET([1]characters!$A$2,0,0,COUNTA([1]characters!$A:$A),MATCH(H$1,[1]characters!$2:$2,0)-MATCH($G$1,[1]characters!$2:$2,0)+1),MATCH(H$1,[1]characters!$2:$2,0)-MATCH($G$1,[1]characters!$2:$2,0)+1,FALSE)</f>
        <v>操神の愛姫 スフィンクス</v>
      </c>
      <c r="I101" s="23" t="str">
        <f ca="1">VLOOKUP($G101,OFFSET([1]characters!$A$2,0,0,COUNTA([1]characters!$A:$A),MATCH(I$1,[1]characters!$2:$2,0)-MATCH($G$1,[1]characters!$2:$2,0)+1),MATCH(I$1,[1]characters!$2:$2,0)-MATCH($G$1,[1]characters!$2:$2,0)+1,FALSE)</f>
        <v>PremiumS</v>
      </c>
      <c r="J101" s="23">
        <f ca="1">VLOOKUP($G101,OFFSET([1]characters!$A$2,0,0,COUNTA([1]characters!$A:$A),MATCH(J$1,[1]characters!$2:$2,0)-MATCH($G$1,[1]characters!$2:$2,0)+1),MATCH(J$1,[1]characters!$2:$2,0)-MATCH($G$1,[1]characters!$2:$2,0)+1,FALSE)</f>
        <v>5</v>
      </c>
      <c r="K101" s="23" t="str">
        <f ca="1">VLOOKUP($G101,OFFSET([1]characters!$A$2,0,0,COUNTA([1]characters!$A:$A),MATCH(K$1,[1]characters!$2:$2,0)-MATCH($G$1,[1]characters!$2:$2,0)+1),MATCH(K$1,[1]characters!$2:$2,0)-MATCH($G$1,[1]characters!$2:$2,0)+1,FALSE)</f>
        <v>yellow</v>
      </c>
      <c r="L101" s="23" t="str">
        <f ca="1">VLOOKUP($G101,OFFSET([1]characters!$A$2,0,0,COUNTA([1]characters!$A:$A),MATCH("タイプ",[1]characters!$1:$1,0)-MATCH($G$1,[1]characters!$2:$2,0)+2),MATCH("タイプ",[1]characters!$1:$1,0)-MATCH($G$1,[1]characters!$2:$2,0)+2,FALSE)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01" s="23" t="str">
        <f ca="1">VLOOKUP($G101,OFFSET([1]characters!$A$2,0,0,COUNTA([1]characters!$A:$A),MATCH($M$1,[1]characters!$1:$1,0)-MATCH($G$1,[1]characters!$2:$2,0)+2),MATCH($M$1,[1]characters!$1:$1,0)-MATCH($G$1,[1]characters!$2:$2,0)+2,FALSE)</f>
        <v>アニマル</v>
      </c>
      <c r="N101" s="24">
        <v>1</v>
      </c>
      <c r="O101" s="43">
        <f ca="1">VLOOKUP(D101,gacha_114_base!A:K,11,FALSE)</f>
        <v>200</v>
      </c>
      <c r="P101" s="31">
        <v>0</v>
      </c>
      <c r="Q101" s="31">
        <v>0</v>
      </c>
      <c r="R101" s="31">
        <v>0</v>
      </c>
      <c r="S101" s="31">
        <v>0</v>
      </c>
      <c r="T101" s="31">
        <v>1</v>
      </c>
    </row>
    <row r="102" spans="1:20" ht="21" customHeight="1">
      <c r="A102" s="8" t="str">
        <f t="shared" si="4"/>
        <v>01261</v>
      </c>
      <c r="B102" s="29">
        <v>114</v>
      </c>
      <c r="C102" s="10" t="str">
        <f t="shared" ca="1" si="5"/>
        <v>0PremiumW3</v>
      </c>
      <c r="D102" s="10" t="str">
        <f t="shared" ca="1" si="6"/>
        <v>0PremiumW3</v>
      </c>
      <c r="E102" s="10" t="str">
        <f t="shared" si="7"/>
        <v/>
      </c>
      <c r="F102" s="21">
        <v>0</v>
      </c>
      <c r="G102" s="27">
        <v>126</v>
      </c>
      <c r="H102" s="20" t="str">
        <f ca="1">VLOOKUP($G102,OFFSET([1]characters!$A$2,0,0,COUNTA([1]characters!$A:$A),MATCH(H$1,[1]characters!$2:$2,0)-MATCH($G$1,[1]characters!$2:$2,0)+1),MATCH(H$1,[1]characters!$2:$2,0)-MATCH($G$1,[1]characters!$2:$2,0)+1,FALSE)</f>
        <v>骨器使い ユノ</v>
      </c>
      <c r="I102" s="20" t="str">
        <f ca="1">VLOOKUP($G102,OFFSET([1]characters!$A$2,0,0,COUNTA([1]characters!$A:$A),MATCH(I$1,[1]characters!$2:$2,0)-MATCH($G$1,[1]characters!$2:$2,0)+1),MATCH(I$1,[1]characters!$2:$2,0)-MATCH($G$1,[1]characters!$2:$2,0)+1,FALSE)</f>
        <v>PremiumW</v>
      </c>
      <c r="J102" s="20">
        <f ca="1">VLOOKUP($G102,OFFSET([1]characters!$A$2,0,0,COUNTA([1]characters!$A:$A),MATCH(J$1,[1]characters!$2:$2,0)-MATCH($G$1,[1]characters!$2:$2,0)+1),MATCH(J$1,[1]characters!$2:$2,0)-MATCH($G$1,[1]characters!$2:$2,0)+1,FALSE)</f>
        <v>3</v>
      </c>
      <c r="K102" s="20" t="str">
        <f ca="1">VLOOKUP($G102,OFFSET([1]characters!$A$2,0,0,COUNTA([1]characters!$A:$A),MATCH(K$1,[1]characters!$2:$2,0)-MATCH($G$1,[1]characters!$2:$2,0)+1),MATCH(K$1,[1]characters!$2:$2,0)-MATCH($G$1,[1]characters!$2:$2,0)+1,FALSE)</f>
        <v>red</v>
      </c>
      <c r="L102" s="20" t="str">
        <f ca="1">VLOOKUP($G102,OFFSET([1]characters!$A$2,0,0,COUNTA([1]characters!$A:$A),MATCH("タイプ",[1]characters!$1:$1,0)-MATCH($G$1,[1]characters!$2:$2,0)+2),MATCH("タイプ",[1]characters!$1:$1,0)-MATCH($G$1,[1]characters!$2:$2,0)+2,FALSE)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02" s="20" t="str">
        <f ca="1">VLOOKUP($G102,OFFSET([1]characters!$A$2,0,0,COUNTA([1]characters!$A:$A),MATCH($M$1,[1]characters!$1:$1,0)-MATCH($G$1,[1]characters!$2:$2,0)+2),MATCH($M$1,[1]characters!$1:$1,0)-MATCH($G$1,[1]characters!$2:$2,0)+2,FALSE)</f>
        <v>ヒューマン</v>
      </c>
      <c r="N102" s="21">
        <v>1</v>
      </c>
      <c r="O102" s="43">
        <f ca="1">VLOOKUP(D102,gacha_114_base!A:K,11,FALSE)</f>
        <v>2351</v>
      </c>
      <c r="P102" s="18">
        <v>0</v>
      </c>
      <c r="Q102" s="18">
        <v>0</v>
      </c>
      <c r="R102" s="18">
        <v>0</v>
      </c>
      <c r="S102" s="18">
        <v>0</v>
      </c>
      <c r="T102" s="18">
        <v>1</v>
      </c>
    </row>
    <row r="103" spans="1:20" ht="21" customHeight="1">
      <c r="A103" s="8" t="str">
        <f t="shared" si="4"/>
        <v>01281</v>
      </c>
      <c r="B103" s="2">
        <v>114</v>
      </c>
      <c r="C103" s="10" t="str">
        <f t="shared" ca="1" si="5"/>
        <v>0PremiumW3</v>
      </c>
      <c r="D103" s="10" t="str">
        <f t="shared" ca="1" si="6"/>
        <v>0PremiumW3</v>
      </c>
      <c r="E103" s="10" t="str">
        <f t="shared" si="7"/>
        <v/>
      </c>
      <c r="F103" s="21">
        <v>0</v>
      </c>
      <c r="G103" s="27">
        <v>128</v>
      </c>
      <c r="H103" s="20" t="str">
        <f ca="1">VLOOKUP($G103,OFFSET([1]characters!$A$2,0,0,COUNTA([1]characters!$A:$A),MATCH(H$1,[1]characters!$2:$2,0)-MATCH($G$1,[1]characters!$2:$2,0)+1),MATCH(H$1,[1]characters!$2:$2,0)-MATCH($G$1,[1]characters!$2:$2,0)+1,FALSE)</f>
        <v>野生児 アマラ</v>
      </c>
      <c r="I103" s="20" t="str">
        <f ca="1">VLOOKUP($G103,OFFSET([1]characters!$A$2,0,0,COUNTA([1]characters!$A:$A),MATCH(I$1,[1]characters!$2:$2,0)-MATCH($G$1,[1]characters!$2:$2,0)+1),MATCH(I$1,[1]characters!$2:$2,0)-MATCH($G$1,[1]characters!$2:$2,0)+1,FALSE)</f>
        <v>PremiumW</v>
      </c>
      <c r="J103" s="20">
        <f ca="1">VLOOKUP($G103,OFFSET([1]characters!$A$2,0,0,COUNTA([1]characters!$A:$A),MATCH(J$1,[1]characters!$2:$2,0)-MATCH($G$1,[1]characters!$2:$2,0)+1),MATCH(J$1,[1]characters!$2:$2,0)-MATCH($G$1,[1]characters!$2:$2,0)+1,FALSE)</f>
        <v>3</v>
      </c>
      <c r="K103" s="20" t="str">
        <f ca="1">VLOOKUP($G103,OFFSET([1]characters!$A$2,0,0,COUNTA([1]characters!$A:$A),MATCH(K$1,[1]characters!$2:$2,0)-MATCH($G$1,[1]characters!$2:$2,0)+1),MATCH(K$1,[1]characters!$2:$2,0)-MATCH($G$1,[1]characters!$2:$2,0)+1,FALSE)</f>
        <v>green</v>
      </c>
      <c r="L103" s="20" t="str">
        <f ca="1">VLOOKUP($G103,OFFSET([1]characters!$A$2,0,0,COUNTA([1]characters!$A:$A),MATCH("タイプ",[1]characters!$1:$1,0)-MATCH($G$1,[1]characters!$2:$2,0)+2),MATCH("タイプ",[1]characters!$1:$1,0)-MATCH($G$1,[1]characters!$2:$2,0)+2,FALSE)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03" s="20" t="str">
        <f ca="1">VLOOKUP($G103,OFFSET([1]characters!$A$2,0,0,COUNTA([1]characters!$A:$A),MATCH($M$1,[1]characters!$1:$1,0)-MATCH($G$1,[1]characters!$2:$2,0)+2),MATCH($M$1,[1]characters!$1:$1,0)-MATCH($G$1,[1]characters!$2:$2,0)+2,FALSE)</f>
        <v>ヒューマン</v>
      </c>
      <c r="N103" s="21">
        <v>1</v>
      </c>
      <c r="O103" s="43">
        <f ca="1">VLOOKUP(D103,gacha_114_base!A:K,11,FALSE)</f>
        <v>2351</v>
      </c>
      <c r="P103" s="18">
        <v>0</v>
      </c>
      <c r="Q103" s="18">
        <v>0</v>
      </c>
      <c r="R103" s="18">
        <v>0</v>
      </c>
      <c r="S103" s="18">
        <v>0</v>
      </c>
      <c r="T103" s="18">
        <v>1</v>
      </c>
    </row>
    <row r="104" spans="1:20" ht="21" customHeight="1">
      <c r="A104" s="8" t="str">
        <f t="shared" si="4"/>
        <v>01301</v>
      </c>
      <c r="B104" s="2">
        <v>114</v>
      </c>
      <c r="C104" s="10" t="str">
        <f t="shared" ca="1" si="5"/>
        <v>0PremiumW3</v>
      </c>
      <c r="D104" s="10" t="str">
        <f t="shared" ca="1" si="6"/>
        <v>0PremiumW3</v>
      </c>
      <c r="E104" s="10" t="str">
        <f t="shared" si="7"/>
        <v/>
      </c>
      <c r="F104" s="6">
        <v>0</v>
      </c>
      <c r="G104" s="7">
        <v>130</v>
      </c>
      <c r="H104" s="10" t="str">
        <f ca="1">VLOOKUP($G104,OFFSET([1]characters!$A$2,0,0,COUNTA([1]characters!$A:$A),MATCH(H$1,[1]characters!$2:$2,0)-MATCH($G$1,[1]characters!$2:$2,0)+1),MATCH(H$1,[1]characters!$2:$2,0)-MATCH($G$1,[1]characters!$2:$2,0)+1,FALSE)</f>
        <v>狼男 ローレンス</v>
      </c>
      <c r="I104" s="10" t="str">
        <f ca="1">VLOOKUP($G104,OFFSET([1]characters!$A$2,0,0,COUNTA([1]characters!$A:$A),MATCH(I$1,[1]characters!$2:$2,0)-MATCH($G$1,[1]characters!$2:$2,0)+1),MATCH(I$1,[1]characters!$2:$2,0)-MATCH($G$1,[1]characters!$2:$2,0)+1,FALSE)</f>
        <v>PremiumW</v>
      </c>
      <c r="J104" s="10">
        <f ca="1">VLOOKUP($G104,OFFSET([1]characters!$A$2,0,0,COUNTA([1]characters!$A:$A),MATCH(J$1,[1]characters!$2:$2,0)-MATCH($G$1,[1]characters!$2:$2,0)+1),MATCH(J$1,[1]characters!$2:$2,0)-MATCH($G$1,[1]characters!$2:$2,0)+1,FALSE)</f>
        <v>3</v>
      </c>
      <c r="K104" s="10" t="str">
        <f ca="1">VLOOKUP($G104,OFFSET([1]characters!$A$2,0,0,COUNTA([1]characters!$A:$A),MATCH(K$1,[1]characters!$2:$2,0)-MATCH($G$1,[1]characters!$2:$2,0)+1),MATCH(K$1,[1]characters!$2:$2,0)-MATCH($G$1,[1]characters!$2:$2,0)+1,FALSE)</f>
        <v>blue</v>
      </c>
      <c r="L104" s="10" t="str">
        <f ca="1">VLOOKUP($G104,OFFSET([1]characters!$A$2,0,0,COUNTA([1]characters!$A:$A),MATCH("タイプ",[1]characters!$1:$1,0)-MATCH($G$1,[1]characters!$2:$2,0)+2),MATCH("タイプ",[1]characters!$1:$1,0)-MATCH($G$1,[1]characters!$2:$2,0)+2,FALSE)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04" s="10" t="str">
        <f ca="1">VLOOKUP($G104,OFFSET([1]characters!$A$2,0,0,COUNTA([1]characters!$A:$A),MATCH($M$1,[1]characters!$1:$1,0)-MATCH($G$1,[1]characters!$2:$2,0)+2),MATCH($M$1,[1]characters!$1:$1,0)-MATCH($G$1,[1]characters!$2:$2,0)+2,FALSE)</f>
        <v>アニマル</v>
      </c>
      <c r="N104" s="6">
        <v>1</v>
      </c>
      <c r="O104" s="43">
        <f ca="1">VLOOKUP(D104,gacha_114_base!A:K,11,FALSE)</f>
        <v>2351</v>
      </c>
      <c r="P104" s="28">
        <v>0</v>
      </c>
      <c r="Q104" s="28">
        <v>0</v>
      </c>
      <c r="R104" s="28">
        <v>0</v>
      </c>
      <c r="S104" s="28">
        <v>0</v>
      </c>
      <c r="T104" s="28">
        <v>1</v>
      </c>
    </row>
    <row r="105" spans="1:20" ht="21" customHeight="1">
      <c r="A105" s="8" t="str">
        <f t="shared" si="4"/>
        <v>01321</v>
      </c>
      <c r="B105" s="2">
        <v>114</v>
      </c>
      <c r="C105" s="10" t="str">
        <f t="shared" ca="1" si="5"/>
        <v>0PremiumW3</v>
      </c>
      <c r="D105" s="10" t="str">
        <f t="shared" ca="1" si="6"/>
        <v>0PremiumW3</v>
      </c>
      <c r="E105" s="10" t="str">
        <f t="shared" si="7"/>
        <v/>
      </c>
      <c r="F105" s="6">
        <v>0</v>
      </c>
      <c r="G105" s="7">
        <v>132</v>
      </c>
      <c r="H105" s="10" t="str">
        <f ca="1">VLOOKUP($G105,OFFSET([1]characters!$A$2,0,0,COUNTA([1]characters!$A:$A),MATCH(H$1,[1]characters!$2:$2,0)-MATCH($G$1,[1]characters!$2:$2,0)+1),MATCH(H$1,[1]characters!$2:$2,0)-MATCH($G$1,[1]characters!$2:$2,0)+1,FALSE)</f>
        <v>鳥人ハヤト</v>
      </c>
      <c r="I105" s="10" t="str">
        <f ca="1">VLOOKUP($G105,OFFSET([1]characters!$A$2,0,0,COUNTA([1]characters!$A:$A),MATCH(I$1,[1]characters!$2:$2,0)-MATCH($G$1,[1]characters!$2:$2,0)+1),MATCH(I$1,[1]characters!$2:$2,0)-MATCH($G$1,[1]characters!$2:$2,0)+1,FALSE)</f>
        <v>PremiumW</v>
      </c>
      <c r="J105" s="10">
        <f ca="1">VLOOKUP($G105,OFFSET([1]characters!$A$2,0,0,COUNTA([1]characters!$A:$A),MATCH(J$1,[1]characters!$2:$2,0)-MATCH($G$1,[1]characters!$2:$2,0)+1),MATCH(J$1,[1]characters!$2:$2,0)-MATCH($G$1,[1]characters!$2:$2,0)+1,FALSE)</f>
        <v>3</v>
      </c>
      <c r="K105" s="10" t="str">
        <f ca="1">VLOOKUP($G105,OFFSET([1]characters!$A$2,0,0,COUNTA([1]characters!$A:$A),MATCH(K$1,[1]characters!$2:$2,0)-MATCH($G$1,[1]characters!$2:$2,0)+1),MATCH(K$1,[1]characters!$2:$2,0)-MATCH($G$1,[1]characters!$2:$2,0)+1,FALSE)</f>
        <v>yellow</v>
      </c>
      <c r="L105" s="10" t="str">
        <f ca="1">VLOOKUP($G105,OFFSET([1]characters!$A$2,0,0,COUNTA([1]characters!$A:$A),MATCH("タイプ",[1]characters!$1:$1,0)-MATCH($G$1,[1]characters!$2:$2,0)+2),MATCH("タイプ",[1]characters!$1:$1,0)-MATCH($G$1,[1]characters!$2:$2,0)+2,FALSE)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05" s="10" t="str">
        <f ca="1">VLOOKUP($G105,OFFSET([1]characters!$A$2,0,0,COUNTA([1]characters!$A:$A),MATCH($M$1,[1]characters!$1:$1,0)-MATCH($G$1,[1]characters!$2:$2,0)+2),MATCH($M$1,[1]characters!$1:$1,0)-MATCH($G$1,[1]characters!$2:$2,0)+2,FALSE)</f>
        <v>ヒューマン</v>
      </c>
      <c r="N105" s="6">
        <v>1</v>
      </c>
      <c r="O105" s="43">
        <f ca="1">VLOOKUP(D105,gacha_114_base!A:K,11,FALSE)</f>
        <v>2351</v>
      </c>
      <c r="P105" s="28">
        <v>0</v>
      </c>
      <c r="Q105" s="28">
        <v>0</v>
      </c>
      <c r="R105" s="28">
        <v>0</v>
      </c>
      <c r="S105" s="28">
        <v>0</v>
      </c>
      <c r="T105" s="28">
        <v>1</v>
      </c>
    </row>
    <row r="106" spans="1:20" ht="21" customHeight="1">
      <c r="A106" s="8" t="str">
        <f t="shared" si="4"/>
        <v>01341</v>
      </c>
      <c r="B106" s="2">
        <v>114</v>
      </c>
      <c r="C106" s="10" t="str">
        <f t="shared" ca="1" si="5"/>
        <v>0PremiumW3</v>
      </c>
      <c r="D106" s="10" t="str">
        <f t="shared" ca="1" si="6"/>
        <v>0PremiumW3</v>
      </c>
      <c r="E106" s="10" t="str">
        <f t="shared" si="7"/>
        <v/>
      </c>
      <c r="F106" s="6">
        <v>0</v>
      </c>
      <c r="G106" s="7">
        <v>134</v>
      </c>
      <c r="H106" s="10" t="str">
        <f ca="1">VLOOKUP($G106,OFFSET([1]characters!$A$2,0,0,COUNTA([1]characters!$A:$A),MATCH(H$1,[1]characters!$2:$2,0)-MATCH($G$1,[1]characters!$2:$2,0)+1),MATCH(H$1,[1]characters!$2:$2,0)-MATCH($G$1,[1]characters!$2:$2,0)+1,FALSE)</f>
        <v>妖炎の夕霧</v>
      </c>
      <c r="I106" s="10" t="str">
        <f ca="1">VLOOKUP($G106,OFFSET([1]characters!$A$2,0,0,COUNTA([1]characters!$A:$A),MATCH(I$1,[1]characters!$2:$2,0)-MATCH($G$1,[1]characters!$2:$2,0)+1),MATCH(I$1,[1]characters!$2:$2,0)-MATCH($G$1,[1]characters!$2:$2,0)+1,FALSE)</f>
        <v>PremiumW</v>
      </c>
      <c r="J106" s="10">
        <f ca="1">VLOOKUP($G106,OFFSET([1]characters!$A$2,0,0,COUNTA([1]characters!$A:$A),MATCH(J$1,[1]characters!$2:$2,0)-MATCH($G$1,[1]characters!$2:$2,0)+1),MATCH(J$1,[1]characters!$2:$2,0)-MATCH($G$1,[1]characters!$2:$2,0)+1,FALSE)</f>
        <v>3</v>
      </c>
      <c r="K106" s="10" t="str">
        <f ca="1">VLOOKUP($G106,OFFSET([1]characters!$A$2,0,0,COUNTA([1]characters!$A:$A),MATCH(K$1,[1]characters!$2:$2,0)-MATCH($G$1,[1]characters!$2:$2,0)+1),MATCH(K$1,[1]characters!$2:$2,0)-MATCH($G$1,[1]characters!$2:$2,0)+1,FALSE)</f>
        <v>red</v>
      </c>
      <c r="L106" s="10" t="str">
        <f ca="1">VLOOKUP($G106,OFFSET([1]characters!$A$2,0,0,COUNTA([1]characters!$A:$A),MATCH("タイプ",[1]characters!$1:$1,0)-MATCH($G$1,[1]characters!$2:$2,0)+2),MATCH("タイプ",[1]characters!$1:$1,0)-MATCH($G$1,[1]characters!$2:$2,0)+2,FALSE)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06" s="10" t="str">
        <f ca="1">VLOOKUP($G106,OFFSET([1]characters!$A$2,0,0,COUNTA([1]characters!$A:$A),MATCH($M$1,[1]characters!$1:$1,0)-MATCH($G$1,[1]characters!$2:$2,0)+2),MATCH($M$1,[1]characters!$1:$1,0)-MATCH($G$1,[1]characters!$2:$2,0)+2,FALSE)</f>
        <v>ヒューマン</v>
      </c>
      <c r="N106" s="6">
        <v>1</v>
      </c>
      <c r="O106" s="43">
        <f ca="1">VLOOKUP(D106,gacha_114_base!A:K,11,FALSE)</f>
        <v>2351</v>
      </c>
      <c r="P106" s="28">
        <v>0</v>
      </c>
      <c r="Q106" s="28">
        <v>0</v>
      </c>
      <c r="R106" s="28">
        <v>0</v>
      </c>
      <c r="S106" s="28">
        <v>0</v>
      </c>
      <c r="T106" s="28">
        <v>1</v>
      </c>
    </row>
    <row r="107" spans="1:20" ht="21" customHeight="1">
      <c r="A107" s="8" t="str">
        <f t="shared" si="4"/>
        <v>01361</v>
      </c>
      <c r="B107" s="2">
        <v>114</v>
      </c>
      <c r="C107" s="10" t="str">
        <f t="shared" ca="1" si="5"/>
        <v>0PremiumW3</v>
      </c>
      <c r="D107" s="10" t="str">
        <f t="shared" ca="1" si="6"/>
        <v>0PremiumW3</v>
      </c>
      <c r="E107" s="10" t="str">
        <f t="shared" si="7"/>
        <v/>
      </c>
      <c r="F107" s="6">
        <v>0</v>
      </c>
      <c r="G107" s="7">
        <v>136</v>
      </c>
      <c r="H107" s="10" t="str">
        <f ca="1">VLOOKUP($G107,OFFSET([1]characters!$A$2,0,0,COUNTA([1]characters!$A:$A),MATCH(H$1,[1]characters!$2:$2,0)-MATCH($G$1,[1]characters!$2:$2,0)+1),MATCH(H$1,[1]characters!$2:$2,0)-MATCH($G$1,[1]characters!$2:$2,0)+1,FALSE)</f>
        <v>お針子チハヤ</v>
      </c>
      <c r="I107" s="10" t="str">
        <f ca="1">VLOOKUP($G107,OFFSET([1]characters!$A$2,0,0,COUNTA([1]characters!$A:$A),MATCH(I$1,[1]characters!$2:$2,0)-MATCH($G$1,[1]characters!$2:$2,0)+1),MATCH(I$1,[1]characters!$2:$2,0)-MATCH($G$1,[1]characters!$2:$2,0)+1,FALSE)</f>
        <v>PremiumW</v>
      </c>
      <c r="J107" s="10">
        <f ca="1">VLOOKUP($G107,OFFSET([1]characters!$A$2,0,0,COUNTA([1]characters!$A:$A),MATCH(J$1,[1]characters!$2:$2,0)-MATCH($G$1,[1]characters!$2:$2,0)+1),MATCH(J$1,[1]characters!$2:$2,0)-MATCH($G$1,[1]characters!$2:$2,0)+1,FALSE)</f>
        <v>3</v>
      </c>
      <c r="K107" s="10" t="str">
        <f ca="1">VLOOKUP($G107,OFFSET([1]characters!$A$2,0,0,COUNTA([1]characters!$A:$A),MATCH(K$1,[1]characters!$2:$2,0)-MATCH($G$1,[1]characters!$2:$2,0)+1),MATCH(K$1,[1]characters!$2:$2,0)-MATCH($G$1,[1]characters!$2:$2,0)+1,FALSE)</f>
        <v>green</v>
      </c>
      <c r="L107" s="10" t="str">
        <f ca="1">VLOOKUP($G107,OFFSET([1]characters!$A$2,0,0,COUNTA([1]characters!$A:$A),MATCH("タイプ",[1]characters!$1:$1,0)-MATCH($G$1,[1]characters!$2:$2,0)+2),MATCH("タイプ",[1]characters!$1:$1,0)-MATCH($G$1,[1]characters!$2:$2,0)+2,FALSE)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07" s="10" t="str">
        <f ca="1">VLOOKUP($G107,OFFSET([1]characters!$A$2,0,0,COUNTA([1]characters!$A:$A),MATCH($M$1,[1]characters!$1:$1,0)-MATCH($G$1,[1]characters!$2:$2,0)+2),MATCH($M$1,[1]characters!$1:$1,0)-MATCH($G$1,[1]characters!$2:$2,0)+2,FALSE)</f>
        <v>ヒューマン</v>
      </c>
      <c r="N107" s="6">
        <v>1</v>
      </c>
      <c r="O107" s="43">
        <f ca="1">VLOOKUP(D107,gacha_114_base!A:K,11,FALSE)</f>
        <v>2351</v>
      </c>
      <c r="P107" s="28">
        <v>0</v>
      </c>
      <c r="Q107" s="28">
        <v>0</v>
      </c>
      <c r="R107" s="28">
        <v>0</v>
      </c>
      <c r="S107" s="28">
        <v>0</v>
      </c>
      <c r="T107" s="28">
        <v>1</v>
      </c>
    </row>
    <row r="108" spans="1:20" ht="21" customHeight="1">
      <c r="A108" s="8" t="str">
        <f t="shared" si="4"/>
        <v>01381</v>
      </c>
      <c r="B108" s="2">
        <v>114</v>
      </c>
      <c r="C108" s="10" t="str">
        <f t="shared" ca="1" si="5"/>
        <v>0PremiumW3</v>
      </c>
      <c r="D108" s="10" t="str">
        <f t="shared" ca="1" si="6"/>
        <v>0PremiumW3</v>
      </c>
      <c r="E108" s="10" t="str">
        <f t="shared" si="7"/>
        <v/>
      </c>
      <c r="F108" s="6">
        <v>0</v>
      </c>
      <c r="G108" s="7">
        <v>138</v>
      </c>
      <c r="H108" s="10" t="str">
        <f ca="1">VLOOKUP($G108,OFFSET([1]characters!$A$2,0,0,COUNTA([1]characters!$A:$A),MATCH(H$1,[1]characters!$2:$2,0)-MATCH($G$1,[1]characters!$2:$2,0)+1),MATCH(H$1,[1]characters!$2:$2,0)-MATCH($G$1,[1]characters!$2:$2,0)+1,FALSE)</f>
        <v>蒼薙のトモエ</v>
      </c>
      <c r="I108" s="10" t="str">
        <f ca="1">VLOOKUP($G108,OFFSET([1]characters!$A$2,0,0,COUNTA([1]characters!$A:$A),MATCH(I$1,[1]characters!$2:$2,0)-MATCH($G$1,[1]characters!$2:$2,0)+1),MATCH(I$1,[1]characters!$2:$2,0)-MATCH($G$1,[1]characters!$2:$2,0)+1,FALSE)</f>
        <v>PremiumW</v>
      </c>
      <c r="J108" s="10">
        <f ca="1">VLOOKUP($G108,OFFSET([1]characters!$A$2,0,0,COUNTA([1]characters!$A:$A),MATCH(J$1,[1]characters!$2:$2,0)-MATCH($G$1,[1]characters!$2:$2,0)+1),MATCH(J$1,[1]characters!$2:$2,0)-MATCH($G$1,[1]characters!$2:$2,0)+1,FALSE)</f>
        <v>3</v>
      </c>
      <c r="K108" s="10" t="str">
        <f ca="1">VLOOKUP($G108,OFFSET([1]characters!$A$2,0,0,COUNTA([1]characters!$A:$A),MATCH(K$1,[1]characters!$2:$2,0)-MATCH($G$1,[1]characters!$2:$2,0)+1),MATCH(K$1,[1]characters!$2:$2,0)-MATCH($G$1,[1]characters!$2:$2,0)+1,FALSE)</f>
        <v>blue</v>
      </c>
      <c r="L108" s="10" t="str">
        <f ca="1">VLOOKUP($G108,OFFSET([1]characters!$A$2,0,0,COUNTA([1]characters!$A:$A),MATCH("タイプ",[1]characters!$1:$1,0)-MATCH($G$1,[1]characters!$2:$2,0)+2),MATCH("タイプ",[1]characters!$1:$1,0)-MATCH($G$1,[1]characters!$2:$2,0)+2,FALSE)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08" s="10" t="str">
        <f ca="1">VLOOKUP($G108,OFFSET([1]characters!$A$2,0,0,COUNTA([1]characters!$A:$A),MATCH($M$1,[1]characters!$1:$1,0)-MATCH($G$1,[1]characters!$2:$2,0)+2),MATCH($M$1,[1]characters!$1:$1,0)-MATCH($G$1,[1]characters!$2:$2,0)+2,FALSE)</f>
        <v>ヒューマン</v>
      </c>
      <c r="N108" s="6">
        <v>1</v>
      </c>
      <c r="O108" s="43">
        <f ca="1">VLOOKUP(D108,gacha_114_base!A:K,11,FALSE)</f>
        <v>2351</v>
      </c>
      <c r="P108" s="28">
        <v>0</v>
      </c>
      <c r="Q108" s="28">
        <v>0</v>
      </c>
      <c r="R108" s="28">
        <v>0</v>
      </c>
      <c r="S108" s="28">
        <v>0</v>
      </c>
      <c r="T108" s="28">
        <v>1</v>
      </c>
    </row>
    <row r="109" spans="1:20" ht="21" customHeight="1">
      <c r="A109" s="8" t="str">
        <f t="shared" si="4"/>
        <v>01401</v>
      </c>
      <c r="B109" s="2">
        <v>114</v>
      </c>
      <c r="C109" s="10" t="str">
        <f t="shared" ca="1" si="5"/>
        <v>0PremiumW3</v>
      </c>
      <c r="D109" s="10" t="str">
        <f t="shared" ca="1" si="6"/>
        <v>0PremiumW3</v>
      </c>
      <c r="E109" s="10" t="str">
        <f t="shared" si="7"/>
        <v/>
      </c>
      <c r="F109" s="6">
        <v>0</v>
      </c>
      <c r="G109" s="7">
        <v>140</v>
      </c>
      <c r="H109" s="10" t="str">
        <f ca="1">VLOOKUP($G109,OFFSET([1]characters!$A$2,0,0,COUNTA([1]characters!$A:$A),MATCH(H$1,[1]characters!$2:$2,0)-MATCH($G$1,[1]characters!$2:$2,0)+1),MATCH(H$1,[1]characters!$2:$2,0)-MATCH($G$1,[1]characters!$2:$2,0)+1,FALSE)</f>
        <v>秋祭のタマモ</v>
      </c>
      <c r="I109" s="10" t="str">
        <f ca="1">VLOOKUP($G109,OFFSET([1]characters!$A$2,0,0,COUNTA([1]characters!$A:$A),MATCH(I$1,[1]characters!$2:$2,0)-MATCH($G$1,[1]characters!$2:$2,0)+1),MATCH(I$1,[1]characters!$2:$2,0)-MATCH($G$1,[1]characters!$2:$2,0)+1,FALSE)</f>
        <v>PremiumW</v>
      </c>
      <c r="J109" s="10">
        <f ca="1">VLOOKUP($G109,OFFSET([1]characters!$A$2,0,0,COUNTA([1]characters!$A:$A),MATCH(J$1,[1]characters!$2:$2,0)-MATCH($G$1,[1]characters!$2:$2,0)+1),MATCH(J$1,[1]characters!$2:$2,0)-MATCH($G$1,[1]characters!$2:$2,0)+1,FALSE)</f>
        <v>3</v>
      </c>
      <c r="K109" s="10" t="str">
        <f ca="1">VLOOKUP($G109,OFFSET([1]characters!$A$2,0,0,COUNTA([1]characters!$A:$A),MATCH(K$1,[1]characters!$2:$2,0)-MATCH($G$1,[1]characters!$2:$2,0)+1),MATCH(K$1,[1]characters!$2:$2,0)-MATCH($G$1,[1]characters!$2:$2,0)+1,FALSE)</f>
        <v>yellow</v>
      </c>
      <c r="L109" s="10" t="str">
        <f ca="1">VLOOKUP($G109,OFFSET([1]characters!$A$2,0,0,COUNTA([1]characters!$A:$A),MATCH("タイプ",[1]characters!$1:$1,0)-MATCH($G$1,[1]characters!$2:$2,0)+2),MATCH("タイプ",[1]characters!$1:$1,0)-MATCH($G$1,[1]characters!$2:$2,0)+2,FALSE)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09" s="10" t="str">
        <f ca="1">VLOOKUP($G109,OFFSET([1]characters!$A$2,0,0,COUNTA([1]characters!$A:$A),MATCH($M$1,[1]characters!$1:$1,0)-MATCH($G$1,[1]characters!$2:$2,0)+2),MATCH($M$1,[1]characters!$1:$1,0)-MATCH($G$1,[1]characters!$2:$2,0)+2,FALSE)</f>
        <v>アニマル</v>
      </c>
      <c r="N109" s="6">
        <v>1</v>
      </c>
      <c r="O109" s="43">
        <f ca="1">VLOOKUP(D109,gacha_114_base!A:K,11,FALSE)</f>
        <v>2351</v>
      </c>
      <c r="P109" s="28">
        <v>0</v>
      </c>
      <c r="Q109" s="28">
        <v>0</v>
      </c>
      <c r="R109" s="28">
        <v>0</v>
      </c>
      <c r="S109" s="28">
        <v>0</v>
      </c>
      <c r="T109" s="28">
        <v>1</v>
      </c>
    </row>
    <row r="110" spans="1:20" ht="21" customHeight="1">
      <c r="A110" s="8" t="str">
        <f t="shared" si="4"/>
        <v>01421</v>
      </c>
      <c r="B110" s="2">
        <v>114</v>
      </c>
      <c r="C110" s="10" t="str">
        <f t="shared" ca="1" si="5"/>
        <v>0PremiumW3</v>
      </c>
      <c r="D110" s="10" t="str">
        <f t="shared" ca="1" si="6"/>
        <v>0PremiumW3</v>
      </c>
      <c r="E110" s="10" t="str">
        <f t="shared" si="7"/>
        <v/>
      </c>
      <c r="F110" s="6">
        <v>0</v>
      </c>
      <c r="G110" s="7">
        <v>142</v>
      </c>
      <c r="H110" s="10" t="str">
        <f ca="1">VLOOKUP($G110,OFFSET([1]characters!$A$2,0,0,COUNTA([1]characters!$A:$A),MATCH(H$1,[1]characters!$2:$2,0)-MATCH($G$1,[1]characters!$2:$2,0)+1),MATCH(H$1,[1]characters!$2:$2,0)-MATCH($G$1,[1]characters!$2:$2,0)+1,FALSE)</f>
        <v>赤ずきん</v>
      </c>
      <c r="I110" s="10" t="str">
        <f ca="1">VLOOKUP($G110,OFFSET([1]characters!$A$2,0,0,COUNTA([1]characters!$A:$A),MATCH(I$1,[1]characters!$2:$2,0)-MATCH($G$1,[1]characters!$2:$2,0)+1),MATCH(I$1,[1]characters!$2:$2,0)-MATCH($G$1,[1]characters!$2:$2,0)+1,FALSE)</f>
        <v>PremiumW</v>
      </c>
      <c r="J110" s="10">
        <f ca="1">VLOOKUP($G110,OFFSET([1]characters!$A$2,0,0,COUNTA([1]characters!$A:$A),MATCH(J$1,[1]characters!$2:$2,0)-MATCH($G$1,[1]characters!$2:$2,0)+1),MATCH(J$1,[1]characters!$2:$2,0)-MATCH($G$1,[1]characters!$2:$2,0)+1,FALSE)</f>
        <v>3</v>
      </c>
      <c r="K110" s="10" t="str">
        <f ca="1">VLOOKUP($G110,OFFSET([1]characters!$A$2,0,0,COUNTA([1]characters!$A:$A),MATCH(K$1,[1]characters!$2:$2,0)-MATCH($G$1,[1]characters!$2:$2,0)+1),MATCH(K$1,[1]characters!$2:$2,0)-MATCH($G$1,[1]characters!$2:$2,0)+1,FALSE)</f>
        <v>red</v>
      </c>
      <c r="L110" s="10" t="str">
        <f ca="1">VLOOKUP($G110,OFFSET([1]characters!$A$2,0,0,COUNTA([1]characters!$A:$A),MATCH("タイプ",[1]characters!$1:$1,0)-MATCH($G$1,[1]characters!$2:$2,0)+2),MATCH("タイプ",[1]characters!$1:$1,0)-MATCH($G$1,[1]characters!$2:$2,0)+2,FALSE)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10" s="10" t="str">
        <f ca="1">VLOOKUP($G110,OFFSET([1]characters!$A$2,0,0,COUNTA([1]characters!$A:$A),MATCH($M$1,[1]characters!$1:$1,0)-MATCH($G$1,[1]characters!$2:$2,0)+2),MATCH($M$1,[1]characters!$1:$1,0)-MATCH($G$1,[1]characters!$2:$2,0)+2,FALSE)</f>
        <v>ヒューマン</v>
      </c>
      <c r="N110" s="6">
        <v>1</v>
      </c>
      <c r="O110" s="43">
        <f ca="1">VLOOKUP(D110,gacha_114_base!A:K,11,FALSE)</f>
        <v>2351</v>
      </c>
      <c r="P110" s="28">
        <v>0</v>
      </c>
      <c r="Q110" s="28">
        <v>0</v>
      </c>
      <c r="R110" s="28">
        <v>0</v>
      </c>
      <c r="S110" s="28">
        <v>0</v>
      </c>
      <c r="T110" s="28">
        <v>1</v>
      </c>
    </row>
    <row r="111" spans="1:20" ht="21" customHeight="1">
      <c r="A111" s="8" t="str">
        <f t="shared" si="4"/>
        <v>01441</v>
      </c>
      <c r="B111" s="2">
        <v>114</v>
      </c>
      <c r="C111" s="10" t="str">
        <f t="shared" ca="1" si="5"/>
        <v>0PremiumW3</v>
      </c>
      <c r="D111" s="10" t="str">
        <f t="shared" ca="1" si="6"/>
        <v>0PremiumW3</v>
      </c>
      <c r="E111" s="10" t="str">
        <f t="shared" si="7"/>
        <v/>
      </c>
      <c r="F111" s="6">
        <v>0</v>
      </c>
      <c r="G111" s="7">
        <v>144</v>
      </c>
      <c r="H111" s="10" t="str">
        <f ca="1">VLOOKUP($G111,OFFSET([1]characters!$A$2,0,0,COUNTA([1]characters!$A:$A),MATCH(H$1,[1]characters!$2:$2,0)-MATCH($G$1,[1]characters!$2:$2,0)+1),MATCH(H$1,[1]characters!$2:$2,0)-MATCH($G$1,[1]characters!$2:$2,0)+1,FALSE)</f>
        <v>かぐや</v>
      </c>
      <c r="I111" s="10" t="str">
        <f ca="1">VLOOKUP($G111,OFFSET([1]characters!$A$2,0,0,COUNTA([1]characters!$A:$A),MATCH(I$1,[1]characters!$2:$2,0)-MATCH($G$1,[1]characters!$2:$2,0)+1),MATCH(I$1,[1]characters!$2:$2,0)-MATCH($G$1,[1]characters!$2:$2,0)+1,FALSE)</f>
        <v>PremiumW</v>
      </c>
      <c r="J111" s="10">
        <f ca="1">VLOOKUP($G111,OFFSET([1]characters!$A$2,0,0,COUNTA([1]characters!$A:$A),MATCH(J$1,[1]characters!$2:$2,0)-MATCH($G$1,[1]characters!$2:$2,0)+1),MATCH(J$1,[1]characters!$2:$2,0)-MATCH($G$1,[1]characters!$2:$2,0)+1,FALSE)</f>
        <v>3</v>
      </c>
      <c r="K111" s="10" t="str">
        <f ca="1">VLOOKUP($G111,OFFSET([1]characters!$A$2,0,0,COUNTA([1]characters!$A:$A),MATCH(K$1,[1]characters!$2:$2,0)-MATCH($G$1,[1]characters!$2:$2,0)+1),MATCH(K$1,[1]characters!$2:$2,0)-MATCH($G$1,[1]characters!$2:$2,0)+1,FALSE)</f>
        <v>green</v>
      </c>
      <c r="L111" s="10" t="str">
        <f ca="1">VLOOKUP($G111,OFFSET([1]characters!$A$2,0,0,COUNTA([1]characters!$A:$A),MATCH("タイプ",[1]characters!$1:$1,0)-MATCH($G$1,[1]characters!$2:$2,0)+2),MATCH("タイプ",[1]characters!$1:$1,0)-MATCH($G$1,[1]characters!$2:$2,0)+2,FALSE)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11" s="10" t="str">
        <f ca="1">VLOOKUP($G111,OFFSET([1]characters!$A$2,0,0,COUNTA([1]characters!$A:$A),MATCH($M$1,[1]characters!$1:$1,0)-MATCH($G$1,[1]characters!$2:$2,0)+2),MATCH($M$1,[1]characters!$1:$1,0)-MATCH($G$1,[1]characters!$2:$2,0)+2,FALSE)</f>
        <v>ヒューマン</v>
      </c>
      <c r="N111" s="6">
        <v>1</v>
      </c>
      <c r="O111" s="43">
        <f ca="1">VLOOKUP(D111,gacha_114_base!A:K,11,FALSE)</f>
        <v>2351</v>
      </c>
      <c r="P111" s="28">
        <v>0</v>
      </c>
      <c r="Q111" s="28">
        <v>0</v>
      </c>
      <c r="R111" s="28">
        <v>0</v>
      </c>
      <c r="S111" s="28">
        <v>0</v>
      </c>
      <c r="T111" s="28">
        <v>1</v>
      </c>
    </row>
    <row r="112" spans="1:20" ht="21" customHeight="1">
      <c r="A112" s="8" t="str">
        <f t="shared" si="4"/>
        <v>01461</v>
      </c>
      <c r="B112" s="2">
        <v>114</v>
      </c>
      <c r="C112" s="10" t="str">
        <f t="shared" ca="1" si="5"/>
        <v>0PremiumW3</v>
      </c>
      <c r="D112" s="10" t="str">
        <f t="shared" ca="1" si="6"/>
        <v>0PremiumW3</v>
      </c>
      <c r="E112" s="10" t="str">
        <f t="shared" si="7"/>
        <v/>
      </c>
      <c r="F112" s="6">
        <v>0</v>
      </c>
      <c r="G112" s="7">
        <v>146</v>
      </c>
      <c r="H112" s="10" t="str">
        <f ca="1">VLOOKUP($G112,OFFSET([1]characters!$A$2,0,0,COUNTA([1]characters!$A:$A),MATCH(H$1,[1]characters!$2:$2,0)-MATCH($G$1,[1]characters!$2:$2,0)+1),MATCH(H$1,[1]characters!$2:$2,0)-MATCH($G$1,[1]characters!$2:$2,0)+1,FALSE)</f>
        <v>マーメイド</v>
      </c>
      <c r="I112" s="10" t="str">
        <f ca="1">VLOOKUP($G112,OFFSET([1]characters!$A$2,0,0,COUNTA([1]characters!$A:$A),MATCH(I$1,[1]characters!$2:$2,0)-MATCH($G$1,[1]characters!$2:$2,0)+1),MATCH(I$1,[1]characters!$2:$2,0)-MATCH($G$1,[1]characters!$2:$2,0)+1,FALSE)</f>
        <v>PremiumW</v>
      </c>
      <c r="J112" s="10">
        <f ca="1">VLOOKUP($G112,OFFSET([1]characters!$A$2,0,0,COUNTA([1]characters!$A:$A),MATCH(J$1,[1]characters!$2:$2,0)-MATCH($G$1,[1]characters!$2:$2,0)+1),MATCH(J$1,[1]characters!$2:$2,0)-MATCH($G$1,[1]characters!$2:$2,0)+1,FALSE)</f>
        <v>3</v>
      </c>
      <c r="K112" s="10" t="str">
        <f ca="1">VLOOKUP($G112,OFFSET([1]characters!$A$2,0,0,COUNTA([1]characters!$A:$A),MATCH(K$1,[1]characters!$2:$2,0)-MATCH($G$1,[1]characters!$2:$2,0)+1),MATCH(K$1,[1]characters!$2:$2,0)-MATCH($G$1,[1]characters!$2:$2,0)+1,FALSE)</f>
        <v>blue</v>
      </c>
      <c r="L112" s="10" t="str">
        <f ca="1">VLOOKUP($G112,OFFSET([1]characters!$A$2,0,0,COUNTA([1]characters!$A:$A),MATCH("タイプ",[1]characters!$1:$1,0)-MATCH($G$1,[1]characters!$2:$2,0)+2),MATCH("タイプ",[1]characters!$1:$1,0)-MATCH($G$1,[1]characters!$2:$2,0)+2,FALSE)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12" s="10" t="str">
        <f ca="1">VLOOKUP($G112,OFFSET([1]characters!$A$2,0,0,COUNTA([1]characters!$A:$A),MATCH($M$1,[1]characters!$1:$1,0)-MATCH($G$1,[1]characters!$2:$2,0)+2),MATCH($M$1,[1]characters!$1:$1,0)-MATCH($G$1,[1]characters!$2:$2,0)+2,FALSE)</f>
        <v>ヒューマン</v>
      </c>
      <c r="N112" s="6">
        <v>1</v>
      </c>
      <c r="O112" s="43">
        <f ca="1">VLOOKUP(D112,gacha_114_base!A:K,11,FALSE)</f>
        <v>2351</v>
      </c>
      <c r="P112" s="28">
        <v>0</v>
      </c>
      <c r="Q112" s="28">
        <v>0</v>
      </c>
      <c r="R112" s="28">
        <v>0</v>
      </c>
      <c r="S112" s="28">
        <v>0</v>
      </c>
      <c r="T112" s="28">
        <v>1</v>
      </c>
    </row>
    <row r="113" spans="1:20" ht="21" customHeight="1">
      <c r="A113" s="8" t="str">
        <f t="shared" si="4"/>
        <v>01481</v>
      </c>
      <c r="B113" s="2">
        <v>114</v>
      </c>
      <c r="C113" s="10" t="str">
        <f t="shared" ca="1" si="5"/>
        <v>0PremiumW3</v>
      </c>
      <c r="D113" s="10" t="str">
        <f t="shared" ca="1" si="6"/>
        <v>0PremiumW3</v>
      </c>
      <c r="E113" s="10" t="str">
        <f t="shared" si="7"/>
        <v/>
      </c>
      <c r="F113" s="6">
        <v>0</v>
      </c>
      <c r="G113" s="7">
        <v>148</v>
      </c>
      <c r="H113" s="10" t="str">
        <f ca="1">VLOOKUP($G113,OFFSET([1]characters!$A$2,0,0,COUNTA([1]characters!$A:$A),MATCH(H$1,[1]characters!$2:$2,0)-MATCH($G$1,[1]characters!$2:$2,0)+1),MATCH(H$1,[1]characters!$2:$2,0)-MATCH($G$1,[1]characters!$2:$2,0)+1,FALSE)</f>
        <v>シンデレラ</v>
      </c>
      <c r="I113" s="10" t="str">
        <f ca="1">VLOOKUP($G113,OFFSET([1]characters!$A$2,0,0,COUNTA([1]characters!$A:$A),MATCH(I$1,[1]characters!$2:$2,0)-MATCH($G$1,[1]characters!$2:$2,0)+1),MATCH(I$1,[1]characters!$2:$2,0)-MATCH($G$1,[1]characters!$2:$2,0)+1,FALSE)</f>
        <v>PremiumW</v>
      </c>
      <c r="J113" s="10">
        <f ca="1">VLOOKUP($G113,OFFSET([1]characters!$A$2,0,0,COUNTA([1]characters!$A:$A),MATCH(J$1,[1]characters!$2:$2,0)-MATCH($G$1,[1]characters!$2:$2,0)+1),MATCH(J$1,[1]characters!$2:$2,0)-MATCH($G$1,[1]characters!$2:$2,0)+1,FALSE)</f>
        <v>3</v>
      </c>
      <c r="K113" s="10" t="str">
        <f ca="1">VLOOKUP($G113,OFFSET([1]characters!$A$2,0,0,COUNTA([1]characters!$A:$A),MATCH(K$1,[1]characters!$2:$2,0)-MATCH($G$1,[1]characters!$2:$2,0)+1),MATCH(K$1,[1]characters!$2:$2,0)-MATCH($G$1,[1]characters!$2:$2,0)+1,FALSE)</f>
        <v>yellow</v>
      </c>
      <c r="L113" s="10" t="str">
        <f ca="1">VLOOKUP($G113,OFFSET([1]characters!$A$2,0,0,COUNTA([1]characters!$A:$A),MATCH("タイプ",[1]characters!$1:$1,0)-MATCH($G$1,[1]characters!$2:$2,0)+2),MATCH("タイプ",[1]characters!$1:$1,0)-MATCH($G$1,[1]characters!$2:$2,0)+2,FALSE)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13" s="10" t="str">
        <f ca="1">VLOOKUP($G113,OFFSET([1]characters!$A$2,0,0,COUNTA([1]characters!$A:$A),MATCH($M$1,[1]characters!$1:$1,0)-MATCH($G$1,[1]characters!$2:$2,0)+2),MATCH($M$1,[1]characters!$1:$1,0)-MATCH($G$1,[1]characters!$2:$2,0)+2,FALSE)</f>
        <v>ヒューマン</v>
      </c>
      <c r="N113" s="6">
        <v>1</v>
      </c>
      <c r="O113" s="43">
        <f ca="1">VLOOKUP(D113,gacha_114_base!A:K,11,FALSE)</f>
        <v>2351</v>
      </c>
      <c r="P113" s="28">
        <v>0</v>
      </c>
      <c r="Q113" s="28">
        <v>0</v>
      </c>
      <c r="R113" s="28">
        <v>0</v>
      </c>
      <c r="S113" s="28">
        <v>0</v>
      </c>
      <c r="T113" s="28">
        <v>1</v>
      </c>
    </row>
    <row r="114" spans="1:20" ht="21" customHeight="1">
      <c r="A114" s="8" t="str">
        <f t="shared" si="4"/>
        <v>01501</v>
      </c>
      <c r="B114" s="2">
        <v>114</v>
      </c>
      <c r="C114" s="10" t="str">
        <f t="shared" ca="1" si="5"/>
        <v>0PremiumW3</v>
      </c>
      <c r="D114" s="10" t="str">
        <f t="shared" ca="1" si="6"/>
        <v>0PremiumW3</v>
      </c>
      <c r="E114" s="10" t="str">
        <f t="shared" si="7"/>
        <v/>
      </c>
      <c r="F114" s="6">
        <v>0</v>
      </c>
      <c r="G114" s="7">
        <v>150</v>
      </c>
      <c r="H114" s="10" t="str">
        <f ca="1">VLOOKUP($G114,OFFSET([1]characters!$A$2,0,0,COUNTA([1]characters!$A:$A),MATCH(H$1,[1]characters!$2:$2,0)-MATCH($G$1,[1]characters!$2:$2,0)+1),MATCH(H$1,[1]characters!$2:$2,0)-MATCH($G$1,[1]characters!$2:$2,0)+1,FALSE)</f>
        <v>ポイズンマスターサキ</v>
      </c>
      <c r="I114" s="10" t="str">
        <f ca="1">VLOOKUP($G114,OFFSET([1]characters!$A$2,0,0,COUNTA([1]characters!$A:$A),MATCH(I$1,[1]characters!$2:$2,0)-MATCH($G$1,[1]characters!$2:$2,0)+1),MATCH(I$1,[1]characters!$2:$2,0)-MATCH($G$1,[1]characters!$2:$2,0)+1,FALSE)</f>
        <v>PremiumW</v>
      </c>
      <c r="J114" s="10">
        <f ca="1">VLOOKUP($G114,OFFSET([1]characters!$A$2,0,0,COUNTA([1]characters!$A:$A),MATCH(J$1,[1]characters!$2:$2,0)-MATCH($G$1,[1]characters!$2:$2,0)+1),MATCH(J$1,[1]characters!$2:$2,0)-MATCH($G$1,[1]characters!$2:$2,0)+1,FALSE)</f>
        <v>3</v>
      </c>
      <c r="K114" s="10" t="str">
        <f ca="1">VLOOKUP($G114,OFFSET([1]characters!$A$2,0,0,COUNTA([1]characters!$A:$A),MATCH(K$1,[1]characters!$2:$2,0)-MATCH($G$1,[1]characters!$2:$2,0)+1),MATCH(K$1,[1]characters!$2:$2,0)-MATCH($G$1,[1]characters!$2:$2,0)+1,FALSE)</f>
        <v>red</v>
      </c>
      <c r="L114" s="10" t="str">
        <f ca="1">VLOOKUP($G114,OFFSET([1]characters!$A$2,0,0,COUNTA([1]characters!$A:$A),MATCH("タイプ",[1]characters!$1:$1,0)-MATCH($G$1,[1]characters!$2:$2,0)+2),MATCH("タイプ",[1]characters!$1:$1,0)-MATCH($G$1,[1]characters!$2:$2,0)+2,FALSE)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14" s="10" t="str">
        <f ca="1">VLOOKUP($G114,OFFSET([1]characters!$A$2,0,0,COUNTA([1]characters!$A:$A),MATCH($M$1,[1]characters!$1:$1,0)-MATCH($G$1,[1]characters!$2:$2,0)+2),MATCH($M$1,[1]characters!$1:$1,0)-MATCH($G$1,[1]characters!$2:$2,0)+2,FALSE)</f>
        <v>ヒューマン</v>
      </c>
      <c r="N114" s="6">
        <v>1</v>
      </c>
      <c r="O114" s="43">
        <f ca="1">VLOOKUP(D114,gacha_114_base!A:K,11,FALSE)</f>
        <v>2351</v>
      </c>
      <c r="P114" s="28">
        <v>0</v>
      </c>
      <c r="Q114" s="28">
        <v>0</v>
      </c>
      <c r="R114" s="28">
        <v>0</v>
      </c>
      <c r="S114" s="28">
        <v>0</v>
      </c>
      <c r="T114" s="28">
        <v>1</v>
      </c>
    </row>
    <row r="115" spans="1:20" ht="21" customHeight="1">
      <c r="A115" s="8" t="str">
        <f t="shared" si="4"/>
        <v>01521</v>
      </c>
      <c r="B115" s="2">
        <v>114</v>
      </c>
      <c r="C115" s="10" t="str">
        <f t="shared" ca="1" si="5"/>
        <v>0PremiumW3</v>
      </c>
      <c r="D115" s="10" t="str">
        <f t="shared" ca="1" si="6"/>
        <v>0PremiumW3</v>
      </c>
      <c r="E115" s="10" t="str">
        <f t="shared" si="7"/>
        <v/>
      </c>
      <c r="F115" s="6">
        <v>0</v>
      </c>
      <c r="G115" s="7">
        <v>152</v>
      </c>
      <c r="H115" s="10" t="str">
        <f ca="1">VLOOKUP($G115,OFFSET([1]characters!$A$2,0,0,COUNTA([1]characters!$A:$A),MATCH(H$1,[1]characters!$2:$2,0)-MATCH($G$1,[1]characters!$2:$2,0)+1),MATCH(H$1,[1]characters!$2:$2,0)-MATCH($G$1,[1]characters!$2:$2,0)+1,FALSE)</f>
        <v>功夫少女ランラン</v>
      </c>
      <c r="I115" s="10" t="str">
        <f ca="1">VLOOKUP($G115,OFFSET([1]characters!$A$2,0,0,COUNTA([1]characters!$A:$A),MATCH(I$1,[1]characters!$2:$2,0)-MATCH($G$1,[1]characters!$2:$2,0)+1),MATCH(I$1,[1]characters!$2:$2,0)-MATCH($G$1,[1]characters!$2:$2,0)+1,FALSE)</f>
        <v>PremiumW</v>
      </c>
      <c r="J115" s="10">
        <f ca="1">VLOOKUP($G115,OFFSET([1]characters!$A$2,0,0,COUNTA([1]characters!$A:$A),MATCH(J$1,[1]characters!$2:$2,0)-MATCH($G$1,[1]characters!$2:$2,0)+1),MATCH(J$1,[1]characters!$2:$2,0)-MATCH($G$1,[1]characters!$2:$2,0)+1,FALSE)</f>
        <v>3</v>
      </c>
      <c r="K115" s="10" t="str">
        <f ca="1">VLOOKUP($G115,OFFSET([1]characters!$A$2,0,0,COUNTA([1]characters!$A:$A),MATCH(K$1,[1]characters!$2:$2,0)-MATCH($G$1,[1]characters!$2:$2,0)+1),MATCH(K$1,[1]characters!$2:$2,0)-MATCH($G$1,[1]characters!$2:$2,0)+1,FALSE)</f>
        <v>green</v>
      </c>
      <c r="L115" s="10" t="str">
        <f ca="1">VLOOKUP($G115,OFFSET([1]characters!$A$2,0,0,COUNTA([1]characters!$A:$A),MATCH("タイプ",[1]characters!$1:$1,0)-MATCH($G$1,[1]characters!$2:$2,0)+2),MATCH("タイプ",[1]characters!$1:$1,0)-MATCH($G$1,[1]characters!$2:$2,0)+2,FALSE)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15" s="10" t="str">
        <f ca="1">VLOOKUP($G115,OFFSET([1]characters!$A$2,0,0,COUNTA([1]characters!$A:$A),MATCH($M$1,[1]characters!$1:$1,0)-MATCH($G$1,[1]characters!$2:$2,0)+2),MATCH($M$1,[1]characters!$1:$1,0)-MATCH($G$1,[1]characters!$2:$2,0)+2,FALSE)</f>
        <v>ヒューマン</v>
      </c>
      <c r="N115" s="6">
        <v>1</v>
      </c>
      <c r="O115" s="43">
        <f ca="1">VLOOKUP(D115,gacha_114_base!A:K,11,FALSE)</f>
        <v>2351</v>
      </c>
      <c r="P115" s="28">
        <v>0</v>
      </c>
      <c r="Q115" s="28">
        <v>0</v>
      </c>
      <c r="R115" s="28">
        <v>0</v>
      </c>
      <c r="S115" s="28">
        <v>0</v>
      </c>
      <c r="T115" s="28">
        <v>1</v>
      </c>
    </row>
    <row r="116" spans="1:20" ht="21" customHeight="1">
      <c r="A116" s="8" t="str">
        <f t="shared" si="4"/>
        <v>01541</v>
      </c>
      <c r="B116" s="2">
        <v>114</v>
      </c>
      <c r="C116" s="10" t="str">
        <f t="shared" ca="1" si="5"/>
        <v>0PremiumW3</v>
      </c>
      <c r="D116" s="10" t="str">
        <f t="shared" ca="1" si="6"/>
        <v>0PremiumW3</v>
      </c>
      <c r="E116" s="10" t="str">
        <f t="shared" si="7"/>
        <v/>
      </c>
      <c r="F116" s="6">
        <v>0</v>
      </c>
      <c r="G116" s="7">
        <v>154</v>
      </c>
      <c r="H116" s="10" t="str">
        <f ca="1">VLOOKUP($G116,OFFSET([1]characters!$A$2,0,0,COUNTA([1]characters!$A:$A),MATCH(H$1,[1]characters!$2:$2,0)-MATCH($G$1,[1]characters!$2:$2,0)+1),MATCH(H$1,[1]characters!$2:$2,0)-MATCH($G$1,[1]characters!$2:$2,0)+1,FALSE)</f>
        <v>始末屋 ハンナ</v>
      </c>
      <c r="I116" s="10" t="str">
        <f ca="1">VLOOKUP($G116,OFFSET([1]characters!$A$2,0,0,COUNTA([1]characters!$A:$A),MATCH(I$1,[1]characters!$2:$2,0)-MATCH($G$1,[1]characters!$2:$2,0)+1),MATCH(I$1,[1]characters!$2:$2,0)-MATCH($G$1,[1]characters!$2:$2,0)+1,FALSE)</f>
        <v>PremiumW</v>
      </c>
      <c r="J116" s="10">
        <f ca="1">VLOOKUP($G116,OFFSET([1]characters!$A$2,0,0,COUNTA([1]characters!$A:$A),MATCH(J$1,[1]characters!$2:$2,0)-MATCH($G$1,[1]characters!$2:$2,0)+1),MATCH(J$1,[1]characters!$2:$2,0)-MATCH($G$1,[1]characters!$2:$2,0)+1,FALSE)</f>
        <v>3</v>
      </c>
      <c r="K116" s="10" t="str">
        <f ca="1">VLOOKUP($G116,OFFSET([1]characters!$A$2,0,0,COUNTA([1]characters!$A:$A),MATCH(K$1,[1]characters!$2:$2,0)-MATCH($G$1,[1]characters!$2:$2,0)+1),MATCH(K$1,[1]characters!$2:$2,0)-MATCH($G$1,[1]characters!$2:$2,0)+1,FALSE)</f>
        <v>blue</v>
      </c>
      <c r="L116" s="10" t="str">
        <f ca="1">VLOOKUP($G116,OFFSET([1]characters!$A$2,0,0,COUNTA([1]characters!$A:$A),MATCH("タイプ",[1]characters!$1:$1,0)-MATCH($G$1,[1]characters!$2:$2,0)+2),MATCH("タイプ",[1]characters!$1:$1,0)-MATCH($G$1,[1]characters!$2:$2,0)+2,FALSE)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16" s="10" t="str">
        <f ca="1">VLOOKUP($G116,OFFSET([1]characters!$A$2,0,0,COUNTA([1]characters!$A:$A),MATCH($M$1,[1]characters!$1:$1,0)-MATCH($G$1,[1]characters!$2:$2,0)+2),MATCH($M$1,[1]characters!$1:$1,0)-MATCH($G$1,[1]characters!$2:$2,0)+2,FALSE)</f>
        <v>ヒューマン</v>
      </c>
      <c r="N116" s="6">
        <v>1</v>
      </c>
      <c r="O116" s="43">
        <f ca="1">VLOOKUP(D116,gacha_114_base!A:K,11,FALSE)</f>
        <v>2351</v>
      </c>
      <c r="P116" s="28">
        <v>0</v>
      </c>
      <c r="Q116" s="28">
        <v>0</v>
      </c>
      <c r="R116" s="28">
        <v>0</v>
      </c>
      <c r="S116" s="28">
        <v>0</v>
      </c>
      <c r="T116" s="28">
        <v>1</v>
      </c>
    </row>
    <row r="117" spans="1:20" ht="21" customHeight="1">
      <c r="A117" s="8" t="str">
        <f t="shared" si="4"/>
        <v>01561</v>
      </c>
      <c r="B117" s="2">
        <v>114</v>
      </c>
      <c r="C117" s="10" t="str">
        <f t="shared" ca="1" si="5"/>
        <v>0PremiumW3</v>
      </c>
      <c r="D117" s="10" t="str">
        <f t="shared" ca="1" si="6"/>
        <v>0PremiumW3</v>
      </c>
      <c r="E117" s="10" t="str">
        <f t="shared" si="7"/>
        <v/>
      </c>
      <c r="F117" s="6">
        <v>0</v>
      </c>
      <c r="G117" s="7">
        <v>156</v>
      </c>
      <c r="H117" s="10" t="str">
        <f ca="1">VLOOKUP($G117,OFFSET([1]characters!$A$2,0,0,COUNTA([1]characters!$A:$A),MATCH(H$1,[1]characters!$2:$2,0)-MATCH($G$1,[1]characters!$2:$2,0)+1),MATCH(H$1,[1]characters!$2:$2,0)-MATCH($G$1,[1]characters!$2:$2,0)+1,FALSE)</f>
        <v>踊り子 エレナ</v>
      </c>
      <c r="I117" s="10" t="str">
        <f ca="1">VLOOKUP($G117,OFFSET([1]characters!$A$2,0,0,COUNTA([1]characters!$A:$A),MATCH(I$1,[1]characters!$2:$2,0)-MATCH($G$1,[1]characters!$2:$2,0)+1),MATCH(I$1,[1]characters!$2:$2,0)-MATCH($G$1,[1]characters!$2:$2,0)+1,FALSE)</f>
        <v>PremiumW</v>
      </c>
      <c r="J117" s="10">
        <f ca="1">VLOOKUP($G117,OFFSET([1]characters!$A$2,0,0,COUNTA([1]characters!$A:$A),MATCH(J$1,[1]characters!$2:$2,0)-MATCH($G$1,[1]characters!$2:$2,0)+1),MATCH(J$1,[1]characters!$2:$2,0)-MATCH($G$1,[1]characters!$2:$2,0)+1,FALSE)</f>
        <v>3</v>
      </c>
      <c r="K117" s="10" t="str">
        <f ca="1">VLOOKUP($G117,OFFSET([1]characters!$A$2,0,0,COUNTA([1]characters!$A:$A),MATCH(K$1,[1]characters!$2:$2,0)-MATCH($G$1,[1]characters!$2:$2,0)+1),MATCH(K$1,[1]characters!$2:$2,0)-MATCH($G$1,[1]characters!$2:$2,0)+1,FALSE)</f>
        <v>yellow</v>
      </c>
      <c r="L117" s="10" t="str">
        <f ca="1">VLOOKUP($G117,OFFSET([1]characters!$A$2,0,0,COUNTA([1]characters!$A:$A),MATCH("タイプ",[1]characters!$1:$1,0)-MATCH($G$1,[1]characters!$2:$2,0)+2),MATCH("タイプ",[1]characters!$1:$1,0)-MATCH($G$1,[1]characters!$2:$2,0)+2,FALSE)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17" s="10" t="str">
        <f ca="1">VLOOKUP($G117,OFFSET([1]characters!$A$2,0,0,COUNTA([1]characters!$A:$A),MATCH($M$1,[1]characters!$1:$1,0)-MATCH($G$1,[1]characters!$2:$2,0)+2),MATCH($M$1,[1]characters!$1:$1,0)-MATCH($G$1,[1]characters!$2:$2,0)+2,FALSE)</f>
        <v>ヒューマン</v>
      </c>
      <c r="N117" s="6">
        <v>1</v>
      </c>
      <c r="O117" s="43">
        <f ca="1">VLOOKUP(D117,gacha_114_base!A:K,11,FALSE)</f>
        <v>2351</v>
      </c>
      <c r="P117" s="28">
        <v>0</v>
      </c>
      <c r="Q117" s="28">
        <v>0</v>
      </c>
      <c r="R117" s="28">
        <v>0</v>
      </c>
      <c r="S117" s="28">
        <v>0</v>
      </c>
      <c r="T117" s="28">
        <v>1</v>
      </c>
    </row>
    <row r="118" spans="1:20" ht="21" customHeight="1">
      <c r="A118" s="8" t="str">
        <f t="shared" si="4"/>
        <v>01581</v>
      </c>
      <c r="B118" s="2">
        <v>114</v>
      </c>
      <c r="C118" s="10" t="str">
        <f t="shared" ca="1" si="5"/>
        <v>0PremiumW3</v>
      </c>
      <c r="D118" s="10" t="str">
        <f t="shared" ca="1" si="6"/>
        <v>0PremiumW3</v>
      </c>
      <c r="E118" s="10" t="str">
        <f t="shared" si="7"/>
        <v/>
      </c>
      <c r="F118" s="6">
        <v>0</v>
      </c>
      <c r="G118" s="7">
        <v>158</v>
      </c>
      <c r="H118" s="10" t="str">
        <f ca="1">VLOOKUP($G118,OFFSET([1]characters!$A$2,0,0,COUNTA([1]characters!$A:$A),MATCH(H$1,[1]characters!$2:$2,0)-MATCH($G$1,[1]characters!$2:$2,0)+1),MATCH(H$1,[1]characters!$2:$2,0)-MATCH($G$1,[1]characters!$2:$2,0)+1,FALSE)</f>
        <v>シスター シャルロッテ</v>
      </c>
      <c r="I118" s="10" t="str">
        <f ca="1">VLOOKUP($G118,OFFSET([1]characters!$A$2,0,0,COUNTA([1]characters!$A:$A),MATCH(I$1,[1]characters!$2:$2,0)-MATCH($G$1,[1]characters!$2:$2,0)+1),MATCH(I$1,[1]characters!$2:$2,0)-MATCH($G$1,[1]characters!$2:$2,0)+1,FALSE)</f>
        <v>PremiumW</v>
      </c>
      <c r="J118" s="10">
        <f ca="1">VLOOKUP($G118,OFFSET([1]characters!$A$2,0,0,COUNTA([1]characters!$A:$A),MATCH(J$1,[1]characters!$2:$2,0)-MATCH($G$1,[1]characters!$2:$2,0)+1),MATCH(J$1,[1]characters!$2:$2,0)-MATCH($G$1,[1]characters!$2:$2,0)+1,FALSE)</f>
        <v>3</v>
      </c>
      <c r="K118" s="10" t="str">
        <f ca="1">VLOOKUP($G118,OFFSET([1]characters!$A$2,0,0,COUNTA([1]characters!$A:$A),MATCH(K$1,[1]characters!$2:$2,0)-MATCH($G$1,[1]characters!$2:$2,0)+1),MATCH(K$1,[1]characters!$2:$2,0)-MATCH($G$1,[1]characters!$2:$2,0)+1,FALSE)</f>
        <v>red</v>
      </c>
      <c r="L118" s="10" t="str">
        <f ca="1">VLOOKUP($G118,OFFSET([1]characters!$A$2,0,0,COUNTA([1]characters!$A:$A),MATCH("タイプ",[1]characters!$1:$1,0)-MATCH($G$1,[1]characters!$2:$2,0)+2),MATCH("タイプ",[1]characters!$1:$1,0)-MATCH($G$1,[1]characters!$2:$2,0)+2,FALSE)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18" s="10" t="str">
        <f ca="1">VLOOKUP($G118,OFFSET([1]characters!$A$2,0,0,COUNTA([1]characters!$A:$A),MATCH($M$1,[1]characters!$1:$1,0)-MATCH($G$1,[1]characters!$2:$2,0)+2),MATCH($M$1,[1]characters!$1:$1,0)-MATCH($G$1,[1]characters!$2:$2,0)+2,FALSE)</f>
        <v>ヒューマン</v>
      </c>
      <c r="N118" s="6">
        <v>1</v>
      </c>
      <c r="O118" s="43">
        <f ca="1">VLOOKUP(D118,gacha_114_base!A:K,11,FALSE)</f>
        <v>2351</v>
      </c>
      <c r="P118" s="28">
        <v>0</v>
      </c>
      <c r="Q118" s="28">
        <v>0</v>
      </c>
      <c r="R118" s="28">
        <v>0</v>
      </c>
      <c r="S118" s="28">
        <v>0</v>
      </c>
      <c r="T118" s="28">
        <v>1</v>
      </c>
    </row>
    <row r="119" spans="1:20" ht="21" customHeight="1">
      <c r="A119" s="8" t="str">
        <f t="shared" si="4"/>
        <v>01601</v>
      </c>
      <c r="B119" s="2">
        <v>114</v>
      </c>
      <c r="C119" s="10" t="str">
        <f t="shared" ca="1" si="5"/>
        <v>0PremiumW3</v>
      </c>
      <c r="D119" s="10" t="str">
        <f t="shared" ca="1" si="6"/>
        <v>0PremiumW3</v>
      </c>
      <c r="E119" s="10" t="str">
        <f t="shared" si="7"/>
        <v/>
      </c>
      <c r="F119" s="6">
        <v>0</v>
      </c>
      <c r="G119" s="7">
        <v>160</v>
      </c>
      <c r="H119" s="10" t="str">
        <f ca="1">VLOOKUP($G119,OFFSET([1]characters!$A$2,0,0,COUNTA([1]characters!$A:$A),MATCH(H$1,[1]characters!$2:$2,0)-MATCH($G$1,[1]characters!$2:$2,0)+1),MATCH(H$1,[1]characters!$2:$2,0)-MATCH($G$1,[1]characters!$2:$2,0)+1,FALSE)</f>
        <v>反逆者 クリエ</v>
      </c>
      <c r="I119" s="10" t="str">
        <f ca="1">VLOOKUP($G119,OFFSET([1]characters!$A$2,0,0,COUNTA([1]characters!$A:$A),MATCH(I$1,[1]characters!$2:$2,0)-MATCH($G$1,[1]characters!$2:$2,0)+1),MATCH(I$1,[1]characters!$2:$2,0)-MATCH($G$1,[1]characters!$2:$2,0)+1,FALSE)</f>
        <v>PremiumW</v>
      </c>
      <c r="J119" s="10">
        <f ca="1">VLOOKUP($G119,OFFSET([1]characters!$A$2,0,0,COUNTA([1]characters!$A:$A),MATCH(J$1,[1]characters!$2:$2,0)-MATCH($G$1,[1]characters!$2:$2,0)+1),MATCH(J$1,[1]characters!$2:$2,0)-MATCH($G$1,[1]characters!$2:$2,0)+1,FALSE)</f>
        <v>3</v>
      </c>
      <c r="K119" s="10" t="str">
        <f ca="1">VLOOKUP($G119,OFFSET([1]characters!$A$2,0,0,COUNTA([1]characters!$A:$A),MATCH(K$1,[1]characters!$2:$2,0)-MATCH($G$1,[1]characters!$2:$2,0)+1),MATCH(K$1,[1]characters!$2:$2,0)-MATCH($G$1,[1]characters!$2:$2,0)+1,FALSE)</f>
        <v>green</v>
      </c>
      <c r="L119" s="10" t="str">
        <f ca="1">VLOOKUP($G119,OFFSET([1]characters!$A$2,0,0,COUNTA([1]characters!$A:$A),MATCH("タイプ",[1]characters!$1:$1,0)-MATCH($G$1,[1]characters!$2:$2,0)+2),MATCH("タイプ",[1]characters!$1:$1,0)-MATCH($G$1,[1]characters!$2:$2,0)+2,FALSE)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19" s="10" t="str">
        <f ca="1">VLOOKUP($G119,OFFSET([1]characters!$A$2,0,0,COUNTA([1]characters!$A:$A),MATCH($M$1,[1]characters!$1:$1,0)-MATCH($G$1,[1]characters!$2:$2,0)+2),MATCH($M$1,[1]characters!$1:$1,0)-MATCH($G$1,[1]characters!$2:$2,0)+2,FALSE)</f>
        <v>ヒューマン</v>
      </c>
      <c r="N119" s="6">
        <v>1</v>
      </c>
      <c r="O119" s="43">
        <f ca="1">VLOOKUP(D119,gacha_114_base!A:K,11,FALSE)</f>
        <v>2351</v>
      </c>
      <c r="P119" s="28">
        <v>0</v>
      </c>
      <c r="Q119" s="28">
        <v>0</v>
      </c>
      <c r="R119" s="28">
        <v>0</v>
      </c>
      <c r="S119" s="28">
        <v>0</v>
      </c>
      <c r="T119" s="28">
        <v>1</v>
      </c>
    </row>
    <row r="120" spans="1:20" ht="21" customHeight="1">
      <c r="A120" s="8" t="str">
        <f t="shared" si="4"/>
        <v>01621</v>
      </c>
      <c r="B120" s="2">
        <v>114</v>
      </c>
      <c r="C120" s="10" t="str">
        <f t="shared" ca="1" si="5"/>
        <v>0PremiumW3</v>
      </c>
      <c r="D120" s="10" t="str">
        <f t="shared" ca="1" si="6"/>
        <v>0PremiumW3</v>
      </c>
      <c r="E120" s="10" t="str">
        <f t="shared" si="7"/>
        <v/>
      </c>
      <c r="F120" s="6">
        <v>0</v>
      </c>
      <c r="G120" s="7">
        <v>162</v>
      </c>
      <c r="H120" s="10" t="str">
        <f ca="1">VLOOKUP($G120,OFFSET([1]characters!$A$2,0,0,COUNTA([1]characters!$A:$A),MATCH(H$1,[1]characters!$2:$2,0)-MATCH($G$1,[1]characters!$2:$2,0)+1),MATCH(H$1,[1]characters!$2:$2,0)-MATCH($G$1,[1]characters!$2:$2,0)+1,FALSE)</f>
        <v>狂女 クララ</v>
      </c>
      <c r="I120" s="10" t="str">
        <f ca="1">VLOOKUP($G120,OFFSET([1]characters!$A$2,0,0,COUNTA([1]characters!$A:$A),MATCH(I$1,[1]characters!$2:$2,0)-MATCH($G$1,[1]characters!$2:$2,0)+1),MATCH(I$1,[1]characters!$2:$2,0)-MATCH($G$1,[1]characters!$2:$2,0)+1,FALSE)</f>
        <v>PremiumW</v>
      </c>
      <c r="J120" s="10">
        <f ca="1">VLOOKUP($G120,OFFSET([1]characters!$A$2,0,0,COUNTA([1]characters!$A:$A),MATCH(J$1,[1]characters!$2:$2,0)-MATCH($G$1,[1]characters!$2:$2,0)+1),MATCH(J$1,[1]characters!$2:$2,0)-MATCH($G$1,[1]characters!$2:$2,0)+1,FALSE)</f>
        <v>3</v>
      </c>
      <c r="K120" s="10" t="str">
        <f ca="1">VLOOKUP($G120,OFFSET([1]characters!$A$2,0,0,COUNTA([1]characters!$A:$A),MATCH(K$1,[1]characters!$2:$2,0)-MATCH($G$1,[1]characters!$2:$2,0)+1),MATCH(K$1,[1]characters!$2:$2,0)-MATCH($G$1,[1]characters!$2:$2,0)+1,FALSE)</f>
        <v>blue</v>
      </c>
      <c r="L120" s="10" t="str">
        <f ca="1">VLOOKUP($G120,OFFSET([1]characters!$A$2,0,0,COUNTA([1]characters!$A:$A),MATCH("タイプ",[1]characters!$1:$1,0)-MATCH($G$1,[1]characters!$2:$2,0)+2),MATCH("タイプ",[1]characters!$1:$1,0)-MATCH($G$1,[1]characters!$2:$2,0)+2,FALSE)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20" s="10" t="str">
        <f ca="1">VLOOKUP($G120,OFFSET([1]characters!$A$2,0,0,COUNTA([1]characters!$A:$A),MATCH($M$1,[1]characters!$1:$1,0)-MATCH($G$1,[1]characters!$2:$2,0)+2),MATCH($M$1,[1]characters!$1:$1,0)-MATCH($G$1,[1]characters!$2:$2,0)+2,FALSE)</f>
        <v>ヒューマン</v>
      </c>
      <c r="N120" s="6">
        <v>1</v>
      </c>
      <c r="O120" s="43">
        <f ca="1">VLOOKUP(D120,gacha_114_base!A:K,11,FALSE)</f>
        <v>2351</v>
      </c>
      <c r="P120" s="28">
        <v>0</v>
      </c>
      <c r="Q120" s="28">
        <v>0</v>
      </c>
      <c r="R120" s="28">
        <v>0</v>
      </c>
      <c r="S120" s="28">
        <v>0</v>
      </c>
      <c r="T120" s="28">
        <v>1</v>
      </c>
    </row>
    <row r="121" spans="1:20" ht="21" customHeight="1">
      <c r="A121" s="8" t="str">
        <f t="shared" si="4"/>
        <v>01641</v>
      </c>
      <c r="B121" s="2">
        <v>114</v>
      </c>
      <c r="C121" s="10" t="str">
        <f t="shared" ca="1" si="5"/>
        <v>0PremiumW3</v>
      </c>
      <c r="D121" s="10" t="str">
        <f t="shared" ca="1" si="6"/>
        <v>0PremiumW3</v>
      </c>
      <c r="E121" s="10" t="str">
        <f t="shared" si="7"/>
        <v/>
      </c>
      <c r="F121" s="6">
        <v>0</v>
      </c>
      <c r="G121" s="7">
        <v>164</v>
      </c>
      <c r="H121" s="10" t="str">
        <f ca="1">VLOOKUP($G121,OFFSET([1]characters!$A$2,0,0,COUNTA([1]characters!$A:$A),MATCH(H$1,[1]characters!$2:$2,0)-MATCH($G$1,[1]characters!$2:$2,0)+1),MATCH(H$1,[1]characters!$2:$2,0)-MATCH($G$1,[1]characters!$2:$2,0)+1,FALSE)</f>
        <v>イブとトモダチ</v>
      </c>
      <c r="I121" s="10" t="str">
        <f ca="1">VLOOKUP($G121,OFFSET([1]characters!$A$2,0,0,COUNTA([1]characters!$A:$A),MATCH(I$1,[1]characters!$2:$2,0)-MATCH($G$1,[1]characters!$2:$2,0)+1),MATCH(I$1,[1]characters!$2:$2,0)-MATCH($G$1,[1]characters!$2:$2,0)+1,FALSE)</f>
        <v>PremiumW</v>
      </c>
      <c r="J121" s="10">
        <f ca="1">VLOOKUP($G121,OFFSET([1]characters!$A$2,0,0,COUNTA([1]characters!$A:$A),MATCH(J$1,[1]characters!$2:$2,0)-MATCH($G$1,[1]characters!$2:$2,0)+1),MATCH(J$1,[1]characters!$2:$2,0)-MATCH($G$1,[1]characters!$2:$2,0)+1,FALSE)</f>
        <v>3</v>
      </c>
      <c r="K121" s="10" t="str">
        <f ca="1">VLOOKUP($G121,OFFSET([1]characters!$A$2,0,0,COUNTA([1]characters!$A:$A),MATCH(K$1,[1]characters!$2:$2,0)-MATCH($G$1,[1]characters!$2:$2,0)+1),MATCH(K$1,[1]characters!$2:$2,0)-MATCH($G$1,[1]characters!$2:$2,0)+1,FALSE)</f>
        <v>yellow</v>
      </c>
      <c r="L121" s="10" t="str">
        <f ca="1">VLOOKUP($G121,OFFSET([1]characters!$A$2,0,0,COUNTA([1]characters!$A:$A),MATCH("タイプ",[1]characters!$1:$1,0)-MATCH($G$1,[1]characters!$2:$2,0)+2),MATCH("タイプ",[1]characters!$1:$1,0)-MATCH($G$1,[1]characters!$2:$2,0)+2,FALSE)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21" s="10" t="str">
        <f ca="1">VLOOKUP($G121,OFFSET([1]characters!$A$2,0,0,COUNTA([1]characters!$A:$A),MATCH($M$1,[1]characters!$1:$1,0)-MATCH($G$1,[1]characters!$2:$2,0)+2),MATCH($M$1,[1]characters!$1:$1,0)-MATCH($G$1,[1]characters!$2:$2,0)+2,FALSE)</f>
        <v>ヒューマン</v>
      </c>
      <c r="N121" s="6">
        <v>1</v>
      </c>
      <c r="O121" s="43">
        <f ca="1">VLOOKUP(D121,gacha_114_base!A:K,11,FALSE)</f>
        <v>2351</v>
      </c>
      <c r="P121" s="28">
        <v>0</v>
      </c>
      <c r="Q121" s="28">
        <v>0</v>
      </c>
      <c r="R121" s="28">
        <v>0</v>
      </c>
      <c r="S121" s="28">
        <v>0</v>
      </c>
      <c r="T121" s="28">
        <v>1</v>
      </c>
    </row>
    <row r="122" spans="1:20" ht="21" customHeight="1">
      <c r="A122" s="8" t="str">
        <f t="shared" si="4"/>
        <v>01661</v>
      </c>
      <c r="B122" s="2">
        <v>114</v>
      </c>
      <c r="C122" s="10" t="str">
        <f t="shared" ca="1" si="5"/>
        <v>0PremiumN3</v>
      </c>
      <c r="D122" s="10" t="str">
        <f t="shared" ca="1" si="6"/>
        <v>0PremiumN3</v>
      </c>
      <c r="E122" s="10" t="str">
        <f t="shared" si="7"/>
        <v/>
      </c>
      <c r="F122" s="6">
        <v>0</v>
      </c>
      <c r="G122" s="7">
        <v>166</v>
      </c>
      <c r="H122" s="10" t="str">
        <f ca="1">VLOOKUP($G122,OFFSET([1]characters!$A$2,0,0,COUNTA([1]characters!$A:$A),MATCH(H$1,[1]characters!$2:$2,0)-MATCH($G$1,[1]characters!$2:$2,0)+1),MATCH(H$1,[1]characters!$2:$2,0)-MATCH($G$1,[1]characters!$2:$2,0)+1,FALSE)</f>
        <v>ベリアル</v>
      </c>
      <c r="I122" s="10" t="str">
        <f ca="1">VLOOKUP($G122,OFFSET([1]characters!$A$2,0,0,COUNTA([1]characters!$A:$A),MATCH(I$1,[1]characters!$2:$2,0)-MATCH($G$1,[1]characters!$2:$2,0)+1),MATCH(I$1,[1]characters!$2:$2,0)-MATCH($G$1,[1]characters!$2:$2,0)+1,FALSE)</f>
        <v>PremiumN</v>
      </c>
      <c r="J122" s="10">
        <f ca="1">VLOOKUP($G122,OFFSET([1]characters!$A$2,0,0,COUNTA([1]characters!$A:$A),MATCH(J$1,[1]characters!$2:$2,0)-MATCH($G$1,[1]characters!$2:$2,0)+1),MATCH(J$1,[1]characters!$2:$2,0)-MATCH($G$1,[1]characters!$2:$2,0)+1,FALSE)</f>
        <v>3</v>
      </c>
      <c r="K122" s="10" t="str">
        <f ca="1">VLOOKUP($G122,OFFSET([1]characters!$A$2,0,0,COUNTA([1]characters!$A:$A),MATCH(K$1,[1]characters!$2:$2,0)-MATCH($G$1,[1]characters!$2:$2,0)+1),MATCH(K$1,[1]characters!$2:$2,0)-MATCH($G$1,[1]characters!$2:$2,0)+1,FALSE)</f>
        <v>red</v>
      </c>
      <c r="L122" s="10" t="str">
        <f ca="1">VLOOKUP($G122,OFFSET([1]characters!$A$2,0,0,COUNTA([1]characters!$A:$A),MATCH("タイプ",[1]characters!$1:$1,0)-MATCH($G$1,[1]characters!$2:$2,0)+2),MATCH("タイプ",[1]characters!$1:$1,0)-MATCH($G$1,[1]characters!$2:$2,0)+2,FALSE)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22" s="10" t="str">
        <f ca="1">VLOOKUP($G122,OFFSET([1]characters!$A$2,0,0,COUNTA([1]characters!$A:$A),MATCH($M$1,[1]characters!$1:$1,0)-MATCH($G$1,[1]characters!$2:$2,0)+2),MATCH($M$1,[1]characters!$1:$1,0)-MATCH($G$1,[1]characters!$2:$2,0)+2,FALSE)</f>
        <v>ゴッド</v>
      </c>
      <c r="N122" s="6">
        <v>1</v>
      </c>
      <c r="O122" s="43">
        <f ca="1">VLOOKUP(D122,gacha_114_base!A:K,11,FALSE)</f>
        <v>2433</v>
      </c>
      <c r="P122" s="28">
        <v>0</v>
      </c>
      <c r="Q122" s="28">
        <v>0</v>
      </c>
      <c r="R122" s="28">
        <v>0</v>
      </c>
      <c r="S122" s="28">
        <v>0</v>
      </c>
      <c r="T122" s="28">
        <v>1</v>
      </c>
    </row>
    <row r="123" spans="1:20" ht="21" customHeight="1">
      <c r="A123" s="8" t="str">
        <f t="shared" si="4"/>
        <v>01691</v>
      </c>
      <c r="B123" s="2">
        <v>114</v>
      </c>
      <c r="C123" s="10" t="str">
        <f t="shared" ca="1" si="5"/>
        <v>0PremiumN3</v>
      </c>
      <c r="D123" s="10" t="str">
        <f t="shared" ca="1" si="6"/>
        <v>0PremiumN3</v>
      </c>
      <c r="E123" s="10" t="str">
        <f t="shared" si="7"/>
        <v/>
      </c>
      <c r="F123" s="6">
        <v>0</v>
      </c>
      <c r="G123" s="7">
        <v>169</v>
      </c>
      <c r="H123" s="10" t="str">
        <f ca="1">VLOOKUP($G123,OFFSET([1]characters!$A$2,0,0,COUNTA([1]characters!$A:$A),MATCH(H$1,[1]characters!$2:$2,0)-MATCH($G$1,[1]characters!$2:$2,0)+1),MATCH(H$1,[1]characters!$2:$2,0)-MATCH($G$1,[1]characters!$2:$2,0)+1,FALSE)</f>
        <v>オセ</v>
      </c>
      <c r="I123" s="10" t="str">
        <f ca="1">VLOOKUP($G123,OFFSET([1]characters!$A$2,0,0,COUNTA([1]characters!$A:$A),MATCH(I$1,[1]characters!$2:$2,0)-MATCH($G$1,[1]characters!$2:$2,0)+1),MATCH(I$1,[1]characters!$2:$2,0)-MATCH($G$1,[1]characters!$2:$2,0)+1,FALSE)</f>
        <v>PremiumN</v>
      </c>
      <c r="J123" s="10">
        <f ca="1">VLOOKUP($G123,OFFSET([1]characters!$A$2,0,0,COUNTA([1]characters!$A:$A),MATCH(J$1,[1]characters!$2:$2,0)-MATCH($G$1,[1]characters!$2:$2,0)+1),MATCH(J$1,[1]characters!$2:$2,0)-MATCH($G$1,[1]characters!$2:$2,0)+1,FALSE)</f>
        <v>3</v>
      </c>
      <c r="K123" s="10" t="str">
        <f ca="1">VLOOKUP($G123,OFFSET([1]characters!$A$2,0,0,COUNTA([1]characters!$A:$A),MATCH(K$1,[1]characters!$2:$2,0)-MATCH($G$1,[1]characters!$2:$2,0)+1),MATCH(K$1,[1]characters!$2:$2,0)-MATCH($G$1,[1]characters!$2:$2,0)+1,FALSE)</f>
        <v>green</v>
      </c>
      <c r="L123" s="10" t="str">
        <f ca="1">VLOOKUP($G123,OFFSET([1]characters!$A$2,0,0,COUNTA([1]characters!$A:$A),MATCH("タイプ",[1]characters!$1:$1,0)-MATCH($G$1,[1]characters!$2:$2,0)+2),MATCH("タイプ",[1]characters!$1:$1,0)-MATCH($G$1,[1]characters!$2:$2,0)+2,FALSE)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23" s="10" t="str">
        <f ca="1">VLOOKUP($G123,OFFSET([1]characters!$A$2,0,0,COUNTA([1]characters!$A:$A),MATCH($M$1,[1]characters!$1:$1,0)-MATCH($G$1,[1]characters!$2:$2,0)+2),MATCH($M$1,[1]characters!$1:$1,0)-MATCH($G$1,[1]characters!$2:$2,0)+2,FALSE)</f>
        <v>ゴッド</v>
      </c>
      <c r="N123" s="6">
        <v>1</v>
      </c>
      <c r="O123" s="43">
        <f ca="1">VLOOKUP(D123,gacha_114_base!A:K,11,FALSE)</f>
        <v>2433</v>
      </c>
      <c r="P123" s="28">
        <v>0</v>
      </c>
      <c r="Q123" s="28">
        <v>0</v>
      </c>
      <c r="R123" s="28">
        <v>0</v>
      </c>
      <c r="S123" s="28">
        <v>0</v>
      </c>
      <c r="T123" s="28">
        <v>1</v>
      </c>
    </row>
    <row r="124" spans="1:20" ht="21" customHeight="1">
      <c r="A124" s="8" t="str">
        <f t="shared" si="4"/>
        <v>01721</v>
      </c>
      <c r="B124" s="2">
        <v>114</v>
      </c>
      <c r="C124" s="10" t="str">
        <f t="shared" ca="1" si="5"/>
        <v>0PremiumN3</v>
      </c>
      <c r="D124" s="10" t="str">
        <f t="shared" ca="1" si="6"/>
        <v>0PremiumN3</v>
      </c>
      <c r="E124" s="10" t="str">
        <f t="shared" si="7"/>
        <v/>
      </c>
      <c r="F124" s="6">
        <v>0</v>
      </c>
      <c r="G124" s="7">
        <v>172</v>
      </c>
      <c r="H124" s="10" t="str">
        <f ca="1">VLOOKUP($G124,OFFSET([1]characters!$A$2,0,0,COUNTA([1]characters!$A:$A),MATCH(H$1,[1]characters!$2:$2,0)-MATCH($G$1,[1]characters!$2:$2,0)+1),MATCH(H$1,[1]characters!$2:$2,0)-MATCH($G$1,[1]characters!$2:$2,0)+1,FALSE)</f>
        <v>フォルネウス</v>
      </c>
      <c r="I124" s="10" t="str">
        <f ca="1">VLOOKUP($G124,OFFSET([1]characters!$A$2,0,0,COUNTA([1]characters!$A:$A),MATCH(I$1,[1]characters!$2:$2,0)-MATCH($G$1,[1]characters!$2:$2,0)+1),MATCH(I$1,[1]characters!$2:$2,0)-MATCH($G$1,[1]characters!$2:$2,0)+1,FALSE)</f>
        <v>PremiumN</v>
      </c>
      <c r="J124" s="10">
        <f ca="1">VLOOKUP($G124,OFFSET([1]characters!$A$2,0,0,COUNTA([1]characters!$A:$A),MATCH(J$1,[1]characters!$2:$2,0)-MATCH($G$1,[1]characters!$2:$2,0)+1),MATCH(J$1,[1]characters!$2:$2,0)-MATCH($G$1,[1]characters!$2:$2,0)+1,FALSE)</f>
        <v>3</v>
      </c>
      <c r="K124" s="10" t="str">
        <f ca="1">VLOOKUP($G124,OFFSET([1]characters!$A$2,0,0,COUNTA([1]characters!$A:$A),MATCH(K$1,[1]characters!$2:$2,0)-MATCH($G$1,[1]characters!$2:$2,0)+1),MATCH(K$1,[1]characters!$2:$2,0)-MATCH($G$1,[1]characters!$2:$2,0)+1,FALSE)</f>
        <v>blue</v>
      </c>
      <c r="L124" s="10" t="str">
        <f ca="1">VLOOKUP($G124,OFFSET([1]characters!$A$2,0,0,COUNTA([1]characters!$A:$A),MATCH("タイプ",[1]characters!$1:$1,0)-MATCH($G$1,[1]characters!$2:$2,0)+2),MATCH("タイプ",[1]characters!$1:$1,0)-MATCH($G$1,[1]characters!$2:$2,0)+2,FALSE)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24" s="10" t="str">
        <f ca="1">VLOOKUP($G124,OFFSET([1]characters!$A$2,0,0,COUNTA([1]characters!$A:$A),MATCH($M$1,[1]characters!$1:$1,0)-MATCH($G$1,[1]characters!$2:$2,0)+2),MATCH($M$1,[1]characters!$1:$1,0)-MATCH($G$1,[1]characters!$2:$2,0)+2,FALSE)</f>
        <v>ゴッド</v>
      </c>
      <c r="N124" s="6">
        <v>1</v>
      </c>
      <c r="O124" s="43">
        <f ca="1">VLOOKUP(D124,gacha_114_base!A:K,11,FALSE)</f>
        <v>2433</v>
      </c>
      <c r="P124" s="28">
        <v>0</v>
      </c>
      <c r="Q124" s="28">
        <v>0</v>
      </c>
      <c r="R124" s="28">
        <v>0</v>
      </c>
      <c r="S124" s="28">
        <v>0</v>
      </c>
      <c r="T124" s="28">
        <v>1</v>
      </c>
    </row>
    <row r="125" spans="1:20" ht="21" customHeight="1">
      <c r="A125" s="8" t="str">
        <f t="shared" si="4"/>
        <v>01751</v>
      </c>
      <c r="B125" s="2">
        <v>114</v>
      </c>
      <c r="C125" s="10" t="str">
        <f t="shared" ca="1" si="5"/>
        <v>0PremiumN3</v>
      </c>
      <c r="D125" s="10" t="str">
        <f t="shared" ca="1" si="6"/>
        <v>0PremiumN3</v>
      </c>
      <c r="E125" s="10" t="str">
        <f t="shared" si="7"/>
        <v/>
      </c>
      <c r="F125" s="6">
        <v>0</v>
      </c>
      <c r="G125" s="7">
        <v>175</v>
      </c>
      <c r="H125" s="10" t="str">
        <f ca="1">VLOOKUP($G125,OFFSET([1]characters!$A$2,0,0,COUNTA([1]characters!$A:$A),MATCH(H$1,[1]characters!$2:$2,0)-MATCH($G$1,[1]characters!$2:$2,0)+1),MATCH(H$1,[1]characters!$2:$2,0)-MATCH($G$1,[1]characters!$2:$2,0)+1,FALSE)</f>
        <v>バフォメット</v>
      </c>
      <c r="I125" s="10" t="str">
        <f ca="1">VLOOKUP($G125,OFFSET([1]characters!$A$2,0,0,COUNTA([1]characters!$A:$A),MATCH(I$1,[1]characters!$2:$2,0)-MATCH($G$1,[1]characters!$2:$2,0)+1),MATCH(I$1,[1]characters!$2:$2,0)-MATCH($G$1,[1]characters!$2:$2,0)+1,FALSE)</f>
        <v>PremiumN</v>
      </c>
      <c r="J125" s="10">
        <f ca="1">VLOOKUP($G125,OFFSET([1]characters!$A$2,0,0,COUNTA([1]characters!$A:$A),MATCH(J$1,[1]characters!$2:$2,0)-MATCH($G$1,[1]characters!$2:$2,0)+1),MATCH(J$1,[1]characters!$2:$2,0)-MATCH($G$1,[1]characters!$2:$2,0)+1,FALSE)</f>
        <v>3</v>
      </c>
      <c r="K125" s="10" t="str">
        <f ca="1">VLOOKUP($G125,OFFSET([1]characters!$A$2,0,0,COUNTA([1]characters!$A:$A),MATCH(K$1,[1]characters!$2:$2,0)-MATCH($G$1,[1]characters!$2:$2,0)+1),MATCH(K$1,[1]characters!$2:$2,0)-MATCH($G$1,[1]characters!$2:$2,0)+1,FALSE)</f>
        <v>yellow</v>
      </c>
      <c r="L125" s="10" t="str">
        <f ca="1">VLOOKUP($G125,OFFSET([1]characters!$A$2,0,0,COUNTA([1]characters!$A:$A),MATCH("タイプ",[1]characters!$1:$1,0)-MATCH($G$1,[1]characters!$2:$2,0)+2),MATCH("タイプ",[1]characters!$1:$1,0)-MATCH($G$1,[1]characters!$2:$2,0)+2,FALSE)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25" s="10" t="str">
        <f ca="1">VLOOKUP($G125,OFFSET([1]characters!$A$2,0,0,COUNTA([1]characters!$A:$A),MATCH($M$1,[1]characters!$1:$1,0)-MATCH($G$1,[1]characters!$2:$2,0)+2),MATCH($M$1,[1]characters!$1:$1,0)-MATCH($G$1,[1]characters!$2:$2,0)+2,FALSE)</f>
        <v>ゴッド</v>
      </c>
      <c r="N125" s="6">
        <v>1</v>
      </c>
      <c r="O125" s="43">
        <f ca="1">VLOOKUP(D125,gacha_114_base!A:K,11,FALSE)</f>
        <v>2433</v>
      </c>
      <c r="P125" s="28">
        <v>0</v>
      </c>
      <c r="Q125" s="28">
        <v>0</v>
      </c>
      <c r="R125" s="28">
        <v>0</v>
      </c>
      <c r="S125" s="28">
        <v>0</v>
      </c>
      <c r="T125" s="28">
        <v>1</v>
      </c>
    </row>
    <row r="126" spans="1:20" ht="21" customHeight="1">
      <c r="A126" s="8" t="str">
        <f t="shared" si="4"/>
        <v>01781</v>
      </c>
      <c r="B126" s="2">
        <v>114</v>
      </c>
      <c r="C126" s="10" t="str">
        <f t="shared" ca="1" si="5"/>
        <v>0PremiumN3</v>
      </c>
      <c r="D126" s="10" t="str">
        <f t="shared" ca="1" si="6"/>
        <v>0PremiumN3</v>
      </c>
      <c r="E126" s="10" t="str">
        <f t="shared" si="7"/>
        <v/>
      </c>
      <c r="F126" s="6">
        <v>0</v>
      </c>
      <c r="G126" s="7">
        <v>178</v>
      </c>
      <c r="H126" s="10" t="str">
        <f ca="1">VLOOKUP($G126,OFFSET([1]characters!$A$2,0,0,COUNTA([1]characters!$A:$A),MATCH(H$1,[1]characters!$2:$2,0)-MATCH($G$1,[1]characters!$2:$2,0)+1),MATCH(H$1,[1]characters!$2:$2,0)-MATCH($G$1,[1]characters!$2:$2,0)+1,FALSE)</f>
        <v>ケルベロス</v>
      </c>
      <c r="I126" s="10" t="str">
        <f ca="1">VLOOKUP($G126,OFFSET([1]characters!$A$2,0,0,COUNTA([1]characters!$A:$A),MATCH(I$1,[1]characters!$2:$2,0)-MATCH($G$1,[1]characters!$2:$2,0)+1),MATCH(I$1,[1]characters!$2:$2,0)-MATCH($G$1,[1]characters!$2:$2,0)+1,FALSE)</f>
        <v>PremiumN</v>
      </c>
      <c r="J126" s="10">
        <f ca="1">VLOOKUP($G126,OFFSET([1]characters!$A$2,0,0,COUNTA([1]characters!$A:$A),MATCH(J$1,[1]characters!$2:$2,0)-MATCH($G$1,[1]characters!$2:$2,0)+1),MATCH(J$1,[1]characters!$2:$2,0)-MATCH($G$1,[1]characters!$2:$2,0)+1,FALSE)</f>
        <v>3</v>
      </c>
      <c r="K126" s="10" t="str">
        <f ca="1">VLOOKUP($G126,OFFSET([1]characters!$A$2,0,0,COUNTA([1]characters!$A:$A),MATCH(K$1,[1]characters!$2:$2,0)-MATCH($G$1,[1]characters!$2:$2,0)+1),MATCH(K$1,[1]characters!$2:$2,0)-MATCH($G$1,[1]characters!$2:$2,0)+1,FALSE)</f>
        <v>red</v>
      </c>
      <c r="L126" s="10" t="str">
        <f ca="1">VLOOKUP($G126,OFFSET([1]characters!$A$2,0,0,COUNTA([1]characters!$A:$A),MATCH("タイプ",[1]characters!$1:$1,0)-MATCH($G$1,[1]characters!$2:$2,0)+2),MATCH("タイプ",[1]characters!$1:$1,0)-MATCH($G$1,[1]characters!$2:$2,0)+2,FALSE)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26" s="10" t="str">
        <f ca="1">VLOOKUP($G126,OFFSET([1]characters!$A$2,0,0,COUNTA([1]characters!$A:$A),MATCH($M$1,[1]characters!$1:$1,0)-MATCH($G$1,[1]characters!$2:$2,0)+2),MATCH($M$1,[1]characters!$1:$1,0)-MATCH($G$1,[1]characters!$2:$2,0)+2,FALSE)</f>
        <v>アニマル</v>
      </c>
      <c r="N126" s="6">
        <v>1</v>
      </c>
      <c r="O126" s="43">
        <f ca="1">VLOOKUP(D126,gacha_114_base!A:K,11,FALSE)</f>
        <v>2433</v>
      </c>
      <c r="P126" s="28">
        <v>0</v>
      </c>
      <c r="Q126" s="28">
        <v>0</v>
      </c>
      <c r="R126" s="28">
        <v>0</v>
      </c>
      <c r="S126" s="28">
        <v>0</v>
      </c>
      <c r="T126" s="28">
        <v>1</v>
      </c>
    </row>
    <row r="127" spans="1:20" ht="21" customHeight="1">
      <c r="A127" s="8" t="str">
        <f t="shared" si="4"/>
        <v>01811</v>
      </c>
      <c r="B127" s="2">
        <v>114</v>
      </c>
      <c r="C127" s="10" t="str">
        <f t="shared" ca="1" si="5"/>
        <v>0PremiumN3</v>
      </c>
      <c r="D127" s="10" t="str">
        <f t="shared" ca="1" si="6"/>
        <v>0PremiumN3</v>
      </c>
      <c r="E127" s="10" t="str">
        <f t="shared" si="7"/>
        <v/>
      </c>
      <c r="F127" s="6">
        <v>0</v>
      </c>
      <c r="G127" s="7">
        <v>181</v>
      </c>
      <c r="H127" s="10" t="str">
        <f ca="1">VLOOKUP($G127,OFFSET([1]characters!$A$2,0,0,COUNTA([1]characters!$A:$A),MATCH(H$1,[1]characters!$2:$2,0)-MATCH($G$1,[1]characters!$2:$2,0)+1),MATCH(H$1,[1]characters!$2:$2,0)-MATCH($G$1,[1]characters!$2:$2,0)+1,FALSE)</f>
        <v>ベヒモス</v>
      </c>
      <c r="I127" s="10" t="str">
        <f ca="1">VLOOKUP($G127,OFFSET([1]characters!$A$2,0,0,COUNTA([1]characters!$A:$A),MATCH(I$1,[1]characters!$2:$2,0)-MATCH($G$1,[1]characters!$2:$2,0)+1),MATCH(I$1,[1]characters!$2:$2,0)-MATCH($G$1,[1]characters!$2:$2,0)+1,FALSE)</f>
        <v>PremiumN</v>
      </c>
      <c r="J127" s="10">
        <f ca="1">VLOOKUP($G127,OFFSET([1]characters!$A$2,0,0,COUNTA([1]characters!$A:$A),MATCH(J$1,[1]characters!$2:$2,0)-MATCH($G$1,[1]characters!$2:$2,0)+1),MATCH(J$1,[1]characters!$2:$2,0)-MATCH($G$1,[1]characters!$2:$2,0)+1,FALSE)</f>
        <v>3</v>
      </c>
      <c r="K127" s="10" t="str">
        <f ca="1">VLOOKUP($G127,OFFSET([1]characters!$A$2,0,0,COUNTA([1]characters!$A:$A),MATCH(K$1,[1]characters!$2:$2,0)-MATCH($G$1,[1]characters!$2:$2,0)+1),MATCH(K$1,[1]characters!$2:$2,0)-MATCH($G$1,[1]characters!$2:$2,0)+1,FALSE)</f>
        <v>green</v>
      </c>
      <c r="L127" s="10" t="str">
        <f ca="1">VLOOKUP($G127,OFFSET([1]characters!$A$2,0,0,COUNTA([1]characters!$A:$A),MATCH("タイプ",[1]characters!$1:$1,0)-MATCH($G$1,[1]characters!$2:$2,0)+2),MATCH("タイプ",[1]characters!$1:$1,0)-MATCH($G$1,[1]characters!$2:$2,0)+2,FALSE)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27" s="10" t="str">
        <f ca="1">VLOOKUP($G127,OFFSET([1]characters!$A$2,0,0,COUNTA([1]characters!$A:$A),MATCH($M$1,[1]characters!$1:$1,0)-MATCH($G$1,[1]characters!$2:$2,0)+2),MATCH($M$1,[1]characters!$1:$1,0)-MATCH($G$1,[1]characters!$2:$2,0)+2,FALSE)</f>
        <v>アニマル</v>
      </c>
      <c r="N127" s="6">
        <v>1</v>
      </c>
      <c r="O127" s="43">
        <f ca="1">VLOOKUP(D127,gacha_114_base!A:K,11,FALSE)</f>
        <v>2433</v>
      </c>
      <c r="P127" s="28">
        <v>0</v>
      </c>
      <c r="Q127" s="28">
        <v>0</v>
      </c>
      <c r="R127" s="28">
        <v>0</v>
      </c>
      <c r="S127" s="28">
        <v>0</v>
      </c>
      <c r="T127" s="28">
        <v>1</v>
      </c>
    </row>
    <row r="128" spans="1:20" ht="21" customHeight="1">
      <c r="A128" s="8" t="str">
        <f t="shared" si="4"/>
        <v>01841</v>
      </c>
      <c r="B128" s="2">
        <v>114</v>
      </c>
      <c r="C128" s="10" t="str">
        <f t="shared" ca="1" si="5"/>
        <v>0PremiumN3</v>
      </c>
      <c r="D128" s="10" t="str">
        <f t="shared" ca="1" si="6"/>
        <v>0PremiumN3</v>
      </c>
      <c r="E128" s="10" t="str">
        <f t="shared" si="7"/>
        <v/>
      </c>
      <c r="F128" s="6">
        <v>0</v>
      </c>
      <c r="G128" s="7">
        <v>184</v>
      </c>
      <c r="H128" s="10" t="str">
        <f ca="1">VLOOKUP($G128,OFFSET([1]characters!$A$2,0,0,COUNTA([1]characters!$A:$A),MATCH(H$1,[1]characters!$2:$2,0)-MATCH($G$1,[1]characters!$2:$2,0)+1),MATCH(H$1,[1]characters!$2:$2,0)-MATCH($G$1,[1]characters!$2:$2,0)+1,FALSE)</f>
        <v>クラーケン</v>
      </c>
      <c r="I128" s="10" t="str">
        <f ca="1">VLOOKUP($G128,OFFSET([1]characters!$A$2,0,0,COUNTA([1]characters!$A:$A),MATCH(I$1,[1]characters!$2:$2,0)-MATCH($G$1,[1]characters!$2:$2,0)+1),MATCH(I$1,[1]characters!$2:$2,0)-MATCH($G$1,[1]characters!$2:$2,0)+1,FALSE)</f>
        <v>PremiumN</v>
      </c>
      <c r="J128" s="10">
        <f ca="1">VLOOKUP($G128,OFFSET([1]characters!$A$2,0,0,COUNTA([1]characters!$A:$A),MATCH(J$1,[1]characters!$2:$2,0)-MATCH($G$1,[1]characters!$2:$2,0)+1),MATCH(J$1,[1]characters!$2:$2,0)-MATCH($G$1,[1]characters!$2:$2,0)+1,FALSE)</f>
        <v>3</v>
      </c>
      <c r="K128" s="10" t="str">
        <f ca="1">VLOOKUP($G128,OFFSET([1]characters!$A$2,0,0,COUNTA([1]characters!$A:$A),MATCH(K$1,[1]characters!$2:$2,0)-MATCH($G$1,[1]characters!$2:$2,0)+1),MATCH(K$1,[1]characters!$2:$2,0)-MATCH($G$1,[1]characters!$2:$2,0)+1,FALSE)</f>
        <v>blue</v>
      </c>
      <c r="L128" s="10" t="str">
        <f ca="1">VLOOKUP($G128,OFFSET([1]characters!$A$2,0,0,COUNTA([1]characters!$A:$A),MATCH("タイプ",[1]characters!$1:$1,0)-MATCH($G$1,[1]characters!$2:$2,0)+2),MATCH("タイプ",[1]characters!$1:$1,0)-MATCH($G$1,[1]characters!$2:$2,0)+2,FALSE)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28" s="10" t="str">
        <f ca="1">VLOOKUP($G128,OFFSET([1]characters!$A$2,0,0,COUNTA([1]characters!$A:$A),MATCH($M$1,[1]characters!$1:$1,0)-MATCH($G$1,[1]characters!$2:$2,0)+2),MATCH($M$1,[1]characters!$1:$1,0)-MATCH($G$1,[1]characters!$2:$2,0)+2,FALSE)</f>
        <v>アニマル</v>
      </c>
      <c r="N128" s="6">
        <v>1</v>
      </c>
      <c r="O128" s="43">
        <f ca="1">VLOOKUP(D128,gacha_114_base!A:K,11,FALSE)</f>
        <v>2433</v>
      </c>
      <c r="P128" s="28">
        <v>0</v>
      </c>
      <c r="Q128" s="28">
        <v>0</v>
      </c>
      <c r="R128" s="28">
        <v>0</v>
      </c>
      <c r="S128" s="28">
        <v>0</v>
      </c>
      <c r="T128" s="28">
        <v>1</v>
      </c>
    </row>
    <row r="129" spans="1:20" ht="21" customHeight="1">
      <c r="A129" s="8" t="str">
        <f t="shared" si="4"/>
        <v>01871</v>
      </c>
      <c r="B129" s="2">
        <v>114</v>
      </c>
      <c r="C129" s="10" t="str">
        <f t="shared" ca="1" si="5"/>
        <v>0PremiumN3</v>
      </c>
      <c r="D129" s="10" t="str">
        <f t="shared" ca="1" si="6"/>
        <v>0PremiumN3</v>
      </c>
      <c r="E129" s="10" t="str">
        <f t="shared" si="7"/>
        <v/>
      </c>
      <c r="F129" s="6">
        <v>0</v>
      </c>
      <c r="G129" s="7">
        <v>187</v>
      </c>
      <c r="H129" s="10" t="str">
        <f ca="1">VLOOKUP($G129,OFFSET([1]characters!$A$2,0,0,COUNTA([1]characters!$A:$A),MATCH(H$1,[1]characters!$2:$2,0)-MATCH($G$1,[1]characters!$2:$2,0)+1),MATCH(H$1,[1]characters!$2:$2,0)-MATCH($G$1,[1]characters!$2:$2,0)+1,FALSE)</f>
        <v>ホルス</v>
      </c>
      <c r="I129" s="10" t="str">
        <f ca="1">VLOOKUP($G129,OFFSET([1]characters!$A$2,0,0,COUNTA([1]characters!$A:$A),MATCH(I$1,[1]characters!$2:$2,0)-MATCH($G$1,[1]characters!$2:$2,0)+1),MATCH(I$1,[1]characters!$2:$2,0)-MATCH($G$1,[1]characters!$2:$2,0)+1,FALSE)</f>
        <v>PremiumN</v>
      </c>
      <c r="J129" s="10">
        <f ca="1">VLOOKUP($G129,OFFSET([1]characters!$A$2,0,0,COUNTA([1]characters!$A:$A),MATCH(J$1,[1]characters!$2:$2,0)-MATCH($G$1,[1]characters!$2:$2,0)+1),MATCH(J$1,[1]characters!$2:$2,0)-MATCH($G$1,[1]characters!$2:$2,0)+1,FALSE)</f>
        <v>3</v>
      </c>
      <c r="K129" s="10" t="str">
        <f ca="1">VLOOKUP($G129,OFFSET([1]characters!$A$2,0,0,COUNTA([1]characters!$A:$A),MATCH(K$1,[1]characters!$2:$2,0)-MATCH($G$1,[1]characters!$2:$2,0)+1),MATCH(K$1,[1]characters!$2:$2,0)-MATCH($G$1,[1]characters!$2:$2,0)+1,FALSE)</f>
        <v>yellow</v>
      </c>
      <c r="L129" s="10" t="str">
        <f ca="1">VLOOKUP($G129,OFFSET([1]characters!$A$2,0,0,COUNTA([1]characters!$A:$A),MATCH("タイプ",[1]characters!$1:$1,0)-MATCH($G$1,[1]characters!$2:$2,0)+2),MATCH("タイプ",[1]characters!$1:$1,0)-MATCH($G$1,[1]characters!$2:$2,0)+2,FALSE)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29" s="10" t="str">
        <f ca="1">VLOOKUP($G129,OFFSET([1]characters!$A$2,0,0,COUNTA([1]characters!$A:$A),MATCH($M$1,[1]characters!$1:$1,0)-MATCH($G$1,[1]characters!$2:$2,0)+2),MATCH($M$1,[1]characters!$1:$1,0)-MATCH($G$1,[1]characters!$2:$2,0)+2,FALSE)</f>
        <v>アニマル</v>
      </c>
      <c r="N129" s="6">
        <v>1</v>
      </c>
      <c r="O129" s="43">
        <f ca="1">VLOOKUP(D129,gacha_114_base!A:K,11,FALSE)</f>
        <v>2433</v>
      </c>
      <c r="P129" s="28">
        <v>0</v>
      </c>
      <c r="Q129" s="28">
        <v>0</v>
      </c>
      <c r="R129" s="28">
        <v>0</v>
      </c>
      <c r="S129" s="28">
        <v>0</v>
      </c>
      <c r="T129" s="28">
        <v>1</v>
      </c>
    </row>
    <row r="130" spans="1:20" ht="21" customHeight="1">
      <c r="A130" s="8" t="str">
        <f t="shared" si="4"/>
        <v>01901</v>
      </c>
      <c r="B130" s="2">
        <v>114</v>
      </c>
      <c r="C130" s="10" t="str">
        <f t="shared" ca="1" si="5"/>
        <v>0PremiumN3</v>
      </c>
      <c r="D130" s="10" t="str">
        <f t="shared" ca="1" si="6"/>
        <v>0PremiumN3</v>
      </c>
      <c r="E130" s="10" t="str">
        <f t="shared" si="7"/>
        <v/>
      </c>
      <c r="F130" s="6">
        <v>0</v>
      </c>
      <c r="G130" s="7">
        <v>190</v>
      </c>
      <c r="H130" s="10" t="str">
        <f ca="1">VLOOKUP($G130,OFFSET([1]characters!$A$2,0,0,COUNTA([1]characters!$A:$A),MATCH(H$1,[1]characters!$2:$2,0)-MATCH($G$1,[1]characters!$2:$2,0)+1),MATCH(H$1,[1]characters!$2:$2,0)-MATCH($G$1,[1]characters!$2:$2,0)+1,FALSE)</f>
        <v>卑弥呼</v>
      </c>
      <c r="I130" s="10" t="str">
        <f ca="1">VLOOKUP($G130,OFFSET([1]characters!$A$2,0,0,COUNTA([1]characters!$A:$A),MATCH(I$1,[1]characters!$2:$2,0)-MATCH($G$1,[1]characters!$2:$2,0)+1),MATCH(I$1,[1]characters!$2:$2,0)-MATCH($G$1,[1]characters!$2:$2,0)+1,FALSE)</f>
        <v>PremiumN</v>
      </c>
      <c r="J130" s="10">
        <f ca="1">VLOOKUP($G130,OFFSET([1]characters!$A$2,0,0,COUNTA([1]characters!$A:$A),MATCH(J$1,[1]characters!$2:$2,0)-MATCH($G$1,[1]characters!$2:$2,0)+1),MATCH(J$1,[1]characters!$2:$2,0)-MATCH($G$1,[1]characters!$2:$2,0)+1,FALSE)</f>
        <v>3</v>
      </c>
      <c r="K130" s="10" t="str">
        <f ca="1">VLOOKUP($G130,OFFSET([1]characters!$A$2,0,0,COUNTA([1]characters!$A:$A),MATCH(K$1,[1]characters!$2:$2,0)-MATCH($G$1,[1]characters!$2:$2,0)+1),MATCH(K$1,[1]characters!$2:$2,0)-MATCH($G$1,[1]characters!$2:$2,0)+1,FALSE)</f>
        <v>red</v>
      </c>
      <c r="L130" s="10" t="str">
        <f ca="1">VLOOKUP($G130,OFFSET([1]characters!$A$2,0,0,COUNTA([1]characters!$A:$A),MATCH("タイプ",[1]characters!$1:$1,0)-MATCH($G$1,[1]characters!$2:$2,0)+2),MATCH("タイプ",[1]characters!$1:$1,0)-MATCH($G$1,[1]characters!$2:$2,0)+2,FALSE)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30" s="10" t="str">
        <f ca="1">VLOOKUP($G130,OFFSET([1]characters!$A$2,0,0,COUNTA([1]characters!$A:$A),MATCH($M$1,[1]characters!$1:$1,0)-MATCH($G$1,[1]characters!$2:$2,0)+2),MATCH($M$1,[1]characters!$1:$1,0)-MATCH($G$1,[1]characters!$2:$2,0)+2,FALSE)</f>
        <v>ヒューマン</v>
      </c>
      <c r="N130" s="6">
        <v>1</v>
      </c>
      <c r="O130" s="43">
        <f ca="1">VLOOKUP(D130,gacha_114_base!A:K,11,FALSE)</f>
        <v>2433</v>
      </c>
      <c r="P130" s="28">
        <v>0</v>
      </c>
      <c r="Q130" s="28">
        <v>0</v>
      </c>
      <c r="R130" s="28">
        <v>0</v>
      </c>
      <c r="S130" s="28">
        <v>0</v>
      </c>
      <c r="T130" s="28">
        <v>1</v>
      </c>
    </row>
    <row r="131" spans="1:20" ht="21" customHeight="1">
      <c r="A131" s="8" t="str">
        <f t="shared" si="4"/>
        <v>01931</v>
      </c>
      <c r="B131" s="2">
        <v>114</v>
      </c>
      <c r="C131" s="10" t="str">
        <f t="shared" ref="C131:C194" ca="1" si="11">F131&amp;I131&amp;J131</f>
        <v>0PremiumN3</v>
      </c>
      <c r="D131" s="10" t="str">
        <f t="shared" ref="D131:D194" ca="1" si="12">F131&amp;I131&amp;E131&amp;J131</f>
        <v>0PremiumN3</v>
      </c>
      <c r="E131" s="10" t="str">
        <f t="shared" ref="E131:E194" si="13">IF(OR(G131=380,G131=381,G131=382,G131=383,G131=384,G131=385,G131=386,G131=387,G131=388,G131=389),"pick","")</f>
        <v/>
      </c>
      <c r="F131" s="6">
        <v>0</v>
      </c>
      <c r="G131" s="7">
        <v>193</v>
      </c>
      <c r="H131" s="10" t="str">
        <f ca="1">VLOOKUP($G131,OFFSET([1]characters!$A$2,0,0,COUNTA([1]characters!$A:$A),MATCH(H$1,[1]characters!$2:$2,0)-MATCH($G$1,[1]characters!$2:$2,0)+1),MATCH(H$1,[1]characters!$2:$2,0)-MATCH($G$1,[1]characters!$2:$2,0)+1,FALSE)</f>
        <v>ロビンフッド</v>
      </c>
      <c r="I131" s="10" t="str">
        <f ca="1">VLOOKUP($G131,OFFSET([1]characters!$A$2,0,0,COUNTA([1]characters!$A:$A),MATCH(I$1,[1]characters!$2:$2,0)-MATCH($G$1,[1]characters!$2:$2,0)+1),MATCH(I$1,[1]characters!$2:$2,0)-MATCH($G$1,[1]characters!$2:$2,0)+1,FALSE)</f>
        <v>PremiumN</v>
      </c>
      <c r="J131" s="10">
        <f ca="1">VLOOKUP($G131,OFFSET([1]characters!$A$2,0,0,COUNTA([1]characters!$A:$A),MATCH(J$1,[1]characters!$2:$2,0)-MATCH($G$1,[1]characters!$2:$2,0)+1),MATCH(J$1,[1]characters!$2:$2,0)-MATCH($G$1,[1]characters!$2:$2,0)+1,FALSE)</f>
        <v>3</v>
      </c>
      <c r="K131" s="10" t="str">
        <f ca="1">VLOOKUP($G131,OFFSET([1]characters!$A$2,0,0,COUNTA([1]characters!$A:$A),MATCH(K$1,[1]characters!$2:$2,0)-MATCH($G$1,[1]characters!$2:$2,0)+1),MATCH(K$1,[1]characters!$2:$2,0)-MATCH($G$1,[1]characters!$2:$2,0)+1,FALSE)</f>
        <v>green</v>
      </c>
      <c r="L131" s="10" t="str">
        <f ca="1">VLOOKUP($G131,OFFSET([1]characters!$A$2,0,0,COUNTA([1]characters!$A:$A),MATCH("タイプ",[1]characters!$1:$1,0)-MATCH($G$1,[1]characters!$2:$2,0)+2),MATCH("タイプ",[1]characters!$1:$1,0)-MATCH($G$1,[1]characters!$2:$2,0)+2,FALSE)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31" s="10" t="str">
        <f ca="1">VLOOKUP($G131,OFFSET([1]characters!$A$2,0,0,COUNTA([1]characters!$A:$A),MATCH($M$1,[1]characters!$1:$1,0)-MATCH($G$1,[1]characters!$2:$2,0)+2),MATCH($M$1,[1]characters!$1:$1,0)-MATCH($G$1,[1]characters!$2:$2,0)+2,FALSE)</f>
        <v>ヒューマン</v>
      </c>
      <c r="N131" s="6">
        <v>1</v>
      </c>
      <c r="O131" s="43">
        <f ca="1">VLOOKUP(D131,gacha_114_base!A:K,11,FALSE)</f>
        <v>2433</v>
      </c>
      <c r="P131" s="28">
        <v>0</v>
      </c>
      <c r="Q131" s="28">
        <v>0</v>
      </c>
      <c r="R131" s="28">
        <v>0</v>
      </c>
      <c r="S131" s="28">
        <v>0</v>
      </c>
      <c r="T131" s="28">
        <v>1</v>
      </c>
    </row>
    <row r="132" spans="1:20" ht="21" customHeight="1">
      <c r="A132" s="8" t="str">
        <f t="shared" si="4"/>
        <v>01961</v>
      </c>
      <c r="B132" s="2">
        <v>114</v>
      </c>
      <c r="C132" s="10" t="str">
        <f t="shared" ca="1" si="11"/>
        <v>0PremiumN3</v>
      </c>
      <c r="D132" s="10" t="str">
        <f t="shared" ca="1" si="12"/>
        <v>0PremiumN3</v>
      </c>
      <c r="E132" s="10" t="str">
        <f t="shared" si="13"/>
        <v/>
      </c>
      <c r="F132" s="6">
        <v>0</v>
      </c>
      <c r="G132" s="7">
        <v>196</v>
      </c>
      <c r="H132" s="10" t="str">
        <f ca="1">VLOOKUP($G132,OFFSET([1]characters!$A$2,0,0,COUNTA([1]characters!$A:$A),MATCH(H$1,[1]characters!$2:$2,0)-MATCH($G$1,[1]characters!$2:$2,0)+1),MATCH(H$1,[1]characters!$2:$2,0)-MATCH($G$1,[1]characters!$2:$2,0)+1,FALSE)</f>
        <v>アキレス</v>
      </c>
      <c r="I132" s="10" t="str">
        <f ca="1">VLOOKUP($G132,OFFSET([1]characters!$A$2,0,0,COUNTA([1]characters!$A:$A),MATCH(I$1,[1]characters!$2:$2,0)-MATCH($G$1,[1]characters!$2:$2,0)+1),MATCH(I$1,[1]characters!$2:$2,0)-MATCH($G$1,[1]characters!$2:$2,0)+1,FALSE)</f>
        <v>PremiumN</v>
      </c>
      <c r="J132" s="10">
        <f ca="1">VLOOKUP($G132,OFFSET([1]characters!$A$2,0,0,COUNTA([1]characters!$A:$A),MATCH(J$1,[1]characters!$2:$2,0)-MATCH($G$1,[1]characters!$2:$2,0)+1),MATCH(J$1,[1]characters!$2:$2,0)-MATCH($G$1,[1]characters!$2:$2,0)+1,FALSE)</f>
        <v>3</v>
      </c>
      <c r="K132" s="10" t="str">
        <f ca="1">VLOOKUP($G132,OFFSET([1]characters!$A$2,0,0,COUNTA([1]characters!$A:$A),MATCH(K$1,[1]characters!$2:$2,0)-MATCH($G$1,[1]characters!$2:$2,0)+1),MATCH(K$1,[1]characters!$2:$2,0)-MATCH($G$1,[1]characters!$2:$2,0)+1,FALSE)</f>
        <v>yellow</v>
      </c>
      <c r="L132" s="10" t="str">
        <f ca="1">VLOOKUP($G132,OFFSET([1]characters!$A$2,0,0,COUNTA([1]characters!$A:$A),MATCH("タイプ",[1]characters!$1:$1,0)-MATCH($G$1,[1]characters!$2:$2,0)+2),MATCH("タイプ",[1]characters!$1:$1,0)-MATCH($G$1,[1]characters!$2:$2,0)+2,FALSE)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32" s="10" t="str">
        <f ca="1">VLOOKUP($G132,OFFSET([1]characters!$A$2,0,0,COUNTA([1]characters!$A:$A),MATCH($M$1,[1]characters!$1:$1,0)-MATCH($G$1,[1]characters!$2:$2,0)+2),MATCH($M$1,[1]characters!$1:$1,0)-MATCH($G$1,[1]characters!$2:$2,0)+2,FALSE)</f>
        <v>ヒューマン</v>
      </c>
      <c r="N132" s="6">
        <v>1</v>
      </c>
      <c r="O132" s="43">
        <f ca="1">VLOOKUP(D132,gacha_114_base!A:K,11,FALSE)</f>
        <v>2433</v>
      </c>
      <c r="P132" s="28">
        <v>0</v>
      </c>
      <c r="Q132" s="28">
        <v>0</v>
      </c>
      <c r="R132" s="28">
        <v>0</v>
      </c>
      <c r="S132" s="28">
        <v>0</v>
      </c>
      <c r="T132" s="28">
        <v>1</v>
      </c>
    </row>
    <row r="133" spans="1:20" ht="21" customHeight="1">
      <c r="A133" s="8" t="str">
        <f t="shared" si="4"/>
        <v>01991</v>
      </c>
      <c r="B133" s="2">
        <v>114</v>
      </c>
      <c r="C133" s="10" t="str">
        <f t="shared" ca="1" si="11"/>
        <v>0PremiumN3</v>
      </c>
      <c r="D133" s="10" t="str">
        <f t="shared" ca="1" si="12"/>
        <v>0PremiumN3</v>
      </c>
      <c r="E133" s="10" t="str">
        <f t="shared" si="13"/>
        <v/>
      </c>
      <c r="F133" s="6">
        <v>0</v>
      </c>
      <c r="G133" s="7">
        <v>199</v>
      </c>
      <c r="H133" s="10" t="str">
        <f ca="1">VLOOKUP($G133,OFFSET([1]characters!$A$2,0,0,COUNTA([1]characters!$A:$A),MATCH(H$1,[1]characters!$2:$2,0)-MATCH($G$1,[1]characters!$2:$2,0)+1),MATCH(H$1,[1]characters!$2:$2,0)-MATCH($G$1,[1]characters!$2:$2,0)+1,FALSE)</f>
        <v>ジークフリート</v>
      </c>
      <c r="I133" s="10" t="str">
        <f ca="1">VLOOKUP($G133,OFFSET([1]characters!$A$2,0,0,COUNTA([1]characters!$A:$A),MATCH(I$1,[1]characters!$2:$2,0)-MATCH($G$1,[1]characters!$2:$2,0)+1),MATCH(I$1,[1]characters!$2:$2,0)-MATCH($G$1,[1]characters!$2:$2,0)+1,FALSE)</f>
        <v>PremiumN</v>
      </c>
      <c r="J133" s="10">
        <f ca="1">VLOOKUP($G133,OFFSET([1]characters!$A$2,0,0,COUNTA([1]characters!$A:$A),MATCH(J$1,[1]characters!$2:$2,0)-MATCH($G$1,[1]characters!$2:$2,0)+1),MATCH(J$1,[1]characters!$2:$2,0)-MATCH($G$1,[1]characters!$2:$2,0)+1,FALSE)</f>
        <v>3</v>
      </c>
      <c r="K133" s="10" t="str">
        <f ca="1">VLOOKUP($G133,OFFSET([1]characters!$A$2,0,0,COUNTA([1]characters!$A:$A),MATCH(K$1,[1]characters!$2:$2,0)-MATCH($G$1,[1]characters!$2:$2,0)+1),MATCH(K$1,[1]characters!$2:$2,0)-MATCH($G$1,[1]characters!$2:$2,0)+1,FALSE)</f>
        <v>blue</v>
      </c>
      <c r="L133" s="10" t="str">
        <f ca="1">VLOOKUP($G133,OFFSET([1]characters!$A$2,0,0,COUNTA([1]characters!$A:$A),MATCH("タイプ",[1]characters!$1:$1,0)-MATCH($G$1,[1]characters!$2:$2,0)+2),MATCH("タイプ",[1]characters!$1:$1,0)-MATCH($G$1,[1]characters!$2:$2,0)+2,FALSE)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33" s="10" t="str">
        <f ca="1">VLOOKUP($G133,OFFSET([1]characters!$A$2,0,0,COUNTA([1]characters!$A:$A),MATCH($M$1,[1]characters!$1:$1,0)-MATCH($G$1,[1]characters!$2:$2,0)+2),MATCH($M$1,[1]characters!$1:$1,0)-MATCH($G$1,[1]characters!$2:$2,0)+2,FALSE)</f>
        <v>ヒューマン</v>
      </c>
      <c r="N133" s="6">
        <v>1</v>
      </c>
      <c r="O133" s="43">
        <f ca="1">VLOOKUP(D133,gacha_114_base!A:K,11,FALSE)</f>
        <v>2433</v>
      </c>
      <c r="P133" s="28">
        <v>0</v>
      </c>
      <c r="Q133" s="28">
        <v>0</v>
      </c>
      <c r="R133" s="28">
        <v>0</v>
      </c>
      <c r="S133" s="28">
        <v>0</v>
      </c>
      <c r="T133" s="28">
        <v>1</v>
      </c>
    </row>
    <row r="134" spans="1:20" ht="21" customHeight="1">
      <c r="A134" s="8" t="str">
        <f t="shared" si="4"/>
        <v>02021</v>
      </c>
      <c r="B134" s="2">
        <v>114</v>
      </c>
      <c r="C134" s="10" t="str">
        <f t="shared" ca="1" si="11"/>
        <v>0PremiumN3</v>
      </c>
      <c r="D134" s="10" t="str">
        <f t="shared" ca="1" si="12"/>
        <v>0PremiumN3</v>
      </c>
      <c r="E134" s="10" t="str">
        <f t="shared" si="13"/>
        <v/>
      </c>
      <c r="F134" s="6">
        <v>0</v>
      </c>
      <c r="G134" s="7">
        <v>202</v>
      </c>
      <c r="H134" s="10" t="str">
        <f ca="1">VLOOKUP($G134,OFFSET([1]characters!$A$2,0,0,COUNTA([1]characters!$A:$A),MATCH(H$1,[1]characters!$2:$2,0)-MATCH($G$1,[1]characters!$2:$2,0)+1),MATCH(H$1,[1]characters!$2:$2,0)-MATCH($G$1,[1]characters!$2:$2,0)+1,FALSE)</f>
        <v>プロメテウス</v>
      </c>
      <c r="I134" s="10" t="str">
        <f ca="1">VLOOKUP($G134,OFFSET([1]characters!$A$2,0,0,COUNTA([1]characters!$A:$A),MATCH(I$1,[1]characters!$2:$2,0)-MATCH($G$1,[1]characters!$2:$2,0)+1),MATCH(I$1,[1]characters!$2:$2,0)-MATCH($G$1,[1]characters!$2:$2,0)+1,FALSE)</f>
        <v>PremiumN</v>
      </c>
      <c r="J134" s="10">
        <f ca="1">VLOOKUP($G134,OFFSET([1]characters!$A$2,0,0,COUNTA([1]characters!$A:$A),MATCH(J$1,[1]characters!$2:$2,0)-MATCH($G$1,[1]characters!$2:$2,0)+1),MATCH(J$1,[1]characters!$2:$2,0)-MATCH($G$1,[1]characters!$2:$2,0)+1,FALSE)</f>
        <v>3</v>
      </c>
      <c r="K134" s="10" t="str">
        <f ca="1">VLOOKUP($G134,OFFSET([1]characters!$A$2,0,0,COUNTA([1]characters!$A:$A),MATCH(K$1,[1]characters!$2:$2,0)-MATCH($G$1,[1]characters!$2:$2,0)+1),MATCH(K$1,[1]characters!$2:$2,0)-MATCH($G$1,[1]characters!$2:$2,0)+1,FALSE)</f>
        <v>red</v>
      </c>
      <c r="L134" s="10" t="str">
        <f ca="1">VLOOKUP($G134,OFFSET([1]characters!$A$2,0,0,COUNTA([1]characters!$A:$A),MATCH("タイプ",[1]characters!$1:$1,0)-MATCH($G$1,[1]characters!$2:$2,0)+2),MATCH("タイプ",[1]characters!$1:$1,0)-MATCH($G$1,[1]characters!$2:$2,0)+2,FALSE)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34" s="10" t="str">
        <f ca="1">VLOOKUP($G134,OFFSET([1]characters!$A$2,0,0,COUNTA([1]characters!$A:$A),MATCH($M$1,[1]characters!$1:$1,0)-MATCH($G$1,[1]characters!$2:$2,0)+2),MATCH($M$1,[1]characters!$1:$1,0)-MATCH($G$1,[1]characters!$2:$2,0)+2,FALSE)</f>
        <v>ゴッド</v>
      </c>
      <c r="N134" s="6">
        <v>1</v>
      </c>
      <c r="O134" s="43">
        <f ca="1">VLOOKUP(D134,gacha_114_base!A:K,11,FALSE)</f>
        <v>2433</v>
      </c>
      <c r="P134" s="28">
        <v>0</v>
      </c>
      <c r="Q134" s="28">
        <v>0</v>
      </c>
      <c r="R134" s="28">
        <v>0</v>
      </c>
      <c r="S134" s="28">
        <v>0</v>
      </c>
      <c r="T134" s="28">
        <v>1</v>
      </c>
    </row>
    <row r="135" spans="1:20" ht="21" customHeight="1">
      <c r="A135" s="8" t="str">
        <f t="shared" si="4"/>
        <v>02051</v>
      </c>
      <c r="B135" s="2">
        <v>114</v>
      </c>
      <c r="C135" s="10" t="str">
        <f t="shared" ca="1" si="11"/>
        <v>0PremiumN3</v>
      </c>
      <c r="D135" s="10" t="str">
        <f t="shared" ca="1" si="12"/>
        <v>0PremiumN3</v>
      </c>
      <c r="E135" s="10" t="str">
        <f t="shared" si="13"/>
        <v/>
      </c>
      <c r="F135" s="6">
        <v>0</v>
      </c>
      <c r="G135" s="7">
        <v>205</v>
      </c>
      <c r="H135" s="10" t="str">
        <f ca="1">VLOOKUP($G135,OFFSET([1]characters!$A$2,0,0,COUNTA([1]characters!$A:$A),MATCH(H$1,[1]characters!$2:$2,0)-MATCH($G$1,[1]characters!$2:$2,0)+1),MATCH(H$1,[1]characters!$2:$2,0)-MATCH($G$1,[1]characters!$2:$2,0)+1,FALSE)</f>
        <v>アフロディーテ</v>
      </c>
      <c r="I135" s="10" t="str">
        <f ca="1">VLOOKUP($G135,OFFSET([1]characters!$A$2,0,0,COUNTA([1]characters!$A:$A),MATCH(I$1,[1]characters!$2:$2,0)-MATCH($G$1,[1]characters!$2:$2,0)+1),MATCH(I$1,[1]characters!$2:$2,0)-MATCH($G$1,[1]characters!$2:$2,0)+1,FALSE)</f>
        <v>PremiumN</v>
      </c>
      <c r="J135" s="10">
        <f ca="1">VLOOKUP($G135,OFFSET([1]characters!$A$2,0,0,COUNTA([1]characters!$A:$A),MATCH(J$1,[1]characters!$2:$2,0)-MATCH($G$1,[1]characters!$2:$2,0)+1),MATCH(J$1,[1]characters!$2:$2,0)-MATCH($G$1,[1]characters!$2:$2,0)+1,FALSE)</f>
        <v>3</v>
      </c>
      <c r="K135" s="10" t="str">
        <f ca="1">VLOOKUP($G135,OFFSET([1]characters!$A$2,0,0,COUNTA([1]characters!$A:$A),MATCH(K$1,[1]characters!$2:$2,0)-MATCH($G$1,[1]characters!$2:$2,0)+1),MATCH(K$1,[1]characters!$2:$2,0)-MATCH($G$1,[1]characters!$2:$2,0)+1,FALSE)</f>
        <v>green</v>
      </c>
      <c r="L135" s="10" t="str">
        <f ca="1">VLOOKUP($G135,OFFSET([1]characters!$A$2,0,0,COUNTA([1]characters!$A:$A),MATCH("タイプ",[1]characters!$1:$1,0)-MATCH($G$1,[1]characters!$2:$2,0)+2),MATCH("タイプ",[1]characters!$1:$1,0)-MATCH($G$1,[1]characters!$2:$2,0)+2,FALSE)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35" s="10" t="str">
        <f ca="1">VLOOKUP($G135,OFFSET([1]characters!$A$2,0,0,COUNTA([1]characters!$A:$A),MATCH($M$1,[1]characters!$1:$1,0)-MATCH($G$1,[1]characters!$2:$2,0)+2),MATCH($M$1,[1]characters!$1:$1,0)-MATCH($G$1,[1]characters!$2:$2,0)+2,FALSE)</f>
        <v>ゴッド</v>
      </c>
      <c r="N135" s="6">
        <v>1</v>
      </c>
      <c r="O135" s="43">
        <f ca="1">VLOOKUP(D135,gacha_114_base!A:K,11,FALSE)</f>
        <v>2433</v>
      </c>
      <c r="P135" s="28">
        <v>0</v>
      </c>
      <c r="Q135" s="28">
        <v>0</v>
      </c>
      <c r="R135" s="28">
        <v>0</v>
      </c>
      <c r="S135" s="28">
        <v>0</v>
      </c>
      <c r="T135" s="28">
        <v>1</v>
      </c>
    </row>
    <row r="136" spans="1:20" ht="21" customHeight="1">
      <c r="A136" s="8" t="str">
        <f t="shared" si="4"/>
        <v>02081</v>
      </c>
      <c r="B136" s="2">
        <v>114</v>
      </c>
      <c r="C136" s="10" t="str">
        <f t="shared" ca="1" si="11"/>
        <v>0PremiumN3</v>
      </c>
      <c r="D136" s="10" t="str">
        <f t="shared" ca="1" si="12"/>
        <v>0PremiumN3</v>
      </c>
      <c r="E136" s="10" t="str">
        <f t="shared" si="13"/>
        <v/>
      </c>
      <c r="F136" s="6">
        <v>0</v>
      </c>
      <c r="G136" s="7">
        <v>208</v>
      </c>
      <c r="H136" s="10" t="str">
        <f ca="1">VLOOKUP($G136,OFFSET([1]characters!$A$2,0,0,COUNTA([1]characters!$A:$A),MATCH(H$1,[1]characters!$2:$2,0)-MATCH($G$1,[1]characters!$2:$2,0)+1),MATCH(H$1,[1]characters!$2:$2,0)-MATCH($G$1,[1]characters!$2:$2,0)+1,FALSE)</f>
        <v>テティス</v>
      </c>
      <c r="I136" s="10" t="str">
        <f ca="1">VLOOKUP($G136,OFFSET([1]characters!$A$2,0,0,COUNTA([1]characters!$A:$A),MATCH(I$1,[1]characters!$2:$2,0)-MATCH($G$1,[1]characters!$2:$2,0)+1),MATCH(I$1,[1]characters!$2:$2,0)-MATCH($G$1,[1]characters!$2:$2,0)+1,FALSE)</f>
        <v>PremiumN</v>
      </c>
      <c r="J136" s="10">
        <f ca="1">VLOOKUP($G136,OFFSET([1]characters!$A$2,0,0,COUNTA([1]characters!$A:$A),MATCH(J$1,[1]characters!$2:$2,0)-MATCH($G$1,[1]characters!$2:$2,0)+1),MATCH(J$1,[1]characters!$2:$2,0)-MATCH($G$1,[1]characters!$2:$2,0)+1,FALSE)</f>
        <v>3</v>
      </c>
      <c r="K136" s="10" t="str">
        <f ca="1">VLOOKUP($G136,OFFSET([1]characters!$A$2,0,0,COUNTA([1]characters!$A:$A),MATCH(K$1,[1]characters!$2:$2,0)-MATCH($G$1,[1]characters!$2:$2,0)+1),MATCH(K$1,[1]characters!$2:$2,0)-MATCH($G$1,[1]characters!$2:$2,0)+1,FALSE)</f>
        <v>blue</v>
      </c>
      <c r="L136" s="10" t="str">
        <f ca="1">VLOOKUP($G136,OFFSET([1]characters!$A$2,0,0,COUNTA([1]characters!$A:$A),MATCH("タイプ",[1]characters!$1:$1,0)-MATCH($G$1,[1]characters!$2:$2,0)+2),MATCH("タイプ",[1]characters!$1:$1,0)-MATCH($G$1,[1]characters!$2:$2,0)+2,FALSE)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36" s="10" t="str">
        <f ca="1">VLOOKUP($G136,OFFSET([1]characters!$A$2,0,0,COUNTA([1]characters!$A:$A),MATCH($M$1,[1]characters!$1:$1,0)-MATCH($G$1,[1]characters!$2:$2,0)+2),MATCH($M$1,[1]characters!$1:$1,0)-MATCH($G$1,[1]characters!$2:$2,0)+2,FALSE)</f>
        <v>ゴッド</v>
      </c>
      <c r="N136" s="6">
        <v>1</v>
      </c>
      <c r="O136" s="43">
        <f ca="1">VLOOKUP(D136,gacha_114_base!A:K,11,FALSE)</f>
        <v>2433</v>
      </c>
      <c r="P136" s="28">
        <v>0</v>
      </c>
      <c r="Q136" s="28">
        <v>0</v>
      </c>
      <c r="R136" s="28">
        <v>0</v>
      </c>
      <c r="S136" s="28">
        <v>0</v>
      </c>
      <c r="T136" s="28">
        <v>1</v>
      </c>
    </row>
    <row r="137" spans="1:20" ht="21" customHeight="1">
      <c r="A137" s="8" t="str">
        <f t="shared" si="4"/>
        <v>02111</v>
      </c>
      <c r="B137" s="2">
        <v>114</v>
      </c>
      <c r="C137" s="10" t="str">
        <f t="shared" ca="1" si="11"/>
        <v>0PremiumN3</v>
      </c>
      <c r="D137" s="10" t="str">
        <f t="shared" ca="1" si="12"/>
        <v>0PremiumN3</v>
      </c>
      <c r="E137" s="10" t="str">
        <f t="shared" si="13"/>
        <v/>
      </c>
      <c r="F137" s="6">
        <v>0</v>
      </c>
      <c r="G137" s="7">
        <v>211</v>
      </c>
      <c r="H137" s="10" t="str">
        <f ca="1">VLOOKUP($G137,OFFSET([1]characters!$A$2,0,0,COUNTA([1]characters!$A:$A),MATCH(H$1,[1]characters!$2:$2,0)-MATCH($G$1,[1]characters!$2:$2,0)+1),MATCH(H$1,[1]characters!$2:$2,0)-MATCH($G$1,[1]characters!$2:$2,0)+1,FALSE)</f>
        <v>アストライアー</v>
      </c>
      <c r="I137" s="10" t="str">
        <f ca="1">VLOOKUP($G137,OFFSET([1]characters!$A$2,0,0,COUNTA([1]characters!$A:$A),MATCH(I$1,[1]characters!$2:$2,0)-MATCH($G$1,[1]characters!$2:$2,0)+1),MATCH(I$1,[1]characters!$2:$2,0)-MATCH($G$1,[1]characters!$2:$2,0)+1,FALSE)</f>
        <v>PremiumN</v>
      </c>
      <c r="J137" s="10">
        <f ca="1">VLOOKUP($G137,OFFSET([1]characters!$A$2,0,0,COUNTA([1]characters!$A:$A),MATCH(J$1,[1]characters!$2:$2,0)-MATCH($G$1,[1]characters!$2:$2,0)+1),MATCH(J$1,[1]characters!$2:$2,0)-MATCH($G$1,[1]characters!$2:$2,0)+1,FALSE)</f>
        <v>3</v>
      </c>
      <c r="K137" s="10" t="str">
        <f ca="1">VLOOKUP($G137,OFFSET([1]characters!$A$2,0,0,COUNTA([1]characters!$A:$A),MATCH(K$1,[1]characters!$2:$2,0)-MATCH($G$1,[1]characters!$2:$2,0)+1),MATCH(K$1,[1]characters!$2:$2,0)-MATCH($G$1,[1]characters!$2:$2,0)+1,FALSE)</f>
        <v>yellow</v>
      </c>
      <c r="L137" s="10" t="str">
        <f ca="1">VLOOKUP($G137,OFFSET([1]characters!$A$2,0,0,COUNTA([1]characters!$A:$A),MATCH("タイプ",[1]characters!$1:$1,0)-MATCH($G$1,[1]characters!$2:$2,0)+2),MATCH("タイプ",[1]characters!$1:$1,0)-MATCH($G$1,[1]characters!$2:$2,0)+2,FALSE)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37" s="10" t="str">
        <f ca="1">VLOOKUP($G137,OFFSET([1]characters!$A$2,0,0,COUNTA([1]characters!$A:$A),MATCH($M$1,[1]characters!$1:$1,0)-MATCH($G$1,[1]characters!$2:$2,0)+2),MATCH($M$1,[1]characters!$1:$1,0)-MATCH($G$1,[1]characters!$2:$2,0)+2,FALSE)</f>
        <v>ゴッド</v>
      </c>
      <c r="N137" s="6">
        <v>1</v>
      </c>
      <c r="O137" s="43">
        <f ca="1">VLOOKUP(D137,gacha_114_base!A:K,11,FALSE)</f>
        <v>2433</v>
      </c>
      <c r="P137" s="28">
        <v>0</v>
      </c>
      <c r="Q137" s="28">
        <v>0</v>
      </c>
      <c r="R137" s="28">
        <v>0</v>
      </c>
      <c r="S137" s="28">
        <v>0</v>
      </c>
      <c r="T137" s="28">
        <v>1</v>
      </c>
    </row>
    <row r="138" spans="1:20" ht="21" customHeight="1">
      <c r="A138" s="8" t="str">
        <f t="shared" si="4"/>
        <v>02141</v>
      </c>
      <c r="B138" s="2">
        <v>114</v>
      </c>
      <c r="C138" s="10" t="str">
        <f t="shared" ca="1" si="11"/>
        <v>0PremiumN3</v>
      </c>
      <c r="D138" s="10" t="str">
        <f t="shared" ca="1" si="12"/>
        <v>0PremiumN3</v>
      </c>
      <c r="E138" s="10" t="str">
        <f t="shared" si="13"/>
        <v/>
      </c>
      <c r="F138" s="6">
        <v>0</v>
      </c>
      <c r="G138" s="7">
        <v>214</v>
      </c>
      <c r="H138" s="10" t="str">
        <f ca="1">VLOOKUP($G138,OFFSET([1]characters!$A$2,0,0,COUNTA([1]characters!$A:$A),MATCH(H$1,[1]characters!$2:$2,0)-MATCH($G$1,[1]characters!$2:$2,0)+1),MATCH(H$1,[1]characters!$2:$2,0)-MATCH($G$1,[1]characters!$2:$2,0)+1,FALSE)</f>
        <v>アズラエル</v>
      </c>
      <c r="I138" s="10" t="str">
        <f ca="1">VLOOKUP($G138,OFFSET([1]characters!$A$2,0,0,COUNTA([1]characters!$A:$A),MATCH(I$1,[1]characters!$2:$2,0)-MATCH($G$1,[1]characters!$2:$2,0)+1),MATCH(I$1,[1]characters!$2:$2,0)-MATCH($G$1,[1]characters!$2:$2,0)+1,FALSE)</f>
        <v>PremiumN</v>
      </c>
      <c r="J138" s="10">
        <f ca="1">VLOOKUP($G138,OFFSET([1]characters!$A$2,0,0,COUNTA([1]characters!$A:$A),MATCH(J$1,[1]characters!$2:$2,0)-MATCH($G$1,[1]characters!$2:$2,0)+1),MATCH(J$1,[1]characters!$2:$2,0)-MATCH($G$1,[1]characters!$2:$2,0)+1,FALSE)</f>
        <v>3</v>
      </c>
      <c r="K138" s="10" t="str">
        <f ca="1">VLOOKUP($G138,OFFSET([1]characters!$A$2,0,0,COUNTA([1]characters!$A:$A),MATCH(K$1,[1]characters!$2:$2,0)-MATCH($G$1,[1]characters!$2:$2,0)+1),MATCH(K$1,[1]characters!$2:$2,0)-MATCH($G$1,[1]characters!$2:$2,0)+1,FALSE)</f>
        <v>red</v>
      </c>
      <c r="L138" s="10" t="str">
        <f ca="1">VLOOKUP($G138,OFFSET([1]characters!$A$2,0,0,COUNTA([1]characters!$A:$A),MATCH("タイプ",[1]characters!$1:$1,0)-MATCH($G$1,[1]characters!$2:$2,0)+2),MATCH("タイプ",[1]characters!$1:$1,0)-MATCH($G$1,[1]characters!$2:$2,0)+2,FALSE)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38" s="10" t="str">
        <f ca="1">VLOOKUP($G138,OFFSET([1]characters!$A$2,0,0,COUNTA([1]characters!$A:$A),MATCH($M$1,[1]characters!$1:$1,0)-MATCH($G$1,[1]characters!$2:$2,0)+2),MATCH($M$1,[1]characters!$1:$1,0)-MATCH($G$1,[1]characters!$2:$2,0)+2,FALSE)</f>
        <v>ゴッド</v>
      </c>
      <c r="N138" s="6">
        <v>1</v>
      </c>
      <c r="O138" s="43">
        <f ca="1">VLOOKUP(D138,gacha_114_base!A:K,11,FALSE)</f>
        <v>2433</v>
      </c>
      <c r="P138" s="28">
        <v>0</v>
      </c>
      <c r="Q138" s="28">
        <v>0</v>
      </c>
      <c r="R138" s="28">
        <v>0</v>
      </c>
      <c r="S138" s="28">
        <v>0</v>
      </c>
      <c r="T138" s="28">
        <v>1</v>
      </c>
    </row>
    <row r="139" spans="1:20" ht="21" customHeight="1">
      <c r="A139" s="8" t="str">
        <f t="shared" si="4"/>
        <v>02171</v>
      </c>
      <c r="B139" s="2">
        <v>114</v>
      </c>
      <c r="C139" s="10" t="str">
        <f t="shared" ca="1" si="11"/>
        <v>0PremiumN3</v>
      </c>
      <c r="D139" s="10" t="str">
        <f t="shared" ca="1" si="12"/>
        <v>0PremiumN3</v>
      </c>
      <c r="E139" s="10" t="str">
        <f t="shared" si="13"/>
        <v/>
      </c>
      <c r="F139" s="6">
        <v>0</v>
      </c>
      <c r="G139" s="7">
        <v>217</v>
      </c>
      <c r="H139" s="10" t="str">
        <f ca="1">VLOOKUP($G139,OFFSET([1]characters!$A$2,0,0,COUNTA([1]characters!$A:$A),MATCH(H$1,[1]characters!$2:$2,0)-MATCH($G$1,[1]characters!$2:$2,0)+1),MATCH(H$1,[1]characters!$2:$2,0)-MATCH($G$1,[1]characters!$2:$2,0)+1,FALSE)</f>
        <v>ケツァクアトル</v>
      </c>
      <c r="I139" s="10" t="str">
        <f ca="1">VLOOKUP($G139,OFFSET([1]characters!$A$2,0,0,COUNTA([1]characters!$A:$A),MATCH(I$1,[1]characters!$2:$2,0)-MATCH($G$1,[1]characters!$2:$2,0)+1),MATCH(I$1,[1]characters!$2:$2,0)-MATCH($G$1,[1]characters!$2:$2,0)+1,FALSE)</f>
        <v>PremiumN</v>
      </c>
      <c r="J139" s="10">
        <f ca="1">VLOOKUP($G139,OFFSET([1]characters!$A$2,0,0,COUNTA([1]characters!$A:$A),MATCH(J$1,[1]characters!$2:$2,0)-MATCH($G$1,[1]characters!$2:$2,0)+1),MATCH(J$1,[1]characters!$2:$2,0)-MATCH($G$1,[1]characters!$2:$2,0)+1,FALSE)</f>
        <v>3</v>
      </c>
      <c r="K139" s="10" t="str">
        <f ca="1">VLOOKUP($G139,OFFSET([1]characters!$A$2,0,0,COUNTA([1]characters!$A:$A),MATCH(K$1,[1]characters!$2:$2,0)-MATCH($G$1,[1]characters!$2:$2,0)+1),MATCH(K$1,[1]characters!$2:$2,0)-MATCH($G$1,[1]characters!$2:$2,0)+1,FALSE)</f>
        <v>green</v>
      </c>
      <c r="L139" s="10" t="str">
        <f ca="1">VLOOKUP($G139,OFFSET([1]characters!$A$2,0,0,COUNTA([1]characters!$A:$A),MATCH("タイプ",[1]characters!$1:$1,0)-MATCH($G$1,[1]characters!$2:$2,0)+2),MATCH("タイプ",[1]characters!$1:$1,0)-MATCH($G$1,[1]characters!$2:$2,0)+2,FALSE)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39" s="10" t="str">
        <f ca="1">VLOOKUP($G139,OFFSET([1]characters!$A$2,0,0,COUNTA([1]characters!$A:$A),MATCH($M$1,[1]characters!$1:$1,0)-MATCH($G$1,[1]characters!$2:$2,0)+2),MATCH($M$1,[1]characters!$1:$1,0)-MATCH($G$1,[1]characters!$2:$2,0)+2,FALSE)</f>
        <v>ドラゴン</v>
      </c>
      <c r="N139" s="6">
        <v>1</v>
      </c>
      <c r="O139" s="43">
        <f ca="1">VLOOKUP(D139,gacha_114_base!A:K,11,FALSE)</f>
        <v>2433</v>
      </c>
      <c r="P139" s="28">
        <v>0</v>
      </c>
      <c r="Q139" s="28">
        <v>0</v>
      </c>
      <c r="R139" s="28">
        <v>0</v>
      </c>
      <c r="S139" s="28">
        <v>0</v>
      </c>
      <c r="T139" s="28">
        <v>1</v>
      </c>
    </row>
    <row r="140" spans="1:20" ht="21" customHeight="1">
      <c r="A140" s="8" t="str">
        <f t="shared" si="4"/>
        <v>02201</v>
      </c>
      <c r="B140" s="2">
        <v>114</v>
      </c>
      <c r="C140" s="10" t="str">
        <f t="shared" ca="1" si="11"/>
        <v>0PremiumN3</v>
      </c>
      <c r="D140" s="10" t="str">
        <f t="shared" ca="1" si="12"/>
        <v>0PremiumN3</v>
      </c>
      <c r="E140" s="10" t="str">
        <f t="shared" si="13"/>
        <v/>
      </c>
      <c r="F140" s="6">
        <v>0</v>
      </c>
      <c r="G140" s="7">
        <v>220</v>
      </c>
      <c r="H140" s="10" t="str">
        <f ca="1">VLOOKUP($G140,OFFSET([1]characters!$A$2,0,0,COUNTA([1]characters!$A:$A),MATCH(H$1,[1]characters!$2:$2,0)-MATCH($G$1,[1]characters!$2:$2,0)+1),MATCH(H$1,[1]characters!$2:$2,0)-MATCH($G$1,[1]characters!$2:$2,0)+1,FALSE)</f>
        <v>ルキフグス</v>
      </c>
      <c r="I140" s="10" t="str">
        <f ca="1">VLOOKUP($G140,OFFSET([1]characters!$A$2,0,0,COUNTA([1]characters!$A:$A),MATCH(I$1,[1]characters!$2:$2,0)-MATCH($G$1,[1]characters!$2:$2,0)+1),MATCH(I$1,[1]characters!$2:$2,0)-MATCH($G$1,[1]characters!$2:$2,0)+1,FALSE)</f>
        <v>PremiumN</v>
      </c>
      <c r="J140" s="10">
        <f ca="1">VLOOKUP($G140,OFFSET([1]characters!$A$2,0,0,COUNTA([1]characters!$A:$A),MATCH(J$1,[1]characters!$2:$2,0)-MATCH($G$1,[1]characters!$2:$2,0)+1),MATCH(J$1,[1]characters!$2:$2,0)-MATCH($G$1,[1]characters!$2:$2,0)+1,FALSE)</f>
        <v>3</v>
      </c>
      <c r="K140" s="10" t="str">
        <f ca="1">VLOOKUP($G140,OFFSET([1]characters!$A$2,0,0,COUNTA([1]characters!$A:$A),MATCH(K$1,[1]characters!$2:$2,0)-MATCH($G$1,[1]characters!$2:$2,0)+1),MATCH(K$1,[1]characters!$2:$2,0)-MATCH($G$1,[1]characters!$2:$2,0)+1,FALSE)</f>
        <v>blue</v>
      </c>
      <c r="L140" s="10" t="str">
        <f ca="1">VLOOKUP($G140,OFFSET([1]characters!$A$2,0,0,COUNTA([1]characters!$A:$A),MATCH("タイプ",[1]characters!$1:$1,0)-MATCH($G$1,[1]characters!$2:$2,0)+2),MATCH("タイプ",[1]characters!$1:$1,0)-MATCH($G$1,[1]characters!$2:$2,0)+2,FALSE)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40" s="10" t="str">
        <f ca="1">VLOOKUP($G140,OFFSET([1]characters!$A$2,0,0,COUNTA([1]characters!$A:$A),MATCH($M$1,[1]characters!$1:$1,0)-MATCH($G$1,[1]characters!$2:$2,0)+2),MATCH($M$1,[1]characters!$1:$1,0)-MATCH($G$1,[1]characters!$2:$2,0)+2,FALSE)</f>
        <v>ゴッド</v>
      </c>
      <c r="N140" s="6">
        <v>1</v>
      </c>
      <c r="O140" s="43">
        <f ca="1">VLOOKUP(D140,gacha_114_base!A:K,11,FALSE)</f>
        <v>2433</v>
      </c>
      <c r="P140" s="28">
        <v>0</v>
      </c>
      <c r="Q140" s="28">
        <v>0</v>
      </c>
      <c r="R140" s="28">
        <v>0</v>
      </c>
      <c r="S140" s="28">
        <v>0</v>
      </c>
      <c r="T140" s="28">
        <v>1</v>
      </c>
    </row>
    <row r="141" spans="1:20" ht="21" customHeight="1">
      <c r="A141" s="8" t="str">
        <f t="shared" si="4"/>
        <v>02231</v>
      </c>
      <c r="B141" s="2">
        <v>114</v>
      </c>
      <c r="C141" s="10" t="str">
        <f t="shared" ca="1" si="11"/>
        <v>0PremiumN3</v>
      </c>
      <c r="D141" s="10" t="str">
        <f t="shared" ca="1" si="12"/>
        <v>0PremiumN3</v>
      </c>
      <c r="E141" s="10" t="str">
        <f t="shared" si="13"/>
        <v/>
      </c>
      <c r="F141" s="6">
        <v>0</v>
      </c>
      <c r="G141" s="7">
        <v>223</v>
      </c>
      <c r="H141" s="10" t="str">
        <f ca="1">VLOOKUP($G141,OFFSET([1]characters!$A$2,0,0,COUNTA([1]characters!$A:$A),MATCH(H$1,[1]characters!$2:$2,0)-MATCH($G$1,[1]characters!$2:$2,0)+1),MATCH(H$1,[1]characters!$2:$2,0)-MATCH($G$1,[1]characters!$2:$2,0)+1,FALSE)</f>
        <v>ヘラクレス</v>
      </c>
      <c r="I141" s="10" t="str">
        <f ca="1">VLOOKUP($G141,OFFSET([1]characters!$A$2,0,0,COUNTA([1]characters!$A:$A),MATCH(I$1,[1]characters!$2:$2,0)-MATCH($G$1,[1]characters!$2:$2,0)+1),MATCH(I$1,[1]characters!$2:$2,0)-MATCH($G$1,[1]characters!$2:$2,0)+1,FALSE)</f>
        <v>PremiumN</v>
      </c>
      <c r="J141" s="10">
        <f ca="1">VLOOKUP($G141,OFFSET([1]characters!$A$2,0,0,COUNTA([1]characters!$A:$A),MATCH(J$1,[1]characters!$2:$2,0)-MATCH($G$1,[1]characters!$2:$2,0)+1),MATCH(J$1,[1]characters!$2:$2,0)-MATCH($G$1,[1]characters!$2:$2,0)+1,FALSE)</f>
        <v>3</v>
      </c>
      <c r="K141" s="10" t="str">
        <f ca="1">VLOOKUP($G141,OFFSET([1]characters!$A$2,0,0,COUNTA([1]characters!$A:$A),MATCH(K$1,[1]characters!$2:$2,0)-MATCH($G$1,[1]characters!$2:$2,0)+1),MATCH(K$1,[1]characters!$2:$2,0)-MATCH($G$1,[1]characters!$2:$2,0)+1,FALSE)</f>
        <v>yellow</v>
      </c>
      <c r="L141" s="10" t="str">
        <f ca="1">VLOOKUP($G141,OFFSET([1]characters!$A$2,0,0,COUNTA([1]characters!$A:$A),MATCH("タイプ",[1]characters!$1:$1,0)-MATCH($G$1,[1]characters!$2:$2,0)+2),MATCH("タイプ",[1]characters!$1:$1,0)-MATCH($G$1,[1]characters!$2:$2,0)+2,FALSE)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41" s="10" t="str">
        <f ca="1">VLOOKUP($G141,OFFSET([1]characters!$A$2,0,0,COUNTA([1]characters!$A:$A),MATCH($M$1,[1]characters!$1:$1,0)-MATCH($G$1,[1]characters!$2:$2,0)+2),MATCH($M$1,[1]characters!$1:$1,0)-MATCH($G$1,[1]characters!$2:$2,0)+2,FALSE)</f>
        <v>ヒューマン</v>
      </c>
      <c r="N141" s="6">
        <v>1</v>
      </c>
      <c r="O141" s="43">
        <f ca="1">VLOOKUP(D141,gacha_114_base!A:K,11,FALSE)</f>
        <v>2433</v>
      </c>
      <c r="P141" s="28">
        <v>0</v>
      </c>
      <c r="Q141" s="28">
        <v>0</v>
      </c>
      <c r="R141" s="28">
        <v>0</v>
      </c>
      <c r="S141" s="28">
        <v>0</v>
      </c>
      <c r="T141" s="28">
        <v>1</v>
      </c>
    </row>
    <row r="142" spans="1:20" ht="21" customHeight="1">
      <c r="A142" s="8" t="str">
        <f t="shared" si="4"/>
        <v>02261</v>
      </c>
      <c r="B142" s="2">
        <v>114</v>
      </c>
      <c r="C142" s="10" t="str">
        <f t="shared" ca="1" si="11"/>
        <v>0PremiumS3</v>
      </c>
      <c r="D142" s="10" t="str">
        <f t="shared" ca="1" si="12"/>
        <v>0PremiumS3</v>
      </c>
      <c r="E142" s="10" t="str">
        <f t="shared" si="13"/>
        <v/>
      </c>
      <c r="F142" s="6">
        <v>0</v>
      </c>
      <c r="G142" s="7">
        <v>226</v>
      </c>
      <c r="H142" s="10" t="str">
        <f ca="1">VLOOKUP($G142,OFFSET([1]characters!$A$2,0,0,COUNTA([1]characters!$A:$A),MATCH(H$1,[1]characters!$2:$2,0)-MATCH($G$1,[1]characters!$2:$2,0)+1),MATCH(H$1,[1]characters!$2:$2,0)-MATCH($G$1,[1]characters!$2:$2,0)+1,FALSE)</f>
        <v>アレス</v>
      </c>
      <c r="I142" s="10" t="str">
        <f ca="1">VLOOKUP($G142,OFFSET([1]characters!$A$2,0,0,COUNTA([1]characters!$A:$A),MATCH(I$1,[1]characters!$2:$2,0)-MATCH($G$1,[1]characters!$2:$2,0)+1),MATCH(I$1,[1]characters!$2:$2,0)-MATCH($G$1,[1]characters!$2:$2,0)+1,FALSE)</f>
        <v>PremiumS</v>
      </c>
      <c r="J142" s="10">
        <f ca="1">VLOOKUP($G142,OFFSET([1]characters!$A$2,0,0,COUNTA([1]characters!$A:$A),MATCH(J$1,[1]characters!$2:$2,0)-MATCH($G$1,[1]characters!$2:$2,0)+1),MATCH(J$1,[1]characters!$2:$2,0)-MATCH($G$1,[1]characters!$2:$2,0)+1,FALSE)</f>
        <v>3</v>
      </c>
      <c r="K142" s="10" t="str">
        <f ca="1">VLOOKUP($G142,OFFSET([1]characters!$A$2,0,0,COUNTA([1]characters!$A:$A),MATCH(K$1,[1]characters!$2:$2,0)-MATCH($G$1,[1]characters!$2:$2,0)+1),MATCH(K$1,[1]characters!$2:$2,0)-MATCH($G$1,[1]characters!$2:$2,0)+1,FALSE)</f>
        <v>red</v>
      </c>
      <c r="L142" s="10" t="str">
        <f ca="1">VLOOKUP($G142,OFFSET([1]characters!$A$2,0,0,COUNTA([1]characters!$A:$A),MATCH("タイプ",[1]characters!$1:$1,0)-MATCH($G$1,[1]characters!$2:$2,0)+2),MATCH("タイプ",[1]characters!$1:$1,0)-MATCH($G$1,[1]characters!$2:$2,0)+2,FALSE)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42" s="10" t="str">
        <f ca="1">VLOOKUP($G142,OFFSET([1]characters!$A$2,0,0,COUNTA([1]characters!$A:$A),MATCH($M$1,[1]characters!$1:$1,0)-MATCH($G$1,[1]characters!$2:$2,0)+2),MATCH($M$1,[1]characters!$1:$1,0)-MATCH($G$1,[1]characters!$2:$2,0)+2,FALSE)</f>
        <v>ゴッド</v>
      </c>
      <c r="N142" s="6">
        <v>1</v>
      </c>
      <c r="O142" s="43">
        <f ca="1">VLOOKUP(D142,gacha_114_base!A:K,11,FALSE)</f>
        <v>228</v>
      </c>
      <c r="P142" s="28">
        <v>0</v>
      </c>
      <c r="Q142" s="28">
        <v>0</v>
      </c>
      <c r="R142" s="28">
        <v>0</v>
      </c>
      <c r="S142" s="28">
        <v>0</v>
      </c>
      <c r="T142" s="28">
        <v>1</v>
      </c>
    </row>
    <row r="143" spans="1:20" ht="21" customHeight="1">
      <c r="A143" s="8" t="str">
        <f t="shared" si="4"/>
        <v>02291</v>
      </c>
      <c r="B143" s="2">
        <v>114</v>
      </c>
      <c r="C143" s="10" t="str">
        <f t="shared" ca="1" si="11"/>
        <v>0PremiumS3</v>
      </c>
      <c r="D143" s="10" t="str">
        <f t="shared" ca="1" si="12"/>
        <v>0PremiumS3</v>
      </c>
      <c r="E143" s="10" t="str">
        <f t="shared" si="13"/>
        <v/>
      </c>
      <c r="F143" s="6">
        <v>0</v>
      </c>
      <c r="G143" s="7">
        <v>229</v>
      </c>
      <c r="H143" s="10" t="str">
        <f ca="1">VLOOKUP($G143,OFFSET([1]characters!$A$2,0,0,COUNTA([1]characters!$A:$A),MATCH(H$1,[1]characters!$2:$2,0)-MATCH($G$1,[1]characters!$2:$2,0)+1),MATCH(H$1,[1]characters!$2:$2,0)-MATCH($G$1,[1]characters!$2:$2,0)+1,FALSE)</f>
        <v>ヨルムンガンド</v>
      </c>
      <c r="I143" s="10" t="str">
        <f ca="1">VLOOKUP($G143,OFFSET([1]characters!$A$2,0,0,COUNTA([1]characters!$A:$A),MATCH(I$1,[1]characters!$2:$2,0)-MATCH($G$1,[1]characters!$2:$2,0)+1),MATCH(I$1,[1]characters!$2:$2,0)-MATCH($G$1,[1]characters!$2:$2,0)+1,FALSE)</f>
        <v>PremiumS</v>
      </c>
      <c r="J143" s="10">
        <f ca="1">VLOOKUP($G143,OFFSET([1]characters!$A$2,0,0,COUNTA([1]characters!$A:$A),MATCH(J$1,[1]characters!$2:$2,0)-MATCH($G$1,[1]characters!$2:$2,0)+1),MATCH(J$1,[1]characters!$2:$2,0)-MATCH($G$1,[1]characters!$2:$2,0)+1,FALSE)</f>
        <v>3</v>
      </c>
      <c r="K143" s="10" t="str">
        <f ca="1">VLOOKUP($G143,OFFSET([1]characters!$A$2,0,0,COUNTA([1]characters!$A:$A),MATCH(K$1,[1]characters!$2:$2,0)-MATCH($G$1,[1]characters!$2:$2,0)+1),MATCH(K$1,[1]characters!$2:$2,0)-MATCH($G$1,[1]characters!$2:$2,0)+1,FALSE)</f>
        <v>green</v>
      </c>
      <c r="L143" s="10" t="str">
        <f ca="1">VLOOKUP($G143,OFFSET([1]characters!$A$2,0,0,COUNTA([1]characters!$A:$A),MATCH("タイプ",[1]characters!$1:$1,0)-MATCH($G$1,[1]characters!$2:$2,0)+2),MATCH("タイプ",[1]characters!$1:$1,0)-MATCH($G$1,[1]characters!$2:$2,0)+2,FALSE)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43" s="10" t="str">
        <f ca="1">VLOOKUP($G143,OFFSET([1]characters!$A$2,0,0,COUNTA([1]characters!$A:$A),MATCH($M$1,[1]characters!$1:$1,0)-MATCH($G$1,[1]characters!$2:$2,0)+2),MATCH($M$1,[1]characters!$1:$1,0)-MATCH($G$1,[1]characters!$2:$2,0)+2,FALSE)</f>
        <v>ドラゴン</v>
      </c>
      <c r="N143" s="6">
        <v>1</v>
      </c>
      <c r="O143" s="43">
        <f ca="1">VLOOKUP(D143,gacha_114_base!A:K,11,FALSE)</f>
        <v>228</v>
      </c>
      <c r="P143" s="28">
        <v>0</v>
      </c>
      <c r="Q143" s="28">
        <v>0</v>
      </c>
      <c r="R143" s="28">
        <v>0</v>
      </c>
      <c r="S143" s="28">
        <v>0</v>
      </c>
      <c r="T143" s="28">
        <v>1</v>
      </c>
    </row>
    <row r="144" spans="1:20" ht="21" customHeight="1">
      <c r="A144" s="8" t="str">
        <f t="shared" si="4"/>
        <v>02321</v>
      </c>
      <c r="B144" s="2">
        <v>114</v>
      </c>
      <c r="C144" s="10" t="str">
        <f t="shared" ca="1" si="11"/>
        <v>0PremiumS3</v>
      </c>
      <c r="D144" s="10" t="str">
        <f t="shared" ca="1" si="12"/>
        <v>0PremiumS3</v>
      </c>
      <c r="E144" s="10" t="str">
        <f t="shared" si="13"/>
        <v/>
      </c>
      <c r="F144" s="6">
        <v>0</v>
      </c>
      <c r="G144" s="7">
        <v>232</v>
      </c>
      <c r="H144" s="10" t="str">
        <f ca="1">VLOOKUP($G144,OFFSET([1]characters!$A$2,0,0,COUNTA([1]characters!$A:$A),MATCH(H$1,[1]characters!$2:$2,0)-MATCH($G$1,[1]characters!$2:$2,0)+1),MATCH(H$1,[1]characters!$2:$2,0)-MATCH($G$1,[1]characters!$2:$2,0)+1,FALSE)</f>
        <v>パーシヴァル</v>
      </c>
      <c r="I144" s="10" t="str">
        <f ca="1">VLOOKUP($G144,OFFSET([1]characters!$A$2,0,0,COUNTA([1]characters!$A:$A),MATCH(I$1,[1]characters!$2:$2,0)-MATCH($G$1,[1]characters!$2:$2,0)+1),MATCH(I$1,[1]characters!$2:$2,0)-MATCH($G$1,[1]characters!$2:$2,0)+1,FALSE)</f>
        <v>PremiumS</v>
      </c>
      <c r="J144" s="10">
        <f ca="1">VLOOKUP($G144,OFFSET([1]characters!$A$2,0,0,COUNTA([1]characters!$A:$A),MATCH(J$1,[1]characters!$2:$2,0)-MATCH($G$1,[1]characters!$2:$2,0)+1),MATCH(J$1,[1]characters!$2:$2,0)-MATCH($G$1,[1]characters!$2:$2,0)+1,FALSE)</f>
        <v>3</v>
      </c>
      <c r="K144" s="10" t="str">
        <f ca="1">VLOOKUP($G144,OFFSET([1]characters!$A$2,0,0,COUNTA([1]characters!$A:$A),MATCH(K$1,[1]characters!$2:$2,0)-MATCH($G$1,[1]characters!$2:$2,0)+1),MATCH(K$1,[1]characters!$2:$2,0)-MATCH($G$1,[1]characters!$2:$2,0)+1,FALSE)</f>
        <v>blue</v>
      </c>
      <c r="L144" s="10" t="str">
        <f ca="1">VLOOKUP($G144,OFFSET([1]characters!$A$2,0,0,COUNTA([1]characters!$A:$A),MATCH("タイプ",[1]characters!$1:$1,0)-MATCH($G$1,[1]characters!$2:$2,0)+2),MATCH("タイプ",[1]characters!$1:$1,0)-MATCH($G$1,[1]characters!$2:$2,0)+2,FALSE)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44" s="10" t="str">
        <f ca="1">VLOOKUP($G144,OFFSET([1]characters!$A$2,0,0,COUNTA([1]characters!$A:$A),MATCH($M$1,[1]characters!$1:$1,0)-MATCH($G$1,[1]characters!$2:$2,0)+2),MATCH($M$1,[1]characters!$1:$1,0)-MATCH($G$1,[1]characters!$2:$2,0)+2,FALSE)</f>
        <v>ヒューマン</v>
      </c>
      <c r="N144" s="6">
        <v>1</v>
      </c>
      <c r="O144" s="43">
        <f ca="1">VLOOKUP(D144,gacha_114_base!A:K,11,FALSE)</f>
        <v>228</v>
      </c>
      <c r="P144" s="28">
        <v>0</v>
      </c>
      <c r="Q144" s="28">
        <v>0</v>
      </c>
      <c r="R144" s="28">
        <v>0</v>
      </c>
      <c r="S144" s="28">
        <v>0</v>
      </c>
      <c r="T144" s="28">
        <v>1</v>
      </c>
    </row>
    <row r="145" spans="1:20" ht="21" customHeight="1">
      <c r="A145" s="8" t="str">
        <f t="shared" si="4"/>
        <v>02351</v>
      </c>
      <c r="B145" s="2">
        <v>114</v>
      </c>
      <c r="C145" s="10" t="str">
        <f t="shared" ca="1" si="11"/>
        <v>0PremiumS3</v>
      </c>
      <c r="D145" s="10" t="str">
        <f t="shared" ca="1" si="12"/>
        <v>0PremiumS3</v>
      </c>
      <c r="E145" s="10" t="str">
        <f t="shared" si="13"/>
        <v/>
      </c>
      <c r="F145" s="6">
        <v>0</v>
      </c>
      <c r="G145" s="7">
        <v>235</v>
      </c>
      <c r="H145" s="10" t="str">
        <f ca="1">VLOOKUP($G145,OFFSET([1]characters!$A$2,0,0,COUNTA([1]characters!$A:$A),MATCH(H$1,[1]characters!$2:$2,0)-MATCH($G$1,[1]characters!$2:$2,0)+1),MATCH(H$1,[1]characters!$2:$2,0)-MATCH($G$1,[1]characters!$2:$2,0)+1,FALSE)</f>
        <v>イザナミ</v>
      </c>
      <c r="I145" s="10" t="str">
        <f ca="1">VLOOKUP($G145,OFFSET([1]characters!$A$2,0,0,COUNTA([1]characters!$A:$A),MATCH(I$1,[1]characters!$2:$2,0)-MATCH($G$1,[1]characters!$2:$2,0)+1),MATCH(I$1,[1]characters!$2:$2,0)-MATCH($G$1,[1]characters!$2:$2,0)+1,FALSE)</f>
        <v>PremiumS</v>
      </c>
      <c r="J145" s="10">
        <f ca="1">VLOOKUP($G145,OFFSET([1]characters!$A$2,0,0,COUNTA([1]characters!$A:$A),MATCH(J$1,[1]characters!$2:$2,0)-MATCH($G$1,[1]characters!$2:$2,0)+1),MATCH(J$1,[1]characters!$2:$2,0)-MATCH($G$1,[1]characters!$2:$2,0)+1,FALSE)</f>
        <v>3</v>
      </c>
      <c r="K145" s="10" t="str">
        <f ca="1">VLOOKUP($G145,OFFSET([1]characters!$A$2,0,0,COUNTA([1]characters!$A:$A),MATCH(K$1,[1]characters!$2:$2,0)-MATCH($G$1,[1]characters!$2:$2,0)+1),MATCH(K$1,[1]characters!$2:$2,0)-MATCH($G$1,[1]characters!$2:$2,0)+1,FALSE)</f>
        <v>yellow</v>
      </c>
      <c r="L145" s="10" t="str">
        <f ca="1">VLOOKUP($G145,OFFSET([1]characters!$A$2,0,0,COUNTA([1]characters!$A:$A),MATCH("タイプ",[1]characters!$1:$1,0)-MATCH($G$1,[1]characters!$2:$2,0)+2),MATCH("タイプ",[1]characters!$1:$1,0)-MATCH($G$1,[1]characters!$2:$2,0)+2,FALSE)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45" s="10" t="str">
        <f ca="1">VLOOKUP($G145,OFFSET([1]characters!$A$2,0,0,COUNTA([1]characters!$A:$A),MATCH($M$1,[1]characters!$1:$1,0)-MATCH($G$1,[1]characters!$2:$2,0)+2),MATCH($M$1,[1]characters!$1:$1,0)-MATCH($G$1,[1]characters!$2:$2,0)+2,FALSE)</f>
        <v>ゴッド</v>
      </c>
      <c r="N145" s="6">
        <v>1</v>
      </c>
      <c r="O145" s="43">
        <f ca="1">VLOOKUP(D145,gacha_114_base!A:K,11,FALSE)</f>
        <v>228</v>
      </c>
      <c r="P145" s="28">
        <v>0</v>
      </c>
      <c r="Q145" s="28">
        <v>0</v>
      </c>
      <c r="R145" s="28">
        <v>0</v>
      </c>
      <c r="S145" s="28">
        <v>0</v>
      </c>
      <c r="T145" s="28">
        <v>1</v>
      </c>
    </row>
    <row r="146" spans="1:20" ht="21" customHeight="1">
      <c r="A146" s="8" t="str">
        <f t="shared" si="4"/>
        <v>01271</v>
      </c>
      <c r="B146" s="2">
        <v>114</v>
      </c>
      <c r="C146" s="10" t="str">
        <f t="shared" ca="1" si="11"/>
        <v>0PremiumW4</v>
      </c>
      <c r="D146" s="10" t="str">
        <f t="shared" ca="1" si="12"/>
        <v>0PremiumW4</v>
      </c>
      <c r="E146" s="10" t="str">
        <f t="shared" si="13"/>
        <v/>
      </c>
      <c r="F146" s="6">
        <v>0</v>
      </c>
      <c r="G146" s="7">
        <v>127</v>
      </c>
      <c r="H146" s="10" t="str">
        <f ca="1">VLOOKUP($G146,OFFSET([1]characters!$A$2,0,0,COUNTA([1]characters!$A:$A),MATCH(H$1,[1]characters!$2:$2,0)-MATCH($G$1,[1]characters!$2:$2,0)+1),MATCH(H$1,[1]characters!$2:$2,0)-MATCH($G$1,[1]characters!$2:$2,0)+1,FALSE)</f>
        <v>狂喜の賢者 ユノ</v>
      </c>
      <c r="I146" s="10" t="str">
        <f ca="1">VLOOKUP($G146,OFFSET([1]characters!$A$2,0,0,COUNTA([1]characters!$A:$A),MATCH(I$1,[1]characters!$2:$2,0)-MATCH($G$1,[1]characters!$2:$2,0)+1),MATCH(I$1,[1]characters!$2:$2,0)-MATCH($G$1,[1]characters!$2:$2,0)+1,FALSE)</f>
        <v>PremiumW</v>
      </c>
      <c r="J146" s="10">
        <f ca="1">VLOOKUP($G146,OFFSET([1]characters!$A$2,0,0,COUNTA([1]characters!$A:$A),MATCH(J$1,[1]characters!$2:$2,0)-MATCH($G$1,[1]characters!$2:$2,0)+1),MATCH(J$1,[1]characters!$2:$2,0)-MATCH($G$1,[1]characters!$2:$2,0)+1,FALSE)</f>
        <v>4</v>
      </c>
      <c r="K146" s="10" t="str">
        <f ca="1">VLOOKUP($G146,OFFSET([1]characters!$A$2,0,0,COUNTA([1]characters!$A:$A),MATCH(K$1,[1]characters!$2:$2,0)-MATCH($G$1,[1]characters!$2:$2,0)+1),MATCH(K$1,[1]characters!$2:$2,0)-MATCH($G$1,[1]characters!$2:$2,0)+1,FALSE)</f>
        <v>red</v>
      </c>
      <c r="L146" s="10" t="str">
        <f ca="1">VLOOKUP($G146,OFFSET([1]characters!$A$2,0,0,COUNTA([1]characters!$A:$A),MATCH("タイプ",[1]characters!$1:$1,0)-MATCH($G$1,[1]characters!$2:$2,0)+2),MATCH("タイプ",[1]characters!$1:$1,0)-MATCH($G$1,[1]characters!$2:$2,0)+2,FALSE)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46" s="10" t="str">
        <f ca="1">VLOOKUP($G146,OFFSET([1]characters!$A$2,0,0,COUNTA([1]characters!$A:$A),MATCH($M$1,[1]characters!$1:$1,0)-MATCH($G$1,[1]characters!$2:$2,0)+2),MATCH($M$1,[1]characters!$1:$1,0)-MATCH($G$1,[1]characters!$2:$2,0)+2,FALSE)</f>
        <v>ヒューマン</v>
      </c>
      <c r="N146" s="6">
        <v>1</v>
      </c>
      <c r="O146" s="43">
        <f ca="1">VLOOKUP(D146,gacha_114_base!A:K,11,FALSE)</f>
        <v>806</v>
      </c>
      <c r="P146" s="28">
        <v>0</v>
      </c>
      <c r="Q146" s="28">
        <v>0</v>
      </c>
      <c r="R146" s="28">
        <v>0</v>
      </c>
      <c r="S146" s="28">
        <v>0</v>
      </c>
      <c r="T146" s="28">
        <v>1</v>
      </c>
    </row>
    <row r="147" spans="1:20" ht="21" customHeight="1">
      <c r="A147" s="8" t="str">
        <f t="shared" si="4"/>
        <v>01291</v>
      </c>
      <c r="B147" s="2">
        <v>114</v>
      </c>
      <c r="C147" s="10" t="str">
        <f t="shared" ca="1" si="11"/>
        <v>0PremiumW4</v>
      </c>
      <c r="D147" s="10" t="str">
        <f t="shared" ca="1" si="12"/>
        <v>0PremiumW4</v>
      </c>
      <c r="E147" s="10" t="str">
        <f t="shared" si="13"/>
        <v/>
      </c>
      <c r="F147" s="6">
        <v>0</v>
      </c>
      <c r="G147" s="7">
        <v>129</v>
      </c>
      <c r="H147" s="10" t="str">
        <f ca="1">VLOOKUP($G147,OFFSET([1]characters!$A$2,0,0,COUNTA([1]characters!$A:$A),MATCH(H$1,[1]characters!$2:$2,0)-MATCH($G$1,[1]characters!$2:$2,0)+1),MATCH(H$1,[1]characters!$2:$2,0)-MATCH($G$1,[1]characters!$2:$2,0)+1,FALSE)</f>
        <v>孤高の狼憑き アマラ</v>
      </c>
      <c r="I147" s="10" t="str">
        <f ca="1">VLOOKUP($G147,OFFSET([1]characters!$A$2,0,0,COUNTA([1]characters!$A:$A),MATCH(I$1,[1]characters!$2:$2,0)-MATCH($G$1,[1]characters!$2:$2,0)+1),MATCH(I$1,[1]characters!$2:$2,0)-MATCH($G$1,[1]characters!$2:$2,0)+1,FALSE)</f>
        <v>PremiumW</v>
      </c>
      <c r="J147" s="10">
        <f ca="1">VLOOKUP($G147,OFFSET([1]characters!$A$2,0,0,COUNTA([1]characters!$A:$A),MATCH(J$1,[1]characters!$2:$2,0)-MATCH($G$1,[1]characters!$2:$2,0)+1),MATCH(J$1,[1]characters!$2:$2,0)-MATCH($G$1,[1]characters!$2:$2,0)+1,FALSE)</f>
        <v>4</v>
      </c>
      <c r="K147" s="10" t="str">
        <f ca="1">VLOOKUP($G147,OFFSET([1]characters!$A$2,0,0,COUNTA([1]characters!$A:$A),MATCH(K$1,[1]characters!$2:$2,0)-MATCH($G$1,[1]characters!$2:$2,0)+1),MATCH(K$1,[1]characters!$2:$2,0)-MATCH($G$1,[1]characters!$2:$2,0)+1,FALSE)</f>
        <v>green</v>
      </c>
      <c r="L147" s="10" t="str">
        <f ca="1">VLOOKUP($G147,OFFSET([1]characters!$A$2,0,0,COUNTA([1]characters!$A:$A),MATCH("タイプ",[1]characters!$1:$1,0)-MATCH($G$1,[1]characters!$2:$2,0)+2),MATCH("タイプ",[1]characters!$1:$1,0)-MATCH($G$1,[1]characters!$2:$2,0)+2,FALSE)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47" s="10" t="str">
        <f ca="1">VLOOKUP($G147,OFFSET([1]characters!$A$2,0,0,COUNTA([1]characters!$A:$A),MATCH($M$1,[1]characters!$1:$1,0)-MATCH($G$1,[1]characters!$2:$2,0)+2),MATCH($M$1,[1]characters!$1:$1,0)-MATCH($G$1,[1]characters!$2:$2,0)+2,FALSE)</f>
        <v>ヒューマン</v>
      </c>
      <c r="N147" s="6">
        <v>1</v>
      </c>
      <c r="O147" s="43">
        <f ca="1">VLOOKUP(D147,gacha_114_base!A:K,11,FALSE)</f>
        <v>806</v>
      </c>
      <c r="P147" s="28">
        <v>0</v>
      </c>
      <c r="Q147" s="28">
        <v>0</v>
      </c>
      <c r="R147" s="28">
        <v>0</v>
      </c>
      <c r="S147" s="28">
        <v>0</v>
      </c>
      <c r="T147" s="28">
        <v>1</v>
      </c>
    </row>
    <row r="148" spans="1:20" ht="21" customHeight="1">
      <c r="A148" s="8" t="str">
        <f t="shared" si="4"/>
        <v>01311</v>
      </c>
      <c r="B148" s="2">
        <v>114</v>
      </c>
      <c r="C148" s="10" t="str">
        <f t="shared" ca="1" si="11"/>
        <v>0PremiumW4</v>
      </c>
      <c r="D148" s="10" t="str">
        <f t="shared" ca="1" si="12"/>
        <v>0PremiumW4</v>
      </c>
      <c r="E148" s="10" t="str">
        <f t="shared" si="13"/>
        <v/>
      </c>
      <c r="F148" s="6">
        <v>0</v>
      </c>
      <c r="G148" s="7">
        <v>131</v>
      </c>
      <c r="H148" s="10" t="str">
        <f ca="1">VLOOKUP($G148,OFFSET([1]characters!$A$2,0,0,COUNTA([1]characters!$A:$A),MATCH(H$1,[1]characters!$2:$2,0)-MATCH($G$1,[1]characters!$2:$2,0)+1),MATCH(H$1,[1]characters!$2:$2,0)-MATCH($G$1,[1]characters!$2:$2,0)+1,FALSE)</f>
        <v>月下の人狼 ローレンス</v>
      </c>
      <c r="I148" s="10" t="str">
        <f ca="1">VLOOKUP($G148,OFFSET([1]characters!$A$2,0,0,COUNTA([1]characters!$A:$A),MATCH(I$1,[1]characters!$2:$2,0)-MATCH($G$1,[1]characters!$2:$2,0)+1),MATCH(I$1,[1]characters!$2:$2,0)-MATCH($G$1,[1]characters!$2:$2,0)+1,FALSE)</f>
        <v>PremiumW</v>
      </c>
      <c r="J148" s="10">
        <f ca="1">VLOOKUP($G148,OFFSET([1]characters!$A$2,0,0,COUNTA([1]characters!$A:$A),MATCH(J$1,[1]characters!$2:$2,0)-MATCH($G$1,[1]characters!$2:$2,0)+1),MATCH(J$1,[1]characters!$2:$2,0)-MATCH($G$1,[1]characters!$2:$2,0)+1,FALSE)</f>
        <v>4</v>
      </c>
      <c r="K148" s="10" t="str">
        <f ca="1">VLOOKUP($G148,OFFSET([1]characters!$A$2,0,0,COUNTA([1]characters!$A:$A),MATCH(K$1,[1]characters!$2:$2,0)-MATCH($G$1,[1]characters!$2:$2,0)+1),MATCH(K$1,[1]characters!$2:$2,0)-MATCH($G$1,[1]characters!$2:$2,0)+1,FALSE)</f>
        <v>blue</v>
      </c>
      <c r="L148" s="10" t="str">
        <f ca="1">VLOOKUP($G148,OFFSET([1]characters!$A$2,0,0,COUNTA([1]characters!$A:$A),MATCH("タイプ",[1]characters!$1:$1,0)-MATCH($G$1,[1]characters!$2:$2,0)+2),MATCH("タイプ",[1]characters!$1:$1,0)-MATCH($G$1,[1]characters!$2:$2,0)+2,FALSE)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48" s="10" t="str">
        <f ca="1">VLOOKUP($G148,OFFSET([1]characters!$A$2,0,0,COUNTA([1]characters!$A:$A),MATCH($M$1,[1]characters!$1:$1,0)-MATCH($G$1,[1]characters!$2:$2,0)+2),MATCH($M$1,[1]characters!$1:$1,0)-MATCH($G$1,[1]characters!$2:$2,0)+2,FALSE)</f>
        <v>アニマル</v>
      </c>
      <c r="N148" s="6">
        <v>1</v>
      </c>
      <c r="O148" s="43">
        <f ca="1">VLOOKUP(D148,gacha_114_base!A:K,11,FALSE)</f>
        <v>806</v>
      </c>
      <c r="P148" s="28">
        <v>0</v>
      </c>
      <c r="Q148" s="28">
        <v>0</v>
      </c>
      <c r="R148" s="28">
        <v>0</v>
      </c>
      <c r="S148" s="28">
        <v>0</v>
      </c>
      <c r="T148" s="28">
        <v>1</v>
      </c>
    </row>
    <row r="149" spans="1:20" ht="21" customHeight="1">
      <c r="A149" s="8" t="str">
        <f t="shared" si="4"/>
        <v>01331</v>
      </c>
      <c r="B149" s="2">
        <v>114</v>
      </c>
      <c r="C149" s="10" t="str">
        <f t="shared" ca="1" si="11"/>
        <v>0PremiumW4</v>
      </c>
      <c r="D149" s="10" t="str">
        <f t="shared" ca="1" si="12"/>
        <v>0PremiumW4</v>
      </c>
      <c r="E149" s="10" t="str">
        <f t="shared" si="13"/>
        <v/>
      </c>
      <c r="F149" s="6">
        <v>0</v>
      </c>
      <c r="G149" s="7">
        <v>133</v>
      </c>
      <c r="H149" s="10" t="str">
        <f ca="1">VLOOKUP($G149,OFFSET([1]characters!$A$2,0,0,COUNTA([1]characters!$A:$A),MATCH(H$1,[1]characters!$2:$2,0)-MATCH($G$1,[1]characters!$2:$2,0)+1),MATCH(H$1,[1]characters!$2:$2,0)-MATCH($G$1,[1]characters!$2:$2,0)+1,FALSE)</f>
        <v>迅雷の刀剣 ハヤト</v>
      </c>
      <c r="I149" s="10" t="str">
        <f ca="1">VLOOKUP($G149,OFFSET([1]characters!$A$2,0,0,COUNTA([1]characters!$A:$A),MATCH(I$1,[1]characters!$2:$2,0)-MATCH($G$1,[1]characters!$2:$2,0)+1),MATCH(I$1,[1]characters!$2:$2,0)-MATCH($G$1,[1]characters!$2:$2,0)+1,FALSE)</f>
        <v>PremiumW</v>
      </c>
      <c r="J149" s="10">
        <f ca="1">VLOOKUP($G149,OFFSET([1]characters!$A$2,0,0,COUNTA([1]characters!$A:$A),MATCH(J$1,[1]characters!$2:$2,0)-MATCH($G$1,[1]characters!$2:$2,0)+1),MATCH(J$1,[1]characters!$2:$2,0)-MATCH($G$1,[1]characters!$2:$2,0)+1,FALSE)</f>
        <v>4</v>
      </c>
      <c r="K149" s="10" t="str">
        <f ca="1">VLOOKUP($G149,OFFSET([1]characters!$A$2,0,0,COUNTA([1]characters!$A:$A),MATCH(K$1,[1]characters!$2:$2,0)-MATCH($G$1,[1]characters!$2:$2,0)+1),MATCH(K$1,[1]characters!$2:$2,0)-MATCH($G$1,[1]characters!$2:$2,0)+1,FALSE)</f>
        <v>yellow</v>
      </c>
      <c r="L149" s="10" t="str">
        <f ca="1">VLOOKUP($G149,OFFSET([1]characters!$A$2,0,0,COUNTA([1]characters!$A:$A),MATCH("タイプ",[1]characters!$1:$1,0)-MATCH($G$1,[1]characters!$2:$2,0)+2),MATCH("タイプ",[1]characters!$1:$1,0)-MATCH($G$1,[1]characters!$2:$2,0)+2,FALSE)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49" s="10" t="str">
        <f ca="1">VLOOKUP($G149,OFFSET([1]characters!$A$2,0,0,COUNTA([1]characters!$A:$A),MATCH($M$1,[1]characters!$1:$1,0)-MATCH($G$1,[1]characters!$2:$2,0)+2),MATCH($M$1,[1]characters!$1:$1,0)-MATCH($G$1,[1]characters!$2:$2,0)+2,FALSE)</f>
        <v>ヒューマン</v>
      </c>
      <c r="N149" s="6">
        <v>1</v>
      </c>
      <c r="O149" s="43">
        <f ca="1">VLOOKUP(D149,gacha_114_base!A:K,11,FALSE)</f>
        <v>806</v>
      </c>
      <c r="P149" s="28">
        <v>0</v>
      </c>
      <c r="Q149" s="28">
        <v>0</v>
      </c>
      <c r="R149" s="28">
        <v>0</v>
      </c>
      <c r="S149" s="28">
        <v>0</v>
      </c>
      <c r="T149" s="28">
        <v>1</v>
      </c>
    </row>
    <row r="150" spans="1:20" ht="21" customHeight="1">
      <c r="A150" s="8" t="str">
        <f t="shared" si="4"/>
        <v>01351</v>
      </c>
      <c r="B150" s="2">
        <v>114</v>
      </c>
      <c r="C150" s="10" t="str">
        <f t="shared" ca="1" si="11"/>
        <v>0PremiumW4</v>
      </c>
      <c r="D150" s="10" t="str">
        <f t="shared" ca="1" si="12"/>
        <v>0PremiumW4</v>
      </c>
      <c r="E150" s="10" t="str">
        <f t="shared" si="13"/>
        <v/>
      </c>
      <c r="F150" s="6">
        <v>0</v>
      </c>
      <c r="G150" s="7">
        <v>135</v>
      </c>
      <c r="H150" s="10" t="str">
        <f ca="1">VLOOKUP($G150,OFFSET([1]characters!$A$2,0,0,COUNTA([1]characters!$A:$A),MATCH(H$1,[1]characters!$2:$2,0)-MATCH($G$1,[1]characters!$2:$2,0)+1),MATCH(H$1,[1]characters!$2:$2,0)-MATCH($G$1,[1]characters!$2:$2,0)+1,FALSE)</f>
        <v>京の炎華夕霧</v>
      </c>
      <c r="I150" s="10" t="str">
        <f ca="1">VLOOKUP($G150,OFFSET([1]characters!$A$2,0,0,COUNTA([1]characters!$A:$A),MATCH(I$1,[1]characters!$2:$2,0)-MATCH($G$1,[1]characters!$2:$2,0)+1),MATCH(I$1,[1]characters!$2:$2,0)-MATCH($G$1,[1]characters!$2:$2,0)+1,FALSE)</f>
        <v>PremiumW</v>
      </c>
      <c r="J150" s="10">
        <f ca="1">VLOOKUP($G150,OFFSET([1]characters!$A$2,0,0,COUNTA([1]characters!$A:$A),MATCH(J$1,[1]characters!$2:$2,0)-MATCH($G$1,[1]characters!$2:$2,0)+1),MATCH(J$1,[1]characters!$2:$2,0)-MATCH($G$1,[1]characters!$2:$2,0)+1,FALSE)</f>
        <v>4</v>
      </c>
      <c r="K150" s="10" t="str">
        <f ca="1">VLOOKUP($G150,OFFSET([1]characters!$A$2,0,0,COUNTA([1]characters!$A:$A),MATCH(K$1,[1]characters!$2:$2,0)-MATCH($G$1,[1]characters!$2:$2,0)+1),MATCH(K$1,[1]characters!$2:$2,0)-MATCH($G$1,[1]characters!$2:$2,0)+1,FALSE)</f>
        <v>red</v>
      </c>
      <c r="L150" s="10" t="str">
        <f ca="1">VLOOKUP($G150,OFFSET([1]characters!$A$2,0,0,COUNTA([1]characters!$A:$A),MATCH("タイプ",[1]characters!$1:$1,0)-MATCH($G$1,[1]characters!$2:$2,0)+2),MATCH("タイプ",[1]characters!$1:$1,0)-MATCH($G$1,[1]characters!$2:$2,0)+2,FALSE)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50" s="10" t="str">
        <f ca="1">VLOOKUP($G150,OFFSET([1]characters!$A$2,0,0,COUNTA([1]characters!$A:$A),MATCH($M$1,[1]characters!$1:$1,0)-MATCH($G$1,[1]characters!$2:$2,0)+2),MATCH($M$1,[1]characters!$1:$1,0)-MATCH($G$1,[1]characters!$2:$2,0)+2,FALSE)</f>
        <v>ヒューマン</v>
      </c>
      <c r="N150" s="6">
        <v>1</v>
      </c>
      <c r="O150" s="43">
        <f ca="1">VLOOKUP(D150,gacha_114_base!A:K,11,FALSE)</f>
        <v>806</v>
      </c>
      <c r="P150" s="28">
        <v>0</v>
      </c>
      <c r="Q150" s="28">
        <v>0</v>
      </c>
      <c r="R150" s="28">
        <v>0</v>
      </c>
      <c r="S150" s="28">
        <v>0</v>
      </c>
      <c r="T150" s="28">
        <v>1</v>
      </c>
    </row>
    <row r="151" spans="1:20" ht="21" customHeight="1">
      <c r="A151" s="8" t="str">
        <f t="shared" si="4"/>
        <v>01371</v>
      </c>
      <c r="B151" s="2">
        <v>114</v>
      </c>
      <c r="C151" s="10" t="str">
        <f t="shared" ca="1" si="11"/>
        <v>0PremiumW4</v>
      </c>
      <c r="D151" s="10" t="str">
        <f t="shared" ca="1" si="12"/>
        <v>0PremiumW4</v>
      </c>
      <c r="E151" s="10" t="str">
        <f t="shared" si="13"/>
        <v/>
      </c>
      <c r="F151" s="6">
        <v>0</v>
      </c>
      <c r="G151" s="7">
        <v>137</v>
      </c>
      <c r="H151" s="10" t="str">
        <f ca="1">VLOOKUP($G151,OFFSET([1]characters!$A$2,0,0,COUNTA([1]characters!$A:$A),MATCH(H$1,[1]characters!$2:$2,0)-MATCH($G$1,[1]characters!$2:$2,0)+1),MATCH(H$1,[1]characters!$2:$2,0)-MATCH($G$1,[1]characters!$2:$2,0)+1,FALSE)</f>
        <v>清福の仕立屋 チハヤ</v>
      </c>
      <c r="I151" s="10" t="str">
        <f ca="1">VLOOKUP($G151,OFFSET([1]characters!$A$2,0,0,COUNTA([1]characters!$A:$A),MATCH(I$1,[1]characters!$2:$2,0)-MATCH($G$1,[1]characters!$2:$2,0)+1),MATCH(I$1,[1]characters!$2:$2,0)-MATCH($G$1,[1]characters!$2:$2,0)+1,FALSE)</f>
        <v>PremiumW</v>
      </c>
      <c r="J151" s="10">
        <f ca="1">VLOOKUP($G151,OFFSET([1]characters!$A$2,0,0,COUNTA([1]characters!$A:$A),MATCH(J$1,[1]characters!$2:$2,0)-MATCH($G$1,[1]characters!$2:$2,0)+1),MATCH(J$1,[1]characters!$2:$2,0)-MATCH($G$1,[1]characters!$2:$2,0)+1,FALSE)</f>
        <v>4</v>
      </c>
      <c r="K151" s="10" t="str">
        <f ca="1">VLOOKUP($G151,OFFSET([1]characters!$A$2,0,0,COUNTA([1]characters!$A:$A),MATCH(K$1,[1]characters!$2:$2,0)-MATCH($G$1,[1]characters!$2:$2,0)+1),MATCH(K$1,[1]characters!$2:$2,0)-MATCH($G$1,[1]characters!$2:$2,0)+1,FALSE)</f>
        <v>green</v>
      </c>
      <c r="L151" s="10" t="str">
        <f ca="1">VLOOKUP($G151,OFFSET([1]characters!$A$2,0,0,COUNTA([1]characters!$A:$A),MATCH("タイプ",[1]characters!$1:$1,0)-MATCH($G$1,[1]characters!$2:$2,0)+2),MATCH("タイプ",[1]characters!$1:$1,0)-MATCH($G$1,[1]characters!$2:$2,0)+2,FALSE)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51" s="10" t="str">
        <f ca="1">VLOOKUP($G151,OFFSET([1]characters!$A$2,0,0,COUNTA([1]characters!$A:$A),MATCH($M$1,[1]characters!$1:$1,0)-MATCH($G$1,[1]characters!$2:$2,0)+2),MATCH($M$1,[1]characters!$1:$1,0)-MATCH($G$1,[1]characters!$2:$2,0)+2,FALSE)</f>
        <v>ヒューマン</v>
      </c>
      <c r="N151" s="6">
        <v>1</v>
      </c>
      <c r="O151" s="43">
        <f ca="1">VLOOKUP(D151,gacha_114_base!A:K,11,FALSE)</f>
        <v>806</v>
      </c>
      <c r="P151" s="28">
        <v>0</v>
      </c>
      <c r="Q151" s="28">
        <v>0</v>
      </c>
      <c r="R151" s="28">
        <v>0</v>
      </c>
      <c r="S151" s="28">
        <v>0</v>
      </c>
      <c r="T151" s="28">
        <v>1</v>
      </c>
    </row>
    <row r="152" spans="1:20" ht="21" customHeight="1">
      <c r="A152" s="8" t="str">
        <f t="shared" si="4"/>
        <v>01391</v>
      </c>
      <c r="B152" s="2">
        <v>114</v>
      </c>
      <c r="C152" s="10" t="str">
        <f t="shared" ca="1" si="11"/>
        <v>0PremiumW4</v>
      </c>
      <c r="D152" s="10" t="str">
        <f t="shared" ca="1" si="12"/>
        <v>0PremiumW4</v>
      </c>
      <c r="E152" s="10" t="str">
        <f t="shared" si="13"/>
        <v/>
      </c>
      <c r="F152" s="6">
        <v>0</v>
      </c>
      <c r="G152" s="7">
        <v>139</v>
      </c>
      <c r="H152" s="10" t="str">
        <f ca="1">VLOOKUP($G152,OFFSET([1]characters!$A$2,0,0,COUNTA([1]characters!$A:$A),MATCH(H$1,[1]characters!$2:$2,0)-MATCH($G$1,[1]characters!$2:$2,0)+1),MATCH(H$1,[1]characters!$2:$2,0)-MATCH($G$1,[1]characters!$2:$2,0)+1,FALSE)</f>
        <v>蒼昇刃姫 トモエ</v>
      </c>
      <c r="I152" s="10" t="str">
        <f ca="1">VLOOKUP($G152,OFFSET([1]characters!$A$2,0,0,COUNTA([1]characters!$A:$A),MATCH(I$1,[1]characters!$2:$2,0)-MATCH($G$1,[1]characters!$2:$2,0)+1),MATCH(I$1,[1]characters!$2:$2,0)-MATCH($G$1,[1]characters!$2:$2,0)+1,FALSE)</f>
        <v>PremiumW</v>
      </c>
      <c r="J152" s="10">
        <f ca="1">VLOOKUP($G152,OFFSET([1]characters!$A$2,0,0,COUNTA([1]characters!$A:$A),MATCH(J$1,[1]characters!$2:$2,0)-MATCH($G$1,[1]characters!$2:$2,0)+1),MATCH(J$1,[1]characters!$2:$2,0)-MATCH($G$1,[1]characters!$2:$2,0)+1,FALSE)</f>
        <v>4</v>
      </c>
      <c r="K152" s="10" t="str">
        <f ca="1">VLOOKUP($G152,OFFSET([1]characters!$A$2,0,0,COUNTA([1]characters!$A:$A),MATCH(K$1,[1]characters!$2:$2,0)-MATCH($G$1,[1]characters!$2:$2,0)+1),MATCH(K$1,[1]characters!$2:$2,0)-MATCH($G$1,[1]characters!$2:$2,0)+1,FALSE)</f>
        <v>blue</v>
      </c>
      <c r="L152" s="10" t="str">
        <f ca="1">VLOOKUP($G152,OFFSET([1]characters!$A$2,0,0,COUNTA([1]characters!$A:$A),MATCH("タイプ",[1]characters!$1:$1,0)-MATCH($G$1,[1]characters!$2:$2,0)+2),MATCH("タイプ",[1]characters!$1:$1,0)-MATCH($G$1,[1]characters!$2:$2,0)+2,FALSE)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52" s="10" t="str">
        <f ca="1">VLOOKUP($G152,OFFSET([1]characters!$A$2,0,0,COUNTA([1]characters!$A:$A),MATCH($M$1,[1]characters!$1:$1,0)-MATCH($G$1,[1]characters!$2:$2,0)+2),MATCH($M$1,[1]characters!$1:$1,0)-MATCH($G$1,[1]characters!$2:$2,0)+2,FALSE)</f>
        <v>ヒューマン</v>
      </c>
      <c r="N152" s="6">
        <v>1</v>
      </c>
      <c r="O152" s="43">
        <f ca="1">VLOOKUP(D152,gacha_114_base!A:K,11,FALSE)</f>
        <v>806</v>
      </c>
      <c r="P152" s="28">
        <v>0</v>
      </c>
      <c r="Q152" s="28">
        <v>0</v>
      </c>
      <c r="R152" s="28">
        <v>0</v>
      </c>
      <c r="S152" s="28">
        <v>0</v>
      </c>
      <c r="T152" s="28">
        <v>1</v>
      </c>
    </row>
    <row r="153" spans="1:20" ht="21" customHeight="1">
      <c r="A153" s="8" t="str">
        <f t="shared" si="4"/>
        <v>01411</v>
      </c>
      <c r="B153" s="2">
        <v>114</v>
      </c>
      <c r="C153" s="10" t="str">
        <f t="shared" ca="1" si="11"/>
        <v>0PremiumW4</v>
      </c>
      <c r="D153" s="10" t="str">
        <f t="shared" ca="1" si="12"/>
        <v>0PremiumW4</v>
      </c>
      <c r="E153" s="10" t="str">
        <f t="shared" si="13"/>
        <v/>
      </c>
      <c r="F153" s="6">
        <v>0</v>
      </c>
      <c r="G153" s="7">
        <v>141</v>
      </c>
      <c r="H153" s="10" t="str">
        <f ca="1">VLOOKUP($G153,OFFSET([1]characters!$A$2,0,0,COUNTA([1]characters!$A:$A),MATCH(H$1,[1]characters!$2:$2,0)-MATCH($G$1,[1]characters!$2:$2,0)+1),MATCH(H$1,[1]characters!$2:$2,0)-MATCH($G$1,[1]characters!$2:$2,0)+1,FALSE)</f>
        <v>妖狐演舞 タマモ</v>
      </c>
      <c r="I153" s="10" t="str">
        <f ca="1">VLOOKUP($G153,OFFSET([1]characters!$A$2,0,0,COUNTA([1]characters!$A:$A),MATCH(I$1,[1]characters!$2:$2,0)-MATCH($G$1,[1]characters!$2:$2,0)+1),MATCH(I$1,[1]characters!$2:$2,0)-MATCH($G$1,[1]characters!$2:$2,0)+1,FALSE)</f>
        <v>PremiumW</v>
      </c>
      <c r="J153" s="10">
        <f ca="1">VLOOKUP($G153,OFFSET([1]characters!$A$2,0,0,COUNTA([1]characters!$A:$A),MATCH(J$1,[1]characters!$2:$2,0)-MATCH($G$1,[1]characters!$2:$2,0)+1),MATCH(J$1,[1]characters!$2:$2,0)-MATCH($G$1,[1]characters!$2:$2,0)+1,FALSE)</f>
        <v>4</v>
      </c>
      <c r="K153" s="10" t="str">
        <f ca="1">VLOOKUP($G153,OFFSET([1]characters!$A$2,0,0,COUNTA([1]characters!$A:$A),MATCH(K$1,[1]characters!$2:$2,0)-MATCH($G$1,[1]characters!$2:$2,0)+1),MATCH(K$1,[1]characters!$2:$2,0)-MATCH($G$1,[1]characters!$2:$2,0)+1,FALSE)</f>
        <v>yellow</v>
      </c>
      <c r="L153" s="10" t="str">
        <f ca="1">VLOOKUP($G153,OFFSET([1]characters!$A$2,0,0,COUNTA([1]characters!$A:$A),MATCH("タイプ",[1]characters!$1:$1,0)-MATCH($G$1,[1]characters!$2:$2,0)+2),MATCH("タイプ",[1]characters!$1:$1,0)-MATCH($G$1,[1]characters!$2:$2,0)+2,FALSE)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53" s="10" t="str">
        <f ca="1">VLOOKUP($G153,OFFSET([1]characters!$A$2,0,0,COUNTA([1]characters!$A:$A),MATCH($M$1,[1]characters!$1:$1,0)-MATCH($G$1,[1]characters!$2:$2,0)+2),MATCH($M$1,[1]characters!$1:$1,0)-MATCH($G$1,[1]characters!$2:$2,0)+2,FALSE)</f>
        <v>アニマル</v>
      </c>
      <c r="N153" s="6">
        <v>1</v>
      </c>
      <c r="O153" s="43">
        <f ca="1">VLOOKUP(D153,gacha_114_base!A:K,11,FALSE)</f>
        <v>806</v>
      </c>
      <c r="P153" s="28">
        <v>0</v>
      </c>
      <c r="Q153" s="28">
        <v>0</v>
      </c>
      <c r="R153" s="28">
        <v>0</v>
      </c>
      <c r="S153" s="28">
        <v>0</v>
      </c>
      <c r="T153" s="28">
        <v>1</v>
      </c>
    </row>
    <row r="154" spans="1:20" ht="21" customHeight="1">
      <c r="A154" s="8" t="str">
        <f t="shared" si="4"/>
        <v>01431</v>
      </c>
      <c r="B154" s="2">
        <v>114</v>
      </c>
      <c r="C154" s="10" t="str">
        <f t="shared" ca="1" si="11"/>
        <v>0PremiumW4</v>
      </c>
      <c r="D154" s="10" t="str">
        <f t="shared" ca="1" si="12"/>
        <v>0PremiumW4</v>
      </c>
      <c r="E154" s="10" t="str">
        <f t="shared" si="13"/>
        <v/>
      </c>
      <c r="F154" s="6">
        <v>0</v>
      </c>
      <c r="G154" s="7">
        <v>143</v>
      </c>
      <c r="H154" s="10" t="str">
        <f ca="1">VLOOKUP($G154,OFFSET([1]characters!$A$2,0,0,COUNTA([1]characters!$A:$A),MATCH(H$1,[1]characters!$2:$2,0)-MATCH($G$1,[1]characters!$2:$2,0)+1),MATCH(H$1,[1]characters!$2:$2,0)-MATCH($G$1,[1]characters!$2:$2,0)+1,FALSE)</f>
        <v>深紅の死神 赤ずきん</v>
      </c>
      <c r="I154" s="10" t="str">
        <f ca="1">VLOOKUP($G154,OFFSET([1]characters!$A$2,0,0,COUNTA([1]characters!$A:$A),MATCH(I$1,[1]characters!$2:$2,0)-MATCH($G$1,[1]characters!$2:$2,0)+1),MATCH(I$1,[1]characters!$2:$2,0)-MATCH($G$1,[1]characters!$2:$2,0)+1,FALSE)</f>
        <v>PremiumW</v>
      </c>
      <c r="J154" s="10">
        <f ca="1">VLOOKUP($G154,OFFSET([1]characters!$A$2,0,0,COUNTA([1]characters!$A:$A),MATCH(J$1,[1]characters!$2:$2,0)-MATCH($G$1,[1]characters!$2:$2,0)+1),MATCH(J$1,[1]characters!$2:$2,0)-MATCH($G$1,[1]characters!$2:$2,0)+1,FALSE)</f>
        <v>4</v>
      </c>
      <c r="K154" s="10" t="str">
        <f ca="1">VLOOKUP($G154,OFFSET([1]characters!$A$2,0,0,COUNTA([1]characters!$A:$A),MATCH(K$1,[1]characters!$2:$2,0)-MATCH($G$1,[1]characters!$2:$2,0)+1),MATCH(K$1,[1]characters!$2:$2,0)-MATCH($G$1,[1]characters!$2:$2,0)+1,FALSE)</f>
        <v>red</v>
      </c>
      <c r="L154" s="10" t="str">
        <f ca="1">VLOOKUP($G154,OFFSET([1]characters!$A$2,0,0,COUNTA([1]characters!$A:$A),MATCH("タイプ",[1]characters!$1:$1,0)-MATCH($G$1,[1]characters!$2:$2,0)+2),MATCH("タイプ",[1]characters!$1:$1,0)-MATCH($G$1,[1]characters!$2:$2,0)+2,FALSE)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54" s="10" t="str">
        <f ca="1">VLOOKUP($G154,OFFSET([1]characters!$A$2,0,0,COUNTA([1]characters!$A:$A),MATCH($M$1,[1]characters!$1:$1,0)-MATCH($G$1,[1]characters!$2:$2,0)+2),MATCH($M$1,[1]characters!$1:$1,0)-MATCH($G$1,[1]characters!$2:$2,0)+2,FALSE)</f>
        <v>ヒューマン</v>
      </c>
      <c r="N154" s="6">
        <v>1</v>
      </c>
      <c r="O154" s="43">
        <f ca="1">VLOOKUP(D154,gacha_114_base!A:K,11,FALSE)</f>
        <v>806</v>
      </c>
      <c r="P154" s="28">
        <v>0</v>
      </c>
      <c r="Q154" s="28">
        <v>0</v>
      </c>
      <c r="R154" s="28">
        <v>0</v>
      </c>
      <c r="S154" s="28">
        <v>0</v>
      </c>
      <c r="T154" s="28">
        <v>1</v>
      </c>
    </row>
    <row r="155" spans="1:20" ht="21" customHeight="1">
      <c r="A155" s="8" t="str">
        <f t="shared" ref="A155:A218" si="14">F155&amp;G155&amp;N155</f>
        <v>01451</v>
      </c>
      <c r="B155" s="2">
        <v>114</v>
      </c>
      <c r="C155" s="10" t="str">
        <f t="shared" ca="1" si="11"/>
        <v>0PremiumW4</v>
      </c>
      <c r="D155" s="10" t="str">
        <f t="shared" ca="1" si="12"/>
        <v>0PremiumW4</v>
      </c>
      <c r="E155" s="10" t="str">
        <f t="shared" si="13"/>
        <v/>
      </c>
      <c r="F155" s="6">
        <v>0</v>
      </c>
      <c r="G155" s="7">
        <v>145</v>
      </c>
      <c r="H155" s="10" t="str">
        <f ca="1">VLOOKUP($G155,OFFSET([1]characters!$A$2,0,0,COUNTA([1]characters!$A:$A),MATCH(H$1,[1]characters!$2:$2,0)-MATCH($G$1,[1]characters!$2:$2,0)+1),MATCH(H$1,[1]characters!$2:$2,0)-MATCH($G$1,[1]characters!$2:$2,0)+1,FALSE)</f>
        <v>魔性妖艶 かぐや</v>
      </c>
      <c r="I155" s="10" t="str">
        <f ca="1">VLOOKUP($G155,OFFSET([1]characters!$A$2,0,0,COUNTA([1]characters!$A:$A),MATCH(I$1,[1]characters!$2:$2,0)-MATCH($G$1,[1]characters!$2:$2,0)+1),MATCH(I$1,[1]characters!$2:$2,0)-MATCH($G$1,[1]characters!$2:$2,0)+1,FALSE)</f>
        <v>PremiumW</v>
      </c>
      <c r="J155" s="10">
        <f ca="1">VLOOKUP($G155,OFFSET([1]characters!$A$2,0,0,COUNTA([1]characters!$A:$A),MATCH(J$1,[1]characters!$2:$2,0)-MATCH($G$1,[1]characters!$2:$2,0)+1),MATCH(J$1,[1]characters!$2:$2,0)-MATCH($G$1,[1]characters!$2:$2,0)+1,FALSE)</f>
        <v>4</v>
      </c>
      <c r="K155" s="10" t="str">
        <f ca="1">VLOOKUP($G155,OFFSET([1]characters!$A$2,0,0,COUNTA([1]characters!$A:$A),MATCH(K$1,[1]characters!$2:$2,0)-MATCH($G$1,[1]characters!$2:$2,0)+1),MATCH(K$1,[1]characters!$2:$2,0)-MATCH($G$1,[1]characters!$2:$2,0)+1,FALSE)</f>
        <v>green</v>
      </c>
      <c r="L155" s="10" t="str">
        <f ca="1">VLOOKUP($G155,OFFSET([1]characters!$A$2,0,0,COUNTA([1]characters!$A:$A),MATCH("タイプ",[1]characters!$1:$1,0)-MATCH($G$1,[1]characters!$2:$2,0)+2),MATCH("タイプ",[1]characters!$1:$1,0)-MATCH($G$1,[1]characters!$2:$2,0)+2,FALSE)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55" s="10" t="str">
        <f ca="1">VLOOKUP($G155,OFFSET([1]characters!$A$2,0,0,COUNTA([1]characters!$A:$A),MATCH($M$1,[1]characters!$1:$1,0)-MATCH($G$1,[1]characters!$2:$2,0)+2),MATCH($M$1,[1]characters!$1:$1,0)-MATCH($G$1,[1]characters!$2:$2,0)+2,FALSE)</f>
        <v>ヒューマン</v>
      </c>
      <c r="N155" s="6">
        <v>1</v>
      </c>
      <c r="O155" s="43">
        <f ca="1">VLOOKUP(D155,gacha_114_base!A:K,11,FALSE)</f>
        <v>806</v>
      </c>
      <c r="P155" s="28">
        <v>0</v>
      </c>
      <c r="Q155" s="28">
        <v>0</v>
      </c>
      <c r="R155" s="28">
        <v>0</v>
      </c>
      <c r="S155" s="28">
        <v>0</v>
      </c>
      <c r="T155" s="28">
        <v>1</v>
      </c>
    </row>
    <row r="156" spans="1:20" ht="21" customHeight="1">
      <c r="A156" s="8" t="str">
        <f t="shared" si="14"/>
        <v>01471</v>
      </c>
      <c r="B156" s="2">
        <v>114</v>
      </c>
      <c r="C156" s="10" t="str">
        <f t="shared" ca="1" si="11"/>
        <v>0PremiumW4</v>
      </c>
      <c r="D156" s="10" t="str">
        <f t="shared" ca="1" si="12"/>
        <v>0PremiumW4</v>
      </c>
      <c r="E156" s="10" t="str">
        <f t="shared" si="13"/>
        <v/>
      </c>
      <c r="F156" s="6">
        <v>0</v>
      </c>
      <c r="G156" s="7">
        <v>147</v>
      </c>
      <c r="H156" s="10" t="str">
        <f ca="1">VLOOKUP($G156,OFFSET([1]characters!$A$2,0,0,COUNTA([1]characters!$A:$A),MATCH(H$1,[1]characters!$2:$2,0)-MATCH($G$1,[1]characters!$2:$2,0)+1),MATCH(H$1,[1]characters!$2:$2,0)-MATCH($G$1,[1]characters!$2:$2,0)+1,FALSE)</f>
        <v>蒼き閃光 元マーメイド</v>
      </c>
      <c r="I156" s="10" t="str">
        <f ca="1">VLOOKUP($G156,OFFSET([1]characters!$A$2,0,0,COUNTA([1]characters!$A:$A),MATCH(I$1,[1]characters!$2:$2,0)-MATCH($G$1,[1]characters!$2:$2,0)+1),MATCH(I$1,[1]characters!$2:$2,0)-MATCH($G$1,[1]characters!$2:$2,0)+1,FALSE)</f>
        <v>PremiumW</v>
      </c>
      <c r="J156" s="10">
        <f ca="1">VLOOKUP($G156,OFFSET([1]characters!$A$2,0,0,COUNTA([1]characters!$A:$A),MATCH(J$1,[1]characters!$2:$2,0)-MATCH($G$1,[1]characters!$2:$2,0)+1),MATCH(J$1,[1]characters!$2:$2,0)-MATCH($G$1,[1]characters!$2:$2,0)+1,FALSE)</f>
        <v>4</v>
      </c>
      <c r="K156" s="10" t="str">
        <f ca="1">VLOOKUP($G156,OFFSET([1]characters!$A$2,0,0,COUNTA([1]characters!$A:$A),MATCH(K$1,[1]characters!$2:$2,0)-MATCH($G$1,[1]characters!$2:$2,0)+1),MATCH(K$1,[1]characters!$2:$2,0)-MATCH($G$1,[1]characters!$2:$2,0)+1,FALSE)</f>
        <v>blue</v>
      </c>
      <c r="L156" s="10" t="str">
        <f ca="1">VLOOKUP($G156,OFFSET([1]characters!$A$2,0,0,COUNTA([1]characters!$A:$A),MATCH("タイプ",[1]characters!$1:$1,0)-MATCH($G$1,[1]characters!$2:$2,0)+2),MATCH("タイプ",[1]characters!$1:$1,0)-MATCH($G$1,[1]characters!$2:$2,0)+2,FALSE)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56" s="10" t="str">
        <f ca="1">VLOOKUP($G156,OFFSET([1]characters!$A$2,0,0,COUNTA([1]characters!$A:$A),MATCH($M$1,[1]characters!$1:$1,0)-MATCH($G$1,[1]characters!$2:$2,0)+2),MATCH($M$1,[1]characters!$1:$1,0)-MATCH($G$1,[1]characters!$2:$2,0)+2,FALSE)</f>
        <v>ヒューマン</v>
      </c>
      <c r="N156" s="6">
        <v>1</v>
      </c>
      <c r="O156" s="43">
        <f ca="1">VLOOKUP(D156,gacha_114_base!A:K,11,FALSE)</f>
        <v>806</v>
      </c>
      <c r="P156" s="28">
        <v>0</v>
      </c>
      <c r="Q156" s="28">
        <v>0</v>
      </c>
      <c r="R156" s="28">
        <v>0</v>
      </c>
      <c r="S156" s="28">
        <v>0</v>
      </c>
      <c r="T156" s="28">
        <v>1</v>
      </c>
    </row>
    <row r="157" spans="1:20" ht="21" customHeight="1">
      <c r="A157" s="8" t="str">
        <f t="shared" si="14"/>
        <v>01491</v>
      </c>
      <c r="B157" s="2">
        <v>114</v>
      </c>
      <c r="C157" s="10" t="str">
        <f t="shared" ca="1" si="11"/>
        <v>0PremiumW4</v>
      </c>
      <c r="D157" s="10" t="str">
        <f t="shared" ca="1" si="12"/>
        <v>0PremiumW4</v>
      </c>
      <c r="E157" s="10" t="str">
        <f t="shared" si="13"/>
        <v/>
      </c>
      <c r="F157" s="6">
        <v>0</v>
      </c>
      <c r="G157" s="7">
        <v>149</v>
      </c>
      <c r="H157" s="10" t="str">
        <f ca="1">VLOOKUP($G157,OFFSET([1]characters!$A$2,0,0,COUNTA([1]characters!$A:$A),MATCH(H$1,[1]characters!$2:$2,0)-MATCH($G$1,[1]characters!$2:$2,0)+1),MATCH(H$1,[1]characters!$2:$2,0)-MATCH($G$1,[1]characters!$2:$2,0)+1,FALSE)</f>
        <v>雷撃蹴技を極めし者 シンデレラ</v>
      </c>
      <c r="I157" s="10" t="str">
        <f ca="1">VLOOKUP($G157,OFFSET([1]characters!$A$2,0,0,COUNTA([1]characters!$A:$A),MATCH(I$1,[1]characters!$2:$2,0)-MATCH($G$1,[1]characters!$2:$2,0)+1),MATCH(I$1,[1]characters!$2:$2,0)-MATCH($G$1,[1]characters!$2:$2,0)+1,FALSE)</f>
        <v>PremiumW</v>
      </c>
      <c r="J157" s="10">
        <f ca="1">VLOOKUP($G157,OFFSET([1]characters!$A$2,0,0,COUNTA([1]characters!$A:$A),MATCH(J$1,[1]characters!$2:$2,0)-MATCH($G$1,[1]characters!$2:$2,0)+1),MATCH(J$1,[1]characters!$2:$2,0)-MATCH($G$1,[1]characters!$2:$2,0)+1,FALSE)</f>
        <v>4</v>
      </c>
      <c r="K157" s="10" t="str">
        <f ca="1">VLOOKUP($G157,OFFSET([1]characters!$A$2,0,0,COUNTA([1]characters!$A:$A),MATCH(K$1,[1]characters!$2:$2,0)-MATCH($G$1,[1]characters!$2:$2,0)+1),MATCH(K$1,[1]characters!$2:$2,0)-MATCH($G$1,[1]characters!$2:$2,0)+1,FALSE)</f>
        <v>yellow</v>
      </c>
      <c r="L157" s="10" t="str">
        <f ca="1">VLOOKUP($G157,OFFSET([1]characters!$A$2,0,0,COUNTA([1]characters!$A:$A),MATCH("タイプ",[1]characters!$1:$1,0)-MATCH($G$1,[1]characters!$2:$2,0)+2),MATCH("タイプ",[1]characters!$1:$1,0)-MATCH($G$1,[1]characters!$2:$2,0)+2,FALSE)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57" s="10" t="str">
        <f ca="1">VLOOKUP($G157,OFFSET([1]characters!$A$2,0,0,COUNTA([1]characters!$A:$A),MATCH($M$1,[1]characters!$1:$1,0)-MATCH($G$1,[1]characters!$2:$2,0)+2),MATCH($M$1,[1]characters!$1:$1,0)-MATCH($G$1,[1]characters!$2:$2,0)+2,FALSE)</f>
        <v>ヒューマン</v>
      </c>
      <c r="N157" s="6">
        <v>1</v>
      </c>
      <c r="O157" s="43">
        <f ca="1">VLOOKUP(D157,gacha_114_base!A:K,11,FALSE)</f>
        <v>806</v>
      </c>
      <c r="P157" s="28">
        <v>0</v>
      </c>
      <c r="Q157" s="28">
        <v>0</v>
      </c>
      <c r="R157" s="28">
        <v>0</v>
      </c>
      <c r="S157" s="28">
        <v>0</v>
      </c>
      <c r="T157" s="28">
        <v>1</v>
      </c>
    </row>
    <row r="158" spans="1:20" ht="21" customHeight="1">
      <c r="A158" s="8" t="str">
        <f t="shared" si="14"/>
        <v>01511</v>
      </c>
      <c r="B158" s="2">
        <v>114</v>
      </c>
      <c r="C158" s="10" t="str">
        <f t="shared" ca="1" si="11"/>
        <v>0PremiumW4</v>
      </c>
      <c r="D158" s="10" t="str">
        <f t="shared" ca="1" si="12"/>
        <v>0PremiumW4</v>
      </c>
      <c r="E158" s="10" t="str">
        <f t="shared" si="13"/>
        <v/>
      </c>
      <c r="F158" s="6">
        <v>0</v>
      </c>
      <c r="G158" s="7">
        <v>151</v>
      </c>
      <c r="H158" s="10" t="str">
        <f ca="1">VLOOKUP($G158,OFFSET([1]characters!$A$2,0,0,COUNTA([1]characters!$A:$A),MATCH(H$1,[1]characters!$2:$2,0)-MATCH($G$1,[1]characters!$2:$2,0)+1),MATCH(H$1,[1]characters!$2:$2,0)-MATCH($G$1,[1]characters!$2:$2,0)+1,FALSE)</f>
        <v>毒煙の処刑人サキ</v>
      </c>
      <c r="I158" s="10" t="str">
        <f ca="1">VLOOKUP($G158,OFFSET([1]characters!$A$2,0,0,COUNTA([1]characters!$A:$A),MATCH(I$1,[1]characters!$2:$2,0)-MATCH($G$1,[1]characters!$2:$2,0)+1),MATCH(I$1,[1]characters!$2:$2,0)-MATCH($G$1,[1]characters!$2:$2,0)+1,FALSE)</f>
        <v>PremiumW</v>
      </c>
      <c r="J158" s="10">
        <f ca="1">VLOOKUP($G158,OFFSET([1]characters!$A$2,0,0,COUNTA([1]characters!$A:$A),MATCH(J$1,[1]characters!$2:$2,0)-MATCH($G$1,[1]characters!$2:$2,0)+1),MATCH(J$1,[1]characters!$2:$2,0)-MATCH($G$1,[1]characters!$2:$2,0)+1,FALSE)</f>
        <v>4</v>
      </c>
      <c r="K158" s="10" t="str">
        <f ca="1">VLOOKUP($G158,OFFSET([1]characters!$A$2,0,0,COUNTA([1]characters!$A:$A),MATCH(K$1,[1]characters!$2:$2,0)-MATCH($G$1,[1]characters!$2:$2,0)+1),MATCH(K$1,[1]characters!$2:$2,0)-MATCH($G$1,[1]characters!$2:$2,0)+1,FALSE)</f>
        <v>red</v>
      </c>
      <c r="L158" s="10" t="str">
        <f ca="1">VLOOKUP($G158,OFFSET([1]characters!$A$2,0,0,COUNTA([1]characters!$A:$A),MATCH("タイプ",[1]characters!$1:$1,0)-MATCH($G$1,[1]characters!$2:$2,0)+2),MATCH("タイプ",[1]characters!$1:$1,0)-MATCH($G$1,[1]characters!$2:$2,0)+2,FALSE)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58" s="10" t="str">
        <f ca="1">VLOOKUP($G158,OFFSET([1]characters!$A$2,0,0,COUNTA([1]characters!$A:$A),MATCH($M$1,[1]characters!$1:$1,0)-MATCH($G$1,[1]characters!$2:$2,0)+2),MATCH($M$1,[1]characters!$1:$1,0)-MATCH($G$1,[1]characters!$2:$2,0)+2,FALSE)</f>
        <v>ヒューマン</v>
      </c>
      <c r="N158" s="6">
        <v>1</v>
      </c>
      <c r="O158" s="43">
        <f ca="1">VLOOKUP(D158,gacha_114_base!A:K,11,FALSE)</f>
        <v>806</v>
      </c>
      <c r="P158" s="28">
        <v>0</v>
      </c>
      <c r="Q158" s="28">
        <v>0</v>
      </c>
      <c r="R158" s="28">
        <v>0</v>
      </c>
      <c r="S158" s="28">
        <v>0</v>
      </c>
      <c r="T158" s="28">
        <v>1</v>
      </c>
    </row>
    <row r="159" spans="1:20" ht="21" customHeight="1">
      <c r="A159" s="8" t="str">
        <f t="shared" si="14"/>
        <v>01531</v>
      </c>
      <c r="B159" s="2">
        <v>114</v>
      </c>
      <c r="C159" s="10" t="str">
        <f t="shared" ca="1" si="11"/>
        <v>0PremiumW4</v>
      </c>
      <c r="D159" s="10" t="str">
        <f t="shared" ca="1" si="12"/>
        <v>0PremiumW4</v>
      </c>
      <c r="E159" s="10" t="str">
        <f t="shared" si="13"/>
        <v/>
      </c>
      <c r="F159" s="6">
        <v>0</v>
      </c>
      <c r="G159" s="7">
        <v>153</v>
      </c>
      <c r="H159" s="10" t="str">
        <f ca="1">VLOOKUP($G159,OFFSET([1]characters!$A$2,0,0,COUNTA([1]characters!$A:$A),MATCH(H$1,[1]characters!$2:$2,0)-MATCH($G$1,[1]characters!$2:$2,0)+1),MATCH(H$1,[1]characters!$2:$2,0)-MATCH($G$1,[1]characters!$2:$2,0)+1,FALSE)</f>
        <v>拳聖ランラン</v>
      </c>
      <c r="I159" s="10" t="str">
        <f ca="1">VLOOKUP($G159,OFFSET([1]characters!$A$2,0,0,COUNTA([1]characters!$A:$A),MATCH(I$1,[1]characters!$2:$2,0)-MATCH($G$1,[1]characters!$2:$2,0)+1),MATCH(I$1,[1]characters!$2:$2,0)-MATCH($G$1,[1]characters!$2:$2,0)+1,FALSE)</f>
        <v>PremiumW</v>
      </c>
      <c r="J159" s="10">
        <f ca="1">VLOOKUP($G159,OFFSET([1]characters!$A$2,0,0,COUNTA([1]characters!$A:$A),MATCH(J$1,[1]characters!$2:$2,0)-MATCH($G$1,[1]characters!$2:$2,0)+1),MATCH(J$1,[1]characters!$2:$2,0)-MATCH($G$1,[1]characters!$2:$2,0)+1,FALSE)</f>
        <v>4</v>
      </c>
      <c r="K159" s="10" t="str">
        <f ca="1">VLOOKUP($G159,OFFSET([1]characters!$A$2,0,0,COUNTA([1]characters!$A:$A),MATCH(K$1,[1]characters!$2:$2,0)-MATCH($G$1,[1]characters!$2:$2,0)+1),MATCH(K$1,[1]characters!$2:$2,0)-MATCH($G$1,[1]characters!$2:$2,0)+1,FALSE)</f>
        <v>green</v>
      </c>
      <c r="L159" s="10" t="str">
        <f ca="1">VLOOKUP($G159,OFFSET([1]characters!$A$2,0,0,COUNTA([1]characters!$A:$A),MATCH("タイプ",[1]characters!$1:$1,0)-MATCH($G$1,[1]characters!$2:$2,0)+2),MATCH("タイプ",[1]characters!$1:$1,0)-MATCH($G$1,[1]characters!$2:$2,0)+2,FALSE)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59" s="10" t="str">
        <f ca="1">VLOOKUP($G159,OFFSET([1]characters!$A$2,0,0,COUNTA([1]characters!$A:$A),MATCH($M$1,[1]characters!$1:$1,0)-MATCH($G$1,[1]characters!$2:$2,0)+2),MATCH($M$1,[1]characters!$1:$1,0)-MATCH($G$1,[1]characters!$2:$2,0)+2,FALSE)</f>
        <v>ヒューマン</v>
      </c>
      <c r="N159" s="6">
        <v>1</v>
      </c>
      <c r="O159" s="43">
        <f ca="1">VLOOKUP(D159,gacha_114_base!A:K,11,FALSE)</f>
        <v>806</v>
      </c>
      <c r="P159" s="28">
        <v>0</v>
      </c>
      <c r="Q159" s="28">
        <v>0</v>
      </c>
      <c r="R159" s="28">
        <v>0</v>
      </c>
      <c r="S159" s="28">
        <v>0</v>
      </c>
      <c r="T159" s="28">
        <v>1</v>
      </c>
    </row>
    <row r="160" spans="1:20" ht="21" customHeight="1">
      <c r="A160" s="8" t="str">
        <f t="shared" si="14"/>
        <v>01551</v>
      </c>
      <c r="B160" s="2">
        <v>114</v>
      </c>
      <c r="C160" s="10" t="str">
        <f t="shared" ca="1" si="11"/>
        <v>0PremiumW4</v>
      </c>
      <c r="D160" s="10" t="str">
        <f t="shared" ca="1" si="12"/>
        <v>0PremiumW4</v>
      </c>
      <c r="E160" s="10" t="str">
        <f t="shared" si="13"/>
        <v/>
      </c>
      <c r="F160" s="6">
        <v>0</v>
      </c>
      <c r="G160" s="7">
        <v>155</v>
      </c>
      <c r="H160" s="10" t="str">
        <f ca="1">VLOOKUP($G160,OFFSET([1]characters!$A$2,0,0,COUNTA([1]characters!$A:$A),MATCH(H$1,[1]characters!$2:$2,0)-MATCH($G$1,[1]characters!$2:$2,0)+1),MATCH(H$1,[1]characters!$2:$2,0)-MATCH($G$1,[1]characters!$2:$2,0)+1,FALSE)</f>
        <v>隻眼の掃除屋 ハンナ</v>
      </c>
      <c r="I160" s="10" t="str">
        <f ca="1">VLOOKUP($G160,OFFSET([1]characters!$A$2,0,0,COUNTA([1]characters!$A:$A),MATCH(I$1,[1]characters!$2:$2,0)-MATCH($G$1,[1]characters!$2:$2,0)+1),MATCH(I$1,[1]characters!$2:$2,0)-MATCH($G$1,[1]characters!$2:$2,0)+1,FALSE)</f>
        <v>PremiumW</v>
      </c>
      <c r="J160" s="10">
        <f ca="1">VLOOKUP($G160,OFFSET([1]characters!$A$2,0,0,COUNTA([1]characters!$A:$A),MATCH(J$1,[1]characters!$2:$2,0)-MATCH($G$1,[1]characters!$2:$2,0)+1),MATCH(J$1,[1]characters!$2:$2,0)-MATCH($G$1,[1]characters!$2:$2,0)+1,FALSE)</f>
        <v>4</v>
      </c>
      <c r="K160" s="10" t="str">
        <f ca="1">VLOOKUP($G160,OFFSET([1]characters!$A$2,0,0,COUNTA([1]characters!$A:$A),MATCH(K$1,[1]characters!$2:$2,0)-MATCH($G$1,[1]characters!$2:$2,0)+1),MATCH(K$1,[1]characters!$2:$2,0)-MATCH($G$1,[1]characters!$2:$2,0)+1,FALSE)</f>
        <v>blue</v>
      </c>
      <c r="L160" s="10" t="str">
        <f ca="1">VLOOKUP($G160,OFFSET([1]characters!$A$2,0,0,COUNTA([1]characters!$A:$A),MATCH("タイプ",[1]characters!$1:$1,0)-MATCH($G$1,[1]characters!$2:$2,0)+2),MATCH("タイプ",[1]characters!$1:$1,0)-MATCH($G$1,[1]characters!$2:$2,0)+2,FALSE)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60" s="10" t="str">
        <f ca="1">VLOOKUP($G160,OFFSET([1]characters!$A$2,0,0,COUNTA([1]characters!$A:$A),MATCH($M$1,[1]characters!$1:$1,0)-MATCH($G$1,[1]characters!$2:$2,0)+2),MATCH($M$1,[1]characters!$1:$1,0)-MATCH($G$1,[1]characters!$2:$2,0)+2,FALSE)</f>
        <v>ヒューマン</v>
      </c>
      <c r="N160" s="6">
        <v>1</v>
      </c>
      <c r="O160" s="43">
        <f ca="1">VLOOKUP(D160,gacha_114_base!A:K,11,FALSE)</f>
        <v>806</v>
      </c>
      <c r="P160" s="28">
        <v>0</v>
      </c>
      <c r="Q160" s="28">
        <v>0</v>
      </c>
      <c r="R160" s="28">
        <v>0</v>
      </c>
      <c r="S160" s="28">
        <v>0</v>
      </c>
      <c r="T160" s="28">
        <v>1</v>
      </c>
    </row>
    <row r="161" spans="1:20" ht="21" customHeight="1">
      <c r="A161" s="8" t="str">
        <f t="shared" si="14"/>
        <v>01571</v>
      </c>
      <c r="B161" s="2">
        <v>114</v>
      </c>
      <c r="C161" s="10" t="str">
        <f t="shared" ca="1" si="11"/>
        <v>0PremiumW4</v>
      </c>
      <c r="D161" s="10" t="str">
        <f t="shared" ca="1" si="12"/>
        <v>0PremiumW4</v>
      </c>
      <c r="E161" s="10" t="str">
        <f t="shared" si="13"/>
        <v/>
      </c>
      <c r="F161" s="6">
        <v>0</v>
      </c>
      <c r="G161" s="7">
        <v>157</v>
      </c>
      <c r="H161" s="10" t="str">
        <f ca="1">VLOOKUP($G161,OFFSET([1]characters!$A$2,0,0,COUNTA([1]characters!$A:$A),MATCH(H$1,[1]characters!$2:$2,0)-MATCH($G$1,[1]characters!$2:$2,0)+1),MATCH(H$1,[1]characters!$2:$2,0)-MATCH($G$1,[1]characters!$2:$2,0)+1,FALSE)</f>
        <v>雷光舞姫 エレナ</v>
      </c>
      <c r="I161" s="10" t="str">
        <f ca="1">VLOOKUP($G161,OFFSET([1]characters!$A$2,0,0,COUNTA([1]characters!$A:$A),MATCH(I$1,[1]characters!$2:$2,0)-MATCH($G$1,[1]characters!$2:$2,0)+1),MATCH(I$1,[1]characters!$2:$2,0)-MATCH($G$1,[1]characters!$2:$2,0)+1,FALSE)</f>
        <v>PremiumW</v>
      </c>
      <c r="J161" s="10">
        <f ca="1">VLOOKUP($G161,OFFSET([1]characters!$A$2,0,0,COUNTA([1]characters!$A:$A),MATCH(J$1,[1]characters!$2:$2,0)-MATCH($G$1,[1]characters!$2:$2,0)+1),MATCH(J$1,[1]characters!$2:$2,0)-MATCH($G$1,[1]characters!$2:$2,0)+1,FALSE)</f>
        <v>4</v>
      </c>
      <c r="K161" s="10" t="str">
        <f ca="1">VLOOKUP($G161,OFFSET([1]characters!$A$2,0,0,COUNTA([1]characters!$A:$A),MATCH(K$1,[1]characters!$2:$2,0)-MATCH($G$1,[1]characters!$2:$2,0)+1),MATCH(K$1,[1]characters!$2:$2,0)-MATCH($G$1,[1]characters!$2:$2,0)+1,FALSE)</f>
        <v>yellow</v>
      </c>
      <c r="L161" s="10" t="str">
        <f ca="1">VLOOKUP($G161,OFFSET([1]characters!$A$2,0,0,COUNTA([1]characters!$A:$A),MATCH("タイプ",[1]characters!$1:$1,0)-MATCH($G$1,[1]characters!$2:$2,0)+2),MATCH("タイプ",[1]characters!$1:$1,0)-MATCH($G$1,[1]characters!$2:$2,0)+2,FALSE)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61" s="10" t="str">
        <f ca="1">VLOOKUP($G161,OFFSET([1]characters!$A$2,0,0,COUNTA([1]characters!$A:$A),MATCH($M$1,[1]characters!$1:$1,0)-MATCH($G$1,[1]characters!$2:$2,0)+2),MATCH($M$1,[1]characters!$1:$1,0)-MATCH($G$1,[1]characters!$2:$2,0)+2,FALSE)</f>
        <v>ヒューマン</v>
      </c>
      <c r="N161" s="6">
        <v>1</v>
      </c>
      <c r="O161" s="43">
        <f ca="1">VLOOKUP(D161,gacha_114_base!A:K,11,FALSE)</f>
        <v>806</v>
      </c>
      <c r="P161" s="28">
        <v>0</v>
      </c>
      <c r="Q161" s="28">
        <v>0</v>
      </c>
      <c r="R161" s="28">
        <v>0</v>
      </c>
      <c r="S161" s="28">
        <v>0</v>
      </c>
      <c r="T161" s="28">
        <v>1</v>
      </c>
    </row>
    <row r="162" spans="1:20" ht="21" customHeight="1">
      <c r="A162" s="8" t="str">
        <f t="shared" si="14"/>
        <v>01591</v>
      </c>
      <c r="B162" s="2">
        <v>114</v>
      </c>
      <c r="C162" s="10" t="str">
        <f t="shared" ca="1" si="11"/>
        <v>0PremiumW4</v>
      </c>
      <c r="D162" s="10" t="str">
        <f t="shared" ca="1" si="12"/>
        <v>0PremiumW4</v>
      </c>
      <c r="E162" s="10" t="str">
        <f t="shared" si="13"/>
        <v/>
      </c>
      <c r="F162" s="6">
        <v>0</v>
      </c>
      <c r="G162" s="7">
        <v>159</v>
      </c>
      <c r="H162" s="10" t="str">
        <f ca="1">VLOOKUP($G162,OFFSET([1]characters!$A$2,0,0,COUNTA([1]characters!$A:$A),MATCH(H$1,[1]characters!$2:$2,0)-MATCH($G$1,[1]characters!$2:$2,0)+1),MATCH(H$1,[1]characters!$2:$2,0)-MATCH($G$1,[1]characters!$2:$2,0)+1,FALSE)</f>
        <v>邪を狩りし者 シャルロッテ</v>
      </c>
      <c r="I162" s="10" t="str">
        <f ca="1">VLOOKUP($G162,OFFSET([1]characters!$A$2,0,0,COUNTA([1]characters!$A:$A),MATCH(I$1,[1]characters!$2:$2,0)-MATCH($G$1,[1]characters!$2:$2,0)+1),MATCH(I$1,[1]characters!$2:$2,0)-MATCH($G$1,[1]characters!$2:$2,0)+1,FALSE)</f>
        <v>PremiumW</v>
      </c>
      <c r="J162" s="10">
        <f ca="1">VLOOKUP($G162,OFFSET([1]characters!$A$2,0,0,COUNTA([1]characters!$A:$A),MATCH(J$1,[1]characters!$2:$2,0)-MATCH($G$1,[1]characters!$2:$2,0)+1),MATCH(J$1,[1]characters!$2:$2,0)-MATCH($G$1,[1]characters!$2:$2,0)+1,FALSE)</f>
        <v>4</v>
      </c>
      <c r="K162" s="10" t="str">
        <f ca="1">VLOOKUP($G162,OFFSET([1]characters!$A$2,0,0,COUNTA([1]characters!$A:$A),MATCH(K$1,[1]characters!$2:$2,0)-MATCH($G$1,[1]characters!$2:$2,0)+1),MATCH(K$1,[1]characters!$2:$2,0)-MATCH($G$1,[1]characters!$2:$2,0)+1,FALSE)</f>
        <v>red</v>
      </c>
      <c r="L162" s="10" t="str">
        <f ca="1">VLOOKUP($G162,OFFSET([1]characters!$A$2,0,0,COUNTA([1]characters!$A:$A),MATCH("タイプ",[1]characters!$1:$1,0)-MATCH($G$1,[1]characters!$2:$2,0)+2),MATCH("タイプ",[1]characters!$1:$1,0)-MATCH($G$1,[1]characters!$2:$2,0)+2,FALSE)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62" s="10" t="str">
        <f ca="1">VLOOKUP($G162,OFFSET([1]characters!$A$2,0,0,COUNTA([1]characters!$A:$A),MATCH($M$1,[1]characters!$1:$1,0)-MATCH($G$1,[1]characters!$2:$2,0)+2),MATCH($M$1,[1]characters!$1:$1,0)-MATCH($G$1,[1]characters!$2:$2,0)+2,FALSE)</f>
        <v>ヒューマン</v>
      </c>
      <c r="N162" s="6">
        <v>1</v>
      </c>
      <c r="O162" s="43">
        <f ca="1">VLOOKUP(D162,gacha_114_base!A:K,11,FALSE)</f>
        <v>806</v>
      </c>
      <c r="P162" s="28">
        <v>0</v>
      </c>
      <c r="Q162" s="28">
        <v>0</v>
      </c>
      <c r="R162" s="28">
        <v>0</v>
      </c>
      <c r="S162" s="28">
        <v>0</v>
      </c>
      <c r="T162" s="28">
        <v>1</v>
      </c>
    </row>
    <row r="163" spans="1:20" ht="21" customHeight="1">
      <c r="A163" s="8" t="str">
        <f t="shared" si="14"/>
        <v>01611</v>
      </c>
      <c r="B163" s="2">
        <v>114</v>
      </c>
      <c r="C163" s="10" t="str">
        <f t="shared" ca="1" si="11"/>
        <v>0PremiumW4</v>
      </c>
      <c r="D163" s="10" t="str">
        <f t="shared" ca="1" si="12"/>
        <v>0PremiumW4</v>
      </c>
      <c r="E163" s="10" t="str">
        <f t="shared" si="13"/>
        <v/>
      </c>
      <c r="F163" s="6">
        <v>0</v>
      </c>
      <c r="G163" s="7">
        <v>161</v>
      </c>
      <c r="H163" s="10" t="str">
        <f ca="1">VLOOKUP($G163,OFFSET([1]characters!$A$2,0,0,COUNTA([1]characters!$A:$A),MATCH(H$1,[1]characters!$2:$2,0)-MATCH($G$1,[1]characters!$2:$2,0)+1),MATCH(H$1,[1]characters!$2:$2,0)-MATCH($G$1,[1]characters!$2:$2,0)+1,FALSE)</f>
        <v>咆哮の先導者 クリエ</v>
      </c>
      <c r="I163" s="10" t="str">
        <f ca="1">VLOOKUP($G163,OFFSET([1]characters!$A$2,0,0,COUNTA([1]characters!$A:$A),MATCH(I$1,[1]characters!$2:$2,0)-MATCH($G$1,[1]characters!$2:$2,0)+1),MATCH(I$1,[1]characters!$2:$2,0)-MATCH($G$1,[1]characters!$2:$2,0)+1,FALSE)</f>
        <v>PremiumW</v>
      </c>
      <c r="J163" s="10">
        <f ca="1">VLOOKUP($G163,OFFSET([1]characters!$A$2,0,0,COUNTA([1]characters!$A:$A),MATCH(J$1,[1]characters!$2:$2,0)-MATCH($G$1,[1]characters!$2:$2,0)+1),MATCH(J$1,[1]characters!$2:$2,0)-MATCH($G$1,[1]characters!$2:$2,0)+1,FALSE)</f>
        <v>4</v>
      </c>
      <c r="K163" s="10" t="str">
        <f ca="1">VLOOKUP($G163,OFFSET([1]characters!$A$2,0,0,COUNTA([1]characters!$A:$A),MATCH(K$1,[1]characters!$2:$2,0)-MATCH($G$1,[1]characters!$2:$2,0)+1),MATCH(K$1,[1]characters!$2:$2,0)-MATCH($G$1,[1]characters!$2:$2,0)+1,FALSE)</f>
        <v>green</v>
      </c>
      <c r="L163" s="10" t="str">
        <f ca="1">VLOOKUP($G163,OFFSET([1]characters!$A$2,0,0,COUNTA([1]characters!$A:$A),MATCH("タイプ",[1]characters!$1:$1,0)-MATCH($G$1,[1]characters!$2:$2,0)+2),MATCH("タイプ",[1]characters!$1:$1,0)-MATCH($G$1,[1]characters!$2:$2,0)+2,FALSE)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63" s="10" t="str">
        <f ca="1">VLOOKUP($G163,OFFSET([1]characters!$A$2,0,0,COUNTA([1]characters!$A:$A),MATCH($M$1,[1]characters!$1:$1,0)-MATCH($G$1,[1]characters!$2:$2,0)+2),MATCH($M$1,[1]characters!$1:$1,0)-MATCH($G$1,[1]characters!$2:$2,0)+2,FALSE)</f>
        <v>ヒューマン</v>
      </c>
      <c r="N163" s="6">
        <v>1</v>
      </c>
      <c r="O163" s="43">
        <f ca="1">VLOOKUP(D163,gacha_114_base!A:K,11,FALSE)</f>
        <v>806</v>
      </c>
      <c r="P163" s="28">
        <v>0</v>
      </c>
      <c r="Q163" s="28">
        <v>0</v>
      </c>
      <c r="R163" s="28">
        <v>0</v>
      </c>
      <c r="S163" s="28">
        <v>0</v>
      </c>
      <c r="T163" s="28">
        <v>1</v>
      </c>
    </row>
    <row r="164" spans="1:20" ht="21" customHeight="1">
      <c r="A164" s="8" t="str">
        <f t="shared" si="14"/>
        <v>01631</v>
      </c>
      <c r="B164" s="2">
        <v>114</v>
      </c>
      <c r="C164" s="10" t="str">
        <f t="shared" ca="1" si="11"/>
        <v>0PremiumW4</v>
      </c>
      <c r="D164" s="10" t="str">
        <f t="shared" ca="1" si="12"/>
        <v>0PremiumW4</v>
      </c>
      <c r="E164" s="10" t="str">
        <f t="shared" si="13"/>
        <v/>
      </c>
      <c r="F164" s="6">
        <v>0</v>
      </c>
      <c r="G164" s="7">
        <v>163</v>
      </c>
      <c r="H164" s="10" t="str">
        <f ca="1">VLOOKUP($G164,OFFSET([1]characters!$A$2,0,0,COUNTA([1]characters!$A:$A),MATCH(H$1,[1]characters!$2:$2,0)-MATCH($G$1,[1]characters!$2:$2,0)+1),MATCH(H$1,[1]characters!$2:$2,0)-MATCH($G$1,[1]characters!$2:$2,0)+1,FALSE)</f>
        <v>冷酷な狂嬢 クララ</v>
      </c>
      <c r="I164" s="10" t="str">
        <f ca="1">VLOOKUP($G164,OFFSET([1]characters!$A$2,0,0,COUNTA([1]characters!$A:$A),MATCH(I$1,[1]characters!$2:$2,0)-MATCH($G$1,[1]characters!$2:$2,0)+1),MATCH(I$1,[1]characters!$2:$2,0)-MATCH($G$1,[1]characters!$2:$2,0)+1,FALSE)</f>
        <v>PremiumW</v>
      </c>
      <c r="J164" s="10">
        <f ca="1">VLOOKUP($G164,OFFSET([1]characters!$A$2,0,0,COUNTA([1]characters!$A:$A),MATCH(J$1,[1]characters!$2:$2,0)-MATCH($G$1,[1]characters!$2:$2,0)+1),MATCH(J$1,[1]characters!$2:$2,0)-MATCH($G$1,[1]characters!$2:$2,0)+1,FALSE)</f>
        <v>4</v>
      </c>
      <c r="K164" s="10" t="str">
        <f ca="1">VLOOKUP($G164,OFFSET([1]characters!$A$2,0,0,COUNTA([1]characters!$A:$A),MATCH(K$1,[1]characters!$2:$2,0)-MATCH($G$1,[1]characters!$2:$2,0)+1),MATCH(K$1,[1]characters!$2:$2,0)-MATCH($G$1,[1]characters!$2:$2,0)+1,FALSE)</f>
        <v>blue</v>
      </c>
      <c r="L164" s="10" t="str">
        <f ca="1">VLOOKUP($G164,OFFSET([1]characters!$A$2,0,0,COUNTA([1]characters!$A:$A),MATCH("タイプ",[1]characters!$1:$1,0)-MATCH($G$1,[1]characters!$2:$2,0)+2),MATCH("タイプ",[1]characters!$1:$1,0)-MATCH($G$1,[1]characters!$2:$2,0)+2,FALSE)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64" s="10" t="str">
        <f ca="1">VLOOKUP($G164,OFFSET([1]characters!$A$2,0,0,COUNTA([1]characters!$A:$A),MATCH($M$1,[1]characters!$1:$1,0)-MATCH($G$1,[1]characters!$2:$2,0)+2),MATCH($M$1,[1]characters!$1:$1,0)-MATCH($G$1,[1]characters!$2:$2,0)+2,FALSE)</f>
        <v>ヒューマン</v>
      </c>
      <c r="N164" s="6">
        <v>1</v>
      </c>
      <c r="O164" s="43">
        <f ca="1">VLOOKUP(D164,gacha_114_base!A:K,11,FALSE)</f>
        <v>806</v>
      </c>
      <c r="P164" s="28">
        <v>0</v>
      </c>
      <c r="Q164" s="28">
        <v>0</v>
      </c>
      <c r="R164" s="28">
        <v>0</v>
      </c>
      <c r="S164" s="28">
        <v>0</v>
      </c>
      <c r="T164" s="28">
        <v>1</v>
      </c>
    </row>
    <row r="165" spans="1:20" ht="21" customHeight="1">
      <c r="A165" s="8" t="str">
        <f t="shared" si="14"/>
        <v>01651</v>
      </c>
      <c r="B165" s="2">
        <v>114</v>
      </c>
      <c r="C165" s="10" t="str">
        <f t="shared" ca="1" si="11"/>
        <v>0PremiumW4</v>
      </c>
      <c r="D165" s="10" t="str">
        <f t="shared" ca="1" si="12"/>
        <v>0PremiumW4</v>
      </c>
      <c r="E165" s="10" t="str">
        <f t="shared" si="13"/>
        <v/>
      </c>
      <c r="F165" s="6">
        <v>0</v>
      </c>
      <c r="G165" s="7">
        <v>165</v>
      </c>
      <c r="H165" s="10" t="str">
        <f ca="1">VLOOKUP($G165,OFFSET([1]characters!$A$2,0,0,COUNTA([1]characters!$A:$A),MATCH(H$1,[1]characters!$2:$2,0)-MATCH($G$1,[1]characters!$2:$2,0)+1),MATCH(H$1,[1]characters!$2:$2,0)-MATCH($G$1,[1]characters!$2:$2,0)+1,FALSE)</f>
        <v>イブとたったひとりのトモダチ</v>
      </c>
      <c r="I165" s="10" t="str">
        <f ca="1">VLOOKUP($G165,OFFSET([1]characters!$A$2,0,0,COUNTA([1]characters!$A:$A),MATCH(I$1,[1]characters!$2:$2,0)-MATCH($G$1,[1]characters!$2:$2,0)+1),MATCH(I$1,[1]characters!$2:$2,0)-MATCH($G$1,[1]characters!$2:$2,0)+1,FALSE)</f>
        <v>PremiumW</v>
      </c>
      <c r="J165" s="10">
        <f ca="1">VLOOKUP($G165,OFFSET([1]characters!$A$2,0,0,COUNTA([1]characters!$A:$A),MATCH(J$1,[1]characters!$2:$2,0)-MATCH($G$1,[1]characters!$2:$2,0)+1),MATCH(J$1,[1]characters!$2:$2,0)-MATCH($G$1,[1]characters!$2:$2,0)+1,FALSE)</f>
        <v>4</v>
      </c>
      <c r="K165" s="10" t="str">
        <f ca="1">VLOOKUP($G165,OFFSET([1]characters!$A$2,0,0,COUNTA([1]characters!$A:$A),MATCH(K$1,[1]characters!$2:$2,0)-MATCH($G$1,[1]characters!$2:$2,0)+1),MATCH(K$1,[1]characters!$2:$2,0)-MATCH($G$1,[1]characters!$2:$2,0)+1,FALSE)</f>
        <v>yellow</v>
      </c>
      <c r="L165" s="10" t="str">
        <f ca="1">VLOOKUP($G165,OFFSET([1]characters!$A$2,0,0,COUNTA([1]characters!$A:$A),MATCH("タイプ",[1]characters!$1:$1,0)-MATCH($G$1,[1]characters!$2:$2,0)+2),MATCH("タイプ",[1]characters!$1:$1,0)-MATCH($G$1,[1]characters!$2:$2,0)+2,FALSE)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65" s="10" t="str">
        <f ca="1">VLOOKUP($G165,OFFSET([1]characters!$A$2,0,0,COUNTA([1]characters!$A:$A),MATCH($M$1,[1]characters!$1:$1,0)-MATCH($G$1,[1]characters!$2:$2,0)+2),MATCH($M$1,[1]characters!$1:$1,0)-MATCH($G$1,[1]characters!$2:$2,0)+2,FALSE)</f>
        <v>ヒューマン</v>
      </c>
      <c r="N165" s="6">
        <v>1</v>
      </c>
      <c r="O165" s="43">
        <f ca="1">VLOOKUP(D165,gacha_114_base!A:K,11,FALSE)</f>
        <v>806</v>
      </c>
      <c r="P165" s="28">
        <v>0</v>
      </c>
      <c r="Q165" s="28">
        <v>0</v>
      </c>
      <c r="R165" s="28">
        <v>0</v>
      </c>
      <c r="S165" s="28">
        <v>0</v>
      </c>
      <c r="T165" s="28">
        <v>1</v>
      </c>
    </row>
    <row r="166" spans="1:20" ht="21" customHeight="1">
      <c r="A166" s="8" t="str">
        <f t="shared" si="14"/>
        <v>01671</v>
      </c>
      <c r="B166" s="2">
        <v>114</v>
      </c>
      <c r="C166" s="10" t="str">
        <f t="shared" ca="1" si="11"/>
        <v>0PremiumN4</v>
      </c>
      <c r="D166" s="10" t="str">
        <f t="shared" ca="1" si="12"/>
        <v>0PremiumN4</v>
      </c>
      <c r="E166" s="10" t="str">
        <f t="shared" si="13"/>
        <v/>
      </c>
      <c r="F166" s="6">
        <v>0</v>
      </c>
      <c r="G166" s="7">
        <v>167</v>
      </c>
      <c r="H166" s="10" t="str">
        <f ca="1">VLOOKUP($G166,OFFSET([1]characters!$A$2,0,0,COUNTA([1]characters!$A:$A),MATCH(H$1,[1]characters!$2:$2,0)-MATCH($G$1,[1]characters!$2:$2,0)+1),MATCH(H$1,[1]characters!$2:$2,0)-MATCH($G$1,[1]characters!$2:$2,0)+1,FALSE)</f>
        <v>逆徒 ベリアル</v>
      </c>
      <c r="I166" s="10" t="str">
        <f ca="1">VLOOKUP($G166,OFFSET([1]characters!$A$2,0,0,COUNTA([1]characters!$A:$A),MATCH(I$1,[1]characters!$2:$2,0)-MATCH($G$1,[1]characters!$2:$2,0)+1),MATCH(I$1,[1]characters!$2:$2,0)-MATCH($G$1,[1]characters!$2:$2,0)+1,FALSE)</f>
        <v>PremiumN</v>
      </c>
      <c r="J166" s="10">
        <f ca="1">VLOOKUP($G166,OFFSET([1]characters!$A$2,0,0,COUNTA([1]characters!$A:$A),MATCH(J$1,[1]characters!$2:$2,0)-MATCH($G$1,[1]characters!$2:$2,0)+1),MATCH(J$1,[1]characters!$2:$2,0)-MATCH($G$1,[1]characters!$2:$2,0)+1,FALSE)</f>
        <v>4</v>
      </c>
      <c r="K166" s="10" t="str">
        <f ca="1">VLOOKUP($G166,OFFSET([1]characters!$A$2,0,0,COUNTA([1]characters!$A:$A),MATCH(K$1,[1]characters!$2:$2,0)-MATCH($G$1,[1]characters!$2:$2,0)+1),MATCH(K$1,[1]characters!$2:$2,0)-MATCH($G$1,[1]characters!$2:$2,0)+1,FALSE)</f>
        <v>red</v>
      </c>
      <c r="L166" s="10" t="str">
        <f ca="1">VLOOKUP($G166,OFFSET([1]characters!$A$2,0,0,COUNTA([1]characters!$A:$A),MATCH("タイプ",[1]characters!$1:$1,0)-MATCH($G$1,[1]characters!$2:$2,0)+2),MATCH("タイプ",[1]characters!$1:$1,0)-MATCH($G$1,[1]characters!$2:$2,0)+2,FALSE)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66" s="10" t="str">
        <f ca="1">VLOOKUP($G166,OFFSET([1]characters!$A$2,0,0,COUNTA([1]characters!$A:$A),MATCH($M$1,[1]characters!$1:$1,0)-MATCH($G$1,[1]characters!$2:$2,0)+2),MATCH($M$1,[1]characters!$1:$1,0)-MATCH($G$1,[1]characters!$2:$2,0)+2,FALSE)</f>
        <v>ゴッド</v>
      </c>
      <c r="N166" s="6">
        <v>1</v>
      </c>
      <c r="O166" s="43">
        <f ca="1">VLOOKUP(D166,gacha_114_base!A:K,11,FALSE)</f>
        <v>715</v>
      </c>
      <c r="P166" s="28">
        <v>0</v>
      </c>
      <c r="Q166" s="28">
        <v>0</v>
      </c>
      <c r="R166" s="28">
        <v>0</v>
      </c>
      <c r="S166" s="28">
        <v>0</v>
      </c>
      <c r="T166" s="28">
        <v>1</v>
      </c>
    </row>
    <row r="167" spans="1:20" ht="21" customHeight="1">
      <c r="A167" s="8" t="str">
        <f t="shared" si="14"/>
        <v>01701</v>
      </c>
      <c r="B167" s="2">
        <v>114</v>
      </c>
      <c r="C167" s="10" t="str">
        <f t="shared" ca="1" si="11"/>
        <v>0PremiumN4</v>
      </c>
      <c r="D167" s="10" t="str">
        <f t="shared" ca="1" si="12"/>
        <v>0PremiumN4</v>
      </c>
      <c r="E167" s="10" t="str">
        <f t="shared" si="13"/>
        <v/>
      </c>
      <c r="F167" s="6">
        <v>0</v>
      </c>
      <c r="G167" s="7">
        <v>170</v>
      </c>
      <c r="H167" s="10" t="str">
        <f ca="1">VLOOKUP($G167,OFFSET([1]characters!$A$2,0,0,COUNTA([1]characters!$A:$A),MATCH(H$1,[1]characters!$2:$2,0)-MATCH($G$1,[1]characters!$2:$2,0)+1),MATCH(H$1,[1]characters!$2:$2,0)-MATCH($G$1,[1]characters!$2:$2,0)+1,FALSE)</f>
        <v>識徒 オセ</v>
      </c>
      <c r="I167" s="10" t="str">
        <f ca="1">VLOOKUP($G167,OFFSET([1]characters!$A$2,0,0,COUNTA([1]characters!$A:$A),MATCH(I$1,[1]characters!$2:$2,0)-MATCH($G$1,[1]characters!$2:$2,0)+1),MATCH(I$1,[1]characters!$2:$2,0)-MATCH($G$1,[1]characters!$2:$2,0)+1,FALSE)</f>
        <v>PremiumN</v>
      </c>
      <c r="J167" s="10">
        <f ca="1">VLOOKUP($G167,OFFSET([1]characters!$A$2,0,0,COUNTA([1]characters!$A:$A),MATCH(J$1,[1]characters!$2:$2,0)-MATCH($G$1,[1]characters!$2:$2,0)+1),MATCH(J$1,[1]characters!$2:$2,0)-MATCH($G$1,[1]characters!$2:$2,0)+1,FALSE)</f>
        <v>4</v>
      </c>
      <c r="K167" s="10" t="str">
        <f ca="1">VLOOKUP($G167,OFFSET([1]characters!$A$2,0,0,COUNTA([1]characters!$A:$A),MATCH(K$1,[1]characters!$2:$2,0)-MATCH($G$1,[1]characters!$2:$2,0)+1),MATCH(K$1,[1]characters!$2:$2,0)-MATCH($G$1,[1]characters!$2:$2,0)+1,FALSE)</f>
        <v>green</v>
      </c>
      <c r="L167" s="10" t="str">
        <f ca="1">VLOOKUP($G167,OFFSET([1]characters!$A$2,0,0,COUNTA([1]characters!$A:$A),MATCH("タイプ",[1]characters!$1:$1,0)-MATCH($G$1,[1]characters!$2:$2,0)+2),MATCH("タイプ",[1]characters!$1:$1,0)-MATCH($G$1,[1]characters!$2:$2,0)+2,FALSE)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67" s="10" t="str">
        <f ca="1">VLOOKUP($G167,OFFSET([1]characters!$A$2,0,0,COUNTA([1]characters!$A:$A),MATCH($M$1,[1]characters!$1:$1,0)-MATCH($G$1,[1]characters!$2:$2,0)+2),MATCH($M$1,[1]characters!$1:$1,0)-MATCH($G$1,[1]characters!$2:$2,0)+2,FALSE)</f>
        <v>ゴッド</v>
      </c>
      <c r="N167" s="6">
        <v>1</v>
      </c>
      <c r="O167" s="43">
        <f ca="1">VLOOKUP(D167,gacha_114_base!A:K,11,FALSE)</f>
        <v>715</v>
      </c>
      <c r="P167" s="28">
        <v>0</v>
      </c>
      <c r="Q167" s="28">
        <v>0</v>
      </c>
      <c r="R167" s="28">
        <v>0</v>
      </c>
      <c r="S167" s="28">
        <v>0</v>
      </c>
      <c r="T167" s="28">
        <v>1</v>
      </c>
    </row>
    <row r="168" spans="1:20" ht="21" customHeight="1">
      <c r="A168" s="8" t="str">
        <f t="shared" si="14"/>
        <v>01731</v>
      </c>
      <c r="B168" s="2">
        <v>114</v>
      </c>
      <c r="C168" s="10" t="str">
        <f t="shared" ca="1" si="11"/>
        <v>0PremiumN4</v>
      </c>
      <c r="D168" s="10" t="str">
        <f t="shared" ca="1" si="12"/>
        <v>0PremiumN4</v>
      </c>
      <c r="E168" s="10" t="str">
        <f t="shared" si="13"/>
        <v/>
      </c>
      <c r="F168" s="6">
        <v>0</v>
      </c>
      <c r="G168" s="7">
        <v>173</v>
      </c>
      <c r="H168" s="10" t="str">
        <f ca="1">VLOOKUP($G168,OFFSET([1]characters!$A$2,0,0,COUNTA([1]characters!$A:$A),MATCH(H$1,[1]characters!$2:$2,0)-MATCH($G$1,[1]characters!$2:$2,0)+1),MATCH(H$1,[1]characters!$2:$2,0)-MATCH($G$1,[1]characters!$2:$2,0)+1,FALSE)</f>
        <v>公爵 フォルネウス</v>
      </c>
      <c r="I168" s="10" t="str">
        <f ca="1">VLOOKUP($G168,OFFSET([1]characters!$A$2,0,0,COUNTA([1]characters!$A:$A),MATCH(I$1,[1]characters!$2:$2,0)-MATCH($G$1,[1]characters!$2:$2,0)+1),MATCH(I$1,[1]characters!$2:$2,0)-MATCH($G$1,[1]characters!$2:$2,0)+1,FALSE)</f>
        <v>PremiumN</v>
      </c>
      <c r="J168" s="10">
        <f ca="1">VLOOKUP($G168,OFFSET([1]characters!$A$2,0,0,COUNTA([1]characters!$A:$A),MATCH(J$1,[1]characters!$2:$2,0)-MATCH($G$1,[1]characters!$2:$2,0)+1),MATCH(J$1,[1]characters!$2:$2,0)-MATCH($G$1,[1]characters!$2:$2,0)+1,FALSE)</f>
        <v>4</v>
      </c>
      <c r="K168" s="10" t="str">
        <f ca="1">VLOOKUP($G168,OFFSET([1]characters!$A$2,0,0,COUNTA([1]characters!$A:$A),MATCH(K$1,[1]characters!$2:$2,0)-MATCH($G$1,[1]characters!$2:$2,0)+1),MATCH(K$1,[1]characters!$2:$2,0)-MATCH($G$1,[1]characters!$2:$2,0)+1,FALSE)</f>
        <v>blue</v>
      </c>
      <c r="L168" s="10" t="str">
        <f ca="1">VLOOKUP($G168,OFFSET([1]characters!$A$2,0,0,COUNTA([1]characters!$A:$A),MATCH("タイプ",[1]characters!$1:$1,0)-MATCH($G$1,[1]characters!$2:$2,0)+2),MATCH("タイプ",[1]characters!$1:$1,0)-MATCH($G$1,[1]characters!$2:$2,0)+2,FALSE)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68" s="10" t="str">
        <f ca="1">VLOOKUP($G168,OFFSET([1]characters!$A$2,0,0,COUNTA([1]characters!$A:$A),MATCH($M$1,[1]characters!$1:$1,0)-MATCH($G$1,[1]characters!$2:$2,0)+2),MATCH($M$1,[1]characters!$1:$1,0)-MATCH($G$1,[1]characters!$2:$2,0)+2,FALSE)</f>
        <v>ゴッド</v>
      </c>
      <c r="N168" s="6">
        <v>1</v>
      </c>
      <c r="O168" s="43">
        <f ca="1">VLOOKUP(D168,gacha_114_base!A:K,11,FALSE)</f>
        <v>715</v>
      </c>
      <c r="P168" s="28">
        <v>0</v>
      </c>
      <c r="Q168" s="28">
        <v>0</v>
      </c>
      <c r="R168" s="28">
        <v>0</v>
      </c>
      <c r="S168" s="28">
        <v>0</v>
      </c>
      <c r="T168" s="28">
        <v>1</v>
      </c>
    </row>
    <row r="169" spans="1:20" ht="21" customHeight="1">
      <c r="A169" s="8" t="str">
        <f t="shared" si="14"/>
        <v>01761</v>
      </c>
      <c r="B169" s="2">
        <v>114</v>
      </c>
      <c r="C169" s="10" t="str">
        <f t="shared" ca="1" si="11"/>
        <v>0PremiumN4</v>
      </c>
      <c r="D169" s="10" t="str">
        <f t="shared" ca="1" si="12"/>
        <v>0PremiumN4</v>
      </c>
      <c r="E169" s="10" t="str">
        <f t="shared" si="13"/>
        <v/>
      </c>
      <c r="F169" s="6">
        <v>0</v>
      </c>
      <c r="G169" s="7">
        <v>176</v>
      </c>
      <c r="H169" s="10" t="str">
        <f ca="1">VLOOKUP($G169,OFFSET([1]characters!$A$2,0,0,COUNTA([1]characters!$A:$A),MATCH(H$1,[1]characters!$2:$2,0)-MATCH($G$1,[1]characters!$2:$2,0)+1),MATCH(H$1,[1]characters!$2:$2,0)-MATCH($G$1,[1]characters!$2:$2,0)+1,FALSE)</f>
        <v>異教徒 バフォメット</v>
      </c>
      <c r="I169" s="10" t="str">
        <f ca="1">VLOOKUP($G169,OFFSET([1]characters!$A$2,0,0,COUNTA([1]characters!$A:$A),MATCH(I$1,[1]characters!$2:$2,0)-MATCH($G$1,[1]characters!$2:$2,0)+1),MATCH(I$1,[1]characters!$2:$2,0)-MATCH($G$1,[1]characters!$2:$2,0)+1,FALSE)</f>
        <v>PremiumN</v>
      </c>
      <c r="J169" s="10">
        <f ca="1">VLOOKUP($G169,OFFSET([1]characters!$A$2,0,0,COUNTA([1]characters!$A:$A),MATCH(J$1,[1]characters!$2:$2,0)-MATCH($G$1,[1]characters!$2:$2,0)+1),MATCH(J$1,[1]characters!$2:$2,0)-MATCH($G$1,[1]characters!$2:$2,0)+1,FALSE)</f>
        <v>4</v>
      </c>
      <c r="K169" s="10" t="str">
        <f ca="1">VLOOKUP($G169,OFFSET([1]characters!$A$2,0,0,COUNTA([1]characters!$A:$A),MATCH(K$1,[1]characters!$2:$2,0)-MATCH($G$1,[1]characters!$2:$2,0)+1),MATCH(K$1,[1]characters!$2:$2,0)-MATCH($G$1,[1]characters!$2:$2,0)+1,FALSE)</f>
        <v>yellow</v>
      </c>
      <c r="L169" s="10" t="str">
        <f ca="1">VLOOKUP($G169,OFFSET([1]characters!$A$2,0,0,COUNTA([1]characters!$A:$A),MATCH("タイプ",[1]characters!$1:$1,0)-MATCH($G$1,[1]characters!$2:$2,0)+2),MATCH("タイプ",[1]characters!$1:$1,0)-MATCH($G$1,[1]characters!$2:$2,0)+2,FALSE)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69" s="10" t="str">
        <f ca="1">VLOOKUP($G169,OFFSET([1]characters!$A$2,0,0,COUNTA([1]characters!$A:$A),MATCH($M$1,[1]characters!$1:$1,0)-MATCH($G$1,[1]characters!$2:$2,0)+2),MATCH($M$1,[1]characters!$1:$1,0)-MATCH($G$1,[1]characters!$2:$2,0)+2,FALSE)</f>
        <v>ゴッド</v>
      </c>
      <c r="N169" s="6">
        <v>1</v>
      </c>
      <c r="O169" s="43">
        <f ca="1">VLOOKUP(D169,gacha_114_base!A:K,11,FALSE)</f>
        <v>715</v>
      </c>
      <c r="P169" s="28">
        <v>0</v>
      </c>
      <c r="Q169" s="28">
        <v>0</v>
      </c>
      <c r="R169" s="28">
        <v>0</v>
      </c>
      <c r="S169" s="28">
        <v>0</v>
      </c>
      <c r="T169" s="28">
        <v>1</v>
      </c>
    </row>
    <row r="170" spans="1:20" ht="21" customHeight="1">
      <c r="A170" s="8" t="str">
        <f t="shared" si="14"/>
        <v>01791</v>
      </c>
      <c r="B170" s="2">
        <v>114</v>
      </c>
      <c r="C170" s="10" t="str">
        <f t="shared" ca="1" si="11"/>
        <v>0PremiumN4</v>
      </c>
      <c r="D170" s="10" t="str">
        <f t="shared" ca="1" si="12"/>
        <v>0PremiumN4</v>
      </c>
      <c r="E170" s="10" t="str">
        <f t="shared" si="13"/>
        <v/>
      </c>
      <c r="F170" s="6">
        <v>0</v>
      </c>
      <c r="G170" s="7">
        <v>179</v>
      </c>
      <c r="H170" s="10" t="str">
        <f ca="1">VLOOKUP($G170,OFFSET([1]characters!$A$2,0,0,COUNTA([1]characters!$A:$A),MATCH(H$1,[1]characters!$2:$2,0)-MATCH($G$1,[1]characters!$2:$2,0)+1),MATCH(H$1,[1]characters!$2:$2,0)-MATCH($G$1,[1]characters!$2:$2,0)+1,FALSE)</f>
        <v>番犬 ケルベロス</v>
      </c>
      <c r="I170" s="10" t="str">
        <f ca="1">VLOOKUP($G170,OFFSET([1]characters!$A$2,0,0,COUNTA([1]characters!$A:$A),MATCH(I$1,[1]characters!$2:$2,0)-MATCH($G$1,[1]characters!$2:$2,0)+1),MATCH(I$1,[1]characters!$2:$2,0)-MATCH($G$1,[1]characters!$2:$2,0)+1,FALSE)</f>
        <v>PremiumN</v>
      </c>
      <c r="J170" s="10">
        <f ca="1">VLOOKUP($G170,OFFSET([1]characters!$A$2,0,0,COUNTA([1]characters!$A:$A),MATCH(J$1,[1]characters!$2:$2,0)-MATCH($G$1,[1]characters!$2:$2,0)+1),MATCH(J$1,[1]characters!$2:$2,0)-MATCH($G$1,[1]characters!$2:$2,0)+1,FALSE)</f>
        <v>4</v>
      </c>
      <c r="K170" s="10" t="str">
        <f ca="1">VLOOKUP($G170,OFFSET([1]characters!$A$2,0,0,COUNTA([1]characters!$A:$A),MATCH(K$1,[1]characters!$2:$2,0)-MATCH($G$1,[1]characters!$2:$2,0)+1),MATCH(K$1,[1]characters!$2:$2,0)-MATCH($G$1,[1]characters!$2:$2,0)+1,FALSE)</f>
        <v>red</v>
      </c>
      <c r="L170" s="10" t="str">
        <f ca="1">VLOOKUP($G170,OFFSET([1]characters!$A$2,0,0,COUNTA([1]characters!$A:$A),MATCH("タイプ",[1]characters!$1:$1,0)-MATCH($G$1,[1]characters!$2:$2,0)+2),MATCH("タイプ",[1]characters!$1:$1,0)-MATCH($G$1,[1]characters!$2:$2,0)+2,FALSE)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70" s="10" t="str">
        <f ca="1">VLOOKUP($G170,OFFSET([1]characters!$A$2,0,0,COUNTA([1]characters!$A:$A),MATCH($M$1,[1]characters!$1:$1,0)-MATCH($G$1,[1]characters!$2:$2,0)+2),MATCH($M$1,[1]characters!$1:$1,0)-MATCH($G$1,[1]characters!$2:$2,0)+2,FALSE)</f>
        <v>アニマル</v>
      </c>
      <c r="N170" s="6">
        <v>1</v>
      </c>
      <c r="O170" s="43">
        <f ca="1">VLOOKUP(D170,gacha_114_base!A:K,11,FALSE)</f>
        <v>715</v>
      </c>
      <c r="P170" s="28">
        <v>0</v>
      </c>
      <c r="Q170" s="28">
        <v>0</v>
      </c>
      <c r="R170" s="28">
        <v>0</v>
      </c>
      <c r="S170" s="28">
        <v>0</v>
      </c>
      <c r="T170" s="28">
        <v>1</v>
      </c>
    </row>
    <row r="171" spans="1:20" ht="21" customHeight="1">
      <c r="A171" s="8" t="str">
        <f t="shared" si="14"/>
        <v>01821</v>
      </c>
      <c r="B171" s="2">
        <v>114</v>
      </c>
      <c r="C171" s="10" t="str">
        <f t="shared" ca="1" si="11"/>
        <v>0PremiumN4</v>
      </c>
      <c r="D171" s="10" t="str">
        <f t="shared" ca="1" si="12"/>
        <v>0PremiumN4</v>
      </c>
      <c r="E171" s="10" t="str">
        <f t="shared" si="13"/>
        <v/>
      </c>
      <c r="F171" s="6">
        <v>0</v>
      </c>
      <c r="G171" s="7">
        <v>182</v>
      </c>
      <c r="H171" s="10" t="str">
        <f ca="1">VLOOKUP($G171,OFFSET([1]characters!$A$2,0,0,COUNTA([1]characters!$A:$A),MATCH(H$1,[1]characters!$2:$2,0)-MATCH($G$1,[1]characters!$2:$2,0)+1),MATCH(H$1,[1]characters!$2:$2,0)-MATCH($G$1,[1]characters!$2:$2,0)+1,FALSE)</f>
        <v>放蕩者 ベヒモス</v>
      </c>
      <c r="I171" s="10" t="str">
        <f ca="1">VLOOKUP($G171,OFFSET([1]characters!$A$2,0,0,COUNTA([1]characters!$A:$A),MATCH(I$1,[1]characters!$2:$2,0)-MATCH($G$1,[1]characters!$2:$2,0)+1),MATCH(I$1,[1]characters!$2:$2,0)-MATCH($G$1,[1]characters!$2:$2,0)+1,FALSE)</f>
        <v>PremiumN</v>
      </c>
      <c r="J171" s="10">
        <f ca="1">VLOOKUP($G171,OFFSET([1]characters!$A$2,0,0,COUNTA([1]characters!$A:$A),MATCH(J$1,[1]characters!$2:$2,0)-MATCH($G$1,[1]characters!$2:$2,0)+1),MATCH(J$1,[1]characters!$2:$2,0)-MATCH($G$1,[1]characters!$2:$2,0)+1,FALSE)</f>
        <v>4</v>
      </c>
      <c r="K171" s="10" t="str">
        <f ca="1">VLOOKUP($G171,OFFSET([1]characters!$A$2,0,0,COUNTA([1]characters!$A:$A),MATCH(K$1,[1]characters!$2:$2,0)-MATCH($G$1,[1]characters!$2:$2,0)+1),MATCH(K$1,[1]characters!$2:$2,0)-MATCH($G$1,[1]characters!$2:$2,0)+1,FALSE)</f>
        <v>green</v>
      </c>
      <c r="L171" s="10" t="str">
        <f ca="1">VLOOKUP($G171,OFFSET([1]characters!$A$2,0,0,COUNTA([1]characters!$A:$A),MATCH("タイプ",[1]characters!$1:$1,0)-MATCH($G$1,[1]characters!$2:$2,0)+2),MATCH("タイプ",[1]characters!$1:$1,0)-MATCH($G$1,[1]characters!$2:$2,0)+2,FALSE)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71" s="10" t="str">
        <f ca="1">VLOOKUP($G171,OFFSET([1]characters!$A$2,0,0,COUNTA([1]characters!$A:$A),MATCH($M$1,[1]characters!$1:$1,0)-MATCH($G$1,[1]characters!$2:$2,0)+2),MATCH($M$1,[1]characters!$1:$1,0)-MATCH($G$1,[1]characters!$2:$2,0)+2,FALSE)</f>
        <v>アニマル</v>
      </c>
      <c r="N171" s="6">
        <v>1</v>
      </c>
      <c r="O171" s="43">
        <f ca="1">VLOOKUP(D171,gacha_114_base!A:K,11,FALSE)</f>
        <v>715</v>
      </c>
      <c r="P171" s="28">
        <v>0</v>
      </c>
      <c r="Q171" s="28">
        <v>0</v>
      </c>
      <c r="R171" s="28">
        <v>0</v>
      </c>
      <c r="S171" s="28">
        <v>0</v>
      </c>
      <c r="T171" s="28">
        <v>1</v>
      </c>
    </row>
    <row r="172" spans="1:20" ht="21" customHeight="1">
      <c r="A172" s="8" t="str">
        <f t="shared" si="14"/>
        <v>01851</v>
      </c>
      <c r="B172" s="2">
        <v>114</v>
      </c>
      <c r="C172" s="10" t="str">
        <f t="shared" ca="1" si="11"/>
        <v>0PremiumN4</v>
      </c>
      <c r="D172" s="10" t="str">
        <f t="shared" ca="1" si="12"/>
        <v>0PremiumN4</v>
      </c>
      <c r="E172" s="10" t="str">
        <f t="shared" si="13"/>
        <v/>
      </c>
      <c r="F172" s="6">
        <v>0</v>
      </c>
      <c r="G172" s="7">
        <v>185</v>
      </c>
      <c r="H172" s="10" t="str">
        <f ca="1">VLOOKUP($G172,OFFSET([1]characters!$A$2,0,0,COUNTA([1]characters!$A:$A),MATCH(H$1,[1]characters!$2:$2,0)-MATCH($G$1,[1]characters!$2:$2,0)+1),MATCH(H$1,[1]characters!$2:$2,0)-MATCH($G$1,[1]characters!$2:$2,0)+1,FALSE)</f>
        <v>海姫 クラーケン</v>
      </c>
      <c r="I172" s="10" t="str">
        <f ca="1">VLOOKUP($G172,OFFSET([1]characters!$A$2,0,0,COUNTA([1]characters!$A:$A),MATCH(I$1,[1]characters!$2:$2,0)-MATCH($G$1,[1]characters!$2:$2,0)+1),MATCH(I$1,[1]characters!$2:$2,0)-MATCH($G$1,[1]characters!$2:$2,0)+1,FALSE)</f>
        <v>PremiumN</v>
      </c>
      <c r="J172" s="10">
        <f ca="1">VLOOKUP($G172,OFFSET([1]characters!$A$2,0,0,COUNTA([1]characters!$A:$A),MATCH(J$1,[1]characters!$2:$2,0)-MATCH($G$1,[1]characters!$2:$2,0)+1),MATCH(J$1,[1]characters!$2:$2,0)-MATCH($G$1,[1]characters!$2:$2,0)+1,FALSE)</f>
        <v>4</v>
      </c>
      <c r="K172" s="10" t="str">
        <f ca="1">VLOOKUP($G172,OFFSET([1]characters!$A$2,0,0,COUNTA([1]characters!$A:$A),MATCH(K$1,[1]characters!$2:$2,0)-MATCH($G$1,[1]characters!$2:$2,0)+1),MATCH(K$1,[1]characters!$2:$2,0)-MATCH($G$1,[1]characters!$2:$2,0)+1,FALSE)</f>
        <v>blue</v>
      </c>
      <c r="L172" s="10" t="str">
        <f ca="1">VLOOKUP($G172,OFFSET([1]characters!$A$2,0,0,COUNTA([1]characters!$A:$A),MATCH("タイプ",[1]characters!$1:$1,0)-MATCH($G$1,[1]characters!$2:$2,0)+2),MATCH("タイプ",[1]characters!$1:$1,0)-MATCH($G$1,[1]characters!$2:$2,0)+2,FALSE)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72" s="10" t="str">
        <f ca="1">VLOOKUP($G172,OFFSET([1]characters!$A$2,0,0,COUNTA([1]characters!$A:$A),MATCH($M$1,[1]characters!$1:$1,0)-MATCH($G$1,[1]characters!$2:$2,0)+2),MATCH($M$1,[1]characters!$1:$1,0)-MATCH($G$1,[1]characters!$2:$2,0)+2,FALSE)</f>
        <v>アニマル</v>
      </c>
      <c r="N172" s="6">
        <v>1</v>
      </c>
      <c r="O172" s="43">
        <f ca="1">VLOOKUP(D172,gacha_114_base!A:K,11,FALSE)</f>
        <v>715</v>
      </c>
      <c r="P172" s="28">
        <v>0</v>
      </c>
      <c r="Q172" s="28">
        <v>0</v>
      </c>
      <c r="R172" s="28">
        <v>0</v>
      </c>
      <c r="S172" s="28">
        <v>0</v>
      </c>
      <c r="T172" s="28">
        <v>1</v>
      </c>
    </row>
    <row r="173" spans="1:20" ht="21" customHeight="1">
      <c r="A173" s="8" t="str">
        <f t="shared" si="14"/>
        <v>01881</v>
      </c>
      <c r="B173" s="2">
        <v>114</v>
      </c>
      <c r="C173" s="10" t="str">
        <f t="shared" ca="1" si="11"/>
        <v>0PremiumN4</v>
      </c>
      <c r="D173" s="10" t="str">
        <f t="shared" ca="1" si="12"/>
        <v>0PremiumN4</v>
      </c>
      <c r="E173" s="10" t="str">
        <f t="shared" si="13"/>
        <v/>
      </c>
      <c r="F173" s="6">
        <v>0</v>
      </c>
      <c r="G173" s="7">
        <v>188</v>
      </c>
      <c r="H173" s="10" t="str">
        <f ca="1">VLOOKUP($G173,OFFSET([1]characters!$A$2,0,0,COUNTA([1]characters!$A:$A),MATCH(H$1,[1]characters!$2:$2,0)-MATCH($G$1,[1]characters!$2:$2,0)+1),MATCH(H$1,[1]characters!$2:$2,0)-MATCH($G$1,[1]characters!$2:$2,0)+1,FALSE)</f>
        <v>猛禽 ホルス</v>
      </c>
      <c r="I173" s="10" t="str">
        <f ca="1">VLOOKUP($G173,OFFSET([1]characters!$A$2,0,0,COUNTA([1]characters!$A:$A),MATCH(I$1,[1]characters!$2:$2,0)-MATCH($G$1,[1]characters!$2:$2,0)+1),MATCH(I$1,[1]characters!$2:$2,0)-MATCH($G$1,[1]characters!$2:$2,0)+1,FALSE)</f>
        <v>PremiumN</v>
      </c>
      <c r="J173" s="10">
        <f ca="1">VLOOKUP($G173,OFFSET([1]characters!$A$2,0,0,COUNTA([1]characters!$A:$A),MATCH(J$1,[1]characters!$2:$2,0)-MATCH($G$1,[1]characters!$2:$2,0)+1),MATCH(J$1,[1]characters!$2:$2,0)-MATCH($G$1,[1]characters!$2:$2,0)+1,FALSE)</f>
        <v>4</v>
      </c>
      <c r="K173" s="10" t="str">
        <f ca="1">VLOOKUP($G173,OFFSET([1]characters!$A$2,0,0,COUNTA([1]characters!$A:$A),MATCH(K$1,[1]characters!$2:$2,0)-MATCH($G$1,[1]characters!$2:$2,0)+1),MATCH(K$1,[1]characters!$2:$2,0)-MATCH($G$1,[1]characters!$2:$2,0)+1,FALSE)</f>
        <v>yellow</v>
      </c>
      <c r="L173" s="10" t="str">
        <f ca="1">VLOOKUP($G173,OFFSET([1]characters!$A$2,0,0,COUNTA([1]characters!$A:$A),MATCH("タイプ",[1]characters!$1:$1,0)-MATCH($G$1,[1]characters!$2:$2,0)+2),MATCH("タイプ",[1]characters!$1:$1,0)-MATCH($G$1,[1]characters!$2:$2,0)+2,FALSE)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73" s="10" t="str">
        <f ca="1">VLOOKUP($G173,OFFSET([1]characters!$A$2,0,0,COUNTA([1]characters!$A:$A),MATCH($M$1,[1]characters!$1:$1,0)-MATCH($G$1,[1]characters!$2:$2,0)+2),MATCH($M$1,[1]characters!$1:$1,0)-MATCH($G$1,[1]characters!$2:$2,0)+2,FALSE)</f>
        <v>アニマル</v>
      </c>
      <c r="N173" s="6">
        <v>1</v>
      </c>
      <c r="O173" s="43">
        <f ca="1">VLOOKUP(D173,gacha_114_base!A:K,11,FALSE)</f>
        <v>715</v>
      </c>
      <c r="P173" s="28">
        <v>0</v>
      </c>
      <c r="Q173" s="28">
        <v>0</v>
      </c>
      <c r="R173" s="28">
        <v>0</v>
      </c>
      <c r="S173" s="28">
        <v>0</v>
      </c>
      <c r="T173" s="28">
        <v>1</v>
      </c>
    </row>
    <row r="174" spans="1:20" ht="21" customHeight="1">
      <c r="A174" s="8" t="str">
        <f t="shared" si="14"/>
        <v>01911</v>
      </c>
      <c r="B174" s="2">
        <v>114</v>
      </c>
      <c r="C174" s="10" t="str">
        <f t="shared" ca="1" si="11"/>
        <v>0PremiumN4</v>
      </c>
      <c r="D174" s="10" t="str">
        <f t="shared" ca="1" si="12"/>
        <v>0PremiumN4</v>
      </c>
      <c r="E174" s="10" t="str">
        <f t="shared" si="13"/>
        <v/>
      </c>
      <c r="F174" s="6">
        <v>0</v>
      </c>
      <c r="G174" s="7">
        <v>191</v>
      </c>
      <c r="H174" s="10" t="str">
        <f ca="1">VLOOKUP($G174,OFFSET([1]characters!$A$2,0,0,COUNTA([1]characters!$A:$A),MATCH(H$1,[1]characters!$2:$2,0)-MATCH($G$1,[1]characters!$2:$2,0)+1),MATCH(H$1,[1]characters!$2:$2,0)-MATCH($G$1,[1]characters!$2:$2,0)+1,FALSE)</f>
        <v>始祖 卑弥呼</v>
      </c>
      <c r="I174" s="10" t="str">
        <f ca="1">VLOOKUP($G174,OFFSET([1]characters!$A$2,0,0,COUNTA([1]characters!$A:$A),MATCH(I$1,[1]characters!$2:$2,0)-MATCH($G$1,[1]characters!$2:$2,0)+1),MATCH(I$1,[1]characters!$2:$2,0)-MATCH($G$1,[1]characters!$2:$2,0)+1,FALSE)</f>
        <v>PremiumN</v>
      </c>
      <c r="J174" s="10">
        <f ca="1">VLOOKUP($G174,OFFSET([1]characters!$A$2,0,0,COUNTA([1]characters!$A:$A),MATCH(J$1,[1]characters!$2:$2,0)-MATCH($G$1,[1]characters!$2:$2,0)+1),MATCH(J$1,[1]characters!$2:$2,0)-MATCH($G$1,[1]characters!$2:$2,0)+1,FALSE)</f>
        <v>4</v>
      </c>
      <c r="K174" s="10" t="str">
        <f ca="1">VLOOKUP($G174,OFFSET([1]characters!$A$2,0,0,COUNTA([1]characters!$A:$A),MATCH(K$1,[1]characters!$2:$2,0)-MATCH($G$1,[1]characters!$2:$2,0)+1),MATCH(K$1,[1]characters!$2:$2,0)-MATCH($G$1,[1]characters!$2:$2,0)+1,FALSE)</f>
        <v>red</v>
      </c>
      <c r="L174" s="10" t="str">
        <f ca="1">VLOOKUP($G174,OFFSET([1]characters!$A$2,0,0,COUNTA([1]characters!$A:$A),MATCH("タイプ",[1]characters!$1:$1,0)-MATCH($G$1,[1]characters!$2:$2,0)+2),MATCH("タイプ",[1]characters!$1:$1,0)-MATCH($G$1,[1]characters!$2:$2,0)+2,FALSE)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74" s="10" t="str">
        <f ca="1">VLOOKUP($G174,OFFSET([1]characters!$A$2,0,0,COUNTA([1]characters!$A:$A),MATCH($M$1,[1]characters!$1:$1,0)-MATCH($G$1,[1]characters!$2:$2,0)+2),MATCH($M$1,[1]characters!$1:$1,0)-MATCH($G$1,[1]characters!$2:$2,0)+2,FALSE)</f>
        <v>ヒューマン</v>
      </c>
      <c r="N174" s="6">
        <v>1</v>
      </c>
      <c r="O174" s="43">
        <f ca="1">VLOOKUP(D174,gacha_114_base!A:K,11,FALSE)</f>
        <v>715</v>
      </c>
      <c r="P174" s="28">
        <v>0</v>
      </c>
      <c r="Q174" s="28">
        <v>0</v>
      </c>
      <c r="R174" s="28">
        <v>0</v>
      </c>
      <c r="S174" s="28">
        <v>0</v>
      </c>
      <c r="T174" s="28">
        <v>1</v>
      </c>
    </row>
    <row r="175" spans="1:20" ht="21" customHeight="1">
      <c r="A175" s="8" t="str">
        <f t="shared" si="14"/>
        <v>01941</v>
      </c>
      <c r="B175" s="2">
        <v>114</v>
      </c>
      <c r="C175" s="10" t="str">
        <f t="shared" ca="1" si="11"/>
        <v>0PremiumN4</v>
      </c>
      <c r="D175" s="10" t="str">
        <f t="shared" ca="1" si="12"/>
        <v>0PremiumN4</v>
      </c>
      <c r="E175" s="10" t="str">
        <f t="shared" si="13"/>
        <v/>
      </c>
      <c r="F175" s="6">
        <v>0</v>
      </c>
      <c r="G175" s="7">
        <v>194</v>
      </c>
      <c r="H175" s="10" t="str">
        <f ca="1">VLOOKUP($G175,OFFSET([1]characters!$A$2,0,0,COUNTA([1]characters!$A:$A),MATCH(H$1,[1]characters!$2:$2,0)-MATCH($G$1,[1]characters!$2:$2,0)+1),MATCH(H$1,[1]characters!$2:$2,0)-MATCH($G$1,[1]characters!$2:$2,0)+1,FALSE)</f>
        <v>スナイパー ロビンフッド</v>
      </c>
      <c r="I175" s="10" t="str">
        <f ca="1">VLOOKUP($G175,OFFSET([1]characters!$A$2,0,0,COUNTA([1]characters!$A:$A),MATCH(I$1,[1]characters!$2:$2,0)-MATCH($G$1,[1]characters!$2:$2,0)+1),MATCH(I$1,[1]characters!$2:$2,0)-MATCH($G$1,[1]characters!$2:$2,0)+1,FALSE)</f>
        <v>PremiumN</v>
      </c>
      <c r="J175" s="10">
        <f ca="1">VLOOKUP($G175,OFFSET([1]characters!$A$2,0,0,COUNTA([1]characters!$A:$A),MATCH(J$1,[1]characters!$2:$2,0)-MATCH($G$1,[1]characters!$2:$2,0)+1),MATCH(J$1,[1]characters!$2:$2,0)-MATCH($G$1,[1]characters!$2:$2,0)+1,FALSE)</f>
        <v>4</v>
      </c>
      <c r="K175" s="10" t="str">
        <f ca="1">VLOOKUP($G175,OFFSET([1]characters!$A$2,0,0,COUNTA([1]characters!$A:$A),MATCH(K$1,[1]characters!$2:$2,0)-MATCH($G$1,[1]characters!$2:$2,0)+1),MATCH(K$1,[1]characters!$2:$2,0)-MATCH($G$1,[1]characters!$2:$2,0)+1,FALSE)</f>
        <v>green</v>
      </c>
      <c r="L175" s="10" t="str">
        <f ca="1">VLOOKUP($G175,OFFSET([1]characters!$A$2,0,0,COUNTA([1]characters!$A:$A),MATCH("タイプ",[1]characters!$1:$1,0)-MATCH($G$1,[1]characters!$2:$2,0)+2),MATCH("タイプ",[1]characters!$1:$1,0)-MATCH($G$1,[1]characters!$2:$2,0)+2,FALSE)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75" s="10" t="str">
        <f ca="1">VLOOKUP($G175,OFFSET([1]characters!$A$2,0,0,COUNTA([1]characters!$A:$A),MATCH($M$1,[1]characters!$1:$1,0)-MATCH($G$1,[1]characters!$2:$2,0)+2),MATCH($M$1,[1]characters!$1:$1,0)-MATCH($G$1,[1]characters!$2:$2,0)+2,FALSE)</f>
        <v>ヒューマン</v>
      </c>
      <c r="N175" s="6">
        <v>1</v>
      </c>
      <c r="O175" s="43">
        <f ca="1">VLOOKUP(D175,gacha_114_base!A:K,11,FALSE)</f>
        <v>715</v>
      </c>
      <c r="P175" s="28">
        <v>0</v>
      </c>
      <c r="Q175" s="28">
        <v>0</v>
      </c>
      <c r="R175" s="28">
        <v>0</v>
      </c>
      <c r="S175" s="28">
        <v>0</v>
      </c>
      <c r="T175" s="28">
        <v>1</v>
      </c>
    </row>
    <row r="176" spans="1:20" ht="21" customHeight="1">
      <c r="A176" s="8" t="str">
        <f t="shared" si="14"/>
        <v>01971</v>
      </c>
      <c r="B176" s="2">
        <v>114</v>
      </c>
      <c r="C176" s="10" t="str">
        <f t="shared" ca="1" si="11"/>
        <v>0PremiumN4</v>
      </c>
      <c r="D176" s="10" t="str">
        <f t="shared" ca="1" si="12"/>
        <v>0PremiumN4</v>
      </c>
      <c r="E176" s="10" t="str">
        <f t="shared" si="13"/>
        <v/>
      </c>
      <c r="F176" s="6">
        <v>0</v>
      </c>
      <c r="G176" s="7">
        <v>197</v>
      </c>
      <c r="H176" s="10" t="str">
        <f ca="1">VLOOKUP($G176,OFFSET([1]characters!$A$2,0,0,COUNTA([1]characters!$A:$A),MATCH(H$1,[1]characters!$2:$2,0)-MATCH($G$1,[1]characters!$2:$2,0)+1),MATCH(H$1,[1]characters!$2:$2,0)-MATCH($G$1,[1]characters!$2:$2,0)+1,FALSE)</f>
        <v>鉄腕 アキレス</v>
      </c>
      <c r="I176" s="10" t="str">
        <f ca="1">VLOOKUP($G176,OFFSET([1]characters!$A$2,0,0,COUNTA([1]characters!$A:$A),MATCH(I$1,[1]characters!$2:$2,0)-MATCH($G$1,[1]characters!$2:$2,0)+1),MATCH(I$1,[1]characters!$2:$2,0)-MATCH($G$1,[1]characters!$2:$2,0)+1,FALSE)</f>
        <v>PremiumN</v>
      </c>
      <c r="J176" s="10">
        <f ca="1">VLOOKUP($G176,OFFSET([1]characters!$A$2,0,0,COUNTA([1]characters!$A:$A),MATCH(J$1,[1]characters!$2:$2,0)-MATCH($G$1,[1]characters!$2:$2,0)+1),MATCH(J$1,[1]characters!$2:$2,0)-MATCH($G$1,[1]characters!$2:$2,0)+1,FALSE)</f>
        <v>4</v>
      </c>
      <c r="K176" s="10" t="str">
        <f ca="1">VLOOKUP($G176,OFFSET([1]characters!$A$2,0,0,COUNTA([1]characters!$A:$A),MATCH(K$1,[1]characters!$2:$2,0)-MATCH($G$1,[1]characters!$2:$2,0)+1),MATCH(K$1,[1]characters!$2:$2,0)-MATCH($G$1,[1]characters!$2:$2,0)+1,FALSE)</f>
        <v>yellow</v>
      </c>
      <c r="L176" s="10" t="str">
        <f ca="1">VLOOKUP($G176,OFFSET([1]characters!$A$2,0,0,COUNTA([1]characters!$A:$A),MATCH("タイプ",[1]characters!$1:$1,0)-MATCH($G$1,[1]characters!$2:$2,0)+2),MATCH("タイプ",[1]characters!$1:$1,0)-MATCH($G$1,[1]characters!$2:$2,0)+2,FALSE)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76" s="10" t="str">
        <f ca="1">VLOOKUP($G176,OFFSET([1]characters!$A$2,0,0,COUNTA([1]characters!$A:$A),MATCH($M$1,[1]characters!$1:$1,0)-MATCH($G$1,[1]characters!$2:$2,0)+2),MATCH($M$1,[1]characters!$1:$1,0)-MATCH($G$1,[1]characters!$2:$2,0)+2,FALSE)</f>
        <v>ヒューマン</v>
      </c>
      <c r="N176" s="6">
        <v>1</v>
      </c>
      <c r="O176" s="43">
        <f ca="1">VLOOKUP(D176,gacha_114_base!A:K,11,FALSE)</f>
        <v>715</v>
      </c>
      <c r="P176" s="28">
        <v>0</v>
      </c>
      <c r="Q176" s="28">
        <v>0</v>
      </c>
      <c r="R176" s="28">
        <v>0</v>
      </c>
      <c r="S176" s="28">
        <v>0</v>
      </c>
      <c r="T176" s="28">
        <v>1</v>
      </c>
    </row>
    <row r="177" spans="1:20" ht="21" customHeight="1">
      <c r="A177" s="8" t="str">
        <f t="shared" si="14"/>
        <v>02001</v>
      </c>
      <c r="B177" s="2">
        <v>114</v>
      </c>
      <c r="C177" s="10" t="str">
        <f t="shared" ca="1" si="11"/>
        <v>0PremiumN4</v>
      </c>
      <c r="D177" s="10" t="str">
        <f t="shared" ca="1" si="12"/>
        <v>0PremiumN4</v>
      </c>
      <c r="E177" s="10" t="str">
        <f t="shared" si="13"/>
        <v/>
      </c>
      <c r="F177" s="6">
        <v>0</v>
      </c>
      <c r="G177" s="7">
        <v>200</v>
      </c>
      <c r="H177" s="10" t="str">
        <f ca="1">VLOOKUP($G177,OFFSET([1]characters!$A$2,0,0,COUNTA([1]characters!$A:$A),MATCH(H$1,[1]characters!$2:$2,0)-MATCH($G$1,[1]characters!$2:$2,0)+1),MATCH(H$1,[1]characters!$2:$2,0)-MATCH($G$1,[1]characters!$2:$2,0)+1,FALSE)</f>
        <v>大剣士 ジークフリート</v>
      </c>
      <c r="I177" s="10" t="str">
        <f ca="1">VLOOKUP($G177,OFFSET([1]characters!$A$2,0,0,COUNTA([1]characters!$A:$A),MATCH(I$1,[1]characters!$2:$2,0)-MATCH($G$1,[1]characters!$2:$2,0)+1),MATCH(I$1,[1]characters!$2:$2,0)-MATCH($G$1,[1]characters!$2:$2,0)+1,FALSE)</f>
        <v>PremiumN</v>
      </c>
      <c r="J177" s="10">
        <f ca="1">VLOOKUP($G177,OFFSET([1]characters!$A$2,0,0,COUNTA([1]characters!$A:$A),MATCH(J$1,[1]characters!$2:$2,0)-MATCH($G$1,[1]characters!$2:$2,0)+1),MATCH(J$1,[1]characters!$2:$2,0)-MATCH($G$1,[1]characters!$2:$2,0)+1,FALSE)</f>
        <v>4</v>
      </c>
      <c r="K177" s="10" t="str">
        <f ca="1">VLOOKUP($G177,OFFSET([1]characters!$A$2,0,0,COUNTA([1]characters!$A:$A),MATCH(K$1,[1]characters!$2:$2,0)-MATCH($G$1,[1]characters!$2:$2,0)+1),MATCH(K$1,[1]characters!$2:$2,0)-MATCH($G$1,[1]characters!$2:$2,0)+1,FALSE)</f>
        <v>blue</v>
      </c>
      <c r="L177" s="10" t="str">
        <f ca="1">VLOOKUP($G177,OFFSET([1]characters!$A$2,0,0,COUNTA([1]characters!$A:$A),MATCH("タイプ",[1]characters!$1:$1,0)-MATCH($G$1,[1]characters!$2:$2,0)+2),MATCH("タイプ",[1]characters!$1:$1,0)-MATCH($G$1,[1]characters!$2:$2,0)+2,FALSE)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77" s="10" t="str">
        <f ca="1">VLOOKUP($G177,OFFSET([1]characters!$A$2,0,0,COUNTA([1]characters!$A:$A),MATCH($M$1,[1]characters!$1:$1,0)-MATCH($G$1,[1]characters!$2:$2,0)+2),MATCH($M$1,[1]characters!$1:$1,0)-MATCH($G$1,[1]characters!$2:$2,0)+2,FALSE)</f>
        <v>ヒューマン</v>
      </c>
      <c r="N177" s="6">
        <v>1</v>
      </c>
      <c r="O177" s="43">
        <f ca="1">VLOOKUP(D177,gacha_114_base!A:K,11,FALSE)</f>
        <v>715</v>
      </c>
      <c r="P177" s="28">
        <v>0</v>
      </c>
      <c r="Q177" s="28">
        <v>0</v>
      </c>
      <c r="R177" s="28">
        <v>0</v>
      </c>
      <c r="S177" s="28">
        <v>0</v>
      </c>
      <c r="T177" s="28">
        <v>1</v>
      </c>
    </row>
    <row r="178" spans="1:20" ht="21" customHeight="1">
      <c r="A178" s="8" t="str">
        <f t="shared" si="14"/>
        <v>02031</v>
      </c>
      <c r="B178" s="2">
        <v>114</v>
      </c>
      <c r="C178" s="10" t="str">
        <f t="shared" ca="1" si="11"/>
        <v>0PremiumN4</v>
      </c>
      <c r="D178" s="10" t="str">
        <f t="shared" ca="1" si="12"/>
        <v>0PremiumN4</v>
      </c>
      <c r="E178" s="10" t="str">
        <f t="shared" si="13"/>
        <v/>
      </c>
      <c r="F178" s="6">
        <v>0</v>
      </c>
      <c r="G178" s="7">
        <v>203</v>
      </c>
      <c r="H178" s="10" t="str">
        <f ca="1">VLOOKUP($G178,OFFSET([1]characters!$A$2,0,0,COUNTA([1]characters!$A:$A),MATCH(H$1,[1]characters!$2:$2,0)-MATCH($G$1,[1]characters!$2:$2,0)+1),MATCH(H$1,[1]characters!$2:$2,0)-MATCH($G$1,[1]characters!$2:$2,0)+1,FALSE)</f>
        <v>焔神 プロメテウス</v>
      </c>
      <c r="I178" s="10" t="str">
        <f ca="1">VLOOKUP($G178,OFFSET([1]characters!$A$2,0,0,COUNTA([1]characters!$A:$A),MATCH(I$1,[1]characters!$2:$2,0)-MATCH($G$1,[1]characters!$2:$2,0)+1),MATCH(I$1,[1]characters!$2:$2,0)-MATCH($G$1,[1]characters!$2:$2,0)+1,FALSE)</f>
        <v>PremiumN</v>
      </c>
      <c r="J178" s="10">
        <f ca="1">VLOOKUP($G178,OFFSET([1]characters!$A$2,0,0,COUNTA([1]characters!$A:$A),MATCH(J$1,[1]characters!$2:$2,0)-MATCH($G$1,[1]characters!$2:$2,0)+1),MATCH(J$1,[1]characters!$2:$2,0)-MATCH($G$1,[1]characters!$2:$2,0)+1,FALSE)</f>
        <v>4</v>
      </c>
      <c r="K178" s="10" t="str">
        <f ca="1">VLOOKUP($G178,OFFSET([1]characters!$A$2,0,0,COUNTA([1]characters!$A:$A),MATCH(K$1,[1]characters!$2:$2,0)-MATCH($G$1,[1]characters!$2:$2,0)+1),MATCH(K$1,[1]characters!$2:$2,0)-MATCH($G$1,[1]characters!$2:$2,0)+1,FALSE)</f>
        <v>red</v>
      </c>
      <c r="L178" s="10" t="str">
        <f ca="1">VLOOKUP($G178,OFFSET([1]characters!$A$2,0,0,COUNTA([1]characters!$A:$A),MATCH("タイプ",[1]characters!$1:$1,0)-MATCH($G$1,[1]characters!$2:$2,0)+2),MATCH("タイプ",[1]characters!$1:$1,0)-MATCH($G$1,[1]characters!$2:$2,0)+2,FALSE)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78" s="10" t="str">
        <f ca="1">VLOOKUP($G178,OFFSET([1]characters!$A$2,0,0,COUNTA([1]characters!$A:$A),MATCH($M$1,[1]characters!$1:$1,0)-MATCH($G$1,[1]characters!$2:$2,0)+2),MATCH($M$1,[1]characters!$1:$1,0)-MATCH($G$1,[1]characters!$2:$2,0)+2,FALSE)</f>
        <v>ゴッド</v>
      </c>
      <c r="N178" s="6">
        <v>1</v>
      </c>
      <c r="O178" s="43">
        <f ca="1">VLOOKUP(D178,gacha_114_base!A:K,11,FALSE)</f>
        <v>715</v>
      </c>
      <c r="P178" s="28">
        <v>0</v>
      </c>
      <c r="Q178" s="28">
        <v>0</v>
      </c>
      <c r="R178" s="28">
        <v>0</v>
      </c>
      <c r="S178" s="28">
        <v>0</v>
      </c>
      <c r="T178" s="28">
        <v>1</v>
      </c>
    </row>
    <row r="179" spans="1:20" ht="21" customHeight="1">
      <c r="A179" s="8" t="str">
        <f t="shared" si="14"/>
        <v>02061</v>
      </c>
      <c r="B179" s="2">
        <v>114</v>
      </c>
      <c r="C179" s="10" t="str">
        <f t="shared" ca="1" si="11"/>
        <v>0PremiumN4</v>
      </c>
      <c r="D179" s="10" t="str">
        <f t="shared" ca="1" si="12"/>
        <v>0PremiumN4</v>
      </c>
      <c r="E179" s="10" t="str">
        <f t="shared" si="13"/>
        <v/>
      </c>
      <c r="F179" s="6">
        <v>0</v>
      </c>
      <c r="G179" s="7">
        <v>206</v>
      </c>
      <c r="H179" s="10" t="str">
        <f ca="1">VLOOKUP($G179,OFFSET([1]characters!$A$2,0,0,COUNTA([1]characters!$A:$A),MATCH(H$1,[1]characters!$2:$2,0)-MATCH($G$1,[1]characters!$2:$2,0)+1),MATCH(H$1,[1]characters!$2:$2,0)-MATCH($G$1,[1]characters!$2:$2,0)+1,FALSE)</f>
        <v>美神 アフロディーテ</v>
      </c>
      <c r="I179" s="10" t="str">
        <f ca="1">VLOOKUP($G179,OFFSET([1]characters!$A$2,0,0,COUNTA([1]characters!$A:$A),MATCH(I$1,[1]characters!$2:$2,0)-MATCH($G$1,[1]characters!$2:$2,0)+1),MATCH(I$1,[1]characters!$2:$2,0)-MATCH($G$1,[1]characters!$2:$2,0)+1,FALSE)</f>
        <v>PremiumN</v>
      </c>
      <c r="J179" s="10">
        <f ca="1">VLOOKUP($G179,OFFSET([1]characters!$A$2,0,0,COUNTA([1]characters!$A:$A),MATCH(J$1,[1]characters!$2:$2,0)-MATCH($G$1,[1]characters!$2:$2,0)+1),MATCH(J$1,[1]characters!$2:$2,0)-MATCH($G$1,[1]characters!$2:$2,0)+1,FALSE)</f>
        <v>4</v>
      </c>
      <c r="K179" s="10" t="str">
        <f ca="1">VLOOKUP($G179,OFFSET([1]characters!$A$2,0,0,COUNTA([1]characters!$A:$A),MATCH(K$1,[1]characters!$2:$2,0)-MATCH($G$1,[1]characters!$2:$2,0)+1),MATCH(K$1,[1]characters!$2:$2,0)-MATCH($G$1,[1]characters!$2:$2,0)+1,FALSE)</f>
        <v>green</v>
      </c>
      <c r="L179" s="10" t="str">
        <f ca="1">VLOOKUP($G179,OFFSET([1]characters!$A$2,0,0,COUNTA([1]characters!$A:$A),MATCH("タイプ",[1]characters!$1:$1,0)-MATCH($G$1,[1]characters!$2:$2,0)+2),MATCH("タイプ",[1]characters!$1:$1,0)-MATCH($G$1,[1]characters!$2:$2,0)+2,FALSE)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79" s="10" t="str">
        <f ca="1">VLOOKUP($G179,OFFSET([1]characters!$A$2,0,0,COUNTA([1]characters!$A:$A),MATCH($M$1,[1]characters!$1:$1,0)-MATCH($G$1,[1]characters!$2:$2,0)+2),MATCH($M$1,[1]characters!$1:$1,0)-MATCH($G$1,[1]characters!$2:$2,0)+2,FALSE)</f>
        <v>ゴッド</v>
      </c>
      <c r="N179" s="6">
        <v>1</v>
      </c>
      <c r="O179" s="43">
        <f ca="1">VLOOKUP(D179,gacha_114_base!A:K,11,FALSE)</f>
        <v>715</v>
      </c>
      <c r="P179" s="28">
        <v>0</v>
      </c>
      <c r="Q179" s="28">
        <v>0</v>
      </c>
      <c r="R179" s="28">
        <v>0</v>
      </c>
      <c r="S179" s="28">
        <v>0</v>
      </c>
      <c r="T179" s="28">
        <v>1</v>
      </c>
    </row>
    <row r="180" spans="1:20" ht="21" customHeight="1">
      <c r="A180" s="8" t="str">
        <f t="shared" si="14"/>
        <v>02091</v>
      </c>
      <c r="B180" s="2">
        <v>114</v>
      </c>
      <c r="C180" s="10" t="str">
        <f t="shared" ca="1" si="11"/>
        <v>0PremiumN4</v>
      </c>
      <c r="D180" s="10" t="str">
        <f t="shared" ca="1" si="12"/>
        <v>0PremiumN4</v>
      </c>
      <c r="E180" s="10" t="str">
        <f t="shared" si="13"/>
        <v/>
      </c>
      <c r="F180" s="6">
        <v>0</v>
      </c>
      <c r="G180" s="7">
        <v>209</v>
      </c>
      <c r="H180" s="10" t="str">
        <f ca="1">VLOOKUP($G180,OFFSET([1]characters!$A$2,0,0,COUNTA([1]characters!$A:$A),MATCH(H$1,[1]characters!$2:$2,0)-MATCH($G$1,[1]characters!$2:$2,0)+1),MATCH(H$1,[1]characters!$2:$2,0)-MATCH($G$1,[1]characters!$2:$2,0)+1,FALSE)</f>
        <v>孤神 テティス</v>
      </c>
      <c r="I180" s="10" t="str">
        <f ca="1">VLOOKUP($G180,OFFSET([1]characters!$A$2,0,0,COUNTA([1]characters!$A:$A),MATCH(I$1,[1]characters!$2:$2,0)-MATCH($G$1,[1]characters!$2:$2,0)+1),MATCH(I$1,[1]characters!$2:$2,0)-MATCH($G$1,[1]characters!$2:$2,0)+1,FALSE)</f>
        <v>PremiumN</v>
      </c>
      <c r="J180" s="10">
        <f ca="1">VLOOKUP($G180,OFFSET([1]characters!$A$2,0,0,COUNTA([1]characters!$A:$A),MATCH(J$1,[1]characters!$2:$2,0)-MATCH($G$1,[1]characters!$2:$2,0)+1),MATCH(J$1,[1]characters!$2:$2,0)-MATCH($G$1,[1]characters!$2:$2,0)+1,FALSE)</f>
        <v>4</v>
      </c>
      <c r="K180" s="10" t="str">
        <f ca="1">VLOOKUP($G180,OFFSET([1]characters!$A$2,0,0,COUNTA([1]characters!$A:$A),MATCH(K$1,[1]characters!$2:$2,0)-MATCH($G$1,[1]characters!$2:$2,0)+1),MATCH(K$1,[1]characters!$2:$2,0)-MATCH($G$1,[1]characters!$2:$2,0)+1,FALSE)</f>
        <v>blue</v>
      </c>
      <c r="L180" s="10" t="str">
        <f ca="1">VLOOKUP($G180,OFFSET([1]characters!$A$2,0,0,COUNTA([1]characters!$A:$A),MATCH("タイプ",[1]characters!$1:$1,0)-MATCH($G$1,[1]characters!$2:$2,0)+2),MATCH("タイプ",[1]characters!$1:$1,0)-MATCH($G$1,[1]characters!$2:$2,0)+2,FALSE)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80" s="10" t="str">
        <f ca="1">VLOOKUP($G180,OFFSET([1]characters!$A$2,0,0,COUNTA([1]characters!$A:$A),MATCH($M$1,[1]characters!$1:$1,0)-MATCH($G$1,[1]characters!$2:$2,0)+2),MATCH($M$1,[1]characters!$1:$1,0)-MATCH($G$1,[1]characters!$2:$2,0)+2,FALSE)</f>
        <v>ゴッド</v>
      </c>
      <c r="N180" s="6">
        <v>1</v>
      </c>
      <c r="O180" s="43">
        <f ca="1">VLOOKUP(D180,gacha_114_base!A:K,11,FALSE)</f>
        <v>715</v>
      </c>
      <c r="P180" s="28">
        <v>0</v>
      </c>
      <c r="Q180" s="28">
        <v>0</v>
      </c>
      <c r="R180" s="28">
        <v>0</v>
      </c>
      <c r="S180" s="28">
        <v>0</v>
      </c>
      <c r="T180" s="28">
        <v>1</v>
      </c>
    </row>
    <row r="181" spans="1:20" ht="21" customHeight="1">
      <c r="A181" s="8" t="str">
        <f t="shared" si="14"/>
        <v>02121</v>
      </c>
      <c r="B181" s="2">
        <v>114</v>
      </c>
      <c r="C181" s="10" t="str">
        <f t="shared" ca="1" si="11"/>
        <v>0PremiumN4</v>
      </c>
      <c r="D181" s="10" t="str">
        <f t="shared" ca="1" si="12"/>
        <v>0PremiumN4</v>
      </c>
      <c r="E181" s="10" t="str">
        <f t="shared" si="13"/>
        <v/>
      </c>
      <c r="F181" s="6">
        <v>0</v>
      </c>
      <c r="G181" s="7">
        <v>212</v>
      </c>
      <c r="H181" s="10" t="str">
        <f ca="1">VLOOKUP($G181,OFFSET([1]characters!$A$2,0,0,COUNTA([1]characters!$A:$A),MATCH(H$1,[1]characters!$2:$2,0)-MATCH($G$1,[1]characters!$2:$2,0)+1),MATCH(H$1,[1]characters!$2:$2,0)-MATCH($G$1,[1]characters!$2:$2,0)+1,FALSE)</f>
        <v>星神 アストライアー</v>
      </c>
      <c r="I181" s="10" t="str">
        <f ca="1">VLOOKUP($G181,OFFSET([1]characters!$A$2,0,0,COUNTA([1]characters!$A:$A),MATCH(I$1,[1]characters!$2:$2,0)-MATCH($G$1,[1]characters!$2:$2,0)+1),MATCH(I$1,[1]characters!$2:$2,0)-MATCH($G$1,[1]characters!$2:$2,0)+1,FALSE)</f>
        <v>PremiumN</v>
      </c>
      <c r="J181" s="10">
        <f ca="1">VLOOKUP($G181,OFFSET([1]characters!$A$2,0,0,COUNTA([1]characters!$A:$A),MATCH(J$1,[1]characters!$2:$2,0)-MATCH($G$1,[1]characters!$2:$2,0)+1),MATCH(J$1,[1]characters!$2:$2,0)-MATCH($G$1,[1]characters!$2:$2,0)+1,FALSE)</f>
        <v>4</v>
      </c>
      <c r="K181" s="10" t="str">
        <f ca="1">VLOOKUP($G181,OFFSET([1]characters!$A$2,0,0,COUNTA([1]characters!$A:$A),MATCH(K$1,[1]characters!$2:$2,0)-MATCH($G$1,[1]characters!$2:$2,0)+1),MATCH(K$1,[1]characters!$2:$2,0)-MATCH($G$1,[1]characters!$2:$2,0)+1,FALSE)</f>
        <v>yellow</v>
      </c>
      <c r="L181" s="10" t="str">
        <f ca="1">VLOOKUP($G181,OFFSET([1]characters!$A$2,0,0,COUNTA([1]characters!$A:$A),MATCH("タイプ",[1]characters!$1:$1,0)-MATCH($G$1,[1]characters!$2:$2,0)+2),MATCH("タイプ",[1]characters!$1:$1,0)-MATCH($G$1,[1]characters!$2:$2,0)+2,FALSE)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81" s="10" t="str">
        <f ca="1">VLOOKUP($G181,OFFSET([1]characters!$A$2,0,0,COUNTA([1]characters!$A:$A),MATCH($M$1,[1]characters!$1:$1,0)-MATCH($G$1,[1]characters!$2:$2,0)+2),MATCH($M$1,[1]characters!$1:$1,0)-MATCH($G$1,[1]characters!$2:$2,0)+2,FALSE)</f>
        <v>ゴッド</v>
      </c>
      <c r="N181" s="6">
        <v>1</v>
      </c>
      <c r="O181" s="43">
        <f ca="1">VLOOKUP(D181,gacha_114_base!A:K,11,FALSE)</f>
        <v>715</v>
      </c>
      <c r="P181" s="28">
        <v>0</v>
      </c>
      <c r="Q181" s="28">
        <v>0</v>
      </c>
      <c r="R181" s="28">
        <v>0</v>
      </c>
      <c r="S181" s="28">
        <v>0</v>
      </c>
      <c r="T181" s="28">
        <v>1</v>
      </c>
    </row>
    <row r="182" spans="1:20" ht="21" customHeight="1">
      <c r="A182" s="8" t="str">
        <f t="shared" si="14"/>
        <v>02151</v>
      </c>
      <c r="B182" s="2">
        <v>114</v>
      </c>
      <c r="C182" s="10" t="str">
        <f t="shared" ca="1" si="11"/>
        <v>0PremiumN4</v>
      </c>
      <c r="D182" s="10" t="str">
        <f t="shared" ca="1" si="12"/>
        <v>0PremiumN4</v>
      </c>
      <c r="E182" s="10" t="str">
        <f t="shared" si="13"/>
        <v/>
      </c>
      <c r="F182" s="6">
        <v>0</v>
      </c>
      <c r="G182" s="7">
        <v>215</v>
      </c>
      <c r="H182" s="10" t="str">
        <f ca="1">VLOOKUP($G182,OFFSET([1]characters!$A$2,0,0,COUNTA([1]characters!$A:$A),MATCH(H$1,[1]characters!$2:$2,0)-MATCH($G$1,[1]characters!$2:$2,0)+1),MATCH(H$1,[1]characters!$2:$2,0)-MATCH($G$1,[1]characters!$2:$2,0)+1,FALSE)</f>
        <v>死導者 アズラエル</v>
      </c>
      <c r="I182" s="10" t="str">
        <f ca="1">VLOOKUP($G182,OFFSET([1]characters!$A$2,0,0,COUNTA([1]characters!$A:$A),MATCH(I$1,[1]characters!$2:$2,0)-MATCH($G$1,[1]characters!$2:$2,0)+1),MATCH(I$1,[1]characters!$2:$2,0)-MATCH($G$1,[1]characters!$2:$2,0)+1,FALSE)</f>
        <v>PremiumN</v>
      </c>
      <c r="J182" s="10">
        <f ca="1">VLOOKUP($G182,OFFSET([1]characters!$A$2,0,0,COUNTA([1]characters!$A:$A),MATCH(J$1,[1]characters!$2:$2,0)-MATCH($G$1,[1]characters!$2:$2,0)+1),MATCH(J$1,[1]characters!$2:$2,0)-MATCH($G$1,[1]characters!$2:$2,0)+1,FALSE)</f>
        <v>4</v>
      </c>
      <c r="K182" s="10" t="str">
        <f ca="1">VLOOKUP($G182,OFFSET([1]characters!$A$2,0,0,COUNTA([1]characters!$A:$A),MATCH(K$1,[1]characters!$2:$2,0)-MATCH($G$1,[1]characters!$2:$2,0)+1),MATCH(K$1,[1]characters!$2:$2,0)-MATCH($G$1,[1]characters!$2:$2,0)+1,FALSE)</f>
        <v>red</v>
      </c>
      <c r="L182" s="10" t="str">
        <f ca="1">VLOOKUP($G182,OFFSET([1]characters!$A$2,0,0,COUNTA([1]characters!$A:$A),MATCH("タイプ",[1]characters!$1:$1,0)-MATCH($G$1,[1]characters!$2:$2,0)+2),MATCH("タイプ",[1]characters!$1:$1,0)-MATCH($G$1,[1]characters!$2:$2,0)+2,FALSE)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82" s="10" t="str">
        <f ca="1">VLOOKUP($G182,OFFSET([1]characters!$A$2,0,0,COUNTA([1]characters!$A:$A),MATCH($M$1,[1]characters!$1:$1,0)-MATCH($G$1,[1]characters!$2:$2,0)+2),MATCH($M$1,[1]characters!$1:$1,0)-MATCH($G$1,[1]characters!$2:$2,0)+2,FALSE)</f>
        <v>ゴッド</v>
      </c>
      <c r="N182" s="6">
        <v>1</v>
      </c>
      <c r="O182" s="43">
        <f ca="1">VLOOKUP(D182,gacha_114_base!A:K,11,FALSE)</f>
        <v>715</v>
      </c>
      <c r="P182" s="28">
        <v>0</v>
      </c>
      <c r="Q182" s="28">
        <v>0</v>
      </c>
      <c r="R182" s="28">
        <v>0</v>
      </c>
      <c r="S182" s="28">
        <v>0</v>
      </c>
      <c r="T182" s="28">
        <v>1</v>
      </c>
    </row>
    <row r="183" spans="1:20" ht="21" customHeight="1">
      <c r="A183" s="8" t="str">
        <f t="shared" si="14"/>
        <v>02181</v>
      </c>
      <c r="B183" s="2">
        <v>114</v>
      </c>
      <c r="C183" s="10" t="str">
        <f t="shared" ca="1" si="11"/>
        <v>0PremiumN4</v>
      </c>
      <c r="D183" s="10" t="str">
        <f t="shared" ca="1" si="12"/>
        <v>0PremiumN4</v>
      </c>
      <c r="E183" s="10" t="str">
        <f t="shared" si="13"/>
        <v/>
      </c>
      <c r="F183" s="6">
        <v>0</v>
      </c>
      <c r="G183" s="7">
        <v>218</v>
      </c>
      <c r="H183" s="10" t="str">
        <f ca="1">VLOOKUP($G183,OFFSET([1]characters!$A$2,0,0,COUNTA([1]characters!$A:$A),MATCH(H$1,[1]characters!$2:$2,0)-MATCH($G$1,[1]characters!$2:$2,0)+1),MATCH(H$1,[1]characters!$2:$2,0)-MATCH($G$1,[1]characters!$2:$2,0)+1,FALSE)</f>
        <v>聖蛇 ケツァクアトル</v>
      </c>
      <c r="I183" s="10" t="str">
        <f ca="1">VLOOKUP($G183,OFFSET([1]characters!$A$2,0,0,COUNTA([1]characters!$A:$A),MATCH(I$1,[1]characters!$2:$2,0)-MATCH($G$1,[1]characters!$2:$2,0)+1),MATCH(I$1,[1]characters!$2:$2,0)-MATCH($G$1,[1]characters!$2:$2,0)+1,FALSE)</f>
        <v>PremiumN</v>
      </c>
      <c r="J183" s="10">
        <f ca="1">VLOOKUP($G183,OFFSET([1]characters!$A$2,0,0,COUNTA([1]characters!$A:$A),MATCH(J$1,[1]characters!$2:$2,0)-MATCH($G$1,[1]characters!$2:$2,0)+1),MATCH(J$1,[1]characters!$2:$2,0)-MATCH($G$1,[1]characters!$2:$2,0)+1,FALSE)</f>
        <v>4</v>
      </c>
      <c r="K183" s="10" t="str">
        <f ca="1">VLOOKUP($G183,OFFSET([1]characters!$A$2,0,0,COUNTA([1]characters!$A:$A),MATCH(K$1,[1]characters!$2:$2,0)-MATCH($G$1,[1]characters!$2:$2,0)+1),MATCH(K$1,[1]characters!$2:$2,0)-MATCH($G$1,[1]characters!$2:$2,0)+1,FALSE)</f>
        <v>green</v>
      </c>
      <c r="L183" s="10" t="str">
        <f ca="1">VLOOKUP($G183,OFFSET([1]characters!$A$2,0,0,COUNTA([1]characters!$A:$A),MATCH("タイプ",[1]characters!$1:$1,0)-MATCH($G$1,[1]characters!$2:$2,0)+2),MATCH("タイプ",[1]characters!$1:$1,0)-MATCH($G$1,[1]characters!$2:$2,0)+2,FALSE)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83" s="10" t="str">
        <f ca="1">VLOOKUP($G183,OFFSET([1]characters!$A$2,0,0,COUNTA([1]characters!$A:$A),MATCH($M$1,[1]characters!$1:$1,0)-MATCH($G$1,[1]characters!$2:$2,0)+2),MATCH($M$1,[1]characters!$1:$1,0)-MATCH($G$1,[1]characters!$2:$2,0)+2,FALSE)</f>
        <v>ドラゴン</v>
      </c>
      <c r="N183" s="6">
        <v>1</v>
      </c>
      <c r="O183" s="43">
        <f ca="1">VLOOKUP(D183,gacha_114_base!A:K,11,FALSE)</f>
        <v>715</v>
      </c>
      <c r="P183" s="28">
        <v>0</v>
      </c>
      <c r="Q183" s="28">
        <v>0</v>
      </c>
      <c r="R183" s="28">
        <v>0</v>
      </c>
      <c r="S183" s="28">
        <v>0</v>
      </c>
      <c r="T183" s="28">
        <v>1</v>
      </c>
    </row>
    <row r="184" spans="1:20" ht="21" customHeight="1">
      <c r="A184" s="8" t="str">
        <f t="shared" si="14"/>
        <v>02211</v>
      </c>
      <c r="B184" s="2">
        <v>114</v>
      </c>
      <c r="C184" s="10" t="str">
        <f t="shared" ca="1" si="11"/>
        <v>0PremiumN4</v>
      </c>
      <c r="D184" s="10" t="str">
        <f t="shared" ca="1" si="12"/>
        <v>0PremiumN4</v>
      </c>
      <c r="E184" s="10" t="str">
        <f t="shared" si="13"/>
        <v/>
      </c>
      <c r="F184" s="6">
        <v>0</v>
      </c>
      <c r="G184" s="7">
        <v>221</v>
      </c>
      <c r="H184" s="10" t="str">
        <f ca="1">VLOOKUP($G184,OFFSET([1]characters!$A$2,0,0,COUNTA([1]characters!$A:$A),MATCH(H$1,[1]characters!$2:$2,0)-MATCH($G$1,[1]characters!$2:$2,0)+1),MATCH(H$1,[1]characters!$2:$2,0)-MATCH($G$1,[1]characters!$2:$2,0)+1,FALSE)</f>
        <v>宰相 ルキフグス</v>
      </c>
      <c r="I184" s="10" t="str">
        <f ca="1">VLOOKUP($G184,OFFSET([1]characters!$A$2,0,0,COUNTA([1]characters!$A:$A),MATCH(I$1,[1]characters!$2:$2,0)-MATCH($G$1,[1]characters!$2:$2,0)+1),MATCH(I$1,[1]characters!$2:$2,0)-MATCH($G$1,[1]characters!$2:$2,0)+1,FALSE)</f>
        <v>PremiumN</v>
      </c>
      <c r="J184" s="10">
        <f ca="1">VLOOKUP($G184,OFFSET([1]characters!$A$2,0,0,COUNTA([1]characters!$A:$A),MATCH(J$1,[1]characters!$2:$2,0)-MATCH($G$1,[1]characters!$2:$2,0)+1),MATCH(J$1,[1]characters!$2:$2,0)-MATCH($G$1,[1]characters!$2:$2,0)+1,FALSE)</f>
        <v>4</v>
      </c>
      <c r="K184" s="10" t="str">
        <f ca="1">VLOOKUP($G184,OFFSET([1]characters!$A$2,0,0,COUNTA([1]characters!$A:$A),MATCH(K$1,[1]characters!$2:$2,0)-MATCH($G$1,[1]characters!$2:$2,0)+1),MATCH(K$1,[1]characters!$2:$2,0)-MATCH($G$1,[1]characters!$2:$2,0)+1,FALSE)</f>
        <v>blue</v>
      </c>
      <c r="L184" s="10" t="str">
        <f ca="1">VLOOKUP($G184,OFFSET([1]characters!$A$2,0,0,COUNTA([1]characters!$A:$A),MATCH("タイプ",[1]characters!$1:$1,0)-MATCH($G$1,[1]characters!$2:$2,0)+2),MATCH("タイプ",[1]characters!$1:$1,0)-MATCH($G$1,[1]characters!$2:$2,0)+2,FALSE)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84" s="10" t="str">
        <f ca="1">VLOOKUP($G184,OFFSET([1]characters!$A$2,0,0,COUNTA([1]characters!$A:$A),MATCH($M$1,[1]characters!$1:$1,0)-MATCH($G$1,[1]characters!$2:$2,0)+2),MATCH($M$1,[1]characters!$1:$1,0)-MATCH($G$1,[1]characters!$2:$2,0)+2,FALSE)</f>
        <v>ゴッド</v>
      </c>
      <c r="N184" s="6">
        <v>1</v>
      </c>
      <c r="O184" s="43">
        <f ca="1">VLOOKUP(D184,gacha_114_base!A:K,11,FALSE)</f>
        <v>715</v>
      </c>
      <c r="P184" s="28">
        <v>0</v>
      </c>
      <c r="Q184" s="28">
        <v>0</v>
      </c>
      <c r="R184" s="28">
        <v>0</v>
      </c>
      <c r="S184" s="28">
        <v>0</v>
      </c>
      <c r="T184" s="28">
        <v>1</v>
      </c>
    </row>
    <row r="185" spans="1:20" ht="21" customHeight="1">
      <c r="A185" s="8" t="str">
        <f t="shared" si="14"/>
        <v>02241</v>
      </c>
      <c r="B185" s="2">
        <v>114</v>
      </c>
      <c r="C185" s="10" t="str">
        <f t="shared" ca="1" si="11"/>
        <v>0PremiumN4</v>
      </c>
      <c r="D185" s="10" t="str">
        <f t="shared" ca="1" si="12"/>
        <v>0PremiumN4</v>
      </c>
      <c r="E185" s="10" t="str">
        <f t="shared" si="13"/>
        <v/>
      </c>
      <c r="F185" s="6">
        <v>0</v>
      </c>
      <c r="G185" s="7">
        <v>224</v>
      </c>
      <c r="H185" s="10" t="str">
        <f ca="1">VLOOKUP($G185,OFFSET([1]characters!$A$2,0,0,COUNTA([1]characters!$A:$A),MATCH(H$1,[1]characters!$2:$2,0)-MATCH($G$1,[1]characters!$2:$2,0)+1),MATCH(H$1,[1]characters!$2:$2,0)-MATCH($G$1,[1]characters!$2:$2,0)+1,FALSE)</f>
        <v>巨腕 ヘラクレス</v>
      </c>
      <c r="I185" s="10" t="str">
        <f ca="1">VLOOKUP($G185,OFFSET([1]characters!$A$2,0,0,COUNTA([1]characters!$A:$A),MATCH(I$1,[1]characters!$2:$2,0)-MATCH($G$1,[1]characters!$2:$2,0)+1),MATCH(I$1,[1]characters!$2:$2,0)-MATCH($G$1,[1]characters!$2:$2,0)+1,FALSE)</f>
        <v>PremiumN</v>
      </c>
      <c r="J185" s="10">
        <f ca="1">VLOOKUP($G185,OFFSET([1]characters!$A$2,0,0,COUNTA([1]characters!$A:$A),MATCH(J$1,[1]characters!$2:$2,0)-MATCH($G$1,[1]characters!$2:$2,0)+1),MATCH(J$1,[1]characters!$2:$2,0)-MATCH($G$1,[1]characters!$2:$2,0)+1,FALSE)</f>
        <v>4</v>
      </c>
      <c r="K185" s="10" t="str">
        <f ca="1">VLOOKUP($G185,OFFSET([1]characters!$A$2,0,0,COUNTA([1]characters!$A:$A),MATCH(K$1,[1]characters!$2:$2,0)-MATCH($G$1,[1]characters!$2:$2,0)+1),MATCH(K$1,[1]characters!$2:$2,0)-MATCH($G$1,[1]characters!$2:$2,0)+1,FALSE)</f>
        <v>yellow</v>
      </c>
      <c r="L185" s="10" t="str">
        <f ca="1">VLOOKUP($G185,OFFSET([1]characters!$A$2,0,0,COUNTA([1]characters!$A:$A),MATCH("タイプ",[1]characters!$1:$1,0)-MATCH($G$1,[1]characters!$2:$2,0)+2),MATCH("タイプ",[1]characters!$1:$1,0)-MATCH($G$1,[1]characters!$2:$2,0)+2,FALSE)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85" s="10" t="str">
        <f ca="1">VLOOKUP($G185,OFFSET([1]characters!$A$2,0,0,COUNTA([1]characters!$A:$A),MATCH($M$1,[1]characters!$1:$1,0)-MATCH($G$1,[1]characters!$2:$2,0)+2),MATCH($M$1,[1]characters!$1:$1,0)-MATCH($G$1,[1]characters!$2:$2,0)+2,FALSE)</f>
        <v>ヒューマン</v>
      </c>
      <c r="N185" s="6">
        <v>1</v>
      </c>
      <c r="O185" s="43">
        <f ca="1">VLOOKUP(D185,gacha_114_base!A:K,11,FALSE)</f>
        <v>715</v>
      </c>
      <c r="P185" s="28">
        <v>0</v>
      </c>
      <c r="Q185" s="28">
        <v>0</v>
      </c>
      <c r="R185" s="28">
        <v>0</v>
      </c>
      <c r="S185" s="28">
        <v>0</v>
      </c>
      <c r="T185" s="28">
        <v>1</v>
      </c>
    </row>
    <row r="186" spans="1:20" ht="21" customHeight="1">
      <c r="A186" s="8" t="str">
        <f t="shared" si="14"/>
        <v>02271</v>
      </c>
      <c r="B186" s="2">
        <v>114</v>
      </c>
      <c r="C186" s="10" t="str">
        <f t="shared" ca="1" si="11"/>
        <v>0PremiumS4</v>
      </c>
      <c r="D186" s="10" t="str">
        <f t="shared" ca="1" si="12"/>
        <v>0PremiumS4</v>
      </c>
      <c r="E186" s="10" t="str">
        <f t="shared" si="13"/>
        <v/>
      </c>
      <c r="F186" s="6">
        <v>0</v>
      </c>
      <c r="G186" s="7">
        <v>227</v>
      </c>
      <c r="H186" s="10" t="str">
        <f ca="1">VLOOKUP($G186,OFFSET([1]characters!$A$2,0,0,COUNTA([1]characters!$A:$A),MATCH(H$1,[1]characters!$2:$2,0)-MATCH($G$1,[1]characters!$2:$2,0)+1),MATCH(H$1,[1]characters!$2:$2,0)-MATCH($G$1,[1]characters!$2:$2,0)+1,FALSE)</f>
        <v>滅弾 アレス</v>
      </c>
      <c r="I186" s="10" t="str">
        <f ca="1">VLOOKUP($G186,OFFSET([1]characters!$A$2,0,0,COUNTA([1]characters!$A:$A),MATCH(I$1,[1]characters!$2:$2,0)-MATCH($G$1,[1]characters!$2:$2,0)+1),MATCH(I$1,[1]characters!$2:$2,0)-MATCH($G$1,[1]characters!$2:$2,0)+1,FALSE)</f>
        <v>PremiumS</v>
      </c>
      <c r="J186" s="10">
        <f ca="1">VLOOKUP($G186,OFFSET([1]characters!$A$2,0,0,COUNTA([1]characters!$A:$A),MATCH(J$1,[1]characters!$2:$2,0)-MATCH($G$1,[1]characters!$2:$2,0)+1),MATCH(J$1,[1]characters!$2:$2,0)-MATCH($G$1,[1]characters!$2:$2,0)+1,FALSE)</f>
        <v>4</v>
      </c>
      <c r="K186" s="10" t="str">
        <f ca="1">VLOOKUP($G186,OFFSET([1]characters!$A$2,0,0,COUNTA([1]characters!$A:$A),MATCH(K$1,[1]characters!$2:$2,0)-MATCH($G$1,[1]characters!$2:$2,0)+1),MATCH(K$1,[1]characters!$2:$2,0)-MATCH($G$1,[1]characters!$2:$2,0)+1,FALSE)</f>
        <v>red</v>
      </c>
      <c r="L186" s="10" t="str">
        <f ca="1">VLOOKUP($G186,OFFSET([1]characters!$A$2,0,0,COUNTA([1]characters!$A:$A),MATCH("タイプ",[1]characters!$1:$1,0)-MATCH($G$1,[1]characters!$2:$2,0)+2),MATCH("タイプ",[1]characters!$1:$1,0)-MATCH($G$1,[1]characters!$2:$2,0)+2,FALSE)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86" s="10" t="str">
        <f ca="1">VLOOKUP($G186,OFFSET([1]characters!$A$2,0,0,COUNTA([1]characters!$A:$A),MATCH($M$1,[1]characters!$1:$1,0)-MATCH($G$1,[1]characters!$2:$2,0)+2),MATCH($M$1,[1]characters!$1:$1,0)-MATCH($G$1,[1]characters!$2:$2,0)+2,FALSE)</f>
        <v>ゴッド</v>
      </c>
      <c r="N186" s="6">
        <v>1</v>
      </c>
      <c r="O186" s="43">
        <f ca="1">VLOOKUP(D186,gacha_114_base!A:K,11,FALSE)</f>
        <v>80</v>
      </c>
      <c r="P186" s="28">
        <v>0</v>
      </c>
      <c r="Q186" s="28">
        <v>0</v>
      </c>
      <c r="R186" s="28">
        <v>0</v>
      </c>
      <c r="S186" s="28">
        <v>0</v>
      </c>
      <c r="T186" s="28">
        <v>1</v>
      </c>
    </row>
    <row r="187" spans="1:20" ht="21" customHeight="1">
      <c r="A187" s="8" t="str">
        <f t="shared" si="14"/>
        <v>02301</v>
      </c>
      <c r="B187" s="2">
        <v>114</v>
      </c>
      <c r="C187" s="10" t="str">
        <f t="shared" ca="1" si="11"/>
        <v>0PremiumS4</v>
      </c>
      <c r="D187" s="10" t="str">
        <f t="shared" ca="1" si="12"/>
        <v>0PremiumS4</v>
      </c>
      <c r="E187" s="10" t="str">
        <f t="shared" si="13"/>
        <v/>
      </c>
      <c r="F187" s="6">
        <v>0</v>
      </c>
      <c r="G187" s="7">
        <v>230</v>
      </c>
      <c r="H187" s="10" t="str">
        <f ca="1">VLOOKUP($G187,OFFSET([1]characters!$A$2,0,0,COUNTA([1]characters!$A:$A),MATCH(H$1,[1]characters!$2:$2,0)-MATCH($G$1,[1]characters!$2:$2,0)+1),MATCH(H$1,[1]characters!$2:$2,0)-MATCH($G$1,[1]characters!$2:$2,0)+1,FALSE)</f>
        <v>毒銃 ヨルムンガンド</v>
      </c>
      <c r="I187" s="10" t="str">
        <f ca="1">VLOOKUP($G187,OFFSET([1]characters!$A$2,0,0,COUNTA([1]characters!$A:$A),MATCH(I$1,[1]characters!$2:$2,0)-MATCH($G$1,[1]characters!$2:$2,0)+1),MATCH(I$1,[1]characters!$2:$2,0)-MATCH($G$1,[1]characters!$2:$2,0)+1,FALSE)</f>
        <v>PremiumS</v>
      </c>
      <c r="J187" s="10">
        <f ca="1">VLOOKUP($G187,OFFSET([1]characters!$A$2,0,0,COUNTA([1]characters!$A:$A),MATCH(J$1,[1]characters!$2:$2,0)-MATCH($G$1,[1]characters!$2:$2,0)+1),MATCH(J$1,[1]characters!$2:$2,0)-MATCH($G$1,[1]characters!$2:$2,0)+1,FALSE)</f>
        <v>4</v>
      </c>
      <c r="K187" s="10" t="str">
        <f ca="1">VLOOKUP($G187,OFFSET([1]characters!$A$2,0,0,COUNTA([1]characters!$A:$A),MATCH(K$1,[1]characters!$2:$2,0)-MATCH($G$1,[1]characters!$2:$2,0)+1),MATCH(K$1,[1]characters!$2:$2,0)-MATCH($G$1,[1]characters!$2:$2,0)+1,FALSE)</f>
        <v>green</v>
      </c>
      <c r="L187" s="10" t="str">
        <f ca="1">VLOOKUP($G187,OFFSET([1]characters!$A$2,0,0,COUNTA([1]characters!$A:$A),MATCH("タイプ",[1]characters!$1:$1,0)-MATCH($G$1,[1]characters!$2:$2,0)+2),MATCH("タイプ",[1]characters!$1:$1,0)-MATCH($G$1,[1]characters!$2:$2,0)+2,FALSE)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87" s="10" t="str">
        <f ca="1">VLOOKUP($G187,OFFSET([1]characters!$A$2,0,0,COUNTA([1]characters!$A:$A),MATCH($M$1,[1]characters!$1:$1,0)-MATCH($G$1,[1]characters!$2:$2,0)+2),MATCH($M$1,[1]characters!$1:$1,0)-MATCH($G$1,[1]characters!$2:$2,0)+2,FALSE)</f>
        <v>ドラゴン</v>
      </c>
      <c r="N187" s="6">
        <v>1</v>
      </c>
      <c r="O187" s="43">
        <f ca="1">VLOOKUP(D187,gacha_114_base!A:K,11,FALSE)</f>
        <v>80</v>
      </c>
      <c r="P187" s="28">
        <v>0</v>
      </c>
      <c r="Q187" s="28">
        <v>0</v>
      </c>
      <c r="R187" s="28">
        <v>0</v>
      </c>
      <c r="S187" s="28">
        <v>0</v>
      </c>
      <c r="T187" s="28">
        <v>1</v>
      </c>
    </row>
    <row r="188" spans="1:20" ht="21" customHeight="1">
      <c r="A188" s="8" t="str">
        <f t="shared" si="14"/>
        <v>02331</v>
      </c>
      <c r="B188" s="2">
        <v>114</v>
      </c>
      <c r="C188" s="10" t="str">
        <f t="shared" ca="1" si="11"/>
        <v>0PremiumS4</v>
      </c>
      <c r="D188" s="10" t="str">
        <f t="shared" ca="1" si="12"/>
        <v>0PremiumS4</v>
      </c>
      <c r="E188" s="10" t="str">
        <f t="shared" si="13"/>
        <v/>
      </c>
      <c r="F188" s="6">
        <v>0</v>
      </c>
      <c r="G188" s="7">
        <v>233</v>
      </c>
      <c r="H188" s="10" t="str">
        <f ca="1">VLOOKUP($G188,OFFSET([1]characters!$A$2,0,0,COUNTA([1]characters!$A:$A),MATCH(H$1,[1]characters!$2:$2,0)-MATCH($G$1,[1]characters!$2:$2,0)+1),MATCH(H$1,[1]characters!$2:$2,0)-MATCH($G$1,[1]characters!$2:$2,0)+1,FALSE)</f>
        <v>遂行 パーシヴァル</v>
      </c>
      <c r="I188" s="10" t="str">
        <f ca="1">VLOOKUP($G188,OFFSET([1]characters!$A$2,0,0,COUNTA([1]characters!$A:$A),MATCH(I$1,[1]characters!$2:$2,0)-MATCH($G$1,[1]characters!$2:$2,0)+1),MATCH(I$1,[1]characters!$2:$2,0)-MATCH($G$1,[1]characters!$2:$2,0)+1,FALSE)</f>
        <v>PremiumS</v>
      </c>
      <c r="J188" s="10">
        <f ca="1">VLOOKUP($G188,OFFSET([1]characters!$A$2,0,0,COUNTA([1]characters!$A:$A),MATCH(J$1,[1]characters!$2:$2,0)-MATCH($G$1,[1]characters!$2:$2,0)+1),MATCH(J$1,[1]characters!$2:$2,0)-MATCH($G$1,[1]characters!$2:$2,0)+1,FALSE)</f>
        <v>4</v>
      </c>
      <c r="K188" s="10" t="str">
        <f ca="1">VLOOKUP($G188,OFFSET([1]characters!$A$2,0,0,COUNTA([1]characters!$A:$A),MATCH(K$1,[1]characters!$2:$2,0)-MATCH($G$1,[1]characters!$2:$2,0)+1),MATCH(K$1,[1]characters!$2:$2,0)-MATCH($G$1,[1]characters!$2:$2,0)+1,FALSE)</f>
        <v>blue</v>
      </c>
      <c r="L188" s="10" t="str">
        <f ca="1">VLOOKUP($G188,OFFSET([1]characters!$A$2,0,0,COUNTA([1]characters!$A:$A),MATCH("タイプ",[1]characters!$1:$1,0)-MATCH($G$1,[1]characters!$2:$2,0)+2),MATCH("タイプ",[1]characters!$1:$1,0)-MATCH($G$1,[1]characters!$2:$2,0)+2,FALSE)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188" s="10" t="str">
        <f ca="1">VLOOKUP($G188,OFFSET([1]characters!$A$2,0,0,COUNTA([1]characters!$A:$A),MATCH($M$1,[1]characters!$1:$1,0)-MATCH($G$1,[1]characters!$2:$2,0)+2),MATCH($M$1,[1]characters!$1:$1,0)-MATCH($G$1,[1]characters!$2:$2,0)+2,FALSE)</f>
        <v>ヒューマン</v>
      </c>
      <c r="N188" s="6">
        <v>1</v>
      </c>
      <c r="O188" s="43">
        <f ca="1">VLOOKUP(D188,gacha_114_base!A:K,11,FALSE)</f>
        <v>80</v>
      </c>
      <c r="P188" s="28">
        <v>0</v>
      </c>
      <c r="Q188" s="28">
        <v>0</v>
      </c>
      <c r="R188" s="28">
        <v>0</v>
      </c>
      <c r="S188" s="28">
        <v>0</v>
      </c>
      <c r="T188" s="28">
        <v>1</v>
      </c>
    </row>
    <row r="189" spans="1:20" ht="21" customHeight="1">
      <c r="A189" s="8" t="str">
        <f t="shared" si="14"/>
        <v>02361</v>
      </c>
      <c r="B189" s="2">
        <v>114</v>
      </c>
      <c r="C189" s="10" t="str">
        <f t="shared" ca="1" si="11"/>
        <v>0PremiumS4</v>
      </c>
      <c r="D189" s="10" t="str">
        <f t="shared" ca="1" si="12"/>
        <v>0PremiumS4</v>
      </c>
      <c r="E189" s="10" t="str">
        <f t="shared" si="13"/>
        <v/>
      </c>
      <c r="F189" s="6">
        <v>0</v>
      </c>
      <c r="G189" s="7">
        <v>236</v>
      </c>
      <c r="H189" s="10" t="str">
        <f ca="1">VLOOKUP($G189,OFFSET([1]characters!$A$2,0,0,COUNTA([1]characters!$A:$A),MATCH(H$1,[1]characters!$2:$2,0)-MATCH($G$1,[1]characters!$2:$2,0)+1),MATCH(H$1,[1]characters!$2:$2,0)-MATCH($G$1,[1]characters!$2:$2,0)+1,FALSE)</f>
        <v>神産 イザナミ</v>
      </c>
      <c r="I189" s="10" t="str">
        <f ca="1">VLOOKUP($G189,OFFSET([1]characters!$A$2,0,0,COUNTA([1]characters!$A:$A),MATCH(I$1,[1]characters!$2:$2,0)-MATCH($G$1,[1]characters!$2:$2,0)+1),MATCH(I$1,[1]characters!$2:$2,0)-MATCH($G$1,[1]characters!$2:$2,0)+1,FALSE)</f>
        <v>PremiumS</v>
      </c>
      <c r="J189" s="10">
        <f ca="1">VLOOKUP($G189,OFFSET([1]characters!$A$2,0,0,COUNTA([1]characters!$A:$A),MATCH(J$1,[1]characters!$2:$2,0)-MATCH($G$1,[1]characters!$2:$2,0)+1),MATCH(J$1,[1]characters!$2:$2,0)-MATCH($G$1,[1]characters!$2:$2,0)+1,FALSE)</f>
        <v>4</v>
      </c>
      <c r="K189" s="10" t="str">
        <f ca="1">VLOOKUP($G189,OFFSET([1]characters!$A$2,0,0,COUNTA([1]characters!$A:$A),MATCH(K$1,[1]characters!$2:$2,0)-MATCH($G$1,[1]characters!$2:$2,0)+1),MATCH(K$1,[1]characters!$2:$2,0)-MATCH($G$1,[1]characters!$2:$2,0)+1,FALSE)</f>
        <v>yellow</v>
      </c>
      <c r="L189" s="10" t="str">
        <f ca="1">VLOOKUP($G189,OFFSET([1]characters!$A$2,0,0,COUNTA([1]characters!$A:$A),MATCH("タイプ",[1]characters!$1:$1,0)-MATCH($G$1,[1]characters!$2:$2,0)+2),MATCH("タイプ",[1]characters!$1:$1,0)-MATCH($G$1,[1]characters!$2:$2,0)+2,FALSE)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89" s="10" t="str">
        <f ca="1">VLOOKUP($G189,OFFSET([1]characters!$A$2,0,0,COUNTA([1]characters!$A:$A),MATCH($M$1,[1]characters!$1:$1,0)-MATCH($G$1,[1]characters!$2:$2,0)+2),MATCH($M$1,[1]characters!$1:$1,0)-MATCH($G$1,[1]characters!$2:$2,0)+2,FALSE)</f>
        <v>ゴッド</v>
      </c>
      <c r="N189" s="6">
        <v>1</v>
      </c>
      <c r="O189" s="43">
        <f ca="1">VLOOKUP(D189,gacha_114_base!A:K,11,FALSE)</f>
        <v>80</v>
      </c>
      <c r="P189" s="28">
        <v>0</v>
      </c>
      <c r="Q189" s="28">
        <v>0</v>
      </c>
      <c r="R189" s="28">
        <v>0</v>
      </c>
      <c r="S189" s="28">
        <v>0</v>
      </c>
      <c r="T189" s="28">
        <v>1</v>
      </c>
    </row>
    <row r="190" spans="1:20" ht="21" customHeight="1">
      <c r="A190" s="8" t="str">
        <f t="shared" si="14"/>
        <v>01681</v>
      </c>
      <c r="B190" s="2">
        <v>114</v>
      </c>
      <c r="C190" s="10" t="str">
        <f t="shared" ca="1" si="11"/>
        <v>0PremiumN5</v>
      </c>
      <c r="D190" s="10" t="str">
        <f t="shared" ca="1" si="12"/>
        <v>0PremiumN5</v>
      </c>
      <c r="E190" s="10" t="str">
        <f t="shared" si="13"/>
        <v/>
      </c>
      <c r="F190" s="6">
        <v>0</v>
      </c>
      <c r="G190" s="7">
        <v>168</v>
      </c>
      <c r="H190" s="10" t="str">
        <f ca="1">VLOOKUP($G190,OFFSET([1]characters!$A$2,0,0,COUNTA([1]characters!$A:$A),MATCH(H$1,[1]characters!$2:$2,0)-MATCH($G$1,[1]characters!$2:$2,0)+1),MATCH(H$1,[1]characters!$2:$2,0)-MATCH($G$1,[1]characters!$2:$2,0)+1,FALSE)</f>
        <v>猛進の大逆者 ベリアル</v>
      </c>
      <c r="I190" s="10" t="str">
        <f ca="1">VLOOKUP($G190,OFFSET([1]characters!$A$2,0,0,COUNTA([1]characters!$A:$A),MATCH(I$1,[1]characters!$2:$2,0)-MATCH($G$1,[1]characters!$2:$2,0)+1),MATCH(I$1,[1]characters!$2:$2,0)-MATCH($G$1,[1]characters!$2:$2,0)+1,FALSE)</f>
        <v>PremiumN</v>
      </c>
      <c r="J190" s="10">
        <f ca="1">VLOOKUP($G190,OFFSET([1]characters!$A$2,0,0,COUNTA([1]characters!$A:$A),MATCH(J$1,[1]characters!$2:$2,0)-MATCH($G$1,[1]characters!$2:$2,0)+1),MATCH(J$1,[1]characters!$2:$2,0)-MATCH($G$1,[1]characters!$2:$2,0)+1,FALSE)</f>
        <v>5</v>
      </c>
      <c r="K190" s="10" t="str">
        <f ca="1">VLOOKUP($G190,OFFSET([1]characters!$A$2,0,0,COUNTA([1]characters!$A:$A),MATCH(K$1,[1]characters!$2:$2,0)-MATCH($G$1,[1]characters!$2:$2,0)+1),MATCH(K$1,[1]characters!$2:$2,0)-MATCH($G$1,[1]characters!$2:$2,0)+1,FALSE)</f>
        <v>red</v>
      </c>
      <c r="L190" s="10" t="str">
        <f ca="1">VLOOKUP($G190,OFFSET([1]characters!$A$2,0,0,COUNTA([1]characters!$A:$A),MATCH("タイプ",[1]characters!$1:$1,0)-MATCH($G$1,[1]characters!$2:$2,0)+2),MATCH("タイプ",[1]characters!$1:$1,0)-MATCH($G$1,[1]characters!$2:$2,0)+2,FALSE)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90" s="10" t="str">
        <f ca="1">VLOOKUP($G190,OFFSET([1]characters!$A$2,0,0,COUNTA([1]characters!$A:$A),MATCH($M$1,[1]characters!$1:$1,0)-MATCH($G$1,[1]characters!$2:$2,0)+2),MATCH($M$1,[1]characters!$1:$1,0)-MATCH($G$1,[1]characters!$2:$2,0)+2,FALSE)</f>
        <v>ゴッド</v>
      </c>
      <c r="N190" s="6">
        <v>1</v>
      </c>
      <c r="O190" s="43">
        <f ca="1">VLOOKUP(D190,gacha_114_base!A:K,11,FALSE)</f>
        <v>241</v>
      </c>
      <c r="P190" s="28">
        <v>0</v>
      </c>
      <c r="Q190" s="28">
        <v>0</v>
      </c>
      <c r="R190" s="28">
        <v>0</v>
      </c>
      <c r="S190" s="28">
        <v>0</v>
      </c>
      <c r="T190" s="28">
        <v>1</v>
      </c>
    </row>
    <row r="191" spans="1:20" ht="21" customHeight="1">
      <c r="A191" s="8" t="str">
        <f t="shared" si="14"/>
        <v>01711</v>
      </c>
      <c r="B191" s="2">
        <v>114</v>
      </c>
      <c r="C191" s="10" t="str">
        <f t="shared" ca="1" si="11"/>
        <v>0PremiumN5</v>
      </c>
      <c r="D191" s="10" t="str">
        <f t="shared" ca="1" si="12"/>
        <v>0PremiumN5</v>
      </c>
      <c r="E191" s="10" t="str">
        <f t="shared" si="13"/>
        <v/>
      </c>
      <c r="F191" s="6">
        <v>0</v>
      </c>
      <c r="G191" s="7">
        <v>171</v>
      </c>
      <c r="H191" s="10" t="str">
        <f ca="1">VLOOKUP($G191,OFFSET([1]characters!$A$2,0,0,COUNTA([1]characters!$A:$A),MATCH(H$1,[1]characters!$2:$2,0)-MATCH($G$1,[1]characters!$2:$2,0)+1),MATCH(H$1,[1]characters!$2:$2,0)-MATCH($G$1,[1]characters!$2:$2,0)+1,FALSE)</f>
        <v>精解の預知者 オセ</v>
      </c>
      <c r="I191" s="10" t="str">
        <f ca="1">VLOOKUP($G191,OFFSET([1]characters!$A$2,0,0,COUNTA([1]characters!$A:$A),MATCH(I$1,[1]characters!$2:$2,0)-MATCH($G$1,[1]characters!$2:$2,0)+1),MATCH(I$1,[1]characters!$2:$2,0)-MATCH($G$1,[1]characters!$2:$2,0)+1,FALSE)</f>
        <v>PremiumN</v>
      </c>
      <c r="J191" s="10">
        <f ca="1">VLOOKUP($G191,OFFSET([1]characters!$A$2,0,0,COUNTA([1]characters!$A:$A),MATCH(J$1,[1]characters!$2:$2,0)-MATCH($G$1,[1]characters!$2:$2,0)+1),MATCH(J$1,[1]characters!$2:$2,0)-MATCH($G$1,[1]characters!$2:$2,0)+1,FALSE)</f>
        <v>5</v>
      </c>
      <c r="K191" s="10" t="str">
        <f ca="1">VLOOKUP($G191,OFFSET([1]characters!$A$2,0,0,COUNTA([1]characters!$A:$A),MATCH(K$1,[1]characters!$2:$2,0)-MATCH($G$1,[1]characters!$2:$2,0)+1),MATCH(K$1,[1]characters!$2:$2,0)-MATCH($G$1,[1]characters!$2:$2,0)+1,FALSE)</f>
        <v>green</v>
      </c>
      <c r="L191" s="10" t="str">
        <f ca="1">VLOOKUP($G191,OFFSET([1]characters!$A$2,0,0,COUNTA([1]characters!$A:$A),MATCH("タイプ",[1]characters!$1:$1,0)-MATCH($G$1,[1]characters!$2:$2,0)+2),MATCH("タイプ",[1]characters!$1:$1,0)-MATCH($G$1,[1]characters!$2:$2,0)+2,FALSE)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91" s="10" t="str">
        <f ca="1">VLOOKUP($G191,OFFSET([1]characters!$A$2,0,0,COUNTA([1]characters!$A:$A),MATCH($M$1,[1]characters!$1:$1,0)-MATCH($G$1,[1]characters!$2:$2,0)+2),MATCH($M$1,[1]characters!$1:$1,0)-MATCH($G$1,[1]characters!$2:$2,0)+2,FALSE)</f>
        <v>ゴッド</v>
      </c>
      <c r="N191" s="6">
        <v>1</v>
      </c>
      <c r="O191" s="43">
        <f ca="1">VLOOKUP(D191,gacha_114_base!A:K,11,FALSE)</f>
        <v>241</v>
      </c>
      <c r="P191" s="28">
        <v>0</v>
      </c>
      <c r="Q191" s="28">
        <v>0</v>
      </c>
      <c r="R191" s="28">
        <v>0</v>
      </c>
      <c r="S191" s="28">
        <v>0</v>
      </c>
      <c r="T191" s="28">
        <v>1</v>
      </c>
    </row>
    <row r="192" spans="1:20" ht="21" customHeight="1">
      <c r="A192" s="8" t="str">
        <f t="shared" si="14"/>
        <v>01741</v>
      </c>
      <c r="B192" s="2">
        <v>114</v>
      </c>
      <c r="C192" s="10" t="str">
        <f t="shared" ca="1" si="11"/>
        <v>0PremiumN5</v>
      </c>
      <c r="D192" s="10" t="str">
        <f t="shared" ca="1" si="12"/>
        <v>0PremiumN5</v>
      </c>
      <c r="E192" s="10" t="str">
        <f t="shared" si="13"/>
        <v/>
      </c>
      <c r="F192" s="6">
        <v>0</v>
      </c>
      <c r="G192" s="7">
        <v>174</v>
      </c>
      <c r="H192" s="10" t="str">
        <f ca="1">VLOOKUP($G192,OFFSET([1]characters!$A$2,0,0,COUNTA([1]characters!$A:$A),MATCH(H$1,[1]characters!$2:$2,0)-MATCH($G$1,[1]characters!$2:$2,0)+1),MATCH(H$1,[1]characters!$2:$2,0)-MATCH($G$1,[1]characters!$2:$2,0)+1,FALSE)</f>
        <v>偽愛の大公爵 フォルネウス</v>
      </c>
      <c r="I192" s="10" t="str">
        <f ca="1">VLOOKUP($G192,OFFSET([1]characters!$A$2,0,0,COUNTA([1]characters!$A:$A),MATCH(I$1,[1]characters!$2:$2,0)-MATCH($G$1,[1]characters!$2:$2,0)+1),MATCH(I$1,[1]characters!$2:$2,0)-MATCH($G$1,[1]characters!$2:$2,0)+1,FALSE)</f>
        <v>PremiumN</v>
      </c>
      <c r="J192" s="10">
        <f ca="1">VLOOKUP($G192,OFFSET([1]characters!$A$2,0,0,COUNTA([1]characters!$A:$A),MATCH(J$1,[1]characters!$2:$2,0)-MATCH($G$1,[1]characters!$2:$2,0)+1),MATCH(J$1,[1]characters!$2:$2,0)-MATCH($G$1,[1]characters!$2:$2,0)+1,FALSE)</f>
        <v>5</v>
      </c>
      <c r="K192" s="10" t="str">
        <f ca="1">VLOOKUP($G192,OFFSET([1]characters!$A$2,0,0,COUNTA([1]characters!$A:$A),MATCH(K$1,[1]characters!$2:$2,0)-MATCH($G$1,[1]characters!$2:$2,0)+1),MATCH(K$1,[1]characters!$2:$2,0)-MATCH($G$1,[1]characters!$2:$2,0)+1,FALSE)</f>
        <v>blue</v>
      </c>
      <c r="L192" s="10" t="str">
        <f ca="1">VLOOKUP($G192,OFFSET([1]characters!$A$2,0,0,COUNTA([1]characters!$A:$A),MATCH("タイプ",[1]characters!$1:$1,0)-MATCH($G$1,[1]characters!$2:$2,0)+2),MATCH("タイプ",[1]characters!$1:$1,0)-MATCH($G$1,[1]characters!$2:$2,0)+2,FALSE)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92" s="10" t="str">
        <f ca="1">VLOOKUP($G192,OFFSET([1]characters!$A$2,0,0,COUNTA([1]characters!$A:$A),MATCH($M$1,[1]characters!$1:$1,0)-MATCH($G$1,[1]characters!$2:$2,0)+2),MATCH($M$1,[1]characters!$1:$1,0)-MATCH($G$1,[1]characters!$2:$2,0)+2,FALSE)</f>
        <v>ゴッド</v>
      </c>
      <c r="N192" s="6">
        <v>1</v>
      </c>
      <c r="O192" s="43">
        <f ca="1">VLOOKUP(D192,gacha_114_base!A:K,11,FALSE)</f>
        <v>241</v>
      </c>
      <c r="P192" s="28">
        <v>0</v>
      </c>
      <c r="Q192" s="28">
        <v>0</v>
      </c>
      <c r="R192" s="28">
        <v>0</v>
      </c>
      <c r="S192" s="28">
        <v>0</v>
      </c>
      <c r="T192" s="28">
        <v>1</v>
      </c>
    </row>
    <row r="193" spans="1:20" ht="21" customHeight="1">
      <c r="A193" s="8" t="str">
        <f t="shared" si="14"/>
        <v>01771</v>
      </c>
      <c r="B193" s="2">
        <v>114</v>
      </c>
      <c r="C193" s="10" t="str">
        <f t="shared" ca="1" si="11"/>
        <v>0PremiumN5</v>
      </c>
      <c r="D193" s="10" t="str">
        <f t="shared" ca="1" si="12"/>
        <v>0PremiumN5</v>
      </c>
      <c r="E193" s="10" t="str">
        <f t="shared" si="13"/>
        <v/>
      </c>
      <c r="F193" s="6">
        <v>0</v>
      </c>
      <c r="G193" s="7">
        <v>177</v>
      </c>
      <c r="H193" s="10" t="str">
        <f ca="1">VLOOKUP($G193,OFFSET([1]characters!$A$2,0,0,COUNTA([1]characters!$A:$A),MATCH(H$1,[1]characters!$2:$2,0)-MATCH($G$1,[1]characters!$2:$2,0)+1),MATCH(H$1,[1]characters!$2:$2,0)-MATCH($G$1,[1]characters!$2:$2,0)+1,FALSE)</f>
        <v>黒魔の異端師 バフォメット</v>
      </c>
      <c r="I193" s="10" t="str">
        <f ca="1">VLOOKUP($G193,OFFSET([1]characters!$A$2,0,0,COUNTA([1]characters!$A:$A),MATCH(I$1,[1]characters!$2:$2,0)-MATCH($G$1,[1]characters!$2:$2,0)+1),MATCH(I$1,[1]characters!$2:$2,0)-MATCH($G$1,[1]characters!$2:$2,0)+1,FALSE)</f>
        <v>PremiumN</v>
      </c>
      <c r="J193" s="10">
        <f ca="1">VLOOKUP($G193,OFFSET([1]characters!$A$2,0,0,COUNTA([1]characters!$A:$A),MATCH(J$1,[1]characters!$2:$2,0)-MATCH($G$1,[1]characters!$2:$2,0)+1),MATCH(J$1,[1]characters!$2:$2,0)-MATCH($G$1,[1]characters!$2:$2,0)+1,FALSE)</f>
        <v>5</v>
      </c>
      <c r="K193" s="10" t="str">
        <f ca="1">VLOOKUP($G193,OFFSET([1]characters!$A$2,0,0,COUNTA([1]characters!$A:$A),MATCH(K$1,[1]characters!$2:$2,0)-MATCH($G$1,[1]characters!$2:$2,0)+1),MATCH(K$1,[1]characters!$2:$2,0)-MATCH($G$1,[1]characters!$2:$2,0)+1,FALSE)</f>
        <v>yellow</v>
      </c>
      <c r="L193" s="10" t="str">
        <f ca="1">VLOOKUP($G193,OFFSET([1]characters!$A$2,0,0,COUNTA([1]characters!$A:$A),MATCH("タイプ",[1]characters!$1:$1,0)-MATCH($G$1,[1]characters!$2:$2,0)+2),MATCH("タイプ",[1]characters!$1:$1,0)-MATCH($G$1,[1]characters!$2:$2,0)+2,FALSE)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93" s="10" t="str">
        <f ca="1">VLOOKUP($G193,OFFSET([1]characters!$A$2,0,0,COUNTA([1]characters!$A:$A),MATCH($M$1,[1]characters!$1:$1,0)-MATCH($G$1,[1]characters!$2:$2,0)+2),MATCH($M$1,[1]characters!$1:$1,0)-MATCH($G$1,[1]characters!$2:$2,0)+2,FALSE)</f>
        <v>ゴッド</v>
      </c>
      <c r="N193" s="6">
        <v>1</v>
      </c>
      <c r="O193" s="43">
        <f ca="1">VLOOKUP(D193,gacha_114_base!A:K,11,FALSE)</f>
        <v>241</v>
      </c>
      <c r="P193" s="28">
        <v>0</v>
      </c>
      <c r="Q193" s="28">
        <v>0</v>
      </c>
      <c r="R193" s="28">
        <v>0</v>
      </c>
      <c r="S193" s="28">
        <v>0</v>
      </c>
      <c r="T193" s="28">
        <v>1</v>
      </c>
    </row>
    <row r="194" spans="1:20" ht="21" customHeight="1">
      <c r="A194" s="8" t="str">
        <f t="shared" si="14"/>
        <v>01801</v>
      </c>
      <c r="B194" s="2">
        <v>114</v>
      </c>
      <c r="C194" s="10" t="str">
        <f t="shared" ca="1" si="11"/>
        <v>0PremiumN5</v>
      </c>
      <c r="D194" s="10" t="str">
        <f t="shared" ca="1" si="12"/>
        <v>0PremiumN5</v>
      </c>
      <c r="E194" s="10" t="str">
        <f t="shared" si="13"/>
        <v/>
      </c>
      <c r="F194" s="6">
        <v>0</v>
      </c>
      <c r="G194" s="7">
        <v>180</v>
      </c>
      <c r="H194" s="10" t="str">
        <f ca="1">VLOOKUP($G194,OFFSET([1]characters!$A$2,0,0,COUNTA([1]characters!$A:$A),MATCH(H$1,[1]characters!$2:$2,0)-MATCH($G$1,[1]characters!$2:$2,0)+1),MATCH(H$1,[1]characters!$2:$2,0)-MATCH($G$1,[1]characters!$2:$2,0)+1,FALSE)</f>
        <v>地獄の大門番 ケルベロス</v>
      </c>
      <c r="I194" s="10" t="str">
        <f ca="1">VLOOKUP($G194,OFFSET([1]characters!$A$2,0,0,COUNTA([1]characters!$A:$A),MATCH(I$1,[1]characters!$2:$2,0)-MATCH($G$1,[1]characters!$2:$2,0)+1),MATCH(I$1,[1]characters!$2:$2,0)-MATCH($G$1,[1]characters!$2:$2,0)+1,FALSE)</f>
        <v>PremiumN</v>
      </c>
      <c r="J194" s="10">
        <f ca="1">VLOOKUP($G194,OFFSET([1]characters!$A$2,0,0,COUNTA([1]characters!$A:$A),MATCH(J$1,[1]characters!$2:$2,0)-MATCH($G$1,[1]characters!$2:$2,0)+1),MATCH(J$1,[1]characters!$2:$2,0)-MATCH($G$1,[1]characters!$2:$2,0)+1,FALSE)</f>
        <v>5</v>
      </c>
      <c r="K194" s="10" t="str">
        <f ca="1">VLOOKUP($G194,OFFSET([1]characters!$A$2,0,0,COUNTA([1]characters!$A:$A),MATCH(K$1,[1]characters!$2:$2,0)-MATCH($G$1,[1]characters!$2:$2,0)+1),MATCH(K$1,[1]characters!$2:$2,0)-MATCH($G$1,[1]characters!$2:$2,0)+1,FALSE)</f>
        <v>red</v>
      </c>
      <c r="L194" s="10" t="str">
        <f ca="1">VLOOKUP($G194,OFFSET([1]characters!$A$2,0,0,COUNTA([1]characters!$A:$A),MATCH("タイプ",[1]characters!$1:$1,0)-MATCH($G$1,[1]characters!$2:$2,0)+2),MATCH("タイプ",[1]characters!$1:$1,0)-MATCH($G$1,[1]characters!$2:$2,0)+2,FALSE)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94" s="10" t="str">
        <f ca="1">VLOOKUP($G194,OFFSET([1]characters!$A$2,0,0,COUNTA([1]characters!$A:$A),MATCH($M$1,[1]characters!$1:$1,0)-MATCH($G$1,[1]characters!$2:$2,0)+2),MATCH($M$1,[1]characters!$1:$1,0)-MATCH($G$1,[1]characters!$2:$2,0)+2,FALSE)</f>
        <v>アニマル</v>
      </c>
      <c r="N194" s="6">
        <v>1</v>
      </c>
      <c r="O194" s="43">
        <f ca="1">VLOOKUP(D194,gacha_114_base!A:K,11,FALSE)</f>
        <v>241</v>
      </c>
      <c r="P194" s="28">
        <v>0</v>
      </c>
      <c r="Q194" s="28">
        <v>0</v>
      </c>
      <c r="R194" s="28">
        <v>0</v>
      </c>
      <c r="S194" s="28">
        <v>0</v>
      </c>
      <c r="T194" s="28">
        <v>1</v>
      </c>
    </row>
    <row r="195" spans="1:20" ht="21" customHeight="1">
      <c r="A195" s="8" t="str">
        <f t="shared" si="14"/>
        <v>01831</v>
      </c>
      <c r="B195" s="2">
        <v>114</v>
      </c>
      <c r="C195" s="10" t="str">
        <f t="shared" ref="C195:C245" ca="1" si="15">F195&amp;I195&amp;J195</f>
        <v>0PremiumN5</v>
      </c>
      <c r="D195" s="10" t="str">
        <f t="shared" ref="D195:D255" ca="1" si="16">F195&amp;I195&amp;E195&amp;J195</f>
        <v>0PremiumN5</v>
      </c>
      <c r="E195" s="10" t="str">
        <f t="shared" ref="E195:E255" si="17">IF(OR(G195=380,G195=381,G195=382,G195=383,G195=384,G195=385,G195=386,G195=387,G195=388,G195=389),"pick","")</f>
        <v/>
      </c>
      <c r="F195" s="6">
        <v>0</v>
      </c>
      <c r="G195" s="7">
        <v>183</v>
      </c>
      <c r="H195" s="10" t="str">
        <f ca="1">VLOOKUP($G195,OFFSET([1]characters!$A$2,0,0,COUNTA([1]characters!$A:$A),MATCH(H$1,[1]characters!$2:$2,0)-MATCH($G$1,[1]characters!$2:$2,0)+1),MATCH(H$1,[1]characters!$2:$2,0)-MATCH($G$1,[1]characters!$2:$2,0)+1,FALSE)</f>
        <v>鈍重な彷徨者 ベヒモス</v>
      </c>
      <c r="I195" s="10" t="str">
        <f ca="1">VLOOKUP($G195,OFFSET([1]characters!$A$2,0,0,COUNTA([1]characters!$A:$A),MATCH(I$1,[1]characters!$2:$2,0)-MATCH($G$1,[1]characters!$2:$2,0)+1),MATCH(I$1,[1]characters!$2:$2,0)-MATCH($G$1,[1]characters!$2:$2,0)+1,FALSE)</f>
        <v>PremiumN</v>
      </c>
      <c r="J195" s="10">
        <f ca="1">VLOOKUP($G195,OFFSET([1]characters!$A$2,0,0,COUNTA([1]characters!$A:$A),MATCH(J$1,[1]characters!$2:$2,0)-MATCH($G$1,[1]characters!$2:$2,0)+1),MATCH(J$1,[1]characters!$2:$2,0)-MATCH($G$1,[1]characters!$2:$2,0)+1,FALSE)</f>
        <v>5</v>
      </c>
      <c r="K195" s="10" t="str">
        <f ca="1">VLOOKUP($G195,OFFSET([1]characters!$A$2,0,0,COUNTA([1]characters!$A:$A),MATCH(K$1,[1]characters!$2:$2,0)-MATCH($G$1,[1]characters!$2:$2,0)+1),MATCH(K$1,[1]characters!$2:$2,0)-MATCH($G$1,[1]characters!$2:$2,0)+1,FALSE)</f>
        <v>green</v>
      </c>
      <c r="L195" s="10" t="str">
        <f ca="1">VLOOKUP($G195,OFFSET([1]characters!$A$2,0,0,COUNTA([1]characters!$A:$A),MATCH("タイプ",[1]characters!$1:$1,0)-MATCH($G$1,[1]characters!$2:$2,0)+2),MATCH("タイプ",[1]characters!$1:$1,0)-MATCH($G$1,[1]characters!$2:$2,0)+2,FALSE)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195" s="10" t="str">
        <f ca="1">VLOOKUP($G195,OFFSET([1]characters!$A$2,0,0,COUNTA([1]characters!$A:$A),MATCH($M$1,[1]characters!$1:$1,0)-MATCH($G$1,[1]characters!$2:$2,0)+2),MATCH($M$1,[1]characters!$1:$1,0)-MATCH($G$1,[1]characters!$2:$2,0)+2,FALSE)</f>
        <v>アニマル</v>
      </c>
      <c r="N195" s="6">
        <v>1</v>
      </c>
      <c r="O195" s="43">
        <f ca="1">VLOOKUP(D195,gacha_114_base!A:K,11,FALSE)</f>
        <v>241</v>
      </c>
      <c r="P195" s="28">
        <v>0</v>
      </c>
      <c r="Q195" s="28">
        <v>0</v>
      </c>
      <c r="R195" s="28">
        <v>0</v>
      </c>
      <c r="S195" s="28">
        <v>0</v>
      </c>
      <c r="T195" s="28">
        <v>1</v>
      </c>
    </row>
    <row r="196" spans="1:20" ht="21" customHeight="1">
      <c r="A196" s="8" t="str">
        <f t="shared" si="14"/>
        <v>01861</v>
      </c>
      <c r="B196" s="2">
        <v>114</v>
      </c>
      <c r="C196" s="10" t="str">
        <f t="shared" ca="1" si="15"/>
        <v>0PremiumN5</v>
      </c>
      <c r="D196" s="10" t="str">
        <f t="shared" ca="1" si="16"/>
        <v>0PremiumN5</v>
      </c>
      <c r="E196" s="10" t="str">
        <f t="shared" si="17"/>
        <v/>
      </c>
      <c r="F196" s="6">
        <v>0</v>
      </c>
      <c r="G196" s="7">
        <v>186</v>
      </c>
      <c r="H196" s="10" t="str">
        <f ca="1">VLOOKUP($G196,OFFSET([1]characters!$A$2,0,0,COUNTA([1]characters!$A:$A),MATCH(H$1,[1]characters!$2:$2,0)-MATCH($G$1,[1]characters!$2:$2,0)+1),MATCH(H$1,[1]characters!$2:$2,0)-MATCH($G$1,[1]characters!$2:$2,0)+1,FALSE)</f>
        <v>誇り高き多触姫・クラーケン</v>
      </c>
      <c r="I196" s="10" t="str">
        <f ca="1">VLOOKUP($G196,OFFSET([1]characters!$A$2,0,0,COUNTA([1]characters!$A:$A),MATCH(I$1,[1]characters!$2:$2,0)-MATCH($G$1,[1]characters!$2:$2,0)+1),MATCH(I$1,[1]characters!$2:$2,0)-MATCH($G$1,[1]characters!$2:$2,0)+1,FALSE)</f>
        <v>PremiumN</v>
      </c>
      <c r="J196" s="10">
        <f ca="1">VLOOKUP($G196,OFFSET([1]characters!$A$2,0,0,COUNTA([1]characters!$A:$A),MATCH(J$1,[1]characters!$2:$2,0)-MATCH($G$1,[1]characters!$2:$2,0)+1),MATCH(J$1,[1]characters!$2:$2,0)-MATCH($G$1,[1]characters!$2:$2,0)+1,FALSE)</f>
        <v>5</v>
      </c>
      <c r="K196" s="10" t="str">
        <f ca="1">VLOOKUP($G196,OFFSET([1]characters!$A$2,0,0,COUNTA([1]characters!$A:$A),MATCH(K$1,[1]characters!$2:$2,0)-MATCH($G$1,[1]characters!$2:$2,0)+1),MATCH(K$1,[1]characters!$2:$2,0)-MATCH($G$1,[1]characters!$2:$2,0)+1,FALSE)</f>
        <v>blue</v>
      </c>
      <c r="L196" s="10" t="str">
        <f ca="1">VLOOKUP($G196,OFFSET([1]characters!$A$2,0,0,COUNTA([1]characters!$A:$A),MATCH("タイプ",[1]characters!$1:$1,0)-MATCH($G$1,[1]characters!$2:$2,0)+2),MATCH("タイプ",[1]characters!$1:$1,0)-MATCH($G$1,[1]characters!$2:$2,0)+2,FALSE)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196" s="10" t="str">
        <f ca="1">VLOOKUP($G196,OFFSET([1]characters!$A$2,0,0,COUNTA([1]characters!$A:$A),MATCH($M$1,[1]characters!$1:$1,0)-MATCH($G$1,[1]characters!$2:$2,0)+2),MATCH($M$1,[1]characters!$1:$1,0)-MATCH($G$1,[1]characters!$2:$2,0)+2,FALSE)</f>
        <v>アニマル</v>
      </c>
      <c r="N196" s="6">
        <v>1</v>
      </c>
      <c r="O196" s="43">
        <f ca="1">VLOOKUP(D196,gacha_114_base!A:K,11,FALSE)</f>
        <v>241</v>
      </c>
      <c r="P196" s="28">
        <v>0</v>
      </c>
      <c r="Q196" s="28">
        <v>0</v>
      </c>
      <c r="R196" s="28">
        <v>0</v>
      </c>
      <c r="S196" s="28">
        <v>0</v>
      </c>
      <c r="T196" s="28">
        <v>1</v>
      </c>
    </row>
    <row r="197" spans="1:20" ht="21" customHeight="1">
      <c r="A197" s="8" t="str">
        <f t="shared" si="14"/>
        <v>01891</v>
      </c>
      <c r="B197" s="2">
        <v>114</v>
      </c>
      <c r="C197" s="10" t="str">
        <f t="shared" ca="1" si="15"/>
        <v>0PremiumN5</v>
      </c>
      <c r="D197" s="10" t="str">
        <f t="shared" ca="1" si="16"/>
        <v>0PremiumN5</v>
      </c>
      <c r="E197" s="10" t="str">
        <f t="shared" si="17"/>
        <v/>
      </c>
      <c r="F197" s="6">
        <v>0</v>
      </c>
      <c r="G197" s="7">
        <v>189</v>
      </c>
      <c r="H197" s="10" t="str">
        <f ca="1">VLOOKUP($G197,OFFSET([1]characters!$A$2,0,0,COUNTA([1]characters!$A:$A),MATCH(H$1,[1]characters!$2:$2,0)-MATCH($G$1,[1]characters!$2:$2,0)+1),MATCH(H$1,[1]characters!$2:$2,0)-MATCH($G$1,[1]characters!$2:$2,0)+1,FALSE)</f>
        <v>迅雷の王禽 ホルス</v>
      </c>
      <c r="I197" s="10" t="str">
        <f ca="1">VLOOKUP($G197,OFFSET([1]characters!$A$2,0,0,COUNTA([1]characters!$A:$A),MATCH(I$1,[1]characters!$2:$2,0)-MATCH($G$1,[1]characters!$2:$2,0)+1),MATCH(I$1,[1]characters!$2:$2,0)-MATCH($G$1,[1]characters!$2:$2,0)+1,FALSE)</f>
        <v>PremiumN</v>
      </c>
      <c r="J197" s="10">
        <f ca="1">VLOOKUP($G197,OFFSET([1]characters!$A$2,0,0,COUNTA([1]characters!$A:$A),MATCH(J$1,[1]characters!$2:$2,0)-MATCH($G$1,[1]characters!$2:$2,0)+1),MATCH(J$1,[1]characters!$2:$2,0)-MATCH($G$1,[1]characters!$2:$2,0)+1,FALSE)</f>
        <v>5</v>
      </c>
      <c r="K197" s="10" t="str">
        <f ca="1">VLOOKUP($G197,OFFSET([1]characters!$A$2,0,0,COUNTA([1]characters!$A:$A),MATCH(K$1,[1]characters!$2:$2,0)-MATCH($G$1,[1]characters!$2:$2,0)+1),MATCH(K$1,[1]characters!$2:$2,0)-MATCH($G$1,[1]characters!$2:$2,0)+1,FALSE)</f>
        <v>yellow</v>
      </c>
      <c r="L197" s="10" t="str">
        <f ca="1">VLOOKUP($G197,OFFSET([1]characters!$A$2,0,0,COUNTA([1]characters!$A:$A),MATCH("タイプ",[1]characters!$1:$1,0)-MATCH($G$1,[1]characters!$2:$2,0)+2),MATCH("タイプ",[1]characters!$1:$1,0)-MATCH($G$1,[1]characters!$2:$2,0)+2,FALSE)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197" s="10" t="str">
        <f ca="1">VLOOKUP($G197,OFFSET([1]characters!$A$2,0,0,COUNTA([1]characters!$A:$A),MATCH($M$1,[1]characters!$1:$1,0)-MATCH($G$1,[1]characters!$2:$2,0)+2),MATCH($M$1,[1]characters!$1:$1,0)-MATCH($G$1,[1]characters!$2:$2,0)+2,FALSE)</f>
        <v>アニマル</v>
      </c>
      <c r="N197" s="6">
        <v>1</v>
      </c>
      <c r="O197" s="43">
        <f ca="1">VLOOKUP(D197,gacha_114_base!A:K,11,FALSE)</f>
        <v>241</v>
      </c>
      <c r="P197" s="28">
        <v>0</v>
      </c>
      <c r="Q197" s="28">
        <v>0</v>
      </c>
      <c r="R197" s="28">
        <v>0</v>
      </c>
      <c r="S197" s="28">
        <v>0</v>
      </c>
      <c r="T197" s="28">
        <v>1</v>
      </c>
    </row>
    <row r="198" spans="1:20" ht="21" customHeight="1">
      <c r="A198" s="8" t="str">
        <f t="shared" si="14"/>
        <v>01921</v>
      </c>
      <c r="B198" s="2">
        <v>114</v>
      </c>
      <c r="C198" s="10" t="str">
        <f t="shared" ca="1" si="15"/>
        <v>0PremiumN5</v>
      </c>
      <c r="D198" s="10" t="str">
        <f t="shared" ca="1" si="16"/>
        <v>0PremiumN5</v>
      </c>
      <c r="E198" s="10" t="str">
        <f t="shared" si="17"/>
        <v/>
      </c>
      <c r="F198" s="6">
        <v>0</v>
      </c>
      <c r="G198" s="7">
        <v>192</v>
      </c>
      <c r="H198" s="10" t="str">
        <f ca="1">VLOOKUP($G198,OFFSET([1]characters!$A$2,0,0,COUNTA([1]characters!$A:$A),MATCH(H$1,[1]characters!$2:$2,0)-MATCH($G$1,[1]characters!$2:$2,0)+1),MATCH(H$1,[1]characters!$2:$2,0)-MATCH($G$1,[1]characters!$2:$2,0)+1,FALSE)</f>
        <v>荘厳なる始祖帝 卑弥呼</v>
      </c>
      <c r="I198" s="10" t="str">
        <f ca="1">VLOOKUP($G198,OFFSET([1]characters!$A$2,0,0,COUNTA([1]characters!$A:$A),MATCH(I$1,[1]characters!$2:$2,0)-MATCH($G$1,[1]characters!$2:$2,0)+1),MATCH(I$1,[1]characters!$2:$2,0)-MATCH($G$1,[1]characters!$2:$2,0)+1,FALSE)</f>
        <v>PremiumN</v>
      </c>
      <c r="J198" s="10">
        <f ca="1">VLOOKUP($G198,OFFSET([1]characters!$A$2,0,0,COUNTA([1]characters!$A:$A),MATCH(J$1,[1]characters!$2:$2,0)-MATCH($G$1,[1]characters!$2:$2,0)+1),MATCH(J$1,[1]characters!$2:$2,0)-MATCH($G$1,[1]characters!$2:$2,0)+1,FALSE)</f>
        <v>5</v>
      </c>
      <c r="K198" s="10" t="str">
        <f ca="1">VLOOKUP($G198,OFFSET([1]characters!$A$2,0,0,COUNTA([1]characters!$A:$A),MATCH(K$1,[1]characters!$2:$2,0)-MATCH($G$1,[1]characters!$2:$2,0)+1),MATCH(K$1,[1]characters!$2:$2,0)-MATCH($G$1,[1]characters!$2:$2,0)+1,FALSE)</f>
        <v>red</v>
      </c>
      <c r="L198" s="10" t="str">
        <f ca="1">VLOOKUP($G198,OFFSET([1]characters!$A$2,0,0,COUNTA([1]characters!$A:$A),MATCH("タイプ",[1]characters!$1:$1,0)-MATCH($G$1,[1]characters!$2:$2,0)+2),MATCH("タイプ",[1]characters!$1:$1,0)-MATCH($G$1,[1]characters!$2:$2,0)+2,FALSE)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98" s="10" t="str">
        <f ca="1">VLOOKUP($G198,OFFSET([1]characters!$A$2,0,0,COUNTA([1]characters!$A:$A),MATCH($M$1,[1]characters!$1:$1,0)-MATCH($G$1,[1]characters!$2:$2,0)+2),MATCH($M$1,[1]characters!$1:$1,0)-MATCH($G$1,[1]characters!$2:$2,0)+2,FALSE)</f>
        <v>ヒューマン</v>
      </c>
      <c r="N198" s="6">
        <v>1</v>
      </c>
      <c r="O198" s="43">
        <f ca="1">VLOOKUP(D198,gacha_114_base!A:K,11,FALSE)</f>
        <v>241</v>
      </c>
      <c r="P198" s="28">
        <v>0</v>
      </c>
      <c r="Q198" s="28">
        <v>0</v>
      </c>
      <c r="R198" s="28">
        <v>0</v>
      </c>
      <c r="S198" s="28">
        <v>0</v>
      </c>
      <c r="T198" s="28">
        <v>1</v>
      </c>
    </row>
    <row r="199" spans="1:20" ht="21" customHeight="1">
      <c r="A199" s="8" t="str">
        <f t="shared" si="14"/>
        <v>01951</v>
      </c>
      <c r="B199" s="2">
        <v>114</v>
      </c>
      <c r="C199" s="10" t="str">
        <f t="shared" ca="1" si="15"/>
        <v>0PremiumN5</v>
      </c>
      <c r="D199" s="10" t="str">
        <f t="shared" ca="1" si="16"/>
        <v>0PremiumN5</v>
      </c>
      <c r="E199" s="10" t="str">
        <f t="shared" si="17"/>
        <v/>
      </c>
      <c r="F199" s="6">
        <v>0</v>
      </c>
      <c r="G199" s="7">
        <v>195</v>
      </c>
      <c r="H199" s="10" t="str">
        <f ca="1">VLOOKUP($G199,OFFSET([1]characters!$A$2,0,0,COUNTA([1]characters!$A:$A),MATCH(H$1,[1]characters!$2:$2,0)-MATCH($G$1,[1]characters!$2:$2,0)+1),MATCH(H$1,[1]characters!$2:$2,0)-MATCH($G$1,[1]characters!$2:$2,0)+1,FALSE)</f>
        <v>グランドハンター ロビンフッド</v>
      </c>
      <c r="I199" s="10" t="str">
        <f ca="1">VLOOKUP($G199,OFFSET([1]characters!$A$2,0,0,COUNTA([1]characters!$A:$A),MATCH(I$1,[1]characters!$2:$2,0)-MATCH($G$1,[1]characters!$2:$2,0)+1),MATCH(I$1,[1]characters!$2:$2,0)-MATCH($G$1,[1]characters!$2:$2,0)+1,FALSE)</f>
        <v>PremiumN</v>
      </c>
      <c r="J199" s="10">
        <f ca="1">VLOOKUP($G199,OFFSET([1]characters!$A$2,0,0,COUNTA([1]characters!$A:$A),MATCH(J$1,[1]characters!$2:$2,0)-MATCH($G$1,[1]characters!$2:$2,0)+1),MATCH(J$1,[1]characters!$2:$2,0)-MATCH($G$1,[1]characters!$2:$2,0)+1,FALSE)</f>
        <v>5</v>
      </c>
      <c r="K199" s="10" t="str">
        <f ca="1">VLOOKUP($G199,OFFSET([1]characters!$A$2,0,0,COUNTA([1]characters!$A:$A),MATCH(K$1,[1]characters!$2:$2,0)-MATCH($G$1,[1]characters!$2:$2,0)+1),MATCH(K$1,[1]characters!$2:$2,0)-MATCH($G$1,[1]characters!$2:$2,0)+1,FALSE)</f>
        <v>green</v>
      </c>
      <c r="L199" s="10" t="str">
        <f ca="1">VLOOKUP($G199,OFFSET([1]characters!$A$2,0,0,COUNTA([1]characters!$A:$A),MATCH("タイプ",[1]characters!$1:$1,0)-MATCH($G$1,[1]characters!$2:$2,0)+2),MATCH("タイプ",[1]characters!$1:$1,0)-MATCH($G$1,[1]characters!$2:$2,0)+2,FALSE)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199" s="10" t="str">
        <f ca="1">VLOOKUP($G199,OFFSET([1]characters!$A$2,0,0,COUNTA([1]characters!$A:$A),MATCH($M$1,[1]characters!$1:$1,0)-MATCH($G$1,[1]characters!$2:$2,0)+2),MATCH($M$1,[1]characters!$1:$1,0)-MATCH($G$1,[1]characters!$2:$2,0)+2,FALSE)</f>
        <v>ヒューマン</v>
      </c>
      <c r="N199" s="6">
        <v>1</v>
      </c>
      <c r="O199" s="43">
        <f ca="1">VLOOKUP(D199,gacha_114_base!A:K,11,FALSE)</f>
        <v>241</v>
      </c>
      <c r="P199" s="28">
        <v>0</v>
      </c>
      <c r="Q199" s="28">
        <v>0</v>
      </c>
      <c r="R199" s="28">
        <v>0</v>
      </c>
      <c r="S199" s="28">
        <v>0</v>
      </c>
      <c r="T199" s="28">
        <v>1</v>
      </c>
    </row>
    <row r="200" spans="1:20" ht="21" customHeight="1">
      <c r="A200" s="8" t="str">
        <f t="shared" si="14"/>
        <v>01981</v>
      </c>
      <c r="B200" s="2">
        <v>114</v>
      </c>
      <c r="C200" s="10" t="str">
        <f t="shared" ca="1" si="15"/>
        <v>0PremiumN5</v>
      </c>
      <c r="D200" s="10" t="str">
        <f t="shared" ca="1" si="16"/>
        <v>0PremiumN5</v>
      </c>
      <c r="E200" s="10" t="str">
        <f t="shared" si="17"/>
        <v/>
      </c>
      <c r="F200" s="6">
        <v>0</v>
      </c>
      <c r="G200" s="7">
        <v>198</v>
      </c>
      <c r="H200" s="10" t="str">
        <f ca="1">VLOOKUP($G200,OFFSET([1]characters!$A$2,0,0,COUNTA([1]characters!$A:$A),MATCH(H$1,[1]characters!$2:$2,0)-MATCH($G$1,[1]characters!$2:$2,0)+1),MATCH(H$1,[1]characters!$2:$2,0)-MATCH($G$1,[1]characters!$2:$2,0)+1,FALSE)</f>
        <v>砕骨の剛腕 アキレス</v>
      </c>
      <c r="I200" s="10" t="str">
        <f ca="1">VLOOKUP($G200,OFFSET([1]characters!$A$2,0,0,COUNTA([1]characters!$A:$A),MATCH(I$1,[1]characters!$2:$2,0)-MATCH($G$1,[1]characters!$2:$2,0)+1),MATCH(I$1,[1]characters!$2:$2,0)-MATCH($G$1,[1]characters!$2:$2,0)+1,FALSE)</f>
        <v>PremiumN</v>
      </c>
      <c r="J200" s="10">
        <f ca="1">VLOOKUP($G200,OFFSET([1]characters!$A$2,0,0,COUNTA([1]characters!$A:$A),MATCH(J$1,[1]characters!$2:$2,0)-MATCH($G$1,[1]characters!$2:$2,0)+1),MATCH(J$1,[1]characters!$2:$2,0)-MATCH($G$1,[1]characters!$2:$2,0)+1,FALSE)</f>
        <v>5</v>
      </c>
      <c r="K200" s="10" t="str">
        <f ca="1">VLOOKUP($G200,OFFSET([1]characters!$A$2,0,0,COUNTA([1]characters!$A:$A),MATCH(K$1,[1]characters!$2:$2,0)-MATCH($G$1,[1]characters!$2:$2,0)+1),MATCH(K$1,[1]characters!$2:$2,0)-MATCH($G$1,[1]characters!$2:$2,0)+1,FALSE)</f>
        <v>yellow</v>
      </c>
      <c r="L200" s="10" t="str">
        <f ca="1">VLOOKUP($G200,OFFSET([1]characters!$A$2,0,0,COUNTA([1]characters!$A:$A),MATCH("タイプ",[1]characters!$1:$1,0)-MATCH($G$1,[1]characters!$2:$2,0)+2),MATCH("タイプ",[1]characters!$1:$1,0)-MATCH($G$1,[1]characters!$2:$2,0)+2,FALSE)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00" s="10" t="str">
        <f ca="1">VLOOKUP($G200,OFFSET([1]characters!$A$2,0,0,COUNTA([1]characters!$A:$A),MATCH($M$1,[1]characters!$1:$1,0)-MATCH($G$1,[1]characters!$2:$2,0)+2),MATCH($M$1,[1]characters!$1:$1,0)-MATCH($G$1,[1]characters!$2:$2,0)+2,FALSE)</f>
        <v>ヒューマン</v>
      </c>
      <c r="N200" s="6">
        <v>1</v>
      </c>
      <c r="O200" s="43">
        <f ca="1">VLOOKUP(D200,gacha_114_base!A:K,11,FALSE)</f>
        <v>241</v>
      </c>
      <c r="P200" s="28">
        <v>0</v>
      </c>
      <c r="Q200" s="28">
        <v>0</v>
      </c>
      <c r="R200" s="28">
        <v>0</v>
      </c>
      <c r="S200" s="28">
        <v>0</v>
      </c>
      <c r="T200" s="28">
        <v>1</v>
      </c>
    </row>
    <row r="201" spans="1:20" ht="21" customHeight="1">
      <c r="A201" s="8" t="str">
        <f t="shared" si="14"/>
        <v>02011</v>
      </c>
      <c r="B201" s="2">
        <v>114</v>
      </c>
      <c r="C201" s="10" t="str">
        <f t="shared" ca="1" si="15"/>
        <v>0PremiumN5</v>
      </c>
      <c r="D201" s="10" t="str">
        <f t="shared" ca="1" si="16"/>
        <v>0PremiumN5</v>
      </c>
      <c r="E201" s="10" t="str">
        <f t="shared" si="17"/>
        <v/>
      </c>
      <c r="F201" s="6">
        <v>0</v>
      </c>
      <c r="G201" s="7">
        <v>201</v>
      </c>
      <c r="H201" s="10" t="str">
        <f ca="1">VLOOKUP($G201,OFFSET([1]characters!$A$2,0,0,COUNTA([1]characters!$A:$A),MATCH(H$1,[1]characters!$2:$2,0)-MATCH($G$1,[1]characters!$2:$2,0)+1),MATCH(H$1,[1]characters!$2:$2,0)-MATCH($G$1,[1]characters!$2:$2,0)+1,FALSE)</f>
        <v>斬空の大破剣 ジークフリート</v>
      </c>
      <c r="I201" s="10" t="str">
        <f ca="1">VLOOKUP($G201,OFFSET([1]characters!$A$2,0,0,COUNTA([1]characters!$A:$A),MATCH(I$1,[1]characters!$2:$2,0)-MATCH($G$1,[1]characters!$2:$2,0)+1),MATCH(I$1,[1]characters!$2:$2,0)-MATCH($G$1,[1]characters!$2:$2,0)+1,FALSE)</f>
        <v>PremiumN</v>
      </c>
      <c r="J201" s="10">
        <f ca="1">VLOOKUP($G201,OFFSET([1]characters!$A$2,0,0,COUNTA([1]characters!$A:$A),MATCH(J$1,[1]characters!$2:$2,0)-MATCH($G$1,[1]characters!$2:$2,0)+1),MATCH(J$1,[1]characters!$2:$2,0)-MATCH($G$1,[1]characters!$2:$2,0)+1,FALSE)</f>
        <v>5</v>
      </c>
      <c r="K201" s="10" t="str">
        <f ca="1">VLOOKUP($G201,OFFSET([1]characters!$A$2,0,0,COUNTA([1]characters!$A:$A),MATCH(K$1,[1]characters!$2:$2,0)-MATCH($G$1,[1]characters!$2:$2,0)+1),MATCH(K$1,[1]characters!$2:$2,0)-MATCH($G$1,[1]characters!$2:$2,0)+1,FALSE)</f>
        <v>blue</v>
      </c>
      <c r="L201" s="10" t="str">
        <f ca="1">VLOOKUP($G201,OFFSET([1]characters!$A$2,0,0,COUNTA([1]characters!$A:$A),MATCH("タイプ",[1]characters!$1:$1,0)-MATCH($G$1,[1]characters!$2:$2,0)+2),MATCH("タイプ",[1]characters!$1:$1,0)-MATCH($G$1,[1]characters!$2:$2,0)+2,FALSE)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01" s="10" t="str">
        <f ca="1">VLOOKUP($G201,OFFSET([1]characters!$A$2,0,0,COUNTA([1]characters!$A:$A),MATCH($M$1,[1]characters!$1:$1,0)-MATCH($G$1,[1]characters!$2:$2,0)+2),MATCH($M$1,[1]characters!$1:$1,0)-MATCH($G$1,[1]characters!$2:$2,0)+2,FALSE)</f>
        <v>ヒューマン</v>
      </c>
      <c r="N201" s="6">
        <v>1</v>
      </c>
      <c r="O201" s="43">
        <f ca="1">VLOOKUP(D201,gacha_114_base!A:K,11,FALSE)</f>
        <v>241</v>
      </c>
      <c r="P201" s="28">
        <v>0</v>
      </c>
      <c r="Q201" s="28">
        <v>0</v>
      </c>
      <c r="R201" s="28">
        <v>0</v>
      </c>
      <c r="S201" s="28">
        <v>0</v>
      </c>
      <c r="T201" s="28">
        <v>1</v>
      </c>
    </row>
    <row r="202" spans="1:20" ht="21" customHeight="1">
      <c r="A202" s="8" t="str">
        <f t="shared" si="14"/>
        <v>02041</v>
      </c>
      <c r="B202" s="2">
        <v>114</v>
      </c>
      <c r="C202" s="10" t="str">
        <f t="shared" ca="1" si="15"/>
        <v>0PremiumN5</v>
      </c>
      <c r="D202" s="10" t="str">
        <f t="shared" ca="1" si="16"/>
        <v>0PremiumN5</v>
      </c>
      <c r="E202" s="10" t="str">
        <f t="shared" si="17"/>
        <v/>
      </c>
      <c r="F202" s="6">
        <v>0</v>
      </c>
      <c r="G202" s="7">
        <v>204</v>
      </c>
      <c r="H202" s="10" t="str">
        <f ca="1">VLOOKUP($G202,OFFSET([1]characters!$A$2,0,0,COUNTA([1]characters!$A:$A),MATCH(H$1,[1]characters!$2:$2,0)-MATCH($G$1,[1]characters!$2:$2,0)+1),MATCH(H$1,[1]characters!$2:$2,0)-MATCH($G$1,[1]characters!$2:$2,0)+1,FALSE)</f>
        <v>慟哭の巨焔 プロメテウス</v>
      </c>
      <c r="I202" s="10" t="str">
        <f ca="1">VLOOKUP($G202,OFFSET([1]characters!$A$2,0,0,COUNTA([1]characters!$A:$A),MATCH(I$1,[1]characters!$2:$2,0)-MATCH($G$1,[1]characters!$2:$2,0)+1),MATCH(I$1,[1]characters!$2:$2,0)-MATCH($G$1,[1]characters!$2:$2,0)+1,FALSE)</f>
        <v>PremiumN</v>
      </c>
      <c r="J202" s="10">
        <f ca="1">VLOOKUP($G202,OFFSET([1]characters!$A$2,0,0,COUNTA([1]characters!$A:$A),MATCH(J$1,[1]characters!$2:$2,0)-MATCH($G$1,[1]characters!$2:$2,0)+1),MATCH(J$1,[1]characters!$2:$2,0)-MATCH($G$1,[1]characters!$2:$2,0)+1,FALSE)</f>
        <v>5</v>
      </c>
      <c r="K202" s="10" t="str">
        <f ca="1">VLOOKUP($G202,OFFSET([1]characters!$A$2,0,0,COUNTA([1]characters!$A:$A),MATCH(K$1,[1]characters!$2:$2,0)-MATCH($G$1,[1]characters!$2:$2,0)+1),MATCH(K$1,[1]characters!$2:$2,0)-MATCH($G$1,[1]characters!$2:$2,0)+1,FALSE)</f>
        <v>red</v>
      </c>
      <c r="L202" s="10" t="str">
        <f ca="1">VLOOKUP($G202,OFFSET([1]characters!$A$2,0,0,COUNTA([1]characters!$A:$A),MATCH("タイプ",[1]characters!$1:$1,0)-MATCH($G$1,[1]characters!$2:$2,0)+2),MATCH("タイプ",[1]characters!$1:$1,0)-MATCH($G$1,[1]characters!$2:$2,0)+2,FALSE)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02" s="10" t="str">
        <f ca="1">VLOOKUP($G202,OFFSET([1]characters!$A$2,0,0,COUNTA([1]characters!$A:$A),MATCH($M$1,[1]characters!$1:$1,0)-MATCH($G$1,[1]characters!$2:$2,0)+2),MATCH($M$1,[1]characters!$1:$1,0)-MATCH($G$1,[1]characters!$2:$2,0)+2,FALSE)</f>
        <v>ゴッド</v>
      </c>
      <c r="N202" s="6">
        <v>1</v>
      </c>
      <c r="O202" s="43">
        <f ca="1">VLOOKUP(D202,gacha_114_base!A:K,11,FALSE)</f>
        <v>241</v>
      </c>
      <c r="P202" s="28">
        <v>0</v>
      </c>
      <c r="Q202" s="28">
        <v>0</v>
      </c>
      <c r="R202" s="28">
        <v>0</v>
      </c>
      <c r="S202" s="28">
        <v>0</v>
      </c>
      <c r="T202" s="28">
        <v>1</v>
      </c>
    </row>
    <row r="203" spans="1:20" ht="21" customHeight="1">
      <c r="A203" s="8" t="str">
        <f t="shared" si="14"/>
        <v>02071</v>
      </c>
      <c r="B203" s="2">
        <v>114</v>
      </c>
      <c r="C203" s="10" t="str">
        <f t="shared" ca="1" si="15"/>
        <v>0PremiumN5</v>
      </c>
      <c r="D203" s="10" t="str">
        <f t="shared" ca="1" si="16"/>
        <v>0PremiumN5</v>
      </c>
      <c r="E203" s="10" t="str">
        <f t="shared" si="17"/>
        <v/>
      </c>
      <c r="F203" s="6">
        <v>0</v>
      </c>
      <c r="G203" s="7">
        <v>207</v>
      </c>
      <c r="H203" s="10" t="str">
        <f ca="1">VLOOKUP($G203,OFFSET([1]characters!$A$2,0,0,COUNTA([1]characters!$A:$A),MATCH(H$1,[1]characters!$2:$2,0)-MATCH($G$1,[1]characters!$2:$2,0)+1),MATCH(H$1,[1]characters!$2:$2,0)-MATCH($G$1,[1]characters!$2:$2,0)+1,FALSE)</f>
        <v>豊穣の麗神・アフロディーテ</v>
      </c>
      <c r="I203" s="10" t="str">
        <f ca="1">VLOOKUP($G203,OFFSET([1]characters!$A$2,0,0,COUNTA([1]characters!$A:$A),MATCH(I$1,[1]characters!$2:$2,0)-MATCH($G$1,[1]characters!$2:$2,0)+1),MATCH(I$1,[1]characters!$2:$2,0)-MATCH($G$1,[1]characters!$2:$2,0)+1,FALSE)</f>
        <v>PremiumN</v>
      </c>
      <c r="J203" s="10">
        <f ca="1">VLOOKUP($G203,OFFSET([1]characters!$A$2,0,0,COUNTA([1]characters!$A:$A),MATCH(J$1,[1]characters!$2:$2,0)-MATCH($G$1,[1]characters!$2:$2,0)+1),MATCH(J$1,[1]characters!$2:$2,0)-MATCH($G$1,[1]characters!$2:$2,0)+1,FALSE)</f>
        <v>5</v>
      </c>
      <c r="K203" s="10" t="str">
        <f ca="1">VLOOKUP($G203,OFFSET([1]characters!$A$2,0,0,COUNTA([1]characters!$A:$A),MATCH(K$1,[1]characters!$2:$2,0)-MATCH($G$1,[1]characters!$2:$2,0)+1),MATCH(K$1,[1]characters!$2:$2,0)-MATCH($G$1,[1]characters!$2:$2,0)+1,FALSE)</f>
        <v>green</v>
      </c>
      <c r="L203" s="10" t="str">
        <f ca="1">VLOOKUP($G203,OFFSET([1]characters!$A$2,0,0,COUNTA([1]characters!$A:$A),MATCH("タイプ",[1]characters!$1:$1,0)-MATCH($G$1,[1]characters!$2:$2,0)+2),MATCH("タイプ",[1]characters!$1:$1,0)-MATCH($G$1,[1]characters!$2:$2,0)+2,FALSE)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03" s="10" t="str">
        <f ca="1">VLOOKUP($G203,OFFSET([1]characters!$A$2,0,0,COUNTA([1]characters!$A:$A),MATCH($M$1,[1]characters!$1:$1,0)-MATCH($G$1,[1]characters!$2:$2,0)+2),MATCH($M$1,[1]characters!$1:$1,0)-MATCH($G$1,[1]characters!$2:$2,0)+2,FALSE)</f>
        <v>ゴッド</v>
      </c>
      <c r="N203" s="6">
        <v>1</v>
      </c>
      <c r="O203" s="43">
        <f ca="1">VLOOKUP(D203,gacha_114_base!A:K,11,FALSE)</f>
        <v>241</v>
      </c>
      <c r="P203" s="28">
        <v>0</v>
      </c>
      <c r="Q203" s="28">
        <v>0</v>
      </c>
      <c r="R203" s="28">
        <v>0</v>
      </c>
      <c r="S203" s="28">
        <v>0</v>
      </c>
      <c r="T203" s="28">
        <v>1</v>
      </c>
    </row>
    <row r="204" spans="1:20" ht="21" customHeight="1">
      <c r="A204" s="8" t="str">
        <f t="shared" si="14"/>
        <v>02101</v>
      </c>
      <c r="B204" s="2">
        <v>114</v>
      </c>
      <c r="C204" s="10" t="str">
        <f t="shared" ca="1" si="15"/>
        <v>0PremiumN5</v>
      </c>
      <c r="D204" s="10" t="str">
        <f t="shared" ca="1" si="16"/>
        <v>0PremiumN5</v>
      </c>
      <c r="E204" s="10" t="str">
        <f t="shared" si="17"/>
        <v/>
      </c>
      <c r="F204" s="6">
        <v>0</v>
      </c>
      <c r="G204" s="7">
        <v>210</v>
      </c>
      <c r="H204" s="10" t="str">
        <f ca="1">VLOOKUP($G204,OFFSET([1]characters!$A$2,0,0,COUNTA([1]characters!$A:$A),MATCH(H$1,[1]characters!$2:$2,0)-MATCH($G$1,[1]characters!$2:$2,0)+1),MATCH(H$1,[1]characters!$2:$2,0)-MATCH($G$1,[1]characters!$2:$2,0)+1,FALSE)</f>
        <v>海底の孤高神 テティス</v>
      </c>
      <c r="I204" s="10" t="str">
        <f ca="1">VLOOKUP($G204,OFFSET([1]characters!$A$2,0,0,COUNTA([1]characters!$A:$A),MATCH(I$1,[1]characters!$2:$2,0)-MATCH($G$1,[1]characters!$2:$2,0)+1),MATCH(I$1,[1]characters!$2:$2,0)-MATCH($G$1,[1]characters!$2:$2,0)+1,FALSE)</f>
        <v>PremiumN</v>
      </c>
      <c r="J204" s="10">
        <f ca="1">VLOOKUP($G204,OFFSET([1]characters!$A$2,0,0,COUNTA([1]characters!$A:$A),MATCH(J$1,[1]characters!$2:$2,0)-MATCH($G$1,[1]characters!$2:$2,0)+1),MATCH(J$1,[1]characters!$2:$2,0)-MATCH($G$1,[1]characters!$2:$2,0)+1,FALSE)</f>
        <v>5</v>
      </c>
      <c r="K204" s="10" t="str">
        <f ca="1">VLOOKUP($G204,OFFSET([1]characters!$A$2,0,0,COUNTA([1]characters!$A:$A),MATCH(K$1,[1]characters!$2:$2,0)-MATCH($G$1,[1]characters!$2:$2,0)+1),MATCH(K$1,[1]characters!$2:$2,0)-MATCH($G$1,[1]characters!$2:$2,0)+1,FALSE)</f>
        <v>blue</v>
      </c>
      <c r="L204" s="10" t="str">
        <f ca="1">VLOOKUP($G204,OFFSET([1]characters!$A$2,0,0,COUNTA([1]characters!$A:$A),MATCH("タイプ",[1]characters!$1:$1,0)-MATCH($G$1,[1]characters!$2:$2,0)+2),MATCH("タイプ",[1]characters!$1:$1,0)-MATCH($G$1,[1]characters!$2:$2,0)+2,FALSE)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04" s="10" t="str">
        <f ca="1">VLOOKUP($G204,OFFSET([1]characters!$A$2,0,0,COUNTA([1]characters!$A:$A),MATCH($M$1,[1]characters!$1:$1,0)-MATCH($G$1,[1]characters!$2:$2,0)+2),MATCH($M$1,[1]characters!$1:$1,0)-MATCH($G$1,[1]characters!$2:$2,0)+2,FALSE)</f>
        <v>ゴッド</v>
      </c>
      <c r="N204" s="6">
        <v>1</v>
      </c>
      <c r="O204" s="43">
        <f ca="1">VLOOKUP(D204,gacha_114_base!A:K,11,FALSE)</f>
        <v>241</v>
      </c>
      <c r="P204" s="28">
        <v>0</v>
      </c>
      <c r="Q204" s="28">
        <v>0</v>
      </c>
      <c r="R204" s="28">
        <v>0</v>
      </c>
      <c r="S204" s="28">
        <v>0</v>
      </c>
      <c r="T204" s="28">
        <v>1</v>
      </c>
    </row>
    <row r="205" spans="1:20" ht="21" customHeight="1">
      <c r="A205" s="8" t="str">
        <f t="shared" si="14"/>
        <v>02131</v>
      </c>
      <c r="B205" s="2">
        <v>114</v>
      </c>
      <c r="C205" s="10" t="str">
        <f t="shared" ca="1" si="15"/>
        <v>0PremiumN5</v>
      </c>
      <c r="D205" s="10" t="str">
        <f t="shared" ca="1" si="16"/>
        <v>0PremiumN5</v>
      </c>
      <c r="E205" s="10" t="str">
        <f t="shared" si="17"/>
        <v/>
      </c>
      <c r="F205" s="6">
        <v>0</v>
      </c>
      <c r="G205" s="7">
        <v>213</v>
      </c>
      <c r="H205" s="10" t="str">
        <f ca="1">VLOOKUP($G205,OFFSET([1]characters!$A$2,0,0,COUNTA([1]characters!$A:$A),MATCH(H$1,[1]characters!$2:$2,0)-MATCH($G$1,[1]characters!$2:$2,0)+1),MATCH(H$1,[1]characters!$2:$2,0)-MATCH($G$1,[1]characters!$2:$2,0)+1,FALSE)</f>
        <v>満天の星降神 アストライアー</v>
      </c>
      <c r="I205" s="10" t="str">
        <f ca="1">VLOOKUP($G205,OFFSET([1]characters!$A$2,0,0,COUNTA([1]characters!$A:$A),MATCH(I$1,[1]characters!$2:$2,0)-MATCH($G$1,[1]characters!$2:$2,0)+1),MATCH(I$1,[1]characters!$2:$2,0)-MATCH($G$1,[1]characters!$2:$2,0)+1,FALSE)</f>
        <v>PremiumN</v>
      </c>
      <c r="J205" s="10">
        <f ca="1">VLOOKUP($G205,OFFSET([1]characters!$A$2,0,0,COUNTA([1]characters!$A:$A),MATCH(J$1,[1]characters!$2:$2,0)-MATCH($G$1,[1]characters!$2:$2,0)+1),MATCH(J$1,[1]characters!$2:$2,0)-MATCH($G$1,[1]characters!$2:$2,0)+1,FALSE)</f>
        <v>5</v>
      </c>
      <c r="K205" s="10" t="str">
        <f ca="1">VLOOKUP($G205,OFFSET([1]characters!$A$2,0,0,COUNTA([1]characters!$A:$A),MATCH(K$1,[1]characters!$2:$2,0)-MATCH($G$1,[1]characters!$2:$2,0)+1),MATCH(K$1,[1]characters!$2:$2,0)-MATCH($G$1,[1]characters!$2:$2,0)+1,FALSE)</f>
        <v>yellow</v>
      </c>
      <c r="L205" s="10" t="str">
        <f ca="1">VLOOKUP($G205,OFFSET([1]characters!$A$2,0,0,COUNTA([1]characters!$A:$A),MATCH("タイプ",[1]characters!$1:$1,0)-MATCH($G$1,[1]characters!$2:$2,0)+2),MATCH("タイプ",[1]characters!$1:$1,0)-MATCH($G$1,[1]characters!$2:$2,0)+2,FALSE)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05" s="10" t="str">
        <f ca="1">VLOOKUP($G205,OFFSET([1]characters!$A$2,0,0,COUNTA([1]characters!$A:$A),MATCH($M$1,[1]characters!$1:$1,0)-MATCH($G$1,[1]characters!$2:$2,0)+2),MATCH($M$1,[1]characters!$1:$1,0)-MATCH($G$1,[1]characters!$2:$2,0)+2,FALSE)</f>
        <v>ゴッド</v>
      </c>
      <c r="N205" s="6">
        <v>1</v>
      </c>
      <c r="O205" s="43">
        <f ca="1">VLOOKUP(D205,gacha_114_base!A:K,11,FALSE)</f>
        <v>241</v>
      </c>
      <c r="P205" s="28">
        <v>0</v>
      </c>
      <c r="Q205" s="28">
        <v>0</v>
      </c>
      <c r="R205" s="28">
        <v>0</v>
      </c>
      <c r="S205" s="28">
        <v>0</v>
      </c>
      <c r="T205" s="28">
        <v>1</v>
      </c>
    </row>
    <row r="206" spans="1:20" ht="21" customHeight="1">
      <c r="A206" s="8" t="str">
        <f t="shared" si="14"/>
        <v>02161</v>
      </c>
      <c r="B206" s="2">
        <v>114</v>
      </c>
      <c r="C206" s="10" t="str">
        <f t="shared" ca="1" si="15"/>
        <v>0PremiumN5</v>
      </c>
      <c r="D206" s="10" t="str">
        <f t="shared" ca="1" si="16"/>
        <v>0PremiumN5</v>
      </c>
      <c r="E206" s="10" t="str">
        <f t="shared" si="17"/>
        <v/>
      </c>
      <c r="F206" s="6">
        <v>0</v>
      </c>
      <c r="G206" s="7">
        <v>216</v>
      </c>
      <c r="H206" s="10" t="str">
        <f ca="1">VLOOKUP($G206,OFFSET([1]characters!$A$2,0,0,COUNTA([1]characters!$A:$A),MATCH(H$1,[1]characters!$2:$2,0)-MATCH($G$1,[1]characters!$2:$2,0)+1),MATCH(H$1,[1]characters!$2:$2,0)-MATCH($G$1,[1]characters!$2:$2,0)+1,FALSE)</f>
        <v>百読の死導司書 アズラエル</v>
      </c>
      <c r="I206" s="10" t="str">
        <f ca="1">VLOOKUP($G206,OFFSET([1]characters!$A$2,0,0,COUNTA([1]characters!$A:$A),MATCH(I$1,[1]characters!$2:$2,0)-MATCH($G$1,[1]characters!$2:$2,0)+1),MATCH(I$1,[1]characters!$2:$2,0)-MATCH($G$1,[1]characters!$2:$2,0)+1,FALSE)</f>
        <v>PremiumN</v>
      </c>
      <c r="J206" s="10">
        <f ca="1">VLOOKUP($G206,OFFSET([1]characters!$A$2,0,0,COUNTA([1]characters!$A:$A),MATCH(J$1,[1]characters!$2:$2,0)-MATCH($G$1,[1]characters!$2:$2,0)+1),MATCH(J$1,[1]characters!$2:$2,0)-MATCH($G$1,[1]characters!$2:$2,0)+1,FALSE)</f>
        <v>5</v>
      </c>
      <c r="K206" s="10" t="str">
        <f ca="1">VLOOKUP($G206,OFFSET([1]characters!$A$2,0,0,COUNTA([1]characters!$A:$A),MATCH(K$1,[1]characters!$2:$2,0)-MATCH($G$1,[1]characters!$2:$2,0)+1),MATCH(K$1,[1]characters!$2:$2,0)-MATCH($G$1,[1]characters!$2:$2,0)+1,FALSE)</f>
        <v>red</v>
      </c>
      <c r="L206" s="10" t="str">
        <f ca="1">VLOOKUP($G206,OFFSET([1]characters!$A$2,0,0,COUNTA([1]characters!$A:$A),MATCH("タイプ",[1]characters!$1:$1,0)-MATCH($G$1,[1]characters!$2:$2,0)+2),MATCH("タイプ",[1]characters!$1:$1,0)-MATCH($G$1,[1]characters!$2:$2,0)+2,FALSE)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06" s="10" t="str">
        <f ca="1">VLOOKUP($G206,OFFSET([1]characters!$A$2,0,0,COUNTA([1]characters!$A:$A),MATCH($M$1,[1]characters!$1:$1,0)-MATCH($G$1,[1]characters!$2:$2,0)+2),MATCH($M$1,[1]characters!$1:$1,0)-MATCH($G$1,[1]characters!$2:$2,0)+2,FALSE)</f>
        <v>ゴッド</v>
      </c>
      <c r="N206" s="6">
        <v>1</v>
      </c>
      <c r="O206" s="43">
        <f ca="1">VLOOKUP(D206,gacha_114_base!A:K,11,FALSE)</f>
        <v>241</v>
      </c>
      <c r="P206" s="28">
        <v>0</v>
      </c>
      <c r="Q206" s="28">
        <v>0</v>
      </c>
      <c r="R206" s="28">
        <v>0</v>
      </c>
      <c r="S206" s="28">
        <v>0</v>
      </c>
      <c r="T206" s="28">
        <v>1</v>
      </c>
    </row>
    <row r="207" spans="1:20" ht="21" customHeight="1">
      <c r="A207" s="8" t="str">
        <f t="shared" si="14"/>
        <v>02191</v>
      </c>
      <c r="B207" s="2">
        <v>114</v>
      </c>
      <c r="C207" s="10" t="str">
        <f t="shared" ca="1" si="15"/>
        <v>0PremiumN5</v>
      </c>
      <c r="D207" s="10" t="str">
        <f t="shared" ca="1" si="16"/>
        <v>0PremiumN5</v>
      </c>
      <c r="E207" s="10" t="str">
        <f t="shared" si="17"/>
        <v/>
      </c>
      <c r="F207" s="6">
        <v>0</v>
      </c>
      <c r="G207" s="7">
        <v>219</v>
      </c>
      <c r="H207" s="10" t="str">
        <f ca="1">VLOOKUP($G207,OFFSET([1]characters!$A$2,0,0,COUNTA([1]characters!$A:$A),MATCH(H$1,[1]characters!$2:$2,0)-MATCH($G$1,[1]characters!$2:$2,0)+1),MATCH(H$1,[1]characters!$2:$2,0)-MATCH($G$1,[1]characters!$2:$2,0)+1,FALSE)</f>
        <v>覇翼の聖蛇竜 ケツァクアトル</v>
      </c>
      <c r="I207" s="10" t="str">
        <f ca="1">VLOOKUP($G207,OFFSET([1]characters!$A$2,0,0,COUNTA([1]characters!$A:$A),MATCH(I$1,[1]characters!$2:$2,0)-MATCH($G$1,[1]characters!$2:$2,0)+1),MATCH(I$1,[1]characters!$2:$2,0)-MATCH($G$1,[1]characters!$2:$2,0)+1,FALSE)</f>
        <v>PremiumN</v>
      </c>
      <c r="J207" s="10">
        <f ca="1">VLOOKUP($G207,OFFSET([1]characters!$A$2,0,0,COUNTA([1]characters!$A:$A),MATCH(J$1,[1]characters!$2:$2,0)-MATCH($G$1,[1]characters!$2:$2,0)+1),MATCH(J$1,[1]characters!$2:$2,0)-MATCH($G$1,[1]characters!$2:$2,0)+1,FALSE)</f>
        <v>5</v>
      </c>
      <c r="K207" s="10" t="str">
        <f ca="1">VLOOKUP($G207,OFFSET([1]characters!$A$2,0,0,COUNTA([1]characters!$A:$A),MATCH(K$1,[1]characters!$2:$2,0)-MATCH($G$1,[1]characters!$2:$2,0)+1),MATCH(K$1,[1]characters!$2:$2,0)-MATCH($G$1,[1]characters!$2:$2,0)+1,FALSE)</f>
        <v>green</v>
      </c>
      <c r="L207" s="10" t="str">
        <f ca="1">VLOOKUP($G207,OFFSET([1]characters!$A$2,0,0,COUNTA([1]characters!$A:$A),MATCH("タイプ",[1]characters!$1:$1,0)-MATCH($G$1,[1]characters!$2:$2,0)+2),MATCH("タイプ",[1]characters!$1:$1,0)-MATCH($G$1,[1]characters!$2:$2,0)+2,FALSE)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07" s="10" t="str">
        <f ca="1">VLOOKUP($G207,OFFSET([1]characters!$A$2,0,0,COUNTA([1]characters!$A:$A),MATCH($M$1,[1]characters!$1:$1,0)-MATCH($G$1,[1]characters!$2:$2,0)+2),MATCH($M$1,[1]characters!$1:$1,0)-MATCH($G$1,[1]characters!$2:$2,0)+2,FALSE)</f>
        <v>ドラゴン</v>
      </c>
      <c r="N207" s="6">
        <v>1</v>
      </c>
      <c r="O207" s="43">
        <f ca="1">VLOOKUP(D207,gacha_114_base!A:K,11,FALSE)</f>
        <v>241</v>
      </c>
      <c r="P207" s="28">
        <v>0</v>
      </c>
      <c r="Q207" s="28">
        <v>0</v>
      </c>
      <c r="R207" s="28">
        <v>0</v>
      </c>
      <c r="S207" s="28">
        <v>0</v>
      </c>
      <c r="T207" s="28">
        <v>1</v>
      </c>
    </row>
    <row r="208" spans="1:20" ht="21" customHeight="1">
      <c r="A208" s="8" t="str">
        <f t="shared" si="14"/>
        <v>02221</v>
      </c>
      <c r="B208" s="2">
        <v>114</v>
      </c>
      <c r="C208" s="10" t="str">
        <f t="shared" ca="1" si="15"/>
        <v>0PremiumN5</v>
      </c>
      <c r="D208" s="10" t="str">
        <f t="shared" ca="1" si="16"/>
        <v>0PremiumN5</v>
      </c>
      <c r="E208" s="10" t="str">
        <f t="shared" si="17"/>
        <v/>
      </c>
      <c r="F208" s="6">
        <v>0</v>
      </c>
      <c r="G208" s="7">
        <v>222</v>
      </c>
      <c r="H208" s="10" t="str">
        <f ca="1">VLOOKUP($G208,OFFSET([1]characters!$A$2,0,0,COUNTA([1]characters!$A:$A),MATCH(H$1,[1]characters!$2:$2,0)-MATCH($G$1,[1]characters!$2:$2,0)+1),MATCH(H$1,[1]characters!$2:$2,0)-MATCH($G$1,[1]characters!$2:$2,0)+1,FALSE)</f>
        <v>避光の鉄鎖宰相 ルキフグス</v>
      </c>
      <c r="I208" s="10" t="str">
        <f ca="1">VLOOKUP($G208,OFFSET([1]characters!$A$2,0,0,COUNTA([1]characters!$A:$A),MATCH(I$1,[1]characters!$2:$2,0)-MATCH($G$1,[1]characters!$2:$2,0)+1),MATCH(I$1,[1]characters!$2:$2,0)-MATCH($G$1,[1]characters!$2:$2,0)+1,FALSE)</f>
        <v>PremiumN</v>
      </c>
      <c r="J208" s="10">
        <f ca="1">VLOOKUP($G208,OFFSET([1]characters!$A$2,0,0,COUNTA([1]characters!$A:$A),MATCH(J$1,[1]characters!$2:$2,0)-MATCH($G$1,[1]characters!$2:$2,0)+1),MATCH(J$1,[1]characters!$2:$2,0)-MATCH($G$1,[1]characters!$2:$2,0)+1,FALSE)</f>
        <v>5</v>
      </c>
      <c r="K208" s="10" t="str">
        <f ca="1">VLOOKUP($G208,OFFSET([1]characters!$A$2,0,0,COUNTA([1]characters!$A:$A),MATCH(K$1,[1]characters!$2:$2,0)-MATCH($G$1,[1]characters!$2:$2,0)+1),MATCH(K$1,[1]characters!$2:$2,0)-MATCH($G$1,[1]characters!$2:$2,0)+1,FALSE)</f>
        <v>blue</v>
      </c>
      <c r="L208" s="10" t="str">
        <f ca="1">VLOOKUP($G208,OFFSET([1]characters!$A$2,0,0,COUNTA([1]characters!$A:$A),MATCH("タイプ",[1]characters!$1:$1,0)-MATCH($G$1,[1]characters!$2:$2,0)+2),MATCH("タイプ",[1]characters!$1:$1,0)-MATCH($G$1,[1]characters!$2:$2,0)+2,FALSE)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08" s="10" t="str">
        <f ca="1">VLOOKUP($G208,OFFSET([1]characters!$A$2,0,0,COUNTA([1]characters!$A:$A),MATCH($M$1,[1]characters!$1:$1,0)-MATCH($G$1,[1]characters!$2:$2,0)+2),MATCH($M$1,[1]characters!$1:$1,0)-MATCH($G$1,[1]characters!$2:$2,0)+2,FALSE)</f>
        <v>ゴッド</v>
      </c>
      <c r="N208" s="6">
        <v>1</v>
      </c>
      <c r="O208" s="43">
        <f ca="1">VLOOKUP(D208,gacha_114_base!A:K,11,FALSE)</f>
        <v>241</v>
      </c>
      <c r="P208" s="28">
        <v>0</v>
      </c>
      <c r="Q208" s="28">
        <v>0</v>
      </c>
      <c r="R208" s="28">
        <v>0</v>
      </c>
      <c r="S208" s="28">
        <v>0</v>
      </c>
      <c r="T208" s="28">
        <v>1</v>
      </c>
    </row>
    <row r="209" spans="1:20" ht="21" customHeight="1">
      <c r="A209" s="8" t="str">
        <f t="shared" si="14"/>
        <v>02251</v>
      </c>
      <c r="B209" s="2">
        <v>114</v>
      </c>
      <c r="C209" s="10" t="str">
        <f t="shared" ca="1" si="15"/>
        <v>0PremiumN5</v>
      </c>
      <c r="D209" s="10" t="str">
        <f t="shared" ca="1" si="16"/>
        <v>0PremiumN5</v>
      </c>
      <c r="E209" s="10" t="str">
        <f t="shared" si="17"/>
        <v/>
      </c>
      <c r="F209" s="6">
        <v>0</v>
      </c>
      <c r="G209" s="7">
        <v>225</v>
      </c>
      <c r="H209" s="10" t="str">
        <f ca="1">VLOOKUP($G209,OFFSET([1]characters!$A$2,0,0,COUNTA([1]characters!$A:$A),MATCH(H$1,[1]characters!$2:$2,0)-MATCH($G$1,[1]characters!$2:$2,0)+1),MATCH(H$1,[1]characters!$2:$2,0)-MATCH($G$1,[1]characters!$2:$2,0)+1,FALSE)</f>
        <v>咆哮の巨獅腕 ヘラクレス</v>
      </c>
      <c r="I209" s="10" t="str">
        <f ca="1">VLOOKUP($G209,OFFSET([1]characters!$A$2,0,0,COUNTA([1]characters!$A:$A),MATCH(I$1,[1]characters!$2:$2,0)-MATCH($G$1,[1]characters!$2:$2,0)+1),MATCH(I$1,[1]characters!$2:$2,0)-MATCH($G$1,[1]characters!$2:$2,0)+1,FALSE)</f>
        <v>PremiumN</v>
      </c>
      <c r="J209" s="10">
        <f ca="1">VLOOKUP($G209,OFFSET([1]characters!$A$2,0,0,COUNTA([1]characters!$A:$A),MATCH(J$1,[1]characters!$2:$2,0)-MATCH($G$1,[1]characters!$2:$2,0)+1),MATCH(J$1,[1]characters!$2:$2,0)-MATCH($G$1,[1]characters!$2:$2,0)+1,FALSE)</f>
        <v>5</v>
      </c>
      <c r="K209" s="10" t="str">
        <f ca="1">VLOOKUP($G209,OFFSET([1]characters!$A$2,0,0,COUNTA([1]characters!$A:$A),MATCH(K$1,[1]characters!$2:$2,0)-MATCH($G$1,[1]characters!$2:$2,0)+1),MATCH(K$1,[1]characters!$2:$2,0)-MATCH($G$1,[1]characters!$2:$2,0)+1,FALSE)</f>
        <v>yellow</v>
      </c>
      <c r="L209" s="10" t="str">
        <f ca="1">VLOOKUP($G209,OFFSET([1]characters!$A$2,0,0,COUNTA([1]characters!$A:$A),MATCH("タイプ",[1]characters!$1:$1,0)-MATCH($G$1,[1]characters!$2:$2,0)+2),MATCH("タイプ",[1]characters!$1:$1,0)-MATCH($G$1,[1]characters!$2:$2,0)+2,FALSE)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09" s="10" t="str">
        <f ca="1">VLOOKUP($G209,OFFSET([1]characters!$A$2,0,0,COUNTA([1]characters!$A:$A),MATCH($M$1,[1]characters!$1:$1,0)-MATCH($G$1,[1]characters!$2:$2,0)+2),MATCH($M$1,[1]characters!$1:$1,0)-MATCH($G$1,[1]characters!$2:$2,0)+2,FALSE)</f>
        <v>ヒューマン</v>
      </c>
      <c r="N209" s="6">
        <v>1</v>
      </c>
      <c r="O209" s="43">
        <f ca="1">VLOOKUP(D209,gacha_114_base!A:K,11,FALSE)</f>
        <v>241</v>
      </c>
      <c r="P209" s="28">
        <v>0</v>
      </c>
      <c r="Q209" s="28">
        <v>0</v>
      </c>
      <c r="R209" s="28">
        <v>0</v>
      </c>
      <c r="S209" s="28">
        <v>0</v>
      </c>
      <c r="T209" s="28">
        <v>1</v>
      </c>
    </row>
    <row r="210" spans="1:20" ht="21" customHeight="1">
      <c r="A210" s="8" t="str">
        <f t="shared" si="14"/>
        <v>02281</v>
      </c>
      <c r="B210" s="2">
        <v>114</v>
      </c>
      <c r="C210" s="10" t="str">
        <f t="shared" ca="1" si="15"/>
        <v>0PremiumS5</v>
      </c>
      <c r="D210" s="10" t="str">
        <f t="shared" ca="1" si="16"/>
        <v>0PremiumS5</v>
      </c>
      <c r="E210" s="10" t="str">
        <f t="shared" si="17"/>
        <v/>
      </c>
      <c r="F210" s="6">
        <v>0</v>
      </c>
      <c r="G210" s="7">
        <v>228</v>
      </c>
      <c r="H210" s="10" t="str">
        <f ca="1">VLOOKUP($G210,OFFSET([1]characters!$A$2,0,0,COUNTA([1]characters!$A:$A),MATCH(H$1,[1]characters!$2:$2,0)-MATCH($G$1,[1]characters!$2:$2,0)+1),MATCH(H$1,[1]characters!$2:$2,0)-MATCH($G$1,[1]characters!$2:$2,0)+1,FALSE)</f>
        <v>殲滅の掃射砲 アレス</v>
      </c>
      <c r="I210" s="10" t="str">
        <f ca="1">VLOOKUP($G210,OFFSET([1]characters!$A$2,0,0,COUNTA([1]characters!$A:$A),MATCH(I$1,[1]characters!$2:$2,0)-MATCH($G$1,[1]characters!$2:$2,0)+1),MATCH(I$1,[1]characters!$2:$2,0)-MATCH($G$1,[1]characters!$2:$2,0)+1,FALSE)</f>
        <v>PremiumS</v>
      </c>
      <c r="J210" s="10">
        <f ca="1">VLOOKUP($G210,OFFSET([1]characters!$A$2,0,0,COUNTA([1]characters!$A:$A),MATCH(J$1,[1]characters!$2:$2,0)-MATCH($G$1,[1]characters!$2:$2,0)+1),MATCH(J$1,[1]characters!$2:$2,0)-MATCH($G$1,[1]characters!$2:$2,0)+1,FALSE)</f>
        <v>5</v>
      </c>
      <c r="K210" s="10" t="str">
        <f ca="1">VLOOKUP($G210,OFFSET([1]characters!$A$2,0,0,COUNTA([1]characters!$A:$A),MATCH(K$1,[1]characters!$2:$2,0)-MATCH($G$1,[1]characters!$2:$2,0)+1),MATCH(K$1,[1]characters!$2:$2,0)-MATCH($G$1,[1]characters!$2:$2,0)+1,FALSE)</f>
        <v>red</v>
      </c>
      <c r="L210" s="10" t="str">
        <f ca="1">VLOOKUP($G210,OFFSET([1]characters!$A$2,0,0,COUNTA([1]characters!$A:$A),MATCH("タイプ",[1]characters!$1:$1,0)-MATCH($G$1,[1]characters!$2:$2,0)+2),MATCH("タイプ",[1]characters!$1:$1,0)-MATCH($G$1,[1]characters!$2:$2,0)+2,FALSE)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10" s="10" t="str">
        <f ca="1">VLOOKUP($G210,OFFSET([1]characters!$A$2,0,0,COUNTA([1]characters!$A:$A),MATCH($M$1,[1]characters!$1:$1,0)-MATCH($G$1,[1]characters!$2:$2,0)+2),MATCH($M$1,[1]characters!$1:$1,0)-MATCH($G$1,[1]characters!$2:$2,0)+2,FALSE)</f>
        <v>ゴッド</v>
      </c>
      <c r="N210" s="6">
        <v>1</v>
      </c>
      <c r="O210" s="43">
        <f ca="1">VLOOKUP(D210,gacha_114_base!A:K,11,FALSE)</f>
        <v>13</v>
      </c>
      <c r="P210" s="28">
        <v>0</v>
      </c>
      <c r="Q210" s="28">
        <v>0</v>
      </c>
      <c r="R210" s="28">
        <v>0</v>
      </c>
      <c r="S210" s="28">
        <v>0</v>
      </c>
      <c r="T210" s="28">
        <v>1</v>
      </c>
    </row>
    <row r="211" spans="1:20" ht="21" customHeight="1">
      <c r="A211" s="8" t="str">
        <f t="shared" si="14"/>
        <v>02311</v>
      </c>
      <c r="B211" s="2">
        <v>114</v>
      </c>
      <c r="C211" s="10" t="str">
        <f t="shared" ca="1" si="15"/>
        <v>0PremiumS5</v>
      </c>
      <c r="D211" s="10" t="str">
        <f t="shared" ca="1" si="16"/>
        <v>0PremiumS5</v>
      </c>
      <c r="E211" s="10" t="str">
        <f t="shared" si="17"/>
        <v/>
      </c>
      <c r="F211" s="6">
        <v>0</v>
      </c>
      <c r="G211" s="7">
        <v>231</v>
      </c>
      <c r="H211" s="10" t="str">
        <f ca="1">VLOOKUP($G211,OFFSET([1]characters!$A$2,0,0,COUNTA([1]characters!$A:$A),MATCH(H$1,[1]characters!$2:$2,0)-MATCH($G$1,[1]characters!$2:$2,0)+1),MATCH(H$1,[1]characters!$2:$2,0)-MATCH($G$1,[1]characters!$2:$2,0)+1,FALSE)</f>
        <v>必中の咬銃 ヨルムンガンド</v>
      </c>
      <c r="I211" s="10" t="str">
        <f ca="1">VLOOKUP($G211,OFFSET([1]characters!$A$2,0,0,COUNTA([1]characters!$A:$A),MATCH(I$1,[1]characters!$2:$2,0)-MATCH($G$1,[1]characters!$2:$2,0)+1),MATCH(I$1,[1]characters!$2:$2,0)-MATCH($G$1,[1]characters!$2:$2,0)+1,FALSE)</f>
        <v>PremiumS</v>
      </c>
      <c r="J211" s="10">
        <f ca="1">VLOOKUP($G211,OFFSET([1]characters!$A$2,0,0,COUNTA([1]characters!$A:$A),MATCH(J$1,[1]characters!$2:$2,0)-MATCH($G$1,[1]characters!$2:$2,0)+1),MATCH(J$1,[1]characters!$2:$2,0)-MATCH($G$1,[1]characters!$2:$2,0)+1,FALSE)</f>
        <v>5</v>
      </c>
      <c r="K211" s="10" t="str">
        <f ca="1">VLOOKUP($G211,OFFSET([1]characters!$A$2,0,0,COUNTA([1]characters!$A:$A),MATCH(K$1,[1]characters!$2:$2,0)-MATCH($G$1,[1]characters!$2:$2,0)+1),MATCH(K$1,[1]characters!$2:$2,0)-MATCH($G$1,[1]characters!$2:$2,0)+1,FALSE)</f>
        <v>green</v>
      </c>
      <c r="L211" s="10" t="str">
        <f ca="1">VLOOKUP($G211,OFFSET([1]characters!$A$2,0,0,COUNTA([1]characters!$A:$A),MATCH("タイプ",[1]characters!$1:$1,0)-MATCH($G$1,[1]characters!$2:$2,0)+2),MATCH("タイプ",[1]characters!$1:$1,0)-MATCH($G$1,[1]characters!$2:$2,0)+2,FALSE)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11" s="10" t="str">
        <f ca="1">VLOOKUP($G211,OFFSET([1]characters!$A$2,0,0,COUNTA([1]characters!$A:$A),MATCH($M$1,[1]characters!$1:$1,0)-MATCH($G$1,[1]characters!$2:$2,0)+2),MATCH($M$1,[1]characters!$1:$1,0)-MATCH($G$1,[1]characters!$2:$2,0)+2,FALSE)</f>
        <v>ドラゴン</v>
      </c>
      <c r="N211" s="6">
        <v>1</v>
      </c>
      <c r="O211" s="43">
        <f ca="1">VLOOKUP(D211,gacha_114_base!A:K,11,FALSE)</f>
        <v>13</v>
      </c>
      <c r="P211" s="28">
        <v>0</v>
      </c>
      <c r="Q211" s="28">
        <v>0</v>
      </c>
      <c r="R211" s="28">
        <v>0</v>
      </c>
      <c r="S211" s="28">
        <v>0</v>
      </c>
      <c r="T211" s="28">
        <v>1</v>
      </c>
    </row>
    <row r="212" spans="1:20" ht="21" customHeight="1">
      <c r="A212" s="8" t="str">
        <f t="shared" si="14"/>
        <v>02341</v>
      </c>
      <c r="B212" s="2">
        <v>114</v>
      </c>
      <c r="C212" s="10" t="str">
        <f t="shared" ca="1" si="15"/>
        <v>0PremiumS5</v>
      </c>
      <c r="D212" s="10" t="str">
        <f t="shared" ca="1" si="16"/>
        <v>0PremiumS5</v>
      </c>
      <c r="E212" s="10" t="str">
        <f t="shared" si="17"/>
        <v/>
      </c>
      <c r="F212" s="6">
        <v>0</v>
      </c>
      <c r="G212" s="7">
        <v>234</v>
      </c>
      <c r="H212" s="10" t="str">
        <f ca="1">VLOOKUP($G212,OFFSET([1]characters!$A$2,0,0,COUNTA([1]characters!$A:$A),MATCH(H$1,[1]characters!$2:$2,0)-MATCH($G$1,[1]characters!$2:$2,0)+1),MATCH(H$1,[1]characters!$2:$2,0)-MATCH($G$1,[1]characters!$2:$2,0)+1,FALSE)</f>
        <v>精密なる照準 パーシヴァル</v>
      </c>
      <c r="I212" s="10" t="str">
        <f ca="1">VLOOKUP($G212,OFFSET([1]characters!$A$2,0,0,COUNTA([1]characters!$A:$A),MATCH(I$1,[1]characters!$2:$2,0)-MATCH($G$1,[1]characters!$2:$2,0)+1),MATCH(I$1,[1]characters!$2:$2,0)-MATCH($G$1,[1]characters!$2:$2,0)+1,FALSE)</f>
        <v>PremiumS</v>
      </c>
      <c r="J212" s="10">
        <f ca="1">VLOOKUP($G212,OFFSET([1]characters!$A$2,0,0,COUNTA([1]characters!$A:$A),MATCH(J$1,[1]characters!$2:$2,0)-MATCH($G$1,[1]characters!$2:$2,0)+1),MATCH(J$1,[1]characters!$2:$2,0)-MATCH($G$1,[1]characters!$2:$2,0)+1,FALSE)</f>
        <v>5</v>
      </c>
      <c r="K212" s="10" t="str">
        <f ca="1">VLOOKUP($G212,OFFSET([1]characters!$A$2,0,0,COUNTA([1]characters!$A:$A),MATCH(K$1,[1]characters!$2:$2,0)-MATCH($G$1,[1]characters!$2:$2,0)+1),MATCH(K$1,[1]characters!$2:$2,0)-MATCH($G$1,[1]characters!$2:$2,0)+1,FALSE)</f>
        <v>blue</v>
      </c>
      <c r="L212" s="10" t="str">
        <f ca="1">VLOOKUP($G212,OFFSET([1]characters!$A$2,0,0,COUNTA([1]characters!$A:$A),MATCH("タイプ",[1]characters!$1:$1,0)-MATCH($G$1,[1]characters!$2:$2,0)+2),MATCH("タイプ",[1]characters!$1:$1,0)-MATCH($G$1,[1]characters!$2:$2,0)+2,FALSE)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12" s="10" t="str">
        <f ca="1">VLOOKUP($G212,OFFSET([1]characters!$A$2,0,0,COUNTA([1]characters!$A:$A),MATCH($M$1,[1]characters!$1:$1,0)-MATCH($G$1,[1]characters!$2:$2,0)+2),MATCH($M$1,[1]characters!$1:$1,0)-MATCH($G$1,[1]characters!$2:$2,0)+2,FALSE)</f>
        <v>ヒューマン</v>
      </c>
      <c r="N212" s="6">
        <v>1</v>
      </c>
      <c r="O212" s="43">
        <f ca="1">VLOOKUP(D212,gacha_114_base!A:K,11,FALSE)</f>
        <v>13</v>
      </c>
      <c r="P212" s="28">
        <v>0</v>
      </c>
      <c r="Q212" s="28">
        <v>0</v>
      </c>
      <c r="R212" s="28">
        <v>0</v>
      </c>
      <c r="S212" s="28">
        <v>0</v>
      </c>
      <c r="T212" s="28">
        <v>1</v>
      </c>
    </row>
    <row r="213" spans="1:20" s="26" customFormat="1" ht="21" customHeight="1" thickBot="1">
      <c r="A213" s="22" t="str">
        <f t="shared" si="14"/>
        <v>02371</v>
      </c>
      <c r="B213" s="2">
        <v>114</v>
      </c>
      <c r="C213" s="10" t="str">
        <f t="shared" ca="1" si="15"/>
        <v>0PremiumS5</v>
      </c>
      <c r="D213" s="10" t="str">
        <f t="shared" ca="1" si="16"/>
        <v>0PremiumS5</v>
      </c>
      <c r="E213" s="10" t="str">
        <f t="shared" si="17"/>
        <v/>
      </c>
      <c r="F213" s="6">
        <v>0</v>
      </c>
      <c r="G213" s="7">
        <v>237</v>
      </c>
      <c r="H213" s="10" t="str">
        <f ca="1">VLOOKUP($G213,OFFSET([1]characters!$A$2,0,0,COUNTA([1]characters!$A:$A),MATCH(H$1,[1]characters!$2:$2,0)-MATCH($G$1,[1]characters!$2:$2,0)+1),MATCH(H$1,[1]characters!$2:$2,0)-MATCH($G$1,[1]characters!$2:$2,0)+1,FALSE)</f>
        <v>森羅万象の神母 イザナミ</v>
      </c>
      <c r="I213" s="10" t="str">
        <f ca="1">VLOOKUP($G213,OFFSET([1]characters!$A$2,0,0,COUNTA([1]characters!$A:$A),MATCH(I$1,[1]characters!$2:$2,0)-MATCH($G$1,[1]characters!$2:$2,0)+1),MATCH(I$1,[1]characters!$2:$2,0)-MATCH($G$1,[1]characters!$2:$2,0)+1,FALSE)</f>
        <v>PremiumS</v>
      </c>
      <c r="J213" s="10">
        <f ca="1">VLOOKUP($G213,OFFSET([1]characters!$A$2,0,0,COUNTA([1]characters!$A:$A),MATCH(J$1,[1]characters!$2:$2,0)-MATCH($G$1,[1]characters!$2:$2,0)+1),MATCH(J$1,[1]characters!$2:$2,0)-MATCH($G$1,[1]characters!$2:$2,0)+1,FALSE)</f>
        <v>5</v>
      </c>
      <c r="K213" s="10" t="str">
        <f ca="1">VLOOKUP($G213,OFFSET([1]characters!$A$2,0,0,COUNTA([1]characters!$A:$A),MATCH(K$1,[1]characters!$2:$2,0)-MATCH($G$1,[1]characters!$2:$2,0)+1),MATCH(K$1,[1]characters!$2:$2,0)-MATCH($G$1,[1]characters!$2:$2,0)+1,FALSE)</f>
        <v>yellow</v>
      </c>
      <c r="L213" s="10" t="str">
        <f ca="1">VLOOKUP($G213,OFFSET([1]characters!$A$2,0,0,COUNTA([1]characters!$A:$A),MATCH("タイプ",[1]characters!$1:$1,0)-MATCH($G$1,[1]characters!$2:$2,0)+2),MATCH("タイプ",[1]characters!$1:$1,0)-MATCH($G$1,[1]characters!$2:$2,0)+2,FALSE)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13" s="10" t="str">
        <f ca="1">VLOOKUP($G213,OFFSET([1]characters!$A$2,0,0,COUNTA([1]characters!$A:$A),MATCH($M$1,[1]characters!$1:$1,0)-MATCH($G$1,[1]characters!$2:$2,0)+2),MATCH($M$1,[1]characters!$1:$1,0)-MATCH($G$1,[1]characters!$2:$2,0)+2,FALSE)</f>
        <v>ゴッド</v>
      </c>
      <c r="N213" s="6">
        <v>1</v>
      </c>
      <c r="O213" s="43">
        <f ca="1">VLOOKUP(D213,gacha_114_base!A:K,11,FALSE)</f>
        <v>13</v>
      </c>
      <c r="P213" s="28">
        <v>0</v>
      </c>
      <c r="Q213" s="28">
        <v>0</v>
      </c>
      <c r="R213" s="28">
        <v>0</v>
      </c>
      <c r="S213" s="28">
        <v>0</v>
      </c>
      <c r="T213" s="28">
        <v>1</v>
      </c>
    </row>
    <row r="214" spans="1:20" ht="21" customHeight="1">
      <c r="A214" s="8" t="str">
        <f t="shared" si="14"/>
        <v>02381</v>
      </c>
      <c r="B214" s="2">
        <v>114</v>
      </c>
      <c r="C214" s="10" t="str">
        <f t="shared" ca="1" si="15"/>
        <v>0PremiumS3</v>
      </c>
      <c r="D214" s="10" t="str">
        <f t="shared" ca="1" si="16"/>
        <v>0PremiumS3</v>
      </c>
      <c r="E214" s="10" t="str">
        <f t="shared" si="17"/>
        <v/>
      </c>
      <c r="F214" s="6">
        <v>0</v>
      </c>
      <c r="G214" s="19">
        <v>238</v>
      </c>
      <c r="H214" s="10" t="str">
        <f ca="1">VLOOKUP($G214,OFFSET([1]characters!$A$2,0,0,COUNTA([1]characters!$A:$A),MATCH(H$1,[1]characters!$2:$2,0)-MATCH($G$1,[1]characters!$2:$2,0)+1),MATCH(H$1,[1]characters!$2:$2,0)-MATCH($G$1,[1]characters!$2:$2,0)+1,FALSE)</f>
        <v>ウリエル</v>
      </c>
      <c r="I214" s="10" t="str">
        <f ca="1">VLOOKUP($G214,OFFSET([1]characters!$A$2,0,0,COUNTA([1]characters!$A:$A),MATCH(I$1,[1]characters!$2:$2,0)-MATCH($G$1,[1]characters!$2:$2,0)+1),MATCH(I$1,[1]characters!$2:$2,0)-MATCH($G$1,[1]characters!$2:$2,0)+1,FALSE)</f>
        <v>PremiumS</v>
      </c>
      <c r="J214" s="10">
        <f ca="1">VLOOKUP($G214,OFFSET([1]characters!$A$2,0,0,COUNTA([1]characters!$A:$A),MATCH(J$1,[1]characters!$2:$2,0)-MATCH($G$1,[1]characters!$2:$2,0)+1),MATCH(J$1,[1]characters!$2:$2,0)-MATCH($G$1,[1]characters!$2:$2,0)+1,FALSE)</f>
        <v>3</v>
      </c>
      <c r="K214" s="10" t="str">
        <f ca="1">VLOOKUP($G214,OFFSET([1]characters!$A$2,0,0,COUNTA([1]characters!$A:$A),MATCH(K$1,[1]characters!$2:$2,0)-MATCH($G$1,[1]characters!$2:$2,0)+1),MATCH(K$1,[1]characters!$2:$2,0)-MATCH($G$1,[1]characters!$2:$2,0)+1,FALSE)</f>
        <v>red</v>
      </c>
      <c r="L214" s="10" t="str">
        <f ca="1">VLOOKUP($G214,OFFSET([1]characters!$A$2,0,0,COUNTA([1]characters!$A:$A),MATCH("タイプ",[1]characters!$1:$1,0)-MATCH($G$1,[1]characters!$2:$2,0)+2),MATCH("タイプ",[1]characters!$1:$1,0)-MATCH($G$1,[1]characters!$2:$2,0)+2,FALSE)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14" s="10" t="str">
        <f ca="1">VLOOKUP($G214,OFFSET([1]characters!$A$2,0,0,COUNTA([1]characters!$A:$A),MATCH($M$1,[1]characters!$1:$1,0)-MATCH($G$1,[1]characters!$2:$2,0)+2),MATCH($M$1,[1]characters!$1:$1,0)-MATCH($G$1,[1]characters!$2:$2,0)+2,FALSE)</f>
        <v>マシン</v>
      </c>
      <c r="N214" s="6">
        <v>1</v>
      </c>
      <c r="O214" s="43">
        <f ca="1">VLOOKUP(D214,gacha_114_base!A:K,11,FALSE)</f>
        <v>228</v>
      </c>
      <c r="P214" s="28">
        <v>0</v>
      </c>
      <c r="Q214" s="28">
        <v>0</v>
      </c>
      <c r="R214" s="28">
        <v>0</v>
      </c>
      <c r="S214" s="28">
        <v>0</v>
      </c>
      <c r="T214" s="28">
        <v>1</v>
      </c>
    </row>
    <row r="215" spans="1:20" ht="21" customHeight="1">
      <c r="A215" s="8" t="str">
        <f t="shared" si="14"/>
        <v>02391</v>
      </c>
      <c r="B215" s="2">
        <v>114</v>
      </c>
      <c r="C215" s="10" t="str">
        <f t="shared" ca="1" si="15"/>
        <v>0PremiumS4</v>
      </c>
      <c r="D215" s="10" t="str">
        <f t="shared" ca="1" si="16"/>
        <v>0PremiumS4</v>
      </c>
      <c r="E215" s="10" t="str">
        <f t="shared" si="17"/>
        <v/>
      </c>
      <c r="F215" s="6">
        <v>0</v>
      </c>
      <c r="G215" s="19">
        <v>239</v>
      </c>
      <c r="H215" s="10" t="str">
        <f ca="1">VLOOKUP($G215,OFFSET([1]characters!$A$2,0,0,COUNTA([1]characters!$A:$A),MATCH(H$1,[1]characters!$2:$2,0)-MATCH($G$1,[1]characters!$2:$2,0)+1),MATCH(H$1,[1]characters!$2:$2,0)-MATCH($G$1,[1]characters!$2:$2,0)+1,FALSE)</f>
        <v>豪炎の天使 ウリエル</v>
      </c>
      <c r="I215" s="10" t="str">
        <f ca="1">VLOOKUP($G215,OFFSET([1]characters!$A$2,0,0,COUNTA([1]characters!$A:$A),MATCH(I$1,[1]characters!$2:$2,0)-MATCH($G$1,[1]characters!$2:$2,0)+1),MATCH(I$1,[1]characters!$2:$2,0)-MATCH($G$1,[1]characters!$2:$2,0)+1,FALSE)</f>
        <v>PremiumS</v>
      </c>
      <c r="J215" s="10">
        <f ca="1">VLOOKUP($G215,OFFSET([1]characters!$A$2,0,0,COUNTA([1]characters!$A:$A),MATCH(J$1,[1]characters!$2:$2,0)-MATCH($G$1,[1]characters!$2:$2,0)+1),MATCH(J$1,[1]characters!$2:$2,0)-MATCH($G$1,[1]characters!$2:$2,0)+1,FALSE)</f>
        <v>4</v>
      </c>
      <c r="K215" s="10" t="str">
        <f ca="1">VLOOKUP($G215,OFFSET([1]characters!$A$2,0,0,COUNTA([1]characters!$A:$A),MATCH(K$1,[1]characters!$2:$2,0)-MATCH($G$1,[1]characters!$2:$2,0)+1),MATCH(K$1,[1]characters!$2:$2,0)-MATCH($G$1,[1]characters!$2:$2,0)+1,FALSE)</f>
        <v>red</v>
      </c>
      <c r="L215" s="10" t="str">
        <f ca="1">VLOOKUP($G215,OFFSET([1]characters!$A$2,0,0,COUNTA([1]characters!$A:$A),MATCH("タイプ",[1]characters!$1:$1,0)-MATCH($G$1,[1]characters!$2:$2,0)+2),MATCH("タイプ",[1]characters!$1:$1,0)-MATCH($G$1,[1]characters!$2:$2,0)+2,FALSE)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15" s="10" t="str">
        <f ca="1">VLOOKUP($G215,OFFSET([1]characters!$A$2,0,0,COUNTA([1]characters!$A:$A),MATCH($M$1,[1]characters!$1:$1,0)-MATCH($G$1,[1]characters!$2:$2,0)+2),MATCH($M$1,[1]characters!$1:$1,0)-MATCH($G$1,[1]characters!$2:$2,0)+2,FALSE)</f>
        <v>マシン</v>
      </c>
      <c r="N215" s="6">
        <v>1</v>
      </c>
      <c r="O215" s="43">
        <f ca="1">VLOOKUP(D215,gacha_114_base!A:K,11,FALSE)</f>
        <v>80</v>
      </c>
      <c r="P215" s="28">
        <v>0</v>
      </c>
      <c r="Q215" s="28">
        <v>0</v>
      </c>
      <c r="R215" s="28">
        <v>0</v>
      </c>
      <c r="S215" s="28">
        <v>0</v>
      </c>
      <c r="T215" s="28">
        <v>1</v>
      </c>
    </row>
    <row r="216" spans="1:20" ht="21" customHeight="1">
      <c r="A216" s="8" t="str">
        <f t="shared" si="14"/>
        <v>02401</v>
      </c>
      <c r="B216" s="2">
        <v>114</v>
      </c>
      <c r="C216" s="10" t="str">
        <f t="shared" ca="1" si="15"/>
        <v>0PremiumS5</v>
      </c>
      <c r="D216" s="10" t="str">
        <f t="shared" ca="1" si="16"/>
        <v>0PremiumS5</v>
      </c>
      <c r="E216" s="10" t="str">
        <f t="shared" si="17"/>
        <v/>
      </c>
      <c r="F216" s="6">
        <v>0</v>
      </c>
      <c r="G216" s="19">
        <v>240</v>
      </c>
      <c r="H216" s="10" t="str">
        <f ca="1">VLOOKUP($G216,OFFSET([1]characters!$A$2,0,0,COUNTA([1]characters!$A:$A),MATCH(H$1,[1]characters!$2:$2,0)-MATCH($G$1,[1]characters!$2:$2,0)+1),MATCH(H$1,[1]characters!$2:$2,0)-MATCH($G$1,[1]characters!$2:$2,0)+1,FALSE)</f>
        <v>轟炎の天使 ウリエル・スレイヤー</v>
      </c>
      <c r="I216" s="10" t="str">
        <f ca="1">VLOOKUP($G216,OFFSET([1]characters!$A$2,0,0,COUNTA([1]characters!$A:$A),MATCH(I$1,[1]characters!$2:$2,0)-MATCH($G$1,[1]characters!$2:$2,0)+1),MATCH(I$1,[1]characters!$2:$2,0)-MATCH($G$1,[1]characters!$2:$2,0)+1,FALSE)</f>
        <v>PremiumS</v>
      </c>
      <c r="J216" s="10">
        <f ca="1">VLOOKUP($G216,OFFSET([1]characters!$A$2,0,0,COUNTA([1]characters!$A:$A),MATCH(J$1,[1]characters!$2:$2,0)-MATCH($G$1,[1]characters!$2:$2,0)+1),MATCH(J$1,[1]characters!$2:$2,0)-MATCH($G$1,[1]characters!$2:$2,0)+1,FALSE)</f>
        <v>5</v>
      </c>
      <c r="K216" s="10" t="str">
        <f ca="1">VLOOKUP($G216,OFFSET([1]characters!$A$2,0,0,COUNTA([1]characters!$A:$A),MATCH(K$1,[1]characters!$2:$2,0)-MATCH($G$1,[1]characters!$2:$2,0)+1),MATCH(K$1,[1]characters!$2:$2,0)-MATCH($G$1,[1]characters!$2:$2,0)+1,FALSE)</f>
        <v>red</v>
      </c>
      <c r="L216" s="10" t="str">
        <f ca="1">VLOOKUP($G216,OFFSET([1]characters!$A$2,0,0,COUNTA([1]characters!$A:$A),MATCH("タイプ",[1]characters!$1:$1,0)-MATCH($G$1,[1]characters!$2:$2,0)+2),MATCH("タイプ",[1]characters!$1:$1,0)-MATCH($G$1,[1]characters!$2:$2,0)+2,FALSE)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16" s="10" t="str">
        <f ca="1">VLOOKUP($G216,OFFSET([1]characters!$A$2,0,0,COUNTA([1]characters!$A:$A),MATCH($M$1,[1]characters!$1:$1,0)-MATCH($G$1,[1]characters!$2:$2,0)+2),MATCH($M$1,[1]characters!$1:$1,0)-MATCH($G$1,[1]characters!$2:$2,0)+2,FALSE)</f>
        <v>マシン</v>
      </c>
      <c r="N216" s="6">
        <v>1</v>
      </c>
      <c r="O216" s="43">
        <f ca="1">VLOOKUP(D216,gacha_114_base!A:K,11,FALSE)</f>
        <v>13</v>
      </c>
      <c r="P216" s="28">
        <v>0</v>
      </c>
      <c r="Q216" s="28">
        <v>0</v>
      </c>
      <c r="R216" s="28">
        <v>0</v>
      </c>
      <c r="S216" s="28">
        <v>0</v>
      </c>
      <c r="T216" s="28">
        <v>1</v>
      </c>
    </row>
    <row r="217" spans="1:20" ht="21" customHeight="1">
      <c r="A217" s="8" t="str">
        <f t="shared" si="14"/>
        <v>02411</v>
      </c>
      <c r="B217" s="2">
        <v>114</v>
      </c>
      <c r="C217" s="10" t="str">
        <f t="shared" ca="1" si="15"/>
        <v>0PremiumS3</v>
      </c>
      <c r="D217" s="10" t="str">
        <f t="shared" ca="1" si="16"/>
        <v>0PremiumS3</v>
      </c>
      <c r="E217" s="10" t="str">
        <f t="shared" si="17"/>
        <v/>
      </c>
      <c r="F217" s="6">
        <v>0</v>
      </c>
      <c r="G217" s="19">
        <v>241</v>
      </c>
      <c r="H217" s="10" t="str">
        <f ca="1">VLOOKUP($G217,OFFSET([1]characters!$A$2,0,0,COUNTA([1]characters!$A:$A),MATCH(H$1,[1]characters!$2:$2,0)-MATCH($G$1,[1]characters!$2:$2,0)+1),MATCH(H$1,[1]characters!$2:$2,0)-MATCH($G$1,[1]characters!$2:$2,0)+1,FALSE)</f>
        <v>ガブリエル</v>
      </c>
      <c r="I217" s="10" t="str">
        <f ca="1">VLOOKUP($G217,OFFSET([1]characters!$A$2,0,0,COUNTA([1]characters!$A:$A),MATCH(I$1,[1]characters!$2:$2,0)-MATCH($G$1,[1]characters!$2:$2,0)+1),MATCH(I$1,[1]characters!$2:$2,0)-MATCH($G$1,[1]characters!$2:$2,0)+1,FALSE)</f>
        <v>PremiumS</v>
      </c>
      <c r="J217" s="10">
        <f ca="1">VLOOKUP($G217,OFFSET([1]characters!$A$2,0,0,COUNTA([1]characters!$A:$A),MATCH(J$1,[1]characters!$2:$2,0)-MATCH($G$1,[1]characters!$2:$2,0)+1),MATCH(J$1,[1]characters!$2:$2,0)-MATCH($G$1,[1]characters!$2:$2,0)+1,FALSE)</f>
        <v>3</v>
      </c>
      <c r="K217" s="10" t="str">
        <f ca="1">VLOOKUP($G217,OFFSET([1]characters!$A$2,0,0,COUNTA([1]characters!$A:$A),MATCH(K$1,[1]characters!$2:$2,0)-MATCH($G$1,[1]characters!$2:$2,0)+1),MATCH(K$1,[1]characters!$2:$2,0)-MATCH($G$1,[1]characters!$2:$2,0)+1,FALSE)</f>
        <v>green</v>
      </c>
      <c r="L217" s="10" t="str">
        <f ca="1">VLOOKUP($G217,OFFSET([1]characters!$A$2,0,0,COUNTA([1]characters!$A:$A),MATCH("タイプ",[1]characters!$1:$1,0)-MATCH($G$1,[1]characters!$2:$2,0)+2),MATCH("タイプ",[1]characters!$1:$1,0)-MATCH($G$1,[1]characters!$2:$2,0)+2,FALSE)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17" s="10" t="str">
        <f ca="1">VLOOKUP($G217,OFFSET([1]characters!$A$2,0,0,COUNTA([1]characters!$A:$A),MATCH($M$1,[1]characters!$1:$1,0)-MATCH($G$1,[1]characters!$2:$2,0)+2),MATCH($M$1,[1]characters!$1:$1,0)-MATCH($G$1,[1]characters!$2:$2,0)+2,FALSE)</f>
        <v>マシン</v>
      </c>
      <c r="N217" s="6">
        <v>1</v>
      </c>
      <c r="O217" s="43">
        <f ca="1">VLOOKUP(D217,gacha_114_base!A:K,11,FALSE)</f>
        <v>228</v>
      </c>
      <c r="P217" s="28">
        <v>0</v>
      </c>
      <c r="Q217" s="28">
        <v>0</v>
      </c>
      <c r="R217" s="28">
        <v>0</v>
      </c>
      <c r="S217" s="28">
        <v>0</v>
      </c>
      <c r="T217" s="28">
        <v>1</v>
      </c>
    </row>
    <row r="218" spans="1:20" ht="21" customHeight="1">
      <c r="A218" s="8" t="str">
        <f t="shared" si="14"/>
        <v>02421</v>
      </c>
      <c r="B218" s="2">
        <v>114</v>
      </c>
      <c r="C218" s="10" t="str">
        <f t="shared" ca="1" si="15"/>
        <v>0PremiumS4</v>
      </c>
      <c r="D218" s="10" t="str">
        <f t="shared" ca="1" si="16"/>
        <v>0PremiumS4</v>
      </c>
      <c r="E218" s="10" t="str">
        <f t="shared" si="17"/>
        <v/>
      </c>
      <c r="F218" s="6">
        <v>0</v>
      </c>
      <c r="G218" s="19">
        <v>242</v>
      </c>
      <c r="H218" s="10" t="str">
        <f ca="1">VLOOKUP($G218,OFFSET([1]characters!$A$2,0,0,COUNTA([1]characters!$A:$A),MATCH(H$1,[1]characters!$2:$2,0)-MATCH($G$1,[1]characters!$2:$2,0)+1),MATCH(H$1,[1]characters!$2:$2,0)-MATCH($G$1,[1]characters!$2:$2,0)+1,FALSE)</f>
        <v>百花の天使 ガブリエル</v>
      </c>
      <c r="I218" s="10" t="str">
        <f ca="1">VLOOKUP($G218,OFFSET([1]characters!$A$2,0,0,COUNTA([1]characters!$A:$A),MATCH(I$1,[1]characters!$2:$2,0)-MATCH($G$1,[1]characters!$2:$2,0)+1),MATCH(I$1,[1]characters!$2:$2,0)-MATCH($G$1,[1]characters!$2:$2,0)+1,FALSE)</f>
        <v>PremiumS</v>
      </c>
      <c r="J218" s="10">
        <f ca="1">VLOOKUP($G218,OFFSET([1]characters!$A$2,0,0,COUNTA([1]characters!$A:$A),MATCH(J$1,[1]characters!$2:$2,0)-MATCH($G$1,[1]characters!$2:$2,0)+1),MATCH(J$1,[1]characters!$2:$2,0)-MATCH($G$1,[1]characters!$2:$2,0)+1,FALSE)</f>
        <v>4</v>
      </c>
      <c r="K218" s="10" t="str">
        <f ca="1">VLOOKUP($G218,OFFSET([1]characters!$A$2,0,0,COUNTA([1]characters!$A:$A),MATCH(K$1,[1]characters!$2:$2,0)-MATCH($G$1,[1]characters!$2:$2,0)+1),MATCH(K$1,[1]characters!$2:$2,0)-MATCH($G$1,[1]characters!$2:$2,0)+1,FALSE)</f>
        <v>green</v>
      </c>
      <c r="L218" s="10" t="str">
        <f ca="1">VLOOKUP($G218,OFFSET([1]characters!$A$2,0,0,COUNTA([1]characters!$A:$A),MATCH("タイプ",[1]characters!$1:$1,0)-MATCH($G$1,[1]characters!$2:$2,0)+2),MATCH("タイプ",[1]characters!$1:$1,0)-MATCH($G$1,[1]characters!$2:$2,0)+2,FALSE)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18" s="10" t="str">
        <f ca="1">VLOOKUP($G218,OFFSET([1]characters!$A$2,0,0,COUNTA([1]characters!$A:$A),MATCH($M$1,[1]characters!$1:$1,0)-MATCH($G$1,[1]characters!$2:$2,0)+2),MATCH($M$1,[1]characters!$1:$1,0)-MATCH($G$1,[1]characters!$2:$2,0)+2,FALSE)</f>
        <v>マシン</v>
      </c>
      <c r="N218" s="6">
        <v>1</v>
      </c>
      <c r="O218" s="43">
        <f ca="1">VLOOKUP(D218,gacha_114_base!A:K,11,FALSE)</f>
        <v>80</v>
      </c>
      <c r="P218" s="28">
        <v>0</v>
      </c>
      <c r="Q218" s="28">
        <v>0</v>
      </c>
      <c r="R218" s="28">
        <v>0</v>
      </c>
      <c r="S218" s="28">
        <v>0</v>
      </c>
      <c r="T218" s="28">
        <v>1</v>
      </c>
    </row>
    <row r="219" spans="1:20" ht="21" customHeight="1">
      <c r="A219" s="8" t="str">
        <f t="shared" ref="A219:A255" si="18">F219&amp;G219&amp;N219</f>
        <v>02431</v>
      </c>
      <c r="B219" s="2">
        <v>114</v>
      </c>
      <c r="C219" s="10" t="str">
        <f t="shared" ca="1" si="15"/>
        <v>0PremiumS5</v>
      </c>
      <c r="D219" s="10" t="str">
        <f t="shared" ca="1" si="16"/>
        <v>0PremiumS5</v>
      </c>
      <c r="E219" s="10" t="str">
        <f t="shared" si="17"/>
        <v/>
      </c>
      <c r="F219" s="6">
        <v>0</v>
      </c>
      <c r="G219" s="19">
        <v>243</v>
      </c>
      <c r="H219" s="10" t="str">
        <f ca="1">VLOOKUP($G219,OFFSET([1]characters!$A$2,0,0,COUNTA([1]characters!$A:$A),MATCH(H$1,[1]characters!$2:$2,0)-MATCH($G$1,[1]characters!$2:$2,0)+1),MATCH(H$1,[1]characters!$2:$2,0)-MATCH($G$1,[1]characters!$2:$2,0)+1,FALSE)</f>
        <v>万花の天使 ガブリエル・ブルーム</v>
      </c>
      <c r="I219" s="10" t="str">
        <f ca="1">VLOOKUP($G219,OFFSET([1]characters!$A$2,0,0,COUNTA([1]characters!$A:$A),MATCH(I$1,[1]characters!$2:$2,0)-MATCH($G$1,[1]characters!$2:$2,0)+1),MATCH(I$1,[1]characters!$2:$2,0)-MATCH($G$1,[1]characters!$2:$2,0)+1,FALSE)</f>
        <v>PremiumS</v>
      </c>
      <c r="J219" s="10">
        <f ca="1">VLOOKUP($G219,OFFSET([1]characters!$A$2,0,0,COUNTA([1]characters!$A:$A),MATCH(J$1,[1]characters!$2:$2,0)-MATCH($G$1,[1]characters!$2:$2,0)+1),MATCH(J$1,[1]characters!$2:$2,0)-MATCH($G$1,[1]characters!$2:$2,0)+1,FALSE)</f>
        <v>5</v>
      </c>
      <c r="K219" s="10" t="str">
        <f ca="1">VLOOKUP($G219,OFFSET([1]characters!$A$2,0,0,COUNTA([1]characters!$A:$A),MATCH(K$1,[1]characters!$2:$2,0)-MATCH($G$1,[1]characters!$2:$2,0)+1),MATCH(K$1,[1]characters!$2:$2,0)-MATCH($G$1,[1]characters!$2:$2,0)+1,FALSE)</f>
        <v>green</v>
      </c>
      <c r="L219" s="10" t="str">
        <f ca="1">VLOOKUP($G219,OFFSET([1]characters!$A$2,0,0,COUNTA([1]characters!$A:$A),MATCH("タイプ",[1]characters!$1:$1,0)-MATCH($G$1,[1]characters!$2:$2,0)+2),MATCH("タイプ",[1]characters!$1:$1,0)-MATCH($G$1,[1]characters!$2:$2,0)+2,FALSE)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19" s="10" t="str">
        <f ca="1">VLOOKUP($G219,OFFSET([1]characters!$A$2,0,0,COUNTA([1]characters!$A:$A),MATCH($M$1,[1]characters!$1:$1,0)-MATCH($G$1,[1]characters!$2:$2,0)+2),MATCH($M$1,[1]characters!$1:$1,0)-MATCH($G$1,[1]characters!$2:$2,0)+2,FALSE)</f>
        <v>マシン</v>
      </c>
      <c r="N219" s="6">
        <v>1</v>
      </c>
      <c r="O219" s="43">
        <f ca="1">VLOOKUP(D219,gacha_114_base!A:K,11,FALSE)</f>
        <v>13</v>
      </c>
      <c r="P219" s="28">
        <v>0</v>
      </c>
      <c r="Q219" s="28">
        <v>0</v>
      </c>
      <c r="R219" s="28">
        <v>0</v>
      </c>
      <c r="S219" s="28">
        <v>0</v>
      </c>
      <c r="T219" s="28">
        <v>1</v>
      </c>
    </row>
    <row r="220" spans="1:20" ht="21" customHeight="1">
      <c r="A220" s="8" t="str">
        <f t="shared" si="18"/>
        <v>02441</v>
      </c>
      <c r="B220" s="2">
        <v>114</v>
      </c>
      <c r="C220" s="10" t="str">
        <f t="shared" ca="1" si="15"/>
        <v>0PremiumS3</v>
      </c>
      <c r="D220" s="10" t="str">
        <f t="shared" ca="1" si="16"/>
        <v>0PremiumS3</v>
      </c>
      <c r="E220" s="10" t="str">
        <f t="shared" si="17"/>
        <v/>
      </c>
      <c r="F220" s="6">
        <v>0</v>
      </c>
      <c r="G220" s="19">
        <v>244</v>
      </c>
      <c r="H220" s="10" t="str">
        <f ca="1">VLOOKUP($G220,OFFSET([1]characters!$A$2,0,0,COUNTA([1]characters!$A:$A),MATCH(H$1,[1]characters!$2:$2,0)-MATCH($G$1,[1]characters!$2:$2,0)+1),MATCH(H$1,[1]characters!$2:$2,0)-MATCH($G$1,[1]characters!$2:$2,0)+1,FALSE)</f>
        <v>ラファエル</v>
      </c>
      <c r="I220" s="10" t="str">
        <f ca="1">VLOOKUP($G220,OFFSET([1]characters!$A$2,0,0,COUNTA([1]characters!$A:$A),MATCH(I$1,[1]characters!$2:$2,0)-MATCH($G$1,[1]characters!$2:$2,0)+1),MATCH(I$1,[1]characters!$2:$2,0)-MATCH($G$1,[1]characters!$2:$2,0)+1,FALSE)</f>
        <v>PremiumS</v>
      </c>
      <c r="J220" s="10">
        <f ca="1">VLOOKUP($G220,OFFSET([1]characters!$A$2,0,0,COUNTA([1]characters!$A:$A),MATCH(J$1,[1]characters!$2:$2,0)-MATCH($G$1,[1]characters!$2:$2,0)+1),MATCH(J$1,[1]characters!$2:$2,0)-MATCH($G$1,[1]characters!$2:$2,0)+1,FALSE)</f>
        <v>3</v>
      </c>
      <c r="K220" s="10" t="str">
        <f ca="1">VLOOKUP($G220,OFFSET([1]characters!$A$2,0,0,COUNTA([1]characters!$A:$A),MATCH(K$1,[1]characters!$2:$2,0)-MATCH($G$1,[1]characters!$2:$2,0)+1),MATCH(K$1,[1]characters!$2:$2,0)-MATCH($G$1,[1]characters!$2:$2,0)+1,FALSE)</f>
        <v>blue</v>
      </c>
      <c r="L220" s="10" t="str">
        <f ca="1">VLOOKUP($G220,OFFSET([1]characters!$A$2,0,0,COUNTA([1]characters!$A:$A),MATCH("タイプ",[1]characters!$1:$1,0)-MATCH($G$1,[1]characters!$2:$2,0)+2),MATCH("タイプ",[1]characters!$1:$1,0)-MATCH($G$1,[1]characters!$2:$2,0)+2,FALSE)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20" s="10" t="str">
        <f ca="1">VLOOKUP($G220,OFFSET([1]characters!$A$2,0,0,COUNTA([1]characters!$A:$A),MATCH($M$1,[1]characters!$1:$1,0)-MATCH($G$1,[1]characters!$2:$2,0)+2),MATCH($M$1,[1]characters!$1:$1,0)-MATCH($G$1,[1]characters!$2:$2,0)+2,FALSE)</f>
        <v>マシン</v>
      </c>
      <c r="N220" s="6">
        <v>1</v>
      </c>
      <c r="O220" s="43">
        <f ca="1">VLOOKUP(D220,gacha_114_base!A:K,11,FALSE)</f>
        <v>228</v>
      </c>
      <c r="P220" s="28">
        <v>0</v>
      </c>
      <c r="Q220" s="28">
        <v>0</v>
      </c>
      <c r="R220" s="28">
        <v>0</v>
      </c>
      <c r="S220" s="28">
        <v>0</v>
      </c>
      <c r="T220" s="28">
        <v>1</v>
      </c>
    </row>
    <row r="221" spans="1:20" ht="21" customHeight="1">
      <c r="A221" s="8" t="str">
        <f t="shared" si="18"/>
        <v>02451</v>
      </c>
      <c r="B221" s="2">
        <v>114</v>
      </c>
      <c r="C221" s="10" t="str">
        <f t="shared" ca="1" si="15"/>
        <v>0PremiumS4</v>
      </c>
      <c r="D221" s="10" t="str">
        <f t="shared" ca="1" si="16"/>
        <v>0PremiumS4</v>
      </c>
      <c r="E221" s="10" t="str">
        <f t="shared" si="17"/>
        <v/>
      </c>
      <c r="F221" s="6">
        <v>0</v>
      </c>
      <c r="G221" s="19">
        <v>245</v>
      </c>
      <c r="H221" s="10" t="str">
        <f ca="1">VLOOKUP($G221,OFFSET([1]characters!$A$2,0,0,COUNTA([1]characters!$A:$A),MATCH(H$1,[1]characters!$2:$2,0)-MATCH($G$1,[1]characters!$2:$2,0)+1),MATCH(H$1,[1]characters!$2:$2,0)-MATCH($G$1,[1]characters!$2:$2,0)+1,FALSE)</f>
        <v>鎮癒の天使 ラファエル</v>
      </c>
      <c r="I221" s="10" t="str">
        <f ca="1">VLOOKUP($G221,OFFSET([1]characters!$A$2,0,0,COUNTA([1]characters!$A:$A),MATCH(I$1,[1]characters!$2:$2,0)-MATCH($G$1,[1]characters!$2:$2,0)+1),MATCH(I$1,[1]characters!$2:$2,0)-MATCH($G$1,[1]characters!$2:$2,0)+1,FALSE)</f>
        <v>PremiumS</v>
      </c>
      <c r="J221" s="10">
        <f ca="1">VLOOKUP($G221,OFFSET([1]characters!$A$2,0,0,COUNTA([1]characters!$A:$A),MATCH(J$1,[1]characters!$2:$2,0)-MATCH($G$1,[1]characters!$2:$2,0)+1),MATCH(J$1,[1]characters!$2:$2,0)-MATCH($G$1,[1]characters!$2:$2,0)+1,FALSE)</f>
        <v>4</v>
      </c>
      <c r="K221" s="10" t="str">
        <f ca="1">VLOOKUP($G221,OFFSET([1]characters!$A$2,0,0,COUNTA([1]characters!$A:$A),MATCH(K$1,[1]characters!$2:$2,0)-MATCH($G$1,[1]characters!$2:$2,0)+1),MATCH(K$1,[1]characters!$2:$2,0)-MATCH($G$1,[1]characters!$2:$2,0)+1,FALSE)</f>
        <v>blue</v>
      </c>
      <c r="L221" s="10" t="str">
        <f ca="1">VLOOKUP($G221,OFFSET([1]characters!$A$2,0,0,COUNTA([1]characters!$A:$A),MATCH("タイプ",[1]characters!$1:$1,0)-MATCH($G$1,[1]characters!$2:$2,0)+2),MATCH("タイプ",[1]characters!$1:$1,0)-MATCH($G$1,[1]characters!$2:$2,0)+2,FALSE)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21" s="10" t="str">
        <f ca="1">VLOOKUP($G221,OFFSET([1]characters!$A$2,0,0,COUNTA([1]characters!$A:$A),MATCH($M$1,[1]characters!$1:$1,0)-MATCH($G$1,[1]characters!$2:$2,0)+2),MATCH($M$1,[1]characters!$1:$1,0)-MATCH($G$1,[1]characters!$2:$2,0)+2,FALSE)</f>
        <v>マシン</v>
      </c>
      <c r="N221" s="6">
        <v>1</v>
      </c>
      <c r="O221" s="43">
        <f ca="1">VLOOKUP(D221,gacha_114_base!A:K,11,FALSE)</f>
        <v>80</v>
      </c>
      <c r="P221" s="28">
        <v>0</v>
      </c>
      <c r="Q221" s="28">
        <v>0</v>
      </c>
      <c r="R221" s="28">
        <v>0</v>
      </c>
      <c r="S221" s="28">
        <v>0</v>
      </c>
      <c r="T221" s="28">
        <v>1</v>
      </c>
    </row>
    <row r="222" spans="1:20" ht="21" customHeight="1">
      <c r="A222" s="8" t="str">
        <f t="shared" si="18"/>
        <v>02461</v>
      </c>
      <c r="B222" s="2">
        <v>114</v>
      </c>
      <c r="C222" s="10" t="str">
        <f t="shared" ca="1" si="15"/>
        <v>0PremiumS5</v>
      </c>
      <c r="D222" s="10" t="str">
        <f t="shared" ca="1" si="16"/>
        <v>0PremiumS5</v>
      </c>
      <c r="E222" s="10" t="str">
        <f t="shared" si="17"/>
        <v/>
      </c>
      <c r="F222" s="6">
        <v>0</v>
      </c>
      <c r="G222" s="19">
        <v>246</v>
      </c>
      <c r="H222" s="10" t="str">
        <f ca="1">VLOOKUP($G222,OFFSET([1]characters!$A$2,0,0,COUNTA([1]characters!$A:$A),MATCH(H$1,[1]characters!$2:$2,0)-MATCH($G$1,[1]characters!$2:$2,0)+1),MATCH(H$1,[1]characters!$2:$2,0)-MATCH($G$1,[1]characters!$2:$2,0)+1,FALSE)</f>
        <v>真癒の天使 ラファエル・メディカ</v>
      </c>
      <c r="I222" s="10" t="str">
        <f ca="1">VLOOKUP($G222,OFFSET([1]characters!$A$2,0,0,COUNTA([1]characters!$A:$A),MATCH(I$1,[1]characters!$2:$2,0)-MATCH($G$1,[1]characters!$2:$2,0)+1),MATCH(I$1,[1]characters!$2:$2,0)-MATCH($G$1,[1]characters!$2:$2,0)+1,FALSE)</f>
        <v>PremiumS</v>
      </c>
      <c r="J222" s="10">
        <f ca="1">VLOOKUP($G222,OFFSET([1]characters!$A$2,0,0,COUNTA([1]characters!$A:$A),MATCH(J$1,[1]characters!$2:$2,0)-MATCH($G$1,[1]characters!$2:$2,0)+1),MATCH(J$1,[1]characters!$2:$2,0)-MATCH($G$1,[1]characters!$2:$2,0)+1,FALSE)</f>
        <v>5</v>
      </c>
      <c r="K222" s="10" t="str">
        <f ca="1">VLOOKUP($G222,OFFSET([1]characters!$A$2,0,0,COUNTA([1]characters!$A:$A),MATCH(K$1,[1]characters!$2:$2,0)-MATCH($G$1,[1]characters!$2:$2,0)+1),MATCH(K$1,[1]characters!$2:$2,0)-MATCH($G$1,[1]characters!$2:$2,0)+1,FALSE)</f>
        <v>blue</v>
      </c>
      <c r="L222" s="10" t="str">
        <f ca="1">VLOOKUP($G222,OFFSET([1]characters!$A$2,0,0,COUNTA([1]characters!$A:$A),MATCH("タイプ",[1]characters!$1:$1,0)-MATCH($G$1,[1]characters!$2:$2,0)+2),MATCH("タイプ",[1]characters!$1:$1,0)-MATCH($G$1,[1]characters!$2:$2,0)+2,FALSE)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22" s="10" t="str">
        <f ca="1">VLOOKUP($G222,OFFSET([1]characters!$A$2,0,0,COUNTA([1]characters!$A:$A),MATCH($M$1,[1]characters!$1:$1,0)-MATCH($G$1,[1]characters!$2:$2,0)+2),MATCH($M$1,[1]characters!$1:$1,0)-MATCH($G$1,[1]characters!$2:$2,0)+2,FALSE)</f>
        <v>マシン</v>
      </c>
      <c r="N222" s="6">
        <v>1</v>
      </c>
      <c r="O222" s="43">
        <f ca="1">VLOOKUP(D222,gacha_114_base!A:K,11,FALSE)</f>
        <v>13</v>
      </c>
      <c r="P222" s="28">
        <v>0</v>
      </c>
      <c r="Q222" s="28">
        <v>0</v>
      </c>
      <c r="R222" s="28">
        <v>0</v>
      </c>
      <c r="S222" s="28">
        <v>0</v>
      </c>
      <c r="T222" s="28">
        <v>1</v>
      </c>
    </row>
    <row r="223" spans="1:20" ht="21" customHeight="1">
      <c r="A223" s="8" t="str">
        <f t="shared" si="18"/>
        <v>02471</v>
      </c>
      <c r="B223" s="2">
        <v>114</v>
      </c>
      <c r="C223" s="10" t="str">
        <f t="shared" ca="1" si="15"/>
        <v>0PremiumS3</v>
      </c>
      <c r="D223" s="10" t="str">
        <f t="shared" ca="1" si="16"/>
        <v>0PremiumS3</v>
      </c>
      <c r="E223" s="10" t="str">
        <f t="shared" si="17"/>
        <v/>
      </c>
      <c r="F223" s="6">
        <v>0</v>
      </c>
      <c r="G223" s="19">
        <v>247</v>
      </c>
      <c r="H223" s="10" t="str">
        <f ca="1">VLOOKUP($G223,OFFSET([1]characters!$A$2,0,0,COUNTA([1]characters!$A:$A),MATCH(H$1,[1]characters!$2:$2,0)-MATCH($G$1,[1]characters!$2:$2,0)+1),MATCH(H$1,[1]characters!$2:$2,0)-MATCH($G$1,[1]characters!$2:$2,0)+1,FALSE)</f>
        <v>ミカエル</v>
      </c>
      <c r="I223" s="10" t="str">
        <f ca="1">VLOOKUP($G223,OFFSET([1]characters!$A$2,0,0,COUNTA([1]characters!$A:$A),MATCH(I$1,[1]characters!$2:$2,0)-MATCH($G$1,[1]characters!$2:$2,0)+1),MATCH(I$1,[1]characters!$2:$2,0)-MATCH($G$1,[1]characters!$2:$2,0)+1,FALSE)</f>
        <v>PremiumS</v>
      </c>
      <c r="J223" s="10">
        <f ca="1">VLOOKUP($G223,OFFSET([1]characters!$A$2,0,0,COUNTA([1]characters!$A:$A),MATCH(J$1,[1]characters!$2:$2,0)-MATCH($G$1,[1]characters!$2:$2,0)+1),MATCH(J$1,[1]characters!$2:$2,0)-MATCH($G$1,[1]characters!$2:$2,0)+1,FALSE)</f>
        <v>3</v>
      </c>
      <c r="K223" s="10" t="str">
        <f ca="1">VLOOKUP($G223,OFFSET([1]characters!$A$2,0,0,COUNTA([1]characters!$A:$A),MATCH(K$1,[1]characters!$2:$2,0)-MATCH($G$1,[1]characters!$2:$2,0)+1),MATCH(K$1,[1]characters!$2:$2,0)-MATCH($G$1,[1]characters!$2:$2,0)+1,FALSE)</f>
        <v>yellow</v>
      </c>
      <c r="L223" s="10" t="str">
        <f ca="1">VLOOKUP($G223,OFFSET([1]characters!$A$2,0,0,COUNTA([1]characters!$A:$A),MATCH("タイプ",[1]characters!$1:$1,0)-MATCH($G$1,[1]characters!$2:$2,0)+2),MATCH("タイプ",[1]characters!$1:$1,0)-MATCH($G$1,[1]characters!$2:$2,0)+2,FALSE)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23" s="10" t="str">
        <f ca="1">VLOOKUP($G223,OFFSET([1]characters!$A$2,0,0,COUNTA([1]characters!$A:$A),MATCH($M$1,[1]characters!$1:$1,0)-MATCH($G$1,[1]characters!$2:$2,0)+2),MATCH($M$1,[1]characters!$1:$1,0)-MATCH($G$1,[1]characters!$2:$2,0)+2,FALSE)</f>
        <v>マシン</v>
      </c>
      <c r="N223" s="6">
        <v>1</v>
      </c>
      <c r="O223" s="43">
        <f ca="1">VLOOKUP(D223,gacha_114_base!A:K,11,FALSE)</f>
        <v>228</v>
      </c>
      <c r="P223" s="28">
        <v>0</v>
      </c>
      <c r="Q223" s="28">
        <v>0</v>
      </c>
      <c r="R223" s="28">
        <v>0</v>
      </c>
      <c r="S223" s="28">
        <v>0</v>
      </c>
      <c r="T223" s="28">
        <v>1</v>
      </c>
    </row>
    <row r="224" spans="1:20" ht="21" customHeight="1">
      <c r="A224" s="8" t="str">
        <f t="shared" si="18"/>
        <v>02481</v>
      </c>
      <c r="B224" s="2">
        <v>114</v>
      </c>
      <c r="C224" s="10" t="str">
        <f t="shared" ca="1" si="15"/>
        <v>0PremiumS4</v>
      </c>
      <c r="D224" s="10" t="str">
        <f t="shared" ca="1" si="16"/>
        <v>0PremiumS4</v>
      </c>
      <c r="E224" s="10" t="str">
        <f t="shared" si="17"/>
        <v/>
      </c>
      <c r="F224" s="6">
        <v>0</v>
      </c>
      <c r="G224" s="19">
        <v>248</v>
      </c>
      <c r="H224" s="10" t="str">
        <f ca="1">VLOOKUP($G224,OFFSET([1]characters!$A$2,0,0,COUNTA([1]characters!$A:$A),MATCH(H$1,[1]characters!$2:$2,0)-MATCH($G$1,[1]characters!$2:$2,0)+1),MATCH(H$1,[1]characters!$2:$2,0)-MATCH($G$1,[1]characters!$2:$2,0)+1,FALSE)</f>
        <v>彩電の天使 ミカエル</v>
      </c>
      <c r="I224" s="10" t="str">
        <f ca="1">VLOOKUP($G224,OFFSET([1]characters!$A$2,0,0,COUNTA([1]characters!$A:$A),MATCH(I$1,[1]characters!$2:$2,0)-MATCH($G$1,[1]characters!$2:$2,0)+1),MATCH(I$1,[1]characters!$2:$2,0)-MATCH($G$1,[1]characters!$2:$2,0)+1,FALSE)</f>
        <v>PremiumS</v>
      </c>
      <c r="J224" s="10">
        <f ca="1">VLOOKUP($G224,OFFSET([1]characters!$A$2,0,0,COUNTA([1]characters!$A:$A),MATCH(J$1,[1]characters!$2:$2,0)-MATCH($G$1,[1]characters!$2:$2,0)+1),MATCH(J$1,[1]characters!$2:$2,0)-MATCH($G$1,[1]characters!$2:$2,0)+1,FALSE)</f>
        <v>4</v>
      </c>
      <c r="K224" s="10" t="str">
        <f ca="1">VLOOKUP($G224,OFFSET([1]characters!$A$2,0,0,COUNTA([1]characters!$A:$A),MATCH(K$1,[1]characters!$2:$2,0)-MATCH($G$1,[1]characters!$2:$2,0)+1),MATCH(K$1,[1]characters!$2:$2,0)-MATCH($G$1,[1]characters!$2:$2,0)+1,FALSE)</f>
        <v>yellow</v>
      </c>
      <c r="L224" s="10" t="str">
        <f ca="1">VLOOKUP($G224,OFFSET([1]characters!$A$2,0,0,COUNTA([1]characters!$A:$A),MATCH("タイプ",[1]characters!$1:$1,0)-MATCH($G$1,[1]characters!$2:$2,0)+2),MATCH("タイプ",[1]characters!$1:$1,0)-MATCH($G$1,[1]characters!$2:$2,0)+2,FALSE)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24" s="10" t="str">
        <f ca="1">VLOOKUP($G224,OFFSET([1]characters!$A$2,0,0,COUNTA([1]characters!$A:$A),MATCH($M$1,[1]characters!$1:$1,0)-MATCH($G$1,[1]characters!$2:$2,0)+2),MATCH($M$1,[1]characters!$1:$1,0)-MATCH($G$1,[1]characters!$2:$2,0)+2,FALSE)</f>
        <v>マシン</v>
      </c>
      <c r="N224" s="6">
        <v>1</v>
      </c>
      <c r="O224" s="43">
        <f ca="1">VLOOKUP(D224,gacha_114_base!A:K,11,FALSE)</f>
        <v>80</v>
      </c>
      <c r="P224" s="28">
        <v>0</v>
      </c>
      <c r="Q224" s="28">
        <v>0</v>
      </c>
      <c r="R224" s="28">
        <v>0</v>
      </c>
      <c r="S224" s="28">
        <v>0</v>
      </c>
      <c r="T224" s="28">
        <v>1</v>
      </c>
    </row>
    <row r="225" spans="1:20" s="26" customFormat="1" ht="21" customHeight="1" thickBot="1">
      <c r="A225" s="22" t="str">
        <f t="shared" si="18"/>
        <v>02491</v>
      </c>
      <c r="B225" s="2">
        <v>114</v>
      </c>
      <c r="C225" s="10" t="str">
        <f t="shared" ca="1" si="15"/>
        <v>0PremiumS5</v>
      </c>
      <c r="D225" s="10" t="str">
        <f t="shared" ca="1" si="16"/>
        <v>0PremiumS5</v>
      </c>
      <c r="E225" s="10" t="str">
        <f t="shared" si="17"/>
        <v/>
      </c>
      <c r="F225" s="6">
        <v>0</v>
      </c>
      <c r="G225" s="19">
        <v>249</v>
      </c>
      <c r="H225" s="10" t="str">
        <f ca="1">VLOOKUP($G225,OFFSET([1]characters!$A$2,0,0,COUNTA([1]characters!$A:$A),MATCH(H$1,[1]characters!$2:$2,0)-MATCH($G$1,[1]characters!$2:$2,0)+1),MATCH(H$1,[1]characters!$2:$2,0)-MATCH($G$1,[1]characters!$2:$2,0)+1,FALSE)</f>
        <v>雷電の天使 ミカエル・ゲイナー</v>
      </c>
      <c r="I225" s="10" t="str">
        <f ca="1">VLOOKUP($G225,OFFSET([1]characters!$A$2,0,0,COUNTA([1]characters!$A:$A),MATCH(I$1,[1]characters!$2:$2,0)-MATCH($G$1,[1]characters!$2:$2,0)+1),MATCH(I$1,[1]characters!$2:$2,0)-MATCH($G$1,[1]characters!$2:$2,0)+1,FALSE)</f>
        <v>PremiumS</v>
      </c>
      <c r="J225" s="10">
        <f ca="1">VLOOKUP($G225,OFFSET([1]characters!$A$2,0,0,COUNTA([1]characters!$A:$A),MATCH(J$1,[1]characters!$2:$2,0)-MATCH($G$1,[1]characters!$2:$2,0)+1),MATCH(J$1,[1]characters!$2:$2,0)-MATCH($G$1,[1]characters!$2:$2,0)+1,FALSE)</f>
        <v>5</v>
      </c>
      <c r="K225" s="10" t="str">
        <f ca="1">VLOOKUP($G225,OFFSET([1]characters!$A$2,0,0,COUNTA([1]characters!$A:$A),MATCH(K$1,[1]characters!$2:$2,0)-MATCH($G$1,[1]characters!$2:$2,0)+1),MATCH(K$1,[1]characters!$2:$2,0)-MATCH($G$1,[1]characters!$2:$2,0)+1,FALSE)</f>
        <v>yellow</v>
      </c>
      <c r="L225" s="10" t="str">
        <f ca="1">VLOOKUP($G225,OFFSET([1]characters!$A$2,0,0,COUNTA([1]characters!$A:$A),MATCH("タイプ",[1]characters!$1:$1,0)-MATCH($G$1,[1]characters!$2:$2,0)+2),MATCH("タイプ",[1]characters!$1:$1,0)-MATCH($G$1,[1]characters!$2:$2,0)+2,FALSE)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25" s="10" t="str">
        <f ca="1">VLOOKUP($G225,OFFSET([1]characters!$A$2,0,0,COUNTA([1]characters!$A:$A),MATCH($M$1,[1]characters!$1:$1,0)-MATCH($G$1,[1]characters!$2:$2,0)+2),MATCH($M$1,[1]characters!$1:$1,0)-MATCH($G$1,[1]characters!$2:$2,0)+2,FALSE)</f>
        <v>マシン</v>
      </c>
      <c r="N225" s="6">
        <v>1</v>
      </c>
      <c r="O225" s="43">
        <f ca="1">VLOOKUP(D225,gacha_114_base!A:K,11,FALSE)</f>
        <v>13</v>
      </c>
      <c r="P225" s="28">
        <v>0</v>
      </c>
      <c r="Q225" s="28">
        <v>0</v>
      </c>
      <c r="R225" s="28">
        <v>0</v>
      </c>
      <c r="S225" s="28">
        <v>0</v>
      </c>
      <c r="T225" s="28">
        <v>1</v>
      </c>
    </row>
    <row r="226" spans="1:20" s="26" customFormat="1" ht="21" customHeight="1" thickBot="1">
      <c r="A226" s="22" t="str">
        <f t="shared" si="18"/>
        <v>02501</v>
      </c>
      <c r="B226" s="2">
        <v>114</v>
      </c>
      <c r="C226" s="10" t="str">
        <f t="shared" ca="1" si="15"/>
        <v>0PremiumS3</v>
      </c>
      <c r="D226" s="10" t="str">
        <f t="shared" ca="1" si="16"/>
        <v>0PremiumS3</v>
      </c>
      <c r="E226" s="10" t="str">
        <f t="shared" si="17"/>
        <v/>
      </c>
      <c r="F226" s="6">
        <v>0</v>
      </c>
      <c r="G226" s="7">
        <v>250</v>
      </c>
      <c r="H226" s="10" t="str">
        <f ca="1">VLOOKUP($G226,OFFSET([1]characters!$A$2,0,0,COUNTA([1]characters!$A:$A),MATCH(H$1,[1]characters!$2:$2,0)-MATCH($G$1,[1]characters!$2:$2,0)+1),MATCH(H$1,[1]characters!$2:$2,0)-MATCH($G$1,[1]characters!$2:$2,0)+1,FALSE)</f>
        <v>マンモン</v>
      </c>
      <c r="I226" s="10" t="str">
        <f ca="1">VLOOKUP($G226,OFFSET([1]characters!$A$2,0,0,COUNTA([1]characters!$A:$A),MATCH(I$1,[1]characters!$2:$2,0)-MATCH($G$1,[1]characters!$2:$2,0)+1),MATCH(I$1,[1]characters!$2:$2,0)-MATCH($G$1,[1]characters!$2:$2,0)+1,FALSE)</f>
        <v>PremiumS</v>
      </c>
      <c r="J226" s="10">
        <f ca="1">VLOOKUP($G226,OFFSET([1]characters!$A$2,0,0,COUNTA([1]characters!$A:$A),MATCH(J$1,[1]characters!$2:$2,0)-MATCH($G$1,[1]characters!$2:$2,0)+1),MATCH(J$1,[1]characters!$2:$2,0)-MATCH($G$1,[1]characters!$2:$2,0)+1,FALSE)</f>
        <v>3</v>
      </c>
      <c r="K226" s="10" t="str">
        <f ca="1">VLOOKUP($G226,OFFSET([1]characters!$A$2,0,0,COUNTA([1]characters!$A:$A),MATCH(K$1,[1]characters!$2:$2,0)-MATCH($G$1,[1]characters!$2:$2,0)+1),MATCH(K$1,[1]characters!$2:$2,0)-MATCH($G$1,[1]characters!$2:$2,0)+1,FALSE)</f>
        <v>red</v>
      </c>
      <c r="L226" s="10" t="str">
        <f ca="1">VLOOKUP($G226,OFFSET([1]characters!$A$2,0,0,COUNTA([1]characters!$A:$A),MATCH("タイプ",[1]characters!$1:$1,0)-MATCH($G$1,[1]characters!$2:$2,0)+2),MATCH("タイプ",[1]characters!$1:$1,0)-MATCH($G$1,[1]characters!$2:$2,0)+2,FALSE)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26" s="10" t="str">
        <f ca="1">VLOOKUP($G226,OFFSET([1]characters!$A$2,0,0,COUNTA([1]characters!$A:$A),MATCH($M$1,[1]characters!$1:$1,0)-MATCH($G$1,[1]characters!$2:$2,0)+2),MATCH($M$1,[1]characters!$1:$1,0)-MATCH($G$1,[1]characters!$2:$2,0)+2,FALSE)</f>
        <v>ゴッド</v>
      </c>
      <c r="N226" s="6">
        <v>1</v>
      </c>
      <c r="O226" s="43">
        <f ca="1">VLOOKUP(D226,gacha_114_base!A:K,11,FALSE)</f>
        <v>228</v>
      </c>
      <c r="P226" s="28">
        <v>0</v>
      </c>
      <c r="Q226" s="28">
        <v>0</v>
      </c>
      <c r="R226" s="28">
        <v>0</v>
      </c>
      <c r="S226" s="28">
        <v>0</v>
      </c>
      <c r="T226" s="28">
        <v>1</v>
      </c>
    </row>
    <row r="227" spans="1:20" ht="21" customHeight="1" thickBot="1">
      <c r="A227" s="22" t="str">
        <f t="shared" si="18"/>
        <v>02511</v>
      </c>
      <c r="B227" s="2">
        <v>114</v>
      </c>
      <c r="C227" s="10" t="str">
        <f t="shared" ca="1" si="15"/>
        <v>0PremiumS4</v>
      </c>
      <c r="D227" s="10" t="str">
        <f t="shared" ca="1" si="16"/>
        <v>0PremiumS4</v>
      </c>
      <c r="E227" s="10" t="str">
        <f t="shared" si="17"/>
        <v/>
      </c>
      <c r="F227" s="6">
        <v>0</v>
      </c>
      <c r="G227" s="7">
        <v>251</v>
      </c>
      <c r="H227" s="10" t="str">
        <f ca="1">VLOOKUP($G227,OFFSET([1]characters!$A$2,0,0,COUNTA([1]characters!$A:$A),MATCH(H$1,[1]characters!$2:$2,0)-MATCH($G$1,[1]characters!$2:$2,0)+1),MATCH(H$1,[1]characters!$2:$2,0)-MATCH($G$1,[1]characters!$2:$2,0)+1,FALSE)</f>
        <v>強欲 マンモン</v>
      </c>
      <c r="I227" s="10" t="str">
        <f ca="1">VLOOKUP($G227,OFFSET([1]characters!$A$2,0,0,COUNTA([1]characters!$A:$A),MATCH(I$1,[1]characters!$2:$2,0)-MATCH($G$1,[1]characters!$2:$2,0)+1),MATCH(I$1,[1]characters!$2:$2,0)-MATCH($G$1,[1]characters!$2:$2,0)+1,FALSE)</f>
        <v>PremiumS</v>
      </c>
      <c r="J227" s="10">
        <f ca="1">VLOOKUP($G227,OFFSET([1]characters!$A$2,0,0,COUNTA([1]characters!$A:$A),MATCH(J$1,[1]characters!$2:$2,0)-MATCH($G$1,[1]characters!$2:$2,0)+1),MATCH(J$1,[1]characters!$2:$2,0)-MATCH($G$1,[1]characters!$2:$2,0)+1,FALSE)</f>
        <v>4</v>
      </c>
      <c r="K227" s="10" t="str">
        <f ca="1">VLOOKUP($G227,OFFSET([1]characters!$A$2,0,0,COUNTA([1]characters!$A:$A),MATCH(K$1,[1]characters!$2:$2,0)-MATCH($G$1,[1]characters!$2:$2,0)+1),MATCH(K$1,[1]characters!$2:$2,0)-MATCH($G$1,[1]characters!$2:$2,0)+1,FALSE)</f>
        <v>red</v>
      </c>
      <c r="L227" s="10" t="str">
        <f ca="1">VLOOKUP($G227,OFFSET([1]characters!$A$2,0,0,COUNTA([1]characters!$A:$A),MATCH("タイプ",[1]characters!$1:$1,0)-MATCH($G$1,[1]characters!$2:$2,0)+2),MATCH("タイプ",[1]characters!$1:$1,0)-MATCH($G$1,[1]characters!$2:$2,0)+2,FALSE)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27" s="10" t="str">
        <f ca="1">VLOOKUP($G227,OFFSET([1]characters!$A$2,0,0,COUNTA([1]characters!$A:$A),MATCH($M$1,[1]characters!$1:$1,0)-MATCH($G$1,[1]characters!$2:$2,0)+2),MATCH($M$1,[1]characters!$1:$1,0)-MATCH($G$1,[1]characters!$2:$2,0)+2,FALSE)</f>
        <v>ゴッド</v>
      </c>
      <c r="N227" s="6">
        <v>1</v>
      </c>
      <c r="O227" s="43">
        <f ca="1">VLOOKUP(D227,gacha_114_base!A:K,11,FALSE)</f>
        <v>80</v>
      </c>
      <c r="P227" s="28">
        <v>0</v>
      </c>
      <c r="Q227" s="28">
        <v>0</v>
      </c>
      <c r="R227" s="28">
        <v>0</v>
      </c>
      <c r="S227" s="28">
        <v>0</v>
      </c>
      <c r="T227" s="28">
        <v>1</v>
      </c>
    </row>
    <row r="228" spans="1:20" ht="21" customHeight="1" thickBot="1">
      <c r="A228" s="22" t="str">
        <f t="shared" si="18"/>
        <v>02521</v>
      </c>
      <c r="B228" s="2">
        <v>114</v>
      </c>
      <c r="C228" s="10" t="str">
        <f t="shared" ca="1" si="15"/>
        <v>0PremiumS5</v>
      </c>
      <c r="D228" s="10" t="str">
        <f t="shared" ca="1" si="16"/>
        <v>0PremiumS5</v>
      </c>
      <c r="E228" s="10" t="str">
        <f t="shared" si="17"/>
        <v/>
      </c>
      <c r="F228" s="6">
        <v>0</v>
      </c>
      <c r="G228" s="7">
        <v>252</v>
      </c>
      <c r="H228" s="10" t="str">
        <f ca="1">VLOOKUP($G228,OFFSET([1]characters!$A$2,0,0,COUNTA([1]characters!$A:$A),MATCH(H$1,[1]characters!$2:$2,0)-MATCH($G$1,[1]characters!$2:$2,0)+1),MATCH(H$1,[1]characters!$2:$2,0)-MATCH($G$1,[1]characters!$2:$2,0)+1,FALSE)</f>
        <v>強欲の沸騰 マンモン</v>
      </c>
      <c r="I228" s="10" t="str">
        <f ca="1">VLOOKUP($G228,OFFSET([1]characters!$A$2,0,0,COUNTA([1]characters!$A:$A),MATCH(I$1,[1]characters!$2:$2,0)-MATCH($G$1,[1]characters!$2:$2,0)+1),MATCH(I$1,[1]characters!$2:$2,0)-MATCH($G$1,[1]characters!$2:$2,0)+1,FALSE)</f>
        <v>PremiumS</v>
      </c>
      <c r="J228" s="10">
        <f ca="1">VLOOKUP($G228,OFFSET([1]characters!$A$2,0,0,COUNTA([1]characters!$A:$A),MATCH(J$1,[1]characters!$2:$2,0)-MATCH($G$1,[1]characters!$2:$2,0)+1),MATCH(J$1,[1]characters!$2:$2,0)-MATCH($G$1,[1]characters!$2:$2,0)+1,FALSE)</f>
        <v>5</v>
      </c>
      <c r="K228" s="10" t="str">
        <f ca="1">VLOOKUP($G228,OFFSET([1]characters!$A$2,0,0,COUNTA([1]characters!$A:$A),MATCH(K$1,[1]characters!$2:$2,0)-MATCH($G$1,[1]characters!$2:$2,0)+1),MATCH(K$1,[1]characters!$2:$2,0)-MATCH($G$1,[1]characters!$2:$2,0)+1,FALSE)</f>
        <v>red</v>
      </c>
      <c r="L228" s="10" t="str">
        <f ca="1">VLOOKUP($G228,OFFSET([1]characters!$A$2,0,0,COUNTA([1]characters!$A:$A),MATCH("タイプ",[1]characters!$1:$1,0)-MATCH($G$1,[1]characters!$2:$2,0)+2),MATCH("タイプ",[1]characters!$1:$1,0)-MATCH($G$1,[1]characters!$2:$2,0)+2,FALSE)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28" s="10" t="str">
        <f ca="1">VLOOKUP($G228,OFFSET([1]characters!$A$2,0,0,COUNTA([1]characters!$A:$A),MATCH($M$1,[1]characters!$1:$1,0)-MATCH($G$1,[1]characters!$2:$2,0)+2),MATCH($M$1,[1]characters!$1:$1,0)-MATCH($G$1,[1]characters!$2:$2,0)+2,FALSE)</f>
        <v>ゴッド</v>
      </c>
      <c r="N228" s="6">
        <v>1</v>
      </c>
      <c r="O228" s="43">
        <f ca="1">VLOOKUP(D228,gacha_114_base!A:K,11,FALSE)</f>
        <v>13</v>
      </c>
      <c r="P228" s="28">
        <v>0</v>
      </c>
      <c r="Q228" s="28">
        <v>0</v>
      </c>
      <c r="R228" s="28">
        <v>0</v>
      </c>
      <c r="S228" s="28">
        <v>0</v>
      </c>
      <c r="T228" s="28">
        <v>1</v>
      </c>
    </row>
    <row r="229" spans="1:20" ht="21" customHeight="1" thickBot="1">
      <c r="A229" s="22" t="str">
        <f t="shared" si="18"/>
        <v>02531</v>
      </c>
      <c r="B229" s="2">
        <v>114</v>
      </c>
      <c r="C229" s="10" t="str">
        <f t="shared" ca="1" si="15"/>
        <v>0PremiumS3</v>
      </c>
      <c r="D229" s="10" t="str">
        <f t="shared" ca="1" si="16"/>
        <v>0PremiumS3</v>
      </c>
      <c r="E229" s="10" t="str">
        <f t="shared" si="17"/>
        <v/>
      </c>
      <c r="F229" s="6">
        <v>0</v>
      </c>
      <c r="G229" s="7">
        <v>253</v>
      </c>
      <c r="H229" s="10" t="str">
        <f ca="1">VLOOKUP($G229,OFFSET([1]characters!$A$2,0,0,COUNTA([1]characters!$A:$A),MATCH(H$1,[1]characters!$2:$2,0)-MATCH($G$1,[1]characters!$2:$2,0)+1),MATCH(H$1,[1]characters!$2:$2,0)-MATCH($G$1,[1]characters!$2:$2,0)+1,FALSE)</f>
        <v>ベルフェゴール</v>
      </c>
      <c r="I229" s="10" t="str">
        <f ca="1">VLOOKUP($G229,OFFSET([1]characters!$A$2,0,0,COUNTA([1]characters!$A:$A),MATCH(I$1,[1]characters!$2:$2,0)-MATCH($G$1,[1]characters!$2:$2,0)+1),MATCH(I$1,[1]characters!$2:$2,0)-MATCH($G$1,[1]characters!$2:$2,0)+1,FALSE)</f>
        <v>PremiumS</v>
      </c>
      <c r="J229" s="10">
        <f ca="1">VLOOKUP($G229,OFFSET([1]characters!$A$2,0,0,COUNTA([1]characters!$A:$A),MATCH(J$1,[1]characters!$2:$2,0)-MATCH($G$1,[1]characters!$2:$2,0)+1),MATCH(J$1,[1]characters!$2:$2,0)-MATCH($G$1,[1]characters!$2:$2,0)+1,FALSE)</f>
        <v>3</v>
      </c>
      <c r="K229" s="10" t="str">
        <f ca="1">VLOOKUP($G229,OFFSET([1]characters!$A$2,0,0,COUNTA([1]characters!$A:$A),MATCH(K$1,[1]characters!$2:$2,0)-MATCH($G$1,[1]characters!$2:$2,0)+1),MATCH(K$1,[1]characters!$2:$2,0)-MATCH($G$1,[1]characters!$2:$2,0)+1,FALSE)</f>
        <v>green</v>
      </c>
      <c r="L229" s="10" t="str">
        <f ca="1">VLOOKUP($G229,OFFSET([1]characters!$A$2,0,0,COUNTA([1]characters!$A:$A),MATCH("タイプ",[1]characters!$1:$1,0)-MATCH($G$1,[1]characters!$2:$2,0)+2),MATCH("タイプ",[1]characters!$1:$1,0)-MATCH($G$1,[1]characters!$2:$2,0)+2,FALSE)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29" s="10" t="str">
        <f ca="1">VLOOKUP($G229,OFFSET([1]characters!$A$2,0,0,COUNTA([1]characters!$A:$A),MATCH($M$1,[1]characters!$1:$1,0)-MATCH($G$1,[1]characters!$2:$2,0)+2),MATCH($M$1,[1]characters!$1:$1,0)-MATCH($G$1,[1]characters!$2:$2,0)+2,FALSE)</f>
        <v>ゴッド</v>
      </c>
      <c r="N229" s="6">
        <v>1</v>
      </c>
      <c r="O229" s="43">
        <f ca="1">VLOOKUP(D229,gacha_114_base!A:K,11,FALSE)</f>
        <v>228</v>
      </c>
      <c r="P229" s="28">
        <v>0</v>
      </c>
      <c r="Q229" s="28">
        <v>0</v>
      </c>
      <c r="R229" s="28">
        <v>0</v>
      </c>
      <c r="S229" s="28">
        <v>0</v>
      </c>
      <c r="T229" s="28">
        <v>1</v>
      </c>
    </row>
    <row r="230" spans="1:20" ht="21" customHeight="1" thickBot="1">
      <c r="A230" s="22" t="str">
        <f t="shared" si="18"/>
        <v>02541</v>
      </c>
      <c r="B230" s="2">
        <v>114</v>
      </c>
      <c r="C230" s="10" t="str">
        <f t="shared" ca="1" si="15"/>
        <v>0PremiumS4</v>
      </c>
      <c r="D230" s="10" t="str">
        <f t="shared" ca="1" si="16"/>
        <v>0PremiumS4</v>
      </c>
      <c r="E230" s="10" t="str">
        <f t="shared" si="17"/>
        <v/>
      </c>
      <c r="F230" s="6">
        <v>0</v>
      </c>
      <c r="G230" s="7">
        <v>254</v>
      </c>
      <c r="H230" s="10" t="str">
        <f ca="1">VLOOKUP($G230,OFFSET([1]characters!$A$2,0,0,COUNTA([1]characters!$A:$A),MATCH(H$1,[1]characters!$2:$2,0)-MATCH($G$1,[1]characters!$2:$2,0)+1),MATCH(H$1,[1]characters!$2:$2,0)-MATCH($G$1,[1]characters!$2:$2,0)+1,FALSE)</f>
        <v>怠惰 ベルフェゴール</v>
      </c>
      <c r="I230" s="10" t="str">
        <f ca="1">VLOOKUP($G230,OFFSET([1]characters!$A$2,0,0,COUNTA([1]characters!$A:$A),MATCH(I$1,[1]characters!$2:$2,0)-MATCH($G$1,[1]characters!$2:$2,0)+1),MATCH(I$1,[1]characters!$2:$2,0)-MATCH($G$1,[1]characters!$2:$2,0)+1,FALSE)</f>
        <v>PremiumS</v>
      </c>
      <c r="J230" s="10">
        <f ca="1">VLOOKUP($G230,OFFSET([1]characters!$A$2,0,0,COUNTA([1]characters!$A:$A),MATCH(J$1,[1]characters!$2:$2,0)-MATCH($G$1,[1]characters!$2:$2,0)+1),MATCH(J$1,[1]characters!$2:$2,0)-MATCH($G$1,[1]characters!$2:$2,0)+1,FALSE)</f>
        <v>4</v>
      </c>
      <c r="K230" s="10" t="str">
        <f ca="1">VLOOKUP($G230,OFFSET([1]characters!$A$2,0,0,COUNTA([1]characters!$A:$A),MATCH(K$1,[1]characters!$2:$2,0)-MATCH($G$1,[1]characters!$2:$2,0)+1),MATCH(K$1,[1]characters!$2:$2,0)-MATCH($G$1,[1]characters!$2:$2,0)+1,FALSE)</f>
        <v>green</v>
      </c>
      <c r="L230" s="10" t="str">
        <f ca="1">VLOOKUP($G230,OFFSET([1]characters!$A$2,0,0,COUNTA([1]characters!$A:$A),MATCH("タイプ",[1]characters!$1:$1,0)-MATCH($G$1,[1]characters!$2:$2,0)+2),MATCH("タイプ",[1]characters!$1:$1,0)-MATCH($G$1,[1]characters!$2:$2,0)+2,FALSE)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30" s="10" t="str">
        <f ca="1">VLOOKUP($G230,OFFSET([1]characters!$A$2,0,0,COUNTA([1]characters!$A:$A),MATCH($M$1,[1]characters!$1:$1,0)-MATCH($G$1,[1]characters!$2:$2,0)+2),MATCH($M$1,[1]characters!$1:$1,0)-MATCH($G$1,[1]characters!$2:$2,0)+2,FALSE)</f>
        <v>ゴッド</v>
      </c>
      <c r="N230" s="6">
        <v>1</v>
      </c>
      <c r="O230" s="43">
        <f ca="1">VLOOKUP(D230,gacha_114_base!A:K,11,FALSE)</f>
        <v>80</v>
      </c>
      <c r="P230" s="28">
        <v>0</v>
      </c>
      <c r="Q230" s="28">
        <v>0</v>
      </c>
      <c r="R230" s="28">
        <v>0</v>
      </c>
      <c r="S230" s="28">
        <v>0</v>
      </c>
      <c r="T230" s="28">
        <v>1</v>
      </c>
    </row>
    <row r="231" spans="1:20" ht="21" customHeight="1" thickBot="1">
      <c r="A231" s="22" t="str">
        <f t="shared" si="18"/>
        <v>02551</v>
      </c>
      <c r="B231" s="2">
        <v>114</v>
      </c>
      <c r="C231" s="10" t="str">
        <f t="shared" ca="1" si="15"/>
        <v>0PremiumS5</v>
      </c>
      <c r="D231" s="10" t="str">
        <f t="shared" ca="1" si="16"/>
        <v>0PremiumS5</v>
      </c>
      <c r="E231" s="10" t="str">
        <f t="shared" si="17"/>
        <v/>
      </c>
      <c r="F231" s="6">
        <v>0</v>
      </c>
      <c r="G231" s="7">
        <v>255</v>
      </c>
      <c r="H231" s="10" t="str">
        <f ca="1">VLOOKUP($G231,OFFSET([1]characters!$A$2,0,0,COUNTA([1]characters!$A:$A),MATCH(H$1,[1]characters!$2:$2,0)-MATCH($G$1,[1]characters!$2:$2,0)+1),MATCH(H$1,[1]characters!$2:$2,0)-MATCH($G$1,[1]characters!$2:$2,0)+1,FALSE)</f>
        <v>怠惰の頂点 ベルフェゴール</v>
      </c>
      <c r="I231" s="10" t="str">
        <f ca="1">VLOOKUP($G231,OFFSET([1]characters!$A$2,0,0,COUNTA([1]characters!$A:$A),MATCH(I$1,[1]characters!$2:$2,0)-MATCH($G$1,[1]characters!$2:$2,0)+1),MATCH(I$1,[1]characters!$2:$2,0)-MATCH($G$1,[1]characters!$2:$2,0)+1,FALSE)</f>
        <v>PremiumS</v>
      </c>
      <c r="J231" s="10">
        <f ca="1">VLOOKUP($G231,OFFSET([1]characters!$A$2,0,0,COUNTA([1]characters!$A:$A),MATCH(J$1,[1]characters!$2:$2,0)-MATCH($G$1,[1]characters!$2:$2,0)+1),MATCH(J$1,[1]characters!$2:$2,0)-MATCH($G$1,[1]characters!$2:$2,0)+1,FALSE)</f>
        <v>5</v>
      </c>
      <c r="K231" s="10" t="str">
        <f ca="1">VLOOKUP($G231,OFFSET([1]characters!$A$2,0,0,COUNTA([1]characters!$A:$A),MATCH(K$1,[1]characters!$2:$2,0)-MATCH($G$1,[1]characters!$2:$2,0)+1),MATCH(K$1,[1]characters!$2:$2,0)-MATCH($G$1,[1]characters!$2:$2,0)+1,FALSE)</f>
        <v>green</v>
      </c>
      <c r="L231" s="10" t="str">
        <f ca="1">VLOOKUP($G231,OFFSET([1]characters!$A$2,0,0,COUNTA([1]characters!$A:$A),MATCH("タイプ",[1]characters!$1:$1,0)-MATCH($G$1,[1]characters!$2:$2,0)+2),MATCH("タイプ",[1]characters!$1:$1,0)-MATCH($G$1,[1]characters!$2:$2,0)+2,FALSE)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31" s="10" t="str">
        <f ca="1">VLOOKUP($G231,OFFSET([1]characters!$A$2,0,0,COUNTA([1]characters!$A:$A),MATCH($M$1,[1]characters!$1:$1,0)-MATCH($G$1,[1]characters!$2:$2,0)+2),MATCH($M$1,[1]characters!$1:$1,0)-MATCH($G$1,[1]characters!$2:$2,0)+2,FALSE)</f>
        <v>ゴッド</v>
      </c>
      <c r="N231" s="6">
        <v>1</v>
      </c>
      <c r="O231" s="43">
        <f ca="1">VLOOKUP(D231,gacha_114_base!A:K,11,FALSE)</f>
        <v>13</v>
      </c>
      <c r="P231" s="28">
        <v>0</v>
      </c>
      <c r="Q231" s="28">
        <v>0</v>
      </c>
      <c r="R231" s="28">
        <v>0</v>
      </c>
      <c r="S231" s="28">
        <v>0</v>
      </c>
      <c r="T231" s="28">
        <v>1</v>
      </c>
    </row>
    <row r="232" spans="1:20" ht="21" customHeight="1" thickBot="1">
      <c r="A232" s="22" t="str">
        <f t="shared" si="18"/>
        <v>02561</v>
      </c>
      <c r="B232" s="2">
        <v>114</v>
      </c>
      <c r="C232" s="10" t="str">
        <f t="shared" ca="1" si="15"/>
        <v>0PremiumS3</v>
      </c>
      <c r="D232" s="10" t="str">
        <f t="shared" ca="1" si="16"/>
        <v>0PremiumS3</v>
      </c>
      <c r="E232" s="10" t="str">
        <f t="shared" si="17"/>
        <v/>
      </c>
      <c r="F232" s="6">
        <v>0</v>
      </c>
      <c r="G232" s="7">
        <v>256</v>
      </c>
      <c r="H232" s="10" t="str">
        <f ca="1">VLOOKUP($G232,OFFSET([1]characters!$A$2,0,0,COUNTA([1]characters!$A:$A),MATCH(H$1,[1]characters!$2:$2,0)-MATCH($G$1,[1]characters!$2:$2,0)+1),MATCH(H$1,[1]characters!$2:$2,0)-MATCH($G$1,[1]characters!$2:$2,0)+1,FALSE)</f>
        <v>アスモデウス</v>
      </c>
      <c r="I232" s="10" t="str">
        <f ca="1">VLOOKUP($G232,OFFSET([1]characters!$A$2,0,0,COUNTA([1]characters!$A:$A),MATCH(I$1,[1]characters!$2:$2,0)-MATCH($G$1,[1]characters!$2:$2,0)+1),MATCH(I$1,[1]characters!$2:$2,0)-MATCH($G$1,[1]characters!$2:$2,0)+1,FALSE)</f>
        <v>PremiumS</v>
      </c>
      <c r="J232" s="10">
        <f ca="1">VLOOKUP($G232,OFFSET([1]characters!$A$2,0,0,COUNTA([1]characters!$A:$A),MATCH(J$1,[1]characters!$2:$2,0)-MATCH($G$1,[1]characters!$2:$2,0)+1),MATCH(J$1,[1]characters!$2:$2,0)-MATCH($G$1,[1]characters!$2:$2,0)+1,FALSE)</f>
        <v>3</v>
      </c>
      <c r="K232" s="10" t="str">
        <f ca="1">VLOOKUP($G232,OFFSET([1]characters!$A$2,0,0,COUNTA([1]characters!$A:$A),MATCH(K$1,[1]characters!$2:$2,0)-MATCH($G$1,[1]characters!$2:$2,0)+1),MATCH(K$1,[1]characters!$2:$2,0)-MATCH($G$1,[1]characters!$2:$2,0)+1,FALSE)</f>
        <v>blue</v>
      </c>
      <c r="L232" s="10" t="str">
        <f ca="1">VLOOKUP($G232,OFFSET([1]characters!$A$2,0,0,COUNTA([1]characters!$A:$A),MATCH("タイプ",[1]characters!$1:$1,0)-MATCH($G$1,[1]characters!$2:$2,0)+2),MATCH("タイプ",[1]characters!$1:$1,0)-MATCH($G$1,[1]characters!$2:$2,0)+2,FALSE)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32" s="10" t="str">
        <f ca="1">VLOOKUP($G232,OFFSET([1]characters!$A$2,0,0,COUNTA([1]characters!$A:$A),MATCH($M$1,[1]characters!$1:$1,0)-MATCH($G$1,[1]characters!$2:$2,0)+2),MATCH($M$1,[1]characters!$1:$1,0)-MATCH($G$1,[1]characters!$2:$2,0)+2,FALSE)</f>
        <v>ゴッド</v>
      </c>
      <c r="N232" s="6">
        <v>1</v>
      </c>
      <c r="O232" s="43">
        <f ca="1">VLOOKUP(D232,gacha_114_base!A:K,11,FALSE)</f>
        <v>228</v>
      </c>
      <c r="P232" s="28">
        <v>0</v>
      </c>
      <c r="Q232" s="28">
        <v>0</v>
      </c>
      <c r="R232" s="28">
        <v>0</v>
      </c>
      <c r="S232" s="28">
        <v>0</v>
      </c>
      <c r="T232" s="28">
        <v>1</v>
      </c>
    </row>
    <row r="233" spans="1:20" ht="21" customHeight="1" thickBot="1">
      <c r="A233" s="22" t="str">
        <f t="shared" si="18"/>
        <v>02571</v>
      </c>
      <c r="B233" s="2">
        <v>114</v>
      </c>
      <c r="C233" s="10" t="str">
        <f t="shared" ca="1" si="15"/>
        <v>0PremiumS4</v>
      </c>
      <c r="D233" s="10" t="str">
        <f t="shared" ca="1" si="16"/>
        <v>0PremiumS4</v>
      </c>
      <c r="E233" s="10" t="str">
        <f t="shared" si="17"/>
        <v/>
      </c>
      <c r="F233" s="6">
        <v>0</v>
      </c>
      <c r="G233" s="7">
        <v>257</v>
      </c>
      <c r="H233" s="10" t="str">
        <f ca="1">VLOOKUP($G233,OFFSET([1]characters!$A$2,0,0,COUNTA([1]characters!$A:$A),MATCH(H$1,[1]characters!$2:$2,0)-MATCH($G$1,[1]characters!$2:$2,0)+1),MATCH(H$1,[1]characters!$2:$2,0)-MATCH($G$1,[1]characters!$2:$2,0)+1,FALSE)</f>
        <v>色欲 アスモデウス</v>
      </c>
      <c r="I233" s="10" t="str">
        <f ca="1">VLOOKUP($G233,OFFSET([1]characters!$A$2,0,0,COUNTA([1]characters!$A:$A),MATCH(I$1,[1]characters!$2:$2,0)-MATCH($G$1,[1]characters!$2:$2,0)+1),MATCH(I$1,[1]characters!$2:$2,0)-MATCH($G$1,[1]characters!$2:$2,0)+1,FALSE)</f>
        <v>PremiumS</v>
      </c>
      <c r="J233" s="10">
        <f ca="1">VLOOKUP($G233,OFFSET([1]characters!$A$2,0,0,COUNTA([1]characters!$A:$A),MATCH(J$1,[1]characters!$2:$2,0)-MATCH($G$1,[1]characters!$2:$2,0)+1),MATCH(J$1,[1]characters!$2:$2,0)-MATCH($G$1,[1]characters!$2:$2,0)+1,FALSE)</f>
        <v>4</v>
      </c>
      <c r="K233" s="10" t="str">
        <f ca="1">VLOOKUP($G233,OFFSET([1]characters!$A$2,0,0,COUNTA([1]characters!$A:$A),MATCH(K$1,[1]characters!$2:$2,0)-MATCH($G$1,[1]characters!$2:$2,0)+1),MATCH(K$1,[1]characters!$2:$2,0)-MATCH($G$1,[1]characters!$2:$2,0)+1,FALSE)</f>
        <v>blue</v>
      </c>
      <c r="L233" s="10" t="str">
        <f ca="1">VLOOKUP($G233,OFFSET([1]characters!$A$2,0,0,COUNTA([1]characters!$A:$A),MATCH("タイプ",[1]characters!$1:$1,0)-MATCH($G$1,[1]characters!$2:$2,0)+2),MATCH("タイプ",[1]characters!$1:$1,0)-MATCH($G$1,[1]characters!$2:$2,0)+2,FALSE)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33" s="10" t="str">
        <f ca="1">VLOOKUP($G233,OFFSET([1]characters!$A$2,0,0,COUNTA([1]characters!$A:$A),MATCH($M$1,[1]characters!$1:$1,0)-MATCH($G$1,[1]characters!$2:$2,0)+2),MATCH($M$1,[1]characters!$1:$1,0)-MATCH($G$1,[1]characters!$2:$2,0)+2,FALSE)</f>
        <v>ゴッド</v>
      </c>
      <c r="N233" s="6">
        <v>1</v>
      </c>
      <c r="O233" s="43">
        <f ca="1">VLOOKUP(D233,gacha_114_base!A:K,11,FALSE)</f>
        <v>80</v>
      </c>
      <c r="P233" s="28">
        <v>0</v>
      </c>
      <c r="Q233" s="28">
        <v>0</v>
      </c>
      <c r="R233" s="28">
        <v>0</v>
      </c>
      <c r="S233" s="28">
        <v>0</v>
      </c>
      <c r="T233" s="28">
        <v>1</v>
      </c>
    </row>
    <row r="234" spans="1:20" ht="21" customHeight="1" thickBot="1">
      <c r="A234" s="22" t="str">
        <f t="shared" si="18"/>
        <v>02581</v>
      </c>
      <c r="B234" s="2">
        <v>114</v>
      </c>
      <c r="C234" s="10" t="str">
        <f t="shared" ca="1" si="15"/>
        <v>0PremiumS5</v>
      </c>
      <c r="D234" s="10" t="str">
        <f t="shared" ca="1" si="16"/>
        <v>0PremiumS5</v>
      </c>
      <c r="E234" s="10" t="str">
        <f t="shared" si="17"/>
        <v/>
      </c>
      <c r="F234" s="6">
        <v>0</v>
      </c>
      <c r="G234" s="7">
        <v>258</v>
      </c>
      <c r="H234" s="10" t="str">
        <f ca="1">VLOOKUP($G234,OFFSET([1]characters!$A$2,0,0,COUNTA([1]characters!$A:$A),MATCH(H$1,[1]characters!$2:$2,0)-MATCH($G$1,[1]characters!$2:$2,0)+1),MATCH(H$1,[1]characters!$2:$2,0)-MATCH($G$1,[1]characters!$2:$2,0)+1,FALSE)</f>
        <v>色欲の源流 アスモデウス</v>
      </c>
      <c r="I234" s="10" t="str">
        <f ca="1">VLOOKUP($G234,OFFSET([1]characters!$A$2,0,0,COUNTA([1]characters!$A:$A),MATCH(I$1,[1]characters!$2:$2,0)-MATCH($G$1,[1]characters!$2:$2,0)+1),MATCH(I$1,[1]characters!$2:$2,0)-MATCH($G$1,[1]characters!$2:$2,0)+1,FALSE)</f>
        <v>PremiumS</v>
      </c>
      <c r="J234" s="10">
        <f ca="1">VLOOKUP($G234,OFFSET([1]characters!$A$2,0,0,COUNTA([1]characters!$A:$A),MATCH(J$1,[1]characters!$2:$2,0)-MATCH($G$1,[1]characters!$2:$2,0)+1),MATCH(J$1,[1]characters!$2:$2,0)-MATCH($G$1,[1]characters!$2:$2,0)+1,FALSE)</f>
        <v>5</v>
      </c>
      <c r="K234" s="10" t="str">
        <f ca="1">VLOOKUP($G234,OFFSET([1]characters!$A$2,0,0,COUNTA([1]characters!$A:$A),MATCH(K$1,[1]characters!$2:$2,0)-MATCH($G$1,[1]characters!$2:$2,0)+1),MATCH(K$1,[1]characters!$2:$2,0)-MATCH($G$1,[1]characters!$2:$2,0)+1,FALSE)</f>
        <v>blue</v>
      </c>
      <c r="L234" s="10" t="str">
        <f ca="1">VLOOKUP($G234,OFFSET([1]characters!$A$2,0,0,COUNTA([1]characters!$A:$A),MATCH("タイプ",[1]characters!$1:$1,0)-MATCH($G$1,[1]characters!$2:$2,0)+2),MATCH("タイプ",[1]characters!$1:$1,0)-MATCH($G$1,[1]characters!$2:$2,0)+2,FALSE)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34" s="10" t="str">
        <f ca="1">VLOOKUP($G234,OFFSET([1]characters!$A$2,0,0,COUNTA([1]characters!$A:$A),MATCH($M$1,[1]characters!$1:$1,0)-MATCH($G$1,[1]characters!$2:$2,0)+2),MATCH($M$1,[1]characters!$1:$1,0)-MATCH($G$1,[1]characters!$2:$2,0)+2,FALSE)</f>
        <v>ゴッド</v>
      </c>
      <c r="N234" s="6">
        <v>1</v>
      </c>
      <c r="O234" s="43">
        <f ca="1">VLOOKUP(D234,gacha_114_base!A:K,11,FALSE)</f>
        <v>13</v>
      </c>
      <c r="P234" s="28">
        <v>0</v>
      </c>
      <c r="Q234" s="28">
        <v>0</v>
      </c>
      <c r="R234" s="28">
        <v>0</v>
      </c>
      <c r="S234" s="28">
        <v>0</v>
      </c>
      <c r="T234" s="28">
        <v>1</v>
      </c>
    </row>
    <row r="235" spans="1:20" ht="21" customHeight="1" thickBot="1">
      <c r="A235" s="22" t="str">
        <f t="shared" si="18"/>
        <v>02591</v>
      </c>
      <c r="B235" s="2">
        <v>114</v>
      </c>
      <c r="C235" s="10" t="str">
        <f t="shared" ca="1" si="15"/>
        <v>0PremiumS3</v>
      </c>
      <c r="D235" s="10" t="str">
        <f t="shared" ca="1" si="16"/>
        <v>0PremiumS3</v>
      </c>
      <c r="E235" s="10" t="str">
        <f t="shared" si="17"/>
        <v/>
      </c>
      <c r="F235" s="6">
        <v>0</v>
      </c>
      <c r="G235" s="7">
        <v>259</v>
      </c>
      <c r="H235" s="10" t="str">
        <f ca="1">VLOOKUP($G235,OFFSET([1]characters!$A$2,0,0,COUNTA([1]characters!$A:$A),MATCH(H$1,[1]characters!$2:$2,0)-MATCH($G$1,[1]characters!$2:$2,0)+1),MATCH(H$1,[1]characters!$2:$2,0)-MATCH($G$1,[1]characters!$2:$2,0)+1,FALSE)</f>
        <v>ウロボロス</v>
      </c>
      <c r="I235" s="10" t="str">
        <f ca="1">VLOOKUP($G235,OFFSET([1]characters!$A$2,0,0,COUNTA([1]characters!$A:$A),MATCH(I$1,[1]characters!$2:$2,0)-MATCH($G$1,[1]characters!$2:$2,0)+1),MATCH(I$1,[1]characters!$2:$2,0)-MATCH($G$1,[1]characters!$2:$2,0)+1,FALSE)</f>
        <v>PremiumS</v>
      </c>
      <c r="J235" s="10">
        <f ca="1">VLOOKUP($G235,OFFSET([1]characters!$A$2,0,0,COUNTA([1]characters!$A:$A),MATCH(J$1,[1]characters!$2:$2,0)-MATCH($G$1,[1]characters!$2:$2,0)+1),MATCH(J$1,[1]characters!$2:$2,0)-MATCH($G$1,[1]characters!$2:$2,0)+1,FALSE)</f>
        <v>3</v>
      </c>
      <c r="K235" s="10" t="str">
        <f ca="1">VLOOKUP($G235,OFFSET([1]characters!$A$2,0,0,COUNTA([1]characters!$A:$A),MATCH(K$1,[1]characters!$2:$2,0)-MATCH($G$1,[1]characters!$2:$2,0)+1),MATCH(K$1,[1]characters!$2:$2,0)-MATCH($G$1,[1]characters!$2:$2,0)+1,FALSE)</f>
        <v>yellow</v>
      </c>
      <c r="L235" s="10" t="str">
        <f ca="1">VLOOKUP($G235,OFFSET([1]characters!$A$2,0,0,COUNTA([1]characters!$A:$A),MATCH("タイプ",[1]characters!$1:$1,0)-MATCH($G$1,[1]characters!$2:$2,0)+2),MATCH("タイプ",[1]characters!$1:$1,0)-MATCH($G$1,[1]characters!$2:$2,0)+2,FALSE)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35" s="10" t="str">
        <f ca="1">VLOOKUP($G235,OFFSET([1]characters!$A$2,0,0,COUNTA([1]characters!$A:$A),MATCH($M$1,[1]characters!$1:$1,0)-MATCH($G$1,[1]characters!$2:$2,0)+2),MATCH($M$1,[1]characters!$1:$1,0)-MATCH($G$1,[1]characters!$2:$2,0)+2,FALSE)</f>
        <v>ドラゴン</v>
      </c>
      <c r="N235" s="6">
        <v>1</v>
      </c>
      <c r="O235" s="43">
        <f ca="1">VLOOKUP(D235,gacha_114_base!A:K,11,FALSE)</f>
        <v>228</v>
      </c>
      <c r="P235" s="28">
        <v>0</v>
      </c>
      <c r="Q235" s="28">
        <v>0</v>
      </c>
      <c r="R235" s="28">
        <v>0</v>
      </c>
      <c r="S235" s="28">
        <v>0</v>
      </c>
      <c r="T235" s="28">
        <v>1</v>
      </c>
    </row>
    <row r="236" spans="1:20" ht="21" customHeight="1" thickBot="1">
      <c r="A236" s="22" t="str">
        <f t="shared" si="18"/>
        <v>02601</v>
      </c>
      <c r="B236" s="2">
        <v>114</v>
      </c>
      <c r="C236" s="10" t="str">
        <f t="shared" ca="1" si="15"/>
        <v>0PremiumS4</v>
      </c>
      <c r="D236" s="10" t="str">
        <f t="shared" ca="1" si="16"/>
        <v>0PremiumS4</v>
      </c>
      <c r="E236" s="10" t="str">
        <f t="shared" si="17"/>
        <v/>
      </c>
      <c r="F236" s="6">
        <v>0</v>
      </c>
      <c r="G236" s="7">
        <v>260</v>
      </c>
      <c r="H236" s="10" t="str">
        <f ca="1">VLOOKUP($G236,OFFSET([1]characters!$A$2,0,0,COUNTA([1]characters!$A:$A),MATCH(H$1,[1]characters!$2:$2,0)-MATCH($G$1,[1]characters!$2:$2,0)+1),MATCH(H$1,[1]characters!$2:$2,0)-MATCH($G$1,[1]characters!$2:$2,0)+1,FALSE)</f>
        <v>輪廻 ウロボロス</v>
      </c>
      <c r="I236" s="10" t="str">
        <f ca="1">VLOOKUP($G236,OFFSET([1]characters!$A$2,0,0,COUNTA([1]characters!$A:$A),MATCH(I$1,[1]characters!$2:$2,0)-MATCH($G$1,[1]characters!$2:$2,0)+1),MATCH(I$1,[1]characters!$2:$2,0)-MATCH($G$1,[1]characters!$2:$2,0)+1,FALSE)</f>
        <v>PremiumS</v>
      </c>
      <c r="J236" s="10">
        <f ca="1">VLOOKUP($G236,OFFSET([1]characters!$A$2,0,0,COUNTA([1]characters!$A:$A),MATCH(J$1,[1]characters!$2:$2,0)-MATCH($G$1,[1]characters!$2:$2,0)+1),MATCH(J$1,[1]characters!$2:$2,0)-MATCH($G$1,[1]characters!$2:$2,0)+1,FALSE)</f>
        <v>4</v>
      </c>
      <c r="K236" s="10" t="str">
        <f ca="1">VLOOKUP($G236,OFFSET([1]characters!$A$2,0,0,COUNTA([1]characters!$A:$A),MATCH(K$1,[1]characters!$2:$2,0)-MATCH($G$1,[1]characters!$2:$2,0)+1),MATCH(K$1,[1]characters!$2:$2,0)-MATCH($G$1,[1]characters!$2:$2,0)+1,FALSE)</f>
        <v>yellow</v>
      </c>
      <c r="L236" s="10" t="str">
        <f ca="1">VLOOKUP($G236,OFFSET([1]characters!$A$2,0,0,COUNTA([1]characters!$A:$A),MATCH("タイプ",[1]characters!$1:$1,0)-MATCH($G$1,[1]characters!$2:$2,0)+2),MATCH("タイプ",[1]characters!$1:$1,0)-MATCH($G$1,[1]characters!$2:$2,0)+2,FALSE)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36" s="10" t="str">
        <f ca="1">VLOOKUP($G236,OFFSET([1]characters!$A$2,0,0,COUNTA([1]characters!$A:$A),MATCH($M$1,[1]characters!$1:$1,0)-MATCH($G$1,[1]characters!$2:$2,0)+2),MATCH($M$1,[1]characters!$1:$1,0)-MATCH($G$1,[1]characters!$2:$2,0)+2,FALSE)</f>
        <v>ドラゴン</v>
      </c>
      <c r="N236" s="6">
        <v>1</v>
      </c>
      <c r="O236" s="43">
        <f ca="1">VLOOKUP(D236,gacha_114_base!A:K,11,FALSE)</f>
        <v>80</v>
      </c>
      <c r="P236" s="28">
        <v>0</v>
      </c>
      <c r="Q236" s="28">
        <v>0</v>
      </c>
      <c r="R236" s="28">
        <v>0</v>
      </c>
      <c r="S236" s="28">
        <v>0</v>
      </c>
      <c r="T236" s="28">
        <v>1</v>
      </c>
    </row>
    <row r="237" spans="1:20" ht="21" customHeight="1" thickBot="1">
      <c r="A237" s="22" t="str">
        <f t="shared" si="18"/>
        <v>02611</v>
      </c>
      <c r="B237" s="2">
        <v>114</v>
      </c>
      <c r="C237" s="10" t="str">
        <f t="shared" ca="1" si="15"/>
        <v>0PremiumS5</v>
      </c>
      <c r="D237" s="10" t="str">
        <f t="shared" ca="1" si="16"/>
        <v>0PremiumS5</v>
      </c>
      <c r="E237" s="10" t="str">
        <f t="shared" si="17"/>
        <v/>
      </c>
      <c r="F237" s="6">
        <v>0</v>
      </c>
      <c r="G237" s="7">
        <v>261</v>
      </c>
      <c r="H237" s="10" t="str">
        <f ca="1">VLOOKUP($G237,OFFSET([1]characters!$A$2,0,0,COUNTA([1]characters!$A:$A),MATCH(H$1,[1]characters!$2:$2,0)-MATCH($G$1,[1]characters!$2:$2,0)+1),MATCH(H$1,[1]characters!$2:$2,0)-MATCH($G$1,[1]characters!$2:$2,0)+1,FALSE)</f>
        <v>輪廻の蛇龍 ウロボロス</v>
      </c>
      <c r="I237" s="10" t="str">
        <f ca="1">VLOOKUP($G237,OFFSET([1]characters!$A$2,0,0,COUNTA([1]characters!$A:$A),MATCH(I$1,[1]characters!$2:$2,0)-MATCH($G$1,[1]characters!$2:$2,0)+1),MATCH(I$1,[1]characters!$2:$2,0)-MATCH($G$1,[1]characters!$2:$2,0)+1,FALSE)</f>
        <v>PremiumS</v>
      </c>
      <c r="J237" s="10">
        <f ca="1">VLOOKUP($G237,OFFSET([1]characters!$A$2,0,0,COUNTA([1]characters!$A:$A),MATCH(J$1,[1]characters!$2:$2,0)-MATCH($G$1,[1]characters!$2:$2,0)+1),MATCH(J$1,[1]characters!$2:$2,0)-MATCH($G$1,[1]characters!$2:$2,0)+1,FALSE)</f>
        <v>5</v>
      </c>
      <c r="K237" s="10" t="str">
        <f ca="1">VLOOKUP($G237,OFFSET([1]characters!$A$2,0,0,COUNTA([1]characters!$A:$A),MATCH(K$1,[1]characters!$2:$2,0)-MATCH($G$1,[1]characters!$2:$2,0)+1),MATCH(K$1,[1]characters!$2:$2,0)-MATCH($G$1,[1]characters!$2:$2,0)+1,FALSE)</f>
        <v>yellow</v>
      </c>
      <c r="L237" s="10" t="str">
        <f ca="1">VLOOKUP($G237,OFFSET([1]characters!$A$2,0,0,COUNTA([1]characters!$A:$A),MATCH("タイプ",[1]characters!$1:$1,0)-MATCH($G$1,[1]characters!$2:$2,0)+2),MATCH("タイプ",[1]characters!$1:$1,0)-MATCH($G$1,[1]characters!$2:$2,0)+2,FALSE)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37" s="10" t="str">
        <f ca="1">VLOOKUP($G237,OFFSET([1]characters!$A$2,0,0,COUNTA([1]characters!$A:$A),MATCH($M$1,[1]characters!$1:$1,0)-MATCH($G$1,[1]characters!$2:$2,0)+2),MATCH($M$1,[1]characters!$1:$1,0)-MATCH($G$1,[1]characters!$2:$2,0)+2,FALSE)</f>
        <v>ドラゴン</v>
      </c>
      <c r="N237" s="6">
        <v>1</v>
      </c>
      <c r="O237" s="43">
        <f ca="1">VLOOKUP(D237,gacha_114_base!A:K,11,FALSE)</f>
        <v>13</v>
      </c>
      <c r="P237" s="28">
        <v>0</v>
      </c>
      <c r="Q237" s="28">
        <v>0</v>
      </c>
      <c r="R237" s="28">
        <v>0</v>
      </c>
      <c r="S237" s="28">
        <v>0</v>
      </c>
      <c r="T237" s="28">
        <v>1</v>
      </c>
    </row>
    <row r="238" spans="1:20" ht="21" customHeight="1" thickBot="1">
      <c r="A238" s="22" t="str">
        <f t="shared" si="18"/>
        <v>03201</v>
      </c>
      <c r="B238" s="2">
        <v>114</v>
      </c>
      <c r="C238" s="10" t="str">
        <f t="shared" ca="1" si="15"/>
        <v>0PremiumSS4</v>
      </c>
      <c r="D238" s="10" t="str">
        <f t="shared" ca="1" si="16"/>
        <v>0PremiumSS4</v>
      </c>
      <c r="E238" s="10" t="str">
        <f t="shared" si="17"/>
        <v/>
      </c>
      <c r="F238" s="21">
        <v>0</v>
      </c>
      <c r="G238" s="27">
        <v>320</v>
      </c>
      <c r="H238" s="20" t="str">
        <f ca="1">VLOOKUP($G238,OFFSET([1]characters!$A$2,0,0,COUNTA([1]characters!$A:$A),MATCH(H$1,[1]characters!$2:$2,0)-MATCH($G$1,[1]characters!$2:$2,0)+1),MATCH(H$1,[1]characters!$2:$2,0)-MATCH($G$1,[1]characters!$2:$2,0)+1,FALSE)</f>
        <v>烈志士 近藤勇</v>
      </c>
      <c r="I238" s="20" t="str">
        <f ca="1">VLOOKUP($G238,OFFSET([1]characters!$A$2,0,0,COUNTA([1]characters!$A:$A),MATCH(I$1,[1]characters!$2:$2,0)-MATCH($G$1,[1]characters!$2:$2,0)+1),MATCH(I$1,[1]characters!$2:$2,0)-MATCH($G$1,[1]characters!$2:$2,0)+1,FALSE)</f>
        <v>PremiumSS</v>
      </c>
      <c r="J238" s="20">
        <f ca="1">VLOOKUP($G238,OFFSET([1]characters!$A$2,0,0,COUNTA([1]characters!$A:$A),MATCH(J$1,[1]characters!$2:$2,0)-MATCH($G$1,[1]characters!$2:$2,0)+1),MATCH(J$1,[1]characters!$2:$2,0)-MATCH($G$1,[1]characters!$2:$2,0)+1,FALSE)</f>
        <v>4</v>
      </c>
      <c r="K238" s="20" t="str">
        <f ca="1">VLOOKUP($G238,OFFSET([1]characters!$A$2,0,0,COUNTA([1]characters!$A:$A),MATCH(K$1,[1]characters!$2:$2,0)-MATCH($G$1,[1]characters!$2:$2,0)+1),MATCH(K$1,[1]characters!$2:$2,0)-MATCH($G$1,[1]characters!$2:$2,0)+1,FALSE)</f>
        <v>red</v>
      </c>
      <c r="L238" s="20" t="str">
        <f ca="1">VLOOKUP($G238,OFFSET([1]characters!$A$2,0,0,COUNTA([1]characters!$A:$A),MATCH("タイプ",[1]characters!$1:$1,0)-MATCH($G$1,[1]characters!$2:$2,0)+2),MATCH("タイプ",[1]characters!$1:$1,0)-MATCH($G$1,[1]characters!$2:$2,0)+2,FALSE)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38" s="20" t="str">
        <f ca="1">VLOOKUP($G238,OFFSET([1]characters!$A$2,0,0,COUNTA([1]characters!$A:$A),MATCH($M$1,[1]characters!$1:$1,0)-MATCH($G$1,[1]characters!$2:$2,0)+2),MATCH($M$1,[1]characters!$1:$1,0)-MATCH($G$1,[1]characters!$2:$2,0)+2,FALSE)</f>
        <v>ヒューマン</v>
      </c>
      <c r="N238" s="21">
        <v>1</v>
      </c>
      <c r="O238" s="43">
        <f ca="1">VLOOKUP(D238,gacha_114_base!A:K,11,FALSE)</f>
        <v>144</v>
      </c>
      <c r="P238" s="18">
        <v>0</v>
      </c>
      <c r="Q238" s="18">
        <v>0</v>
      </c>
      <c r="R238" s="18">
        <v>0</v>
      </c>
      <c r="S238" s="18">
        <v>0</v>
      </c>
      <c r="T238" s="18">
        <v>1</v>
      </c>
    </row>
    <row r="239" spans="1:20" ht="21" customHeight="1" thickBot="1">
      <c r="A239" s="22" t="str">
        <f t="shared" si="18"/>
        <v>03211</v>
      </c>
      <c r="B239" s="2">
        <v>114</v>
      </c>
      <c r="C239" s="10" t="str">
        <f t="shared" ca="1" si="15"/>
        <v>0PremiumSS5</v>
      </c>
      <c r="D239" s="10" t="str">
        <f t="shared" ca="1" si="16"/>
        <v>0PremiumSS5</v>
      </c>
      <c r="E239" s="10" t="str">
        <f t="shared" si="17"/>
        <v/>
      </c>
      <c r="F239" s="21">
        <v>0</v>
      </c>
      <c r="G239" s="7">
        <v>321</v>
      </c>
      <c r="H239" s="10" t="str">
        <f ca="1">VLOOKUP($G239,OFFSET([1]characters!$A$2,0,0,COUNTA([1]characters!$A:$A),MATCH(H$1,[1]characters!$2:$2,0)-MATCH($G$1,[1]characters!$2:$2,0)+1),MATCH(H$1,[1]characters!$2:$2,0)-MATCH($G$1,[1]characters!$2:$2,0)+1,FALSE)</f>
        <v>巌鉄の烈志士 近藤勇</v>
      </c>
      <c r="I239" s="10" t="str">
        <f ca="1">VLOOKUP($G239,OFFSET([1]characters!$A$2,0,0,COUNTA([1]characters!$A:$A),MATCH(I$1,[1]characters!$2:$2,0)-MATCH($G$1,[1]characters!$2:$2,0)+1),MATCH(I$1,[1]characters!$2:$2,0)-MATCH($G$1,[1]characters!$2:$2,0)+1,FALSE)</f>
        <v>PremiumSS</v>
      </c>
      <c r="J239" s="10">
        <f ca="1">VLOOKUP($G239,OFFSET([1]characters!$A$2,0,0,COUNTA([1]characters!$A:$A),MATCH(J$1,[1]characters!$2:$2,0)-MATCH($G$1,[1]characters!$2:$2,0)+1),MATCH(J$1,[1]characters!$2:$2,0)-MATCH($G$1,[1]characters!$2:$2,0)+1,FALSE)</f>
        <v>5</v>
      </c>
      <c r="K239" s="10" t="str">
        <f ca="1">VLOOKUP($G239,OFFSET([1]characters!$A$2,0,0,COUNTA([1]characters!$A:$A),MATCH(K$1,[1]characters!$2:$2,0)-MATCH($G$1,[1]characters!$2:$2,0)+1),MATCH(K$1,[1]characters!$2:$2,0)-MATCH($G$1,[1]characters!$2:$2,0)+1,FALSE)</f>
        <v>red</v>
      </c>
      <c r="L239" s="10" t="str">
        <f ca="1">VLOOKUP($G239,OFFSET([1]characters!$A$2,0,0,COUNTA([1]characters!$A:$A),MATCH("タイプ",[1]characters!$1:$1,0)-MATCH($G$1,[1]characters!$2:$2,0)+2),MATCH("タイプ",[1]characters!$1:$1,0)-MATCH($G$1,[1]characters!$2:$2,0)+2,FALSE)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39" s="10" t="str">
        <f ca="1">VLOOKUP($G239,OFFSET([1]characters!$A$2,0,0,COUNTA([1]characters!$A:$A),MATCH($M$1,[1]characters!$1:$1,0)-MATCH($G$1,[1]characters!$2:$2,0)+2),MATCH($M$1,[1]characters!$1:$1,0)-MATCH($G$1,[1]characters!$2:$2,0)+2,FALSE)</f>
        <v>ヒューマン</v>
      </c>
      <c r="N239" s="6">
        <v>1</v>
      </c>
      <c r="O239" s="43">
        <f ca="1">VLOOKUP(D239,gacha_114_base!A:K,11,FALSE)</f>
        <v>48</v>
      </c>
      <c r="P239" s="28">
        <v>0</v>
      </c>
      <c r="Q239" s="28">
        <v>0</v>
      </c>
      <c r="R239" s="28">
        <v>0</v>
      </c>
      <c r="S239" s="28">
        <v>0</v>
      </c>
      <c r="T239" s="28">
        <v>1</v>
      </c>
    </row>
    <row r="240" spans="1:20" ht="21" customHeight="1" thickBot="1">
      <c r="A240" s="22" t="str">
        <f t="shared" si="18"/>
        <v>03221</v>
      </c>
      <c r="B240" s="2">
        <v>114</v>
      </c>
      <c r="C240" s="10" t="str">
        <f t="shared" ca="1" si="15"/>
        <v>0PremiumSS4</v>
      </c>
      <c r="D240" s="10" t="str">
        <f t="shared" ca="1" si="16"/>
        <v>0PremiumSS4</v>
      </c>
      <c r="E240" s="10" t="str">
        <f t="shared" si="17"/>
        <v/>
      </c>
      <c r="F240" s="21">
        <v>0</v>
      </c>
      <c r="G240" s="7">
        <v>322</v>
      </c>
      <c r="H240" s="10" t="str">
        <f ca="1">VLOOKUP($G240,OFFSET([1]characters!$A$2,0,0,COUNTA([1]characters!$A:$A),MATCH(H$1,[1]characters!$2:$2,0)-MATCH($G$1,[1]characters!$2:$2,0)+1),MATCH(H$1,[1]characters!$2:$2,0)-MATCH($G$1,[1]characters!$2:$2,0)+1,FALSE)</f>
        <v>愛志士 土方歳三</v>
      </c>
      <c r="I240" s="10" t="str">
        <f ca="1">VLOOKUP($G240,OFFSET([1]characters!$A$2,0,0,COUNTA([1]characters!$A:$A),MATCH(I$1,[1]characters!$2:$2,0)-MATCH($G$1,[1]characters!$2:$2,0)+1),MATCH(I$1,[1]characters!$2:$2,0)-MATCH($G$1,[1]characters!$2:$2,0)+1,FALSE)</f>
        <v>PremiumSS</v>
      </c>
      <c r="J240" s="10">
        <f ca="1">VLOOKUP($G240,OFFSET([1]characters!$A$2,0,0,COUNTA([1]characters!$A:$A),MATCH(J$1,[1]characters!$2:$2,0)-MATCH($G$1,[1]characters!$2:$2,0)+1),MATCH(J$1,[1]characters!$2:$2,0)-MATCH($G$1,[1]characters!$2:$2,0)+1,FALSE)</f>
        <v>4</v>
      </c>
      <c r="K240" s="10" t="str">
        <f ca="1">VLOOKUP($G240,OFFSET([1]characters!$A$2,0,0,COUNTA([1]characters!$A:$A),MATCH(K$1,[1]characters!$2:$2,0)-MATCH($G$1,[1]characters!$2:$2,0)+1),MATCH(K$1,[1]characters!$2:$2,0)-MATCH($G$1,[1]characters!$2:$2,0)+1,FALSE)</f>
        <v>green</v>
      </c>
      <c r="L240" s="10" t="str">
        <f ca="1">VLOOKUP($G240,OFFSET([1]characters!$A$2,0,0,COUNTA([1]characters!$A:$A),MATCH("タイプ",[1]characters!$1:$1,0)-MATCH($G$1,[1]characters!$2:$2,0)+2),MATCH("タイプ",[1]characters!$1:$1,0)-MATCH($G$1,[1]characters!$2:$2,0)+2,FALSE)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40" s="10" t="str">
        <f ca="1">VLOOKUP($G240,OFFSET([1]characters!$A$2,0,0,COUNTA([1]characters!$A:$A),MATCH($M$1,[1]characters!$1:$1,0)-MATCH($G$1,[1]characters!$2:$2,0)+2),MATCH($M$1,[1]characters!$1:$1,0)-MATCH($G$1,[1]characters!$2:$2,0)+2,FALSE)</f>
        <v>ヒューマン</v>
      </c>
      <c r="N240" s="6">
        <v>1</v>
      </c>
      <c r="O240" s="43">
        <f ca="1">VLOOKUP(D240,gacha_114_base!A:K,11,FALSE)</f>
        <v>144</v>
      </c>
      <c r="P240" s="28">
        <v>0</v>
      </c>
      <c r="Q240" s="28">
        <v>0</v>
      </c>
      <c r="R240" s="28">
        <v>0</v>
      </c>
      <c r="S240" s="28">
        <v>0</v>
      </c>
      <c r="T240" s="28">
        <v>1</v>
      </c>
    </row>
    <row r="241" spans="1:20" ht="21" customHeight="1" thickBot="1">
      <c r="A241" s="22" t="str">
        <f t="shared" si="18"/>
        <v>03231</v>
      </c>
      <c r="B241" s="2">
        <v>114</v>
      </c>
      <c r="C241" s="10" t="str">
        <f t="shared" ca="1" si="15"/>
        <v>0PremiumSS5</v>
      </c>
      <c r="D241" s="10" t="str">
        <f t="shared" ca="1" si="16"/>
        <v>0PremiumSS5</v>
      </c>
      <c r="E241" s="10" t="str">
        <f t="shared" si="17"/>
        <v/>
      </c>
      <c r="F241" s="21">
        <v>0</v>
      </c>
      <c r="G241" s="7">
        <v>323</v>
      </c>
      <c r="H241" s="10" t="str">
        <f ca="1">VLOOKUP($G241,OFFSET([1]characters!$A$2,0,0,COUNTA([1]characters!$A:$A),MATCH(H$1,[1]characters!$2:$2,0)-MATCH($G$1,[1]characters!$2:$2,0)+1),MATCH(H$1,[1]characters!$2:$2,0)-MATCH($G$1,[1]characters!$2:$2,0)+1,FALSE)</f>
        <v>流麗の愛志士 土方歳三</v>
      </c>
      <c r="I241" s="10" t="str">
        <f ca="1">VLOOKUP($G241,OFFSET([1]characters!$A$2,0,0,COUNTA([1]characters!$A:$A),MATCH(I$1,[1]characters!$2:$2,0)-MATCH($G$1,[1]characters!$2:$2,0)+1),MATCH(I$1,[1]characters!$2:$2,0)-MATCH($G$1,[1]characters!$2:$2,0)+1,FALSE)</f>
        <v>PremiumSS</v>
      </c>
      <c r="J241" s="10">
        <f ca="1">VLOOKUP($G241,OFFSET([1]characters!$A$2,0,0,COUNTA([1]characters!$A:$A),MATCH(J$1,[1]characters!$2:$2,0)-MATCH($G$1,[1]characters!$2:$2,0)+1),MATCH(J$1,[1]characters!$2:$2,0)-MATCH($G$1,[1]characters!$2:$2,0)+1,FALSE)</f>
        <v>5</v>
      </c>
      <c r="K241" s="10" t="str">
        <f ca="1">VLOOKUP($G241,OFFSET([1]characters!$A$2,0,0,COUNTA([1]characters!$A:$A),MATCH(K$1,[1]characters!$2:$2,0)-MATCH($G$1,[1]characters!$2:$2,0)+1),MATCH(K$1,[1]characters!$2:$2,0)-MATCH($G$1,[1]characters!$2:$2,0)+1,FALSE)</f>
        <v>green</v>
      </c>
      <c r="L241" s="10" t="str">
        <f ca="1">VLOOKUP($G241,OFFSET([1]characters!$A$2,0,0,COUNTA([1]characters!$A:$A),MATCH("タイプ",[1]characters!$1:$1,0)-MATCH($G$1,[1]characters!$2:$2,0)+2),MATCH("タイプ",[1]characters!$1:$1,0)-MATCH($G$1,[1]characters!$2:$2,0)+2,FALSE)</f>
        <v>攻撃タイプ</v>
      </c>
      <c r="M241" s="10" t="str">
        <f ca="1">VLOOKUP($G241,OFFSET([1]characters!$A$2,0,0,COUNTA([1]characters!$A:$A),MATCH($M$1,[1]characters!$1:$1,0)-MATCH($G$1,[1]characters!$2:$2,0)+2),MATCH($M$1,[1]characters!$1:$1,0)-MATCH($G$1,[1]characters!$2:$2,0)+2,FALSE)</f>
        <v>ヒューマン</v>
      </c>
      <c r="N241" s="6">
        <v>1</v>
      </c>
      <c r="O241" s="43">
        <f ca="1">VLOOKUP(D241,gacha_114_base!A:K,11,FALSE)</f>
        <v>48</v>
      </c>
      <c r="P241" s="28">
        <v>0</v>
      </c>
      <c r="Q241" s="28">
        <v>0</v>
      </c>
      <c r="R241" s="28">
        <v>0</v>
      </c>
      <c r="S241" s="28">
        <v>0</v>
      </c>
      <c r="T241" s="28">
        <v>1</v>
      </c>
    </row>
    <row r="242" spans="1:20" ht="21" customHeight="1" thickBot="1">
      <c r="A242" s="22" t="str">
        <f t="shared" si="18"/>
        <v>03241</v>
      </c>
      <c r="B242" s="2">
        <v>114</v>
      </c>
      <c r="C242" s="10" t="str">
        <f t="shared" ca="1" si="15"/>
        <v>0PremiumSS4</v>
      </c>
      <c r="D242" s="10" t="str">
        <f t="shared" ca="1" si="16"/>
        <v>0PremiumSS4</v>
      </c>
      <c r="E242" s="10" t="str">
        <f t="shared" si="17"/>
        <v/>
      </c>
      <c r="F242" s="21">
        <v>0</v>
      </c>
      <c r="G242" s="7">
        <v>324</v>
      </c>
      <c r="H242" s="10" t="str">
        <f ca="1">VLOOKUP($G242,OFFSET([1]characters!$A$2,0,0,COUNTA([1]characters!$A:$A),MATCH(H$1,[1]characters!$2:$2,0)-MATCH($G$1,[1]characters!$2:$2,0)+1),MATCH(H$1,[1]characters!$2:$2,0)-MATCH($G$1,[1]characters!$2:$2,0)+1,FALSE)</f>
        <v>凛志士 沖田総司</v>
      </c>
      <c r="I242" s="10" t="str">
        <f ca="1">VLOOKUP($G242,OFFSET([1]characters!$A$2,0,0,COUNTA([1]characters!$A:$A),MATCH(I$1,[1]characters!$2:$2,0)-MATCH($G$1,[1]characters!$2:$2,0)+1),MATCH(I$1,[1]characters!$2:$2,0)-MATCH($G$1,[1]characters!$2:$2,0)+1,FALSE)</f>
        <v>PremiumSS</v>
      </c>
      <c r="J242" s="10">
        <f ca="1">VLOOKUP($G242,OFFSET([1]characters!$A$2,0,0,COUNTA([1]characters!$A:$A),MATCH(J$1,[1]characters!$2:$2,0)-MATCH($G$1,[1]characters!$2:$2,0)+1),MATCH(J$1,[1]characters!$2:$2,0)-MATCH($G$1,[1]characters!$2:$2,0)+1,FALSE)</f>
        <v>4</v>
      </c>
      <c r="K242" s="10" t="str">
        <f ca="1">VLOOKUP($G242,OFFSET([1]characters!$A$2,0,0,COUNTA([1]characters!$A:$A),MATCH(K$1,[1]characters!$2:$2,0)-MATCH($G$1,[1]characters!$2:$2,0)+1),MATCH(K$1,[1]characters!$2:$2,0)-MATCH($G$1,[1]characters!$2:$2,0)+1,FALSE)</f>
        <v>blue</v>
      </c>
      <c r="L242" s="10" t="str">
        <f ca="1">VLOOKUP($G242,OFFSET([1]characters!$A$2,0,0,COUNTA([1]characters!$A:$A),MATCH("タイプ",[1]characters!$1:$1,0)-MATCH($G$1,[1]characters!$2:$2,0)+2),MATCH("タイプ",[1]characters!$1:$1,0)-MATCH($G$1,[1]characters!$2:$2,0)+2,FALSE)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42" s="10" t="str">
        <f ca="1">VLOOKUP($G242,OFFSET([1]characters!$A$2,0,0,COUNTA([1]characters!$A:$A),MATCH($M$1,[1]characters!$1:$1,0)-MATCH($G$1,[1]characters!$2:$2,0)+2),MATCH($M$1,[1]characters!$1:$1,0)-MATCH($G$1,[1]characters!$2:$2,0)+2,FALSE)</f>
        <v>ヒューマン</v>
      </c>
      <c r="N242" s="6">
        <v>1</v>
      </c>
      <c r="O242" s="43">
        <f ca="1">VLOOKUP(D242,gacha_114_base!A:K,11,FALSE)</f>
        <v>144</v>
      </c>
      <c r="P242" s="28">
        <v>0</v>
      </c>
      <c r="Q242" s="28">
        <v>0</v>
      </c>
      <c r="R242" s="28">
        <v>0</v>
      </c>
      <c r="S242" s="28">
        <v>0</v>
      </c>
      <c r="T242" s="28">
        <v>1</v>
      </c>
    </row>
    <row r="243" spans="1:20" ht="21" customHeight="1" thickBot="1">
      <c r="A243" s="22" t="str">
        <f t="shared" si="18"/>
        <v>03251</v>
      </c>
      <c r="B243" s="2">
        <v>114</v>
      </c>
      <c r="C243" s="10" t="str">
        <f t="shared" ca="1" si="15"/>
        <v>0PremiumSS5</v>
      </c>
      <c r="D243" s="10" t="str">
        <f t="shared" ca="1" si="16"/>
        <v>0PremiumSS5</v>
      </c>
      <c r="E243" s="10" t="str">
        <f t="shared" si="17"/>
        <v/>
      </c>
      <c r="F243" s="21">
        <v>0</v>
      </c>
      <c r="G243" s="7">
        <v>325</v>
      </c>
      <c r="H243" s="10" t="str">
        <f ca="1">VLOOKUP($G243,OFFSET([1]characters!$A$2,0,0,COUNTA([1]characters!$A:$A),MATCH(H$1,[1]characters!$2:$2,0)-MATCH($G$1,[1]characters!$2:$2,0)+1),MATCH(H$1,[1]characters!$2:$2,0)-MATCH($G$1,[1]characters!$2:$2,0)+1,FALSE)</f>
        <v>天賦の凛志士 沖田総司</v>
      </c>
      <c r="I243" s="10" t="str">
        <f ca="1">VLOOKUP($G243,OFFSET([1]characters!$A$2,0,0,COUNTA([1]characters!$A:$A),MATCH(I$1,[1]characters!$2:$2,0)-MATCH($G$1,[1]characters!$2:$2,0)+1),MATCH(I$1,[1]characters!$2:$2,0)-MATCH($G$1,[1]characters!$2:$2,0)+1,FALSE)</f>
        <v>PremiumSS</v>
      </c>
      <c r="J243" s="10">
        <f ca="1">VLOOKUP($G243,OFFSET([1]characters!$A$2,0,0,COUNTA([1]characters!$A:$A),MATCH(J$1,[1]characters!$2:$2,0)-MATCH($G$1,[1]characters!$2:$2,0)+1),MATCH(J$1,[1]characters!$2:$2,0)-MATCH($G$1,[1]characters!$2:$2,0)+1,FALSE)</f>
        <v>5</v>
      </c>
      <c r="K243" s="10" t="str">
        <f ca="1">VLOOKUP($G243,OFFSET([1]characters!$A$2,0,0,COUNTA([1]characters!$A:$A),MATCH(K$1,[1]characters!$2:$2,0)-MATCH($G$1,[1]characters!$2:$2,0)+1),MATCH(K$1,[1]characters!$2:$2,0)-MATCH($G$1,[1]characters!$2:$2,0)+1,FALSE)</f>
        <v>blue</v>
      </c>
      <c r="L243" s="10" t="str">
        <f ca="1">VLOOKUP($G243,OFFSET([1]characters!$A$2,0,0,COUNTA([1]characters!$A:$A),MATCH("タイプ",[1]characters!$1:$1,0)-MATCH($G$1,[1]characters!$2:$2,0)+2),MATCH("タイプ",[1]characters!$1:$1,0)-MATCH($G$1,[1]characters!$2:$2,0)+2,FALSE)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43" s="10" t="str">
        <f ca="1">VLOOKUP($G243,OFFSET([1]characters!$A$2,0,0,COUNTA([1]characters!$A:$A),MATCH($M$1,[1]characters!$1:$1,0)-MATCH($G$1,[1]characters!$2:$2,0)+2),MATCH($M$1,[1]characters!$1:$1,0)-MATCH($G$1,[1]characters!$2:$2,0)+2,FALSE)</f>
        <v>ヒューマン</v>
      </c>
      <c r="N243" s="6">
        <v>1</v>
      </c>
      <c r="O243" s="43">
        <f ca="1">VLOOKUP(D243,gacha_114_base!A:K,11,FALSE)</f>
        <v>48</v>
      </c>
      <c r="P243" s="28">
        <v>0</v>
      </c>
      <c r="Q243" s="28">
        <v>0</v>
      </c>
      <c r="R243" s="28">
        <v>0</v>
      </c>
      <c r="S243" s="28">
        <v>0</v>
      </c>
      <c r="T243" s="28">
        <v>1</v>
      </c>
    </row>
    <row r="244" spans="1:20" ht="21" customHeight="1" thickBot="1">
      <c r="A244" s="22" t="str">
        <f t="shared" si="18"/>
        <v>03261</v>
      </c>
      <c r="B244" s="2">
        <v>114</v>
      </c>
      <c r="C244" s="10" t="str">
        <f t="shared" ca="1" si="15"/>
        <v>0PremiumSS4</v>
      </c>
      <c r="D244" s="10" t="str">
        <f t="shared" ca="1" si="16"/>
        <v>0PremiumSS4</v>
      </c>
      <c r="E244" s="10" t="str">
        <f t="shared" si="17"/>
        <v/>
      </c>
      <c r="F244" s="21">
        <v>0</v>
      </c>
      <c r="G244" s="35">
        <v>326</v>
      </c>
      <c r="H244" s="36" t="str">
        <f ca="1">VLOOKUP($G244,OFFSET([1]characters!$A$2,0,0,COUNTA([1]characters!$A:$A),MATCH(H$1,[1]characters!$2:$2,0)-MATCH($G$1,[1]characters!$2:$2,0)+1),MATCH(H$1,[1]characters!$2:$2,0)-MATCH($G$1,[1]characters!$2:$2,0)+1,FALSE)</f>
        <v>妖志士 斎藤一</v>
      </c>
      <c r="I244" s="36" t="str">
        <f ca="1">VLOOKUP($G244,OFFSET([1]characters!$A$2,0,0,COUNTA([1]characters!$A:$A),MATCH(I$1,[1]characters!$2:$2,0)-MATCH($G$1,[1]characters!$2:$2,0)+1),MATCH(I$1,[1]characters!$2:$2,0)-MATCH($G$1,[1]characters!$2:$2,0)+1,FALSE)</f>
        <v>PremiumSS</v>
      </c>
      <c r="J244" s="36">
        <f ca="1">VLOOKUP($G244,OFFSET([1]characters!$A$2,0,0,COUNTA([1]characters!$A:$A),MATCH(J$1,[1]characters!$2:$2,0)-MATCH($G$1,[1]characters!$2:$2,0)+1),MATCH(J$1,[1]characters!$2:$2,0)-MATCH($G$1,[1]characters!$2:$2,0)+1,FALSE)</f>
        <v>4</v>
      </c>
      <c r="K244" s="36" t="str">
        <f ca="1">VLOOKUP($G244,OFFSET([1]characters!$A$2,0,0,COUNTA([1]characters!$A:$A),MATCH(K$1,[1]characters!$2:$2,0)-MATCH($G$1,[1]characters!$2:$2,0)+1),MATCH(K$1,[1]characters!$2:$2,0)-MATCH($G$1,[1]characters!$2:$2,0)+1,FALSE)</f>
        <v>yellow</v>
      </c>
      <c r="L244" s="36" t="str">
        <f ca="1">VLOOKUP($G244,OFFSET([1]characters!$A$2,0,0,COUNTA([1]characters!$A:$A),MATCH("タイプ",[1]characters!$1:$1,0)-MATCH($G$1,[1]characters!$2:$2,0)+2),MATCH("タイプ",[1]characters!$1:$1,0)-MATCH($G$1,[1]characters!$2:$2,0)+2,FALSE)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44" s="36" t="str">
        <f ca="1">VLOOKUP($G244,OFFSET([1]characters!$A$2,0,0,COUNTA([1]characters!$A:$A),MATCH($M$1,[1]characters!$1:$1,0)-MATCH($G$1,[1]characters!$2:$2,0)+2),MATCH($M$1,[1]characters!$1:$1,0)-MATCH($G$1,[1]characters!$2:$2,0)+2,FALSE)</f>
        <v>ヒューマン</v>
      </c>
      <c r="N244" s="34">
        <v>1</v>
      </c>
      <c r="O244" s="43">
        <f ca="1">VLOOKUP(D244,gacha_114_base!A:K,11,FALSE)</f>
        <v>144</v>
      </c>
      <c r="P244" s="37">
        <v>0</v>
      </c>
      <c r="Q244" s="37">
        <v>0</v>
      </c>
      <c r="R244" s="37">
        <v>0</v>
      </c>
      <c r="S244" s="37">
        <v>0</v>
      </c>
      <c r="T244" s="37">
        <v>1</v>
      </c>
    </row>
    <row r="245" spans="1:20" ht="21" customHeight="1" thickBot="1">
      <c r="A245" s="22" t="str">
        <f t="shared" si="18"/>
        <v>03271</v>
      </c>
      <c r="B245" s="2">
        <v>114</v>
      </c>
      <c r="C245" s="10" t="str">
        <f t="shared" ca="1" si="15"/>
        <v>0PremiumSS5</v>
      </c>
      <c r="D245" s="10" t="str">
        <f t="shared" ca="1" si="16"/>
        <v>0PremiumSS5</v>
      </c>
      <c r="E245" s="10" t="str">
        <f t="shared" si="17"/>
        <v/>
      </c>
      <c r="F245" s="41">
        <v>0</v>
      </c>
      <c r="G245" s="7">
        <v>327</v>
      </c>
      <c r="H245" s="10" t="str">
        <f ca="1">VLOOKUP($G245,OFFSET([1]characters!$A$2,0,0,COUNTA([1]characters!$A:$A),MATCH(H$1,[1]characters!$2:$2,0)-MATCH($G$1,[1]characters!$2:$2,0)+1),MATCH(H$1,[1]characters!$2:$2,0)-MATCH($G$1,[1]characters!$2:$2,0)+1,FALSE)</f>
        <v>千殺の妖志士 斎藤一</v>
      </c>
      <c r="I245" s="10" t="str">
        <f ca="1">VLOOKUP($G245,OFFSET([1]characters!$A$2,0,0,COUNTA([1]characters!$A:$A),MATCH(I$1,[1]characters!$2:$2,0)-MATCH($G$1,[1]characters!$2:$2,0)+1),MATCH(I$1,[1]characters!$2:$2,0)-MATCH($G$1,[1]characters!$2:$2,0)+1,FALSE)</f>
        <v>PremiumSS</v>
      </c>
      <c r="J245" s="10">
        <f ca="1">VLOOKUP($G245,OFFSET([1]characters!$A$2,0,0,COUNTA([1]characters!$A:$A),MATCH(J$1,[1]characters!$2:$2,0)-MATCH($G$1,[1]characters!$2:$2,0)+1),MATCH(J$1,[1]characters!$2:$2,0)-MATCH($G$1,[1]characters!$2:$2,0)+1,FALSE)</f>
        <v>5</v>
      </c>
      <c r="K245" s="10" t="str">
        <f ca="1">VLOOKUP($G245,OFFSET([1]characters!$A$2,0,0,COUNTA([1]characters!$A:$A),MATCH(K$1,[1]characters!$2:$2,0)-MATCH($G$1,[1]characters!$2:$2,0)+1),MATCH(K$1,[1]characters!$2:$2,0)-MATCH($G$1,[1]characters!$2:$2,0)+1,FALSE)</f>
        <v>yellow</v>
      </c>
      <c r="L245" s="10" t="str">
        <f ca="1">VLOOKUP($G245,OFFSET([1]characters!$A$2,0,0,COUNTA([1]characters!$A:$A),MATCH("タイプ",[1]characters!$1:$1,0)-MATCH($G$1,[1]characters!$2:$2,0)+2),MATCH("タイプ",[1]characters!$1:$1,0)-MATCH($G$1,[1]characters!$2:$2,0)+2,FALSE)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45" s="10" t="str">
        <f ca="1">VLOOKUP($G245,OFFSET([1]characters!$A$2,0,0,COUNTA([1]characters!$A:$A),MATCH($M$1,[1]characters!$1:$1,0)-MATCH($G$1,[1]characters!$2:$2,0)+2),MATCH($M$1,[1]characters!$1:$1,0)-MATCH($G$1,[1]characters!$2:$2,0)+2,FALSE)</f>
        <v>ヒューマン</v>
      </c>
      <c r="N245" s="6">
        <v>1</v>
      </c>
      <c r="O245" s="43">
        <f ca="1">VLOOKUP(D245,gacha_114_base!A:K,11,FALSE)</f>
        <v>48</v>
      </c>
      <c r="P245" s="28">
        <v>0</v>
      </c>
      <c r="Q245" s="28">
        <v>0</v>
      </c>
      <c r="R245" s="28">
        <v>0</v>
      </c>
      <c r="S245" s="28">
        <v>0</v>
      </c>
      <c r="T245" s="28">
        <v>1</v>
      </c>
    </row>
    <row r="246" spans="1:20" ht="21" customHeight="1" thickBot="1">
      <c r="A246" s="22" t="str">
        <f t="shared" si="18"/>
        <v>03801</v>
      </c>
      <c r="B246" s="2">
        <v>114</v>
      </c>
      <c r="C246" s="10" t="str">
        <f ca="1">F246&amp;I246&amp;J246&amp;"new"</f>
        <v>0PremiumS3new</v>
      </c>
      <c r="D246" s="10" t="str">
        <f ca="1">F246&amp;I246&amp;E246&amp;J246</f>
        <v>0PremiumSpick3</v>
      </c>
      <c r="E246" s="10" t="str">
        <f t="shared" si="17"/>
        <v>pick</v>
      </c>
      <c r="F246" s="41">
        <v>0</v>
      </c>
      <c r="G246" s="27">
        <v>380</v>
      </c>
      <c r="H246" s="20" t="str">
        <f ca="1">VLOOKUP($G246,OFFSET([1]characters!$A$2,0,0,COUNTA([1]characters!$A:$A),MATCH(H$1,[1]characters!$2:$2,0)-MATCH($G$1,[1]characters!$2:$2,0)+1),MATCH(H$1,[1]characters!$2:$2,0)-MATCH($G$1,[1]characters!$2:$2,0)+1,FALSE)</f>
        <v>バハムート</v>
      </c>
      <c r="I246" s="20" t="str">
        <f ca="1">VLOOKUP($G246,OFFSET([1]characters!$A$2,0,0,COUNTA([1]characters!$A:$A),MATCH(I$1,[1]characters!$2:$2,0)-MATCH($G$1,[1]characters!$2:$2,0)+1),MATCH(I$1,[1]characters!$2:$2,0)-MATCH($G$1,[1]characters!$2:$2,0)+1,FALSE)</f>
        <v>PremiumS</v>
      </c>
      <c r="J246" s="20">
        <f ca="1">VLOOKUP($G246,OFFSET([1]characters!$A$2,0,0,COUNTA([1]characters!$A:$A),MATCH(J$1,[1]characters!$2:$2,0)-MATCH($G$1,[1]characters!$2:$2,0)+1),MATCH(J$1,[1]characters!$2:$2,0)-MATCH($G$1,[1]characters!$2:$2,0)+1,FALSE)</f>
        <v>3</v>
      </c>
      <c r="K246" s="20" t="str">
        <f ca="1">VLOOKUP($G246,OFFSET([1]characters!$A$2,0,0,COUNTA([1]characters!$A:$A),MATCH(K$1,[1]characters!$2:$2,0)-MATCH($G$1,[1]characters!$2:$2,0)+1),MATCH(K$1,[1]characters!$2:$2,0)-MATCH($G$1,[1]characters!$2:$2,0)+1,FALSE)</f>
        <v>red</v>
      </c>
      <c r="L246" s="20" t="str">
        <f ca="1">VLOOKUP($G246,OFFSET([1]characters!$A$2,0,0,COUNTA([1]characters!$A:$A),MATCH("タイプ",[1]characters!$1:$1,0)-MATCH($G$1,[1]characters!$2:$2,0)+2),MATCH("タイプ",[1]characters!$1:$1,0)-MATCH($G$1,[1]characters!$2:$2,0)+2,FALSE)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46" s="20" t="str">
        <f ca="1">VLOOKUP($G246,OFFSET([1]characters!$A$2,0,0,COUNTA([1]characters!$A:$A),MATCH($M$1,[1]characters!$1:$1,0)-MATCH($G$1,[1]characters!$2:$2,0)+2),MATCH($M$1,[1]characters!$1:$1,0)-MATCH($G$1,[1]characters!$2:$2,0)+2,FALSE)</f>
        <v>ドラゴン</v>
      </c>
      <c r="N246" s="21">
        <v>1</v>
      </c>
      <c r="O246" s="43">
        <f ca="1">VLOOKUP(D246,gacha_114_base!A:K,11,FALSE)</f>
        <v>5467</v>
      </c>
      <c r="P246" s="18">
        <v>0</v>
      </c>
      <c r="Q246" s="18">
        <v>0</v>
      </c>
      <c r="R246" s="18">
        <v>0</v>
      </c>
      <c r="S246" s="18">
        <v>0</v>
      </c>
      <c r="T246" s="18">
        <v>1</v>
      </c>
    </row>
    <row r="247" spans="1:20" ht="21" customHeight="1" thickBot="1">
      <c r="A247" s="22" t="str">
        <f t="shared" si="18"/>
        <v>03811</v>
      </c>
      <c r="B247" s="2">
        <v>114</v>
      </c>
      <c r="C247" s="10" t="str">
        <f t="shared" ref="C247:C255" ca="1" si="19">F247&amp;I247&amp;J247&amp;"new"</f>
        <v>0PremiumS4new</v>
      </c>
      <c r="D247" s="10" t="str">
        <f t="shared" ca="1" si="16"/>
        <v>0PremiumSpick4</v>
      </c>
      <c r="E247" s="10" t="str">
        <f t="shared" si="17"/>
        <v>pick</v>
      </c>
      <c r="F247" s="41">
        <v>0</v>
      </c>
      <c r="G247" s="27">
        <v>381</v>
      </c>
      <c r="H247" s="10" t="str">
        <f ca="1">VLOOKUP($G247,OFFSET([1]characters!$A$2,0,0,COUNTA([1]characters!$A:$A),MATCH(H$1,[1]characters!$2:$2,0)-MATCH($G$1,[1]characters!$2:$2,0)+1),MATCH(H$1,[1]characters!$2:$2,0)-MATCH($G$1,[1]characters!$2:$2,0)+1,FALSE)</f>
        <v>肉食の恋火 バハムート</v>
      </c>
      <c r="I247" s="10" t="str">
        <f ca="1">VLOOKUP($G247,OFFSET([1]characters!$A$2,0,0,COUNTA([1]characters!$A:$A),MATCH(I$1,[1]characters!$2:$2,0)-MATCH($G$1,[1]characters!$2:$2,0)+1),MATCH(I$1,[1]characters!$2:$2,0)-MATCH($G$1,[1]characters!$2:$2,0)+1,FALSE)</f>
        <v>PremiumS</v>
      </c>
      <c r="J247" s="10">
        <f ca="1">VLOOKUP($G247,OFFSET([1]characters!$A$2,0,0,COUNTA([1]characters!$A:$A),MATCH(J$1,[1]characters!$2:$2,0)-MATCH($G$1,[1]characters!$2:$2,0)+1),MATCH(J$1,[1]characters!$2:$2,0)-MATCH($G$1,[1]characters!$2:$2,0)+1,FALSE)</f>
        <v>4</v>
      </c>
      <c r="K247" s="10" t="str">
        <f ca="1">VLOOKUP($G247,OFFSET([1]characters!$A$2,0,0,COUNTA([1]characters!$A:$A),MATCH(K$1,[1]characters!$2:$2,0)-MATCH($G$1,[1]characters!$2:$2,0)+1),MATCH(K$1,[1]characters!$2:$2,0)-MATCH($G$1,[1]characters!$2:$2,0)+1,FALSE)</f>
        <v>red</v>
      </c>
      <c r="L247" s="10" t="str">
        <f ca="1">VLOOKUP($G247,OFFSET([1]characters!$A$2,0,0,COUNTA([1]characters!$A:$A),MATCH("タイプ",[1]characters!$1:$1,0)-MATCH($G$1,[1]characters!$2:$2,0)+2),MATCH("タイプ",[1]characters!$1:$1,0)-MATCH($G$1,[1]characters!$2:$2,0)+2,FALSE)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47" s="10" t="str">
        <f ca="1">VLOOKUP($G247,OFFSET([1]characters!$A$2,0,0,COUNTA([1]characters!$A:$A),MATCH($M$1,[1]characters!$1:$1,0)-MATCH($G$1,[1]characters!$2:$2,0)+2),MATCH($M$1,[1]characters!$1:$1,0)-MATCH($G$1,[1]characters!$2:$2,0)+2,FALSE)</f>
        <v>ドラゴン</v>
      </c>
      <c r="N247" s="6">
        <v>1</v>
      </c>
      <c r="O247" s="43">
        <f ca="1">VLOOKUP(D247,gacha_114_base!A:K,11,FALSE)</f>
        <v>1925</v>
      </c>
      <c r="P247" s="28">
        <v>0</v>
      </c>
      <c r="Q247" s="28">
        <v>0</v>
      </c>
      <c r="R247" s="28">
        <v>0</v>
      </c>
      <c r="S247" s="28">
        <v>0</v>
      </c>
      <c r="T247" s="28">
        <v>1</v>
      </c>
    </row>
    <row r="248" spans="1:20" ht="21" customHeight="1" thickBot="1">
      <c r="A248" s="22" t="str">
        <f t="shared" si="18"/>
        <v>03821</v>
      </c>
      <c r="B248" s="2">
        <v>114</v>
      </c>
      <c r="C248" s="10" t="str">
        <f t="shared" ca="1" si="19"/>
        <v>0PremiumS5new</v>
      </c>
      <c r="D248" s="10" t="str">
        <f t="shared" ca="1" si="16"/>
        <v>0PremiumSpick5</v>
      </c>
      <c r="E248" s="10" t="str">
        <f t="shared" si="17"/>
        <v>pick</v>
      </c>
      <c r="F248" s="41">
        <v>0</v>
      </c>
      <c r="G248" s="27">
        <v>382</v>
      </c>
      <c r="H248" s="10" t="str">
        <f ca="1">VLOOKUP($G248,OFFSET([1]characters!$A$2,0,0,COUNTA([1]characters!$A:$A),MATCH(H$1,[1]characters!$2:$2,0)-MATCH($G$1,[1]characters!$2:$2,0)+1),MATCH(H$1,[1]characters!$2:$2,0)-MATCH($G$1,[1]characters!$2:$2,0)+1,FALSE)</f>
        <v>激情の愛炎 バハムート</v>
      </c>
      <c r="I248" s="10" t="str">
        <f ca="1">VLOOKUP($G248,OFFSET([1]characters!$A$2,0,0,COUNTA([1]characters!$A:$A),MATCH(I$1,[1]characters!$2:$2,0)-MATCH($G$1,[1]characters!$2:$2,0)+1),MATCH(I$1,[1]characters!$2:$2,0)-MATCH($G$1,[1]characters!$2:$2,0)+1,FALSE)</f>
        <v>PremiumS</v>
      </c>
      <c r="J248" s="10">
        <f ca="1">VLOOKUP($G248,OFFSET([1]characters!$A$2,0,0,COUNTA([1]characters!$A:$A),MATCH(J$1,[1]characters!$2:$2,0)-MATCH($G$1,[1]characters!$2:$2,0)+1),MATCH(J$1,[1]characters!$2:$2,0)-MATCH($G$1,[1]characters!$2:$2,0)+1,FALSE)</f>
        <v>5</v>
      </c>
      <c r="K248" s="10" t="str">
        <f ca="1">VLOOKUP($G248,OFFSET([1]characters!$A$2,0,0,COUNTA([1]characters!$A:$A),MATCH(K$1,[1]characters!$2:$2,0)-MATCH($G$1,[1]characters!$2:$2,0)+1),MATCH(K$1,[1]characters!$2:$2,0)-MATCH($G$1,[1]characters!$2:$2,0)+1,FALSE)</f>
        <v>red</v>
      </c>
      <c r="L248" s="10" t="str">
        <f ca="1">VLOOKUP($G248,OFFSET([1]characters!$A$2,0,0,COUNTA([1]characters!$A:$A),MATCH("タイプ",[1]characters!$1:$1,0)-MATCH($G$1,[1]characters!$2:$2,0)+2),MATCH("タイプ",[1]characters!$1:$1,0)-MATCH($G$1,[1]characters!$2:$2,0)+2,FALSE)</f>
        <v>テクニカルタイプ</v>
      </c>
      <c r="M248" s="10" t="str">
        <f ca="1">VLOOKUP($G248,OFFSET([1]characters!$A$2,0,0,COUNTA([1]characters!$A:$A),MATCH($M$1,[1]characters!$1:$1,0)-MATCH($G$1,[1]characters!$2:$2,0)+2),MATCH($M$1,[1]characters!$1:$1,0)-MATCH($G$1,[1]characters!$2:$2,0)+2,FALSE)</f>
        <v>ドラゴン</v>
      </c>
      <c r="N248" s="6">
        <v>1</v>
      </c>
      <c r="O248" s="43">
        <f ca="1">VLOOKUP(D248,gacha_114_base!A:K,11,FALSE)</f>
        <v>308</v>
      </c>
      <c r="P248" s="28">
        <v>0</v>
      </c>
      <c r="Q248" s="28">
        <v>0</v>
      </c>
      <c r="R248" s="28">
        <v>0</v>
      </c>
      <c r="S248" s="28">
        <v>0</v>
      </c>
      <c r="T248" s="28">
        <v>1</v>
      </c>
    </row>
    <row r="249" spans="1:20" ht="21" customHeight="1" thickBot="1">
      <c r="A249" s="22" t="str">
        <f t="shared" si="18"/>
        <v>03831</v>
      </c>
      <c r="B249" s="2">
        <v>114</v>
      </c>
      <c r="C249" s="10" t="str">
        <f t="shared" ca="1" si="19"/>
        <v>0PremiumSS4new</v>
      </c>
      <c r="D249" s="10" t="str">
        <f t="shared" ca="1" si="16"/>
        <v>0PremiumSSpick4</v>
      </c>
      <c r="E249" s="10" t="str">
        <f t="shared" si="17"/>
        <v>pick</v>
      </c>
      <c r="F249" s="41">
        <v>0</v>
      </c>
      <c r="G249" s="27">
        <v>383</v>
      </c>
      <c r="H249" s="10" t="str">
        <f ca="1">VLOOKUP($G249,OFFSET([1]characters!$A$2,0,0,COUNTA([1]characters!$A:$A),MATCH(H$1,[1]characters!$2:$2,0)-MATCH($G$1,[1]characters!$2:$2,0)+1),MATCH(H$1,[1]characters!$2:$2,0)-MATCH($G$1,[1]characters!$2:$2,0)+1,FALSE)</f>
        <v>酒宴の蟒蛇 ヤマタノオロチ</v>
      </c>
      <c r="I249" s="10" t="str">
        <f ca="1">VLOOKUP($G249,OFFSET([1]characters!$A$2,0,0,COUNTA([1]characters!$A:$A),MATCH(I$1,[1]characters!$2:$2,0)-MATCH($G$1,[1]characters!$2:$2,0)+1),MATCH(I$1,[1]characters!$2:$2,0)-MATCH($G$1,[1]characters!$2:$2,0)+1,FALSE)</f>
        <v>PremiumSS</v>
      </c>
      <c r="J249" s="10">
        <f ca="1">VLOOKUP($G249,OFFSET([1]characters!$A$2,0,0,COUNTA([1]characters!$A:$A),MATCH(J$1,[1]characters!$2:$2,0)-MATCH($G$1,[1]characters!$2:$2,0)+1),MATCH(J$1,[1]characters!$2:$2,0)-MATCH($G$1,[1]characters!$2:$2,0)+1,FALSE)</f>
        <v>4</v>
      </c>
      <c r="K249" s="10" t="str">
        <f ca="1">VLOOKUP($G249,OFFSET([1]characters!$A$2,0,0,COUNTA([1]characters!$A:$A),MATCH(K$1,[1]characters!$2:$2,0)-MATCH($G$1,[1]characters!$2:$2,0)+1),MATCH(K$1,[1]characters!$2:$2,0)-MATCH($G$1,[1]characters!$2:$2,0)+1,FALSE)</f>
        <v>green</v>
      </c>
      <c r="L249" s="10" t="str">
        <f ca="1">VLOOKUP($G249,OFFSET([1]characters!$A$2,0,0,COUNTA([1]characters!$A:$A),MATCH("タイプ",[1]characters!$1:$1,0)-MATCH($G$1,[1]characters!$2:$2,0)+2),MATCH("タイプ",[1]characters!$1:$1,0)-MATCH($G$1,[1]characters!$2:$2,0)+2,FALSE)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49" s="10" t="str">
        <f ca="1">VLOOKUP($G249,OFFSET([1]characters!$A$2,0,0,COUNTA([1]characters!$A:$A),MATCH($M$1,[1]characters!$1:$1,0)-MATCH($G$1,[1]characters!$2:$2,0)+2),MATCH($M$1,[1]characters!$1:$1,0)-MATCH($G$1,[1]characters!$2:$2,0)+2,FALSE)</f>
        <v>ドラゴン</v>
      </c>
      <c r="N249" s="6">
        <v>1</v>
      </c>
      <c r="O249" s="43">
        <f ca="1">VLOOKUP(D249,gacha_114_base!A:K,11,FALSE)</f>
        <v>1348</v>
      </c>
      <c r="P249" s="28">
        <v>0</v>
      </c>
      <c r="Q249" s="28">
        <v>0</v>
      </c>
      <c r="R249" s="28">
        <v>0</v>
      </c>
      <c r="S249" s="28">
        <v>0</v>
      </c>
      <c r="T249" s="28">
        <v>1</v>
      </c>
    </row>
    <row r="250" spans="1:20" ht="21" customHeight="1" thickBot="1">
      <c r="A250" s="22" t="str">
        <f t="shared" si="18"/>
        <v>03841</v>
      </c>
      <c r="B250" s="2">
        <v>114</v>
      </c>
      <c r="C250" s="10" t="str">
        <f t="shared" ca="1" si="19"/>
        <v>0PremiumSS5new</v>
      </c>
      <c r="D250" s="10" t="str">
        <f t="shared" ca="1" si="16"/>
        <v>0PremiumSSpick5</v>
      </c>
      <c r="E250" s="10" t="str">
        <f t="shared" si="17"/>
        <v>pick</v>
      </c>
      <c r="F250" s="41">
        <v>0</v>
      </c>
      <c r="G250" s="27">
        <v>384</v>
      </c>
      <c r="H250" s="10" t="str">
        <f ca="1">VLOOKUP($G250,OFFSET([1]characters!$A$2,0,0,COUNTA([1]characters!$A:$A),MATCH(H$1,[1]characters!$2:$2,0)-MATCH($G$1,[1]characters!$2:$2,0)+1),MATCH(H$1,[1]characters!$2:$2,0)-MATCH($G$1,[1]characters!$2:$2,0)+1,FALSE)</f>
        <v>破国の呑龍 ヤマタノオロチ</v>
      </c>
      <c r="I250" s="10" t="str">
        <f ca="1">VLOOKUP($G250,OFFSET([1]characters!$A$2,0,0,COUNTA([1]characters!$A:$A),MATCH(I$1,[1]characters!$2:$2,0)-MATCH($G$1,[1]characters!$2:$2,0)+1),MATCH(I$1,[1]characters!$2:$2,0)-MATCH($G$1,[1]characters!$2:$2,0)+1,FALSE)</f>
        <v>PremiumSS</v>
      </c>
      <c r="J250" s="10">
        <f ca="1">VLOOKUP($G250,OFFSET([1]characters!$A$2,0,0,COUNTA([1]characters!$A:$A),MATCH(J$1,[1]characters!$2:$2,0)-MATCH($G$1,[1]characters!$2:$2,0)+1),MATCH(J$1,[1]characters!$2:$2,0)-MATCH($G$1,[1]characters!$2:$2,0)+1,FALSE)</f>
        <v>5</v>
      </c>
      <c r="K250" s="10" t="str">
        <f ca="1">VLOOKUP($G250,OFFSET([1]characters!$A$2,0,0,COUNTA([1]characters!$A:$A),MATCH(K$1,[1]characters!$2:$2,0)-MATCH($G$1,[1]characters!$2:$2,0)+1),MATCH(K$1,[1]characters!$2:$2,0)-MATCH($G$1,[1]characters!$2:$2,0)+1,FALSE)</f>
        <v>green</v>
      </c>
      <c r="L250" s="10" t="str">
        <f ca="1">VLOOKUP($G250,OFFSET([1]characters!$A$2,0,0,COUNTA([1]characters!$A:$A),MATCH("タイプ",[1]characters!$1:$1,0)-MATCH($G$1,[1]characters!$2:$2,0)+2),MATCH("タイプ",[1]characters!$1:$1,0)-MATCH($G$1,[1]characters!$2:$2,0)+2,FALSE)</f>
        <v>体力タイプ</v>
      </c>
      <c r="M250" s="10" t="str">
        <f ca="1">VLOOKUP($G250,OFFSET([1]characters!$A$2,0,0,COUNTA([1]characters!$A:$A),MATCH($M$1,[1]characters!$1:$1,0)-MATCH($G$1,[1]characters!$2:$2,0)+2),MATCH($M$1,[1]characters!$1:$1,0)-MATCH($G$1,[1]characters!$2:$2,0)+2,FALSE)</f>
        <v>ドラゴン</v>
      </c>
      <c r="N250" s="6">
        <v>1</v>
      </c>
      <c r="O250" s="43">
        <f ca="1">VLOOKUP(D250,gacha_114_base!A:K,11,FALSE)</f>
        <v>193</v>
      </c>
      <c r="P250" s="28">
        <v>0</v>
      </c>
      <c r="Q250" s="28">
        <v>0</v>
      </c>
      <c r="R250" s="28">
        <v>0</v>
      </c>
      <c r="S250" s="28">
        <v>0</v>
      </c>
      <c r="T250" s="28">
        <v>1</v>
      </c>
    </row>
    <row r="251" spans="1:20" ht="21" customHeight="1" thickBot="1">
      <c r="A251" s="22" t="str">
        <f t="shared" si="18"/>
        <v>03851</v>
      </c>
      <c r="B251" s="2">
        <v>114</v>
      </c>
      <c r="C251" s="10" t="str">
        <f t="shared" ca="1" si="19"/>
        <v>0PremiumSS4new</v>
      </c>
      <c r="D251" s="10" t="str">
        <f t="shared" ca="1" si="16"/>
        <v>0PremiumSSpick4</v>
      </c>
      <c r="E251" s="10" t="str">
        <f t="shared" si="17"/>
        <v>pick</v>
      </c>
      <c r="F251" s="41">
        <v>0</v>
      </c>
      <c r="G251" s="27">
        <v>385</v>
      </c>
      <c r="H251" s="10" t="str">
        <f ca="1">VLOOKUP($G251,OFFSET([1]characters!$A$2,0,0,COUNTA([1]characters!$A:$A),MATCH(H$1,[1]characters!$2:$2,0)-MATCH($G$1,[1]characters!$2:$2,0)+1),MATCH(H$1,[1]characters!$2:$2,0)-MATCH($G$1,[1]characters!$2:$2,0)+1,FALSE)</f>
        <v>波烈の出奔 リヴァイアサン</v>
      </c>
      <c r="I251" s="10" t="str">
        <f ca="1">VLOOKUP($G251,OFFSET([1]characters!$A$2,0,0,COUNTA([1]characters!$A:$A),MATCH(I$1,[1]characters!$2:$2,0)-MATCH($G$1,[1]characters!$2:$2,0)+1),MATCH(I$1,[1]characters!$2:$2,0)-MATCH($G$1,[1]characters!$2:$2,0)+1,FALSE)</f>
        <v>PremiumSS</v>
      </c>
      <c r="J251" s="10">
        <f ca="1">VLOOKUP($G251,OFFSET([1]characters!$A$2,0,0,COUNTA([1]characters!$A:$A),MATCH(J$1,[1]characters!$2:$2,0)-MATCH($G$1,[1]characters!$2:$2,0)+1),MATCH(J$1,[1]characters!$2:$2,0)-MATCH($G$1,[1]characters!$2:$2,0)+1,FALSE)</f>
        <v>4</v>
      </c>
      <c r="K251" s="10" t="str">
        <f ca="1">VLOOKUP($G251,OFFSET([1]characters!$A$2,0,0,COUNTA([1]characters!$A:$A),MATCH(K$1,[1]characters!$2:$2,0)-MATCH($G$1,[1]characters!$2:$2,0)+1),MATCH(K$1,[1]characters!$2:$2,0)-MATCH($G$1,[1]characters!$2:$2,0)+1,FALSE)</f>
        <v>blue</v>
      </c>
      <c r="L251" s="10" t="str">
        <f ca="1">VLOOKUP($G251,OFFSET([1]characters!$A$2,0,0,COUNTA([1]characters!$A:$A),MATCH("タイプ",[1]characters!$1:$1,0)-MATCH($G$1,[1]characters!$2:$2,0)+2),MATCH("タイプ",[1]characters!$1:$1,0)-MATCH($G$1,[1]characters!$2:$2,0)+2,FALSE)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51" s="10" t="str">
        <f ca="1">VLOOKUP($G251,OFFSET([1]characters!$A$2,0,0,COUNTA([1]characters!$A:$A),MATCH($M$1,[1]characters!$1:$1,0)-MATCH($G$1,[1]characters!$2:$2,0)+2),MATCH($M$1,[1]characters!$1:$1,0)-MATCH($G$1,[1]characters!$2:$2,0)+2,FALSE)</f>
        <v>ドラゴン</v>
      </c>
      <c r="N251" s="6">
        <v>1</v>
      </c>
      <c r="O251" s="43">
        <f ca="1">VLOOKUP(D251,gacha_114_base!A:K,11,FALSE)</f>
        <v>1348</v>
      </c>
      <c r="P251" s="28">
        <v>0</v>
      </c>
      <c r="Q251" s="28">
        <v>0</v>
      </c>
      <c r="R251" s="28">
        <v>0</v>
      </c>
      <c r="S251" s="28">
        <v>0</v>
      </c>
      <c r="T251" s="28">
        <v>1</v>
      </c>
    </row>
    <row r="252" spans="1:20" ht="21" customHeight="1" thickBot="1">
      <c r="A252" s="22" t="str">
        <f t="shared" si="18"/>
        <v>03861</v>
      </c>
      <c r="B252" s="2">
        <v>114</v>
      </c>
      <c r="C252" s="10" t="str">
        <f t="shared" ca="1" si="19"/>
        <v>0PremiumSS5new</v>
      </c>
      <c r="D252" s="10" t="str">
        <f t="shared" ca="1" si="16"/>
        <v>0PremiumSSpick5</v>
      </c>
      <c r="E252" s="10" t="str">
        <f t="shared" si="17"/>
        <v>pick</v>
      </c>
      <c r="F252" s="41">
        <v>0</v>
      </c>
      <c r="G252" s="33">
        <v>386</v>
      </c>
      <c r="H252" s="36" t="str">
        <f ca="1">VLOOKUP($G252,OFFSET([1]characters!$A$2,0,0,COUNTA([1]characters!$A:$A),MATCH(H$1,[1]characters!$2:$2,0)-MATCH($G$1,[1]characters!$2:$2,0)+1),MATCH(H$1,[1]characters!$2:$2,0)-MATCH($G$1,[1]characters!$2:$2,0)+1,FALSE)</f>
        <v>氾乱の海龍 リヴァイアサン</v>
      </c>
      <c r="I252" s="36" t="str">
        <f ca="1">VLOOKUP($G252,OFFSET([1]characters!$A$2,0,0,COUNTA([1]characters!$A:$A),MATCH(I$1,[1]characters!$2:$2,0)-MATCH($G$1,[1]characters!$2:$2,0)+1),MATCH(I$1,[1]characters!$2:$2,0)-MATCH($G$1,[1]characters!$2:$2,0)+1,FALSE)</f>
        <v>PremiumSS</v>
      </c>
      <c r="J252" s="36">
        <f ca="1">VLOOKUP($G252,OFFSET([1]characters!$A$2,0,0,COUNTA([1]characters!$A:$A),MATCH(J$1,[1]characters!$2:$2,0)-MATCH($G$1,[1]characters!$2:$2,0)+1),MATCH(J$1,[1]characters!$2:$2,0)-MATCH($G$1,[1]characters!$2:$2,0)+1,FALSE)</f>
        <v>5</v>
      </c>
      <c r="K252" s="36" t="str">
        <f ca="1">VLOOKUP($G252,OFFSET([1]characters!$A$2,0,0,COUNTA([1]characters!$A:$A),MATCH(K$1,[1]characters!$2:$2,0)-MATCH($G$1,[1]characters!$2:$2,0)+1),MATCH(K$1,[1]characters!$2:$2,0)-MATCH($G$1,[1]characters!$2:$2,0)+1,FALSE)</f>
        <v>blue</v>
      </c>
      <c r="L252" s="36" t="str">
        <f ca="1">VLOOKUP($G252,OFFSET([1]characters!$A$2,0,0,COUNTA([1]characters!$A:$A),MATCH("タイプ",[1]characters!$1:$1,0)-MATCH($G$1,[1]characters!$2:$2,0)+2),MATCH("タイプ",[1]characters!$1:$1,0)-MATCH($G$1,[1]characters!$2:$2,0)+2,FALSE)</f>
        <v>バランスタイプ</v>
      </c>
      <c r="M252" s="36" t="str">
        <f ca="1">VLOOKUP($G252,OFFSET([1]characters!$A$2,0,0,COUNTA([1]characters!$A:$A),MATCH($M$1,[1]characters!$1:$1,0)-MATCH($G$1,[1]characters!$2:$2,0)+2),MATCH($M$1,[1]characters!$1:$1,0)-MATCH($G$1,[1]characters!$2:$2,0)+2,FALSE)</f>
        <v>ドラゴン</v>
      </c>
      <c r="N252" s="34">
        <v>1</v>
      </c>
      <c r="O252" s="43">
        <f ca="1">VLOOKUP(D252,gacha_114_base!A:K,11,FALSE)</f>
        <v>193</v>
      </c>
      <c r="P252" s="37">
        <v>0</v>
      </c>
      <c r="Q252" s="37">
        <v>0</v>
      </c>
      <c r="R252" s="37">
        <v>0</v>
      </c>
      <c r="S252" s="37">
        <v>0</v>
      </c>
      <c r="T252" s="37">
        <v>1</v>
      </c>
    </row>
    <row r="253" spans="1:20" ht="21" customHeight="1" thickBot="1">
      <c r="A253" s="22" t="str">
        <f t="shared" si="18"/>
        <v>03871</v>
      </c>
      <c r="B253" s="2">
        <v>114</v>
      </c>
      <c r="C253" s="10" t="str">
        <f t="shared" ca="1" si="19"/>
        <v>0PremiumS3new</v>
      </c>
      <c r="D253" s="10" t="str">
        <f t="shared" ca="1" si="16"/>
        <v>0PremiumSpick3</v>
      </c>
      <c r="E253" s="10" t="str">
        <f t="shared" si="17"/>
        <v>pick</v>
      </c>
      <c r="F253" s="41">
        <v>0</v>
      </c>
      <c r="G253" s="7">
        <v>387</v>
      </c>
      <c r="H253" s="10" t="str">
        <f ca="1">VLOOKUP($G253,OFFSET([1]characters!$A$2,0,0,COUNTA([1]characters!$A:$A),MATCH(H$1,[1]characters!$2:$2,0)-MATCH($G$1,[1]characters!$2:$2,0)+1),MATCH(H$1,[1]characters!$2:$2,0)-MATCH($G$1,[1]characters!$2:$2,0)+1,FALSE)</f>
        <v>スフィンクス</v>
      </c>
      <c r="I253" s="10" t="str">
        <f ca="1">VLOOKUP($G253,OFFSET([1]characters!$A$2,0,0,COUNTA([1]characters!$A:$A),MATCH(I$1,[1]characters!$2:$2,0)-MATCH($G$1,[1]characters!$2:$2,0)+1),MATCH(I$1,[1]characters!$2:$2,0)-MATCH($G$1,[1]characters!$2:$2,0)+1,FALSE)</f>
        <v>PremiumS</v>
      </c>
      <c r="J253" s="10">
        <f ca="1">VLOOKUP($G253,OFFSET([1]characters!$A$2,0,0,COUNTA([1]characters!$A:$A),MATCH(J$1,[1]characters!$2:$2,0)-MATCH($G$1,[1]characters!$2:$2,0)+1),MATCH(J$1,[1]characters!$2:$2,0)-MATCH($G$1,[1]characters!$2:$2,0)+1,FALSE)</f>
        <v>3</v>
      </c>
      <c r="K253" s="10" t="str">
        <f ca="1">VLOOKUP($G253,OFFSET([1]characters!$A$2,0,0,COUNTA([1]characters!$A:$A),MATCH(K$1,[1]characters!$2:$2,0)-MATCH($G$1,[1]characters!$2:$2,0)+1),MATCH(K$1,[1]characters!$2:$2,0)-MATCH($G$1,[1]characters!$2:$2,0)+1,FALSE)</f>
        <v>yellow</v>
      </c>
      <c r="L253" s="10" t="str">
        <f ca="1">VLOOKUP($G253,OFFSET([1]characters!$A$2,0,0,COUNTA([1]characters!$A:$A),MATCH("タイプ",[1]characters!$1:$1,0)-MATCH($G$1,[1]characters!$2:$2,0)+2),MATCH("タイプ",[1]characters!$1:$1,0)-MATCH($G$1,[1]characters!$2:$2,0)+2,FALSE)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253" s="10" t="str">
        <f ca="1">VLOOKUP($G253,OFFSET([1]characters!$A$2,0,0,COUNTA([1]characters!$A:$A),MATCH($M$1,[1]characters!$1:$1,0)-MATCH($G$1,[1]characters!$2:$2,0)+2),MATCH($M$1,[1]characters!$1:$1,0)-MATCH($G$1,[1]characters!$2:$2,0)+2,FALSE)</f>
        <v>アニマル</v>
      </c>
      <c r="N253" s="6">
        <v>1</v>
      </c>
      <c r="O253" s="43">
        <f ca="1">VLOOKUP(D253,gacha_114_base!A:K,11,FALSE)</f>
        <v>5467</v>
      </c>
      <c r="P253" s="28">
        <v>0</v>
      </c>
      <c r="Q253" s="28">
        <v>0</v>
      </c>
      <c r="R253" s="28">
        <v>0</v>
      </c>
      <c r="S253" s="28">
        <v>0</v>
      </c>
      <c r="T253" s="28">
        <v>1</v>
      </c>
    </row>
    <row r="254" spans="1:20" ht="21" customHeight="1">
      <c r="A254" s="32" t="str">
        <f t="shared" si="18"/>
        <v>03881</v>
      </c>
      <c r="B254" s="38">
        <v>114</v>
      </c>
      <c r="C254" s="10" t="str">
        <f t="shared" ca="1" si="19"/>
        <v>0PremiumS4new</v>
      </c>
      <c r="D254" s="10" t="str">
        <f t="shared" ca="1" si="16"/>
        <v>0PremiumSpick4</v>
      </c>
      <c r="E254" s="10" t="str">
        <f t="shared" si="17"/>
        <v>pick</v>
      </c>
      <c r="F254" s="41">
        <v>0</v>
      </c>
      <c r="G254" s="35">
        <v>388</v>
      </c>
      <c r="H254" s="36" t="str">
        <f ca="1">VLOOKUP($G254,OFFSET([1]characters!$A$2,0,0,COUNTA([1]characters!$A:$A),MATCH(H$1,[1]characters!$2:$2,0)-MATCH($G$1,[1]characters!$2:$2,0)+1),MATCH(H$1,[1]characters!$2:$2,0)-MATCH($G$1,[1]characters!$2:$2,0)+1,FALSE)</f>
        <v>神円の恋姫 スフィンクス</v>
      </c>
      <c r="I254" s="36" t="str">
        <f ca="1">VLOOKUP($G254,OFFSET([1]characters!$A$2,0,0,COUNTA([1]characters!$A:$A),MATCH(I$1,[1]characters!$2:$2,0)-MATCH($G$1,[1]characters!$2:$2,0)+1),MATCH(I$1,[1]characters!$2:$2,0)-MATCH($G$1,[1]characters!$2:$2,0)+1,FALSE)</f>
        <v>PremiumS</v>
      </c>
      <c r="J254" s="36">
        <f ca="1">VLOOKUP($G254,OFFSET([1]characters!$A$2,0,0,COUNTA([1]characters!$A:$A),MATCH(J$1,[1]characters!$2:$2,0)-MATCH($G$1,[1]characters!$2:$2,0)+1),MATCH(J$1,[1]characters!$2:$2,0)-MATCH($G$1,[1]characters!$2:$2,0)+1,FALSE)</f>
        <v>4</v>
      </c>
      <c r="K254" s="36" t="str">
        <f ca="1">VLOOKUP($G254,OFFSET([1]characters!$A$2,0,0,COUNTA([1]characters!$A:$A),MATCH(K$1,[1]characters!$2:$2,0)-MATCH($G$1,[1]characters!$2:$2,0)+1),MATCH(K$1,[1]characters!$2:$2,0)-MATCH($G$1,[1]characters!$2:$2,0)+1,FALSE)</f>
        <v>yellow</v>
      </c>
      <c r="L254" s="36" t="str">
        <f ca="1">VLOOKUP($G254,OFFSET([1]characters!$A$2,0,0,COUNTA([1]characters!$A:$A),MATCH("タイプ",[1]characters!$1:$1,0)-MATCH($G$1,[1]characters!$2:$2,0)+2),MATCH("タイプ",[1]characters!$1:$1,0)-MATCH($G$1,[1]characters!$2:$2,0)+2,FALSE)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254" s="36" t="str">
        <f ca="1">VLOOKUP($G254,OFFSET([1]characters!$A$2,0,0,COUNTA([1]characters!$A:$A),MATCH($M$1,[1]characters!$1:$1,0)-MATCH($G$1,[1]characters!$2:$2,0)+2),MATCH($M$1,[1]characters!$1:$1,0)-MATCH($G$1,[1]characters!$2:$2,0)+2,FALSE)</f>
        <v>アニマル</v>
      </c>
      <c r="N254" s="34">
        <v>1</v>
      </c>
      <c r="O254" s="43">
        <f ca="1">VLOOKUP(D254,gacha_114_base!A:K,11,FALSE)</f>
        <v>1925</v>
      </c>
      <c r="P254" s="37">
        <v>0</v>
      </c>
      <c r="Q254" s="37">
        <v>0</v>
      </c>
      <c r="R254" s="37">
        <v>0</v>
      </c>
      <c r="S254" s="37">
        <v>0</v>
      </c>
      <c r="T254" s="37">
        <v>1</v>
      </c>
    </row>
    <row r="255" spans="1:20" s="40" customFormat="1" ht="21" customHeight="1" thickBot="1">
      <c r="A255" s="39" t="str">
        <f t="shared" si="18"/>
        <v>03891</v>
      </c>
      <c r="B255" s="30">
        <v>114</v>
      </c>
      <c r="C255" s="10" t="str">
        <f t="shared" ca="1" si="19"/>
        <v>0PremiumS5new</v>
      </c>
      <c r="D255" s="10" t="str">
        <f t="shared" ca="1" si="16"/>
        <v>0PremiumSpick5</v>
      </c>
      <c r="E255" s="10" t="str">
        <f t="shared" si="17"/>
        <v>pick</v>
      </c>
      <c r="F255" s="41">
        <v>0</v>
      </c>
      <c r="G255" s="25">
        <v>389</v>
      </c>
      <c r="H255" s="23" t="str">
        <f ca="1">VLOOKUP($G255,OFFSET([1]characters!$A$2,0,0,COUNTA([1]characters!$A:$A),MATCH(H$1,[1]characters!$2:$2,0)-MATCH($G$1,[1]characters!$2:$2,0)+1),MATCH(H$1,[1]characters!$2:$2,0)-MATCH($G$1,[1]characters!$2:$2,0)+1,FALSE)</f>
        <v>操神の愛姫 スフィンクス</v>
      </c>
      <c r="I255" s="23" t="str">
        <f ca="1">VLOOKUP($G255,OFFSET([1]characters!$A$2,0,0,COUNTA([1]characters!$A:$A),MATCH(I$1,[1]characters!$2:$2,0)-MATCH($G$1,[1]characters!$2:$2,0)+1),MATCH(I$1,[1]characters!$2:$2,0)-MATCH($G$1,[1]characters!$2:$2,0)+1,FALSE)</f>
        <v>PremiumS</v>
      </c>
      <c r="J255" s="23">
        <f ca="1">VLOOKUP($G255,OFFSET([1]characters!$A$2,0,0,COUNTA([1]characters!$A:$A),MATCH(J$1,[1]characters!$2:$2,0)-MATCH($G$1,[1]characters!$2:$2,0)+1),MATCH(J$1,[1]characters!$2:$2,0)-MATCH($G$1,[1]characters!$2:$2,0)+1,FALSE)</f>
        <v>5</v>
      </c>
      <c r="K255" s="23" t="str">
        <f ca="1">VLOOKUP($G255,OFFSET([1]characters!$A$2,0,0,COUNTA([1]characters!$A:$A),MATCH(K$1,[1]characters!$2:$2,0)-MATCH($G$1,[1]characters!$2:$2,0)+1),MATCH(K$1,[1]characters!$2:$2,0)-MATCH($G$1,[1]characters!$2:$2,0)+1,FALSE)</f>
        <v>yellow</v>
      </c>
      <c r="L255" s="23" t="str">
        <f ca="1">VLOOKUP($G255,OFFSET([1]characters!$A$2,0,0,COUNTA([1]characters!$A:$A),MATCH("タイプ",[1]characters!$1:$1,0)-MATCH($G$1,[1]characters!$2:$2,0)+2),MATCH("タイプ",[1]characters!$1:$1,0)-MATCH($G$1,[1]characters!$2:$2,0)+2,FALSE)</f>
        <v>回復タイプ</v>
      </c>
      <c r="M255" s="23" t="str">
        <f ca="1">VLOOKUP($G255,OFFSET([1]characters!$A$2,0,0,COUNTA([1]characters!$A:$A),MATCH($M$1,[1]characters!$1:$1,0)-MATCH($G$1,[1]characters!$2:$2,0)+2),MATCH($M$1,[1]characters!$1:$1,0)-MATCH($G$1,[1]characters!$2:$2,0)+2,FALSE)</f>
        <v>アニマル</v>
      </c>
      <c r="N255" s="24">
        <v>1</v>
      </c>
      <c r="O255" s="43">
        <f ca="1">VLOOKUP(D255,gacha_114_base!A:K,11,FALSE)</f>
        <v>308</v>
      </c>
      <c r="P255" s="31">
        <v>0</v>
      </c>
      <c r="Q255" s="31">
        <v>0</v>
      </c>
      <c r="R255" s="31">
        <v>0</v>
      </c>
      <c r="S255" s="31">
        <v>0</v>
      </c>
      <c r="T255" s="31">
        <v>1</v>
      </c>
    </row>
  </sheetData>
  <autoFilter ref="B1:O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255"/>
  <sheetViews>
    <sheetView showGridLines="0" workbookViewId="0">
      <pane ySplit="1" topLeftCell="A8" activePane="bottomLeft" state="frozen"/>
      <selection activeCell="M24" sqref="M24"/>
      <selection pane="bottomLeft" activeCell="C10" sqref="C10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122</v>
      </c>
      <c r="C2" s="10" t="str">
        <f ca="1">D2&amp;G2&amp;H2</f>
        <v>1PremiumW4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43" t="str">
        <f ca="1">VLOOKUP(C2,gacha_114_base!A:B,2,FALSE)</f>
        <v>R4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122</v>
      </c>
      <c r="C3" s="10" t="str">
        <f t="shared" ref="C3:C65" ca="1" si="1">D3&amp;G3&amp;H3</f>
        <v>1PremiumW4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43" t="str">
        <f ca="1">VLOOKUP(C3,gacha_114_base!A:B,2,FALSE)</f>
        <v>R4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122</v>
      </c>
      <c r="C4" s="10" t="str">
        <f t="shared" ca="1" si="1"/>
        <v>1PremiumW4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43" t="str">
        <f ca="1">VLOOKUP(C4,gacha_114_base!A:B,2,FALSE)</f>
        <v>R4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122</v>
      </c>
      <c r="C5" s="10" t="str">
        <f t="shared" ca="1" si="1"/>
        <v>1PremiumW4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43" t="str">
        <f ca="1">VLOOKUP(C5,gacha_114_base!A:B,2,FALSE)</f>
        <v>R4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122</v>
      </c>
      <c r="C6" s="10" t="str">
        <f t="shared" ca="1" si="1"/>
        <v>1PremiumW4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43" t="str">
        <f ca="1">VLOOKUP(C6,gacha_114_base!A:B,2,FALSE)</f>
        <v>R4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122</v>
      </c>
      <c r="C7" s="10" t="str">
        <f t="shared" ca="1" si="1"/>
        <v>1PremiumW4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43" t="str">
        <f ca="1">VLOOKUP(C7,gacha_114_base!A:B,2,FALSE)</f>
        <v>R4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122</v>
      </c>
      <c r="C8" s="10" t="str">
        <f t="shared" ca="1" si="1"/>
        <v>1PremiumW4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43" t="str">
        <f ca="1">VLOOKUP(C8,gacha_114_base!A:B,2,FALSE)</f>
        <v>R4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122</v>
      </c>
      <c r="C9" s="10" t="str">
        <f t="shared" ca="1" si="1"/>
        <v>1PremiumW4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43" t="str">
        <f ca="1">VLOOKUP(C9,gacha_114_base!A:B,2,FALSE)</f>
        <v>R4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122</v>
      </c>
      <c r="C10" s="10" t="str">
        <f t="shared" ca="1" si="1"/>
        <v>1PremiumW4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43" t="str">
        <f ca="1">VLOOKUP(C10,gacha_114_base!A:B,2,FALSE)</f>
        <v>R4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122</v>
      </c>
      <c r="C11" s="10" t="str">
        <f t="shared" ca="1" si="1"/>
        <v>1PremiumW4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43" t="str">
        <f ca="1">VLOOKUP(C11,gacha_114_base!A:B,2,FALSE)</f>
        <v>R4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122</v>
      </c>
      <c r="C12" s="10" t="str">
        <f t="shared" ca="1" si="1"/>
        <v>1PremiumW4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43" t="str">
        <f ca="1">VLOOKUP(C12,gacha_114_base!A:B,2,FALSE)</f>
        <v>R4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122</v>
      </c>
      <c r="C13" s="10" t="str">
        <f t="shared" ca="1" si="1"/>
        <v>1PremiumW4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43" t="str">
        <f ca="1">VLOOKUP(C13,gacha_114_base!A:B,2,FALSE)</f>
        <v>R4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122</v>
      </c>
      <c r="C14" s="10" t="str">
        <f t="shared" ca="1" si="1"/>
        <v>1PremiumW4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43" t="str">
        <f ca="1">VLOOKUP(C14,gacha_114_base!A:B,2,FALSE)</f>
        <v>R4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122</v>
      </c>
      <c r="C15" s="10" t="str">
        <f t="shared" ca="1" si="1"/>
        <v>1PremiumW4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43" t="str">
        <f ca="1">VLOOKUP(C15,gacha_114_base!A:B,2,FALSE)</f>
        <v>R4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122</v>
      </c>
      <c r="C16" s="10" t="str">
        <f t="shared" ca="1" si="1"/>
        <v>1PremiumW4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43" t="str">
        <f ca="1">VLOOKUP(C16,gacha_114_base!A:B,2,FALSE)</f>
        <v>R4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122</v>
      </c>
      <c r="C17" s="10" t="str">
        <f t="shared" ca="1" si="1"/>
        <v>1PremiumW4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43" t="str">
        <f ca="1">VLOOKUP(C17,gacha_114_base!A:B,2,FALSE)</f>
        <v>R4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122</v>
      </c>
      <c r="C18" s="10" t="str">
        <f t="shared" ca="1" si="1"/>
        <v>1PremiumW4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43" t="str">
        <f ca="1">VLOOKUP(C18,gacha_114_base!A:B,2,FALSE)</f>
        <v>R4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122</v>
      </c>
      <c r="C19" s="10" t="str">
        <f t="shared" ca="1" si="1"/>
        <v>1PremiumW4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43" t="str">
        <f ca="1">VLOOKUP(C19,gacha_114_base!A:B,2,FALSE)</f>
        <v>R4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122</v>
      </c>
      <c r="C20" s="10" t="str">
        <f ca="1">D20&amp;G20&amp;H20</f>
        <v>1PremiumW4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43" t="str">
        <f ca="1">VLOOKUP(C20,gacha_114_base!A:B,2,FALSE)</f>
        <v>R4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122</v>
      </c>
      <c r="C21" s="10" t="str">
        <f t="shared" ca="1" si="1"/>
        <v>1PremiumW4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43" t="str">
        <f ca="1">VLOOKUP(C21,gacha_114_base!A:B,2,FALSE)</f>
        <v>R4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122</v>
      </c>
      <c r="C22" s="10" t="str">
        <f t="shared" ca="1" si="1"/>
        <v>1PremiumN4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43" t="str">
        <f ca="1">VLOOKUP(C22,gacha_114_base!A:B,2,FALSE)</f>
        <v>R4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122</v>
      </c>
      <c r="C23" s="10" t="str">
        <f t="shared" ca="1" si="1"/>
        <v>1PremiumN4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43" t="str">
        <f ca="1">VLOOKUP(C23,gacha_114_base!A:B,2,FALSE)</f>
        <v>R4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122</v>
      </c>
      <c r="C24" s="10" t="str">
        <f t="shared" ca="1" si="1"/>
        <v>1PremiumN4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43" t="str">
        <f ca="1">VLOOKUP(C24,gacha_114_base!A:B,2,FALSE)</f>
        <v>R4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122</v>
      </c>
      <c r="C25" s="10" t="str">
        <f t="shared" ca="1" si="1"/>
        <v>1PremiumN4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43" t="str">
        <f ca="1">VLOOKUP(C25,gacha_114_base!A:B,2,FALSE)</f>
        <v>R4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122</v>
      </c>
      <c r="C26" s="10" t="str">
        <f t="shared" ca="1" si="1"/>
        <v>1PremiumN4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43" t="str">
        <f ca="1">VLOOKUP(C26,gacha_114_base!A:B,2,FALSE)</f>
        <v>R4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122</v>
      </c>
      <c r="C27" s="10" t="str">
        <f t="shared" ca="1" si="1"/>
        <v>1PremiumN4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43" t="str">
        <f ca="1">VLOOKUP(C27,gacha_114_base!A:B,2,FALSE)</f>
        <v>R4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122</v>
      </c>
      <c r="C28" s="10" t="str">
        <f t="shared" ca="1" si="1"/>
        <v>1PremiumN4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43" t="str">
        <f ca="1">VLOOKUP(C28,gacha_114_base!A:B,2,FALSE)</f>
        <v>R4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122</v>
      </c>
      <c r="C29" s="10" t="str">
        <f t="shared" ca="1" si="1"/>
        <v>1PremiumN4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43" t="str">
        <f ca="1">VLOOKUP(C29,gacha_114_base!A:B,2,FALSE)</f>
        <v>R4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122</v>
      </c>
      <c r="C30" s="10" t="str">
        <f t="shared" ca="1" si="1"/>
        <v>1PremiumN4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43" t="str">
        <f ca="1">VLOOKUP(C30,gacha_114_base!A:B,2,FALSE)</f>
        <v>R4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122</v>
      </c>
      <c r="C31" s="10" t="str">
        <f t="shared" ca="1" si="1"/>
        <v>1PremiumN4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43" t="str">
        <f ca="1">VLOOKUP(C31,gacha_114_base!A:B,2,FALSE)</f>
        <v>R4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122</v>
      </c>
      <c r="C32" s="10" t="str">
        <f t="shared" ca="1" si="1"/>
        <v>1PremiumN4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43" t="str">
        <f ca="1">VLOOKUP(C32,gacha_114_base!A:B,2,FALSE)</f>
        <v>R4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122</v>
      </c>
      <c r="C33" s="10" t="str">
        <f t="shared" ca="1" si="1"/>
        <v>1PremiumN4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43" t="str">
        <f ca="1">VLOOKUP(C33,gacha_114_base!A:B,2,FALSE)</f>
        <v>R4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122</v>
      </c>
      <c r="C34" s="10" t="str">
        <f t="shared" ca="1" si="1"/>
        <v>1PremiumN4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43" t="str">
        <f ca="1">VLOOKUP(C34,gacha_114_base!A:B,2,FALSE)</f>
        <v>R4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122</v>
      </c>
      <c r="C35" s="10" t="str">
        <f t="shared" ca="1" si="1"/>
        <v>1PremiumN4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43" t="str">
        <f ca="1">VLOOKUP(C35,gacha_114_base!A:B,2,FALSE)</f>
        <v>R4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122</v>
      </c>
      <c r="C36" s="10" t="str">
        <f t="shared" ca="1" si="1"/>
        <v>1PremiumN4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43" t="str">
        <f ca="1">VLOOKUP(C36,gacha_114_base!A:B,2,FALSE)</f>
        <v>R4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122</v>
      </c>
      <c r="C37" s="10" t="str">
        <f t="shared" ca="1" si="1"/>
        <v>1PremiumN4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43" t="str">
        <f ca="1">VLOOKUP(C37,gacha_114_base!A:B,2,FALSE)</f>
        <v>R4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122</v>
      </c>
      <c r="C38" s="10" t="str">
        <f t="shared" ca="1" si="1"/>
        <v>1PremiumN4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43" t="str">
        <f ca="1">VLOOKUP(C38,gacha_114_base!A:B,2,FALSE)</f>
        <v>R4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122</v>
      </c>
      <c r="C39" s="10" t="str">
        <f t="shared" ca="1" si="1"/>
        <v>1PremiumN4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43" t="str">
        <f ca="1">VLOOKUP(C39,gacha_114_base!A:B,2,FALSE)</f>
        <v>R4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122</v>
      </c>
      <c r="C40" s="10" t="str">
        <f t="shared" ca="1" si="1"/>
        <v>1PremiumN4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43" t="str">
        <f ca="1">VLOOKUP(C40,gacha_114_base!A:B,2,FALSE)</f>
        <v>R4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122</v>
      </c>
      <c r="C41" s="10" t="str">
        <f t="shared" ca="1" si="1"/>
        <v>1PremiumN4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43" t="str">
        <f ca="1">VLOOKUP(C41,gacha_114_base!A:B,2,FALSE)</f>
        <v>R4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122</v>
      </c>
      <c r="C42" s="10" t="str">
        <f t="shared" ca="1" si="1"/>
        <v>1PremiumS4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43" t="str">
        <f ca="1">VLOOKUP(C42,gacha_114_base!A:B,2,FALSE)</f>
        <v>R4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122</v>
      </c>
      <c r="C43" s="10" t="str">
        <f t="shared" ca="1" si="1"/>
        <v>1PremiumS4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43" t="str">
        <f ca="1">VLOOKUP(C43,gacha_114_base!A:B,2,FALSE)</f>
        <v>R4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122</v>
      </c>
      <c r="C44" s="10" t="str">
        <f t="shared" ca="1" si="1"/>
        <v>1PremiumS4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43" t="str">
        <f ca="1">VLOOKUP(C44,gacha_114_base!A:B,2,FALSE)</f>
        <v>R4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122</v>
      </c>
      <c r="C45" s="10" t="str">
        <f t="shared" ca="1" si="1"/>
        <v>1PremiumS4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43" t="str">
        <f ca="1">VLOOKUP(C45,gacha_114_base!A:B,2,FALSE)</f>
        <v>R4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122</v>
      </c>
      <c r="C46" s="10" t="str">
        <f t="shared" ca="1" si="1"/>
        <v>1PremiumN5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43" t="str">
        <f ca="1">VLOOKUP(C46,gacha_114_base!A:B,2,FALSE)</f>
        <v>R5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122</v>
      </c>
      <c r="C47" s="10" t="str">
        <f t="shared" ca="1" si="1"/>
        <v>1PremiumN5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43" t="str">
        <f ca="1">VLOOKUP(C47,gacha_114_base!A:B,2,FALSE)</f>
        <v>R5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122</v>
      </c>
      <c r="C48" s="10" t="str">
        <f t="shared" ca="1" si="1"/>
        <v>1PremiumN5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43" t="str">
        <f ca="1">VLOOKUP(C48,gacha_114_base!A:B,2,FALSE)</f>
        <v>R5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122</v>
      </c>
      <c r="C49" s="10" t="str">
        <f t="shared" ca="1" si="1"/>
        <v>1PremiumN5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43" t="str">
        <f ca="1">VLOOKUP(C49,gacha_114_base!A:B,2,FALSE)</f>
        <v>R5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122</v>
      </c>
      <c r="C50" s="10" t="str">
        <f t="shared" ca="1" si="1"/>
        <v>1PremiumN5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43" t="str">
        <f ca="1">VLOOKUP(C50,gacha_114_base!A:B,2,FALSE)</f>
        <v>R5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122</v>
      </c>
      <c r="C51" s="10" t="str">
        <f t="shared" ca="1" si="1"/>
        <v>1PremiumN5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43" t="str">
        <f ca="1">VLOOKUP(C51,gacha_114_base!A:B,2,FALSE)</f>
        <v>R5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122</v>
      </c>
      <c r="C52" s="10" t="str">
        <f t="shared" ca="1" si="1"/>
        <v>1PremiumN5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43" t="str">
        <f ca="1">VLOOKUP(C52,gacha_114_base!A:B,2,FALSE)</f>
        <v>R5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122</v>
      </c>
      <c r="C53" s="10" t="str">
        <f t="shared" ca="1" si="1"/>
        <v>1PremiumN5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43" t="str">
        <f ca="1">VLOOKUP(C53,gacha_114_base!A:B,2,FALSE)</f>
        <v>R5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122</v>
      </c>
      <c r="C54" s="10" t="str">
        <f t="shared" ca="1" si="1"/>
        <v>1PremiumN5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43" t="str">
        <f ca="1">VLOOKUP(C54,gacha_114_base!A:B,2,FALSE)</f>
        <v>R5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122</v>
      </c>
      <c r="C55" s="10" t="str">
        <f t="shared" ca="1" si="1"/>
        <v>1PremiumN5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43" t="str">
        <f ca="1">VLOOKUP(C55,gacha_114_base!A:B,2,FALSE)</f>
        <v>R5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122</v>
      </c>
      <c r="C56" s="10" t="str">
        <f t="shared" ca="1" si="1"/>
        <v>1PremiumN5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43" t="str">
        <f ca="1">VLOOKUP(C56,gacha_114_base!A:B,2,FALSE)</f>
        <v>R5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122</v>
      </c>
      <c r="C57" s="10" t="str">
        <f t="shared" ca="1" si="1"/>
        <v>1PremiumN5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43" t="str">
        <f ca="1">VLOOKUP(C57,gacha_114_base!A:B,2,FALSE)</f>
        <v>R5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122</v>
      </c>
      <c r="C58" s="10" t="str">
        <f t="shared" ca="1" si="1"/>
        <v>1PremiumN5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43" t="str">
        <f ca="1">VLOOKUP(C58,gacha_114_base!A:B,2,FALSE)</f>
        <v>R5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122</v>
      </c>
      <c r="C59" s="10" t="str">
        <f t="shared" ca="1" si="1"/>
        <v>1PremiumN5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43" t="str">
        <f ca="1">VLOOKUP(C59,gacha_114_base!A:B,2,FALSE)</f>
        <v>R5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122</v>
      </c>
      <c r="C60" s="10" t="str">
        <f t="shared" ca="1" si="1"/>
        <v>1PremiumN5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43" t="str">
        <f ca="1">VLOOKUP(C60,gacha_114_base!A:B,2,FALSE)</f>
        <v>R5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122</v>
      </c>
      <c r="C61" s="10" t="str">
        <f t="shared" ca="1" si="1"/>
        <v>1PremiumN5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43" t="str">
        <f ca="1">VLOOKUP(C61,gacha_114_base!A:B,2,FALSE)</f>
        <v>R5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122</v>
      </c>
      <c r="C62" s="10" t="str">
        <f t="shared" ca="1" si="1"/>
        <v>1PremiumN5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43" t="str">
        <f ca="1">VLOOKUP(C62,gacha_114_base!A:B,2,FALSE)</f>
        <v>R5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122</v>
      </c>
      <c r="C63" s="10" t="str">
        <f t="shared" ca="1" si="1"/>
        <v>1PremiumN5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43" t="str">
        <f ca="1">VLOOKUP(C63,gacha_114_base!A:B,2,FALSE)</f>
        <v>R5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122</v>
      </c>
      <c r="C64" s="10" t="str">
        <f t="shared" ca="1" si="1"/>
        <v>1PremiumN5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43" t="str">
        <f ca="1">VLOOKUP(C64,gacha_114_base!A:B,2,FALSE)</f>
        <v>R5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122</v>
      </c>
      <c r="C65" s="10" t="str">
        <f t="shared" ca="1" si="1"/>
        <v>1PremiumN5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43" t="str">
        <f ca="1">VLOOKUP(C65,gacha_114_base!A:B,2,FALSE)</f>
        <v>R5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2">D66&amp;E66&amp;L66</f>
        <v>12281</v>
      </c>
      <c r="B66" s="2">
        <v>122</v>
      </c>
      <c r="C66" s="10" t="str">
        <f ca="1">D66&amp;G66&amp;H66</f>
        <v>1PremiumS5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43" t="str">
        <f ca="1">VLOOKUP(C66,gacha_114_base!A:B,2,FALSE)</f>
        <v>R5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2"/>
        <v>12311</v>
      </c>
      <c r="B67" s="2">
        <v>122</v>
      </c>
      <c r="C67" s="10" t="str">
        <f t="shared" ref="C67:C130" ca="1" si="3">D67&amp;G67&amp;H67</f>
        <v>1PremiumS5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43" t="str">
        <f ca="1">VLOOKUP(C67,gacha_114_base!A:B,2,FALSE)</f>
        <v>R5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2"/>
        <v>12341</v>
      </c>
      <c r="B68" s="2">
        <v>122</v>
      </c>
      <c r="C68" s="10" t="str">
        <f t="shared" ca="1" si="3"/>
        <v>1PremiumS5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43" t="str">
        <f ca="1">VLOOKUP(C68,gacha_114_base!A:B,2,FALSE)</f>
        <v>R5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2"/>
        <v>12371</v>
      </c>
      <c r="B69" s="2">
        <v>122</v>
      </c>
      <c r="C69" s="10" t="str">
        <f t="shared" ca="1" si="3"/>
        <v>1PremiumS5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43" t="str">
        <f ca="1">VLOOKUP(C69,gacha_114_base!A:B,2,FALSE)</f>
        <v>R5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2"/>
        <v>12391</v>
      </c>
      <c r="B70" s="2">
        <v>122</v>
      </c>
      <c r="C70" s="10" t="str">
        <f t="shared" ca="1" si="3"/>
        <v>1PremiumS4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43" t="str">
        <f ca="1">VLOOKUP(C70,gacha_114_base!A:B,2,FALSE)</f>
        <v>R4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2"/>
        <v>12401</v>
      </c>
      <c r="B71" s="2">
        <v>122</v>
      </c>
      <c r="C71" s="10" t="str">
        <f t="shared" ca="1" si="3"/>
        <v>1PremiumS5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43" t="str">
        <f ca="1">VLOOKUP(C71,gacha_114_base!A:B,2,FALSE)</f>
        <v>R5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2"/>
        <v>12421</v>
      </c>
      <c r="B72" s="2">
        <v>122</v>
      </c>
      <c r="C72" s="10" t="str">
        <f t="shared" ca="1" si="3"/>
        <v>1PremiumS4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43" t="str">
        <f ca="1">VLOOKUP(C72,gacha_114_base!A:B,2,FALSE)</f>
        <v>R4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2"/>
        <v>12431</v>
      </c>
      <c r="B73" s="2">
        <v>122</v>
      </c>
      <c r="C73" s="10" t="str">
        <f t="shared" ca="1" si="3"/>
        <v>1PremiumS5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43" t="str">
        <f ca="1">VLOOKUP(C73,gacha_114_base!A:B,2,FALSE)</f>
        <v>R5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2"/>
        <v>12451</v>
      </c>
      <c r="B74" s="2">
        <v>122</v>
      </c>
      <c r="C74" s="10" t="str">
        <f t="shared" ca="1" si="3"/>
        <v>1PremiumS4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43" t="str">
        <f ca="1">VLOOKUP(C74,gacha_114_base!A:B,2,FALSE)</f>
        <v>R4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2"/>
        <v>12461</v>
      </c>
      <c r="B75" s="2">
        <v>122</v>
      </c>
      <c r="C75" s="10" t="str">
        <f t="shared" ca="1" si="3"/>
        <v>1PremiumS5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43" t="str">
        <f ca="1">VLOOKUP(C75,gacha_114_base!A:B,2,FALSE)</f>
        <v>R5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2"/>
        <v>12481</v>
      </c>
      <c r="B76" s="2">
        <v>122</v>
      </c>
      <c r="C76" s="10" t="str">
        <f t="shared" ca="1" si="3"/>
        <v>1PremiumS4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43" t="str">
        <f ca="1">VLOOKUP(C76,gacha_114_base!A:B,2,FALSE)</f>
        <v>R4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2"/>
        <v>12491</v>
      </c>
      <c r="B77" s="2">
        <v>122</v>
      </c>
      <c r="C77" s="10" t="str">
        <f t="shared" ca="1" si="3"/>
        <v>1PremiumS5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43" t="str">
        <f ca="1">VLOOKUP(C77,gacha_114_base!A:B,2,FALSE)</f>
        <v>R5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2"/>
        <v>12511</v>
      </c>
      <c r="B78" s="2">
        <v>122</v>
      </c>
      <c r="C78" s="10" t="str">
        <f t="shared" ca="1" si="3"/>
        <v>1PremiumS4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43" t="str">
        <f ca="1">VLOOKUP(C78,gacha_114_base!A:B,2,FALSE)</f>
        <v>R4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2"/>
        <v>12521</v>
      </c>
      <c r="B79" s="2">
        <v>122</v>
      </c>
      <c r="C79" s="10" t="str">
        <f t="shared" ca="1" si="3"/>
        <v>1PremiumS5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43" t="str">
        <f ca="1">VLOOKUP(C79,gacha_114_base!A:B,2,FALSE)</f>
        <v>R5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2"/>
        <v>12541</v>
      </c>
      <c r="B80" s="2">
        <v>122</v>
      </c>
      <c r="C80" s="10" t="str">
        <f t="shared" ca="1" si="3"/>
        <v>1PremiumS4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43" t="str">
        <f ca="1">VLOOKUP(C80,gacha_114_base!A:B,2,FALSE)</f>
        <v>R4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2"/>
        <v>12551</v>
      </c>
      <c r="B81" s="2">
        <v>122</v>
      </c>
      <c r="C81" s="10" t="str">
        <f t="shared" ca="1" si="3"/>
        <v>1PremiumS5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43" t="str">
        <f ca="1">VLOOKUP(C81,gacha_114_base!A:B,2,FALSE)</f>
        <v>R5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2"/>
        <v>12571</v>
      </c>
      <c r="B82" s="2">
        <v>122</v>
      </c>
      <c r="C82" s="10" t="str">
        <f t="shared" ca="1" si="3"/>
        <v>1PremiumS4</v>
      </c>
      <c r="D82" s="6">
        <v>1</v>
      </c>
      <c r="E82" s="7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43" t="str">
        <f ca="1">VLOOKUP(C82,gacha_114_base!A:B,2,FALSE)</f>
        <v>R4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2"/>
        <v>12581</v>
      </c>
      <c r="B83" s="2">
        <v>122</v>
      </c>
      <c r="C83" s="10" t="str">
        <f t="shared" ca="1" si="3"/>
        <v>1PremiumS5</v>
      </c>
      <c r="D83" s="6">
        <v>1</v>
      </c>
      <c r="E83" s="7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43" t="str">
        <f ca="1">VLOOKUP(C83,gacha_114_base!A:B,2,FALSE)</f>
        <v>R5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2"/>
        <v>12601</v>
      </c>
      <c r="B84" s="2">
        <v>122</v>
      </c>
      <c r="C84" s="10" t="str">
        <f t="shared" ca="1" si="3"/>
        <v>1PremiumS4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43" t="str">
        <f ca="1">VLOOKUP(C84,gacha_114_base!A:B,2,FALSE)</f>
        <v>R4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2"/>
        <v>12611</v>
      </c>
      <c r="B85" s="2">
        <v>122</v>
      </c>
      <c r="C85" s="10" t="str">
        <f t="shared" ca="1" si="3"/>
        <v>1PremiumS5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43" t="str">
        <f ca="1">VLOOKUP(C85,gacha_114_base!A:B,2,FALSE)</f>
        <v>R5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2"/>
        <v>13201</v>
      </c>
      <c r="B86" s="2">
        <v>122</v>
      </c>
      <c r="C86" s="10" t="str">
        <f t="shared" ca="1" si="3"/>
        <v>1PremiumSS4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43" t="str">
        <f ca="1">VLOOKUP(C86,gacha_114_base!A:B,2,FALSE)</f>
        <v>R4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2"/>
        <v>13211</v>
      </c>
      <c r="B87" s="2">
        <v>122</v>
      </c>
      <c r="C87" s="10" t="str">
        <f t="shared" ca="1" si="3"/>
        <v>1PremiumSS5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43" t="str">
        <f ca="1">VLOOKUP(C87,gacha_114_base!A:B,2,FALSE)</f>
        <v>R5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2"/>
        <v>13221</v>
      </c>
      <c r="B88" s="2">
        <v>122</v>
      </c>
      <c r="C88" s="10" t="str">
        <f t="shared" ca="1" si="3"/>
        <v>1PremiumSS4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43" t="str">
        <f ca="1">VLOOKUP(C88,gacha_114_base!A:B,2,FALSE)</f>
        <v>R4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2"/>
        <v>13231</v>
      </c>
      <c r="B89" s="2">
        <v>122</v>
      </c>
      <c r="C89" s="10" t="str">
        <f t="shared" ca="1" si="3"/>
        <v>1PremiumSS5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43" t="str">
        <f ca="1">VLOOKUP(C89,gacha_114_base!A:B,2,FALSE)</f>
        <v>R5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2"/>
        <v>13241</v>
      </c>
      <c r="B90" s="2">
        <v>122</v>
      </c>
      <c r="C90" s="10" t="str">
        <f t="shared" ca="1" si="3"/>
        <v>1PremiumSS4</v>
      </c>
      <c r="D90" s="6">
        <v>1</v>
      </c>
      <c r="E90" s="7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43" t="str">
        <f ca="1">VLOOKUP(C90,gacha_114_base!A:B,2,FALSE)</f>
        <v>R4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2"/>
        <v>13251</v>
      </c>
      <c r="B91" s="2">
        <v>122</v>
      </c>
      <c r="C91" s="10" t="str">
        <f t="shared" ca="1" si="3"/>
        <v>1PremiumSS5</v>
      </c>
      <c r="D91" s="6">
        <v>1</v>
      </c>
      <c r="E91" s="7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43" t="str">
        <f ca="1">VLOOKUP(C91,gacha_114_base!A:B,2,FALSE)</f>
        <v>R5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2"/>
        <v>13261</v>
      </c>
      <c r="B92" s="2">
        <v>122</v>
      </c>
      <c r="C92" s="10" t="str">
        <f t="shared" ca="1" si="3"/>
        <v>1PremiumSS4</v>
      </c>
      <c r="D92" s="34">
        <v>1</v>
      </c>
      <c r="E92" s="35">
        <v>326</v>
      </c>
      <c r="F92" s="36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6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6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6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6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6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4">
        <v>1</v>
      </c>
      <c r="M92" s="43" t="str">
        <f ca="1">VLOOKUP(C92,gacha_114_base!A:B,2,FALSE)</f>
        <v>R4</v>
      </c>
      <c r="N92" s="37">
        <v>0</v>
      </c>
      <c r="O92" s="37">
        <v>0</v>
      </c>
      <c r="P92" s="37">
        <v>0</v>
      </c>
      <c r="Q92" s="37">
        <v>0</v>
      </c>
      <c r="R92" s="37">
        <v>1</v>
      </c>
    </row>
    <row r="93" spans="1:18" ht="21" customHeight="1" thickBot="1">
      <c r="A93" s="22" t="str">
        <f t="shared" si="2"/>
        <v>13271</v>
      </c>
      <c r="B93" s="2">
        <v>122</v>
      </c>
      <c r="C93" s="10" t="str">
        <f t="shared" ca="1" si="3"/>
        <v>1PremiumSS5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43" t="str">
        <f ca="1">VLOOKUP(C93,gacha_114_base!A:B,2,FALSE)</f>
        <v>R5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2"/>
        <v>13811</v>
      </c>
      <c r="B94" s="2">
        <v>122</v>
      </c>
      <c r="C94" s="10" t="str">
        <f ca="1">D94&amp;G94&amp;H94&amp;"new"</f>
        <v>1PremiumS4new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43" t="e">
        <f ca="1">VLOOKUP(C94,gacha_114_base!A:B,2,FALSE)</f>
        <v>#N/A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2"/>
        <v>13821</v>
      </c>
      <c r="B95" s="2">
        <v>122</v>
      </c>
      <c r="C95" s="10" t="str">
        <f t="shared" ref="C95:C101" ca="1" si="4">D95&amp;G95&amp;H95&amp;"new"</f>
        <v>1PremiumS5new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43" t="e">
        <f ca="1">VLOOKUP(C95,gacha_114_base!A:B,2,FALSE)</f>
        <v>#N/A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2"/>
        <v>13831</v>
      </c>
      <c r="B96" s="2">
        <v>122</v>
      </c>
      <c r="C96" s="10" t="str">
        <f t="shared" ca="1" si="4"/>
        <v>1PremiumSS4new</v>
      </c>
      <c r="D96" s="6">
        <v>1</v>
      </c>
      <c r="E96" s="27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43" t="e">
        <f ca="1">VLOOKUP(C96,gacha_114_base!A:B,2,FALSE)</f>
        <v>#N/A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2"/>
        <v>13841</v>
      </c>
      <c r="B97" s="2">
        <v>122</v>
      </c>
      <c r="C97" s="10" t="str">
        <f t="shared" ca="1" si="4"/>
        <v>1PremiumSS5new</v>
      </c>
      <c r="D97" s="6">
        <v>1</v>
      </c>
      <c r="E97" s="27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6">
        <v>1</v>
      </c>
      <c r="M97" s="43" t="e">
        <f ca="1">VLOOKUP(C97,gacha_114_base!A:B,2,FALSE)</f>
        <v>#N/A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2"/>
        <v>13851</v>
      </c>
      <c r="B98" s="2">
        <v>122</v>
      </c>
      <c r="C98" s="10" t="str">
        <f t="shared" ca="1" si="4"/>
        <v>1PremiumSS4new</v>
      </c>
      <c r="D98" s="6">
        <v>1</v>
      </c>
      <c r="E98" s="27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6">
        <v>1</v>
      </c>
      <c r="M98" s="43" t="e">
        <f ca="1">VLOOKUP(C98,gacha_114_base!A:B,2,FALSE)</f>
        <v>#N/A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2"/>
        <v>13861</v>
      </c>
      <c r="B99" s="2">
        <v>122</v>
      </c>
      <c r="C99" s="10" t="str">
        <f t="shared" ca="1" si="4"/>
        <v>1PremiumSS5new</v>
      </c>
      <c r="D99" s="34">
        <v>1</v>
      </c>
      <c r="E99" s="33">
        <v>386</v>
      </c>
      <c r="F99" s="36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6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6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6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6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6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34">
        <v>1</v>
      </c>
      <c r="M99" s="43" t="e">
        <f ca="1">VLOOKUP(C99,gacha_114_base!A:B,2,FALSE)</f>
        <v>#N/A</v>
      </c>
      <c r="N99" s="37">
        <v>0</v>
      </c>
      <c r="O99" s="37">
        <v>0</v>
      </c>
      <c r="P99" s="37">
        <v>0</v>
      </c>
      <c r="Q99" s="37">
        <v>0</v>
      </c>
      <c r="R99" s="37">
        <v>1</v>
      </c>
    </row>
    <row r="100" spans="1:18" ht="21" customHeight="1">
      <c r="A100" s="32" t="str">
        <f t="shared" si="2"/>
        <v>13881</v>
      </c>
      <c r="B100" s="2">
        <v>122</v>
      </c>
      <c r="C100" s="10" t="str">
        <f t="shared" ca="1" si="4"/>
        <v>1PremiumS4new</v>
      </c>
      <c r="D100" s="34">
        <v>1</v>
      </c>
      <c r="E100" s="35">
        <v>388</v>
      </c>
      <c r="F100" s="36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6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6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6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6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6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4">
        <v>1</v>
      </c>
      <c r="M100" s="43" t="e">
        <f ca="1">VLOOKUP(C100,gacha_114_base!A:B,2,FALSE)</f>
        <v>#N/A</v>
      </c>
      <c r="N100" s="37">
        <v>0</v>
      </c>
      <c r="O100" s="37">
        <v>0</v>
      </c>
      <c r="P100" s="37">
        <v>0</v>
      </c>
      <c r="Q100" s="37">
        <v>0</v>
      </c>
      <c r="R100" s="37">
        <v>1</v>
      </c>
    </row>
    <row r="101" spans="1:18" s="40" customFormat="1" ht="21" customHeight="1" thickBot="1">
      <c r="A101" s="39" t="str">
        <f t="shared" si="2"/>
        <v>13891</v>
      </c>
      <c r="B101" s="2">
        <v>122</v>
      </c>
      <c r="C101" s="10" t="str">
        <f t="shared" ca="1" si="4"/>
        <v>1PremiumS5new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43" t="e">
        <f ca="1">VLOOKUP(C101,gacha_114_base!A:B,2,FALSE)</f>
        <v>#N/A</v>
      </c>
      <c r="N101" s="31">
        <v>0</v>
      </c>
      <c r="O101" s="31">
        <v>0</v>
      </c>
      <c r="P101" s="31">
        <v>0</v>
      </c>
      <c r="Q101" s="31">
        <v>0</v>
      </c>
      <c r="R101" s="31">
        <v>1</v>
      </c>
    </row>
    <row r="102" spans="1:18" ht="21" customHeight="1">
      <c r="A102" s="8" t="str">
        <f t="shared" si="2"/>
        <v>01261</v>
      </c>
      <c r="B102" s="2">
        <v>122</v>
      </c>
      <c r="C102" s="10" t="str">
        <f t="shared" ca="1" si="3"/>
        <v>0PremiumW3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43" t="str">
        <f ca="1">VLOOKUP(C102,gacha_114_base!A:B,2,FALSE)</f>
        <v>R3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2"/>
        <v>01281</v>
      </c>
      <c r="B103" s="2">
        <v>122</v>
      </c>
      <c r="C103" s="10" t="str">
        <f t="shared" ca="1" si="3"/>
        <v>0PremiumW3</v>
      </c>
      <c r="D103" s="21">
        <v>0</v>
      </c>
      <c r="E103" s="27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21">
        <v>1</v>
      </c>
      <c r="M103" s="43" t="str">
        <f ca="1">VLOOKUP(C103,gacha_114_base!A:B,2,FALSE)</f>
        <v>R3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2"/>
        <v>01301</v>
      </c>
      <c r="B104" s="2">
        <v>122</v>
      </c>
      <c r="C104" s="10" t="str">
        <f t="shared" ca="1" si="3"/>
        <v>0PremiumW3</v>
      </c>
      <c r="D104" s="6">
        <v>0</v>
      </c>
      <c r="E104" s="7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6">
        <v>1</v>
      </c>
      <c r="M104" s="43" t="str">
        <f ca="1">VLOOKUP(C104,gacha_114_base!A:B,2,FALSE)</f>
        <v>R3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2"/>
        <v>01321</v>
      </c>
      <c r="B105" s="2">
        <v>122</v>
      </c>
      <c r="C105" s="10" t="str">
        <f t="shared" ca="1" si="3"/>
        <v>0PremiumW3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43" t="str">
        <f ca="1">VLOOKUP(C105,gacha_114_base!A:B,2,FALSE)</f>
        <v>R3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2"/>
        <v>01341</v>
      </c>
      <c r="B106" s="2">
        <v>122</v>
      </c>
      <c r="C106" s="10" t="str">
        <f t="shared" ca="1" si="3"/>
        <v>0PremiumW3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43" t="str">
        <f ca="1">VLOOKUP(C106,gacha_114_base!A:B,2,FALSE)</f>
        <v>R3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2"/>
        <v>01361</v>
      </c>
      <c r="B107" s="2">
        <v>122</v>
      </c>
      <c r="C107" s="10" t="str">
        <f t="shared" ca="1" si="3"/>
        <v>0PremiumW3</v>
      </c>
      <c r="D107" s="6">
        <v>0</v>
      </c>
      <c r="E107" s="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43" t="str">
        <f ca="1">VLOOKUP(C107,gacha_114_base!A:B,2,FALSE)</f>
        <v>R3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2"/>
        <v>01381</v>
      </c>
      <c r="B108" s="2">
        <v>122</v>
      </c>
      <c r="C108" s="10" t="str">
        <f t="shared" ca="1" si="3"/>
        <v>0PremiumW3</v>
      </c>
      <c r="D108" s="6">
        <v>0</v>
      </c>
      <c r="E108" s="7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43" t="str">
        <f ca="1">VLOOKUP(C108,gacha_114_base!A:B,2,FALSE)</f>
        <v>R3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2"/>
        <v>01401</v>
      </c>
      <c r="B109" s="2">
        <v>122</v>
      </c>
      <c r="C109" s="10" t="str">
        <f t="shared" ca="1" si="3"/>
        <v>0PremiumW3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43" t="str">
        <f ca="1">VLOOKUP(C109,gacha_114_base!A:B,2,FALSE)</f>
        <v>R3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2"/>
        <v>01421</v>
      </c>
      <c r="B110" s="2">
        <v>122</v>
      </c>
      <c r="C110" s="10" t="str">
        <f t="shared" ca="1" si="3"/>
        <v>0PremiumW3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43" t="str">
        <f ca="1">VLOOKUP(C110,gacha_114_base!A:B,2,FALSE)</f>
        <v>R3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2"/>
        <v>01441</v>
      </c>
      <c r="B111" s="2">
        <v>122</v>
      </c>
      <c r="C111" s="10" t="str">
        <f t="shared" ca="1" si="3"/>
        <v>0PremiumW3</v>
      </c>
      <c r="D111" s="6">
        <v>0</v>
      </c>
      <c r="E111" s="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43" t="str">
        <f ca="1">VLOOKUP(C111,gacha_114_base!A:B,2,FALSE)</f>
        <v>R3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2"/>
        <v>01461</v>
      </c>
      <c r="B112" s="2">
        <v>122</v>
      </c>
      <c r="C112" s="10" t="str">
        <f t="shared" ca="1" si="3"/>
        <v>0PremiumW3</v>
      </c>
      <c r="D112" s="6">
        <v>0</v>
      </c>
      <c r="E112" s="7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43" t="str">
        <f ca="1">VLOOKUP(C112,gacha_114_base!A:B,2,FALSE)</f>
        <v>R3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2"/>
        <v>01481</v>
      </c>
      <c r="B113" s="2">
        <v>122</v>
      </c>
      <c r="C113" s="10" t="str">
        <f t="shared" ca="1" si="3"/>
        <v>0PremiumW3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43" t="str">
        <f ca="1">VLOOKUP(C113,gacha_114_base!A:B,2,FALSE)</f>
        <v>R3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2"/>
        <v>01501</v>
      </c>
      <c r="B114" s="2">
        <v>122</v>
      </c>
      <c r="C114" s="10" t="str">
        <f t="shared" ca="1" si="3"/>
        <v>0PremiumW3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43" t="str">
        <f ca="1">VLOOKUP(C114,gacha_114_base!A:B,2,FALSE)</f>
        <v>R3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2"/>
        <v>01521</v>
      </c>
      <c r="B115" s="2">
        <v>122</v>
      </c>
      <c r="C115" s="10" t="str">
        <f t="shared" ca="1" si="3"/>
        <v>0PremiumW3</v>
      </c>
      <c r="D115" s="6">
        <v>0</v>
      </c>
      <c r="E115" s="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43" t="str">
        <f ca="1">VLOOKUP(C115,gacha_114_base!A:B,2,FALSE)</f>
        <v>R3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2"/>
        <v>01541</v>
      </c>
      <c r="B116" s="2">
        <v>122</v>
      </c>
      <c r="C116" s="10" t="str">
        <f t="shared" ca="1" si="3"/>
        <v>0PremiumW3</v>
      </c>
      <c r="D116" s="6">
        <v>0</v>
      </c>
      <c r="E116" s="7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43" t="str">
        <f ca="1">VLOOKUP(C116,gacha_114_base!A:B,2,FALSE)</f>
        <v>R3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2"/>
        <v>01561</v>
      </c>
      <c r="B117" s="2">
        <v>122</v>
      </c>
      <c r="C117" s="10" t="str">
        <f t="shared" ca="1" si="3"/>
        <v>0PremiumW3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43" t="str">
        <f ca="1">VLOOKUP(C117,gacha_114_base!A:B,2,FALSE)</f>
        <v>R3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2"/>
        <v>01581</v>
      </c>
      <c r="B118" s="2">
        <v>122</v>
      </c>
      <c r="C118" s="10" t="str">
        <f t="shared" ca="1" si="3"/>
        <v>0PremiumW3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43" t="str">
        <f ca="1">VLOOKUP(C118,gacha_114_base!A:B,2,FALSE)</f>
        <v>R3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2"/>
        <v>01601</v>
      </c>
      <c r="B119" s="2">
        <v>122</v>
      </c>
      <c r="C119" s="10" t="str">
        <f t="shared" ca="1" si="3"/>
        <v>0PremiumW3</v>
      </c>
      <c r="D119" s="6">
        <v>0</v>
      </c>
      <c r="E119" s="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43" t="str">
        <f ca="1">VLOOKUP(C119,gacha_114_base!A:B,2,FALSE)</f>
        <v>R3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2"/>
        <v>01621</v>
      </c>
      <c r="B120" s="2">
        <v>122</v>
      </c>
      <c r="C120" s="10" t="str">
        <f t="shared" ca="1" si="3"/>
        <v>0PremiumW3</v>
      </c>
      <c r="D120" s="6">
        <v>0</v>
      </c>
      <c r="E120" s="7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6">
        <v>1</v>
      </c>
      <c r="M120" s="43" t="str">
        <f ca="1">VLOOKUP(C120,gacha_114_base!A:B,2,FALSE)</f>
        <v>R3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2"/>
        <v>01641</v>
      </c>
      <c r="B121" s="2">
        <v>122</v>
      </c>
      <c r="C121" s="10" t="str">
        <f t="shared" ca="1" si="3"/>
        <v>0PremiumW3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43" t="str">
        <f ca="1">VLOOKUP(C121,gacha_114_base!A:B,2,FALSE)</f>
        <v>R3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2"/>
        <v>01661</v>
      </c>
      <c r="B122" s="2">
        <v>122</v>
      </c>
      <c r="C122" s="10" t="str">
        <f t="shared" ca="1" si="3"/>
        <v>0PremiumN3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43" t="str">
        <f ca="1">VLOOKUP(C122,gacha_114_base!A:B,2,FALSE)</f>
        <v>R3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2"/>
        <v>01691</v>
      </c>
      <c r="B123" s="2">
        <v>122</v>
      </c>
      <c r="C123" s="10" t="str">
        <f t="shared" ca="1" si="3"/>
        <v>0PremiumN3</v>
      </c>
      <c r="D123" s="6">
        <v>0</v>
      </c>
      <c r="E123" s="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43" t="str">
        <f ca="1">VLOOKUP(C123,gacha_114_base!A:B,2,FALSE)</f>
        <v>R3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2"/>
        <v>01721</v>
      </c>
      <c r="B124" s="2">
        <v>122</v>
      </c>
      <c r="C124" s="10" t="str">
        <f t="shared" ca="1" si="3"/>
        <v>0PremiumN3</v>
      </c>
      <c r="D124" s="6">
        <v>0</v>
      </c>
      <c r="E124" s="7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6">
        <v>1</v>
      </c>
      <c r="M124" s="43" t="str">
        <f ca="1">VLOOKUP(C124,gacha_114_base!A:B,2,FALSE)</f>
        <v>R3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2"/>
        <v>01751</v>
      </c>
      <c r="B125" s="2">
        <v>122</v>
      </c>
      <c r="C125" s="10" t="str">
        <f t="shared" ca="1" si="3"/>
        <v>0PremiumN3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43" t="str">
        <f ca="1">VLOOKUP(C125,gacha_114_base!A:B,2,FALSE)</f>
        <v>R3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2"/>
        <v>01781</v>
      </c>
      <c r="B126" s="2">
        <v>122</v>
      </c>
      <c r="C126" s="10" t="str">
        <f t="shared" ca="1" si="3"/>
        <v>0PremiumN3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43" t="str">
        <f ca="1">VLOOKUP(C126,gacha_114_base!A:B,2,FALSE)</f>
        <v>R3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2"/>
        <v>01811</v>
      </c>
      <c r="B127" s="2">
        <v>122</v>
      </c>
      <c r="C127" s="10" t="str">
        <f t="shared" ca="1" si="3"/>
        <v>0PremiumN3</v>
      </c>
      <c r="D127" s="6">
        <v>0</v>
      </c>
      <c r="E127" s="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6">
        <v>1</v>
      </c>
      <c r="M127" s="43" t="str">
        <f ca="1">VLOOKUP(C127,gacha_114_base!A:B,2,FALSE)</f>
        <v>R3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2"/>
        <v>01841</v>
      </c>
      <c r="B128" s="2">
        <v>122</v>
      </c>
      <c r="C128" s="10" t="str">
        <f t="shared" ca="1" si="3"/>
        <v>0PremiumN3</v>
      </c>
      <c r="D128" s="6">
        <v>0</v>
      </c>
      <c r="E128" s="7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6">
        <v>1</v>
      </c>
      <c r="M128" s="43" t="str">
        <f ca="1">VLOOKUP(C128,gacha_114_base!A:B,2,FALSE)</f>
        <v>R3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2"/>
        <v>01871</v>
      </c>
      <c r="B129" s="2">
        <v>122</v>
      </c>
      <c r="C129" s="10" t="str">
        <f t="shared" ca="1" si="3"/>
        <v>0PremiumN3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43" t="str">
        <f ca="1">VLOOKUP(C129,gacha_114_base!A:B,2,FALSE)</f>
        <v>R3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2"/>
        <v>01901</v>
      </c>
      <c r="B130" s="2">
        <v>122</v>
      </c>
      <c r="C130" s="10" t="str">
        <f t="shared" ca="1" si="3"/>
        <v>0PremiumN3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43" t="str">
        <f ca="1">VLOOKUP(C130,gacha_114_base!A:B,2,FALSE)</f>
        <v>R3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2"/>
        <v>01931</v>
      </c>
      <c r="B131" s="2">
        <v>122</v>
      </c>
      <c r="C131" s="10" t="str">
        <f t="shared" ref="C131:C194" ca="1" si="5">D131&amp;G131&amp;H131</f>
        <v>0PremiumN3</v>
      </c>
      <c r="D131" s="6">
        <v>0</v>
      </c>
      <c r="E131" s="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6">
        <v>1</v>
      </c>
      <c r="M131" s="43" t="str">
        <f ca="1">VLOOKUP(C131,gacha_114_base!A:B,2,FALSE)</f>
        <v>R3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2"/>
        <v>01961</v>
      </c>
      <c r="B132" s="2">
        <v>122</v>
      </c>
      <c r="C132" s="10" t="str">
        <f t="shared" ca="1" si="5"/>
        <v>0PremiumN3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43" t="str">
        <f ca="1">VLOOKUP(C132,gacha_114_base!A:B,2,FALSE)</f>
        <v>R3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2"/>
        <v>01991</v>
      </c>
      <c r="B133" s="2">
        <v>122</v>
      </c>
      <c r="C133" s="10" t="str">
        <f t="shared" ca="1" si="5"/>
        <v>0PremiumN3</v>
      </c>
      <c r="D133" s="6">
        <v>0</v>
      </c>
      <c r="E133" s="7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43" t="str">
        <f ca="1">VLOOKUP(C133,gacha_114_base!A:B,2,FALSE)</f>
        <v>R3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2"/>
        <v>02021</v>
      </c>
      <c r="B134" s="2">
        <v>122</v>
      </c>
      <c r="C134" s="10" t="str">
        <f t="shared" ca="1" si="5"/>
        <v>0PremiumN3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43" t="str">
        <f ca="1">VLOOKUP(C134,gacha_114_base!A:B,2,FALSE)</f>
        <v>R3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2"/>
        <v>02051</v>
      </c>
      <c r="B135" s="2">
        <v>122</v>
      </c>
      <c r="C135" s="10" t="str">
        <f t="shared" ca="1" si="5"/>
        <v>0PremiumN3</v>
      </c>
      <c r="D135" s="6">
        <v>0</v>
      </c>
      <c r="E135" s="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6">
        <v>1</v>
      </c>
      <c r="M135" s="43" t="str">
        <f ca="1">VLOOKUP(C135,gacha_114_base!A:B,2,FALSE)</f>
        <v>R3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2"/>
        <v>02081</v>
      </c>
      <c r="B136" s="2">
        <v>122</v>
      </c>
      <c r="C136" s="10" t="str">
        <f t="shared" ca="1" si="5"/>
        <v>0PremiumN3</v>
      </c>
      <c r="D136" s="6">
        <v>0</v>
      </c>
      <c r="E136" s="7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43" t="str">
        <f ca="1">VLOOKUP(C136,gacha_114_base!A:B,2,FALSE)</f>
        <v>R3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2"/>
        <v>02111</v>
      </c>
      <c r="B137" s="2">
        <v>122</v>
      </c>
      <c r="C137" s="10" t="str">
        <f t="shared" ca="1" si="5"/>
        <v>0PremiumN3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43" t="str">
        <f ca="1">VLOOKUP(C137,gacha_114_base!A:B,2,FALSE)</f>
        <v>R3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2"/>
        <v>02141</v>
      </c>
      <c r="B138" s="2">
        <v>122</v>
      </c>
      <c r="C138" s="10" t="str">
        <f t="shared" ca="1" si="5"/>
        <v>0PremiumN3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43" t="str">
        <f ca="1">VLOOKUP(C138,gacha_114_base!A:B,2,FALSE)</f>
        <v>R3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02171</v>
      </c>
      <c r="B139" s="2">
        <v>122</v>
      </c>
      <c r="C139" s="10" t="str">
        <f t="shared" ca="1" si="5"/>
        <v>0PremiumN3</v>
      </c>
      <c r="D139" s="6">
        <v>0</v>
      </c>
      <c r="E139" s="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43" t="str">
        <f ca="1">VLOOKUP(C139,gacha_114_base!A:B,2,FALSE)</f>
        <v>R3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02201</v>
      </c>
      <c r="B140" s="2">
        <v>122</v>
      </c>
      <c r="C140" s="10" t="str">
        <f t="shared" ca="1" si="5"/>
        <v>0PremiumN3</v>
      </c>
      <c r="D140" s="6">
        <v>0</v>
      </c>
      <c r="E140" s="7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6">
        <v>1</v>
      </c>
      <c r="M140" s="43" t="str">
        <f ca="1">VLOOKUP(C140,gacha_114_base!A:B,2,FALSE)</f>
        <v>R3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02231</v>
      </c>
      <c r="B141" s="2">
        <v>122</v>
      </c>
      <c r="C141" s="10" t="str">
        <f t="shared" ca="1" si="5"/>
        <v>0PremiumN3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43" t="str">
        <f ca="1">VLOOKUP(C141,gacha_114_base!A:B,2,FALSE)</f>
        <v>R3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02261</v>
      </c>
      <c r="B142" s="2">
        <v>122</v>
      </c>
      <c r="C142" s="10" t="str">
        <f t="shared" ca="1" si="5"/>
        <v>0PremiumS3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43" t="str">
        <f ca="1">VLOOKUP(C142,gacha_114_base!A:B,2,FALSE)</f>
        <v>R3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02291</v>
      </c>
      <c r="B143" s="2">
        <v>122</v>
      </c>
      <c r="C143" s="10" t="str">
        <f t="shared" ca="1" si="5"/>
        <v>0PremiumS3</v>
      </c>
      <c r="D143" s="6">
        <v>0</v>
      </c>
      <c r="E143" s="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6">
        <v>1</v>
      </c>
      <c r="M143" s="43" t="str">
        <f ca="1">VLOOKUP(C143,gacha_114_base!A:B,2,FALSE)</f>
        <v>R3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2"/>
        <v>02321</v>
      </c>
      <c r="B144" s="2">
        <v>122</v>
      </c>
      <c r="C144" s="10" t="str">
        <f t="shared" ca="1" si="5"/>
        <v>0PremiumS3</v>
      </c>
      <c r="D144" s="6">
        <v>0</v>
      </c>
      <c r="E144" s="7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43" t="str">
        <f ca="1">VLOOKUP(C144,gacha_114_base!A:B,2,FALSE)</f>
        <v>R3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2"/>
        <v>02351</v>
      </c>
      <c r="B145" s="2">
        <v>122</v>
      </c>
      <c r="C145" s="10" t="str">
        <f t="shared" ca="1" si="5"/>
        <v>0PremiumS3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43" t="str">
        <f ca="1">VLOOKUP(C145,gacha_114_base!A:B,2,FALSE)</f>
        <v>R3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01271</v>
      </c>
      <c r="B146" s="2">
        <v>122</v>
      </c>
      <c r="C146" s="10" t="str">
        <f t="shared" ca="1" si="5"/>
        <v>0PremiumW4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43" t="str">
        <f ca="1">VLOOKUP(C146,gacha_114_base!A:B,2,FALSE)</f>
        <v>R4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01291</v>
      </c>
      <c r="B147" s="2">
        <v>122</v>
      </c>
      <c r="C147" s="10" t="str">
        <f t="shared" ca="1" si="5"/>
        <v>0PremiumW4</v>
      </c>
      <c r="D147" s="6">
        <v>0</v>
      </c>
      <c r="E147" s="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43" t="str">
        <f ca="1">VLOOKUP(C147,gacha_114_base!A:B,2,FALSE)</f>
        <v>R4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01311</v>
      </c>
      <c r="B148" s="2">
        <v>122</v>
      </c>
      <c r="C148" s="10" t="str">
        <f t="shared" ca="1" si="5"/>
        <v>0PremiumW4</v>
      </c>
      <c r="D148" s="6">
        <v>0</v>
      </c>
      <c r="E148" s="7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6">
        <v>1</v>
      </c>
      <c r="M148" s="43" t="str">
        <f ca="1">VLOOKUP(C148,gacha_114_base!A:B,2,FALSE)</f>
        <v>R4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01331</v>
      </c>
      <c r="B149" s="2">
        <v>122</v>
      </c>
      <c r="C149" s="10" t="str">
        <f t="shared" ca="1" si="5"/>
        <v>0PremiumW4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43" t="str">
        <f ca="1">VLOOKUP(C149,gacha_114_base!A:B,2,FALSE)</f>
        <v>R4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01351</v>
      </c>
      <c r="B150" s="2">
        <v>122</v>
      </c>
      <c r="C150" s="10" t="str">
        <f t="shared" ca="1" si="5"/>
        <v>0PremiumW4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43" t="str">
        <f ca="1">VLOOKUP(C150,gacha_114_base!A:B,2,FALSE)</f>
        <v>R4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01371</v>
      </c>
      <c r="B151" s="2">
        <v>122</v>
      </c>
      <c r="C151" s="10" t="str">
        <f t="shared" ca="1" si="5"/>
        <v>0PremiumW4</v>
      </c>
      <c r="D151" s="6">
        <v>0</v>
      </c>
      <c r="E151" s="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43" t="str">
        <f ca="1">VLOOKUP(C151,gacha_114_base!A:B,2,FALSE)</f>
        <v>R4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01391</v>
      </c>
      <c r="B152" s="2">
        <v>122</v>
      </c>
      <c r="C152" s="10" t="str">
        <f t="shared" ca="1" si="5"/>
        <v>0PremiumW4</v>
      </c>
      <c r="D152" s="6">
        <v>0</v>
      </c>
      <c r="E152" s="7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6">
        <v>1</v>
      </c>
      <c r="M152" s="43" t="str">
        <f ca="1">VLOOKUP(C152,gacha_114_base!A:B,2,FALSE)</f>
        <v>R4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01411</v>
      </c>
      <c r="B153" s="2">
        <v>122</v>
      </c>
      <c r="C153" s="10" t="str">
        <f t="shared" ca="1" si="5"/>
        <v>0PremiumW4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43" t="str">
        <f ca="1">VLOOKUP(C153,gacha_114_base!A:B,2,FALSE)</f>
        <v>R4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01431</v>
      </c>
      <c r="B154" s="2">
        <v>122</v>
      </c>
      <c r="C154" s="10" t="str">
        <f t="shared" ca="1" si="5"/>
        <v>0PremiumW4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43" t="str">
        <f ca="1">VLOOKUP(C154,gacha_114_base!A:B,2,FALSE)</f>
        <v>R4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6">D155&amp;E155&amp;L155</f>
        <v>01451</v>
      </c>
      <c r="B155" s="2">
        <v>122</v>
      </c>
      <c r="C155" s="10" t="str">
        <f t="shared" ca="1" si="5"/>
        <v>0PremiumW4</v>
      </c>
      <c r="D155" s="6">
        <v>0</v>
      </c>
      <c r="E155" s="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43" t="str">
        <f ca="1">VLOOKUP(C155,gacha_114_base!A:B,2,FALSE)</f>
        <v>R4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6"/>
        <v>01471</v>
      </c>
      <c r="B156" s="2">
        <v>122</v>
      </c>
      <c r="C156" s="10" t="str">
        <f t="shared" ca="1" si="5"/>
        <v>0PremiumW4</v>
      </c>
      <c r="D156" s="6">
        <v>0</v>
      </c>
      <c r="E156" s="7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6">
        <v>1</v>
      </c>
      <c r="M156" s="43" t="str">
        <f ca="1">VLOOKUP(C156,gacha_114_base!A:B,2,FALSE)</f>
        <v>R4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6"/>
        <v>01491</v>
      </c>
      <c r="B157" s="2">
        <v>122</v>
      </c>
      <c r="C157" s="10" t="str">
        <f t="shared" ca="1" si="5"/>
        <v>0PremiumW4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43" t="str">
        <f ca="1">VLOOKUP(C157,gacha_114_base!A:B,2,FALSE)</f>
        <v>R4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6"/>
        <v>01511</v>
      </c>
      <c r="B158" s="2">
        <v>122</v>
      </c>
      <c r="C158" s="10" t="str">
        <f t="shared" ca="1" si="5"/>
        <v>0PremiumW4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43" t="str">
        <f ca="1">VLOOKUP(C158,gacha_114_base!A:B,2,FALSE)</f>
        <v>R4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6"/>
        <v>01531</v>
      </c>
      <c r="B159" s="2">
        <v>122</v>
      </c>
      <c r="C159" s="10" t="str">
        <f t="shared" ca="1" si="5"/>
        <v>0PremiumW4</v>
      </c>
      <c r="D159" s="6">
        <v>0</v>
      </c>
      <c r="E159" s="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43" t="str">
        <f ca="1">VLOOKUP(C159,gacha_114_base!A:B,2,FALSE)</f>
        <v>R4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6"/>
        <v>01551</v>
      </c>
      <c r="B160" s="2">
        <v>122</v>
      </c>
      <c r="C160" s="10" t="str">
        <f t="shared" ca="1" si="5"/>
        <v>0PremiumW4</v>
      </c>
      <c r="D160" s="6">
        <v>0</v>
      </c>
      <c r="E160" s="7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6">
        <v>1</v>
      </c>
      <c r="M160" s="43" t="str">
        <f ca="1">VLOOKUP(C160,gacha_114_base!A:B,2,FALSE)</f>
        <v>R4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6"/>
        <v>01571</v>
      </c>
      <c r="B161" s="2">
        <v>122</v>
      </c>
      <c r="C161" s="10" t="str">
        <f t="shared" ca="1" si="5"/>
        <v>0PremiumW4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43" t="str">
        <f ca="1">VLOOKUP(C161,gacha_114_base!A:B,2,FALSE)</f>
        <v>R4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6"/>
        <v>01591</v>
      </c>
      <c r="B162" s="2">
        <v>122</v>
      </c>
      <c r="C162" s="10" t="str">
        <f t="shared" ca="1" si="5"/>
        <v>0PremiumW4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43" t="str">
        <f ca="1">VLOOKUP(C162,gacha_114_base!A:B,2,FALSE)</f>
        <v>R4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6"/>
        <v>01611</v>
      </c>
      <c r="B163" s="2">
        <v>122</v>
      </c>
      <c r="C163" s="10" t="str">
        <f t="shared" ca="1" si="5"/>
        <v>0PremiumW4</v>
      </c>
      <c r="D163" s="6">
        <v>0</v>
      </c>
      <c r="E163" s="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6">
        <v>1</v>
      </c>
      <c r="M163" s="43" t="str">
        <f ca="1">VLOOKUP(C163,gacha_114_base!A:B,2,FALSE)</f>
        <v>R4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6"/>
        <v>01631</v>
      </c>
      <c r="B164" s="2">
        <v>122</v>
      </c>
      <c r="C164" s="10" t="str">
        <f t="shared" ca="1" si="5"/>
        <v>0PremiumW4</v>
      </c>
      <c r="D164" s="6">
        <v>0</v>
      </c>
      <c r="E164" s="7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6">
        <v>1</v>
      </c>
      <c r="M164" s="43" t="str">
        <f ca="1">VLOOKUP(C164,gacha_114_base!A:B,2,FALSE)</f>
        <v>R4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6"/>
        <v>01651</v>
      </c>
      <c r="B165" s="2">
        <v>122</v>
      </c>
      <c r="C165" s="10" t="str">
        <f t="shared" ca="1" si="5"/>
        <v>0PremiumW4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43" t="str">
        <f ca="1">VLOOKUP(C165,gacha_114_base!A:B,2,FALSE)</f>
        <v>R4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6"/>
        <v>01671</v>
      </c>
      <c r="B166" s="2">
        <v>122</v>
      </c>
      <c r="C166" s="10" t="str">
        <f t="shared" ca="1" si="5"/>
        <v>0PremiumN4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43" t="str">
        <f ca="1">VLOOKUP(C166,gacha_114_base!A:B,2,FALSE)</f>
        <v>R4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6"/>
        <v>01701</v>
      </c>
      <c r="B167" s="2">
        <v>122</v>
      </c>
      <c r="C167" s="10" t="str">
        <f t="shared" ca="1" si="5"/>
        <v>0PremiumN4</v>
      </c>
      <c r="D167" s="6">
        <v>0</v>
      </c>
      <c r="E167" s="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43" t="str">
        <f ca="1">VLOOKUP(C167,gacha_114_base!A:B,2,FALSE)</f>
        <v>R4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6"/>
        <v>01731</v>
      </c>
      <c r="B168" s="2">
        <v>122</v>
      </c>
      <c r="C168" s="10" t="str">
        <f t="shared" ca="1" si="5"/>
        <v>0PremiumN4</v>
      </c>
      <c r="D168" s="6">
        <v>0</v>
      </c>
      <c r="E168" s="7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6">
        <v>1</v>
      </c>
      <c r="M168" s="43" t="str">
        <f ca="1">VLOOKUP(C168,gacha_114_base!A:B,2,FALSE)</f>
        <v>R4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6"/>
        <v>01761</v>
      </c>
      <c r="B169" s="2">
        <v>122</v>
      </c>
      <c r="C169" s="10" t="str">
        <f t="shared" ca="1" si="5"/>
        <v>0PremiumN4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43" t="str">
        <f ca="1">VLOOKUP(C169,gacha_114_base!A:B,2,FALSE)</f>
        <v>R4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6"/>
        <v>01791</v>
      </c>
      <c r="B170" s="2">
        <v>122</v>
      </c>
      <c r="C170" s="10" t="str">
        <f t="shared" ca="1" si="5"/>
        <v>0PremiumN4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43" t="str">
        <f ca="1">VLOOKUP(C170,gacha_114_base!A:B,2,FALSE)</f>
        <v>R4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6"/>
        <v>01821</v>
      </c>
      <c r="B171" s="2">
        <v>122</v>
      </c>
      <c r="C171" s="10" t="str">
        <f t="shared" ca="1" si="5"/>
        <v>0PremiumN4</v>
      </c>
      <c r="D171" s="6">
        <v>0</v>
      </c>
      <c r="E171" s="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6">
        <v>1</v>
      </c>
      <c r="M171" s="43" t="str">
        <f ca="1">VLOOKUP(C171,gacha_114_base!A:B,2,FALSE)</f>
        <v>R4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6"/>
        <v>01851</v>
      </c>
      <c r="B172" s="2">
        <v>122</v>
      </c>
      <c r="C172" s="10" t="str">
        <f t="shared" ca="1" si="5"/>
        <v>0PremiumN4</v>
      </c>
      <c r="D172" s="6">
        <v>0</v>
      </c>
      <c r="E172" s="7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6">
        <v>1</v>
      </c>
      <c r="M172" s="43" t="str">
        <f ca="1">VLOOKUP(C172,gacha_114_base!A:B,2,FALSE)</f>
        <v>R4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6"/>
        <v>01881</v>
      </c>
      <c r="B173" s="2">
        <v>122</v>
      </c>
      <c r="C173" s="10" t="str">
        <f t="shared" ca="1" si="5"/>
        <v>0PremiumN4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43" t="str">
        <f ca="1">VLOOKUP(C173,gacha_114_base!A:B,2,FALSE)</f>
        <v>R4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6"/>
        <v>01911</v>
      </c>
      <c r="B174" s="2">
        <v>122</v>
      </c>
      <c r="C174" s="10" t="str">
        <f t="shared" ca="1" si="5"/>
        <v>0PremiumN4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43" t="str">
        <f ca="1">VLOOKUP(C174,gacha_114_base!A:B,2,FALSE)</f>
        <v>R4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6"/>
        <v>01941</v>
      </c>
      <c r="B175" s="2">
        <v>122</v>
      </c>
      <c r="C175" s="10" t="str">
        <f t="shared" ca="1" si="5"/>
        <v>0PremiumN4</v>
      </c>
      <c r="D175" s="6">
        <v>0</v>
      </c>
      <c r="E175" s="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6">
        <v>1</v>
      </c>
      <c r="M175" s="43" t="str">
        <f ca="1">VLOOKUP(C175,gacha_114_base!A:B,2,FALSE)</f>
        <v>R4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6"/>
        <v>01971</v>
      </c>
      <c r="B176" s="2">
        <v>122</v>
      </c>
      <c r="C176" s="10" t="str">
        <f t="shared" ca="1" si="5"/>
        <v>0PremiumN4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43" t="str">
        <f ca="1">VLOOKUP(C176,gacha_114_base!A:B,2,FALSE)</f>
        <v>R4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6"/>
        <v>02001</v>
      </c>
      <c r="B177" s="2">
        <v>122</v>
      </c>
      <c r="C177" s="10" t="str">
        <f t="shared" ca="1" si="5"/>
        <v>0PremiumN4</v>
      </c>
      <c r="D177" s="6">
        <v>0</v>
      </c>
      <c r="E177" s="7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6">
        <v>1</v>
      </c>
      <c r="M177" s="43" t="str">
        <f ca="1">VLOOKUP(C177,gacha_114_base!A:B,2,FALSE)</f>
        <v>R4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6"/>
        <v>02031</v>
      </c>
      <c r="B178" s="2">
        <v>122</v>
      </c>
      <c r="C178" s="10" t="str">
        <f t="shared" ca="1" si="5"/>
        <v>0PremiumN4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43" t="str">
        <f ca="1">VLOOKUP(C178,gacha_114_base!A:B,2,FALSE)</f>
        <v>R4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6"/>
        <v>02061</v>
      </c>
      <c r="B179" s="2">
        <v>122</v>
      </c>
      <c r="C179" s="10" t="str">
        <f t="shared" ca="1" si="5"/>
        <v>0PremiumN4</v>
      </c>
      <c r="D179" s="6">
        <v>0</v>
      </c>
      <c r="E179" s="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6">
        <v>1</v>
      </c>
      <c r="M179" s="43" t="str">
        <f ca="1">VLOOKUP(C179,gacha_114_base!A:B,2,FALSE)</f>
        <v>R4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6"/>
        <v>02091</v>
      </c>
      <c r="B180" s="2">
        <v>122</v>
      </c>
      <c r="C180" s="10" t="str">
        <f t="shared" ca="1" si="5"/>
        <v>0PremiumN4</v>
      </c>
      <c r="D180" s="6">
        <v>0</v>
      </c>
      <c r="E180" s="7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6">
        <v>1</v>
      </c>
      <c r="M180" s="43" t="str">
        <f ca="1">VLOOKUP(C180,gacha_114_base!A:B,2,FALSE)</f>
        <v>R4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6"/>
        <v>02121</v>
      </c>
      <c r="B181" s="2">
        <v>122</v>
      </c>
      <c r="C181" s="10" t="str">
        <f t="shared" ca="1" si="5"/>
        <v>0PremiumN4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43" t="str">
        <f ca="1">VLOOKUP(C181,gacha_114_base!A:B,2,FALSE)</f>
        <v>R4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6"/>
        <v>02151</v>
      </c>
      <c r="B182" s="2">
        <v>122</v>
      </c>
      <c r="C182" s="10" t="str">
        <f t="shared" ca="1" si="5"/>
        <v>0PremiumN4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43" t="str">
        <f ca="1">VLOOKUP(C182,gacha_114_base!A:B,2,FALSE)</f>
        <v>R4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6"/>
        <v>02181</v>
      </c>
      <c r="B183" s="2">
        <v>122</v>
      </c>
      <c r="C183" s="10" t="str">
        <f t="shared" ca="1" si="5"/>
        <v>0PremiumN4</v>
      </c>
      <c r="D183" s="6">
        <v>0</v>
      </c>
      <c r="E183" s="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6">
        <v>1</v>
      </c>
      <c r="M183" s="43" t="str">
        <f ca="1">VLOOKUP(C183,gacha_114_base!A:B,2,FALSE)</f>
        <v>R4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6"/>
        <v>02211</v>
      </c>
      <c r="B184" s="2">
        <v>122</v>
      </c>
      <c r="C184" s="10" t="str">
        <f t="shared" ca="1" si="5"/>
        <v>0PremiumN4</v>
      </c>
      <c r="D184" s="6">
        <v>0</v>
      </c>
      <c r="E184" s="7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6">
        <v>1</v>
      </c>
      <c r="M184" s="43" t="str">
        <f ca="1">VLOOKUP(C184,gacha_114_base!A:B,2,FALSE)</f>
        <v>R4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6"/>
        <v>02241</v>
      </c>
      <c r="B185" s="2">
        <v>122</v>
      </c>
      <c r="C185" s="10" t="str">
        <f t="shared" ca="1" si="5"/>
        <v>0PremiumN4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43" t="str">
        <f ca="1">VLOOKUP(C185,gacha_114_base!A:B,2,FALSE)</f>
        <v>R4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6"/>
        <v>02271</v>
      </c>
      <c r="B186" s="2">
        <v>122</v>
      </c>
      <c r="C186" s="10" t="str">
        <f t="shared" ca="1" si="5"/>
        <v>0PremiumS4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43" t="str">
        <f ca="1">VLOOKUP(C186,gacha_114_base!A:B,2,FALSE)</f>
        <v>R4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6"/>
        <v>02301</v>
      </c>
      <c r="B187" s="2">
        <v>122</v>
      </c>
      <c r="C187" s="10" t="str">
        <f t="shared" ca="1" si="5"/>
        <v>0PremiumS4</v>
      </c>
      <c r="D187" s="6">
        <v>0</v>
      </c>
      <c r="E187" s="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6">
        <v>1</v>
      </c>
      <c r="M187" s="43" t="str">
        <f ca="1">VLOOKUP(C187,gacha_114_base!A:B,2,FALSE)</f>
        <v>R4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6"/>
        <v>02331</v>
      </c>
      <c r="B188" s="2">
        <v>122</v>
      </c>
      <c r="C188" s="10" t="str">
        <f t="shared" ca="1" si="5"/>
        <v>0PremiumS4</v>
      </c>
      <c r="D188" s="6">
        <v>0</v>
      </c>
      <c r="E188" s="7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6">
        <v>1</v>
      </c>
      <c r="M188" s="43" t="str">
        <f ca="1">VLOOKUP(C188,gacha_114_base!A:B,2,FALSE)</f>
        <v>R4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6"/>
        <v>02361</v>
      </c>
      <c r="B189" s="2">
        <v>122</v>
      </c>
      <c r="C189" s="10" t="str">
        <f t="shared" ca="1" si="5"/>
        <v>0PremiumS4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43" t="str">
        <f ca="1">VLOOKUP(C189,gacha_114_base!A:B,2,FALSE)</f>
        <v>R4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6"/>
        <v>01681</v>
      </c>
      <c r="B190" s="2">
        <v>122</v>
      </c>
      <c r="C190" s="10" t="str">
        <f t="shared" ca="1" si="5"/>
        <v>0PremiumN5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43" t="str">
        <f ca="1">VLOOKUP(C190,gacha_114_base!A:B,2,FALSE)</f>
        <v>R5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6"/>
        <v>01711</v>
      </c>
      <c r="B191" s="2">
        <v>122</v>
      </c>
      <c r="C191" s="10" t="str">
        <f t="shared" ca="1" si="5"/>
        <v>0PremiumN5</v>
      </c>
      <c r="D191" s="6">
        <v>0</v>
      </c>
      <c r="E191" s="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43" t="str">
        <f ca="1">VLOOKUP(C191,gacha_114_base!A:B,2,FALSE)</f>
        <v>R5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6"/>
        <v>01741</v>
      </c>
      <c r="B192" s="2">
        <v>122</v>
      </c>
      <c r="C192" s="10" t="str">
        <f t="shared" ca="1" si="5"/>
        <v>0PremiumN5</v>
      </c>
      <c r="D192" s="6">
        <v>0</v>
      </c>
      <c r="E192" s="7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6">
        <v>1</v>
      </c>
      <c r="M192" s="43" t="str">
        <f ca="1">VLOOKUP(C192,gacha_114_base!A:B,2,FALSE)</f>
        <v>R5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6"/>
        <v>01771</v>
      </c>
      <c r="B193" s="2">
        <v>122</v>
      </c>
      <c r="C193" s="10" t="str">
        <f t="shared" ca="1" si="5"/>
        <v>0PremiumN5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43" t="str">
        <f ca="1">VLOOKUP(C193,gacha_114_base!A:B,2,FALSE)</f>
        <v>R5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6"/>
        <v>01801</v>
      </c>
      <c r="B194" s="2">
        <v>122</v>
      </c>
      <c r="C194" s="10" t="str">
        <f t="shared" ca="1" si="5"/>
        <v>0PremiumN5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43" t="str">
        <f ca="1">VLOOKUP(C194,gacha_114_base!A:B,2,FALSE)</f>
        <v>R5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6"/>
        <v>01831</v>
      </c>
      <c r="B195" s="2">
        <v>122</v>
      </c>
      <c r="C195" s="10" t="str">
        <f t="shared" ref="C195:C245" ca="1" si="7">D195&amp;G195&amp;H195</f>
        <v>0PremiumN5</v>
      </c>
      <c r="D195" s="6">
        <v>0</v>
      </c>
      <c r="E195" s="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6">
        <v>1</v>
      </c>
      <c r="M195" s="43" t="str">
        <f ca="1">VLOOKUP(C195,gacha_114_base!A:B,2,FALSE)</f>
        <v>R5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6"/>
        <v>01861</v>
      </c>
      <c r="B196" s="2">
        <v>122</v>
      </c>
      <c r="C196" s="10" t="str">
        <f t="shared" ca="1" si="7"/>
        <v>0PremiumN5</v>
      </c>
      <c r="D196" s="6">
        <v>0</v>
      </c>
      <c r="E196" s="7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6">
        <v>1</v>
      </c>
      <c r="M196" s="43" t="str">
        <f ca="1">VLOOKUP(C196,gacha_114_base!A:B,2,FALSE)</f>
        <v>R5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6"/>
        <v>01891</v>
      </c>
      <c r="B197" s="2">
        <v>122</v>
      </c>
      <c r="C197" s="10" t="str">
        <f t="shared" ca="1" si="7"/>
        <v>0PremiumN5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43" t="str">
        <f ca="1">VLOOKUP(C197,gacha_114_base!A:B,2,FALSE)</f>
        <v>R5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6"/>
        <v>01921</v>
      </c>
      <c r="B198" s="2">
        <v>122</v>
      </c>
      <c r="C198" s="10" t="str">
        <f t="shared" ca="1" si="7"/>
        <v>0PremiumN5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43" t="str">
        <f ca="1">VLOOKUP(C198,gacha_114_base!A:B,2,FALSE)</f>
        <v>R5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6"/>
        <v>01951</v>
      </c>
      <c r="B199" s="2">
        <v>122</v>
      </c>
      <c r="C199" s="10" t="str">
        <f t="shared" ca="1" si="7"/>
        <v>0PremiumN5</v>
      </c>
      <c r="D199" s="6">
        <v>0</v>
      </c>
      <c r="E199" s="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6">
        <v>1</v>
      </c>
      <c r="M199" s="43" t="str">
        <f ca="1">VLOOKUP(C199,gacha_114_base!A:B,2,FALSE)</f>
        <v>R5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6"/>
        <v>01981</v>
      </c>
      <c r="B200" s="2">
        <v>122</v>
      </c>
      <c r="C200" s="10" t="str">
        <f t="shared" ca="1" si="7"/>
        <v>0PremiumN5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43" t="str">
        <f ca="1">VLOOKUP(C200,gacha_114_base!A:B,2,FALSE)</f>
        <v>R5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6"/>
        <v>02011</v>
      </c>
      <c r="B201" s="2">
        <v>122</v>
      </c>
      <c r="C201" s="10" t="str">
        <f t="shared" ca="1" si="7"/>
        <v>0PremiumN5</v>
      </c>
      <c r="D201" s="6">
        <v>0</v>
      </c>
      <c r="E201" s="7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6">
        <v>1</v>
      </c>
      <c r="M201" s="43" t="str">
        <f ca="1">VLOOKUP(C201,gacha_114_base!A:B,2,FALSE)</f>
        <v>R5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6"/>
        <v>02041</v>
      </c>
      <c r="B202" s="2">
        <v>122</v>
      </c>
      <c r="C202" s="10" t="str">
        <f t="shared" ca="1" si="7"/>
        <v>0PremiumN5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43" t="str">
        <f ca="1">VLOOKUP(C202,gacha_114_base!A:B,2,FALSE)</f>
        <v>R5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6"/>
        <v>02071</v>
      </c>
      <c r="B203" s="2">
        <v>122</v>
      </c>
      <c r="C203" s="10" t="str">
        <f t="shared" ca="1" si="7"/>
        <v>0PremiumN5</v>
      </c>
      <c r="D203" s="6">
        <v>0</v>
      </c>
      <c r="E203" s="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6">
        <v>1</v>
      </c>
      <c r="M203" s="43" t="str">
        <f ca="1">VLOOKUP(C203,gacha_114_base!A:B,2,FALSE)</f>
        <v>R5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6"/>
        <v>02101</v>
      </c>
      <c r="B204" s="2">
        <v>122</v>
      </c>
      <c r="C204" s="10" t="str">
        <f t="shared" ca="1" si="7"/>
        <v>0PremiumN5</v>
      </c>
      <c r="D204" s="6">
        <v>0</v>
      </c>
      <c r="E204" s="7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6">
        <v>1</v>
      </c>
      <c r="M204" s="43" t="str">
        <f ca="1">VLOOKUP(C204,gacha_114_base!A:B,2,FALSE)</f>
        <v>R5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6"/>
        <v>02131</v>
      </c>
      <c r="B205" s="2">
        <v>122</v>
      </c>
      <c r="C205" s="10" t="str">
        <f t="shared" ca="1" si="7"/>
        <v>0PremiumN5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43" t="str">
        <f ca="1">VLOOKUP(C205,gacha_114_base!A:B,2,FALSE)</f>
        <v>R5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6"/>
        <v>02161</v>
      </c>
      <c r="B206" s="2">
        <v>122</v>
      </c>
      <c r="C206" s="10" t="str">
        <f t="shared" ca="1" si="7"/>
        <v>0PremiumN5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43" t="str">
        <f ca="1">VLOOKUP(C206,gacha_114_base!A:B,2,FALSE)</f>
        <v>R5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6"/>
        <v>02191</v>
      </c>
      <c r="B207" s="2">
        <v>122</v>
      </c>
      <c r="C207" s="10" t="str">
        <f t="shared" ca="1" si="7"/>
        <v>0PremiumN5</v>
      </c>
      <c r="D207" s="6">
        <v>0</v>
      </c>
      <c r="E207" s="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6">
        <v>1</v>
      </c>
      <c r="M207" s="43" t="str">
        <f ca="1">VLOOKUP(C207,gacha_114_base!A:B,2,FALSE)</f>
        <v>R5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6"/>
        <v>02221</v>
      </c>
      <c r="B208" s="2">
        <v>122</v>
      </c>
      <c r="C208" s="10" t="str">
        <f t="shared" ca="1" si="7"/>
        <v>0PremiumN5</v>
      </c>
      <c r="D208" s="6">
        <v>0</v>
      </c>
      <c r="E208" s="7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6">
        <v>1</v>
      </c>
      <c r="M208" s="43" t="str">
        <f ca="1">VLOOKUP(C208,gacha_114_base!A:B,2,FALSE)</f>
        <v>R5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6"/>
        <v>02251</v>
      </c>
      <c r="B209" s="2">
        <v>122</v>
      </c>
      <c r="C209" s="10" t="str">
        <f t="shared" ca="1" si="7"/>
        <v>0PremiumN5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43" t="str">
        <f ca="1">VLOOKUP(C209,gacha_114_base!A:B,2,FALSE)</f>
        <v>R5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6"/>
        <v>02281</v>
      </c>
      <c r="B210" s="2">
        <v>122</v>
      </c>
      <c r="C210" s="10" t="str">
        <f t="shared" ca="1" si="7"/>
        <v>0PremiumS5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43" t="str">
        <f ca="1">VLOOKUP(C210,gacha_114_base!A:B,2,FALSE)</f>
        <v>R5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6"/>
        <v>02311</v>
      </c>
      <c r="B211" s="2">
        <v>122</v>
      </c>
      <c r="C211" s="10" t="str">
        <f t="shared" ca="1" si="7"/>
        <v>0PremiumS5</v>
      </c>
      <c r="D211" s="6">
        <v>0</v>
      </c>
      <c r="E211" s="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6">
        <v>1</v>
      </c>
      <c r="M211" s="43" t="str">
        <f ca="1">VLOOKUP(C211,gacha_114_base!A:B,2,FALSE)</f>
        <v>R5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6"/>
        <v>02341</v>
      </c>
      <c r="B212" s="2">
        <v>122</v>
      </c>
      <c r="C212" s="10" t="str">
        <f t="shared" ca="1" si="7"/>
        <v>0PremiumS5</v>
      </c>
      <c r="D212" s="6">
        <v>0</v>
      </c>
      <c r="E212" s="7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6">
        <v>1</v>
      </c>
      <c r="M212" s="43" t="str">
        <f ca="1">VLOOKUP(C212,gacha_114_base!A:B,2,FALSE)</f>
        <v>R5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6"/>
        <v>02371</v>
      </c>
      <c r="B213" s="2">
        <v>122</v>
      </c>
      <c r="C213" s="10" t="str">
        <f t="shared" ca="1" si="7"/>
        <v>0PremiumS5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43" t="str">
        <f ca="1">VLOOKUP(C213,gacha_114_base!A:B,2,FALSE)</f>
        <v>R5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6"/>
        <v>02381</v>
      </c>
      <c r="B214" s="2">
        <v>122</v>
      </c>
      <c r="C214" s="10" t="str">
        <f t="shared" ca="1" si="7"/>
        <v>0PremiumS3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43" t="str">
        <f ca="1">VLOOKUP(C214,gacha_114_base!A:B,2,FALSE)</f>
        <v>R3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6"/>
        <v>02391</v>
      </c>
      <c r="B215" s="2">
        <v>122</v>
      </c>
      <c r="C215" s="10" t="str">
        <f t="shared" ca="1" si="7"/>
        <v>0PremiumS4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43" t="str">
        <f ca="1">VLOOKUP(C215,gacha_114_base!A:B,2,FALSE)</f>
        <v>R4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6"/>
        <v>02401</v>
      </c>
      <c r="B216" s="2">
        <v>122</v>
      </c>
      <c r="C216" s="10" t="str">
        <f t="shared" ca="1" si="7"/>
        <v>0PremiumS5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43" t="str">
        <f ca="1">VLOOKUP(C216,gacha_114_base!A:B,2,FALSE)</f>
        <v>R5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6"/>
        <v>02411</v>
      </c>
      <c r="B217" s="2">
        <v>122</v>
      </c>
      <c r="C217" s="10" t="str">
        <f t="shared" ca="1" si="7"/>
        <v>0PremiumS3</v>
      </c>
      <c r="D217" s="6">
        <v>0</v>
      </c>
      <c r="E217" s="19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43" t="str">
        <f ca="1">VLOOKUP(C217,gacha_114_base!A:B,2,FALSE)</f>
        <v>R3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6"/>
        <v>02421</v>
      </c>
      <c r="B218" s="2">
        <v>122</v>
      </c>
      <c r="C218" s="10" t="str">
        <f t="shared" ca="1" si="7"/>
        <v>0PremiumS4</v>
      </c>
      <c r="D218" s="6">
        <v>0</v>
      </c>
      <c r="E218" s="19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6">
        <v>1</v>
      </c>
      <c r="M218" s="43" t="str">
        <f ca="1">VLOOKUP(C218,gacha_114_base!A:B,2,FALSE)</f>
        <v>R4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8">D219&amp;E219&amp;L219</f>
        <v>02431</v>
      </c>
      <c r="B219" s="2">
        <v>122</v>
      </c>
      <c r="C219" s="10" t="str">
        <f t="shared" ca="1" si="7"/>
        <v>0PremiumS5</v>
      </c>
      <c r="D219" s="6">
        <v>0</v>
      </c>
      <c r="E219" s="19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6">
        <v>1</v>
      </c>
      <c r="M219" s="43" t="str">
        <f ca="1">VLOOKUP(C219,gacha_114_base!A:B,2,FALSE)</f>
        <v>R5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8"/>
        <v>02441</v>
      </c>
      <c r="B220" s="2">
        <v>122</v>
      </c>
      <c r="C220" s="10" t="str">
        <f t="shared" ca="1" si="7"/>
        <v>0PremiumS3</v>
      </c>
      <c r="D220" s="6">
        <v>0</v>
      </c>
      <c r="E220" s="19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6">
        <v>1</v>
      </c>
      <c r="M220" s="43" t="str">
        <f ca="1">VLOOKUP(C220,gacha_114_base!A:B,2,FALSE)</f>
        <v>R3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8"/>
        <v>02451</v>
      </c>
      <c r="B221" s="2">
        <v>122</v>
      </c>
      <c r="C221" s="10" t="str">
        <f t="shared" ca="1" si="7"/>
        <v>0PremiumS4</v>
      </c>
      <c r="D221" s="6">
        <v>0</v>
      </c>
      <c r="E221" s="19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6">
        <v>1</v>
      </c>
      <c r="M221" s="43" t="str">
        <f ca="1">VLOOKUP(C221,gacha_114_base!A:B,2,FALSE)</f>
        <v>R4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8"/>
        <v>02461</v>
      </c>
      <c r="B222" s="2">
        <v>122</v>
      </c>
      <c r="C222" s="10" t="str">
        <f t="shared" ca="1" si="7"/>
        <v>0PremiumS5</v>
      </c>
      <c r="D222" s="6">
        <v>0</v>
      </c>
      <c r="E222" s="19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6">
        <v>1</v>
      </c>
      <c r="M222" s="43" t="str">
        <f ca="1">VLOOKUP(C222,gacha_114_base!A:B,2,FALSE)</f>
        <v>R5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8"/>
        <v>02471</v>
      </c>
      <c r="B223" s="2">
        <v>122</v>
      </c>
      <c r="C223" s="10" t="str">
        <f t="shared" ca="1" si="7"/>
        <v>0PremiumS3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43" t="str">
        <f ca="1">VLOOKUP(C223,gacha_114_base!A:B,2,FALSE)</f>
        <v>R3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8"/>
        <v>02481</v>
      </c>
      <c r="B224" s="2">
        <v>122</v>
      </c>
      <c r="C224" s="10" t="str">
        <f t="shared" ca="1" si="7"/>
        <v>0PremiumS4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43" t="str">
        <f ca="1">VLOOKUP(C224,gacha_114_base!A:B,2,FALSE)</f>
        <v>R4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8"/>
        <v>02491</v>
      </c>
      <c r="B225" s="2">
        <v>122</v>
      </c>
      <c r="C225" s="10" t="str">
        <f t="shared" ca="1" si="7"/>
        <v>0PremiumS5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43" t="str">
        <f ca="1">VLOOKUP(C225,gacha_114_base!A:B,2,FALSE)</f>
        <v>R5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8"/>
        <v>02501</v>
      </c>
      <c r="B226" s="2">
        <v>122</v>
      </c>
      <c r="C226" s="10" t="str">
        <f t="shared" ca="1" si="7"/>
        <v>0PremiumS3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43" t="str">
        <f ca="1">VLOOKUP(C226,gacha_114_base!A:B,2,FALSE)</f>
        <v>R3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8"/>
        <v>02511</v>
      </c>
      <c r="B227" s="2">
        <v>122</v>
      </c>
      <c r="C227" s="10" t="str">
        <f t="shared" ca="1" si="7"/>
        <v>0PremiumS4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43" t="str">
        <f ca="1">VLOOKUP(C227,gacha_114_base!A:B,2,FALSE)</f>
        <v>R4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8"/>
        <v>02521</v>
      </c>
      <c r="B228" s="2">
        <v>122</v>
      </c>
      <c r="C228" s="10" t="str">
        <f t="shared" ca="1" si="7"/>
        <v>0PremiumS5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43" t="str">
        <f ca="1">VLOOKUP(C228,gacha_114_base!A:B,2,FALSE)</f>
        <v>R5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8"/>
        <v>02531</v>
      </c>
      <c r="B229" s="2">
        <v>122</v>
      </c>
      <c r="C229" s="10" t="str">
        <f t="shared" ca="1" si="7"/>
        <v>0PremiumS3</v>
      </c>
      <c r="D229" s="6">
        <v>0</v>
      </c>
      <c r="E229" s="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6">
        <v>1</v>
      </c>
      <c r="M229" s="43" t="str">
        <f ca="1">VLOOKUP(C229,gacha_114_base!A:B,2,FALSE)</f>
        <v>R3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8"/>
        <v>02541</v>
      </c>
      <c r="B230" s="2">
        <v>122</v>
      </c>
      <c r="C230" s="10" t="str">
        <f t="shared" ca="1" si="7"/>
        <v>0PremiumS4</v>
      </c>
      <c r="D230" s="6">
        <v>0</v>
      </c>
      <c r="E230" s="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6">
        <v>1</v>
      </c>
      <c r="M230" s="43" t="str">
        <f ca="1">VLOOKUP(C230,gacha_114_base!A:B,2,FALSE)</f>
        <v>R4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8"/>
        <v>02551</v>
      </c>
      <c r="B231" s="2">
        <v>122</v>
      </c>
      <c r="C231" s="10" t="str">
        <f t="shared" ca="1" si="7"/>
        <v>0PremiumS5</v>
      </c>
      <c r="D231" s="6">
        <v>0</v>
      </c>
      <c r="E231" s="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6">
        <v>1</v>
      </c>
      <c r="M231" s="43" t="str">
        <f ca="1">VLOOKUP(C231,gacha_114_base!A:B,2,FALSE)</f>
        <v>R5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8"/>
        <v>02561</v>
      </c>
      <c r="B232" s="2">
        <v>122</v>
      </c>
      <c r="C232" s="10" t="str">
        <f t="shared" ca="1" si="7"/>
        <v>0PremiumS3</v>
      </c>
      <c r="D232" s="6">
        <v>0</v>
      </c>
      <c r="E232" s="7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6">
        <v>1</v>
      </c>
      <c r="M232" s="43" t="str">
        <f ca="1">VLOOKUP(C232,gacha_114_base!A:B,2,FALSE)</f>
        <v>R3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8"/>
        <v>02571</v>
      </c>
      <c r="B233" s="2">
        <v>122</v>
      </c>
      <c r="C233" s="10" t="str">
        <f t="shared" ca="1" si="7"/>
        <v>0PremiumS4</v>
      </c>
      <c r="D233" s="6">
        <v>0</v>
      </c>
      <c r="E233" s="7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6">
        <v>1</v>
      </c>
      <c r="M233" s="43" t="str">
        <f ca="1">VLOOKUP(C233,gacha_114_base!A:B,2,FALSE)</f>
        <v>R4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8"/>
        <v>02581</v>
      </c>
      <c r="B234" s="2">
        <v>122</v>
      </c>
      <c r="C234" s="10" t="str">
        <f t="shared" ca="1" si="7"/>
        <v>0PremiumS5</v>
      </c>
      <c r="D234" s="6">
        <v>0</v>
      </c>
      <c r="E234" s="7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6">
        <v>1</v>
      </c>
      <c r="M234" s="43" t="str">
        <f ca="1">VLOOKUP(C234,gacha_114_base!A:B,2,FALSE)</f>
        <v>R5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8"/>
        <v>02591</v>
      </c>
      <c r="B235" s="2">
        <v>122</v>
      </c>
      <c r="C235" s="10" t="str">
        <f t="shared" ca="1" si="7"/>
        <v>0PremiumS3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43" t="str">
        <f ca="1">VLOOKUP(C235,gacha_114_base!A:B,2,FALSE)</f>
        <v>R3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8"/>
        <v>02601</v>
      </c>
      <c r="B236" s="2">
        <v>122</v>
      </c>
      <c r="C236" s="10" t="str">
        <f t="shared" ca="1" si="7"/>
        <v>0PremiumS4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43" t="str">
        <f ca="1">VLOOKUP(C236,gacha_114_base!A:B,2,FALSE)</f>
        <v>R4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8"/>
        <v>02611</v>
      </c>
      <c r="B237" s="2">
        <v>122</v>
      </c>
      <c r="C237" s="10" t="str">
        <f t="shared" ca="1" si="7"/>
        <v>0PremiumS5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43" t="str">
        <f ca="1">VLOOKUP(C237,gacha_114_base!A:B,2,FALSE)</f>
        <v>R5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8"/>
        <v>03201</v>
      </c>
      <c r="B238" s="2">
        <v>122</v>
      </c>
      <c r="C238" s="10" t="str">
        <f t="shared" ca="1" si="7"/>
        <v>0PremiumSS4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43" t="str">
        <f ca="1">VLOOKUP(C238,gacha_114_base!A:B,2,FALSE)</f>
        <v>R4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8"/>
        <v>03211</v>
      </c>
      <c r="B239" s="2">
        <v>122</v>
      </c>
      <c r="C239" s="10" t="str">
        <f t="shared" ca="1" si="7"/>
        <v>0PremiumSS5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43" t="str">
        <f ca="1">VLOOKUP(C239,gacha_114_base!A:B,2,FALSE)</f>
        <v>R5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8"/>
        <v>03221</v>
      </c>
      <c r="B240" s="2">
        <v>122</v>
      </c>
      <c r="C240" s="10" t="str">
        <f t="shared" ca="1" si="7"/>
        <v>0PremiumSS4</v>
      </c>
      <c r="D240" s="21">
        <v>0</v>
      </c>
      <c r="E240" s="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6">
        <v>1</v>
      </c>
      <c r="M240" s="43" t="str">
        <f ca="1">VLOOKUP(C240,gacha_114_base!A:B,2,FALSE)</f>
        <v>R4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8"/>
        <v>03231</v>
      </c>
      <c r="B241" s="2">
        <v>122</v>
      </c>
      <c r="C241" s="10" t="str">
        <f t="shared" ca="1" si="7"/>
        <v>0PremiumSS5</v>
      </c>
      <c r="D241" s="21">
        <v>0</v>
      </c>
      <c r="E241" s="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6">
        <v>1</v>
      </c>
      <c r="M241" s="43" t="str">
        <f ca="1">VLOOKUP(C241,gacha_114_base!A:B,2,FALSE)</f>
        <v>R5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8"/>
        <v>03241</v>
      </c>
      <c r="B242" s="2">
        <v>122</v>
      </c>
      <c r="C242" s="10" t="str">
        <f t="shared" ca="1" si="7"/>
        <v>0PremiumSS4</v>
      </c>
      <c r="D242" s="21">
        <v>0</v>
      </c>
      <c r="E242" s="7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6">
        <v>1</v>
      </c>
      <c r="M242" s="43" t="str">
        <f ca="1">VLOOKUP(C242,gacha_114_base!A:B,2,FALSE)</f>
        <v>R4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8"/>
        <v>03251</v>
      </c>
      <c r="B243" s="2">
        <v>122</v>
      </c>
      <c r="C243" s="10" t="str">
        <f t="shared" ca="1" si="7"/>
        <v>0PremiumSS5</v>
      </c>
      <c r="D243" s="21">
        <v>0</v>
      </c>
      <c r="E243" s="7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6">
        <v>1</v>
      </c>
      <c r="M243" s="43" t="str">
        <f ca="1">VLOOKUP(C243,gacha_114_base!A:B,2,FALSE)</f>
        <v>R5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8"/>
        <v>03261</v>
      </c>
      <c r="B244" s="2">
        <v>122</v>
      </c>
      <c r="C244" s="10" t="str">
        <f t="shared" ca="1" si="7"/>
        <v>0PremiumSS4</v>
      </c>
      <c r="D244" s="21">
        <v>0</v>
      </c>
      <c r="E244" s="35">
        <v>326</v>
      </c>
      <c r="F244" s="36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6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6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6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6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6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4">
        <v>1</v>
      </c>
      <c r="M244" s="43" t="str">
        <f ca="1">VLOOKUP(C244,gacha_114_base!A:B,2,FALSE)</f>
        <v>R4</v>
      </c>
      <c r="N244" s="37">
        <v>0</v>
      </c>
      <c r="O244" s="37">
        <v>0</v>
      </c>
      <c r="P244" s="37">
        <v>0</v>
      </c>
      <c r="Q244" s="37">
        <v>0</v>
      </c>
      <c r="R244" s="37">
        <v>1</v>
      </c>
    </row>
    <row r="245" spans="1:18" ht="21" customHeight="1" thickBot="1">
      <c r="A245" s="22" t="str">
        <f t="shared" si="8"/>
        <v>03271</v>
      </c>
      <c r="B245" s="2">
        <v>122</v>
      </c>
      <c r="C245" s="10" t="str">
        <f t="shared" ca="1" si="7"/>
        <v>0PremiumSS5</v>
      </c>
      <c r="D245" s="41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43" t="str">
        <f ca="1">VLOOKUP(C245,gacha_114_base!A:B,2,FALSE)</f>
        <v>R5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8"/>
        <v>03801</v>
      </c>
      <c r="B246" s="2">
        <v>122</v>
      </c>
      <c r="C246" s="10" t="str">
        <f ca="1">D246&amp;G246&amp;H246&amp;"new"</f>
        <v>0PremiumS3new</v>
      </c>
      <c r="D246" s="41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43" t="e">
        <f ca="1">VLOOKUP(C246,gacha_114_base!A:B,2,FALSE)</f>
        <v>#N/A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8"/>
        <v>03811</v>
      </c>
      <c r="B247" s="2">
        <v>122</v>
      </c>
      <c r="C247" s="10" t="str">
        <f t="shared" ref="C247:C255" ca="1" si="9">D247&amp;G247&amp;H247&amp;"new"</f>
        <v>0PremiumS4new</v>
      </c>
      <c r="D247" s="41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43" t="e">
        <f ca="1">VLOOKUP(C247,gacha_114_base!A:B,2,FALSE)</f>
        <v>#N/A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8"/>
        <v>03821</v>
      </c>
      <c r="B248" s="2">
        <v>122</v>
      </c>
      <c r="C248" s="10" t="str">
        <f t="shared" ca="1" si="9"/>
        <v>0PremiumS5new</v>
      </c>
      <c r="D248" s="41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43" t="e">
        <f ca="1">VLOOKUP(C248,gacha_114_base!A:B,2,FALSE)</f>
        <v>#N/A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8"/>
        <v>03831</v>
      </c>
      <c r="B249" s="2">
        <v>122</v>
      </c>
      <c r="C249" s="10" t="str">
        <f t="shared" ca="1" si="9"/>
        <v>0PremiumSS4new</v>
      </c>
      <c r="D249" s="41">
        <v>0</v>
      </c>
      <c r="E249" s="27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6">
        <v>1</v>
      </c>
      <c r="M249" s="43" t="e">
        <f ca="1">VLOOKUP(C249,gacha_114_base!A:B,2,FALSE)</f>
        <v>#N/A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8"/>
        <v>03841</v>
      </c>
      <c r="B250" s="2">
        <v>122</v>
      </c>
      <c r="C250" s="10" t="str">
        <f t="shared" ca="1" si="9"/>
        <v>0PremiumSS5new</v>
      </c>
      <c r="D250" s="41">
        <v>0</v>
      </c>
      <c r="E250" s="27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6">
        <v>1</v>
      </c>
      <c r="M250" s="43" t="e">
        <f ca="1">VLOOKUP(C250,gacha_114_base!A:B,2,FALSE)</f>
        <v>#N/A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8"/>
        <v>03851</v>
      </c>
      <c r="B251" s="2">
        <v>122</v>
      </c>
      <c r="C251" s="10" t="str">
        <f t="shared" ca="1" si="9"/>
        <v>0PremiumSS4new</v>
      </c>
      <c r="D251" s="41">
        <v>0</v>
      </c>
      <c r="E251" s="27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6">
        <v>1</v>
      </c>
      <c r="M251" s="43" t="e">
        <f ca="1">VLOOKUP(C251,gacha_114_base!A:B,2,FALSE)</f>
        <v>#N/A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8"/>
        <v>03861</v>
      </c>
      <c r="B252" s="2">
        <v>122</v>
      </c>
      <c r="C252" s="10" t="str">
        <f t="shared" ca="1" si="9"/>
        <v>0PremiumSS5new</v>
      </c>
      <c r="D252" s="41">
        <v>0</v>
      </c>
      <c r="E252" s="33">
        <v>386</v>
      </c>
      <c r="F252" s="36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6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6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6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6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6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34">
        <v>1</v>
      </c>
      <c r="M252" s="43" t="e">
        <f ca="1">VLOOKUP(C252,gacha_114_base!A:B,2,FALSE)</f>
        <v>#N/A</v>
      </c>
      <c r="N252" s="37">
        <v>0</v>
      </c>
      <c r="O252" s="37">
        <v>0</v>
      </c>
      <c r="P252" s="37">
        <v>0</v>
      </c>
      <c r="Q252" s="37">
        <v>0</v>
      </c>
      <c r="R252" s="37">
        <v>1</v>
      </c>
    </row>
    <row r="253" spans="1:18" ht="21" customHeight="1" thickBot="1">
      <c r="A253" s="22" t="str">
        <f t="shared" si="8"/>
        <v>03871</v>
      </c>
      <c r="B253" s="2">
        <v>122</v>
      </c>
      <c r="C253" s="10" t="str">
        <f t="shared" ca="1" si="9"/>
        <v>0PremiumS3new</v>
      </c>
      <c r="D253" s="41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43" t="e">
        <f ca="1">VLOOKUP(C253,gacha_114_base!A:B,2,FALSE)</f>
        <v>#N/A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2" t="str">
        <f t="shared" si="8"/>
        <v>03881</v>
      </c>
      <c r="B254" s="2">
        <v>122</v>
      </c>
      <c r="C254" s="10" t="str">
        <f t="shared" ca="1" si="9"/>
        <v>0PremiumS4new</v>
      </c>
      <c r="D254" s="41">
        <v>0</v>
      </c>
      <c r="E254" s="35">
        <v>388</v>
      </c>
      <c r="F254" s="36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6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6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6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6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6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4">
        <v>1</v>
      </c>
      <c r="M254" s="43" t="e">
        <f ca="1">VLOOKUP(C254,gacha_114_base!A:B,2,FALSE)</f>
        <v>#N/A</v>
      </c>
      <c r="N254" s="37">
        <v>0</v>
      </c>
      <c r="O254" s="37">
        <v>0</v>
      </c>
      <c r="P254" s="37">
        <v>0</v>
      </c>
      <c r="Q254" s="37">
        <v>0</v>
      </c>
      <c r="R254" s="37">
        <v>1</v>
      </c>
    </row>
    <row r="255" spans="1:18" s="40" customFormat="1" ht="21" customHeight="1" thickBot="1">
      <c r="A255" s="39" t="str">
        <f t="shared" si="8"/>
        <v>03891</v>
      </c>
      <c r="B255" s="2">
        <v>122</v>
      </c>
      <c r="C255" s="10" t="str">
        <f t="shared" ca="1" si="9"/>
        <v>0PremiumS5new</v>
      </c>
      <c r="D255" s="41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43" t="e">
        <f ca="1">VLOOKUP(C255,gacha_114_base!A:B,2,FALSE)</f>
        <v>#N/A</v>
      </c>
      <c r="N255" s="31">
        <v>0</v>
      </c>
      <c r="O255" s="31">
        <v>0</v>
      </c>
      <c r="P255" s="31">
        <v>0</v>
      </c>
      <c r="Q255" s="31">
        <v>0</v>
      </c>
      <c r="R255" s="31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R255"/>
  <sheetViews>
    <sheetView showGridLines="0" workbookViewId="0">
      <pane ySplit="1" topLeftCell="A2" activePane="bottomLeft" state="frozen"/>
      <selection activeCell="M24" sqref="M24"/>
      <selection pane="bottomLeft" activeCell="M2" sqref="M2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123</v>
      </c>
      <c r="C2" s="10" t="str">
        <f ca="1">D2&amp;G2&amp;H2</f>
        <v>1PremiumW4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43" t="str">
        <f ca="1">VLOOKUP(C2,gacha_114_base!A:B,2,FALSE)</f>
        <v>R4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123</v>
      </c>
      <c r="C3" s="10" t="str">
        <f t="shared" ref="C3:C65" ca="1" si="1">D3&amp;G3&amp;H3</f>
        <v>1PremiumW4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43" t="str">
        <f ca="1">VLOOKUP(C3,gacha_114_base!A:B,2,FALSE)</f>
        <v>R4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123</v>
      </c>
      <c r="C4" s="10" t="str">
        <f t="shared" ca="1" si="1"/>
        <v>1PremiumW4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43" t="str">
        <f ca="1">VLOOKUP(C4,gacha_114_base!A:B,2,FALSE)</f>
        <v>R4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123</v>
      </c>
      <c r="C5" s="10" t="str">
        <f t="shared" ca="1" si="1"/>
        <v>1PremiumW4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43" t="str">
        <f ca="1">VLOOKUP(C5,gacha_114_base!A:B,2,FALSE)</f>
        <v>R4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123</v>
      </c>
      <c r="C6" s="10" t="str">
        <f t="shared" ca="1" si="1"/>
        <v>1PremiumW4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43" t="str">
        <f ca="1">VLOOKUP(C6,gacha_114_base!A:B,2,FALSE)</f>
        <v>R4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123</v>
      </c>
      <c r="C7" s="10" t="str">
        <f t="shared" ca="1" si="1"/>
        <v>1PremiumW4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43" t="str">
        <f ca="1">VLOOKUP(C7,gacha_114_base!A:B,2,FALSE)</f>
        <v>R4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123</v>
      </c>
      <c r="C8" s="10" t="str">
        <f t="shared" ca="1" si="1"/>
        <v>1PremiumW4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43" t="str">
        <f ca="1">VLOOKUP(C8,gacha_114_base!A:B,2,FALSE)</f>
        <v>R4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123</v>
      </c>
      <c r="C9" s="10" t="str">
        <f t="shared" ca="1" si="1"/>
        <v>1PremiumW4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43" t="str">
        <f ca="1">VLOOKUP(C9,gacha_114_base!A:B,2,FALSE)</f>
        <v>R4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123</v>
      </c>
      <c r="C10" s="10" t="str">
        <f t="shared" ca="1" si="1"/>
        <v>1PremiumW4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43" t="str">
        <f ca="1">VLOOKUP(C10,gacha_114_base!A:B,2,FALSE)</f>
        <v>R4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123</v>
      </c>
      <c r="C11" s="10" t="str">
        <f t="shared" ca="1" si="1"/>
        <v>1PremiumW4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43" t="str">
        <f ca="1">VLOOKUP(C11,gacha_114_base!A:B,2,FALSE)</f>
        <v>R4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123</v>
      </c>
      <c r="C12" s="10" t="str">
        <f t="shared" ca="1" si="1"/>
        <v>1PremiumW4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43" t="str">
        <f ca="1">VLOOKUP(C12,gacha_114_base!A:B,2,FALSE)</f>
        <v>R4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123</v>
      </c>
      <c r="C13" s="10" t="str">
        <f t="shared" ca="1" si="1"/>
        <v>1PremiumW4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43" t="str">
        <f ca="1">VLOOKUP(C13,gacha_114_base!A:B,2,FALSE)</f>
        <v>R4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123</v>
      </c>
      <c r="C14" s="10" t="str">
        <f t="shared" ca="1" si="1"/>
        <v>1PremiumW4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43" t="str">
        <f ca="1">VLOOKUP(C14,gacha_114_base!A:B,2,FALSE)</f>
        <v>R4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123</v>
      </c>
      <c r="C15" s="10" t="str">
        <f t="shared" ca="1" si="1"/>
        <v>1PremiumW4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43" t="str">
        <f ca="1">VLOOKUP(C15,gacha_114_base!A:B,2,FALSE)</f>
        <v>R4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123</v>
      </c>
      <c r="C16" s="10" t="str">
        <f t="shared" ca="1" si="1"/>
        <v>1PremiumW4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43" t="str">
        <f ca="1">VLOOKUP(C16,gacha_114_base!A:B,2,FALSE)</f>
        <v>R4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123</v>
      </c>
      <c r="C17" s="10" t="str">
        <f t="shared" ca="1" si="1"/>
        <v>1PremiumW4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43" t="str">
        <f ca="1">VLOOKUP(C17,gacha_114_base!A:B,2,FALSE)</f>
        <v>R4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123</v>
      </c>
      <c r="C18" s="10" t="str">
        <f t="shared" ca="1" si="1"/>
        <v>1PremiumW4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43" t="str">
        <f ca="1">VLOOKUP(C18,gacha_114_base!A:B,2,FALSE)</f>
        <v>R4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123</v>
      </c>
      <c r="C19" s="10" t="str">
        <f t="shared" ca="1" si="1"/>
        <v>1PremiumW4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43" t="str">
        <f ca="1">VLOOKUP(C19,gacha_114_base!A:B,2,FALSE)</f>
        <v>R4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123</v>
      </c>
      <c r="C20" s="10" t="str">
        <f ca="1">D20&amp;G20&amp;H20</f>
        <v>1PremiumW4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43" t="str">
        <f ca="1">VLOOKUP(C20,gacha_114_base!A:B,2,FALSE)</f>
        <v>R4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123</v>
      </c>
      <c r="C21" s="10" t="str">
        <f t="shared" ca="1" si="1"/>
        <v>1PremiumW4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43" t="str">
        <f ca="1">VLOOKUP(C21,gacha_114_base!A:B,2,FALSE)</f>
        <v>R4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123</v>
      </c>
      <c r="C22" s="10" t="str">
        <f t="shared" ca="1" si="1"/>
        <v>1PremiumN4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43" t="str">
        <f ca="1">VLOOKUP(C22,gacha_114_base!A:B,2,FALSE)</f>
        <v>R4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123</v>
      </c>
      <c r="C23" s="10" t="str">
        <f t="shared" ca="1" si="1"/>
        <v>1PremiumN4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43" t="str">
        <f ca="1">VLOOKUP(C23,gacha_114_base!A:B,2,FALSE)</f>
        <v>R4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123</v>
      </c>
      <c r="C24" s="10" t="str">
        <f t="shared" ca="1" si="1"/>
        <v>1PremiumN4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43" t="str">
        <f ca="1">VLOOKUP(C24,gacha_114_base!A:B,2,FALSE)</f>
        <v>R4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123</v>
      </c>
      <c r="C25" s="10" t="str">
        <f t="shared" ca="1" si="1"/>
        <v>1PremiumN4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43" t="str">
        <f ca="1">VLOOKUP(C25,gacha_114_base!A:B,2,FALSE)</f>
        <v>R4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123</v>
      </c>
      <c r="C26" s="10" t="str">
        <f t="shared" ca="1" si="1"/>
        <v>1PremiumN4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43" t="str">
        <f ca="1">VLOOKUP(C26,gacha_114_base!A:B,2,FALSE)</f>
        <v>R4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123</v>
      </c>
      <c r="C27" s="10" t="str">
        <f t="shared" ca="1" si="1"/>
        <v>1PremiumN4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43" t="str">
        <f ca="1">VLOOKUP(C27,gacha_114_base!A:B,2,FALSE)</f>
        <v>R4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123</v>
      </c>
      <c r="C28" s="10" t="str">
        <f t="shared" ca="1" si="1"/>
        <v>1PremiumN4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43" t="str">
        <f ca="1">VLOOKUP(C28,gacha_114_base!A:B,2,FALSE)</f>
        <v>R4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123</v>
      </c>
      <c r="C29" s="10" t="str">
        <f t="shared" ca="1" si="1"/>
        <v>1PremiumN4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43" t="str">
        <f ca="1">VLOOKUP(C29,gacha_114_base!A:B,2,FALSE)</f>
        <v>R4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123</v>
      </c>
      <c r="C30" s="10" t="str">
        <f t="shared" ca="1" si="1"/>
        <v>1PremiumN4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43" t="str">
        <f ca="1">VLOOKUP(C30,gacha_114_base!A:B,2,FALSE)</f>
        <v>R4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123</v>
      </c>
      <c r="C31" s="10" t="str">
        <f t="shared" ca="1" si="1"/>
        <v>1PremiumN4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43" t="str">
        <f ca="1">VLOOKUP(C31,gacha_114_base!A:B,2,FALSE)</f>
        <v>R4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123</v>
      </c>
      <c r="C32" s="10" t="str">
        <f t="shared" ca="1" si="1"/>
        <v>1PremiumN4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43" t="str">
        <f ca="1">VLOOKUP(C32,gacha_114_base!A:B,2,FALSE)</f>
        <v>R4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123</v>
      </c>
      <c r="C33" s="10" t="str">
        <f t="shared" ca="1" si="1"/>
        <v>1PremiumN4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43" t="str">
        <f ca="1">VLOOKUP(C33,gacha_114_base!A:B,2,FALSE)</f>
        <v>R4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123</v>
      </c>
      <c r="C34" s="10" t="str">
        <f t="shared" ca="1" si="1"/>
        <v>1PremiumN4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43" t="str">
        <f ca="1">VLOOKUP(C34,gacha_114_base!A:B,2,FALSE)</f>
        <v>R4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123</v>
      </c>
      <c r="C35" s="10" t="str">
        <f t="shared" ca="1" si="1"/>
        <v>1PremiumN4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43" t="str">
        <f ca="1">VLOOKUP(C35,gacha_114_base!A:B,2,FALSE)</f>
        <v>R4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123</v>
      </c>
      <c r="C36" s="10" t="str">
        <f t="shared" ca="1" si="1"/>
        <v>1PremiumN4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43" t="str">
        <f ca="1">VLOOKUP(C36,gacha_114_base!A:B,2,FALSE)</f>
        <v>R4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123</v>
      </c>
      <c r="C37" s="10" t="str">
        <f t="shared" ca="1" si="1"/>
        <v>1PremiumN4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43" t="str">
        <f ca="1">VLOOKUP(C37,gacha_114_base!A:B,2,FALSE)</f>
        <v>R4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123</v>
      </c>
      <c r="C38" s="10" t="str">
        <f t="shared" ca="1" si="1"/>
        <v>1PremiumN4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43" t="str">
        <f ca="1">VLOOKUP(C38,gacha_114_base!A:B,2,FALSE)</f>
        <v>R4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123</v>
      </c>
      <c r="C39" s="10" t="str">
        <f t="shared" ca="1" si="1"/>
        <v>1PremiumN4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43" t="str">
        <f ca="1">VLOOKUP(C39,gacha_114_base!A:B,2,FALSE)</f>
        <v>R4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123</v>
      </c>
      <c r="C40" s="10" t="str">
        <f t="shared" ca="1" si="1"/>
        <v>1PremiumN4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43" t="str">
        <f ca="1">VLOOKUP(C40,gacha_114_base!A:B,2,FALSE)</f>
        <v>R4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123</v>
      </c>
      <c r="C41" s="10" t="str">
        <f t="shared" ca="1" si="1"/>
        <v>1PremiumN4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43" t="str">
        <f ca="1">VLOOKUP(C41,gacha_114_base!A:B,2,FALSE)</f>
        <v>R4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123</v>
      </c>
      <c r="C42" s="10" t="str">
        <f t="shared" ca="1" si="1"/>
        <v>1PremiumS4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43" t="str">
        <f ca="1">VLOOKUP(C42,gacha_114_base!A:B,2,FALSE)</f>
        <v>R4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123</v>
      </c>
      <c r="C43" s="10" t="str">
        <f t="shared" ca="1" si="1"/>
        <v>1PremiumS4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43" t="str">
        <f ca="1">VLOOKUP(C43,gacha_114_base!A:B,2,FALSE)</f>
        <v>R4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123</v>
      </c>
      <c r="C44" s="10" t="str">
        <f t="shared" ca="1" si="1"/>
        <v>1PremiumS4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43" t="str">
        <f ca="1">VLOOKUP(C44,gacha_114_base!A:B,2,FALSE)</f>
        <v>R4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123</v>
      </c>
      <c r="C45" s="10" t="str">
        <f t="shared" ca="1" si="1"/>
        <v>1PremiumS4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43" t="str">
        <f ca="1">VLOOKUP(C45,gacha_114_base!A:B,2,FALSE)</f>
        <v>R4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123</v>
      </c>
      <c r="C46" s="10" t="str">
        <f t="shared" ca="1" si="1"/>
        <v>1PremiumN5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43" t="str">
        <f ca="1">VLOOKUP(C46,gacha_114_base!A:B,2,FALSE)</f>
        <v>R5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123</v>
      </c>
      <c r="C47" s="10" t="str">
        <f t="shared" ca="1" si="1"/>
        <v>1PremiumN5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43" t="str">
        <f ca="1">VLOOKUP(C47,gacha_114_base!A:B,2,FALSE)</f>
        <v>R5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123</v>
      </c>
      <c r="C48" s="10" t="str">
        <f t="shared" ca="1" si="1"/>
        <v>1PremiumN5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43" t="str">
        <f ca="1">VLOOKUP(C48,gacha_114_base!A:B,2,FALSE)</f>
        <v>R5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123</v>
      </c>
      <c r="C49" s="10" t="str">
        <f t="shared" ca="1" si="1"/>
        <v>1PremiumN5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43" t="str">
        <f ca="1">VLOOKUP(C49,gacha_114_base!A:B,2,FALSE)</f>
        <v>R5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123</v>
      </c>
      <c r="C50" s="10" t="str">
        <f t="shared" ca="1" si="1"/>
        <v>1PremiumN5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43" t="str">
        <f ca="1">VLOOKUP(C50,gacha_114_base!A:B,2,FALSE)</f>
        <v>R5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123</v>
      </c>
      <c r="C51" s="10" t="str">
        <f t="shared" ca="1" si="1"/>
        <v>1PremiumN5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43" t="str">
        <f ca="1">VLOOKUP(C51,gacha_114_base!A:B,2,FALSE)</f>
        <v>R5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123</v>
      </c>
      <c r="C52" s="10" t="str">
        <f t="shared" ca="1" si="1"/>
        <v>1PremiumN5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43" t="str">
        <f ca="1">VLOOKUP(C52,gacha_114_base!A:B,2,FALSE)</f>
        <v>R5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123</v>
      </c>
      <c r="C53" s="10" t="str">
        <f t="shared" ca="1" si="1"/>
        <v>1PremiumN5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43" t="str">
        <f ca="1">VLOOKUP(C53,gacha_114_base!A:B,2,FALSE)</f>
        <v>R5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123</v>
      </c>
      <c r="C54" s="10" t="str">
        <f t="shared" ca="1" si="1"/>
        <v>1PremiumN5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43" t="str">
        <f ca="1">VLOOKUP(C54,gacha_114_base!A:B,2,FALSE)</f>
        <v>R5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123</v>
      </c>
      <c r="C55" s="10" t="str">
        <f t="shared" ca="1" si="1"/>
        <v>1PremiumN5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43" t="str">
        <f ca="1">VLOOKUP(C55,gacha_114_base!A:B,2,FALSE)</f>
        <v>R5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123</v>
      </c>
      <c r="C56" s="10" t="str">
        <f t="shared" ca="1" si="1"/>
        <v>1PremiumN5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43" t="str">
        <f ca="1">VLOOKUP(C56,gacha_114_base!A:B,2,FALSE)</f>
        <v>R5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123</v>
      </c>
      <c r="C57" s="10" t="str">
        <f t="shared" ca="1" si="1"/>
        <v>1PremiumN5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43" t="str">
        <f ca="1">VLOOKUP(C57,gacha_114_base!A:B,2,FALSE)</f>
        <v>R5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123</v>
      </c>
      <c r="C58" s="10" t="str">
        <f t="shared" ca="1" si="1"/>
        <v>1PremiumN5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43" t="str">
        <f ca="1">VLOOKUP(C58,gacha_114_base!A:B,2,FALSE)</f>
        <v>R5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123</v>
      </c>
      <c r="C59" s="10" t="str">
        <f t="shared" ca="1" si="1"/>
        <v>1PremiumN5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43" t="str">
        <f ca="1">VLOOKUP(C59,gacha_114_base!A:B,2,FALSE)</f>
        <v>R5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123</v>
      </c>
      <c r="C60" s="10" t="str">
        <f t="shared" ca="1" si="1"/>
        <v>1PremiumN5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43" t="str">
        <f ca="1">VLOOKUP(C60,gacha_114_base!A:B,2,FALSE)</f>
        <v>R5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123</v>
      </c>
      <c r="C61" s="10" t="str">
        <f t="shared" ca="1" si="1"/>
        <v>1PremiumN5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43" t="str">
        <f ca="1">VLOOKUP(C61,gacha_114_base!A:B,2,FALSE)</f>
        <v>R5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123</v>
      </c>
      <c r="C62" s="10" t="str">
        <f t="shared" ca="1" si="1"/>
        <v>1PremiumN5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43" t="str">
        <f ca="1">VLOOKUP(C62,gacha_114_base!A:B,2,FALSE)</f>
        <v>R5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123</v>
      </c>
      <c r="C63" s="10" t="str">
        <f t="shared" ca="1" si="1"/>
        <v>1PremiumN5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43" t="str">
        <f ca="1">VLOOKUP(C63,gacha_114_base!A:B,2,FALSE)</f>
        <v>R5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123</v>
      </c>
      <c r="C64" s="10" t="str">
        <f t="shared" ca="1" si="1"/>
        <v>1PremiumN5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43" t="str">
        <f ca="1">VLOOKUP(C64,gacha_114_base!A:B,2,FALSE)</f>
        <v>R5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123</v>
      </c>
      <c r="C65" s="10" t="str">
        <f t="shared" ca="1" si="1"/>
        <v>1PremiumN5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43" t="str">
        <f ca="1">VLOOKUP(C65,gacha_114_base!A:B,2,FALSE)</f>
        <v>R5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2">D66&amp;E66&amp;L66</f>
        <v>12281</v>
      </c>
      <c r="B66" s="2">
        <v>123</v>
      </c>
      <c r="C66" s="10" t="str">
        <f ca="1">D66&amp;G66&amp;H66</f>
        <v>1PremiumS5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43" t="str">
        <f ca="1">VLOOKUP(C66,gacha_114_base!A:B,2,FALSE)</f>
        <v>R5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2"/>
        <v>12311</v>
      </c>
      <c r="B67" s="2">
        <v>123</v>
      </c>
      <c r="C67" s="10" t="str">
        <f t="shared" ref="C67:C130" ca="1" si="3">D67&amp;G67&amp;H67</f>
        <v>1PremiumS5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43" t="str">
        <f ca="1">VLOOKUP(C67,gacha_114_base!A:B,2,FALSE)</f>
        <v>R5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2"/>
        <v>12341</v>
      </c>
      <c r="B68" s="2">
        <v>123</v>
      </c>
      <c r="C68" s="10" t="str">
        <f t="shared" ca="1" si="3"/>
        <v>1PremiumS5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43" t="str">
        <f ca="1">VLOOKUP(C68,gacha_114_base!A:B,2,FALSE)</f>
        <v>R5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2"/>
        <v>12371</v>
      </c>
      <c r="B69" s="2">
        <v>123</v>
      </c>
      <c r="C69" s="10" t="str">
        <f t="shared" ca="1" si="3"/>
        <v>1PremiumS5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43" t="str">
        <f ca="1">VLOOKUP(C69,gacha_114_base!A:B,2,FALSE)</f>
        <v>R5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2"/>
        <v>12391</v>
      </c>
      <c r="B70" s="2">
        <v>123</v>
      </c>
      <c r="C70" s="10" t="str">
        <f t="shared" ca="1" si="3"/>
        <v>1PremiumS4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43" t="str">
        <f ca="1">VLOOKUP(C70,gacha_114_base!A:B,2,FALSE)</f>
        <v>R4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2"/>
        <v>12401</v>
      </c>
      <c r="B71" s="2">
        <v>123</v>
      </c>
      <c r="C71" s="10" t="str">
        <f t="shared" ca="1" si="3"/>
        <v>1PremiumS5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43" t="str">
        <f ca="1">VLOOKUP(C71,gacha_114_base!A:B,2,FALSE)</f>
        <v>R5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2"/>
        <v>12421</v>
      </c>
      <c r="B72" s="2">
        <v>123</v>
      </c>
      <c r="C72" s="10" t="str">
        <f t="shared" ca="1" si="3"/>
        <v>1PremiumS4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43" t="str">
        <f ca="1">VLOOKUP(C72,gacha_114_base!A:B,2,FALSE)</f>
        <v>R4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2"/>
        <v>12431</v>
      </c>
      <c r="B73" s="2">
        <v>123</v>
      </c>
      <c r="C73" s="10" t="str">
        <f t="shared" ca="1" si="3"/>
        <v>1PremiumS5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43" t="str">
        <f ca="1">VLOOKUP(C73,gacha_114_base!A:B,2,FALSE)</f>
        <v>R5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2"/>
        <v>12451</v>
      </c>
      <c r="B74" s="2">
        <v>123</v>
      </c>
      <c r="C74" s="10" t="str">
        <f t="shared" ca="1" si="3"/>
        <v>1PremiumS4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43" t="str">
        <f ca="1">VLOOKUP(C74,gacha_114_base!A:B,2,FALSE)</f>
        <v>R4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2"/>
        <v>12461</v>
      </c>
      <c r="B75" s="2">
        <v>123</v>
      </c>
      <c r="C75" s="10" t="str">
        <f t="shared" ca="1" si="3"/>
        <v>1PremiumS5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43" t="str">
        <f ca="1">VLOOKUP(C75,gacha_114_base!A:B,2,FALSE)</f>
        <v>R5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2"/>
        <v>12481</v>
      </c>
      <c r="B76" s="2">
        <v>123</v>
      </c>
      <c r="C76" s="10" t="str">
        <f t="shared" ca="1" si="3"/>
        <v>1PremiumS4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43" t="str">
        <f ca="1">VLOOKUP(C76,gacha_114_base!A:B,2,FALSE)</f>
        <v>R4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2"/>
        <v>12491</v>
      </c>
      <c r="B77" s="2">
        <v>123</v>
      </c>
      <c r="C77" s="10" t="str">
        <f t="shared" ca="1" si="3"/>
        <v>1PremiumS5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43" t="str">
        <f ca="1">VLOOKUP(C77,gacha_114_base!A:B,2,FALSE)</f>
        <v>R5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2"/>
        <v>12511</v>
      </c>
      <c r="B78" s="2">
        <v>123</v>
      </c>
      <c r="C78" s="10" t="str">
        <f t="shared" ca="1" si="3"/>
        <v>1PremiumS4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43" t="str">
        <f ca="1">VLOOKUP(C78,gacha_114_base!A:B,2,FALSE)</f>
        <v>R4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2"/>
        <v>12521</v>
      </c>
      <c r="B79" s="2">
        <v>123</v>
      </c>
      <c r="C79" s="10" t="str">
        <f t="shared" ca="1" si="3"/>
        <v>1PremiumS5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43" t="str">
        <f ca="1">VLOOKUP(C79,gacha_114_base!A:B,2,FALSE)</f>
        <v>R5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2"/>
        <v>12541</v>
      </c>
      <c r="B80" s="2">
        <v>123</v>
      </c>
      <c r="C80" s="10" t="str">
        <f t="shared" ca="1" si="3"/>
        <v>1PremiumS4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43" t="str">
        <f ca="1">VLOOKUP(C80,gacha_114_base!A:B,2,FALSE)</f>
        <v>R4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2"/>
        <v>12551</v>
      </c>
      <c r="B81" s="2">
        <v>123</v>
      </c>
      <c r="C81" s="10" t="str">
        <f t="shared" ca="1" si="3"/>
        <v>1PremiumS5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43" t="str">
        <f ca="1">VLOOKUP(C81,gacha_114_base!A:B,2,FALSE)</f>
        <v>R5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2"/>
        <v>12571</v>
      </c>
      <c r="B82" s="2">
        <v>123</v>
      </c>
      <c r="C82" s="10" t="str">
        <f t="shared" ca="1" si="3"/>
        <v>1PremiumS4</v>
      </c>
      <c r="D82" s="6">
        <v>1</v>
      </c>
      <c r="E82" s="7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43" t="str">
        <f ca="1">VLOOKUP(C82,gacha_114_base!A:B,2,FALSE)</f>
        <v>R4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2"/>
        <v>12581</v>
      </c>
      <c r="B83" s="2">
        <v>123</v>
      </c>
      <c r="C83" s="10" t="str">
        <f t="shared" ca="1" si="3"/>
        <v>1PremiumS5</v>
      </c>
      <c r="D83" s="6">
        <v>1</v>
      </c>
      <c r="E83" s="7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43" t="str">
        <f ca="1">VLOOKUP(C83,gacha_114_base!A:B,2,FALSE)</f>
        <v>R5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2"/>
        <v>12601</v>
      </c>
      <c r="B84" s="2">
        <v>123</v>
      </c>
      <c r="C84" s="10" t="str">
        <f t="shared" ca="1" si="3"/>
        <v>1PremiumS4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43" t="str">
        <f ca="1">VLOOKUP(C84,gacha_114_base!A:B,2,FALSE)</f>
        <v>R4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2"/>
        <v>12611</v>
      </c>
      <c r="B85" s="2">
        <v>123</v>
      </c>
      <c r="C85" s="10" t="str">
        <f t="shared" ca="1" si="3"/>
        <v>1PremiumS5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43" t="str">
        <f ca="1">VLOOKUP(C85,gacha_114_base!A:B,2,FALSE)</f>
        <v>R5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2"/>
        <v>13201</v>
      </c>
      <c r="B86" s="2">
        <v>123</v>
      </c>
      <c r="C86" s="10" t="str">
        <f t="shared" ca="1" si="3"/>
        <v>1PremiumSS4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43" t="str">
        <f ca="1">VLOOKUP(C86,gacha_114_base!A:B,2,FALSE)</f>
        <v>R4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2"/>
        <v>13211</v>
      </c>
      <c r="B87" s="2">
        <v>123</v>
      </c>
      <c r="C87" s="10" t="str">
        <f t="shared" ca="1" si="3"/>
        <v>1PremiumSS5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43" t="str">
        <f ca="1">VLOOKUP(C87,gacha_114_base!A:B,2,FALSE)</f>
        <v>R5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2"/>
        <v>13221</v>
      </c>
      <c r="B88" s="2">
        <v>123</v>
      </c>
      <c r="C88" s="10" t="str">
        <f t="shared" ca="1" si="3"/>
        <v>1PremiumSS4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43" t="str">
        <f ca="1">VLOOKUP(C88,gacha_114_base!A:B,2,FALSE)</f>
        <v>R4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2"/>
        <v>13231</v>
      </c>
      <c r="B89" s="2">
        <v>123</v>
      </c>
      <c r="C89" s="10" t="str">
        <f t="shared" ca="1" si="3"/>
        <v>1PremiumSS5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43" t="str">
        <f ca="1">VLOOKUP(C89,gacha_114_base!A:B,2,FALSE)</f>
        <v>R5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2"/>
        <v>13241</v>
      </c>
      <c r="B90" s="2">
        <v>123</v>
      </c>
      <c r="C90" s="10" t="str">
        <f t="shared" ca="1" si="3"/>
        <v>1PremiumSS4</v>
      </c>
      <c r="D90" s="6">
        <v>1</v>
      </c>
      <c r="E90" s="7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43" t="str">
        <f ca="1">VLOOKUP(C90,gacha_114_base!A:B,2,FALSE)</f>
        <v>R4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2"/>
        <v>13251</v>
      </c>
      <c r="B91" s="2">
        <v>123</v>
      </c>
      <c r="C91" s="10" t="str">
        <f t="shared" ca="1" si="3"/>
        <v>1PremiumSS5</v>
      </c>
      <c r="D91" s="6">
        <v>1</v>
      </c>
      <c r="E91" s="7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43" t="str">
        <f ca="1">VLOOKUP(C91,gacha_114_base!A:B,2,FALSE)</f>
        <v>R5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2"/>
        <v>13261</v>
      </c>
      <c r="B92" s="2">
        <v>123</v>
      </c>
      <c r="C92" s="10" t="str">
        <f t="shared" ca="1" si="3"/>
        <v>1PremiumSS4</v>
      </c>
      <c r="D92" s="34">
        <v>1</v>
      </c>
      <c r="E92" s="35">
        <v>326</v>
      </c>
      <c r="F92" s="36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6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6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6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6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6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4">
        <v>1</v>
      </c>
      <c r="M92" s="43" t="str">
        <f ca="1">VLOOKUP(C92,gacha_114_base!A:B,2,FALSE)</f>
        <v>R4</v>
      </c>
      <c r="N92" s="37">
        <v>0</v>
      </c>
      <c r="O92" s="37">
        <v>0</v>
      </c>
      <c r="P92" s="37">
        <v>0</v>
      </c>
      <c r="Q92" s="37">
        <v>0</v>
      </c>
      <c r="R92" s="37">
        <v>1</v>
      </c>
    </row>
    <row r="93" spans="1:18" ht="21" customHeight="1" thickBot="1">
      <c r="A93" s="22" t="str">
        <f t="shared" si="2"/>
        <v>13271</v>
      </c>
      <c r="B93" s="2">
        <v>123</v>
      </c>
      <c r="C93" s="10" t="str">
        <f t="shared" ca="1" si="3"/>
        <v>1PremiumSS5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43" t="str">
        <f ca="1">VLOOKUP(C93,gacha_114_base!A:B,2,FALSE)</f>
        <v>R5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2"/>
        <v>13811</v>
      </c>
      <c r="B94" s="2">
        <v>123</v>
      </c>
      <c r="C94" s="10" t="str">
        <f ca="1">D94&amp;G94&amp;H94&amp;"new"</f>
        <v>1PremiumS4new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43" t="e">
        <f ca="1">VLOOKUP(C94,gacha_114_base!A:B,2,FALSE)</f>
        <v>#N/A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2"/>
        <v>13821</v>
      </c>
      <c r="B95" s="2">
        <v>123</v>
      </c>
      <c r="C95" s="10" t="str">
        <f t="shared" ref="C95:C101" ca="1" si="4">D95&amp;G95&amp;H95&amp;"new"</f>
        <v>1PremiumS5new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43" t="e">
        <f ca="1">VLOOKUP(C95,gacha_114_base!A:B,2,FALSE)</f>
        <v>#N/A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2"/>
        <v>13831</v>
      </c>
      <c r="B96" s="2">
        <v>123</v>
      </c>
      <c r="C96" s="10" t="str">
        <f t="shared" ca="1" si="4"/>
        <v>1PremiumSS4new</v>
      </c>
      <c r="D96" s="6">
        <v>1</v>
      </c>
      <c r="E96" s="27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43" t="e">
        <f ca="1">VLOOKUP(C96,gacha_114_base!A:B,2,FALSE)</f>
        <v>#N/A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2"/>
        <v>13841</v>
      </c>
      <c r="B97" s="2">
        <v>123</v>
      </c>
      <c r="C97" s="10" t="str">
        <f t="shared" ca="1" si="4"/>
        <v>1PremiumSS5new</v>
      </c>
      <c r="D97" s="6">
        <v>1</v>
      </c>
      <c r="E97" s="27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6">
        <v>1</v>
      </c>
      <c r="M97" s="43" t="e">
        <f ca="1">VLOOKUP(C97,gacha_114_base!A:B,2,FALSE)</f>
        <v>#N/A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2"/>
        <v>13851</v>
      </c>
      <c r="B98" s="2">
        <v>123</v>
      </c>
      <c r="C98" s="10" t="str">
        <f t="shared" ca="1" si="4"/>
        <v>1PremiumSS4new</v>
      </c>
      <c r="D98" s="6">
        <v>1</v>
      </c>
      <c r="E98" s="27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6">
        <v>1</v>
      </c>
      <c r="M98" s="43" t="e">
        <f ca="1">VLOOKUP(C98,gacha_114_base!A:B,2,FALSE)</f>
        <v>#N/A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2"/>
        <v>13861</v>
      </c>
      <c r="B99" s="2">
        <v>123</v>
      </c>
      <c r="C99" s="10" t="str">
        <f t="shared" ca="1" si="4"/>
        <v>1PremiumSS5new</v>
      </c>
      <c r="D99" s="34">
        <v>1</v>
      </c>
      <c r="E99" s="33">
        <v>386</v>
      </c>
      <c r="F99" s="36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6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6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6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6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6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34">
        <v>1</v>
      </c>
      <c r="M99" s="43" t="e">
        <f ca="1">VLOOKUP(C99,gacha_114_base!A:B,2,FALSE)</f>
        <v>#N/A</v>
      </c>
      <c r="N99" s="37">
        <v>0</v>
      </c>
      <c r="O99" s="37">
        <v>0</v>
      </c>
      <c r="P99" s="37">
        <v>0</v>
      </c>
      <c r="Q99" s="37">
        <v>0</v>
      </c>
      <c r="R99" s="37">
        <v>1</v>
      </c>
    </row>
    <row r="100" spans="1:18" ht="21" customHeight="1">
      <c r="A100" s="32" t="str">
        <f t="shared" si="2"/>
        <v>13881</v>
      </c>
      <c r="B100" s="2">
        <v>123</v>
      </c>
      <c r="C100" s="10" t="str">
        <f t="shared" ca="1" si="4"/>
        <v>1PremiumS4new</v>
      </c>
      <c r="D100" s="34">
        <v>1</v>
      </c>
      <c r="E100" s="35">
        <v>388</v>
      </c>
      <c r="F100" s="36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6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6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6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6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6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4">
        <v>1</v>
      </c>
      <c r="M100" s="43" t="e">
        <f ca="1">VLOOKUP(C100,gacha_114_base!A:B,2,FALSE)</f>
        <v>#N/A</v>
      </c>
      <c r="N100" s="37">
        <v>0</v>
      </c>
      <c r="O100" s="37">
        <v>0</v>
      </c>
      <c r="P100" s="37">
        <v>0</v>
      </c>
      <c r="Q100" s="37">
        <v>0</v>
      </c>
      <c r="R100" s="37">
        <v>1</v>
      </c>
    </row>
    <row r="101" spans="1:18" s="40" customFormat="1" ht="21" customHeight="1" thickBot="1">
      <c r="A101" s="39" t="str">
        <f t="shared" si="2"/>
        <v>13891</v>
      </c>
      <c r="B101" s="2">
        <v>123</v>
      </c>
      <c r="C101" s="10" t="str">
        <f t="shared" ca="1" si="4"/>
        <v>1PremiumS5new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43" t="e">
        <f ca="1">VLOOKUP(C101,gacha_114_base!A:B,2,FALSE)</f>
        <v>#N/A</v>
      </c>
      <c r="N101" s="31">
        <v>0</v>
      </c>
      <c r="O101" s="31">
        <v>0</v>
      </c>
      <c r="P101" s="31">
        <v>0</v>
      </c>
      <c r="Q101" s="31">
        <v>0</v>
      </c>
      <c r="R101" s="31">
        <v>1</v>
      </c>
    </row>
    <row r="102" spans="1:18" ht="21" customHeight="1">
      <c r="A102" s="8" t="str">
        <f t="shared" si="2"/>
        <v>01261</v>
      </c>
      <c r="B102" s="2">
        <v>123</v>
      </c>
      <c r="C102" s="10" t="str">
        <f t="shared" ca="1" si="3"/>
        <v>0PremiumW3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43" t="str">
        <f ca="1">VLOOKUP(C102,gacha_114_base!A:B,2,FALSE)</f>
        <v>R3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2"/>
        <v>01281</v>
      </c>
      <c r="B103" s="2">
        <v>123</v>
      </c>
      <c r="C103" s="10" t="str">
        <f t="shared" ca="1" si="3"/>
        <v>0PremiumW3</v>
      </c>
      <c r="D103" s="21">
        <v>0</v>
      </c>
      <c r="E103" s="27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21">
        <v>1</v>
      </c>
      <c r="M103" s="43" t="str">
        <f ca="1">VLOOKUP(C103,gacha_114_base!A:B,2,FALSE)</f>
        <v>R3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2"/>
        <v>01301</v>
      </c>
      <c r="B104" s="2">
        <v>123</v>
      </c>
      <c r="C104" s="10" t="str">
        <f t="shared" ca="1" si="3"/>
        <v>0PremiumW3</v>
      </c>
      <c r="D104" s="6">
        <v>0</v>
      </c>
      <c r="E104" s="7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6">
        <v>1</v>
      </c>
      <c r="M104" s="43" t="str">
        <f ca="1">VLOOKUP(C104,gacha_114_base!A:B,2,FALSE)</f>
        <v>R3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2"/>
        <v>01321</v>
      </c>
      <c r="B105" s="2">
        <v>123</v>
      </c>
      <c r="C105" s="10" t="str">
        <f t="shared" ca="1" si="3"/>
        <v>0PremiumW3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43" t="str">
        <f ca="1">VLOOKUP(C105,gacha_114_base!A:B,2,FALSE)</f>
        <v>R3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2"/>
        <v>01341</v>
      </c>
      <c r="B106" s="2">
        <v>123</v>
      </c>
      <c r="C106" s="10" t="str">
        <f t="shared" ca="1" si="3"/>
        <v>0PremiumW3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43" t="str">
        <f ca="1">VLOOKUP(C106,gacha_114_base!A:B,2,FALSE)</f>
        <v>R3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2"/>
        <v>01361</v>
      </c>
      <c r="B107" s="2">
        <v>123</v>
      </c>
      <c r="C107" s="10" t="str">
        <f t="shared" ca="1" si="3"/>
        <v>0PremiumW3</v>
      </c>
      <c r="D107" s="6">
        <v>0</v>
      </c>
      <c r="E107" s="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43" t="str">
        <f ca="1">VLOOKUP(C107,gacha_114_base!A:B,2,FALSE)</f>
        <v>R3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2"/>
        <v>01381</v>
      </c>
      <c r="B108" s="2">
        <v>123</v>
      </c>
      <c r="C108" s="10" t="str">
        <f t="shared" ca="1" si="3"/>
        <v>0PremiumW3</v>
      </c>
      <c r="D108" s="6">
        <v>0</v>
      </c>
      <c r="E108" s="7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43" t="str">
        <f ca="1">VLOOKUP(C108,gacha_114_base!A:B,2,FALSE)</f>
        <v>R3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2"/>
        <v>01401</v>
      </c>
      <c r="B109" s="2">
        <v>123</v>
      </c>
      <c r="C109" s="10" t="str">
        <f t="shared" ca="1" si="3"/>
        <v>0PremiumW3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43" t="str">
        <f ca="1">VLOOKUP(C109,gacha_114_base!A:B,2,FALSE)</f>
        <v>R3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2"/>
        <v>01421</v>
      </c>
      <c r="B110" s="2">
        <v>123</v>
      </c>
      <c r="C110" s="10" t="str">
        <f t="shared" ca="1" si="3"/>
        <v>0PremiumW3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43" t="str">
        <f ca="1">VLOOKUP(C110,gacha_114_base!A:B,2,FALSE)</f>
        <v>R3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2"/>
        <v>01441</v>
      </c>
      <c r="B111" s="2">
        <v>123</v>
      </c>
      <c r="C111" s="10" t="str">
        <f t="shared" ca="1" si="3"/>
        <v>0PremiumW3</v>
      </c>
      <c r="D111" s="6">
        <v>0</v>
      </c>
      <c r="E111" s="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43" t="str">
        <f ca="1">VLOOKUP(C111,gacha_114_base!A:B,2,FALSE)</f>
        <v>R3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2"/>
        <v>01461</v>
      </c>
      <c r="B112" s="2">
        <v>123</v>
      </c>
      <c r="C112" s="10" t="str">
        <f t="shared" ca="1" si="3"/>
        <v>0PremiumW3</v>
      </c>
      <c r="D112" s="6">
        <v>0</v>
      </c>
      <c r="E112" s="7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43" t="str">
        <f ca="1">VLOOKUP(C112,gacha_114_base!A:B,2,FALSE)</f>
        <v>R3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2"/>
        <v>01481</v>
      </c>
      <c r="B113" s="2">
        <v>123</v>
      </c>
      <c r="C113" s="10" t="str">
        <f t="shared" ca="1" si="3"/>
        <v>0PremiumW3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43" t="str">
        <f ca="1">VLOOKUP(C113,gacha_114_base!A:B,2,FALSE)</f>
        <v>R3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2"/>
        <v>01501</v>
      </c>
      <c r="B114" s="2">
        <v>123</v>
      </c>
      <c r="C114" s="10" t="str">
        <f t="shared" ca="1" si="3"/>
        <v>0PremiumW3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43" t="str">
        <f ca="1">VLOOKUP(C114,gacha_114_base!A:B,2,FALSE)</f>
        <v>R3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2"/>
        <v>01521</v>
      </c>
      <c r="B115" s="2">
        <v>123</v>
      </c>
      <c r="C115" s="10" t="str">
        <f t="shared" ca="1" si="3"/>
        <v>0PremiumW3</v>
      </c>
      <c r="D115" s="6">
        <v>0</v>
      </c>
      <c r="E115" s="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43" t="str">
        <f ca="1">VLOOKUP(C115,gacha_114_base!A:B,2,FALSE)</f>
        <v>R3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2"/>
        <v>01541</v>
      </c>
      <c r="B116" s="2">
        <v>123</v>
      </c>
      <c r="C116" s="10" t="str">
        <f t="shared" ca="1" si="3"/>
        <v>0PremiumW3</v>
      </c>
      <c r="D116" s="6">
        <v>0</v>
      </c>
      <c r="E116" s="7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43" t="str">
        <f ca="1">VLOOKUP(C116,gacha_114_base!A:B,2,FALSE)</f>
        <v>R3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2"/>
        <v>01561</v>
      </c>
      <c r="B117" s="2">
        <v>123</v>
      </c>
      <c r="C117" s="10" t="str">
        <f t="shared" ca="1" si="3"/>
        <v>0PremiumW3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43" t="str">
        <f ca="1">VLOOKUP(C117,gacha_114_base!A:B,2,FALSE)</f>
        <v>R3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2"/>
        <v>01581</v>
      </c>
      <c r="B118" s="2">
        <v>123</v>
      </c>
      <c r="C118" s="10" t="str">
        <f t="shared" ca="1" si="3"/>
        <v>0PremiumW3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43" t="str">
        <f ca="1">VLOOKUP(C118,gacha_114_base!A:B,2,FALSE)</f>
        <v>R3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2"/>
        <v>01601</v>
      </c>
      <c r="B119" s="2">
        <v>123</v>
      </c>
      <c r="C119" s="10" t="str">
        <f t="shared" ca="1" si="3"/>
        <v>0PremiumW3</v>
      </c>
      <c r="D119" s="6">
        <v>0</v>
      </c>
      <c r="E119" s="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43" t="str">
        <f ca="1">VLOOKUP(C119,gacha_114_base!A:B,2,FALSE)</f>
        <v>R3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2"/>
        <v>01621</v>
      </c>
      <c r="B120" s="2">
        <v>123</v>
      </c>
      <c r="C120" s="10" t="str">
        <f t="shared" ca="1" si="3"/>
        <v>0PremiumW3</v>
      </c>
      <c r="D120" s="6">
        <v>0</v>
      </c>
      <c r="E120" s="7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6">
        <v>1</v>
      </c>
      <c r="M120" s="43" t="str">
        <f ca="1">VLOOKUP(C120,gacha_114_base!A:B,2,FALSE)</f>
        <v>R3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2"/>
        <v>01641</v>
      </c>
      <c r="B121" s="2">
        <v>123</v>
      </c>
      <c r="C121" s="10" t="str">
        <f t="shared" ca="1" si="3"/>
        <v>0PremiumW3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43" t="str">
        <f ca="1">VLOOKUP(C121,gacha_114_base!A:B,2,FALSE)</f>
        <v>R3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2"/>
        <v>01661</v>
      </c>
      <c r="B122" s="2">
        <v>123</v>
      </c>
      <c r="C122" s="10" t="str">
        <f t="shared" ca="1" si="3"/>
        <v>0PremiumN3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43" t="str">
        <f ca="1">VLOOKUP(C122,gacha_114_base!A:B,2,FALSE)</f>
        <v>R3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2"/>
        <v>01691</v>
      </c>
      <c r="B123" s="2">
        <v>123</v>
      </c>
      <c r="C123" s="10" t="str">
        <f t="shared" ca="1" si="3"/>
        <v>0PremiumN3</v>
      </c>
      <c r="D123" s="6">
        <v>0</v>
      </c>
      <c r="E123" s="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43" t="str">
        <f ca="1">VLOOKUP(C123,gacha_114_base!A:B,2,FALSE)</f>
        <v>R3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2"/>
        <v>01721</v>
      </c>
      <c r="B124" s="2">
        <v>123</v>
      </c>
      <c r="C124" s="10" t="str">
        <f t="shared" ca="1" si="3"/>
        <v>0PremiumN3</v>
      </c>
      <c r="D124" s="6">
        <v>0</v>
      </c>
      <c r="E124" s="7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6">
        <v>1</v>
      </c>
      <c r="M124" s="43" t="str">
        <f ca="1">VLOOKUP(C124,gacha_114_base!A:B,2,FALSE)</f>
        <v>R3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2"/>
        <v>01751</v>
      </c>
      <c r="B125" s="2">
        <v>123</v>
      </c>
      <c r="C125" s="10" t="str">
        <f t="shared" ca="1" si="3"/>
        <v>0PremiumN3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43" t="str">
        <f ca="1">VLOOKUP(C125,gacha_114_base!A:B,2,FALSE)</f>
        <v>R3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2"/>
        <v>01781</v>
      </c>
      <c r="B126" s="2">
        <v>123</v>
      </c>
      <c r="C126" s="10" t="str">
        <f t="shared" ca="1" si="3"/>
        <v>0PremiumN3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43" t="str">
        <f ca="1">VLOOKUP(C126,gacha_114_base!A:B,2,FALSE)</f>
        <v>R3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2"/>
        <v>01811</v>
      </c>
      <c r="B127" s="2">
        <v>123</v>
      </c>
      <c r="C127" s="10" t="str">
        <f t="shared" ca="1" si="3"/>
        <v>0PremiumN3</v>
      </c>
      <c r="D127" s="6">
        <v>0</v>
      </c>
      <c r="E127" s="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6">
        <v>1</v>
      </c>
      <c r="M127" s="43" t="str">
        <f ca="1">VLOOKUP(C127,gacha_114_base!A:B,2,FALSE)</f>
        <v>R3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2"/>
        <v>01841</v>
      </c>
      <c r="B128" s="2">
        <v>123</v>
      </c>
      <c r="C128" s="10" t="str">
        <f t="shared" ca="1" si="3"/>
        <v>0PremiumN3</v>
      </c>
      <c r="D128" s="6">
        <v>0</v>
      </c>
      <c r="E128" s="7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6">
        <v>1</v>
      </c>
      <c r="M128" s="43" t="str">
        <f ca="1">VLOOKUP(C128,gacha_114_base!A:B,2,FALSE)</f>
        <v>R3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2"/>
        <v>01871</v>
      </c>
      <c r="B129" s="2">
        <v>123</v>
      </c>
      <c r="C129" s="10" t="str">
        <f t="shared" ca="1" si="3"/>
        <v>0PremiumN3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43" t="str">
        <f ca="1">VLOOKUP(C129,gacha_114_base!A:B,2,FALSE)</f>
        <v>R3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2"/>
        <v>01901</v>
      </c>
      <c r="B130" s="2">
        <v>123</v>
      </c>
      <c r="C130" s="10" t="str">
        <f t="shared" ca="1" si="3"/>
        <v>0PremiumN3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43" t="str">
        <f ca="1">VLOOKUP(C130,gacha_114_base!A:B,2,FALSE)</f>
        <v>R3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2"/>
        <v>01931</v>
      </c>
      <c r="B131" s="2">
        <v>123</v>
      </c>
      <c r="C131" s="10" t="str">
        <f t="shared" ref="C131:C194" ca="1" si="5">D131&amp;G131&amp;H131</f>
        <v>0PremiumN3</v>
      </c>
      <c r="D131" s="6">
        <v>0</v>
      </c>
      <c r="E131" s="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6">
        <v>1</v>
      </c>
      <c r="M131" s="43" t="str">
        <f ca="1">VLOOKUP(C131,gacha_114_base!A:B,2,FALSE)</f>
        <v>R3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2"/>
        <v>01961</v>
      </c>
      <c r="B132" s="2">
        <v>123</v>
      </c>
      <c r="C132" s="10" t="str">
        <f t="shared" ca="1" si="5"/>
        <v>0PremiumN3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43" t="str">
        <f ca="1">VLOOKUP(C132,gacha_114_base!A:B,2,FALSE)</f>
        <v>R3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2"/>
        <v>01991</v>
      </c>
      <c r="B133" s="2">
        <v>123</v>
      </c>
      <c r="C133" s="10" t="str">
        <f t="shared" ca="1" si="5"/>
        <v>0PremiumN3</v>
      </c>
      <c r="D133" s="6">
        <v>0</v>
      </c>
      <c r="E133" s="7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43" t="str">
        <f ca="1">VLOOKUP(C133,gacha_114_base!A:B,2,FALSE)</f>
        <v>R3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2"/>
        <v>02021</v>
      </c>
      <c r="B134" s="2">
        <v>123</v>
      </c>
      <c r="C134" s="10" t="str">
        <f t="shared" ca="1" si="5"/>
        <v>0PremiumN3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43" t="str">
        <f ca="1">VLOOKUP(C134,gacha_114_base!A:B,2,FALSE)</f>
        <v>R3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2"/>
        <v>02051</v>
      </c>
      <c r="B135" s="2">
        <v>123</v>
      </c>
      <c r="C135" s="10" t="str">
        <f t="shared" ca="1" si="5"/>
        <v>0PremiumN3</v>
      </c>
      <c r="D135" s="6">
        <v>0</v>
      </c>
      <c r="E135" s="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6">
        <v>1</v>
      </c>
      <c r="M135" s="43" t="str">
        <f ca="1">VLOOKUP(C135,gacha_114_base!A:B,2,FALSE)</f>
        <v>R3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2"/>
        <v>02081</v>
      </c>
      <c r="B136" s="2">
        <v>123</v>
      </c>
      <c r="C136" s="10" t="str">
        <f t="shared" ca="1" si="5"/>
        <v>0PremiumN3</v>
      </c>
      <c r="D136" s="6">
        <v>0</v>
      </c>
      <c r="E136" s="7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43" t="str">
        <f ca="1">VLOOKUP(C136,gacha_114_base!A:B,2,FALSE)</f>
        <v>R3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2"/>
        <v>02111</v>
      </c>
      <c r="B137" s="2">
        <v>123</v>
      </c>
      <c r="C137" s="10" t="str">
        <f t="shared" ca="1" si="5"/>
        <v>0PremiumN3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43" t="str">
        <f ca="1">VLOOKUP(C137,gacha_114_base!A:B,2,FALSE)</f>
        <v>R3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2"/>
        <v>02141</v>
      </c>
      <c r="B138" s="2">
        <v>123</v>
      </c>
      <c r="C138" s="10" t="str">
        <f t="shared" ca="1" si="5"/>
        <v>0PremiumN3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43" t="str">
        <f ca="1">VLOOKUP(C138,gacha_114_base!A:B,2,FALSE)</f>
        <v>R3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02171</v>
      </c>
      <c r="B139" s="2">
        <v>123</v>
      </c>
      <c r="C139" s="10" t="str">
        <f t="shared" ca="1" si="5"/>
        <v>0PremiumN3</v>
      </c>
      <c r="D139" s="6">
        <v>0</v>
      </c>
      <c r="E139" s="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43" t="str">
        <f ca="1">VLOOKUP(C139,gacha_114_base!A:B,2,FALSE)</f>
        <v>R3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02201</v>
      </c>
      <c r="B140" s="2">
        <v>123</v>
      </c>
      <c r="C140" s="10" t="str">
        <f t="shared" ca="1" si="5"/>
        <v>0PremiumN3</v>
      </c>
      <c r="D140" s="6">
        <v>0</v>
      </c>
      <c r="E140" s="7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6">
        <v>1</v>
      </c>
      <c r="M140" s="43" t="str">
        <f ca="1">VLOOKUP(C140,gacha_114_base!A:B,2,FALSE)</f>
        <v>R3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02231</v>
      </c>
      <c r="B141" s="2">
        <v>123</v>
      </c>
      <c r="C141" s="10" t="str">
        <f t="shared" ca="1" si="5"/>
        <v>0PremiumN3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43" t="str">
        <f ca="1">VLOOKUP(C141,gacha_114_base!A:B,2,FALSE)</f>
        <v>R3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02261</v>
      </c>
      <c r="B142" s="2">
        <v>123</v>
      </c>
      <c r="C142" s="10" t="str">
        <f t="shared" ca="1" si="5"/>
        <v>0PremiumS3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43" t="str">
        <f ca="1">VLOOKUP(C142,gacha_114_base!A:B,2,FALSE)</f>
        <v>R3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02291</v>
      </c>
      <c r="B143" s="2">
        <v>123</v>
      </c>
      <c r="C143" s="10" t="str">
        <f t="shared" ca="1" si="5"/>
        <v>0PremiumS3</v>
      </c>
      <c r="D143" s="6">
        <v>0</v>
      </c>
      <c r="E143" s="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6">
        <v>1</v>
      </c>
      <c r="M143" s="43" t="str">
        <f ca="1">VLOOKUP(C143,gacha_114_base!A:B,2,FALSE)</f>
        <v>R3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2"/>
        <v>02321</v>
      </c>
      <c r="B144" s="2">
        <v>123</v>
      </c>
      <c r="C144" s="10" t="str">
        <f t="shared" ca="1" si="5"/>
        <v>0PremiumS3</v>
      </c>
      <c r="D144" s="6">
        <v>0</v>
      </c>
      <c r="E144" s="7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43" t="str">
        <f ca="1">VLOOKUP(C144,gacha_114_base!A:B,2,FALSE)</f>
        <v>R3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2"/>
        <v>02351</v>
      </c>
      <c r="B145" s="2">
        <v>123</v>
      </c>
      <c r="C145" s="10" t="str">
        <f t="shared" ca="1" si="5"/>
        <v>0PremiumS3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43" t="str">
        <f ca="1">VLOOKUP(C145,gacha_114_base!A:B,2,FALSE)</f>
        <v>R3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01271</v>
      </c>
      <c r="B146" s="2">
        <v>123</v>
      </c>
      <c r="C146" s="10" t="str">
        <f t="shared" ca="1" si="5"/>
        <v>0PremiumW4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43" t="str">
        <f ca="1">VLOOKUP(C146,gacha_114_base!A:B,2,FALSE)</f>
        <v>R4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01291</v>
      </c>
      <c r="B147" s="2">
        <v>123</v>
      </c>
      <c r="C147" s="10" t="str">
        <f t="shared" ca="1" si="5"/>
        <v>0PremiumW4</v>
      </c>
      <c r="D147" s="6">
        <v>0</v>
      </c>
      <c r="E147" s="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43" t="str">
        <f ca="1">VLOOKUP(C147,gacha_114_base!A:B,2,FALSE)</f>
        <v>R4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01311</v>
      </c>
      <c r="B148" s="2">
        <v>123</v>
      </c>
      <c r="C148" s="10" t="str">
        <f t="shared" ca="1" si="5"/>
        <v>0PremiumW4</v>
      </c>
      <c r="D148" s="6">
        <v>0</v>
      </c>
      <c r="E148" s="7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6">
        <v>1</v>
      </c>
      <c r="M148" s="43" t="str">
        <f ca="1">VLOOKUP(C148,gacha_114_base!A:B,2,FALSE)</f>
        <v>R4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01331</v>
      </c>
      <c r="B149" s="2">
        <v>123</v>
      </c>
      <c r="C149" s="10" t="str">
        <f t="shared" ca="1" si="5"/>
        <v>0PremiumW4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43" t="str">
        <f ca="1">VLOOKUP(C149,gacha_114_base!A:B,2,FALSE)</f>
        <v>R4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01351</v>
      </c>
      <c r="B150" s="2">
        <v>123</v>
      </c>
      <c r="C150" s="10" t="str">
        <f t="shared" ca="1" si="5"/>
        <v>0PremiumW4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43" t="str">
        <f ca="1">VLOOKUP(C150,gacha_114_base!A:B,2,FALSE)</f>
        <v>R4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01371</v>
      </c>
      <c r="B151" s="2">
        <v>123</v>
      </c>
      <c r="C151" s="10" t="str">
        <f t="shared" ca="1" si="5"/>
        <v>0PremiumW4</v>
      </c>
      <c r="D151" s="6">
        <v>0</v>
      </c>
      <c r="E151" s="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43" t="str">
        <f ca="1">VLOOKUP(C151,gacha_114_base!A:B,2,FALSE)</f>
        <v>R4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01391</v>
      </c>
      <c r="B152" s="2">
        <v>123</v>
      </c>
      <c r="C152" s="10" t="str">
        <f t="shared" ca="1" si="5"/>
        <v>0PremiumW4</v>
      </c>
      <c r="D152" s="6">
        <v>0</v>
      </c>
      <c r="E152" s="7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6">
        <v>1</v>
      </c>
      <c r="M152" s="43" t="str">
        <f ca="1">VLOOKUP(C152,gacha_114_base!A:B,2,FALSE)</f>
        <v>R4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01411</v>
      </c>
      <c r="B153" s="2">
        <v>123</v>
      </c>
      <c r="C153" s="10" t="str">
        <f t="shared" ca="1" si="5"/>
        <v>0PremiumW4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43" t="str">
        <f ca="1">VLOOKUP(C153,gacha_114_base!A:B,2,FALSE)</f>
        <v>R4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01431</v>
      </c>
      <c r="B154" s="2">
        <v>123</v>
      </c>
      <c r="C154" s="10" t="str">
        <f t="shared" ca="1" si="5"/>
        <v>0PremiumW4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43" t="str">
        <f ca="1">VLOOKUP(C154,gacha_114_base!A:B,2,FALSE)</f>
        <v>R4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6">D155&amp;E155&amp;L155</f>
        <v>01451</v>
      </c>
      <c r="B155" s="2">
        <v>123</v>
      </c>
      <c r="C155" s="10" t="str">
        <f t="shared" ca="1" si="5"/>
        <v>0PremiumW4</v>
      </c>
      <c r="D155" s="6">
        <v>0</v>
      </c>
      <c r="E155" s="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43" t="str">
        <f ca="1">VLOOKUP(C155,gacha_114_base!A:B,2,FALSE)</f>
        <v>R4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6"/>
        <v>01471</v>
      </c>
      <c r="B156" s="2">
        <v>123</v>
      </c>
      <c r="C156" s="10" t="str">
        <f t="shared" ca="1" si="5"/>
        <v>0PremiumW4</v>
      </c>
      <c r="D156" s="6">
        <v>0</v>
      </c>
      <c r="E156" s="7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6">
        <v>1</v>
      </c>
      <c r="M156" s="43" t="str">
        <f ca="1">VLOOKUP(C156,gacha_114_base!A:B,2,FALSE)</f>
        <v>R4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6"/>
        <v>01491</v>
      </c>
      <c r="B157" s="2">
        <v>123</v>
      </c>
      <c r="C157" s="10" t="str">
        <f t="shared" ca="1" si="5"/>
        <v>0PremiumW4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43" t="str">
        <f ca="1">VLOOKUP(C157,gacha_114_base!A:B,2,FALSE)</f>
        <v>R4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6"/>
        <v>01511</v>
      </c>
      <c r="B158" s="2">
        <v>123</v>
      </c>
      <c r="C158" s="10" t="str">
        <f t="shared" ca="1" si="5"/>
        <v>0PremiumW4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43" t="str">
        <f ca="1">VLOOKUP(C158,gacha_114_base!A:B,2,FALSE)</f>
        <v>R4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6"/>
        <v>01531</v>
      </c>
      <c r="B159" s="2">
        <v>123</v>
      </c>
      <c r="C159" s="10" t="str">
        <f t="shared" ca="1" si="5"/>
        <v>0PremiumW4</v>
      </c>
      <c r="D159" s="6">
        <v>0</v>
      </c>
      <c r="E159" s="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43" t="str">
        <f ca="1">VLOOKUP(C159,gacha_114_base!A:B,2,FALSE)</f>
        <v>R4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6"/>
        <v>01551</v>
      </c>
      <c r="B160" s="2">
        <v>123</v>
      </c>
      <c r="C160" s="10" t="str">
        <f t="shared" ca="1" si="5"/>
        <v>0PremiumW4</v>
      </c>
      <c r="D160" s="6">
        <v>0</v>
      </c>
      <c r="E160" s="7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6">
        <v>1</v>
      </c>
      <c r="M160" s="43" t="str">
        <f ca="1">VLOOKUP(C160,gacha_114_base!A:B,2,FALSE)</f>
        <v>R4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6"/>
        <v>01571</v>
      </c>
      <c r="B161" s="2">
        <v>123</v>
      </c>
      <c r="C161" s="10" t="str">
        <f t="shared" ca="1" si="5"/>
        <v>0PremiumW4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43" t="str">
        <f ca="1">VLOOKUP(C161,gacha_114_base!A:B,2,FALSE)</f>
        <v>R4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6"/>
        <v>01591</v>
      </c>
      <c r="B162" s="2">
        <v>123</v>
      </c>
      <c r="C162" s="10" t="str">
        <f t="shared" ca="1" si="5"/>
        <v>0PremiumW4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43" t="str">
        <f ca="1">VLOOKUP(C162,gacha_114_base!A:B,2,FALSE)</f>
        <v>R4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6"/>
        <v>01611</v>
      </c>
      <c r="B163" s="2">
        <v>123</v>
      </c>
      <c r="C163" s="10" t="str">
        <f t="shared" ca="1" si="5"/>
        <v>0PremiumW4</v>
      </c>
      <c r="D163" s="6">
        <v>0</v>
      </c>
      <c r="E163" s="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6">
        <v>1</v>
      </c>
      <c r="M163" s="43" t="str">
        <f ca="1">VLOOKUP(C163,gacha_114_base!A:B,2,FALSE)</f>
        <v>R4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6"/>
        <v>01631</v>
      </c>
      <c r="B164" s="2">
        <v>123</v>
      </c>
      <c r="C164" s="10" t="str">
        <f t="shared" ca="1" si="5"/>
        <v>0PremiumW4</v>
      </c>
      <c r="D164" s="6">
        <v>0</v>
      </c>
      <c r="E164" s="7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6">
        <v>1</v>
      </c>
      <c r="M164" s="43" t="str">
        <f ca="1">VLOOKUP(C164,gacha_114_base!A:B,2,FALSE)</f>
        <v>R4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6"/>
        <v>01651</v>
      </c>
      <c r="B165" s="2">
        <v>123</v>
      </c>
      <c r="C165" s="10" t="str">
        <f t="shared" ca="1" si="5"/>
        <v>0PremiumW4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43" t="str">
        <f ca="1">VLOOKUP(C165,gacha_114_base!A:B,2,FALSE)</f>
        <v>R4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6"/>
        <v>01671</v>
      </c>
      <c r="B166" s="2">
        <v>123</v>
      </c>
      <c r="C166" s="10" t="str">
        <f t="shared" ca="1" si="5"/>
        <v>0PremiumN4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43" t="str">
        <f ca="1">VLOOKUP(C166,gacha_114_base!A:B,2,FALSE)</f>
        <v>R4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6"/>
        <v>01701</v>
      </c>
      <c r="B167" s="2">
        <v>123</v>
      </c>
      <c r="C167" s="10" t="str">
        <f t="shared" ca="1" si="5"/>
        <v>0PremiumN4</v>
      </c>
      <c r="D167" s="6">
        <v>0</v>
      </c>
      <c r="E167" s="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43" t="str">
        <f ca="1">VLOOKUP(C167,gacha_114_base!A:B,2,FALSE)</f>
        <v>R4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6"/>
        <v>01731</v>
      </c>
      <c r="B168" s="2">
        <v>123</v>
      </c>
      <c r="C168" s="10" t="str">
        <f t="shared" ca="1" si="5"/>
        <v>0PremiumN4</v>
      </c>
      <c r="D168" s="6">
        <v>0</v>
      </c>
      <c r="E168" s="7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6">
        <v>1</v>
      </c>
      <c r="M168" s="43" t="str">
        <f ca="1">VLOOKUP(C168,gacha_114_base!A:B,2,FALSE)</f>
        <v>R4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6"/>
        <v>01761</v>
      </c>
      <c r="B169" s="2">
        <v>123</v>
      </c>
      <c r="C169" s="10" t="str">
        <f t="shared" ca="1" si="5"/>
        <v>0PremiumN4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43" t="str">
        <f ca="1">VLOOKUP(C169,gacha_114_base!A:B,2,FALSE)</f>
        <v>R4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6"/>
        <v>01791</v>
      </c>
      <c r="B170" s="2">
        <v>123</v>
      </c>
      <c r="C170" s="10" t="str">
        <f t="shared" ca="1" si="5"/>
        <v>0PremiumN4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43" t="str">
        <f ca="1">VLOOKUP(C170,gacha_114_base!A:B,2,FALSE)</f>
        <v>R4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6"/>
        <v>01821</v>
      </c>
      <c r="B171" s="2">
        <v>123</v>
      </c>
      <c r="C171" s="10" t="str">
        <f t="shared" ca="1" si="5"/>
        <v>0PremiumN4</v>
      </c>
      <c r="D171" s="6">
        <v>0</v>
      </c>
      <c r="E171" s="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6">
        <v>1</v>
      </c>
      <c r="M171" s="43" t="str">
        <f ca="1">VLOOKUP(C171,gacha_114_base!A:B,2,FALSE)</f>
        <v>R4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6"/>
        <v>01851</v>
      </c>
      <c r="B172" s="2">
        <v>123</v>
      </c>
      <c r="C172" s="10" t="str">
        <f t="shared" ca="1" si="5"/>
        <v>0PremiumN4</v>
      </c>
      <c r="D172" s="6">
        <v>0</v>
      </c>
      <c r="E172" s="7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6">
        <v>1</v>
      </c>
      <c r="M172" s="43" t="str">
        <f ca="1">VLOOKUP(C172,gacha_114_base!A:B,2,FALSE)</f>
        <v>R4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6"/>
        <v>01881</v>
      </c>
      <c r="B173" s="2">
        <v>123</v>
      </c>
      <c r="C173" s="10" t="str">
        <f t="shared" ca="1" si="5"/>
        <v>0PremiumN4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43" t="str">
        <f ca="1">VLOOKUP(C173,gacha_114_base!A:B,2,FALSE)</f>
        <v>R4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6"/>
        <v>01911</v>
      </c>
      <c r="B174" s="2">
        <v>123</v>
      </c>
      <c r="C174" s="10" t="str">
        <f t="shared" ca="1" si="5"/>
        <v>0PremiumN4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43" t="str">
        <f ca="1">VLOOKUP(C174,gacha_114_base!A:B,2,FALSE)</f>
        <v>R4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6"/>
        <v>01941</v>
      </c>
      <c r="B175" s="2">
        <v>123</v>
      </c>
      <c r="C175" s="10" t="str">
        <f t="shared" ca="1" si="5"/>
        <v>0PremiumN4</v>
      </c>
      <c r="D175" s="6">
        <v>0</v>
      </c>
      <c r="E175" s="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6">
        <v>1</v>
      </c>
      <c r="M175" s="43" t="str">
        <f ca="1">VLOOKUP(C175,gacha_114_base!A:B,2,FALSE)</f>
        <v>R4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6"/>
        <v>01971</v>
      </c>
      <c r="B176" s="2">
        <v>123</v>
      </c>
      <c r="C176" s="10" t="str">
        <f t="shared" ca="1" si="5"/>
        <v>0PremiumN4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43" t="str">
        <f ca="1">VLOOKUP(C176,gacha_114_base!A:B,2,FALSE)</f>
        <v>R4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6"/>
        <v>02001</v>
      </c>
      <c r="B177" s="2">
        <v>123</v>
      </c>
      <c r="C177" s="10" t="str">
        <f t="shared" ca="1" si="5"/>
        <v>0PremiumN4</v>
      </c>
      <c r="D177" s="6">
        <v>0</v>
      </c>
      <c r="E177" s="7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6">
        <v>1</v>
      </c>
      <c r="M177" s="43" t="str">
        <f ca="1">VLOOKUP(C177,gacha_114_base!A:B,2,FALSE)</f>
        <v>R4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6"/>
        <v>02031</v>
      </c>
      <c r="B178" s="2">
        <v>123</v>
      </c>
      <c r="C178" s="10" t="str">
        <f t="shared" ca="1" si="5"/>
        <v>0PremiumN4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43" t="str">
        <f ca="1">VLOOKUP(C178,gacha_114_base!A:B,2,FALSE)</f>
        <v>R4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6"/>
        <v>02061</v>
      </c>
      <c r="B179" s="2">
        <v>123</v>
      </c>
      <c r="C179" s="10" t="str">
        <f t="shared" ca="1" si="5"/>
        <v>0PremiumN4</v>
      </c>
      <c r="D179" s="6">
        <v>0</v>
      </c>
      <c r="E179" s="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6">
        <v>1</v>
      </c>
      <c r="M179" s="43" t="str">
        <f ca="1">VLOOKUP(C179,gacha_114_base!A:B,2,FALSE)</f>
        <v>R4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6"/>
        <v>02091</v>
      </c>
      <c r="B180" s="2">
        <v>123</v>
      </c>
      <c r="C180" s="10" t="str">
        <f t="shared" ca="1" si="5"/>
        <v>0PremiumN4</v>
      </c>
      <c r="D180" s="6">
        <v>0</v>
      </c>
      <c r="E180" s="7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6">
        <v>1</v>
      </c>
      <c r="M180" s="43" t="str">
        <f ca="1">VLOOKUP(C180,gacha_114_base!A:B,2,FALSE)</f>
        <v>R4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6"/>
        <v>02121</v>
      </c>
      <c r="B181" s="2">
        <v>123</v>
      </c>
      <c r="C181" s="10" t="str">
        <f t="shared" ca="1" si="5"/>
        <v>0PremiumN4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43" t="str">
        <f ca="1">VLOOKUP(C181,gacha_114_base!A:B,2,FALSE)</f>
        <v>R4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6"/>
        <v>02151</v>
      </c>
      <c r="B182" s="2">
        <v>123</v>
      </c>
      <c r="C182" s="10" t="str">
        <f t="shared" ca="1" si="5"/>
        <v>0PremiumN4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43" t="str">
        <f ca="1">VLOOKUP(C182,gacha_114_base!A:B,2,FALSE)</f>
        <v>R4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6"/>
        <v>02181</v>
      </c>
      <c r="B183" s="2">
        <v>123</v>
      </c>
      <c r="C183" s="10" t="str">
        <f t="shared" ca="1" si="5"/>
        <v>0PremiumN4</v>
      </c>
      <c r="D183" s="6">
        <v>0</v>
      </c>
      <c r="E183" s="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6">
        <v>1</v>
      </c>
      <c r="M183" s="43" t="str">
        <f ca="1">VLOOKUP(C183,gacha_114_base!A:B,2,FALSE)</f>
        <v>R4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6"/>
        <v>02211</v>
      </c>
      <c r="B184" s="2">
        <v>123</v>
      </c>
      <c r="C184" s="10" t="str">
        <f t="shared" ca="1" si="5"/>
        <v>0PremiumN4</v>
      </c>
      <c r="D184" s="6">
        <v>0</v>
      </c>
      <c r="E184" s="7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6">
        <v>1</v>
      </c>
      <c r="M184" s="43" t="str">
        <f ca="1">VLOOKUP(C184,gacha_114_base!A:B,2,FALSE)</f>
        <v>R4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6"/>
        <v>02241</v>
      </c>
      <c r="B185" s="2">
        <v>123</v>
      </c>
      <c r="C185" s="10" t="str">
        <f t="shared" ca="1" si="5"/>
        <v>0PremiumN4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43" t="str">
        <f ca="1">VLOOKUP(C185,gacha_114_base!A:B,2,FALSE)</f>
        <v>R4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6"/>
        <v>02271</v>
      </c>
      <c r="B186" s="2">
        <v>123</v>
      </c>
      <c r="C186" s="10" t="str">
        <f t="shared" ca="1" si="5"/>
        <v>0PremiumS4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43" t="str">
        <f ca="1">VLOOKUP(C186,gacha_114_base!A:B,2,FALSE)</f>
        <v>R4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6"/>
        <v>02301</v>
      </c>
      <c r="B187" s="2">
        <v>123</v>
      </c>
      <c r="C187" s="10" t="str">
        <f t="shared" ca="1" si="5"/>
        <v>0PremiumS4</v>
      </c>
      <c r="D187" s="6">
        <v>0</v>
      </c>
      <c r="E187" s="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6">
        <v>1</v>
      </c>
      <c r="M187" s="43" t="str">
        <f ca="1">VLOOKUP(C187,gacha_114_base!A:B,2,FALSE)</f>
        <v>R4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6"/>
        <v>02331</v>
      </c>
      <c r="B188" s="2">
        <v>123</v>
      </c>
      <c r="C188" s="10" t="str">
        <f t="shared" ca="1" si="5"/>
        <v>0PremiumS4</v>
      </c>
      <c r="D188" s="6">
        <v>0</v>
      </c>
      <c r="E188" s="7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6">
        <v>1</v>
      </c>
      <c r="M188" s="43" t="str">
        <f ca="1">VLOOKUP(C188,gacha_114_base!A:B,2,FALSE)</f>
        <v>R4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6"/>
        <v>02361</v>
      </c>
      <c r="B189" s="2">
        <v>123</v>
      </c>
      <c r="C189" s="10" t="str">
        <f t="shared" ca="1" si="5"/>
        <v>0PremiumS4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43" t="str">
        <f ca="1">VLOOKUP(C189,gacha_114_base!A:B,2,FALSE)</f>
        <v>R4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6"/>
        <v>01681</v>
      </c>
      <c r="B190" s="2">
        <v>123</v>
      </c>
      <c r="C190" s="10" t="str">
        <f t="shared" ca="1" si="5"/>
        <v>0PremiumN5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43" t="str">
        <f ca="1">VLOOKUP(C190,gacha_114_base!A:B,2,FALSE)</f>
        <v>R5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6"/>
        <v>01711</v>
      </c>
      <c r="B191" s="2">
        <v>123</v>
      </c>
      <c r="C191" s="10" t="str">
        <f t="shared" ca="1" si="5"/>
        <v>0PremiumN5</v>
      </c>
      <c r="D191" s="6">
        <v>0</v>
      </c>
      <c r="E191" s="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43" t="str">
        <f ca="1">VLOOKUP(C191,gacha_114_base!A:B,2,FALSE)</f>
        <v>R5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6"/>
        <v>01741</v>
      </c>
      <c r="B192" s="2">
        <v>123</v>
      </c>
      <c r="C192" s="10" t="str">
        <f t="shared" ca="1" si="5"/>
        <v>0PremiumN5</v>
      </c>
      <c r="D192" s="6">
        <v>0</v>
      </c>
      <c r="E192" s="7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6">
        <v>1</v>
      </c>
      <c r="M192" s="43" t="str">
        <f ca="1">VLOOKUP(C192,gacha_114_base!A:B,2,FALSE)</f>
        <v>R5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6"/>
        <v>01771</v>
      </c>
      <c r="B193" s="2">
        <v>123</v>
      </c>
      <c r="C193" s="10" t="str">
        <f t="shared" ca="1" si="5"/>
        <v>0PremiumN5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43" t="str">
        <f ca="1">VLOOKUP(C193,gacha_114_base!A:B,2,FALSE)</f>
        <v>R5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6"/>
        <v>01801</v>
      </c>
      <c r="B194" s="2">
        <v>123</v>
      </c>
      <c r="C194" s="10" t="str">
        <f t="shared" ca="1" si="5"/>
        <v>0PremiumN5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43" t="str">
        <f ca="1">VLOOKUP(C194,gacha_114_base!A:B,2,FALSE)</f>
        <v>R5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6"/>
        <v>01831</v>
      </c>
      <c r="B195" s="2">
        <v>123</v>
      </c>
      <c r="C195" s="10" t="str">
        <f t="shared" ref="C195:C245" ca="1" si="7">D195&amp;G195&amp;H195</f>
        <v>0PremiumN5</v>
      </c>
      <c r="D195" s="6">
        <v>0</v>
      </c>
      <c r="E195" s="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6">
        <v>1</v>
      </c>
      <c r="M195" s="43" t="str">
        <f ca="1">VLOOKUP(C195,gacha_114_base!A:B,2,FALSE)</f>
        <v>R5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6"/>
        <v>01861</v>
      </c>
      <c r="B196" s="2">
        <v>123</v>
      </c>
      <c r="C196" s="10" t="str">
        <f t="shared" ca="1" si="7"/>
        <v>0PremiumN5</v>
      </c>
      <c r="D196" s="6">
        <v>0</v>
      </c>
      <c r="E196" s="7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6">
        <v>1</v>
      </c>
      <c r="M196" s="43" t="str">
        <f ca="1">VLOOKUP(C196,gacha_114_base!A:B,2,FALSE)</f>
        <v>R5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6"/>
        <v>01891</v>
      </c>
      <c r="B197" s="2">
        <v>123</v>
      </c>
      <c r="C197" s="10" t="str">
        <f t="shared" ca="1" si="7"/>
        <v>0PremiumN5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43" t="str">
        <f ca="1">VLOOKUP(C197,gacha_114_base!A:B,2,FALSE)</f>
        <v>R5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6"/>
        <v>01921</v>
      </c>
      <c r="B198" s="2">
        <v>123</v>
      </c>
      <c r="C198" s="10" t="str">
        <f t="shared" ca="1" si="7"/>
        <v>0PremiumN5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43" t="str">
        <f ca="1">VLOOKUP(C198,gacha_114_base!A:B,2,FALSE)</f>
        <v>R5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6"/>
        <v>01951</v>
      </c>
      <c r="B199" s="2">
        <v>123</v>
      </c>
      <c r="C199" s="10" t="str">
        <f t="shared" ca="1" si="7"/>
        <v>0PremiumN5</v>
      </c>
      <c r="D199" s="6">
        <v>0</v>
      </c>
      <c r="E199" s="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6">
        <v>1</v>
      </c>
      <c r="M199" s="43" t="str">
        <f ca="1">VLOOKUP(C199,gacha_114_base!A:B,2,FALSE)</f>
        <v>R5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6"/>
        <v>01981</v>
      </c>
      <c r="B200" s="2">
        <v>123</v>
      </c>
      <c r="C200" s="10" t="str">
        <f t="shared" ca="1" si="7"/>
        <v>0PremiumN5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43" t="str">
        <f ca="1">VLOOKUP(C200,gacha_114_base!A:B,2,FALSE)</f>
        <v>R5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6"/>
        <v>02011</v>
      </c>
      <c r="B201" s="2">
        <v>123</v>
      </c>
      <c r="C201" s="10" t="str">
        <f t="shared" ca="1" si="7"/>
        <v>0PremiumN5</v>
      </c>
      <c r="D201" s="6">
        <v>0</v>
      </c>
      <c r="E201" s="7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6">
        <v>1</v>
      </c>
      <c r="M201" s="43" t="str">
        <f ca="1">VLOOKUP(C201,gacha_114_base!A:B,2,FALSE)</f>
        <v>R5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6"/>
        <v>02041</v>
      </c>
      <c r="B202" s="2">
        <v>123</v>
      </c>
      <c r="C202" s="10" t="str">
        <f t="shared" ca="1" si="7"/>
        <v>0PremiumN5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43" t="str">
        <f ca="1">VLOOKUP(C202,gacha_114_base!A:B,2,FALSE)</f>
        <v>R5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6"/>
        <v>02071</v>
      </c>
      <c r="B203" s="2">
        <v>123</v>
      </c>
      <c r="C203" s="10" t="str">
        <f t="shared" ca="1" si="7"/>
        <v>0PremiumN5</v>
      </c>
      <c r="D203" s="6">
        <v>0</v>
      </c>
      <c r="E203" s="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6">
        <v>1</v>
      </c>
      <c r="M203" s="43" t="str">
        <f ca="1">VLOOKUP(C203,gacha_114_base!A:B,2,FALSE)</f>
        <v>R5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6"/>
        <v>02101</v>
      </c>
      <c r="B204" s="2">
        <v>123</v>
      </c>
      <c r="C204" s="10" t="str">
        <f t="shared" ca="1" si="7"/>
        <v>0PremiumN5</v>
      </c>
      <c r="D204" s="6">
        <v>0</v>
      </c>
      <c r="E204" s="7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6">
        <v>1</v>
      </c>
      <c r="M204" s="43" t="str">
        <f ca="1">VLOOKUP(C204,gacha_114_base!A:B,2,FALSE)</f>
        <v>R5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6"/>
        <v>02131</v>
      </c>
      <c r="B205" s="2">
        <v>123</v>
      </c>
      <c r="C205" s="10" t="str">
        <f t="shared" ca="1" si="7"/>
        <v>0PremiumN5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43" t="str">
        <f ca="1">VLOOKUP(C205,gacha_114_base!A:B,2,FALSE)</f>
        <v>R5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6"/>
        <v>02161</v>
      </c>
      <c r="B206" s="2">
        <v>123</v>
      </c>
      <c r="C206" s="10" t="str">
        <f t="shared" ca="1" si="7"/>
        <v>0PremiumN5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43" t="str">
        <f ca="1">VLOOKUP(C206,gacha_114_base!A:B,2,FALSE)</f>
        <v>R5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6"/>
        <v>02191</v>
      </c>
      <c r="B207" s="2">
        <v>123</v>
      </c>
      <c r="C207" s="10" t="str">
        <f t="shared" ca="1" si="7"/>
        <v>0PremiumN5</v>
      </c>
      <c r="D207" s="6">
        <v>0</v>
      </c>
      <c r="E207" s="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6">
        <v>1</v>
      </c>
      <c r="M207" s="43" t="str">
        <f ca="1">VLOOKUP(C207,gacha_114_base!A:B,2,FALSE)</f>
        <v>R5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6"/>
        <v>02221</v>
      </c>
      <c r="B208" s="2">
        <v>123</v>
      </c>
      <c r="C208" s="10" t="str">
        <f t="shared" ca="1" si="7"/>
        <v>0PremiumN5</v>
      </c>
      <c r="D208" s="6">
        <v>0</v>
      </c>
      <c r="E208" s="7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6">
        <v>1</v>
      </c>
      <c r="M208" s="43" t="str">
        <f ca="1">VLOOKUP(C208,gacha_114_base!A:B,2,FALSE)</f>
        <v>R5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6"/>
        <v>02251</v>
      </c>
      <c r="B209" s="2">
        <v>123</v>
      </c>
      <c r="C209" s="10" t="str">
        <f t="shared" ca="1" si="7"/>
        <v>0PremiumN5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43" t="str">
        <f ca="1">VLOOKUP(C209,gacha_114_base!A:B,2,FALSE)</f>
        <v>R5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6"/>
        <v>02281</v>
      </c>
      <c r="B210" s="2">
        <v>123</v>
      </c>
      <c r="C210" s="10" t="str">
        <f t="shared" ca="1" si="7"/>
        <v>0PremiumS5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43" t="str">
        <f ca="1">VLOOKUP(C210,gacha_114_base!A:B,2,FALSE)</f>
        <v>R5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6"/>
        <v>02311</v>
      </c>
      <c r="B211" s="2">
        <v>123</v>
      </c>
      <c r="C211" s="10" t="str">
        <f t="shared" ca="1" si="7"/>
        <v>0PremiumS5</v>
      </c>
      <c r="D211" s="6">
        <v>0</v>
      </c>
      <c r="E211" s="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6">
        <v>1</v>
      </c>
      <c r="M211" s="43" t="str">
        <f ca="1">VLOOKUP(C211,gacha_114_base!A:B,2,FALSE)</f>
        <v>R5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6"/>
        <v>02341</v>
      </c>
      <c r="B212" s="2">
        <v>123</v>
      </c>
      <c r="C212" s="10" t="str">
        <f t="shared" ca="1" si="7"/>
        <v>0PremiumS5</v>
      </c>
      <c r="D212" s="6">
        <v>0</v>
      </c>
      <c r="E212" s="7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6">
        <v>1</v>
      </c>
      <c r="M212" s="43" t="str">
        <f ca="1">VLOOKUP(C212,gacha_114_base!A:B,2,FALSE)</f>
        <v>R5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6"/>
        <v>02371</v>
      </c>
      <c r="B213" s="2">
        <v>123</v>
      </c>
      <c r="C213" s="10" t="str">
        <f t="shared" ca="1" si="7"/>
        <v>0PremiumS5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43" t="str">
        <f ca="1">VLOOKUP(C213,gacha_114_base!A:B,2,FALSE)</f>
        <v>R5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6"/>
        <v>02381</v>
      </c>
      <c r="B214" s="2">
        <v>123</v>
      </c>
      <c r="C214" s="10" t="str">
        <f t="shared" ca="1" si="7"/>
        <v>0PremiumS3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43" t="str">
        <f ca="1">VLOOKUP(C214,gacha_114_base!A:B,2,FALSE)</f>
        <v>R3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6"/>
        <v>02391</v>
      </c>
      <c r="B215" s="2">
        <v>123</v>
      </c>
      <c r="C215" s="10" t="str">
        <f t="shared" ca="1" si="7"/>
        <v>0PremiumS4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43" t="str">
        <f ca="1">VLOOKUP(C215,gacha_114_base!A:B,2,FALSE)</f>
        <v>R4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6"/>
        <v>02401</v>
      </c>
      <c r="B216" s="2">
        <v>123</v>
      </c>
      <c r="C216" s="10" t="str">
        <f t="shared" ca="1" si="7"/>
        <v>0PremiumS5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43" t="str">
        <f ca="1">VLOOKUP(C216,gacha_114_base!A:B,2,FALSE)</f>
        <v>R5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6"/>
        <v>02411</v>
      </c>
      <c r="B217" s="2">
        <v>123</v>
      </c>
      <c r="C217" s="10" t="str">
        <f t="shared" ca="1" si="7"/>
        <v>0PremiumS3</v>
      </c>
      <c r="D217" s="6">
        <v>0</v>
      </c>
      <c r="E217" s="19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43" t="str">
        <f ca="1">VLOOKUP(C217,gacha_114_base!A:B,2,FALSE)</f>
        <v>R3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6"/>
        <v>02421</v>
      </c>
      <c r="B218" s="2">
        <v>123</v>
      </c>
      <c r="C218" s="10" t="str">
        <f t="shared" ca="1" si="7"/>
        <v>0PremiumS4</v>
      </c>
      <c r="D218" s="6">
        <v>0</v>
      </c>
      <c r="E218" s="19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6">
        <v>1</v>
      </c>
      <c r="M218" s="43" t="str">
        <f ca="1">VLOOKUP(C218,gacha_114_base!A:B,2,FALSE)</f>
        <v>R4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8">D219&amp;E219&amp;L219</f>
        <v>02431</v>
      </c>
      <c r="B219" s="2">
        <v>123</v>
      </c>
      <c r="C219" s="10" t="str">
        <f t="shared" ca="1" si="7"/>
        <v>0PremiumS5</v>
      </c>
      <c r="D219" s="6">
        <v>0</v>
      </c>
      <c r="E219" s="19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6">
        <v>1</v>
      </c>
      <c r="M219" s="43" t="str">
        <f ca="1">VLOOKUP(C219,gacha_114_base!A:B,2,FALSE)</f>
        <v>R5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8"/>
        <v>02441</v>
      </c>
      <c r="B220" s="2">
        <v>123</v>
      </c>
      <c r="C220" s="10" t="str">
        <f t="shared" ca="1" si="7"/>
        <v>0PremiumS3</v>
      </c>
      <c r="D220" s="6">
        <v>0</v>
      </c>
      <c r="E220" s="19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6">
        <v>1</v>
      </c>
      <c r="M220" s="43" t="str">
        <f ca="1">VLOOKUP(C220,gacha_114_base!A:B,2,FALSE)</f>
        <v>R3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8"/>
        <v>02451</v>
      </c>
      <c r="B221" s="2">
        <v>123</v>
      </c>
      <c r="C221" s="10" t="str">
        <f t="shared" ca="1" si="7"/>
        <v>0PremiumS4</v>
      </c>
      <c r="D221" s="6">
        <v>0</v>
      </c>
      <c r="E221" s="19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6">
        <v>1</v>
      </c>
      <c r="M221" s="43" t="str">
        <f ca="1">VLOOKUP(C221,gacha_114_base!A:B,2,FALSE)</f>
        <v>R4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8"/>
        <v>02461</v>
      </c>
      <c r="B222" s="2">
        <v>123</v>
      </c>
      <c r="C222" s="10" t="str">
        <f t="shared" ca="1" si="7"/>
        <v>0PremiumS5</v>
      </c>
      <c r="D222" s="6">
        <v>0</v>
      </c>
      <c r="E222" s="19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6">
        <v>1</v>
      </c>
      <c r="M222" s="43" t="str">
        <f ca="1">VLOOKUP(C222,gacha_114_base!A:B,2,FALSE)</f>
        <v>R5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8"/>
        <v>02471</v>
      </c>
      <c r="B223" s="2">
        <v>123</v>
      </c>
      <c r="C223" s="10" t="str">
        <f t="shared" ca="1" si="7"/>
        <v>0PremiumS3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43" t="str">
        <f ca="1">VLOOKUP(C223,gacha_114_base!A:B,2,FALSE)</f>
        <v>R3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8"/>
        <v>02481</v>
      </c>
      <c r="B224" s="2">
        <v>123</v>
      </c>
      <c r="C224" s="10" t="str">
        <f t="shared" ca="1" si="7"/>
        <v>0PremiumS4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43" t="str">
        <f ca="1">VLOOKUP(C224,gacha_114_base!A:B,2,FALSE)</f>
        <v>R4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8"/>
        <v>02491</v>
      </c>
      <c r="B225" s="2">
        <v>123</v>
      </c>
      <c r="C225" s="10" t="str">
        <f t="shared" ca="1" si="7"/>
        <v>0PremiumS5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43" t="str">
        <f ca="1">VLOOKUP(C225,gacha_114_base!A:B,2,FALSE)</f>
        <v>R5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8"/>
        <v>02501</v>
      </c>
      <c r="B226" s="2">
        <v>123</v>
      </c>
      <c r="C226" s="10" t="str">
        <f t="shared" ca="1" si="7"/>
        <v>0PremiumS3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43" t="str">
        <f ca="1">VLOOKUP(C226,gacha_114_base!A:B,2,FALSE)</f>
        <v>R3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8"/>
        <v>02511</v>
      </c>
      <c r="B227" s="2">
        <v>123</v>
      </c>
      <c r="C227" s="10" t="str">
        <f t="shared" ca="1" si="7"/>
        <v>0PremiumS4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43" t="str">
        <f ca="1">VLOOKUP(C227,gacha_114_base!A:B,2,FALSE)</f>
        <v>R4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8"/>
        <v>02521</v>
      </c>
      <c r="B228" s="2">
        <v>123</v>
      </c>
      <c r="C228" s="10" t="str">
        <f t="shared" ca="1" si="7"/>
        <v>0PremiumS5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43" t="str">
        <f ca="1">VLOOKUP(C228,gacha_114_base!A:B,2,FALSE)</f>
        <v>R5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8"/>
        <v>02531</v>
      </c>
      <c r="B229" s="2">
        <v>123</v>
      </c>
      <c r="C229" s="10" t="str">
        <f t="shared" ca="1" si="7"/>
        <v>0PremiumS3</v>
      </c>
      <c r="D229" s="6">
        <v>0</v>
      </c>
      <c r="E229" s="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6">
        <v>1</v>
      </c>
      <c r="M229" s="43" t="str">
        <f ca="1">VLOOKUP(C229,gacha_114_base!A:B,2,FALSE)</f>
        <v>R3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8"/>
        <v>02541</v>
      </c>
      <c r="B230" s="2">
        <v>123</v>
      </c>
      <c r="C230" s="10" t="str">
        <f t="shared" ca="1" si="7"/>
        <v>0PremiumS4</v>
      </c>
      <c r="D230" s="6">
        <v>0</v>
      </c>
      <c r="E230" s="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6">
        <v>1</v>
      </c>
      <c r="M230" s="43" t="str">
        <f ca="1">VLOOKUP(C230,gacha_114_base!A:B,2,FALSE)</f>
        <v>R4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8"/>
        <v>02551</v>
      </c>
      <c r="B231" s="2">
        <v>123</v>
      </c>
      <c r="C231" s="10" t="str">
        <f t="shared" ca="1" si="7"/>
        <v>0PremiumS5</v>
      </c>
      <c r="D231" s="6">
        <v>0</v>
      </c>
      <c r="E231" s="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6">
        <v>1</v>
      </c>
      <c r="M231" s="43" t="str">
        <f ca="1">VLOOKUP(C231,gacha_114_base!A:B,2,FALSE)</f>
        <v>R5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8"/>
        <v>02561</v>
      </c>
      <c r="B232" s="2">
        <v>123</v>
      </c>
      <c r="C232" s="10" t="str">
        <f t="shared" ca="1" si="7"/>
        <v>0PremiumS3</v>
      </c>
      <c r="D232" s="6">
        <v>0</v>
      </c>
      <c r="E232" s="7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6">
        <v>1</v>
      </c>
      <c r="M232" s="43" t="str">
        <f ca="1">VLOOKUP(C232,gacha_114_base!A:B,2,FALSE)</f>
        <v>R3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8"/>
        <v>02571</v>
      </c>
      <c r="B233" s="2">
        <v>123</v>
      </c>
      <c r="C233" s="10" t="str">
        <f t="shared" ca="1" si="7"/>
        <v>0PremiumS4</v>
      </c>
      <c r="D233" s="6">
        <v>0</v>
      </c>
      <c r="E233" s="7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6">
        <v>1</v>
      </c>
      <c r="M233" s="43" t="str">
        <f ca="1">VLOOKUP(C233,gacha_114_base!A:B,2,FALSE)</f>
        <v>R4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8"/>
        <v>02581</v>
      </c>
      <c r="B234" s="2">
        <v>123</v>
      </c>
      <c r="C234" s="10" t="str">
        <f t="shared" ca="1" si="7"/>
        <v>0PremiumS5</v>
      </c>
      <c r="D234" s="6">
        <v>0</v>
      </c>
      <c r="E234" s="7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6">
        <v>1</v>
      </c>
      <c r="M234" s="43" t="str">
        <f ca="1">VLOOKUP(C234,gacha_114_base!A:B,2,FALSE)</f>
        <v>R5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8"/>
        <v>02591</v>
      </c>
      <c r="B235" s="2">
        <v>123</v>
      </c>
      <c r="C235" s="10" t="str">
        <f t="shared" ca="1" si="7"/>
        <v>0PremiumS3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43" t="str">
        <f ca="1">VLOOKUP(C235,gacha_114_base!A:B,2,FALSE)</f>
        <v>R3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8"/>
        <v>02601</v>
      </c>
      <c r="B236" s="2">
        <v>123</v>
      </c>
      <c r="C236" s="10" t="str">
        <f t="shared" ca="1" si="7"/>
        <v>0PremiumS4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43" t="str">
        <f ca="1">VLOOKUP(C236,gacha_114_base!A:B,2,FALSE)</f>
        <v>R4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8"/>
        <v>02611</v>
      </c>
      <c r="B237" s="2">
        <v>123</v>
      </c>
      <c r="C237" s="10" t="str">
        <f t="shared" ca="1" si="7"/>
        <v>0PremiumS5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43" t="str">
        <f ca="1">VLOOKUP(C237,gacha_114_base!A:B,2,FALSE)</f>
        <v>R5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8"/>
        <v>03201</v>
      </c>
      <c r="B238" s="2">
        <v>123</v>
      </c>
      <c r="C238" s="10" t="str">
        <f t="shared" ca="1" si="7"/>
        <v>0PremiumSS4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43" t="str">
        <f ca="1">VLOOKUP(C238,gacha_114_base!A:B,2,FALSE)</f>
        <v>R4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8"/>
        <v>03211</v>
      </c>
      <c r="B239" s="2">
        <v>123</v>
      </c>
      <c r="C239" s="10" t="str">
        <f t="shared" ca="1" si="7"/>
        <v>0PremiumSS5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43" t="str">
        <f ca="1">VLOOKUP(C239,gacha_114_base!A:B,2,FALSE)</f>
        <v>R5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8"/>
        <v>03221</v>
      </c>
      <c r="B240" s="2">
        <v>123</v>
      </c>
      <c r="C240" s="10" t="str">
        <f t="shared" ca="1" si="7"/>
        <v>0PremiumSS4</v>
      </c>
      <c r="D240" s="21">
        <v>0</v>
      </c>
      <c r="E240" s="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6">
        <v>1</v>
      </c>
      <c r="M240" s="43" t="str">
        <f ca="1">VLOOKUP(C240,gacha_114_base!A:B,2,FALSE)</f>
        <v>R4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8"/>
        <v>03231</v>
      </c>
      <c r="B241" s="2">
        <v>123</v>
      </c>
      <c r="C241" s="10" t="str">
        <f t="shared" ca="1" si="7"/>
        <v>0PremiumSS5</v>
      </c>
      <c r="D241" s="21">
        <v>0</v>
      </c>
      <c r="E241" s="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6">
        <v>1</v>
      </c>
      <c r="M241" s="43" t="str">
        <f ca="1">VLOOKUP(C241,gacha_114_base!A:B,2,FALSE)</f>
        <v>R5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8"/>
        <v>03241</v>
      </c>
      <c r="B242" s="2">
        <v>123</v>
      </c>
      <c r="C242" s="10" t="str">
        <f t="shared" ca="1" si="7"/>
        <v>0PremiumSS4</v>
      </c>
      <c r="D242" s="21">
        <v>0</v>
      </c>
      <c r="E242" s="7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6">
        <v>1</v>
      </c>
      <c r="M242" s="43" t="str">
        <f ca="1">VLOOKUP(C242,gacha_114_base!A:B,2,FALSE)</f>
        <v>R4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8"/>
        <v>03251</v>
      </c>
      <c r="B243" s="2">
        <v>123</v>
      </c>
      <c r="C243" s="10" t="str">
        <f t="shared" ca="1" si="7"/>
        <v>0PremiumSS5</v>
      </c>
      <c r="D243" s="21">
        <v>0</v>
      </c>
      <c r="E243" s="7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6">
        <v>1</v>
      </c>
      <c r="M243" s="43" t="str">
        <f ca="1">VLOOKUP(C243,gacha_114_base!A:B,2,FALSE)</f>
        <v>R5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8"/>
        <v>03261</v>
      </c>
      <c r="B244" s="2">
        <v>123</v>
      </c>
      <c r="C244" s="10" t="str">
        <f t="shared" ca="1" si="7"/>
        <v>0PremiumSS4</v>
      </c>
      <c r="D244" s="21">
        <v>0</v>
      </c>
      <c r="E244" s="35">
        <v>326</v>
      </c>
      <c r="F244" s="36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6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6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6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6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6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4">
        <v>1</v>
      </c>
      <c r="M244" s="43" t="str">
        <f ca="1">VLOOKUP(C244,gacha_114_base!A:B,2,FALSE)</f>
        <v>R4</v>
      </c>
      <c r="N244" s="37">
        <v>0</v>
      </c>
      <c r="O244" s="37">
        <v>0</v>
      </c>
      <c r="P244" s="37">
        <v>0</v>
      </c>
      <c r="Q244" s="37">
        <v>0</v>
      </c>
      <c r="R244" s="37">
        <v>1</v>
      </c>
    </row>
    <row r="245" spans="1:18" ht="21" customHeight="1" thickBot="1">
      <c r="A245" s="22" t="str">
        <f t="shared" si="8"/>
        <v>03271</v>
      </c>
      <c r="B245" s="2">
        <v>123</v>
      </c>
      <c r="C245" s="10" t="str">
        <f t="shared" ca="1" si="7"/>
        <v>0PremiumSS5</v>
      </c>
      <c r="D245" s="41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43" t="str">
        <f ca="1">VLOOKUP(C245,gacha_114_base!A:B,2,FALSE)</f>
        <v>R5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8"/>
        <v>03801</v>
      </c>
      <c r="B246" s="2">
        <v>123</v>
      </c>
      <c r="C246" s="10" t="str">
        <f ca="1">D246&amp;G246&amp;H246&amp;"new"</f>
        <v>0PremiumS3new</v>
      </c>
      <c r="D246" s="41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43" t="e">
        <f ca="1">VLOOKUP(C246,gacha_114_base!A:B,2,FALSE)</f>
        <v>#N/A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8"/>
        <v>03811</v>
      </c>
      <c r="B247" s="2">
        <v>123</v>
      </c>
      <c r="C247" s="10" t="str">
        <f t="shared" ref="C247:C255" ca="1" si="9">D247&amp;G247&amp;H247&amp;"new"</f>
        <v>0PremiumS4new</v>
      </c>
      <c r="D247" s="41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43" t="e">
        <f ca="1">VLOOKUP(C247,gacha_114_base!A:B,2,FALSE)</f>
        <v>#N/A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8"/>
        <v>03821</v>
      </c>
      <c r="B248" s="2">
        <v>123</v>
      </c>
      <c r="C248" s="10" t="str">
        <f t="shared" ca="1" si="9"/>
        <v>0PremiumS5new</v>
      </c>
      <c r="D248" s="41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43" t="e">
        <f ca="1">VLOOKUP(C248,gacha_114_base!A:B,2,FALSE)</f>
        <v>#N/A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8"/>
        <v>03831</v>
      </c>
      <c r="B249" s="2">
        <v>123</v>
      </c>
      <c r="C249" s="10" t="str">
        <f t="shared" ca="1" si="9"/>
        <v>0PremiumSS4new</v>
      </c>
      <c r="D249" s="41">
        <v>0</v>
      </c>
      <c r="E249" s="27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6">
        <v>1</v>
      </c>
      <c r="M249" s="43" t="e">
        <f ca="1">VLOOKUP(C249,gacha_114_base!A:B,2,FALSE)</f>
        <v>#N/A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8"/>
        <v>03841</v>
      </c>
      <c r="B250" s="2">
        <v>123</v>
      </c>
      <c r="C250" s="10" t="str">
        <f t="shared" ca="1" si="9"/>
        <v>0PremiumSS5new</v>
      </c>
      <c r="D250" s="41">
        <v>0</v>
      </c>
      <c r="E250" s="27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6">
        <v>1</v>
      </c>
      <c r="M250" s="43" t="e">
        <f ca="1">VLOOKUP(C250,gacha_114_base!A:B,2,FALSE)</f>
        <v>#N/A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8"/>
        <v>03851</v>
      </c>
      <c r="B251" s="2">
        <v>123</v>
      </c>
      <c r="C251" s="10" t="str">
        <f t="shared" ca="1" si="9"/>
        <v>0PremiumSS4new</v>
      </c>
      <c r="D251" s="41">
        <v>0</v>
      </c>
      <c r="E251" s="27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6">
        <v>1</v>
      </c>
      <c r="M251" s="43" t="e">
        <f ca="1">VLOOKUP(C251,gacha_114_base!A:B,2,FALSE)</f>
        <v>#N/A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8"/>
        <v>03861</v>
      </c>
      <c r="B252" s="2">
        <v>123</v>
      </c>
      <c r="C252" s="10" t="str">
        <f t="shared" ca="1" si="9"/>
        <v>0PremiumSS5new</v>
      </c>
      <c r="D252" s="41">
        <v>0</v>
      </c>
      <c r="E252" s="33">
        <v>386</v>
      </c>
      <c r="F252" s="36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6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6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6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6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6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34">
        <v>1</v>
      </c>
      <c r="M252" s="43" t="e">
        <f ca="1">VLOOKUP(C252,gacha_114_base!A:B,2,FALSE)</f>
        <v>#N/A</v>
      </c>
      <c r="N252" s="37">
        <v>0</v>
      </c>
      <c r="O252" s="37">
        <v>0</v>
      </c>
      <c r="P252" s="37">
        <v>0</v>
      </c>
      <c r="Q252" s="37">
        <v>0</v>
      </c>
      <c r="R252" s="37">
        <v>1</v>
      </c>
    </row>
    <row r="253" spans="1:18" ht="21" customHeight="1" thickBot="1">
      <c r="A253" s="22" t="str">
        <f t="shared" si="8"/>
        <v>03871</v>
      </c>
      <c r="B253" s="2">
        <v>123</v>
      </c>
      <c r="C253" s="10" t="str">
        <f t="shared" ca="1" si="9"/>
        <v>0PremiumS3new</v>
      </c>
      <c r="D253" s="41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43" t="e">
        <f ca="1">VLOOKUP(C253,gacha_114_base!A:B,2,FALSE)</f>
        <v>#N/A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2" t="str">
        <f t="shared" si="8"/>
        <v>03881</v>
      </c>
      <c r="B254" s="2">
        <v>123</v>
      </c>
      <c r="C254" s="10" t="str">
        <f t="shared" ca="1" si="9"/>
        <v>0PremiumS4new</v>
      </c>
      <c r="D254" s="41">
        <v>0</v>
      </c>
      <c r="E254" s="35">
        <v>388</v>
      </c>
      <c r="F254" s="36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6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6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6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6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6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4">
        <v>1</v>
      </c>
      <c r="M254" s="43" t="e">
        <f ca="1">VLOOKUP(C254,gacha_114_base!A:B,2,FALSE)</f>
        <v>#N/A</v>
      </c>
      <c r="N254" s="37">
        <v>0</v>
      </c>
      <c r="O254" s="37">
        <v>0</v>
      </c>
      <c r="P254" s="37">
        <v>0</v>
      </c>
      <c r="Q254" s="37">
        <v>0</v>
      </c>
      <c r="R254" s="37">
        <v>1</v>
      </c>
    </row>
    <row r="255" spans="1:18" s="40" customFormat="1" ht="21" customHeight="1" thickBot="1">
      <c r="A255" s="39" t="str">
        <f t="shared" si="8"/>
        <v>03891</v>
      </c>
      <c r="B255" s="2">
        <v>123</v>
      </c>
      <c r="C255" s="10" t="str">
        <f t="shared" ca="1" si="9"/>
        <v>0PremiumS5new</v>
      </c>
      <c r="D255" s="41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43" t="e">
        <f ca="1">VLOOKUP(C255,gacha_114_base!A:B,2,FALSE)</f>
        <v>#N/A</v>
      </c>
      <c r="N255" s="31">
        <v>0</v>
      </c>
      <c r="O255" s="31">
        <v>0</v>
      </c>
      <c r="P255" s="31">
        <v>0</v>
      </c>
      <c r="Q255" s="31">
        <v>0</v>
      </c>
      <c r="R255" s="31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R256"/>
  <sheetViews>
    <sheetView showGridLines="0" workbookViewId="0">
      <pane ySplit="1" topLeftCell="A126" activePane="bottomLeft" state="frozen"/>
      <selection activeCell="M24" sqref="M24"/>
      <selection pane="bottomLeft" activeCell="H139" sqref="H139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124</v>
      </c>
      <c r="C2" s="10" t="str">
        <f ca="1">D2&amp;G2&amp;H2</f>
        <v>1PremiumW4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43">
        <f ca="1">VLOOKUP(C2,gacha_124_base!A:B,2,FALSE)</f>
        <v>2150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124</v>
      </c>
      <c r="C3" s="10" t="str">
        <f t="shared" ref="C3:C66" ca="1" si="1">D3&amp;G3&amp;H3</f>
        <v>1PremiumW4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43">
        <f ca="1">VLOOKUP(C3,gacha_124_base!A:B,2,FALSE)</f>
        <v>2150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124</v>
      </c>
      <c r="C4" s="10" t="str">
        <f t="shared" ca="1" si="1"/>
        <v>1PremiumW4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43">
        <f ca="1">VLOOKUP(C4,gacha_124_base!A:B,2,FALSE)</f>
        <v>2150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124</v>
      </c>
      <c r="C5" s="10" t="str">
        <f t="shared" ca="1" si="1"/>
        <v>1PremiumW4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43">
        <f ca="1">VLOOKUP(C5,gacha_124_base!A:B,2,FALSE)</f>
        <v>2150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124</v>
      </c>
      <c r="C6" s="10" t="str">
        <f t="shared" ca="1" si="1"/>
        <v>1PremiumW4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43">
        <f ca="1">VLOOKUP(C6,gacha_124_base!A:B,2,FALSE)</f>
        <v>2150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124</v>
      </c>
      <c r="C7" s="10" t="str">
        <f t="shared" ca="1" si="1"/>
        <v>1PremiumW4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43">
        <f ca="1">VLOOKUP(C7,gacha_124_base!A:B,2,FALSE)</f>
        <v>2150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124</v>
      </c>
      <c r="C8" s="10" t="str">
        <f t="shared" ca="1" si="1"/>
        <v>1PremiumW4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43">
        <f ca="1">VLOOKUP(C8,gacha_124_base!A:B,2,FALSE)</f>
        <v>2150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124</v>
      </c>
      <c r="C9" s="10" t="str">
        <f t="shared" ca="1" si="1"/>
        <v>1PremiumW4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43">
        <f ca="1">VLOOKUP(C9,gacha_124_base!A:B,2,FALSE)</f>
        <v>2150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124</v>
      </c>
      <c r="C10" s="10" t="str">
        <f t="shared" ca="1" si="1"/>
        <v>1PremiumW4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43">
        <f ca="1">VLOOKUP(C10,gacha_124_base!A:B,2,FALSE)</f>
        <v>2150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124</v>
      </c>
      <c r="C11" s="10" t="str">
        <f t="shared" ca="1" si="1"/>
        <v>1PremiumW4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43">
        <f ca="1">VLOOKUP(C11,gacha_124_base!A:B,2,FALSE)</f>
        <v>2150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124</v>
      </c>
      <c r="C12" s="10" t="str">
        <f t="shared" ca="1" si="1"/>
        <v>1PremiumW4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43">
        <f ca="1">VLOOKUP(C12,gacha_124_base!A:B,2,FALSE)</f>
        <v>2150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124</v>
      </c>
      <c r="C13" s="10" t="str">
        <f t="shared" ca="1" si="1"/>
        <v>1PremiumW4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43">
        <f ca="1">VLOOKUP(C13,gacha_124_base!A:B,2,FALSE)</f>
        <v>2150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124</v>
      </c>
      <c r="C14" s="10" t="str">
        <f t="shared" ca="1" si="1"/>
        <v>1PremiumW4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43">
        <f ca="1">VLOOKUP(C14,gacha_124_base!A:B,2,FALSE)</f>
        <v>2150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124</v>
      </c>
      <c r="C15" s="10" t="str">
        <f t="shared" ca="1" si="1"/>
        <v>1PremiumW4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43">
        <f ca="1">VLOOKUP(C15,gacha_124_base!A:B,2,FALSE)</f>
        <v>2150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124</v>
      </c>
      <c r="C16" s="10" t="str">
        <f t="shared" ca="1" si="1"/>
        <v>1PremiumW4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43">
        <f ca="1">VLOOKUP(C16,gacha_124_base!A:B,2,FALSE)</f>
        <v>2150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124</v>
      </c>
      <c r="C17" s="10" t="str">
        <f t="shared" ca="1" si="1"/>
        <v>1PremiumW4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43">
        <f ca="1">VLOOKUP(C17,gacha_124_base!A:B,2,FALSE)</f>
        <v>2150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124</v>
      </c>
      <c r="C18" s="10" t="str">
        <f t="shared" ca="1" si="1"/>
        <v>1PremiumW4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43">
        <f ca="1">VLOOKUP(C18,gacha_124_base!A:B,2,FALSE)</f>
        <v>2150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124</v>
      </c>
      <c r="C19" s="10" t="str">
        <f t="shared" ca="1" si="1"/>
        <v>1PremiumW4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43">
        <f ca="1">VLOOKUP(C19,gacha_124_base!A:B,2,FALSE)</f>
        <v>2150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124</v>
      </c>
      <c r="C20" s="10" t="str">
        <f t="shared" ca="1" si="1"/>
        <v>1PremiumW4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43">
        <f ca="1">VLOOKUP(C20,gacha_124_base!A:B,2,FALSE)</f>
        <v>2150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124</v>
      </c>
      <c r="C21" s="10" t="str">
        <f t="shared" ca="1" si="1"/>
        <v>1PremiumW4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43">
        <f ca="1">VLOOKUP(C21,gacha_124_base!A:B,2,FALSE)</f>
        <v>2150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124</v>
      </c>
      <c r="C22" s="10" t="str">
        <f t="shared" ca="1" si="1"/>
        <v>1PremiumN4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43">
        <f ca="1">VLOOKUP(C22,gacha_124_base!A:B,2,FALSE)</f>
        <v>2266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124</v>
      </c>
      <c r="C23" s="10" t="str">
        <f t="shared" ca="1" si="1"/>
        <v>1PremiumN4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43">
        <f ca="1">VLOOKUP(C23,gacha_124_base!A:B,2,FALSE)</f>
        <v>2266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124</v>
      </c>
      <c r="C24" s="10" t="str">
        <f t="shared" ca="1" si="1"/>
        <v>1PremiumN4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43">
        <f ca="1">VLOOKUP(C24,gacha_124_base!A:B,2,FALSE)</f>
        <v>2266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124</v>
      </c>
      <c r="C25" s="10" t="str">
        <f t="shared" ca="1" si="1"/>
        <v>1PremiumN4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43">
        <f ca="1">VLOOKUP(C25,gacha_124_base!A:B,2,FALSE)</f>
        <v>2266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124</v>
      </c>
      <c r="C26" s="10" t="str">
        <f t="shared" ca="1" si="1"/>
        <v>1PremiumN4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43">
        <f ca="1">VLOOKUP(C26,gacha_124_base!A:B,2,FALSE)</f>
        <v>2266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124</v>
      </c>
      <c r="C27" s="10" t="str">
        <f t="shared" ca="1" si="1"/>
        <v>1PremiumN4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43">
        <f ca="1">VLOOKUP(C27,gacha_124_base!A:B,2,FALSE)</f>
        <v>2266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124</v>
      </c>
      <c r="C28" s="10" t="str">
        <f t="shared" ca="1" si="1"/>
        <v>1PremiumN4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43">
        <f ca="1">VLOOKUP(C28,gacha_124_base!A:B,2,FALSE)</f>
        <v>2266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124</v>
      </c>
      <c r="C29" s="10" t="str">
        <f t="shared" ca="1" si="1"/>
        <v>1PremiumN4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43">
        <f ca="1">VLOOKUP(C29,gacha_124_base!A:B,2,FALSE)</f>
        <v>2266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124</v>
      </c>
      <c r="C30" s="10" t="str">
        <f t="shared" ca="1" si="1"/>
        <v>1PremiumN4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43">
        <f ca="1">VLOOKUP(C30,gacha_124_base!A:B,2,FALSE)</f>
        <v>2266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124</v>
      </c>
      <c r="C31" s="10" t="str">
        <f t="shared" ca="1" si="1"/>
        <v>1PremiumN4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43">
        <f ca="1">VLOOKUP(C31,gacha_124_base!A:B,2,FALSE)</f>
        <v>2266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124</v>
      </c>
      <c r="C32" s="10" t="str">
        <f t="shared" ca="1" si="1"/>
        <v>1PremiumN4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43">
        <f ca="1">VLOOKUP(C32,gacha_124_base!A:B,2,FALSE)</f>
        <v>2266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124</v>
      </c>
      <c r="C33" s="10" t="str">
        <f t="shared" ca="1" si="1"/>
        <v>1PremiumN4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43">
        <f ca="1">VLOOKUP(C33,gacha_124_base!A:B,2,FALSE)</f>
        <v>2266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124</v>
      </c>
      <c r="C34" s="10" t="str">
        <f t="shared" ca="1" si="1"/>
        <v>1PremiumN4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43">
        <f ca="1">VLOOKUP(C34,gacha_124_base!A:B,2,FALSE)</f>
        <v>2266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124</v>
      </c>
      <c r="C35" s="10" t="str">
        <f t="shared" ca="1" si="1"/>
        <v>1PremiumN4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43">
        <f ca="1">VLOOKUP(C35,gacha_124_base!A:B,2,FALSE)</f>
        <v>2266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124</v>
      </c>
      <c r="C36" s="10" t="str">
        <f t="shared" ca="1" si="1"/>
        <v>1PremiumN4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43">
        <f ca="1">VLOOKUP(C36,gacha_124_base!A:B,2,FALSE)</f>
        <v>2266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124</v>
      </c>
      <c r="C37" s="10" t="str">
        <f t="shared" ca="1" si="1"/>
        <v>1PremiumN4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43">
        <f ca="1">VLOOKUP(C37,gacha_124_base!A:B,2,FALSE)</f>
        <v>2266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124</v>
      </c>
      <c r="C38" s="10" t="str">
        <f t="shared" ca="1" si="1"/>
        <v>1PremiumN4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43">
        <f ca="1">VLOOKUP(C38,gacha_124_base!A:B,2,FALSE)</f>
        <v>2266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124</v>
      </c>
      <c r="C39" s="10" t="str">
        <f t="shared" ca="1" si="1"/>
        <v>1PremiumN4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43">
        <f ca="1">VLOOKUP(C39,gacha_124_base!A:B,2,FALSE)</f>
        <v>2266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124</v>
      </c>
      <c r="C40" s="10" t="str">
        <f t="shared" ca="1" si="1"/>
        <v>1PremiumN4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43">
        <f ca="1">VLOOKUP(C40,gacha_124_base!A:B,2,FALSE)</f>
        <v>2266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124</v>
      </c>
      <c r="C41" s="10" t="str">
        <f t="shared" ca="1" si="1"/>
        <v>1PremiumN4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43">
        <f ca="1">VLOOKUP(C41,gacha_124_base!A:B,2,FALSE)</f>
        <v>2266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124</v>
      </c>
      <c r="C42" s="10" t="str">
        <f t="shared" ca="1" si="1"/>
        <v>1PremiumS4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43">
        <f ca="1">VLOOKUP(C42,gacha_124_base!A:B,2,FALSE)</f>
        <v>411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124</v>
      </c>
      <c r="C43" s="10" t="str">
        <f t="shared" ca="1" si="1"/>
        <v>1PremiumS4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43">
        <f ca="1">VLOOKUP(C43,gacha_124_base!A:B,2,FALSE)</f>
        <v>411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124</v>
      </c>
      <c r="C44" s="10" t="str">
        <f t="shared" ca="1" si="1"/>
        <v>1PremiumS4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43">
        <f ca="1">VLOOKUP(C44,gacha_124_base!A:B,2,FALSE)</f>
        <v>411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124</v>
      </c>
      <c r="C45" s="10" t="str">
        <f t="shared" ca="1" si="1"/>
        <v>1PremiumS4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43">
        <f ca="1">VLOOKUP(C45,gacha_124_base!A:B,2,FALSE)</f>
        <v>411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124</v>
      </c>
      <c r="C46" s="10" t="str">
        <f t="shared" ca="1" si="1"/>
        <v>1PremiumN5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43">
        <f ca="1">VLOOKUP(C46,gacha_124_base!A:B,2,FALSE)</f>
        <v>184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124</v>
      </c>
      <c r="C47" s="10" t="str">
        <f t="shared" ca="1" si="1"/>
        <v>1PremiumN5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43">
        <f ca="1">VLOOKUP(C47,gacha_124_base!A:B,2,FALSE)</f>
        <v>184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124</v>
      </c>
      <c r="C48" s="10" t="str">
        <f t="shared" ca="1" si="1"/>
        <v>1PremiumN5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43">
        <f ca="1">VLOOKUP(C48,gacha_124_base!A:B,2,FALSE)</f>
        <v>184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124</v>
      </c>
      <c r="C49" s="10" t="str">
        <f t="shared" ca="1" si="1"/>
        <v>1PremiumN5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43">
        <f ca="1">VLOOKUP(C49,gacha_124_base!A:B,2,FALSE)</f>
        <v>184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124</v>
      </c>
      <c r="C50" s="10" t="str">
        <f t="shared" ca="1" si="1"/>
        <v>1PremiumN5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43">
        <f ca="1">VLOOKUP(C50,gacha_124_base!A:B,2,FALSE)</f>
        <v>184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124</v>
      </c>
      <c r="C51" s="10" t="str">
        <f t="shared" ca="1" si="1"/>
        <v>1PremiumN5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43">
        <f ca="1">VLOOKUP(C51,gacha_124_base!A:B,2,FALSE)</f>
        <v>184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124</v>
      </c>
      <c r="C52" s="10" t="str">
        <f t="shared" ca="1" si="1"/>
        <v>1PremiumN5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43">
        <f ca="1">VLOOKUP(C52,gacha_124_base!A:B,2,FALSE)</f>
        <v>184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124</v>
      </c>
      <c r="C53" s="10" t="str">
        <f t="shared" ca="1" si="1"/>
        <v>1PremiumN5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43">
        <f ca="1">VLOOKUP(C53,gacha_124_base!A:B,2,FALSE)</f>
        <v>184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124</v>
      </c>
      <c r="C54" s="10" t="str">
        <f t="shared" ca="1" si="1"/>
        <v>1PremiumN5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43">
        <f ca="1">VLOOKUP(C54,gacha_124_base!A:B,2,FALSE)</f>
        <v>184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124</v>
      </c>
      <c r="C55" s="10" t="str">
        <f t="shared" ca="1" si="1"/>
        <v>1PremiumN5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43">
        <f ca="1">VLOOKUP(C55,gacha_124_base!A:B,2,FALSE)</f>
        <v>184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124</v>
      </c>
      <c r="C56" s="10" t="str">
        <f t="shared" ca="1" si="1"/>
        <v>1PremiumN5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43">
        <f ca="1">VLOOKUP(C56,gacha_124_base!A:B,2,FALSE)</f>
        <v>184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124</v>
      </c>
      <c r="C57" s="10" t="str">
        <f t="shared" ca="1" si="1"/>
        <v>1PremiumN5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43">
        <f ca="1">VLOOKUP(C57,gacha_124_base!A:B,2,FALSE)</f>
        <v>184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124</v>
      </c>
      <c r="C58" s="10" t="str">
        <f t="shared" ca="1" si="1"/>
        <v>1PremiumN5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43">
        <f ca="1">VLOOKUP(C58,gacha_124_base!A:B,2,FALSE)</f>
        <v>184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124</v>
      </c>
      <c r="C59" s="10" t="str">
        <f t="shared" ca="1" si="1"/>
        <v>1PremiumN5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43">
        <f ca="1">VLOOKUP(C59,gacha_124_base!A:B,2,FALSE)</f>
        <v>184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124</v>
      </c>
      <c r="C60" s="10" t="str">
        <f t="shared" ca="1" si="1"/>
        <v>1PremiumN5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43">
        <f ca="1">VLOOKUP(C60,gacha_124_base!A:B,2,FALSE)</f>
        <v>184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124</v>
      </c>
      <c r="C61" s="10" t="str">
        <f t="shared" ca="1" si="1"/>
        <v>1PremiumN5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43">
        <f ca="1">VLOOKUP(C61,gacha_124_base!A:B,2,FALSE)</f>
        <v>184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124</v>
      </c>
      <c r="C62" s="10" t="str">
        <f t="shared" ca="1" si="1"/>
        <v>1PremiumN5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43">
        <f ca="1">VLOOKUP(C62,gacha_124_base!A:B,2,FALSE)</f>
        <v>184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124</v>
      </c>
      <c r="C63" s="10" t="str">
        <f t="shared" ca="1" si="1"/>
        <v>1PremiumN5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43">
        <f ca="1">VLOOKUP(C63,gacha_124_base!A:B,2,FALSE)</f>
        <v>184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124</v>
      </c>
      <c r="C64" s="10" t="str">
        <f t="shared" ca="1" si="1"/>
        <v>1PremiumN5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43">
        <f ca="1">VLOOKUP(C64,gacha_124_base!A:B,2,FALSE)</f>
        <v>184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124</v>
      </c>
      <c r="C65" s="10" t="str">
        <f t="shared" ca="1" si="1"/>
        <v>1PremiumN5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43">
        <f ca="1">VLOOKUP(C65,gacha_124_base!A:B,2,FALSE)</f>
        <v>184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2">D66&amp;E66&amp;L66</f>
        <v>12281</v>
      </c>
      <c r="B66" s="2">
        <v>124</v>
      </c>
      <c r="C66" s="10" t="str">
        <f t="shared" ca="1" si="1"/>
        <v>1PremiumS5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43">
        <f ca="1">VLOOKUP(C66,gacha_124_base!A:B,2,FALSE)</f>
        <v>17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2"/>
        <v>12311</v>
      </c>
      <c r="B67" s="2">
        <v>124</v>
      </c>
      <c r="C67" s="10" t="str">
        <f t="shared" ref="C67:C130" ca="1" si="3">D67&amp;G67&amp;H67</f>
        <v>1PremiumS5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43">
        <f ca="1">VLOOKUP(C67,gacha_124_base!A:B,2,FALSE)</f>
        <v>17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2"/>
        <v>12341</v>
      </c>
      <c r="B68" s="2">
        <v>124</v>
      </c>
      <c r="C68" s="10" t="str">
        <f t="shared" ca="1" si="3"/>
        <v>1PremiumS5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43">
        <f ca="1">VLOOKUP(C68,gacha_124_base!A:B,2,FALSE)</f>
        <v>17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2"/>
        <v>12371</v>
      </c>
      <c r="B69" s="2">
        <v>124</v>
      </c>
      <c r="C69" s="10" t="str">
        <f t="shared" ca="1" si="3"/>
        <v>1PremiumS5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43">
        <f ca="1">VLOOKUP(C69,gacha_124_base!A:B,2,FALSE)</f>
        <v>17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2"/>
        <v>12391</v>
      </c>
      <c r="B70" s="2">
        <v>124</v>
      </c>
      <c r="C70" s="10" t="str">
        <f t="shared" ca="1" si="3"/>
        <v>1PremiumS4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43">
        <f ca="1">VLOOKUP(C70,gacha_124_base!A:B,2,FALSE)</f>
        <v>411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2"/>
        <v>12401</v>
      </c>
      <c r="B71" s="2">
        <v>124</v>
      </c>
      <c r="C71" s="10" t="str">
        <f t="shared" ca="1" si="3"/>
        <v>1PremiumS5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43">
        <f ca="1">VLOOKUP(C71,gacha_124_base!A:B,2,FALSE)</f>
        <v>17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2"/>
        <v>12421</v>
      </c>
      <c r="B72" s="2">
        <v>124</v>
      </c>
      <c r="C72" s="10" t="str">
        <f t="shared" ca="1" si="3"/>
        <v>1PremiumS4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43">
        <f ca="1">VLOOKUP(C72,gacha_124_base!A:B,2,FALSE)</f>
        <v>411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2"/>
        <v>12431</v>
      </c>
      <c r="B73" s="2">
        <v>124</v>
      </c>
      <c r="C73" s="10" t="str">
        <f t="shared" ca="1" si="3"/>
        <v>1PremiumS5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43">
        <f ca="1">VLOOKUP(C73,gacha_124_base!A:B,2,FALSE)</f>
        <v>17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2"/>
        <v>12451</v>
      </c>
      <c r="B74" s="2">
        <v>124</v>
      </c>
      <c r="C74" s="10" t="str">
        <f t="shared" ca="1" si="3"/>
        <v>1PremiumS4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43">
        <f ca="1">VLOOKUP(C74,gacha_124_base!A:B,2,FALSE)</f>
        <v>411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2"/>
        <v>12461</v>
      </c>
      <c r="B75" s="2">
        <v>124</v>
      </c>
      <c r="C75" s="10" t="str">
        <f t="shared" ca="1" si="3"/>
        <v>1PremiumS5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43">
        <f ca="1">VLOOKUP(C75,gacha_124_base!A:B,2,FALSE)</f>
        <v>17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2"/>
        <v>12481</v>
      </c>
      <c r="B76" s="2">
        <v>124</v>
      </c>
      <c r="C76" s="10" t="str">
        <f t="shared" ca="1" si="3"/>
        <v>1PremiumS4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43">
        <f ca="1">VLOOKUP(C76,gacha_124_base!A:B,2,FALSE)</f>
        <v>411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2"/>
        <v>12491</v>
      </c>
      <c r="B77" s="2">
        <v>124</v>
      </c>
      <c r="C77" s="10" t="str">
        <f t="shared" ca="1" si="3"/>
        <v>1PremiumS5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43">
        <f ca="1">VLOOKUP(C77,gacha_124_base!A:B,2,FALSE)</f>
        <v>17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2"/>
        <v>12511</v>
      </c>
      <c r="B78" s="2">
        <v>124</v>
      </c>
      <c r="C78" s="10" t="str">
        <f t="shared" ca="1" si="3"/>
        <v>1PremiumS4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43">
        <f ca="1">VLOOKUP(C78,gacha_124_base!A:B,2,FALSE)</f>
        <v>411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2"/>
        <v>12521</v>
      </c>
      <c r="B79" s="2">
        <v>124</v>
      </c>
      <c r="C79" s="10" t="str">
        <f t="shared" ca="1" si="3"/>
        <v>1PremiumS5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43">
        <f ca="1">VLOOKUP(C79,gacha_124_base!A:B,2,FALSE)</f>
        <v>17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2"/>
        <v>12541</v>
      </c>
      <c r="B80" s="2">
        <v>124</v>
      </c>
      <c r="C80" s="10" t="str">
        <f t="shared" ca="1" si="3"/>
        <v>1PremiumS4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43">
        <f ca="1">VLOOKUP(C80,gacha_124_base!A:B,2,FALSE)</f>
        <v>411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2"/>
        <v>12551</v>
      </c>
      <c r="B81" s="2">
        <v>124</v>
      </c>
      <c r="C81" s="10" t="str">
        <f t="shared" ca="1" si="3"/>
        <v>1PremiumS5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43">
        <f ca="1">VLOOKUP(C81,gacha_124_base!A:B,2,FALSE)</f>
        <v>17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2"/>
        <v>12571</v>
      </c>
      <c r="B82" s="2">
        <v>124</v>
      </c>
      <c r="C82" s="10" t="str">
        <f t="shared" ca="1" si="3"/>
        <v>1PremiumS4</v>
      </c>
      <c r="D82" s="6">
        <v>1</v>
      </c>
      <c r="E82" s="7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43">
        <f ca="1">VLOOKUP(C82,gacha_124_base!A:B,2,FALSE)</f>
        <v>411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2"/>
        <v>12581</v>
      </c>
      <c r="B83" s="2">
        <v>124</v>
      </c>
      <c r="C83" s="10" t="str">
        <f t="shared" ca="1" si="3"/>
        <v>1PremiumS5</v>
      </c>
      <c r="D83" s="6">
        <v>1</v>
      </c>
      <c r="E83" s="7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43">
        <f ca="1">VLOOKUP(C83,gacha_124_base!A:B,2,FALSE)</f>
        <v>17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2"/>
        <v>12601</v>
      </c>
      <c r="B84" s="2">
        <v>124</v>
      </c>
      <c r="C84" s="10" t="str">
        <f t="shared" ca="1" si="3"/>
        <v>1PremiumS4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43">
        <f ca="1">VLOOKUP(C84,gacha_124_base!A:B,2,FALSE)</f>
        <v>411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2"/>
        <v>12611</v>
      </c>
      <c r="B85" s="2">
        <v>124</v>
      </c>
      <c r="C85" s="10" t="str">
        <f t="shared" ca="1" si="3"/>
        <v>1PremiumS5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43">
        <f ca="1">VLOOKUP(C85,gacha_124_base!A:B,2,FALSE)</f>
        <v>17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2"/>
        <v>13201</v>
      </c>
      <c r="B86" s="2">
        <v>124</v>
      </c>
      <c r="C86" s="10" t="str">
        <f t="shared" ca="1" si="3"/>
        <v>1PremiumSS4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43">
        <f ca="1">VLOOKUP(C86,gacha_124_base!A:B,2,FALSE)</f>
        <v>320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2"/>
        <v>13211</v>
      </c>
      <c r="B87" s="2">
        <v>124</v>
      </c>
      <c r="C87" s="10" t="str">
        <f t="shared" ca="1" si="3"/>
        <v>1PremiumSS5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43">
        <f ca="1">VLOOKUP(C87,gacha_124_base!A:B,2,FALSE)</f>
        <v>13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2"/>
        <v>13221</v>
      </c>
      <c r="B88" s="2">
        <v>124</v>
      </c>
      <c r="C88" s="10" t="str">
        <f t="shared" ca="1" si="3"/>
        <v>1PremiumSS4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43">
        <f ca="1">VLOOKUP(C88,gacha_124_base!A:B,2,FALSE)</f>
        <v>320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2"/>
        <v>13231</v>
      </c>
      <c r="B89" s="2">
        <v>124</v>
      </c>
      <c r="C89" s="10" t="str">
        <f t="shared" ca="1" si="3"/>
        <v>1PremiumSS5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43">
        <f ca="1">VLOOKUP(C89,gacha_124_base!A:B,2,FALSE)</f>
        <v>13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2"/>
        <v>13241</v>
      </c>
      <c r="B90" s="2">
        <v>124</v>
      </c>
      <c r="C90" s="10" t="str">
        <f t="shared" ca="1" si="3"/>
        <v>1PremiumSS4</v>
      </c>
      <c r="D90" s="6">
        <v>1</v>
      </c>
      <c r="E90" s="7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43">
        <f ca="1">VLOOKUP(C90,gacha_124_base!A:B,2,FALSE)</f>
        <v>320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2"/>
        <v>13251</v>
      </c>
      <c r="B91" s="2">
        <v>124</v>
      </c>
      <c r="C91" s="10" t="str">
        <f t="shared" ca="1" si="3"/>
        <v>1PremiumSS5</v>
      </c>
      <c r="D91" s="6">
        <v>1</v>
      </c>
      <c r="E91" s="7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43">
        <f ca="1">VLOOKUP(C91,gacha_124_base!A:B,2,FALSE)</f>
        <v>13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2"/>
        <v>13261</v>
      </c>
      <c r="B92" s="2">
        <v>124</v>
      </c>
      <c r="C92" s="10" t="str">
        <f t="shared" ca="1" si="3"/>
        <v>1PremiumSS4</v>
      </c>
      <c r="D92" s="34">
        <v>1</v>
      </c>
      <c r="E92" s="35">
        <v>326</v>
      </c>
      <c r="F92" s="36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6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6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6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6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6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4">
        <v>1</v>
      </c>
      <c r="M92" s="43">
        <f ca="1">VLOOKUP(C92,gacha_124_base!A:B,2,FALSE)</f>
        <v>320</v>
      </c>
      <c r="N92" s="37">
        <v>0</v>
      </c>
      <c r="O92" s="37">
        <v>0</v>
      </c>
      <c r="P92" s="37">
        <v>0</v>
      </c>
      <c r="Q92" s="37">
        <v>0</v>
      </c>
      <c r="R92" s="37">
        <v>1</v>
      </c>
    </row>
    <row r="93" spans="1:18" ht="21" customHeight="1" thickBot="1">
      <c r="A93" s="22" t="str">
        <f t="shared" si="2"/>
        <v>13271</v>
      </c>
      <c r="B93" s="2">
        <v>124</v>
      </c>
      <c r="C93" s="10" t="str">
        <f t="shared" ca="1" si="3"/>
        <v>1PremiumSS5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43">
        <f ca="1">VLOOKUP(C93,gacha_124_base!A:B,2,FALSE)</f>
        <v>13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2"/>
        <v>13811</v>
      </c>
      <c r="B94" s="2">
        <v>124</v>
      </c>
      <c r="C94" s="10" t="str">
        <f t="shared" ca="1" si="3"/>
        <v>1PremiumS4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43">
        <f ca="1">VLOOKUP(C94,gacha_124_base!A:B,2,FALSE)</f>
        <v>411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2"/>
        <v>13821</v>
      </c>
      <c r="B95" s="2">
        <v>124</v>
      </c>
      <c r="C95" s="10" t="str">
        <f t="shared" ca="1" si="3"/>
        <v>1PremiumS5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43">
        <f ca="1">VLOOKUP(C95,gacha_124_base!A:B,2,FALSE)</f>
        <v>17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2"/>
        <v>13831</v>
      </c>
      <c r="B96" s="2">
        <v>124</v>
      </c>
      <c r="C96" s="10" t="str">
        <f t="shared" ca="1" si="3"/>
        <v>1PremiumSS4</v>
      </c>
      <c r="D96" s="6">
        <v>1</v>
      </c>
      <c r="E96" s="27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43">
        <f ca="1">VLOOKUP(C96,gacha_124_base!A:B,2,FALSE)</f>
        <v>320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2"/>
        <v>13841</v>
      </c>
      <c r="B97" s="2">
        <v>124</v>
      </c>
      <c r="C97" s="10" t="str">
        <f t="shared" ca="1" si="3"/>
        <v>1PremiumSS5</v>
      </c>
      <c r="D97" s="6">
        <v>1</v>
      </c>
      <c r="E97" s="27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6">
        <v>1</v>
      </c>
      <c r="M97" s="43">
        <f ca="1">VLOOKUP(C97,gacha_124_base!A:B,2,FALSE)</f>
        <v>13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2"/>
        <v>13851</v>
      </c>
      <c r="B98" s="2">
        <v>124</v>
      </c>
      <c r="C98" s="10" t="str">
        <f t="shared" ca="1" si="3"/>
        <v>1PremiumSS4</v>
      </c>
      <c r="D98" s="6">
        <v>1</v>
      </c>
      <c r="E98" s="27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6">
        <v>1</v>
      </c>
      <c r="M98" s="43">
        <f ca="1">VLOOKUP(C98,gacha_124_base!A:B,2,FALSE)</f>
        <v>320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2"/>
        <v>13861</v>
      </c>
      <c r="B99" s="2">
        <v>124</v>
      </c>
      <c r="C99" s="10" t="str">
        <f t="shared" ca="1" si="3"/>
        <v>1PremiumSS5</v>
      </c>
      <c r="D99" s="34">
        <v>1</v>
      </c>
      <c r="E99" s="33">
        <v>386</v>
      </c>
      <c r="F99" s="36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6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6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6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6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6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34">
        <v>1</v>
      </c>
      <c r="M99" s="43">
        <f ca="1">VLOOKUP(C99,gacha_124_base!A:B,2,FALSE)</f>
        <v>13</v>
      </c>
      <c r="N99" s="37">
        <v>0</v>
      </c>
      <c r="O99" s="37">
        <v>0</v>
      </c>
      <c r="P99" s="37">
        <v>0</v>
      </c>
      <c r="Q99" s="37">
        <v>0</v>
      </c>
      <c r="R99" s="37">
        <v>1</v>
      </c>
    </row>
    <row r="100" spans="1:18" ht="21" customHeight="1">
      <c r="A100" s="32" t="str">
        <f t="shared" si="2"/>
        <v>13881</v>
      </c>
      <c r="B100" s="2">
        <v>124</v>
      </c>
      <c r="C100" s="10" t="str">
        <f t="shared" ca="1" si="3"/>
        <v>1PremiumS4</v>
      </c>
      <c r="D100" s="34">
        <v>1</v>
      </c>
      <c r="E100" s="35">
        <v>388</v>
      </c>
      <c r="F100" s="36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6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6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6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6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6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4">
        <v>1</v>
      </c>
      <c r="M100" s="43">
        <f ca="1">VLOOKUP(C100,gacha_124_base!A:B,2,FALSE)</f>
        <v>411</v>
      </c>
      <c r="N100" s="37">
        <v>0</v>
      </c>
      <c r="O100" s="37">
        <v>0</v>
      </c>
      <c r="P100" s="37">
        <v>0</v>
      </c>
      <c r="Q100" s="37">
        <v>0</v>
      </c>
      <c r="R100" s="37">
        <v>1</v>
      </c>
    </row>
    <row r="101" spans="1:18" s="40" customFormat="1" ht="21" customHeight="1" thickBot="1">
      <c r="A101" s="39" t="str">
        <f t="shared" si="2"/>
        <v>13891</v>
      </c>
      <c r="B101" s="2">
        <v>124</v>
      </c>
      <c r="C101" s="10" t="str">
        <f t="shared" ca="1" si="3"/>
        <v>1PremiumS5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43">
        <f ca="1">VLOOKUP(C101,gacha_124_base!A:B,2,FALSE)</f>
        <v>17</v>
      </c>
      <c r="N101" s="31">
        <v>0</v>
      </c>
      <c r="O101" s="31">
        <v>0</v>
      </c>
      <c r="P101" s="31">
        <v>0</v>
      </c>
      <c r="Q101" s="31">
        <v>0</v>
      </c>
      <c r="R101" s="31">
        <v>1</v>
      </c>
    </row>
    <row r="102" spans="1:18" ht="21" customHeight="1">
      <c r="A102" s="8" t="str">
        <f t="shared" si="2"/>
        <v>01261</v>
      </c>
      <c r="B102" s="2">
        <v>124</v>
      </c>
      <c r="C102" s="10" t="str">
        <f t="shared" ca="1" si="3"/>
        <v>0PremiumW3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43">
        <f ca="1">VLOOKUP(C102,gacha_124_base!A:B,2,FALSE)</f>
        <v>2460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2"/>
        <v>01281</v>
      </c>
      <c r="B103" s="2">
        <v>124</v>
      </c>
      <c r="C103" s="10" t="str">
        <f t="shared" ca="1" si="3"/>
        <v>0PremiumW3</v>
      </c>
      <c r="D103" s="21">
        <v>0</v>
      </c>
      <c r="E103" s="27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21">
        <v>1</v>
      </c>
      <c r="M103" s="43">
        <f ca="1">VLOOKUP(C103,gacha_124_base!A:B,2,FALSE)</f>
        <v>2460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2"/>
        <v>01301</v>
      </c>
      <c r="B104" s="2">
        <v>124</v>
      </c>
      <c r="C104" s="10" t="str">
        <f t="shared" ca="1" si="3"/>
        <v>0PremiumW3</v>
      </c>
      <c r="D104" s="6">
        <v>0</v>
      </c>
      <c r="E104" s="7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6">
        <v>1</v>
      </c>
      <c r="M104" s="43">
        <f ca="1">VLOOKUP(C104,gacha_124_base!A:B,2,FALSE)</f>
        <v>2460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2"/>
        <v>01321</v>
      </c>
      <c r="B105" s="2">
        <v>124</v>
      </c>
      <c r="C105" s="10" t="str">
        <f t="shared" ca="1" si="3"/>
        <v>0PremiumW3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43">
        <f ca="1">VLOOKUP(C105,gacha_124_base!A:B,2,FALSE)</f>
        <v>2460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2"/>
        <v>01341</v>
      </c>
      <c r="B106" s="2">
        <v>124</v>
      </c>
      <c r="C106" s="10" t="str">
        <f t="shared" ca="1" si="3"/>
        <v>0PremiumW3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43">
        <f ca="1">VLOOKUP(C106,gacha_124_base!A:B,2,FALSE)</f>
        <v>2460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2"/>
        <v>01361</v>
      </c>
      <c r="B107" s="2">
        <v>124</v>
      </c>
      <c r="C107" s="10" t="str">
        <f t="shared" ca="1" si="3"/>
        <v>0PremiumW3</v>
      </c>
      <c r="D107" s="6">
        <v>0</v>
      </c>
      <c r="E107" s="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43">
        <f ca="1">VLOOKUP(C107,gacha_124_base!A:B,2,FALSE)</f>
        <v>2460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2"/>
        <v>01381</v>
      </c>
      <c r="B108" s="2">
        <v>124</v>
      </c>
      <c r="C108" s="10" t="str">
        <f t="shared" ca="1" si="3"/>
        <v>0PremiumW3</v>
      </c>
      <c r="D108" s="6">
        <v>0</v>
      </c>
      <c r="E108" s="7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43">
        <f ca="1">VLOOKUP(C108,gacha_124_base!A:B,2,FALSE)</f>
        <v>2460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2"/>
        <v>01401</v>
      </c>
      <c r="B109" s="2">
        <v>124</v>
      </c>
      <c r="C109" s="10" t="str">
        <f t="shared" ca="1" si="3"/>
        <v>0PremiumW3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43">
        <f ca="1">VLOOKUP(C109,gacha_124_base!A:B,2,FALSE)</f>
        <v>2460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2"/>
        <v>01421</v>
      </c>
      <c r="B110" s="2">
        <v>124</v>
      </c>
      <c r="C110" s="10" t="str">
        <f t="shared" ca="1" si="3"/>
        <v>0PremiumW3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43">
        <f ca="1">VLOOKUP(C110,gacha_124_base!A:B,2,FALSE)</f>
        <v>2460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2"/>
        <v>01441</v>
      </c>
      <c r="B111" s="2">
        <v>124</v>
      </c>
      <c r="C111" s="10" t="str">
        <f t="shared" ca="1" si="3"/>
        <v>0PremiumW3</v>
      </c>
      <c r="D111" s="6">
        <v>0</v>
      </c>
      <c r="E111" s="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43">
        <f ca="1">VLOOKUP(C111,gacha_124_base!A:B,2,FALSE)</f>
        <v>2460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2"/>
        <v>01461</v>
      </c>
      <c r="B112" s="2">
        <v>124</v>
      </c>
      <c r="C112" s="10" t="str">
        <f t="shared" ca="1" si="3"/>
        <v>0PremiumW3</v>
      </c>
      <c r="D112" s="6">
        <v>0</v>
      </c>
      <c r="E112" s="7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43">
        <f ca="1">VLOOKUP(C112,gacha_124_base!A:B,2,FALSE)</f>
        <v>2460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2"/>
        <v>01481</v>
      </c>
      <c r="B113" s="2">
        <v>124</v>
      </c>
      <c r="C113" s="10" t="str">
        <f t="shared" ca="1" si="3"/>
        <v>0PremiumW3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43">
        <f ca="1">VLOOKUP(C113,gacha_124_base!A:B,2,FALSE)</f>
        <v>2460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2"/>
        <v>01501</v>
      </c>
      <c r="B114" s="2">
        <v>124</v>
      </c>
      <c r="C114" s="10" t="str">
        <f t="shared" ca="1" si="3"/>
        <v>0PremiumW3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43">
        <f ca="1">VLOOKUP(C114,gacha_124_base!A:B,2,FALSE)</f>
        <v>2460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2"/>
        <v>01521</v>
      </c>
      <c r="B115" s="2">
        <v>124</v>
      </c>
      <c r="C115" s="10" t="str">
        <f t="shared" ca="1" si="3"/>
        <v>0PremiumW3</v>
      </c>
      <c r="D115" s="6">
        <v>0</v>
      </c>
      <c r="E115" s="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43">
        <f ca="1">VLOOKUP(C115,gacha_124_base!A:B,2,FALSE)</f>
        <v>2460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2"/>
        <v>01541</v>
      </c>
      <c r="B116" s="2">
        <v>124</v>
      </c>
      <c r="C116" s="10" t="str">
        <f t="shared" ca="1" si="3"/>
        <v>0PremiumW3</v>
      </c>
      <c r="D116" s="6">
        <v>0</v>
      </c>
      <c r="E116" s="7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43">
        <f ca="1">VLOOKUP(C116,gacha_124_base!A:B,2,FALSE)</f>
        <v>2460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2"/>
        <v>01561</v>
      </c>
      <c r="B117" s="2">
        <v>124</v>
      </c>
      <c r="C117" s="10" t="str">
        <f t="shared" ca="1" si="3"/>
        <v>0PremiumW3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43">
        <f ca="1">VLOOKUP(C117,gacha_124_base!A:B,2,FALSE)</f>
        <v>2460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2"/>
        <v>01581</v>
      </c>
      <c r="B118" s="2">
        <v>124</v>
      </c>
      <c r="C118" s="10" t="str">
        <f t="shared" ca="1" si="3"/>
        <v>0PremiumW3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43">
        <f ca="1">VLOOKUP(C118,gacha_124_base!A:B,2,FALSE)</f>
        <v>2460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2"/>
        <v>01601</v>
      </c>
      <c r="B119" s="2">
        <v>124</v>
      </c>
      <c r="C119" s="10" t="str">
        <f t="shared" ca="1" si="3"/>
        <v>0PremiumW3</v>
      </c>
      <c r="D119" s="6">
        <v>0</v>
      </c>
      <c r="E119" s="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43">
        <f ca="1">VLOOKUP(C119,gacha_124_base!A:B,2,FALSE)</f>
        <v>2460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2"/>
        <v>01621</v>
      </c>
      <c r="B120" s="2">
        <v>124</v>
      </c>
      <c r="C120" s="10" t="str">
        <f t="shared" ca="1" si="3"/>
        <v>0PremiumW3</v>
      </c>
      <c r="D120" s="6">
        <v>0</v>
      </c>
      <c r="E120" s="7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6">
        <v>1</v>
      </c>
      <c r="M120" s="43">
        <f ca="1">VLOOKUP(C120,gacha_124_base!A:B,2,FALSE)</f>
        <v>2460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2"/>
        <v>01641</v>
      </c>
      <c r="B121" s="2">
        <v>124</v>
      </c>
      <c r="C121" s="10" t="str">
        <f t="shared" ca="1" si="3"/>
        <v>0PremiumW3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43">
        <f ca="1">VLOOKUP(C121,gacha_124_base!A:B,2,FALSE)</f>
        <v>2460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2"/>
        <v>01661</v>
      </c>
      <c r="B122" s="2">
        <v>124</v>
      </c>
      <c r="C122" s="10" t="str">
        <f t="shared" ca="1" si="3"/>
        <v>0PremiumN3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43">
        <f ca="1">VLOOKUP(C122,gacha_124_base!A:B,2,FALSE)</f>
        <v>2679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2"/>
        <v>01691</v>
      </c>
      <c r="B123" s="2">
        <v>124</v>
      </c>
      <c r="C123" s="10" t="str">
        <f t="shared" ca="1" si="3"/>
        <v>0PremiumN3</v>
      </c>
      <c r="D123" s="6">
        <v>0</v>
      </c>
      <c r="E123" s="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43">
        <f ca="1">VLOOKUP(C123,gacha_124_base!A:B,2,FALSE)</f>
        <v>2679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2"/>
        <v>01721</v>
      </c>
      <c r="B124" s="2">
        <v>124</v>
      </c>
      <c r="C124" s="10" t="str">
        <f t="shared" ca="1" si="3"/>
        <v>0PremiumN3</v>
      </c>
      <c r="D124" s="6">
        <v>0</v>
      </c>
      <c r="E124" s="7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6">
        <v>1</v>
      </c>
      <c r="M124" s="43">
        <f ca="1">VLOOKUP(C124,gacha_124_base!A:B,2,FALSE)</f>
        <v>2679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2"/>
        <v>01751</v>
      </c>
      <c r="B125" s="2">
        <v>124</v>
      </c>
      <c r="C125" s="10" t="str">
        <f t="shared" ca="1" si="3"/>
        <v>0PremiumN3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43">
        <f ca="1">VLOOKUP(C125,gacha_124_base!A:B,2,FALSE)</f>
        <v>2679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2"/>
        <v>01781</v>
      </c>
      <c r="B126" s="2">
        <v>124</v>
      </c>
      <c r="C126" s="10" t="str">
        <f t="shared" ca="1" si="3"/>
        <v>0PremiumN3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43">
        <f ca="1">VLOOKUP(C126,gacha_124_base!A:B,2,FALSE)</f>
        <v>2679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2"/>
        <v>01811</v>
      </c>
      <c r="B127" s="2">
        <v>124</v>
      </c>
      <c r="C127" s="10" t="str">
        <f t="shared" ca="1" si="3"/>
        <v>0PremiumN3</v>
      </c>
      <c r="D127" s="6">
        <v>0</v>
      </c>
      <c r="E127" s="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6">
        <v>1</v>
      </c>
      <c r="M127" s="43">
        <f ca="1">VLOOKUP(C127,gacha_124_base!A:B,2,FALSE)</f>
        <v>2679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2"/>
        <v>01841</v>
      </c>
      <c r="B128" s="2">
        <v>124</v>
      </c>
      <c r="C128" s="10" t="str">
        <f t="shared" ca="1" si="3"/>
        <v>0PremiumN3</v>
      </c>
      <c r="D128" s="6">
        <v>0</v>
      </c>
      <c r="E128" s="7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6">
        <v>1</v>
      </c>
      <c r="M128" s="43">
        <f ca="1">VLOOKUP(C128,gacha_124_base!A:B,2,FALSE)</f>
        <v>2679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2"/>
        <v>01871</v>
      </c>
      <c r="B129" s="2">
        <v>124</v>
      </c>
      <c r="C129" s="10" t="str">
        <f t="shared" ca="1" si="3"/>
        <v>0PremiumN3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43">
        <f ca="1">VLOOKUP(C129,gacha_124_base!A:B,2,FALSE)</f>
        <v>2679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2"/>
        <v>01901</v>
      </c>
      <c r="B130" s="2">
        <v>124</v>
      </c>
      <c r="C130" s="10" t="str">
        <f t="shared" ca="1" si="3"/>
        <v>0PremiumN3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43">
        <f ca="1">VLOOKUP(C130,gacha_124_base!A:B,2,FALSE)</f>
        <v>2679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2"/>
        <v>01931</v>
      </c>
      <c r="B131" s="2">
        <v>124</v>
      </c>
      <c r="C131" s="10" t="str">
        <f t="shared" ref="C131:C194" ca="1" si="4">D131&amp;G131&amp;H131</f>
        <v>0PremiumN3</v>
      </c>
      <c r="D131" s="6">
        <v>0</v>
      </c>
      <c r="E131" s="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6">
        <v>1</v>
      </c>
      <c r="M131" s="43">
        <f ca="1">VLOOKUP(C131,gacha_124_base!A:B,2,FALSE)</f>
        <v>2679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2"/>
        <v>01961</v>
      </c>
      <c r="B132" s="2">
        <v>124</v>
      </c>
      <c r="C132" s="10" t="str">
        <f t="shared" ca="1" si="4"/>
        <v>0PremiumN3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43">
        <f ca="1">VLOOKUP(C132,gacha_124_base!A:B,2,FALSE)</f>
        <v>2679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2"/>
        <v>01991</v>
      </c>
      <c r="B133" s="2">
        <v>124</v>
      </c>
      <c r="C133" s="10" t="str">
        <f t="shared" ca="1" si="4"/>
        <v>0PremiumN3</v>
      </c>
      <c r="D133" s="6">
        <v>0</v>
      </c>
      <c r="E133" s="7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43">
        <f ca="1">VLOOKUP(C133,gacha_124_base!A:B,2,FALSE)</f>
        <v>2679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2"/>
        <v>02021</v>
      </c>
      <c r="B134" s="2">
        <v>124</v>
      </c>
      <c r="C134" s="10" t="str">
        <f t="shared" ca="1" si="4"/>
        <v>0PremiumN3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43">
        <f ca="1">VLOOKUP(C134,gacha_124_base!A:B,2,FALSE)</f>
        <v>2679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2"/>
        <v>02051</v>
      </c>
      <c r="B135" s="2">
        <v>124</v>
      </c>
      <c r="C135" s="10" t="str">
        <f t="shared" ca="1" si="4"/>
        <v>0PremiumN3</v>
      </c>
      <c r="D135" s="6">
        <v>0</v>
      </c>
      <c r="E135" s="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6">
        <v>1</v>
      </c>
      <c r="M135" s="43">
        <f ca="1">VLOOKUP(C135,gacha_124_base!A:B,2,FALSE)</f>
        <v>2679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2"/>
        <v>02081</v>
      </c>
      <c r="B136" s="2">
        <v>124</v>
      </c>
      <c r="C136" s="10" t="str">
        <f t="shared" ca="1" si="4"/>
        <v>0PremiumN3</v>
      </c>
      <c r="D136" s="6">
        <v>0</v>
      </c>
      <c r="E136" s="7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43">
        <f ca="1">VLOOKUP(C136,gacha_124_base!A:B,2,FALSE)</f>
        <v>2679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2"/>
        <v>02111</v>
      </c>
      <c r="B137" s="2">
        <v>124</v>
      </c>
      <c r="C137" s="10" t="str">
        <f t="shared" ca="1" si="4"/>
        <v>0PremiumN3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43">
        <f ca="1">VLOOKUP(C137,gacha_124_base!A:B,2,FALSE)</f>
        <v>2679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2"/>
        <v>02141</v>
      </c>
      <c r="B138" s="2">
        <v>124</v>
      </c>
      <c r="C138" s="10" t="str">
        <f t="shared" ca="1" si="4"/>
        <v>0PremiumN3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43">
        <f ca="1">VLOOKUP(C138,gacha_124_base!A:B,2,FALSE)</f>
        <v>2679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02171</v>
      </c>
      <c r="B139" s="2">
        <v>124</v>
      </c>
      <c r="C139" s="10" t="str">
        <f t="shared" ca="1" si="4"/>
        <v>0PremiumN3</v>
      </c>
      <c r="D139" s="6">
        <v>0</v>
      </c>
      <c r="E139" s="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43">
        <f ca="1">VLOOKUP(C139,gacha_124_base!A:B,2,FALSE)</f>
        <v>2679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02201</v>
      </c>
      <c r="B140" s="2">
        <v>124</v>
      </c>
      <c r="C140" s="10" t="str">
        <f t="shared" ca="1" si="4"/>
        <v>0PremiumN3</v>
      </c>
      <c r="D140" s="6">
        <v>0</v>
      </c>
      <c r="E140" s="7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6">
        <v>1</v>
      </c>
      <c r="M140" s="43">
        <f ca="1">VLOOKUP(C140,gacha_124_base!A:B,2,FALSE)</f>
        <v>2679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02231</v>
      </c>
      <c r="B141" s="2">
        <v>124</v>
      </c>
      <c r="C141" s="10" t="str">
        <f t="shared" ca="1" si="4"/>
        <v>0PremiumN3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43">
        <f ca="1">VLOOKUP(C141,gacha_124_base!A:B,2,FALSE)</f>
        <v>2679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02261</v>
      </c>
      <c r="B142" s="2">
        <v>124</v>
      </c>
      <c r="C142" s="10" t="str">
        <f t="shared" ca="1" si="4"/>
        <v>0PremiumS3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43">
        <f ca="1">VLOOKUP(C142,gacha_124_base!A:B,2,FALSE)</f>
        <v>469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02291</v>
      </c>
      <c r="B143" s="2">
        <v>124</v>
      </c>
      <c r="C143" s="10" t="str">
        <f t="shared" ca="1" si="4"/>
        <v>0PremiumS3</v>
      </c>
      <c r="D143" s="6">
        <v>0</v>
      </c>
      <c r="E143" s="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6">
        <v>1</v>
      </c>
      <c r="M143" s="43">
        <f ca="1">VLOOKUP(C143,gacha_124_base!A:B,2,FALSE)</f>
        <v>469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2"/>
        <v>02321</v>
      </c>
      <c r="B144" s="2">
        <v>124</v>
      </c>
      <c r="C144" s="10" t="str">
        <f t="shared" ca="1" si="4"/>
        <v>0PremiumS3</v>
      </c>
      <c r="D144" s="6">
        <v>0</v>
      </c>
      <c r="E144" s="7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43">
        <f ca="1">VLOOKUP(C144,gacha_124_base!A:B,2,FALSE)</f>
        <v>469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2"/>
        <v>02351</v>
      </c>
      <c r="B145" s="2">
        <v>124</v>
      </c>
      <c r="C145" s="10" t="str">
        <f t="shared" ca="1" si="4"/>
        <v>0PremiumS3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43">
        <f ca="1">VLOOKUP(C145,gacha_124_base!A:B,2,FALSE)</f>
        <v>469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01271</v>
      </c>
      <c r="B146" s="2">
        <v>124</v>
      </c>
      <c r="C146" s="10" t="str">
        <f t="shared" ca="1" si="4"/>
        <v>0PremiumW4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43">
        <f ca="1">VLOOKUP(C146,gacha_124_base!A:B,2,FALSE)</f>
        <v>851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01291</v>
      </c>
      <c r="B147" s="2">
        <v>124</v>
      </c>
      <c r="C147" s="10" t="str">
        <f t="shared" ca="1" si="4"/>
        <v>0PremiumW4</v>
      </c>
      <c r="D147" s="6">
        <v>0</v>
      </c>
      <c r="E147" s="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43">
        <f ca="1">VLOOKUP(C147,gacha_124_base!A:B,2,FALSE)</f>
        <v>851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01311</v>
      </c>
      <c r="B148" s="2">
        <v>124</v>
      </c>
      <c r="C148" s="10" t="str">
        <f t="shared" ca="1" si="4"/>
        <v>0PremiumW4</v>
      </c>
      <c r="D148" s="6">
        <v>0</v>
      </c>
      <c r="E148" s="7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6">
        <v>1</v>
      </c>
      <c r="M148" s="43">
        <f ca="1">VLOOKUP(C148,gacha_124_base!A:B,2,FALSE)</f>
        <v>851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01331</v>
      </c>
      <c r="B149" s="2">
        <v>124</v>
      </c>
      <c r="C149" s="10" t="str">
        <f t="shared" ca="1" si="4"/>
        <v>0PremiumW4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43">
        <f ca="1">VLOOKUP(C149,gacha_124_base!A:B,2,FALSE)</f>
        <v>851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01351</v>
      </c>
      <c r="B150" s="2">
        <v>124</v>
      </c>
      <c r="C150" s="10" t="str">
        <f t="shared" ca="1" si="4"/>
        <v>0PremiumW4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43">
        <f ca="1">VLOOKUP(C150,gacha_124_base!A:B,2,FALSE)</f>
        <v>851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01371</v>
      </c>
      <c r="B151" s="2">
        <v>124</v>
      </c>
      <c r="C151" s="10" t="str">
        <f t="shared" ca="1" si="4"/>
        <v>0PremiumW4</v>
      </c>
      <c r="D151" s="6">
        <v>0</v>
      </c>
      <c r="E151" s="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43">
        <f ca="1">VLOOKUP(C151,gacha_124_base!A:B,2,FALSE)</f>
        <v>851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01391</v>
      </c>
      <c r="B152" s="2">
        <v>124</v>
      </c>
      <c r="C152" s="10" t="str">
        <f t="shared" ca="1" si="4"/>
        <v>0PremiumW4</v>
      </c>
      <c r="D152" s="6">
        <v>0</v>
      </c>
      <c r="E152" s="7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6">
        <v>1</v>
      </c>
      <c r="M152" s="43">
        <f ca="1">VLOOKUP(C152,gacha_124_base!A:B,2,FALSE)</f>
        <v>851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01411</v>
      </c>
      <c r="B153" s="2">
        <v>124</v>
      </c>
      <c r="C153" s="10" t="str">
        <f t="shared" ca="1" si="4"/>
        <v>0PremiumW4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43">
        <f ca="1">VLOOKUP(C153,gacha_124_base!A:B,2,FALSE)</f>
        <v>851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01431</v>
      </c>
      <c r="B154" s="2">
        <v>124</v>
      </c>
      <c r="C154" s="10" t="str">
        <f t="shared" ca="1" si="4"/>
        <v>0PremiumW4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43">
        <f ca="1">VLOOKUP(C154,gacha_124_base!A:B,2,FALSE)</f>
        <v>851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5">D155&amp;E155&amp;L155</f>
        <v>01451</v>
      </c>
      <c r="B155" s="2">
        <v>124</v>
      </c>
      <c r="C155" s="10" t="str">
        <f t="shared" ca="1" si="4"/>
        <v>0PremiumW4</v>
      </c>
      <c r="D155" s="6">
        <v>0</v>
      </c>
      <c r="E155" s="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43">
        <f ca="1">VLOOKUP(C155,gacha_124_base!A:B,2,FALSE)</f>
        <v>851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5"/>
        <v>01471</v>
      </c>
      <c r="B156" s="2">
        <v>124</v>
      </c>
      <c r="C156" s="10" t="str">
        <f t="shared" ca="1" si="4"/>
        <v>0PremiumW4</v>
      </c>
      <c r="D156" s="6">
        <v>0</v>
      </c>
      <c r="E156" s="7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6">
        <v>1</v>
      </c>
      <c r="M156" s="43">
        <f ca="1">VLOOKUP(C156,gacha_124_base!A:B,2,FALSE)</f>
        <v>851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5"/>
        <v>01491</v>
      </c>
      <c r="B157" s="2">
        <v>124</v>
      </c>
      <c r="C157" s="10" t="str">
        <f t="shared" ca="1" si="4"/>
        <v>0PremiumW4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43">
        <f ca="1">VLOOKUP(C157,gacha_124_base!A:B,2,FALSE)</f>
        <v>851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5"/>
        <v>01511</v>
      </c>
      <c r="B158" s="2">
        <v>124</v>
      </c>
      <c r="C158" s="10" t="str">
        <f t="shared" ca="1" si="4"/>
        <v>0PremiumW4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43">
        <f ca="1">VLOOKUP(C158,gacha_124_base!A:B,2,FALSE)</f>
        <v>851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5"/>
        <v>01531</v>
      </c>
      <c r="B159" s="2">
        <v>124</v>
      </c>
      <c r="C159" s="10" t="str">
        <f t="shared" ca="1" si="4"/>
        <v>0PremiumW4</v>
      </c>
      <c r="D159" s="6">
        <v>0</v>
      </c>
      <c r="E159" s="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43">
        <f ca="1">VLOOKUP(C159,gacha_124_base!A:B,2,FALSE)</f>
        <v>851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5"/>
        <v>01551</v>
      </c>
      <c r="B160" s="2">
        <v>124</v>
      </c>
      <c r="C160" s="10" t="str">
        <f t="shared" ca="1" si="4"/>
        <v>0PremiumW4</v>
      </c>
      <c r="D160" s="6">
        <v>0</v>
      </c>
      <c r="E160" s="7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6">
        <v>1</v>
      </c>
      <c r="M160" s="43">
        <f ca="1">VLOOKUP(C160,gacha_124_base!A:B,2,FALSE)</f>
        <v>851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5"/>
        <v>01571</v>
      </c>
      <c r="B161" s="2">
        <v>124</v>
      </c>
      <c r="C161" s="10" t="str">
        <f t="shared" ca="1" si="4"/>
        <v>0PremiumW4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43">
        <f ca="1">VLOOKUP(C161,gacha_124_base!A:B,2,FALSE)</f>
        <v>851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5"/>
        <v>01591</v>
      </c>
      <c r="B162" s="2">
        <v>124</v>
      </c>
      <c r="C162" s="10" t="str">
        <f t="shared" ca="1" si="4"/>
        <v>0PremiumW4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43">
        <f ca="1">VLOOKUP(C162,gacha_124_base!A:B,2,FALSE)</f>
        <v>851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5"/>
        <v>01611</v>
      </c>
      <c r="B163" s="2">
        <v>124</v>
      </c>
      <c r="C163" s="10" t="str">
        <f t="shared" ca="1" si="4"/>
        <v>0PremiumW4</v>
      </c>
      <c r="D163" s="6">
        <v>0</v>
      </c>
      <c r="E163" s="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6">
        <v>1</v>
      </c>
      <c r="M163" s="43">
        <f ca="1">VLOOKUP(C163,gacha_124_base!A:B,2,FALSE)</f>
        <v>851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5"/>
        <v>01631</v>
      </c>
      <c r="B164" s="2">
        <v>124</v>
      </c>
      <c r="C164" s="10" t="str">
        <f t="shared" ca="1" si="4"/>
        <v>0PremiumW4</v>
      </c>
      <c r="D164" s="6">
        <v>0</v>
      </c>
      <c r="E164" s="7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6">
        <v>1</v>
      </c>
      <c r="M164" s="43">
        <f ca="1">VLOOKUP(C164,gacha_124_base!A:B,2,FALSE)</f>
        <v>851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5"/>
        <v>01651</v>
      </c>
      <c r="B165" s="2">
        <v>124</v>
      </c>
      <c r="C165" s="10" t="str">
        <f t="shared" ca="1" si="4"/>
        <v>0PremiumW4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43">
        <f ca="1">VLOOKUP(C165,gacha_124_base!A:B,2,FALSE)</f>
        <v>851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5"/>
        <v>01671</v>
      </c>
      <c r="B166" s="2">
        <v>124</v>
      </c>
      <c r="C166" s="10" t="str">
        <f t="shared" ca="1" si="4"/>
        <v>0PremiumN4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43">
        <f ca="1">VLOOKUP(C166,gacha_124_base!A:B,2,FALSE)</f>
        <v>824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5"/>
        <v>01701</v>
      </c>
      <c r="B167" s="2">
        <v>124</v>
      </c>
      <c r="C167" s="10" t="str">
        <f t="shared" ca="1" si="4"/>
        <v>0PremiumN4</v>
      </c>
      <c r="D167" s="6">
        <v>0</v>
      </c>
      <c r="E167" s="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43">
        <f ca="1">VLOOKUP(C167,gacha_124_base!A:B,2,FALSE)</f>
        <v>824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5"/>
        <v>01731</v>
      </c>
      <c r="B168" s="2">
        <v>124</v>
      </c>
      <c r="C168" s="10" t="str">
        <f t="shared" ca="1" si="4"/>
        <v>0PremiumN4</v>
      </c>
      <c r="D168" s="6">
        <v>0</v>
      </c>
      <c r="E168" s="7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6">
        <v>1</v>
      </c>
      <c r="M168" s="43">
        <f ca="1">VLOOKUP(C168,gacha_124_base!A:B,2,FALSE)</f>
        <v>824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5"/>
        <v>01761</v>
      </c>
      <c r="B169" s="2">
        <v>124</v>
      </c>
      <c r="C169" s="10" t="str">
        <f t="shared" ca="1" si="4"/>
        <v>0PremiumN4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43">
        <f ca="1">VLOOKUP(C169,gacha_124_base!A:B,2,FALSE)</f>
        <v>824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5"/>
        <v>01791</v>
      </c>
      <c r="B170" s="2">
        <v>124</v>
      </c>
      <c r="C170" s="10" t="str">
        <f t="shared" ca="1" si="4"/>
        <v>0PremiumN4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43">
        <f ca="1">VLOOKUP(C170,gacha_124_base!A:B,2,FALSE)</f>
        <v>824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5"/>
        <v>01821</v>
      </c>
      <c r="B171" s="2">
        <v>124</v>
      </c>
      <c r="C171" s="10" t="str">
        <f t="shared" ca="1" si="4"/>
        <v>0PremiumN4</v>
      </c>
      <c r="D171" s="6">
        <v>0</v>
      </c>
      <c r="E171" s="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6">
        <v>1</v>
      </c>
      <c r="M171" s="43">
        <f ca="1">VLOOKUP(C171,gacha_124_base!A:B,2,FALSE)</f>
        <v>824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5"/>
        <v>01851</v>
      </c>
      <c r="B172" s="2">
        <v>124</v>
      </c>
      <c r="C172" s="10" t="str">
        <f t="shared" ca="1" si="4"/>
        <v>0PremiumN4</v>
      </c>
      <c r="D172" s="6">
        <v>0</v>
      </c>
      <c r="E172" s="7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6">
        <v>1</v>
      </c>
      <c r="M172" s="43">
        <f ca="1">VLOOKUP(C172,gacha_124_base!A:B,2,FALSE)</f>
        <v>824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5"/>
        <v>01881</v>
      </c>
      <c r="B173" s="2">
        <v>124</v>
      </c>
      <c r="C173" s="10" t="str">
        <f t="shared" ca="1" si="4"/>
        <v>0PremiumN4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43">
        <f ca="1">VLOOKUP(C173,gacha_124_base!A:B,2,FALSE)</f>
        <v>824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5"/>
        <v>01911</v>
      </c>
      <c r="B174" s="2">
        <v>124</v>
      </c>
      <c r="C174" s="10" t="str">
        <f t="shared" ca="1" si="4"/>
        <v>0PremiumN4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43">
        <f ca="1">VLOOKUP(C174,gacha_124_base!A:B,2,FALSE)</f>
        <v>824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5"/>
        <v>01941</v>
      </c>
      <c r="B175" s="2">
        <v>124</v>
      </c>
      <c r="C175" s="10" t="str">
        <f t="shared" ca="1" si="4"/>
        <v>0PremiumN4</v>
      </c>
      <c r="D175" s="6">
        <v>0</v>
      </c>
      <c r="E175" s="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6">
        <v>1</v>
      </c>
      <c r="M175" s="43">
        <f ca="1">VLOOKUP(C175,gacha_124_base!A:B,2,FALSE)</f>
        <v>824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5"/>
        <v>01971</v>
      </c>
      <c r="B176" s="2">
        <v>124</v>
      </c>
      <c r="C176" s="10" t="str">
        <f t="shared" ca="1" si="4"/>
        <v>0PremiumN4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43">
        <f ca="1">VLOOKUP(C176,gacha_124_base!A:B,2,FALSE)</f>
        <v>824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5"/>
        <v>02001</v>
      </c>
      <c r="B177" s="2">
        <v>124</v>
      </c>
      <c r="C177" s="10" t="str">
        <f t="shared" ca="1" si="4"/>
        <v>0PremiumN4</v>
      </c>
      <c r="D177" s="6">
        <v>0</v>
      </c>
      <c r="E177" s="7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6">
        <v>1</v>
      </c>
      <c r="M177" s="43">
        <f ca="1">VLOOKUP(C177,gacha_124_base!A:B,2,FALSE)</f>
        <v>824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5"/>
        <v>02031</v>
      </c>
      <c r="B178" s="2">
        <v>124</v>
      </c>
      <c r="C178" s="10" t="str">
        <f t="shared" ca="1" si="4"/>
        <v>0PremiumN4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43">
        <f ca="1">VLOOKUP(C178,gacha_124_base!A:B,2,FALSE)</f>
        <v>824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5"/>
        <v>02061</v>
      </c>
      <c r="B179" s="2">
        <v>124</v>
      </c>
      <c r="C179" s="10" t="str">
        <f t="shared" ca="1" si="4"/>
        <v>0PremiumN4</v>
      </c>
      <c r="D179" s="6">
        <v>0</v>
      </c>
      <c r="E179" s="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6">
        <v>1</v>
      </c>
      <c r="M179" s="43">
        <f ca="1">VLOOKUP(C179,gacha_124_base!A:B,2,FALSE)</f>
        <v>824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5"/>
        <v>02091</v>
      </c>
      <c r="B180" s="2">
        <v>124</v>
      </c>
      <c r="C180" s="10" t="str">
        <f t="shared" ca="1" si="4"/>
        <v>0PremiumN4</v>
      </c>
      <c r="D180" s="6">
        <v>0</v>
      </c>
      <c r="E180" s="7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6">
        <v>1</v>
      </c>
      <c r="M180" s="43">
        <f ca="1">VLOOKUP(C180,gacha_124_base!A:B,2,FALSE)</f>
        <v>824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5"/>
        <v>02121</v>
      </c>
      <c r="B181" s="2">
        <v>124</v>
      </c>
      <c r="C181" s="10" t="str">
        <f t="shared" ca="1" si="4"/>
        <v>0PremiumN4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43">
        <f ca="1">VLOOKUP(C181,gacha_124_base!A:B,2,FALSE)</f>
        <v>824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5"/>
        <v>02151</v>
      </c>
      <c r="B182" s="2">
        <v>124</v>
      </c>
      <c r="C182" s="10" t="str">
        <f t="shared" ca="1" si="4"/>
        <v>0PremiumN4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43">
        <f ca="1">VLOOKUP(C182,gacha_124_base!A:B,2,FALSE)</f>
        <v>824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5"/>
        <v>02181</v>
      </c>
      <c r="B183" s="2">
        <v>124</v>
      </c>
      <c r="C183" s="10" t="str">
        <f t="shared" ca="1" si="4"/>
        <v>0PremiumN4</v>
      </c>
      <c r="D183" s="6">
        <v>0</v>
      </c>
      <c r="E183" s="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6">
        <v>1</v>
      </c>
      <c r="M183" s="43">
        <f ca="1">VLOOKUP(C183,gacha_124_base!A:B,2,FALSE)</f>
        <v>824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5"/>
        <v>02211</v>
      </c>
      <c r="B184" s="2">
        <v>124</v>
      </c>
      <c r="C184" s="10" t="str">
        <f t="shared" ca="1" si="4"/>
        <v>0PremiumN4</v>
      </c>
      <c r="D184" s="6">
        <v>0</v>
      </c>
      <c r="E184" s="7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6">
        <v>1</v>
      </c>
      <c r="M184" s="43">
        <f ca="1">VLOOKUP(C184,gacha_124_base!A:B,2,FALSE)</f>
        <v>824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5"/>
        <v>02241</v>
      </c>
      <c r="B185" s="2">
        <v>124</v>
      </c>
      <c r="C185" s="10" t="str">
        <f t="shared" ca="1" si="4"/>
        <v>0PremiumN4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43">
        <f ca="1">VLOOKUP(C185,gacha_124_base!A:B,2,FALSE)</f>
        <v>824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5"/>
        <v>02271</v>
      </c>
      <c r="B186" s="2">
        <v>124</v>
      </c>
      <c r="C186" s="10" t="str">
        <f t="shared" ca="1" si="4"/>
        <v>0PremiumS4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43">
        <f ca="1">VLOOKUP(C186,gacha_124_base!A:B,2,FALSE)</f>
        <v>165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5"/>
        <v>02301</v>
      </c>
      <c r="B187" s="2">
        <v>124</v>
      </c>
      <c r="C187" s="10" t="str">
        <f t="shared" ca="1" si="4"/>
        <v>0PremiumS4</v>
      </c>
      <c r="D187" s="6">
        <v>0</v>
      </c>
      <c r="E187" s="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6">
        <v>1</v>
      </c>
      <c r="M187" s="43">
        <f ca="1">VLOOKUP(C187,gacha_124_base!A:B,2,FALSE)</f>
        <v>165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5"/>
        <v>02331</v>
      </c>
      <c r="B188" s="2">
        <v>124</v>
      </c>
      <c r="C188" s="10" t="str">
        <f t="shared" ca="1" si="4"/>
        <v>0PremiumS4</v>
      </c>
      <c r="D188" s="6">
        <v>0</v>
      </c>
      <c r="E188" s="7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6">
        <v>1</v>
      </c>
      <c r="M188" s="43">
        <f ca="1">VLOOKUP(C188,gacha_124_base!A:B,2,FALSE)</f>
        <v>165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5"/>
        <v>02361</v>
      </c>
      <c r="B189" s="2">
        <v>124</v>
      </c>
      <c r="C189" s="10" t="str">
        <f t="shared" ca="1" si="4"/>
        <v>0PremiumS4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43">
        <f ca="1">VLOOKUP(C189,gacha_124_base!A:B,2,FALSE)</f>
        <v>165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5"/>
        <v>01681</v>
      </c>
      <c r="B190" s="2">
        <v>124</v>
      </c>
      <c r="C190" s="10" t="str">
        <f t="shared" ca="1" si="4"/>
        <v>0PremiumN5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43">
        <f ca="1">VLOOKUP(C190,gacha_124_base!A:B,2,FALSE)</f>
        <v>270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5"/>
        <v>01711</v>
      </c>
      <c r="B191" s="2">
        <v>124</v>
      </c>
      <c r="C191" s="10" t="str">
        <f t="shared" ca="1" si="4"/>
        <v>0PremiumN5</v>
      </c>
      <c r="D191" s="6">
        <v>0</v>
      </c>
      <c r="E191" s="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43">
        <f ca="1">VLOOKUP(C191,gacha_124_base!A:B,2,FALSE)</f>
        <v>270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5"/>
        <v>01741</v>
      </c>
      <c r="B192" s="2">
        <v>124</v>
      </c>
      <c r="C192" s="10" t="str">
        <f t="shared" ca="1" si="4"/>
        <v>0PremiumN5</v>
      </c>
      <c r="D192" s="6">
        <v>0</v>
      </c>
      <c r="E192" s="7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6">
        <v>1</v>
      </c>
      <c r="M192" s="43">
        <f ca="1">VLOOKUP(C192,gacha_124_base!A:B,2,FALSE)</f>
        <v>270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5"/>
        <v>01771</v>
      </c>
      <c r="B193" s="2">
        <v>124</v>
      </c>
      <c r="C193" s="10" t="str">
        <f t="shared" ca="1" si="4"/>
        <v>0PremiumN5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43">
        <f ca="1">VLOOKUP(C193,gacha_124_base!A:B,2,FALSE)</f>
        <v>270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5"/>
        <v>01801</v>
      </c>
      <c r="B194" s="2">
        <v>124</v>
      </c>
      <c r="C194" s="10" t="str">
        <f t="shared" ca="1" si="4"/>
        <v>0PremiumN5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43">
        <f ca="1">VLOOKUP(C194,gacha_124_base!A:B,2,FALSE)</f>
        <v>270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5"/>
        <v>01831</v>
      </c>
      <c r="B195" s="2">
        <v>124</v>
      </c>
      <c r="C195" s="10" t="str">
        <f t="shared" ref="C195:C255" ca="1" si="6">D195&amp;G195&amp;H195</f>
        <v>0PremiumN5</v>
      </c>
      <c r="D195" s="6">
        <v>0</v>
      </c>
      <c r="E195" s="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6">
        <v>1</v>
      </c>
      <c r="M195" s="43">
        <f ca="1">VLOOKUP(C195,gacha_124_base!A:B,2,FALSE)</f>
        <v>270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5"/>
        <v>01861</v>
      </c>
      <c r="B196" s="2">
        <v>124</v>
      </c>
      <c r="C196" s="10" t="str">
        <f t="shared" ca="1" si="6"/>
        <v>0PremiumN5</v>
      </c>
      <c r="D196" s="6">
        <v>0</v>
      </c>
      <c r="E196" s="7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6">
        <v>1</v>
      </c>
      <c r="M196" s="43">
        <f ca="1">VLOOKUP(C196,gacha_124_base!A:B,2,FALSE)</f>
        <v>270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5"/>
        <v>01891</v>
      </c>
      <c r="B197" s="2">
        <v>124</v>
      </c>
      <c r="C197" s="10" t="str">
        <f t="shared" ca="1" si="6"/>
        <v>0PremiumN5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43">
        <f ca="1">VLOOKUP(C197,gacha_124_base!A:B,2,FALSE)</f>
        <v>270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5"/>
        <v>01921</v>
      </c>
      <c r="B198" s="2">
        <v>124</v>
      </c>
      <c r="C198" s="10" t="str">
        <f t="shared" ca="1" si="6"/>
        <v>0PremiumN5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43">
        <f ca="1">VLOOKUP(C198,gacha_124_base!A:B,2,FALSE)</f>
        <v>270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5"/>
        <v>01951</v>
      </c>
      <c r="B199" s="2">
        <v>124</v>
      </c>
      <c r="C199" s="10" t="str">
        <f t="shared" ca="1" si="6"/>
        <v>0PremiumN5</v>
      </c>
      <c r="D199" s="6">
        <v>0</v>
      </c>
      <c r="E199" s="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6">
        <v>1</v>
      </c>
      <c r="M199" s="43">
        <f ca="1">VLOOKUP(C199,gacha_124_base!A:B,2,FALSE)</f>
        <v>270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5"/>
        <v>01981</v>
      </c>
      <c r="B200" s="2">
        <v>124</v>
      </c>
      <c r="C200" s="10" t="str">
        <f t="shared" ca="1" si="6"/>
        <v>0PremiumN5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43">
        <f ca="1">VLOOKUP(C200,gacha_124_base!A:B,2,FALSE)</f>
        <v>270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5"/>
        <v>02011</v>
      </c>
      <c r="B201" s="2">
        <v>124</v>
      </c>
      <c r="C201" s="10" t="str">
        <f t="shared" ca="1" si="6"/>
        <v>0PremiumN5</v>
      </c>
      <c r="D201" s="6">
        <v>0</v>
      </c>
      <c r="E201" s="7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6">
        <v>1</v>
      </c>
      <c r="M201" s="43">
        <f ca="1">VLOOKUP(C201,gacha_124_base!A:B,2,FALSE)</f>
        <v>270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5"/>
        <v>02041</v>
      </c>
      <c r="B202" s="2">
        <v>124</v>
      </c>
      <c r="C202" s="10" t="str">
        <f t="shared" ca="1" si="6"/>
        <v>0PremiumN5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43">
        <f ca="1">VLOOKUP(C202,gacha_124_base!A:B,2,FALSE)</f>
        <v>270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5"/>
        <v>02071</v>
      </c>
      <c r="B203" s="2">
        <v>124</v>
      </c>
      <c r="C203" s="10" t="str">
        <f t="shared" ca="1" si="6"/>
        <v>0PremiumN5</v>
      </c>
      <c r="D203" s="6">
        <v>0</v>
      </c>
      <c r="E203" s="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6">
        <v>1</v>
      </c>
      <c r="M203" s="43">
        <f ca="1">VLOOKUP(C203,gacha_124_base!A:B,2,FALSE)</f>
        <v>270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5"/>
        <v>02101</v>
      </c>
      <c r="B204" s="2">
        <v>124</v>
      </c>
      <c r="C204" s="10" t="str">
        <f t="shared" ca="1" si="6"/>
        <v>0PremiumN5</v>
      </c>
      <c r="D204" s="6">
        <v>0</v>
      </c>
      <c r="E204" s="7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6">
        <v>1</v>
      </c>
      <c r="M204" s="43">
        <f ca="1">VLOOKUP(C204,gacha_124_base!A:B,2,FALSE)</f>
        <v>270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5"/>
        <v>02131</v>
      </c>
      <c r="B205" s="2">
        <v>124</v>
      </c>
      <c r="C205" s="10" t="str">
        <f t="shared" ca="1" si="6"/>
        <v>0PremiumN5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43">
        <f ca="1">VLOOKUP(C205,gacha_124_base!A:B,2,FALSE)</f>
        <v>270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5"/>
        <v>02161</v>
      </c>
      <c r="B206" s="2">
        <v>124</v>
      </c>
      <c r="C206" s="10" t="str">
        <f t="shared" ca="1" si="6"/>
        <v>0PremiumN5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43">
        <f ca="1">VLOOKUP(C206,gacha_124_base!A:B,2,FALSE)</f>
        <v>270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5"/>
        <v>02191</v>
      </c>
      <c r="B207" s="2">
        <v>124</v>
      </c>
      <c r="C207" s="10" t="str">
        <f t="shared" ca="1" si="6"/>
        <v>0PremiumN5</v>
      </c>
      <c r="D207" s="6">
        <v>0</v>
      </c>
      <c r="E207" s="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6">
        <v>1</v>
      </c>
      <c r="M207" s="43">
        <f ca="1">VLOOKUP(C207,gacha_124_base!A:B,2,FALSE)</f>
        <v>270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5"/>
        <v>02221</v>
      </c>
      <c r="B208" s="2">
        <v>124</v>
      </c>
      <c r="C208" s="10" t="str">
        <f t="shared" ca="1" si="6"/>
        <v>0PremiumN5</v>
      </c>
      <c r="D208" s="6">
        <v>0</v>
      </c>
      <c r="E208" s="7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6">
        <v>1</v>
      </c>
      <c r="M208" s="43">
        <f ca="1">VLOOKUP(C208,gacha_124_base!A:B,2,FALSE)</f>
        <v>270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5"/>
        <v>02251</v>
      </c>
      <c r="B209" s="2">
        <v>124</v>
      </c>
      <c r="C209" s="10" t="str">
        <f t="shared" ca="1" si="6"/>
        <v>0PremiumN5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43">
        <f ca="1">VLOOKUP(C209,gacha_124_base!A:B,2,FALSE)</f>
        <v>270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5"/>
        <v>02281</v>
      </c>
      <c r="B210" s="2">
        <v>124</v>
      </c>
      <c r="C210" s="10" t="str">
        <f t="shared" ca="1" si="6"/>
        <v>0PremiumS5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43">
        <f ca="1">VLOOKUP(C210,gacha_124_base!A:B,2,FALSE)</f>
        <v>26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5"/>
        <v>02311</v>
      </c>
      <c r="B211" s="2">
        <v>124</v>
      </c>
      <c r="C211" s="10" t="str">
        <f t="shared" ca="1" si="6"/>
        <v>0PremiumS5</v>
      </c>
      <c r="D211" s="6">
        <v>0</v>
      </c>
      <c r="E211" s="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6">
        <v>1</v>
      </c>
      <c r="M211" s="43">
        <f ca="1">VLOOKUP(C211,gacha_124_base!A:B,2,FALSE)</f>
        <v>26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5"/>
        <v>02341</v>
      </c>
      <c r="B212" s="2">
        <v>124</v>
      </c>
      <c r="C212" s="10" t="str">
        <f t="shared" ca="1" si="6"/>
        <v>0PremiumS5</v>
      </c>
      <c r="D212" s="6">
        <v>0</v>
      </c>
      <c r="E212" s="7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6">
        <v>1</v>
      </c>
      <c r="M212" s="43">
        <f ca="1">VLOOKUP(C212,gacha_124_base!A:B,2,FALSE)</f>
        <v>26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5"/>
        <v>02371</v>
      </c>
      <c r="B213" s="2">
        <v>124</v>
      </c>
      <c r="C213" s="10" t="str">
        <f t="shared" ca="1" si="6"/>
        <v>0PremiumS5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43">
        <f ca="1">VLOOKUP(C213,gacha_124_base!A:B,2,FALSE)</f>
        <v>26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5"/>
        <v>02381</v>
      </c>
      <c r="B214" s="2">
        <v>124</v>
      </c>
      <c r="C214" s="10" t="str">
        <f t="shared" ca="1" si="6"/>
        <v>0PremiumS3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43">
        <f ca="1">VLOOKUP(C214,gacha_124_base!A:B,2,FALSE)</f>
        <v>469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5"/>
        <v>02391</v>
      </c>
      <c r="B215" s="2">
        <v>124</v>
      </c>
      <c r="C215" s="10" t="str">
        <f t="shared" ca="1" si="6"/>
        <v>0PremiumS4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43">
        <f ca="1">VLOOKUP(C215,gacha_124_base!A:B,2,FALSE)</f>
        <v>165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5"/>
        <v>02401</v>
      </c>
      <c r="B216" s="2">
        <v>124</v>
      </c>
      <c r="C216" s="10" t="str">
        <f t="shared" ca="1" si="6"/>
        <v>0PremiumS5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43">
        <f ca="1">VLOOKUP(C216,gacha_124_base!A:B,2,FALSE)</f>
        <v>26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5"/>
        <v>02411</v>
      </c>
      <c r="B217" s="2">
        <v>124</v>
      </c>
      <c r="C217" s="10" t="str">
        <f t="shared" ca="1" si="6"/>
        <v>0PremiumS3</v>
      </c>
      <c r="D217" s="6">
        <v>0</v>
      </c>
      <c r="E217" s="19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43">
        <f ca="1">VLOOKUP(C217,gacha_124_base!A:B,2,FALSE)</f>
        <v>469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5"/>
        <v>02421</v>
      </c>
      <c r="B218" s="2">
        <v>124</v>
      </c>
      <c r="C218" s="10" t="str">
        <f t="shared" ca="1" si="6"/>
        <v>0PremiumS4</v>
      </c>
      <c r="D218" s="6">
        <v>0</v>
      </c>
      <c r="E218" s="19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6">
        <v>1</v>
      </c>
      <c r="M218" s="43">
        <f ca="1">VLOOKUP(C218,gacha_124_base!A:B,2,FALSE)</f>
        <v>165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7">D219&amp;E219&amp;L219</f>
        <v>02431</v>
      </c>
      <c r="B219" s="2">
        <v>124</v>
      </c>
      <c r="C219" s="10" t="str">
        <f t="shared" ca="1" si="6"/>
        <v>0PremiumS5</v>
      </c>
      <c r="D219" s="6">
        <v>0</v>
      </c>
      <c r="E219" s="19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6">
        <v>1</v>
      </c>
      <c r="M219" s="43">
        <f ca="1">VLOOKUP(C219,gacha_124_base!A:B,2,FALSE)</f>
        <v>26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7"/>
        <v>02441</v>
      </c>
      <c r="B220" s="2">
        <v>124</v>
      </c>
      <c r="C220" s="10" t="str">
        <f t="shared" ca="1" si="6"/>
        <v>0PremiumS3</v>
      </c>
      <c r="D220" s="6">
        <v>0</v>
      </c>
      <c r="E220" s="19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6">
        <v>1</v>
      </c>
      <c r="M220" s="43">
        <f ca="1">VLOOKUP(C220,gacha_124_base!A:B,2,FALSE)</f>
        <v>469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7"/>
        <v>02451</v>
      </c>
      <c r="B221" s="2">
        <v>124</v>
      </c>
      <c r="C221" s="10" t="str">
        <f t="shared" ca="1" si="6"/>
        <v>0PremiumS4</v>
      </c>
      <c r="D221" s="6">
        <v>0</v>
      </c>
      <c r="E221" s="19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6">
        <v>1</v>
      </c>
      <c r="M221" s="43">
        <f ca="1">VLOOKUP(C221,gacha_124_base!A:B,2,FALSE)</f>
        <v>165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7"/>
        <v>02461</v>
      </c>
      <c r="B222" s="2">
        <v>124</v>
      </c>
      <c r="C222" s="10" t="str">
        <f t="shared" ca="1" si="6"/>
        <v>0PremiumS5</v>
      </c>
      <c r="D222" s="6">
        <v>0</v>
      </c>
      <c r="E222" s="19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6">
        <v>1</v>
      </c>
      <c r="M222" s="43">
        <f ca="1">VLOOKUP(C222,gacha_124_base!A:B,2,FALSE)</f>
        <v>26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7"/>
        <v>02471</v>
      </c>
      <c r="B223" s="2">
        <v>124</v>
      </c>
      <c r="C223" s="10" t="str">
        <f t="shared" ca="1" si="6"/>
        <v>0PremiumS3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43">
        <f ca="1">VLOOKUP(C223,gacha_124_base!A:B,2,FALSE)</f>
        <v>469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7"/>
        <v>02481</v>
      </c>
      <c r="B224" s="2">
        <v>124</v>
      </c>
      <c r="C224" s="10" t="str">
        <f t="shared" ca="1" si="6"/>
        <v>0PremiumS4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43">
        <f ca="1">VLOOKUP(C224,gacha_124_base!A:B,2,FALSE)</f>
        <v>165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7"/>
        <v>02491</v>
      </c>
      <c r="B225" s="2">
        <v>124</v>
      </c>
      <c r="C225" s="10" t="str">
        <f t="shared" ca="1" si="6"/>
        <v>0PremiumS5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43">
        <f ca="1">VLOOKUP(C225,gacha_124_base!A:B,2,FALSE)</f>
        <v>26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7"/>
        <v>02501</v>
      </c>
      <c r="B226" s="2">
        <v>124</v>
      </c>
      <c r="C226" s="10" t="str">
        <f t="shared" ca="1" si="6"/>
        <v>0PremiumS3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43">
        <f ca="1">VLOOKUP(C226,gacha_124_base!A:B,2,FALSE)</f>
        <v>469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7"/>
        <v>02511</v>
      </c>
      <c r="B227" s="2">
        <v>124</v>
      </c>
      <c r="C227" s="10" t="str">
        <f t="shared" ca="1" si="6"/>
        <v>0PremiumS4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43">
        <f ca="1">VLOOKUP(C227,gacha_124_base!A:B,2,FALSE)</f>
        <v>165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7"/>
        <v>02521</v>
      </c>
      <c r="B228" s="2">
        <v>124</v>
      </c>
      <c r="C228" s="10" t="str">
        <f t="shared" ca="1" si="6"/>
        <v>0PremiumS5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43">
        <f ca="1">VLOOKUP(C228,gacha_124_base!A:B,2,FALSE)</f>
        <v>26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7"/>
        <v>02531</v>
      </c>
      <c r="B229" s="2">
        <v>124</v>
      </c>
      <c r="C229" s="10" t="str">
        <f t="shared" ca="1" si="6"/>
        <v>0PremiumS3</v>
      </c>
      <c r="D229" s="6">
        <v>0</v>
      </c>
      <c r="E229" s="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6">
        <v>1</v>
      </c>
      <c r="M229" s="43">
        <f ca="1">VLOOKUP(C229,gacha_124_base!A:B,2,FALSE)</f>
        <v>469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7"/>
        <v>02541</v>
      </c>
      <c r="B230" s="2">
        <v>124</v>
      </c>
      <c r="C230" s="10" t="str">
        <f t="shared" ca="1" si="6"/>
        <v>0PremiumS4</v>
      </c>
      <c r="D230" s="6">
        <v>0</v>
      </c>
      <c r="E230" s="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6">
        <v>1</v>
      </c>
      <c r="M230" s="43">
        <f ca="1">VLOOKUP(C230,gacha_124_base!A:B,2,FALSE)</f>
        <v>165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7"/>
        <v>02551</v>
      </c>
      <c r="B231" s="2">
        <v>124</v>
      </c>
      <c r="C231" s="10" t="str">
        <f t="shared" ca="1" si="6"/>
        <v>0PremiumS5</v>
      </c>
      <c r="D231" s="6">
        <v>0</v>
      </c>
      <c r="E231" s="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6">
        <v>1</v>
      </c>
      <c r="M231" s="43">
        <f ca="1">VLOOKUP(C231,gacha_124_base!A:B,2,FALSE)</f>
        <v>26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7"/>
        <v>02561</v>
      </c>
      <c r="B232" s="2">
        <v>124</v>
      </c>
      <c r="C232" s="10" t="str">
        <f t="shared" ca="1" si="6"/>
        <v>0PremiumS3</v>
      </c>
      <c r="D232" s="6">
        <v>0</v>
      </c>
      <c r="E232" s="7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6">
        <v>1</v>
      </c>
      <c r="M232" s="43">
        <f ca="1">VLOOKUP(C232,gacha_124_base!A:B,2,FALSE)</f>
        <v>469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7"/>
        <v>02571</v>
      </c>
      <c r="B233" s="2">
        <v>124</v>
      </c>
      <c r="C233" s="10" t="str">
        <f t="shared" ca="1" si="6"/>
        <v>0PremiumS4</v>
      </c>
      <c r="D233" s="6">
        <v>0</v>
      </c>
      <c r="E233" s="7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6">
        <v>1</v>
      </c>
      <c r="M233" s="43">
        <f ca="1">VLOOKUP(C233,gacha_124_base!A:B,2,FALSE)</f>
        <v>165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7"/>
        <v>02581</v>
      </c>
      <c r="B234" s="2">
        <v>124</v>
      </c>
      <c r="C234" s="10" t="str">
        <f t="shared" ca="1" si="6"/>
        <v>0PremiumS5</v>
      </c>
      <c r="D234" s="6">
        <v>0</v>
      </c>
      <c r="E234" s="7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6">
        <v>1</v>
      </c>
      <c r="M234" s="43">
        <f ca="1">VLOOKUP(C234,gacha_124_base!A:B,2,FALSE)</f>
        <v>26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7"/>
        <v>02591</v>
      </c>
      <c r="B235" s="2">
        <v>124</v>
      </c>
      <c r="C235" s="10" t="str">
        <f t="shared" ca="1" si="6"/>
        <v>0PremiumS3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43">
        <f ca="1">VLOOKUP(C235,gacha_124_base!A:B,2,FALSE)</f>
        <v>469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7"/>
        <v>02601</v>
      </c>
      <c r="B236" s="2">
        <v>124</v>
      </c>
      <c r="C236" s="10" t="str">
        <f t="shared" ca="1" si="6"/>
        <v>0PremiumS4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43">
        <f ca="1">VLOOKUP(C236,gacha_124_base!A:B,2,FALSE)</f>
        <v>165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7"/>
        <v>02611</v>
      </c>
      <c r="B237" s="2">
        <v>124</v>
      </c>
      <c r="C237" s="10" t="str">
        <f t="shared" ca="1" si="6"/>
        <v>0PremiumS5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43">
        <f ca="1">VLOOKUP(C237,gacha_124_base!A:B,2,FALSE)</f>
        <v>26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7"/>
        <v>03201</v>
      </c>
      <c r="B238" s="2">
        <v>124</v>
      </c>
      <c r="C238" s="10" t="str">
        <f t="shared" ca="1" si="6"/>
        <v>0PremiumSS4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43">
        <f ca="1">VLOOKUP(C238,gacha_124_base!A:B,2,FALSE)</f>
        <v>449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7"/>
        <v>03211</v>
      </c>
      <c r="B239" s="2">
        <v>124</v>
      </c>
      <c r="C239" s="10" t="str">
        <f t="shared" ca="1" si="6"/>
        <v>0PremiumSS5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43">
        <f ca="1">VLOOKUP(C239,gacha_124_base!A:B,2,FALSE)</f>
        <v>64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7"/>
        <v>03221</v>
      </c>
      <c r="B240" s="2">
        <v>124</v>
      </c>
      <c r="C240" s="10" t="str">
        <f t="shared" ca="1" si="6"/>
        <v>0PremiumSS4</v>
      </c>
      <c r="D240" s="21">
        <v>0</v>
      </c>
      <c r="E240" s="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6">
        <v>1</v>
      </c>
      <c r="M240" s="43">
        <f ca="1">VLOOKUP(C240,gacha_124_base!A:B,2,FALSE)</f>
        <v>449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7"/>
        <v>03231</v>
      </c>
      <c r="B241" s="2">
        <v>124</v>
      </c>
      <c r="C241" s="10" t="str">
        <f t="shared" ca="1" si="6"/>
        <v>0PremiumSS5</v>
      </c>
      <c r="D241" s="21">
        <v>0</v>
      </c>
      <c r="E241" s="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6">
        <v>1</v>
      </c>
      <c r="M241" s="43">
        <f ca="1">VLOOKUP(C241,gacha_124_base!A:B,2,FALSE)</f>
        <v>64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7"/>
        <v>03241</v>
      </c>
      <c r="B242" s="2">
        <v>124</v>
      </c>
      <c r="C242" s="10" t="str">
        <f t="shared" ca="1" si="6"/>
        <v>0PremiumSS4</v>
      </c>
      <c r="D242" s="21">
        <v>0</v>
      </c>
      <c r="E242" s="7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6">
        <v>1</v>
      </c>
      <c r="M242" s="43">
        <f ca="1">VLOOKUP(C242,gacha_124_base!A:B,2,FALSE)</f>
        <v>449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7"/>
        <v>03251</v>
      </c>
      <c r="B243" s="2">
        <v>124</v>
      </c>
      <c r="C243" s="10" t="str">
        <f t="shared" ca="1" si="6"/>
        <v>0PremiumSS5</v>
      </c>
      <c r="D243" s="21">
        <v>0</v>
      </c>
      <c r="E243" s="7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6">
        <v>1</v>
      </c>
      <c r="M243" s="43">
        <f ca="1">VLOOKUP(C243,gacha_124_base!A:B,2,FALSE)</f>
        <v>64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7"/>
        <v>03261</v>
      </c>
      <c r="B244" s="2">
        <v>124</v>
      </c>
      <c r="C244" s="10" t="str">
        <f t="shared" ca="1" si="6"/>
        <v>0PremiumSS4</v>
      </c>
      <c r="D244" s="21">
        <v>0</v>
      </c>
      <c r="E244" s="35">
        <v>326</v>
      </c>
      <c r="F244" s="36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6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6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6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6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6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4">
        <v>1</v>
      </c>
      <c r="M244" s="43">
        <f ca="1">VLOOKUP(C244,gacha_124_base!A:B,2,FALSE)</f>
        <v>449</v>
      </c>
      <c r="N244" s="37">
        <v>0</v>
      </c>
      <c r="O244" s="37">
        <v>0</v>
      </c>
      <c r="P244" s="37">
        <v>0</v>
      </c>
      <c r="Q244" s="37">
        <v>0</v>
      </c>
      <c r="R244" s="37">
        <v>1</v>
      </c>
    </row>
    <row r="245" spans="1:18" ht="21" customHeight="1" thickBot="1">
      <c r="A245" s="22" t="str">
        <f t="shared" si="7"/>
        <v>03271</v>
      </c>
      <c r="B245" s="2">
        <v>124</v>
      </c>
      <c r="C245" s="10" t="str">
        <f t="shared" ca="1" si="6"/>
        <v>0PremiumSS5</v>
      </c>
      <c r="D245" s="41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43">
        <f ca="1">VLOOKUP(C245,gacha_124_base!A:B,2,FALSE)</f>
        <v>64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7"/>
        <v>03801</v>
      </c>
      <c r="B246" s="2">
        <v>124</v>
      </c>
      <c r="C246" s="10" t="str">
        <f t="shared" ca="1" si="6"/>
        <v>0PremiumS3</v>
      </c>
      <c r="D246" s="41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43">
        <f ca="1">VLOOKUP(C246,gacha_124_base!A:B,2,FALSE)</f>
        <v>469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7"/>
        <v>03811</v>
      </c>
      <c r="B247" s="2">
        <v>124</v>
      </c>
      <c r="C247" s="10" t="str">
        <f t="shared" ca="1" si="6"/>
        <v>0PremiumS4</v>
      </c>
      <c r="D247" s="41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43">
        <f ca="1">VLOOKUP(C247,gacha_124_base!A:B,2,FALSE)</f>
        <v>165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7"/>
        <v>03821</v>
      </c>
      <c r="B248" s="2">
        <v>124</v>
      </c>
      <c r="C248" s="10" t="str">
        <f t="shared" ca="1" si="6"/>
        <v>0PremiumS5</v>
      </c>
      <c r="D248" s="41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43">
        <f ca="1">VLOOKUP(C248,gacha_124_base!A:B,2,FALSE)</f>
        <v>26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7"/>
        <v>03831</v>
      </c>
      <c r="B249" s="2">
        <v>124</v>
      </c>
      <c r="C249" s="10" t="str">
        <f t="shared" ca="1" si="6"/>
        <v>0PremiumSS4</v>
      </c>
      <c r="D249" s="41">
        <v>0</v>
      </c>
      <c r="E249" s="27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6">
        <v>1</v>
      </c>
      <c r="M249" s="43">
        <f ca="1">VLOOKUP(C249,gacha_124_base!A:B,2,FALSE)</f>
        <v>449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7"/>
        <v>03841</v>
      </c>
      <c r="B250" s="2">
        <v>124</v>
      </c>
      <c r="C250" s="10" t="str">
        <f t="shared" ca="1" si="6"/>
        <v>0PremiumSS5</v>
      </c>
      <c r="D250" s="41">
        <v>0</v>
      </c>
      <c r="E250" s="27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6">
        <v>1</v>
      </c>
      <c r="M250" s="43">
        <f ca="1">VLOOKUP(C250,gacha_124_base!A:B,2,FALSE)</f>
        <v>64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7"/>
        <v>03851</v>
      </c>
      <c r="B251" s="2">
        <v>124</v>
      </c>
      <c r="C251" s="10" t="str">
        <f t="shared" ca="1" si="6"/>
        <v>0PremiumSS4</v>
      </c>
      <c r="D251" s="41">
        <v>0</v>
      </c>
      <c r="E251" s="27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6">
        <v>1</v>
      </c>
      <c r="M251" s="43">
        <f ca="1">VLOOKUP(C251,gacha_124_base!A:B,2,FALSE)</f>
        <v>449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7"/>
        <v>03861</v>
      </c>
      <c r="B252" s="2">
        <v>124</v>
      </c>
      <c r="C252" s="10" t="str">
        <f t="shared" ca="1" si="6"/>
        <v>0PremiumSS5</v>
      </c>
      <c r="D252" s="41">
        <v>0</v>
      </c>
      <c r="E252" s="33">
        <v>386</v>
      </c>
      <c r="F252" s="36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6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6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6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6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6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34">
        <v>1</v>
      </c>
      <c r="M252" s="43">
        <f ca="1">VLOOKUP(C252,gacha_124_base!A:B,2,FALSE)</f>
        <v>64</v>
      </c>
      <c r="N252" s="37">
        <v>0</v>
      </c>
      <c r="O252" s="37">
        <v>0</v>
      </c>
      <c r="P252" s="37">
        <v>0</v>
      </c>
      <c r="Q252" s="37">
        <v>0</v>
      </c>
      <c r="R252" s="37">
        <v>1</v>
      </c>
    </row>
    <row r="253" spans="1:18" ht="21" customHeight="1" thickBot="1">
      <c r="A253" s="22" t="str">
        <f t="shared" si="7"/>
        <v>03871</v>
      </c>
      <c r="B253" s="2">
        <v>124</v>
      </c>
      <c r="C253" s="10" t="str">
        <f t="shared" ca="1" si="6"/>
        <v>0PremiumS3</v>
      </c>
      <c r="D253" s="41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43">
        <f ca="1">VLOOKUP(C253,gacha_124_base!A:B,2,FALSE)</f>
        <v>469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2" t="str">
        <f t="shared" si="7"/>
        <v>03881</v>
      </c>
      <c r="B254" s="2">
        <v>124</v>
      </c>
      <c r="C254" s="10" t="str">
        <f t="shared" ca="1" si="6"/>
        <v>0PremiumS4</v>
      </c>
      <c r="D254" s="41">
        <v>0</v>
      </c>
      <c r="E254" s="35">
        <v>388</v>
      </c>
      <c r="F254" s="36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6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6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6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6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6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4">
        <v>1</v>
      </c>
      <c r="M254" s="43">
        <f ca="1">VLOOKUP(C254,gacha_124_base!A:B,2,FALSE)</f>
        <v>165</v>
      </c>
      <c r="N254" s="37">
        <v>0</v>
      </c>
      <c r="O254" s="37">
        <v>0</v>
      </c>
      <c r="P254" s="37">
        <v>0</v>
      </c>
      <c r="Q254" s="37">
        <v>0</v>
      </c>
      <c r="R254" s="37">
        <v>1</v>
      </c>
    </row>
    <row r="255" spans="1:18" s="40" customFormat="1" ht="21" customHeight="1" thickBot="1">
      <c r="A255" s="39" t="str">
        <f t="shared" si="7"/>
        <v>03891</v>
      </c>
      <c r="B255" s="2">
        <v>124</v>
      </c>
      <c r="C255" s="10" t="str">
        <f t="shared" ca="1" si="6"/>
        <v>0PremiumS5</v>
      </c>
      <c r="D255" s="41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43">
        <f ca="1">VLOOKUP(C255,gacha_124_base!A:B,2,FALSE)</f>
        <v>26</v>
      </c>
      <c r="N255" s="31">
        <v>0</v>
      </c>
      <c r="O255" s="31">
        <v>0</v>
      </c>
      <c r="P255" s="31">
        <v>0</v>
      </c>
      <c r="Q255" s="31">
        <v>0</v>
      </c>
      <c r="R255" s="31">
        <v>1</v>
      </c>
    </row>
    <row r="256" spans="1:18" ht="21" customHeight="1">
      <c r="H256" s="5"/>
      <c r="I256" s="1"/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K256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F17" sqref="F17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gacha_unit_tables_114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2050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114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2050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114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2050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114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2050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114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2050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114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2050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114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2050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114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2050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114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2050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114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2050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114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2050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114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2050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114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2050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114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2050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114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2050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114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2050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2050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114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2050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114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2050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114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2050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114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2030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114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2030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114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2030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114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2030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114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2030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114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2030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114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2030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114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2030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114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2030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114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2030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114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2030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114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2030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114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2030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114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2030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114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2030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114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2030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114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2030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114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2030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114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2030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114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2030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114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200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114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200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114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200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114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200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114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170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114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170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114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170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114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170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114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170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114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170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114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170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114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170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114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170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114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170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114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170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114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170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114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170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114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170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114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170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114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170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114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170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114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170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114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170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114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170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114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8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114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8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114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8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114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200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114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8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114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200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114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8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114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200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114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8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114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200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114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8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114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200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114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8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114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200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114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8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114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200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114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8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114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200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114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8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114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120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114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5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114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120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114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5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114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120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114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5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114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120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114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5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114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4800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114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200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114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960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114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40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114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960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114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40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114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4800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114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200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114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2351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114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2351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114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2351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114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2351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114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2351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114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2351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114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2351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114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2351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114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2351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114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2351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114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2351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114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2351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114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2351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114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2351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si="6"/>
        <v>114</v>
      </c>
      <c r="C117" s="16">
        <f t="shared" si="6"/>
        <v>0</v>
      </c>
      <c r="D117" s="16">
        <f t="shared" si="6"/>
        <v>154</v>
      </c>
      <c r="E117" s="16">
        <f t="shared" si="6"/>
        <v>1</v>
      </c>
      <c r="F117" s="16">
        <f t="shared" si="6"/>
        <v>2351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01561</v>
      </c>
      <c r="B118" s="16">
        <f t="shared" si="6"/>
        <v>114</v>
      </c>
      <c r="C118" s="16">
        <f t="shared" si="6"/>
        <v>0</v>
      </c>
      <c r="D118" s="16">
        <f t="shared" si="6"/>
        <v>156</v>
      </c>
      <c r="E118" s="16">
        <f t="shared" si="6"/>
        <v>1</v>
      </c>
      <c r="F118" s="16">
        <f t="shared" si="6"/>
        <v>2351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01581</v>
      </c>
      <c r="B119" s="16">
        <f t="shared" si="6"/>
        <v>114</v>
      </c>
      <c r="C119" s="16">
        <f t="shared" si="6"/>
        <v>0</v>
      </c>
      <c r="D119" s="16">
        <f t="shared" si="6"/>
        <v>158</v>
      </c>
      <c r="E119" s="16">
        <f t="shared" si="6"/>
        <v>1</v>
      </c>
      <c r="F119" s="16">
        <f t="shared" si="6"/>
        <v>2351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01601</v>
      </c>
      <c r="B120" s="16">
        <f t="shared" si="6"/>
        <v>114</v>
      </c>
      <c r="C120" s="16">
        <f t="shared" si="6"/>
        <v>0</v>
      </c>
      <c r="D120" s="16">
        <f t="shared" si="6"/>
        <v>160</v>
      </c>
      <c r="E120" s="16">
        <f t="shared" si="6"/>
        <v>1</v>
      </c>
      <c r="F120" s="16">
        <f t="shared" si="6"/>
        <v>2351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01621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2351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114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2351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114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2433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114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2433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114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2433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114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2433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114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2433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114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2433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114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2433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114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2433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114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2433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114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2433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114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2433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114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2433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114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2433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114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2433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114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2433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114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2433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114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2433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114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2433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114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2433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114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2433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02261</v>
      </c>
      <c r="B143" s="16">
        <f t="shared" si="7"/>
        <v>114</v>
      </c>
      <c r="C143" s="16">
        <f t="shared" si="7"/>
        <v>0</v>
      </c>
      <c r="D143" s="16">
        <f t="shared" si="7"/>
        <v>226</v>
      </c>
      <c r="E143" s="16">
        <f t="shared" si="7"/>
        <v>1</v>
      </c>
      <c r="F143" s="16">
        <f t="shared" si="7"/>
        <v>228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02291</v>
      </c>
      <c r="B144" s="16">
        <f t="shared" si="7"/>
        <v>114</v>
      </c>
      <c r="C144" s="16">
        <f t="shared" si="7"/>
        <v>0</v>
      </c>
      <c r="D144" s="16">
        <f t="shared" si="7"/>
        <v>229</v>
      </c>
      <c r="E144" s="16">
        <f t="shared" si="7"/>
        <v>1</v>
      </c>
      <c r="F144" s="16">
        <f t="shared" si="7"/>
        <v>228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02321</v>
      </c>
      <c r="B145" s="16">
        <f t="shared" si="7"/>
        <v>114</v>
      </c>
      <c r="C145" s="16">
        <f t="shared" si="7"/>
        <v>0</v>
      </c>
      <c r="D145" s="16">
        <f t="shared" si="7"/>
        <v>232</v>
      </c>
      <c r="E145" s="16">
        <f t="shared" si="7"/>
        <v>1</v>
      </c>
      <c r="F145" s="16">
        <f t="shared" si="7"/>
        <v>228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02351</v>
      </c>
      <c r="B146" s="16">
        <f t="shared" si="7"/>
        <v>114</v>
      </c>
      <c r="C146" s="16">
        <f t="shared" si="7"/>
        <v>0</v>
      </c>
      <c r="D146" s="16">
        <f t="shared" si="7"/>
        <v>235</v>
      </c>
      <c r="E146" s="16">
        <f t="shared" si="7"/>
        <v>1</v>
      </c>
      <c r="F146" s="16">
        <f t="shared" si="7"/>
        <v>228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9"/>
        <v>114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806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9"/>
        <v>114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806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9"/>
        <v>114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806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9"/>
        <v>114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806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9"/>
        <v>114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806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9"/>
        <v>114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806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9"/>
        <v>114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806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9"/>
        <v>114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806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9"/>
        <v>114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806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9"/>
        <v>114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806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9"/>
        <v>114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806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9"/>
        <v>114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806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9"/>
        <v>114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806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9"/>
        <v>114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806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9"/>
        <v>114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806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9"/>
        <v>114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806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9"/>
        <v>114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806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9"/>
        <v>114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806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9"/>
        <v>114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806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9"/>
        <v>114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806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9"/>
        <v>114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715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9"/>
        <v>114</v>
      </c>
      <c r="C168" s="16">
        <f t="shared" si="9"/>
        <v>0</v>
      </c>
      <c r="D168" s="16">
        <f t="shared" si="9"/>
        <v>170</v>
      </c>
      <c r="E168" s="16">
        <f t="shared" si="9"/>
        <v>1</v>
      </c>
      <c r="F168" s="16">
        <f t="shared" si="9"/>
        <v>715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01731</v>
      </c>
      <c r="B169" s="16">
        <f t="shared" si="9"/>
        <v>114</v>
      </c>
      <c r="C169" s="16">
        <f t="shared" si="9"/>
        <v>0</v>
      </c>
      <c r="D169" s="16">
        <f t="shared" si="9"/>
        <v>173</v>
      </c>
      <c r="E169" s="16">
        <f t="shared" si="9"/>
        <v>1</v>
      </c>
      <c r="F169" s="16">
        <f t="shared" si="9"/>
        <v>715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01761</v>
      </c>
      <c r="B170" s="16">
        <f t="shared" si="9"/>
        <v>114</v>
      </c>
      <c r="C170" s="16">
        <f t="shared" si="9"/>
        <v>0</v>
      </c>
      <c r="D170" s="16">
        <f t="shared" si="9"/>
        <v>176</v>
      </c>
      <c r="E170" s="16">
        <f t="shared" si="9"/>
        <v>1</v>
      </c>
      <c r="F170" s="16">
        <f t="shared" si="9"/>
        <v>715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01791</v>
      </c>
      <c r="B171" s="16">
        <f t="shared" si="9"/>
        <v>114</v>
      </c>
      <c r="C171" s="16">
        <f t="shared" si="9"/>
        <v>0</v>
      </c>
      <c r="D171" s="16">
        <f t="shared" si="9"/>
        <v>179</v>
      </c>
      <c r="E171" s="16">
        <f t="shared" si="9"/>
        <v>1</v>
      </c>
      <c r="F171" s="16">
        <f t="shared" si="9"/>
        <v>715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01821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715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114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715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114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715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114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715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114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715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114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715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114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715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114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715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114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715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114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715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114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715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114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715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114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715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114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715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114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715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114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80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114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80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114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80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114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80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si="10"/>
        <v>114</v>
      </c>
      <c r="C191" s="16">
        <f t="shared" si="10"/>
        <v>0</v>
      </c>
      <c r="D191" s="16">
        <f t="shared" si="10"/>
        <v>168</v>
      </c>
      <c r="E191" s="16">
        <f t="shared" si="10"/>
        <v>1</v>
      </c>
      <c r="F191" s="16">
        <f t="shared" si="10"/>
        <v>241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01711</v>
      </c>
      <c r="B192" s="16">
        <f t="shared" si="10"/>
        <v>114</v>
      </c>
      <c r="C192" s="16">
        <f t="shared" si="10"/>
        <v>0</v>
      </c>
      <c r="D192" s="16">
        <f t="shared" si="10"/>
        <v>171</v>
      </c>
      <c r="E192" s="16">
        <f t="shared" si="10"/>
        <v>1</v>
      </c>
      <c r="F192" s="16">
        <f t="shared" si="10"/>
        <v>241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01741</v>
      </c>
      <c r="B193" s="16">
        <f t="shared" si="10"/>
        <v>114</v>
      </c>
      <c r="C193" s="16">
        <f t="shared" si="10"/>
        <v>0</v>
      </c>
      <c r="D193" s="16">
        <f t="shared" si="10"/>
        <v>174</v>
      </c>
      <c r="E193" s="16">
        <f t="shared" si="10"/>
        <v>1</v>
      </c>
      <c r="F193" s="16">
        <f t="shared" si="10"/>
        <v>241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01771</v>
      </c>
      <c r="B194" s="16">
        <f t="shared" si="10"/>
        <v>114</v>
      </c>
      <c r="C194" s="16">
        <f t="shared" si="10"/>
        <v>0</v>
      </c>
      <c r="D194" s="16">
        <f t="shared" si="10"/>
        <v>177</v>
      </c>
      <c r="E194" s="16">
        <f t="shared" si="10"/>
        <v>1</v>
      </c>
      <c r="F194" s="16">
        <f t="shared" si="10"/>
        <v>241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6" si="11">INDIRECT(ADDRESS(ROW()+$A$1,COLUMN(),1,TRUE,$C$1))</f>
        <v>01801</v>
      </c>
      <c r="B195" s="16">
        <f t="shared" si="10"/>
        <v>114</v>
      </c>
      <c r="C195" s="16">
        <f t="shared" si="10"/>
        <v>0</v>
      </c>
      <c r="D195" s="16">
        <f t="shared" si="10"/>
        <v>180</v>
      </c>
      <c r="E195" s="16">
        <f t="shared" si="10"/>
        <v>1</v>
      </c>
      <c r="F195" s="16">
        <f t="shared" si="10"/>
        <v>241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01831</v>
      </c>
      <c r="B196" s="16">
        <f t="shared" si="10"/>
        <v>114</v>
      </c>
      <c r="C196" s="16">
        <f t="shared" si="10"/>
        <v>0</v>
      </c>
      <c r="D196" s="16">
        <f t="shared" si="10"/>
        <v>183</v>
      </c>
      <c r="E196" s="16">
        <f t="shared" si="10"/>
        <v>1</v>
      </c>
      <c r="F196" s="16">
        <f t="shared" si="10"/>
        <v>241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01861</v>
      </c>
      <c r="B197" s="16">
        <f t="shared" si="10"/>
        <v>114</v>
      </c>
      <c r="C197" s="16">
        <f t="shared" si="10"/>
        <v>0</v>
      </c>
      <c r="D197" s="16">
        <f t="shared" si="10"/>
        <v>186</v>
      </c>
      <c r="E197" s="16">
        <f t="shared" si="10"/>
        <v>1</v>
      </c>
      <c r="F197" s="16">
        <f t="shared" si="10"/>
        <v>241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01891</v>
      </c>
      <c r="B198" s="16">
        <f t="shared" si="12"/>
        <v>114</v>
      </c>
      <c r="C198" s="16">
        <f t="shared" si="12"/>
        <v>0</v>
      </c>
      <c r="D198" s="16">
        <f t="shared" si="12"/>
        <v>189</v>
      </c>
      <c r="E198" s="16">
        <f t="shared" si="12"/>
        <v>1</v>
      </c>
      <c r="F198" s="16">
        <f t="shared" si="12"/>
        <v>241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01921</v>
      </c>
      <c r="B199" s="16">
        <f t="shared" si="12"/>
        <v>114</v>
      </c>
      <c r="C199" s="16">
        <f t="shared" si="12"/>
        <v>0</v>
      </c>
      <c r="D199" s="16">
        <f t="shared" si="12"/>
        <v>192</v>
      </c>
      <c r="E199" s="16">
        <f t="shared" si="12"/>
        <v>1</v>
      </c>
      <c r="F199" s="16">
        <f t="shared" si="12"/>
        <v>241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01951</v>
      </c>
      <c r="B200" s="16">
        <f t="shared" si="12"/>
        <v>114</v>
      </c>
      <c r="C200" s="16">
        <f t="shared" si="12"/>
        <v>0</v>
      </c>
      <c r="D200" s="16">
        <f t="shared" si="12"/>
        <v>195</v>
      </c>
      <c r="E200" s="16">
        <f t="shared" si="12"/>
        <v>1</v>
      </c>
      <c r="F200" s="16">
        <f t="shared" si="12"/>
        <v>241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01981</v>
      </c>
      <c r="B201" s="16">
        <f t="shared" si="12"/>
        <v>114</v>
      </c>
      <c r="C201" s="16">
        <f t="shared" si="12"/>
        <v>0</v>
      </c>
      <c r="D201" s="16">
        <f t="shared" si="12"/>
        <v>198</v>
      </c>
      <c r="E201" s="16">
        <f t="shared" si="12"/>
        <v>1</v>
      </c>
      <c r="F201" s="16">
        <f t="shared" si="12"/>
        <v>241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02011</v>
      </c>
      <c r="B202" s="16">
        <f t="shared" si="12"/>
        <v>114</v>
      </c>
      <c r="C202" s="16">
        <f t="shared" si="12"/>
        <v>0</v>
      </c>
      <c r="D202" s="16">
        <f t="shared" si="12"/>
        <v>201</v>
      </c>
      <c r="E202" s="16">
        <f t="shared" si="12"/>
        <v>1</v>
      </c>
      <c r="F202" s="16">
        <f t="shared" si="12"/>
        <v>241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02041</v>
      </c>
      <c r="B203" s="16">
        <f t="shared" si="12"/>
        <v>114</v>
      </c>
      <c r="C203" s="16">
        <f t="shared" si="12"/>
        <v>0</v>
      </c>
      <c r="D203" s="16">
        <f t="shared" si="12"/>
        <v>204</v>
      </c>
      <c r="E203" s="16">
        <f t="shared" si="12"/>
        <v>1</v>
      </c>
      <c r="F203" s="16">
        <f t="shared" si="12"/>
        <v>241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02071</v>
      </c>
      <c r="B204" s="16">
        <f t="shared" si="12"/>
        <v>114</v>
      </c>
      <c r="C204" s="16">
        <f t="shared" si="12"/>
        <v>0</v>
      </c>
      <c r="D204" s="16">
        <f t="shared" si="12"/>
        <v>207</v>
      </c>
      <c r="E204" s="16">
        <f t="shared" si="12"/>
        <v>1</v>
      </c>
      <c r="F204" s="16">
        <f t="shared" si="12"/>
        <v>241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02101</v>
      </c>
      <c r="B205" s="16">
        <f t="shared" si="12"/>
        <v>114</v>
      </c>
      <c r="C205" s="16">
        <f t="shared" si="12"/>
        <v>0</v>
      </c>
      <c r="D205" s="16">
        <f t="shared" si="12"/>
        <v>210</v>
      </c>
      <c r="E205" s="16">
        <f t="shared" si="12"/>
        <v>1</v>
      </c>
      <c r="F205" s="16">
        <f t="shared" si="12"/>
        <v>241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02131</v>
      </c>
      <c r="B206" s="16">
        <f t="shared" si="12"/>
        <v>114</v>
      </c>
      <c r="C206" s="16">
        <f t="shared" si="12"/>
        <v>0</v>
      </c>
      <c r="D206" s="16">
        <f t="shared" si="12"/>
        <v>213</v>
      </c>
      <c r="E206" s="16">
        <f t="shared" si="12"/>
        <v>1</v>
      </c>
      <c r="F206" s="16">
        <f t="shared" si="12"/>
        <v>241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02161</v>
      </c>
      <c r="B207" s="16">
        <f t="shared" si="12"/>
        <v>114</v>
      </c>
      <c r="C207" s="16">
        <f t="shared" si="12"/>
        <v>0</v>
      </c>
      <c r="D207" s="16">
        <f t="shared" si="12"/>
        <v>216</v>
      </c>
      <c r="E207" s="16">
        <f t="shared" si="12"/>
        <v>1</v>
      </c>
      <c r="F207" s="16">
        <f t="shared" si="12"/>
        <v>241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02191</v>
      </c>
      <c r="B208" s="16">
        <f t="shared" si="12"/>
        <v>114</v>
      </c>
      <c r="C208" s="16">
        <f t="shared" si="12"/>
        <v>0</v>
      </c>
      <c r="D208" s="16">
        <f t="shared" si="12"/>
        <v>219</v>
      </c>
      <c r="E208" s="16">
        <f t="shared" si="12"/>
        <v>1</v>
      </c>
      <c r="F208" s="16">
        <f t="shared" si="12"/>
        <v>241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02221</v>
      </c>
      <c r="B209" s="16">
        <f t="shared" si="12"/>
        <v>114</v>
      </c>
      <c r="C209" s="16">
        <f t="shared" si="12"/>
        <v>0</v>
      </c>
      <c r="D209" s="16">
        <f t="shared" si="12"/>
        <v>222</v>
      </c>
      <c r="E209" s="16">
        <f t="shared" si="12"/>
        <v>1</v>
      </c>
      <c r="F209" s="16">
        <f t="shared" si="12"/>
        <v>241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02251</v>
      </c>
      <c r="B210" s="16">
        <f t="shared" si="12"/>
        <v>114</v>
      </c>
      <c r="C210" s="16">
        <f t="shared" si="12"/>
        <v>0</v>
      </c>
      <c r="D210" s="16">
        <f t="shared" si="12"/>
        <v>225</v>
      </c>
      <c r="E210" s="16">
        <f t="shared" si="12"/>
        <v>1</v>
      </c>
      <c r="F210" s="16">
        <f t="shared" si="12"/>
        <v>241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02281</v>
      </c>
      <c r="B211" s="16">
        <f t="shared" si="12"/>
        <v>114</v>
      </c>
      <c r="C211" s="16">
        <f t="shared" si="12"/>
        <v>0</v>
      </c>
      <c r="D211" s="16">
        <f t="shared" si="12"/>
        <v>228</v>
      </c>
      <c r="E211" s="16">
        <f t="shared" si="12"/>
        <v>1</v>
      </c>
      <c r="F211" s="16">
        <f t="shared" si="12"/>
        <v>13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02311</v>
      </c>
      <c r="B212" s="16">
        <f t="shared" si="12"/>
        <v>114</v>
      </c>
      <c r="C212" s="16">
        <f t="shared" si="12"/>
        <v>0</v>
      </c>
      <c r="D212" s="16">
        <f t="shared" si="12"/>
        <v>231</v>
      </c>
      <c r="E212" s="16">
        <f t="shared" si="12"/>
        <v>1</v>
      </c>
      <c r="F212" s="16">
        <f t="shared" si="12"/>
        <v>13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02341</v>
      </c>
      <c r="B213" s="16">
        <f t="shared" si="12"/>
        <v>114</v>
      </c>
      <c r="C213" s="16">
        <f t="shared" si="12"/>
        <v>0</v>
      </c>
      <c r="D213" s="16">
        <f t="shared" si="12"/>
        <v>234</v>
      </c>
      <c r="E213" s="16">
        <f t="shared" si="12"/>
        <v>1</v>
      </c>
      <c r="F213" s="16">
        <f t="shared" si="12"/>
        <v>13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02371</v>
      </c>
      <c r="B214" s="16">
        <f t="shared" si="12"/>
        <v>114</v>
      </c>
      <c r="C214" s="16">
        <f t="shared" si="12"/>
        <v>0</v>
      </c>
      <c r="D214" s="16">
        <f t="shared" si="12"/>
        <v>237</v>
      </c>
      <c r="E214" s="16">
        <f t="shared" si="12"/>
        <v>1</v>
      </c>
      <c r="F214" s="16">
        <f t="shared" si="12"/>
        <v>13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02381</v>
      </c>
      <c r="B215" s="16">
        <f t="shared" si="12"/>
        <v>114</v>
      </c>
      <c r="C215" s="16">
        <f t="shared" si="12"/>
        <v>0</v>
      </c>
      <c r="D215" s="16">
        <f t="shared" si="12"/>
        <v>238</v>
      </c>
      <c r="E215" s="16">
        <f t="shared" si="12"/>
        <v>1</v>
      </c>
      <c r="F215" s="16">
        <f t="shared" si="12"/>
        <v>228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02391</v>
      </c>
      <c r="B216" s="16">
        <f t="shared" si="12"/>
        <v>114</v>
      </c>
      <c r="C216" s="16">
        <f t="shared" si="12"/>
        <v>0</v>
      </c>
      <c r="D216" s="16">
        <f t="shared" si="12"/>
        <v>239</v>
      </c>
      <c r="E216" s="16">
        <f t="shared" si="12"/>
        <v>1</v>
      </c>
      <c r="F216" s="16">
        <f t="shared" si="12"/>
        <v>80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02401</v>
      </c>
      <c r="B217" s="16">
        <f t="shared" si="12"/>
        <v>114</v>
      </c>
      <c r="C217" s="16">
        <f t="shared" si="12"/>
        <v>0</v>
      </c>
      <c r="D217" s="16">
        <f t="shared" si="12"/>
        <v>240</v>
      </c>
      <c r="E217" s="16">
        <f t="shared" si="12"/>
        <v>1</v>
      </c>
      <c r="F217" s="16">
        <f t="shared" si="12"/>
        <v>13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02411</v>
      </c>
      <c r="B218" s="16">
        <f t="shared" si="12"/>
        <v>114</v>
      </c>
      <c r="C218" s="16">
        <f t="shared" si="12"/>
        <v>0</v>
      </c>
      <c r="D218" s="16">
        <f t="shared" si="12"/>
        <v>241</v>
      </c>
      <c r="E218" s="16">
        <f t="shared" si="12"/>
        <v>1</v>
      </c>
      <c r="F218" s="16">
        <f t="shared" si="12"/>
        <v>228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02421</v>
      </c>
      <c r="B219" s="16">
        <f t="shared" si="12"/>
        <v>114</v>
      </c>
      <c r="C219" s="16">
        <f t="shared" si="12"/>
        <v>0</v>
      </c>
      <c r="D219" s="16">
        <f t="shared" si="12"/>
        <v>242</v>
      </c>
      <c r="E219" s="16">
        <f t="shared" si="12"/>
        <v>1</v>
      </c>
      <c r="F219" s="16">
        <f t="shared" si="12"/>
        <v>80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02431</v>
      </c>
      <c r="B220" s="16">
        <f t="shared" si="12"/>
        <v>114</v>
      </c>
      <c r="C220" s="16">
        <f t="shared" si="12"/>
        <v>0</v>
      </c>
      <c r="D220" s="16">
        <f t="shared" si="12"/>
        <v>243</v>
      </c>
      <c r="E220" s="16">
        <f t="shared" si="12"/>
        <v>1</v>
      </c>
      <c r="F220" s="16">
        <f t="shared" si="12"/>
        <v>13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02441</v>
      </c>
      <c r="B221" s="16">
        <f t="shared" si="12"/>
        <v>114</v>
      </c>
      <c r="C221" s="16">
        <f t="shared" si="12"/>
        <v>0</v>
      </c>
      <c r="D221" s="16">
        <f t="shared" si="12"/>
        <v>244</v>
      </c>
      <c r="E221" s="16">
        <f t="shared" si="12"/>
        <v>1</v>
      </c>
      <c r="F221" s="16">
        <f t="shared" si="12"/>
        <v>228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02451</v>
      </c>
      <c r="B222" s="16">
        <f t="shared" si="12"/>
        <v>114</v>
      </c>
      <c r="C222" s="16">
        <f t="shared" si="12"/>
        <v>0</v>
      </c>
      <c r="D222" s="16">
        <f t="shared" si="12"/>
        <v>245</v>
      </c>
      <c r="E222" s="16">
        <f t="shared" si="12"/>
        <v>1</v>
      </c>
      <c r="F222" s="16">
        <f t="shared" si="12"/>
        <v>80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02461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13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02471</v>
      </c>
      <c r="B224" s="16">
        <f t="shared" si="13"/>
        <v>114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228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02481</v>
      </c>
      <c r="B225" s="16">
        <f t="shared" si="13"/>
        <v>114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80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02491</v>
      </c>
      <c r="B226" s="16">
        <f t="shared" si="13"/>
        <v>114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13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02501</v>
      </c>
      <c r="B227" s="16">
        <f t="shared" si="13"/>
        <v>114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228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02511</v>
      </c>
      <c r="B228" s="16">
        <f t="shared" si="13"/>
        <v>114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80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02521</v>
      </c>
      <c r="B229" s="16">
        <f t="shared" si="13"/>
        <v>114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13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02531</v>
      </c>
      <c r="B230" s="16">
        <f t="shared" si="13"/>
        <v>114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228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02541</v>
      </c>
      <c r="B231" s="16">
        <f t="shared" si="13"/>
        <v>114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80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02551</v>
      </c>
      <c r="B232" s="16">
        <f t="shared" si="13"/>
        <v>114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13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02561</v>
      </c>
      <c r="B233" s="16">
        <f t="shared" si="13"/>
        <v>114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228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02571</v>
      </c>
      <c r="B234" s="16">
        <f t="shared" si="13"/>
        <v>114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80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02581</v>
      </c>
      <c r="B235" s="16">
        <f t="shared" si="13"/>
        <v>114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13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02591</v>
      </c>
      <c r="B236" s="16">
        <f t="shared" si="13"/>
        <v>114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228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02601</v>
      </c>
      <c r="B237" s="16">
        <f t="shared" si="13"/>
        <v>114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80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02611</v>
      </c>
      <c r="B238" s="16">
        <f t="shared" si="13"/>
        <v>114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13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03201</v>
      </c>
      <c r="B239" s="16">
        <f t="shared" si="13"/>
        <v>114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144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03211</v>
      </c>
      <c r="B240" s="16">
        <f t="shared" si="13"/>
        <v>114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48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03221</v>
      </c>
      <c r="B241" s="16">
        <f t="shared" si="13"/>
        <v>114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144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03231</v>
      </c>
      <c r="B242" s="16">
        <f t="shared" si="13"/>
        <v>114</v>
      </c>
      <c r="C242" s="16">
        <f t="shared" si="13"/>
        <v>0</v>
      </c>
      <c r="D242" s="16">
        <f t="shared" si="13"/>
        <v>323</v>
      </c>
      <c r="E242" s="16">
        <f t="shared" si="13"/>
        <v>1</v>
      </c>
      <c r="F242" s="16">
        <f t="shared" si="13"/>
        <v>48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03241</v>
      </c>
      <c r="B243" s="16">
        <f t="shared" si="13"/>
        <v>114</v>
      </c>
      <c r="C243" s="16">
        <f t="shared" si="13"/>
        <v>0</v>
      </c>
      <c r="D243" s="16">
        <f t="shared" si="13"/>
        <v>324</v>
      </c>
      <c r="E243" s="16">
        <f t="shared" si="13"/>
        <v>1</v>
      </c>
      <c r="F243" s="16">
        <f t="shared" si="13"/>
        <v>144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03251</v>
      </c>
      <c r="B244" s="16">
        <f t="shared" si="13"/>
        <v>114</v>
      </c>
      <c r="C244" s="16">
        <f t="shared" si="13"/>
        <v>0</v>
      </c>
      <c r="D244" s="16">
        <f t="shared" si="13"/>
        <v>325</v>
      </c>
      <c r="E244" s="16">
        <f t="shared" si="13"/>
        <v>1</v>
      </c>
      <c r="F244" s="16">
        <f t="shared" si="13"/>
        <v>48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03261</v>
      </c>
      <c r="B245" s="16">
        <f t="shared" si="13"/>
        <v>114</v>
      </c>
      <c r="C245" s="16">
        <f t="shared" si="13"/>
        <v>0</v>
      </c>
      <c r="D245" s="16">
        <f t="shared" si="13"/>
        <v>326</v>
      </c>
      <c r="E245" s="16">
        <f t="shared" si="13"/>
        <v>1</v>
      </c>
      <c r="F245" s="16">
        <f t="shared" si="13"/>
        <v>144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03271</v>
      </c>
      <c r="B246" s="16">
        <f t="shared" si="13"/>
        <v>114</v>
      </c>
      <c r="C246" s="16">
        <f t="shared" si="13"/>
        <v>0</v>
      </c>
      <c r="D246" s="16">
        <f t="shared" si="13"/>
        <v>327</v>
      </c>
      <c r="E246" s="16">
        <f t="shared" si="13"/>
        <v>1</v>
      </c>
      <c r="F246" s="16">
        <f t="shared" si="13"/>
        <v>48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03801</v>
      </c>
      <c r="B247" s="16">
        <f t="shared" si="13"/>
        <v>114</v>
      </c>
      <c r="C247" s="16">
        <f t="shared" si="13"/>
        <v>0</v>
      </c>
      <c r="D247" s="16">
        <f t="shared" si="13"/>
        <v>380</v>
      </c>
      <c r="E247" s="16">
        <f t="shared" si="13"/>
        <v>1</v>
      </c>
      <c r="F247" s="16">
        <f t="shared" si="13"/>
        <v>5467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03811</v>
      </c>
      <c r="B248" s="16">
        <f t="shared" si="13"/>
        <v>114</v>
      </c>
      <c r="C248" s="16">
        <f t="shared" si="13"/>
        <v>0</v>
      </c>
      <c r="D248" s="16">
        <f t="shared" si="13"/>
        <v>381</v>
      </c>
      <c r="E248" s="16">
        <f t="shared" si="13"/>
        <v>1</v>
      </c>
      <c r="F248" s="16">
        <f t="shared" si="13"/>
        <v>1925</v>
      </c>
      <c r="G248" s="16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03821</v>
      </c>
      <c r="B249" s="16">
        <f t="shared" si="14"/>
        <v>114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308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03831</v>
      </c>
      <c r="B250" s="16">
        <f t="shared" si="14"/>
        <v>114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1348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03841</v>
      </c>
      <c r="B251" s="16">
        <f t="shared" si="14"/>
        <v>114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193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03851</v>
      </c>
      <c r="B252" s="16">
        <f t="shared" si="14"/>
        <v>114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1348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03861</v>
      </c>
      <c r="B253" s="16">
        <f t="shared" si="14"/>
        <v>114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193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03871</v>
      </c>
      <c r="B254" s="16">
        <f t="shared" si="14"/>
        <v>114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5467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03881</v>
      </c>
      <c r="B255" s="16">
        <f t="shared" si="14"/>
        <v>114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1925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03891</v>
      </c>
      <c r="B256" s="16">
        <f t="shared" si="14"/>
        <v>114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308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K256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M24" sqref="M24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gacha_unit_tables_122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122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2050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122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2050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122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2050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122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2050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122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2050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122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2050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122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2050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122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2050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122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2050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122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2050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122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2050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122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2050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122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2050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122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2050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122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2050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122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2050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122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2050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122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2050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122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2050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122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2050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122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2030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122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2030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122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2030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122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2030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122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2030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122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2030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122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2030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122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2030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122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2030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122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2030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122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2030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122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2030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122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2030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122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2030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122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2030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122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2030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122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2030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122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2030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122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2030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122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2030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122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200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122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200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122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200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122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200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122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170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122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170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122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170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122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170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122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170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122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170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122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170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122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170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122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170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122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170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122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170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122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170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122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170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122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170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122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170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122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170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122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170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122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170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122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170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122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170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122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8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122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8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122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122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8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122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200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122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8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122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200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122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8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122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200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122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8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122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200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122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8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122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200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122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8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122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200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122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8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122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200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122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8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122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 t="e">
        <f t="shared" si="5"/>
        <v>#REF!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122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 t="e">
        <f t="shared" si="5"/>
        <v>#REF!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122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120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122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 t="e">
        <f t="shared" si="5"/>
        <v>#REF!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122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120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122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 t="e">
        <f t="shared" si="5"/>
        <v>#REF!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122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120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122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 t="e">
        <f t="shared" si="5"/>
        <v>#REF!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122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120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122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 t="e">
        <f t="shared" si="5"/>
        <v>#REF!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13811</v>
      </c>
      <c r="B95" s="16">
        <f t="shared" si="5"/>
        <v>122</v>
      </c>
      <c r="C95" s="16">
        <f t="shared" si="5"/>
        <v>1</v>
      </c>
      <c r="D95" s="16">
        <f t="shared" si="5"/>
        <v>381</v>
      </c>
      <c r="E95" s="16">
        <f t="shared" si="5"/>
        <v>1</v>
      </c>
      <c r="F95" s="16">
        <f t="shared" si="5"/>
        <v>4800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122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200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122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960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122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40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122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960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122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40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122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4800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122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200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122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2351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122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2351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122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2351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122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2351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122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2351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122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2351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122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2351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122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2351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122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2351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122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2351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122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2351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122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2351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122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2351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122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2351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si="6"/>
        <v>122</v>
      </c>
      <c r="C117" s="16">
        <f t="shared" si="6"/>
        <v>0</v>
      </c>
      <c r="D117" s="16">
        <f t="shared" si="6"/>
        <v>154</v>
      </c>
      <c r="E117" s="16">
        <f t="shared" si="6"/>
        <v>1</v>
      </c>
      <c r="F117" s="16">
        <f t="shared" si="6"/>
        <v>2351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01561</v>
      </c>
      <c r="B118" s="16">
        <f t="shared" si="6"/>
        <v>122</v>
      </c>
      <c r="C118" s="16">
        <f t="shared" si="6"/>
        <v>0</v>
      </c>
      <c r="D118" s="16">
        <f t="shared" si="6"/>
        <v>156</v>
      </c>
      <c r="E118" s="16">
        <f t="shared" si="6"/>
        <v>1</v>
      </c>
      <c r="F118" s="16">
        <f t="shared" si="6"/>
        <v>2351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01581</v>
      </c>
      <c r="B119" s="16">
        <f t="shared" si="6"/>
        <v>122</v>
      </c>
      <c r="C119" s="16">
        <f t="shared" si="6"/>
        <v>0</v>
      </c>
      <c r="D119" s="16">
        <f t="shared" si="6"/>
        <v>158</v>
      </c>
      <c r="E119" s="16">
        <f t="shared" si="6"/>
        <v>1</v>
      </c>
      <c r="F119" s="16">
        <f t="shared" si="6"/>
        <v>2351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01601</v>
      </c>
      <c r="B120" s="16">
        <f t="shared" si="6"/>
        <v>122</v>
      </c>
      <c r="C120" s="16">
        <f t="shared" si="6"/>
        <v>0</v>
      </c>
      <c r="D120" s="16">
        <f t="shared" si="6"/>
        <v>160</v>
      </c>
      <c r="E120" s="16">
        <f t="shared" si="6"/>
        <v>1</v>
      </c>
      <c r="F120" s="16">
        <f t="shared" si="6"/>
        <v>2351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01621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122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2351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122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2351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122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2433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122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2433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122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2433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122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2433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122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2433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122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2433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122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2433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122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2433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122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2433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122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2433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122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2433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122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2433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122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2433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122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2433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122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2433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122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2433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122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2433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122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2433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122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2433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122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2433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02261</v>
      </c>
      <c r="B143" s="16">
        <f t="shared" si="7"/>
        <v>122</v>
      </c>
      <c r="C143" s="16">
        <f t="shared" si="7"/>
        <v>0</v>
      </c>
      <c r="D143" s="16">
        <f t="shared" si="7"/>
        <v>226</v>
      </c>
      <c r="E143" s="16">
        <f t="shared" si="7"/>
        <v>1</v>
      </c>
      <c r="F143" s="16">
        <f t="shared" si="7"/>
        <v>228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02291</v>
      </c>
      <c r="B144" s="16">
        <f t="shared" si="7"/>
        <v>122</v>
      </c>
      <c r="C144" s="16">
        <f t="shared" si="7"/>
        <v>0</v>
      </c>
      <c r="D144" s="16">
        <f t="shared" si="7"/>
        <v>229</v>
      </c>
      <c r="E144" s="16">
        <f t="shared" si="7"/>
        <v>1</v>
      </c>
      <c r="F144" s="16">
        <f t="shared" si="7"/>
        <v>228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02321</v>
      </c>
      <c r="B145" s="16">
        <f t="shared" si="7"/>
        <v>122</v>
      </c>
      <c r="C145" s="16">
        <f t="shared" si="7"/>
        <v>0</v>
      </c>
      <c r="D145" s="16">
        <f t="shared" si="7"/>
        <v>232</v>
      </c>
      <c r="E145" s="16">
        <f t="shared" si="7"/>
        <v>1</v>
      </c>
      <c r="F145" s="16">
        <f t="shared" si="7"/>
        <v>228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02351</v>
      </c>
      <c r="B146" s="16">
        <f t="shared" si="7"/>
        <v>122</v>
      </c>
      <c r="C146" s="16">
        <f t="shared" si="7"/>
        <v>0</v>
      </c>
      <c r="D146" s="16">
        <f t="shared" si="7"/>
        <v>235</v>
      </c>
      <c r="E146" s="16">
        <f t="shared" si="7"/>
        <v>1</v>
      </c>
      <c r="F146" s="16">
        <f t="shared" si="7"/>
        <v>228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9"/>
        <v>122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806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9"/>
        <v>122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806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9"/>
        <v>122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806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9"/>
        <v>122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806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9"/>
        <v>122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806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9"/>
        <v>122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806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9"/>
        <v>122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806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9"/>
        <v>122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806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9"/>
        <v>122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806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9"/>
        <v>122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806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9"/>
        <v>122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806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9"/>
        <v>122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806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9"/>
        <v>122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806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9"/>
        <v>122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806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9"/>
        <v>122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806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9"/>
        <v>122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806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9"/>
        <v>122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806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9"/>
        <v>122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806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9"/>
        <v>122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806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9"/>
        <v>122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806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9"/>
        <v>122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715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9"/>
        <v>122</v>
      </c>
      <c r="C168" s="16">
        <f t="shared" si="9"/>
        <v>0</v>
      </c>
      <c r="D168" s="16">
        <f t="shared" si="9"/>
        <v>170</v>
      </c>
      <c r="E168" s="16">
        <f t="shared" si="9"/>
        <v>1</v>
      </c>
      <c r="F168" s="16">
        <f t="shared" si="9"/>
        <v>715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01731</v>
      </c>
      <c r="B169" s="16">
        <f t="shared" si="9"/>
        <v>122</v>
      </c>
      <c r="C169" s="16">
        <f t="shared" si="9"/>
        <v>0</v>
      </c>
      <c r="D169" s="16">
        <f t="shared" si="9"/>
        <v>173</v>
      </c>
      <c r="E169" s="16">
        <f t="shared" si="9"/>
        <v>1</v>
      </c>
      <c r="F169" s="16">
        <f t="shared" si="9"/>
        <v>715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01761</v>
      </c>
      <c r="B170" s="16">
        <f t="shared" si="9"/>
        <v>122</v>
      </c>
      <c r="C170" s="16">
        <f t="shared" si="9"/>
        <v>0</v>
      </c>
      <c r="D170" s="16">
        <f t="shared" si="9"/>
        <v>176</v>
      </c>
      <c r="E170" s="16">
        <f t="shared" si="9"/>
        <v>1</v>
      </c>
      <c r="F170" s="16">
        <f t="shared" si="9"/>
        <v>715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01791</v>
      </c>
      <c r="B171" s="16">
        <f t="shared" si="9"/>
        <v>122</v>
      </c>
      <c r="C171" s="16">
        <f t="shared" si="9"/>
        <v>0</v>
      </c>
      <c r="D171" s="16">
        <f t="shared" si="9"/>
        <v>179</v>
      </c>
      <c r="E171" s="16">
        <f t="shared" si="9"/>
        <v>1</v>
      </c>
      <c r="F171" s="16">
        <f t="shared" si="9"/>
        <v>715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01821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122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715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122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715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122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715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122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715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122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715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122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715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122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715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122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715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122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715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122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715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122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715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122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715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122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715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122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715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122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715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122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80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122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80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122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80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122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80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si="10"/>
        <v>122</v>
      </c>
      <c r="C191" s="16">
        <f t="shared" si="10"/>
        <v>0</v>
      </c>
      <c r="D191" s="16">
        <f t="shared" si="10"/>
        <v>168</v>
      </c>
      <c r="E191" s="16">
        <f t="shared" si="10"/>
        <v>1</v>
      </c>
      <c r="F191" s="16">
        <f t="shared" si="10"/>
        <v>241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01711</v>
      </c>
      <c r="B192" s="16">
        <f t="shared" si="10"/>
        <v>122</v>
      </c>
      <c r="C192" s="16">
        <f t="shared" si="10"/>
        <v>0</v>
      </c>
      <c r="D192" s="16">
        <f t="shared" si="10"/>
        <v>171</v>
      </c>
      <c r="E192" s="16">
        <f t="shared" si="10"/>
        <v>1</v>
      </c>
      <c r="F192" s="16">
        <f t="shared" si="10"/>
        <v>241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01741</v>
      </c>
      <c r="B193" s="16">
        <f t="shared" si="10"/>
        <v>122</v>
      </c>
      <c r="C193" s="16">
        <f t="shared" si="10"/>
        <v>0</v>
      </c>
      <c r="D193" s="16">
        <f t="shared" si="10"/>
        <v>174</v>
      </c>
      <c r="E193" s="16">
        <f t="shared" si="10"/>
        <v>1</v>
      </c>
      <c r="F193" s="16">
        <f t="shared" si="10"/>
        <v>241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01771</v>
      </c>
      <c r="B194" s="16">
        <f t="shared" si="10"/>
        <v>122</v>
      </c>
      <c r="C194" s="16">
        <f t="shared" si="10"/>
        <v>0</v>
      </c>
      <c r="D194" s="16">
        <f t="shared" si="10"/>
        <v>177</v>
      </c>
      <c r="E194" s="16">
        <f t="shared" si="10"/>
        <v>1</v>
      </c>
      <c r="F194" s="16">
        <f t="shared" si="10"/>
        <v>241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56" si="11">INDIRECT(ADDRESS(ROW()+$A$1,COLUMN(),1,TRUE,$C$1))</f>
        <v>01801</v>
      </c>
      <c r="B195" s="16">
        <f t="shared" si="10"/>
        <v>122</v>
      </c>
      <c r="C195" s="16">
        <f t="shared" si="10"/>
        <v>0</v>
      </c>
      <c r="D195" s="16">
        <f t="shared" si="10"/>
        <v>180</v>
      </c>
      <c r="E195" s="16">
        <f t="shared" si="10"/>
        <v>1</v>
      </c>
      <c r="F195" s="16">
        <f t="shared" si="10"/>
        <v>241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01831</v>
      </c>
      <c r="B196" s="16">
        <f t="shared" si="10"/>
        <v>122</v>
      </c>
      <c r="C196" s="16">
        <f t="shared" si="10"/>
        <v>0</v>
      </c>
      <c r="D196" s="16">
        <f t="shared" si="10"/>
        <v>183</v>
      </c>
      <c r="E196" s="16">
        <f t="shared" si="10"/>
        <v>1</v>
      </c>
      <c r="F196" s="16">
        <f t="shared" si="10"/>
        <v>241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01861</v>
      </c>
      <c r="B197" s="16">
        <f t="shared" si="10"/>
        <v>122</v>
      </c>
      <c r="C197" s="16">
        <f t="shared" si="10"/>
        <v>0</v>
      </c>
      <c r="D197" s="16">
        <f t="shared" si="10"/>
        <v>186</v>
      </c>
      <c r="E197" s="16">
        <f t="shared" si="10"/>
        <v>1</v>
      </c>
      <c r="F197" s="16">
        <f t="shared" si="10"/>
        <v>241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01891</v>
      </c>
      <c r="B198" s="16">
        <f t="shared" si="12"/>
        <v>122</v>
      </c>
      <c r="C198" s="16">
        <f t="shared" si="12"/>
        <v>0</v>
      </c>
      <c r="D198" s="16">
        <f t="shared" si="12"/>
        <v>189</v>
      </c>
      <c r="E198" s="16">
        <f t="shared" si="12"/>
        <v>1</v>
      </c>
      <c r="F198" s="16">
        <f t="shared" si="12"/>
        <v>241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01921</v>
      </c>
      <c r="B199" s="16">
        <f t="shared" si="12"/>
        <v>122</v>
      </c>
      <c r="C199" s="16">
        <f t="shared" si="12"/>
        <v>0</v>
      </c>
      <c r="D199" s="16">
        <f t="shared" si="12"/>
        <v>192</v>
      </c>
      <c r="E199" s="16">
        <f t="shared" si="12"/>
        <v>1</v>
      </c>
      <c r="F199" s="16">
        <f t="shared" si="12"/>
        <v>241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01951</v>
      </c>
      <c r="B200" s="16">
        <f t="shared" si="12"/>
        <v>122</v>
      </c>
      <c r="C200" s="16">
        <f t="shared" si="12"/>
        <v>0</v>
      </c>
      <c r="D200" s="16">
        <f t="shared" si="12"/>
        <v>195</v>
      </c>
      <c r="E200" s="16">
        <f t="shared" si="12"/>
        <v>1</v>
      </c>
      <c r="F200" s="16">
        <f t="shared" si="12"/>
        <v>241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01981</v>
      </c>
      <c r="B201" s="16">
        <f t="shared" si="12"/>
        <v>122</v>
      </c>
      <c r="C201" s="16">
        <f t="shared" si="12"/>
        <v>0</v>
      </c>
      <c r="D201" s="16">
        <f t="shared" si="12"/>
        <v>198</v>
      </c>
      <c r="E201" s="16">
        <f t="shared" si="12"/>
        <v>1</v>
      </c>
      <c r="F201" s="16">
        <f t="shared" si="12"/>
        <v>241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02011</v>
      </c>
      <c r="B202" s="16">
        <f t="shared" si="12"/>
        <v>122</v>
      </c>
      <c r="C202" s="16">
        <f t="shared" si="12"/>
        <v>0</v>
      </c>
      <c r="D202" s="16">
        <f t="shared" si="12"/>
        <v>201</v>
      </c>
      <c r="E202" s="16">
        <f t="shared" si="12"/>
        <v>1</v>
      </c>
      <c r="F202" s="16">
        <f t="shared" si="12"/>
        <v>241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02041</v>
      </c>
      <c r="B203" s="16">
        <f t="shared" si="12"/>
        <v>122</v>
      </c>
      <c r="C203" s="16">
        <f t="shared" si="12"/>
        <v>0</v>
      </c>
      <c r="D203" s="16">
        <f t="shared" si="12"/>
        <v>204</v>
      </c>
      <c r="E203" s="16">
        <f t="shared" si="12"/>
        <v>1</v>
      </c>
      <c r="F203" s="16">
        <f t="shared" si="12"/>
        <v>241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02071</v>
      </c>
      <c r="B204" s="16">
        <f t="shared" si="12"/>
        <v>122</v>
      </c>
      <c r="C204" s="16">
        <f t="shared" si="12"/>
        <v>0</v>
      </c>
      <c r="D204" s="16">
        <f t="shared" si="12"/>
        <v>207</v>
      </c>
      <c r="E204" s="16">
        <f t="shared" si="12"/>
        <v>1</v>
      </c>
      <c r="F204" s="16">
        <f t="shared" si="12"/>
        <v>241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02101</v>
      </c>
      <c r="B205" s="16">
        <f t="shared" si="12"/>
        <v>122</v>
      </c>
      <c r="C205" s="16">
        <f t="shared" si="12"/>
        <v>0</v>
      </c>
      <c r="D205" s="16">
        <f t="shared" si="12"/>
        <v>210</v>
      </c>
      <c r="E205" s="16">
        <f t="shared" si="12"/>
        <v>1</v>
      </c>
      <c r="F205" s="16">
        <f t="shared" si="12"/>
        <v>241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02131</v>
      </c>
      <c r="B206" s="16">
        <f t="shared" si="12"/>
        <v>122</v>
      </c>
      <c r="C206" s="16">
        <f t="shared" si="12"/>
        <v>0</v>
      </c>
      <c r="D206" s="16">
        <f t="shared" si="12"/>
        <v>213</v>
      </c>
      <c r="E206" s="16">
        <f t="shared" si="12"/>
        <v>1</v>
      </c>
      <c r="F206" s="16">
        <f t="shared" si="12"/>
        <v>241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02161</v>
      </c>
      <c r="B207" s="16">
        <f t="shared" si="12"/>
        <v>122</v>
      </c>
      <c r="C207" s="16">
        <f t="shared" si="12"/>
        <v>0</v>
      </c>
      <c r="D207" s="16">
        <f t="shared" si="12"/>
        <v>216</v>
      </c>
      <c r="E207" s="16">
        <f t="shared" si="12"/>
        <v>1</v>
      </c>
      <c r="F207" s="16">
        <f t="shared" si="12"/>
        <v>241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02191</v>
      </c>
      <c r="B208" s="16">
        <f t="shared" si="12"/>
        <v>122</v>
      </c>
      <c r="C208" s="16">
        <f t="shared" si="12"/>
        <v>0</v>
      </c>
      <c r="D208" s="16">
        <f t="shared" si="12"/>
        <v>219</v>
      </c>
      <c r="E208" s="16">
        <f t="shared" si="12"/>
        <v>1</v>
      </c>
      <c r="F208" s="16">
        <f t="shared" si="12"/>
        <v>241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02221</v>
      </c>
      <c r="B209" s="16">
        <f t="shared" si="12"/>
        <v>122</v>
      </c>
      <c r="C209" s="16">
        <f t="shared" si="12"/>
        <v>0</v>
      </c>
      <c r="D209" s="16">
        <f t="shared" si="12"/>
        <v>222</v>
      </c>
      <c r="E209" s="16">
        <f t="shared" si="12"/>
        <v>1</v>
      </c>
      <c r="F209" s="16">
        <f t="shared" si="12"/>
        <v>241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02251</v>
      </c>
      <c r="B210" s="16">
        <f t="shared" si="12"/>
        <v>122</v>
      </c>
      <c r="C210" s="16">
        <f t="shared" si="12"/>
        <v>0</v>
      </c>
      <c r="D210" s="16">
        <f t="shared" si="12"/>
        <v>225</v>
      </c>
      <c r="E210" s="16">
        <f t="shared" si="12"/>
        <v>1</v>
      </c>
      <c r="F210" s="16">
        <f t="shared" si="12"/>
        <v>241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02281</v>
      </c>
      <c r="B211" s="16">
        <f t="shared" si="12"/>
        <v>122</v>
      </c>
      <c r="C211" s="16">
        <f t="shared" si="12"/>
        <v>0</v>
      </c>
      <c r="D211" s="16">
        <f t="shared" si="12"/>
        <v>228</v>
      </c>
      <c r="E211" s="16">
        <f t="shared" si="12"/>
        <v>1</v>
      </c>
      <c r="F211" s="16">
        <f t="shared" si="12"/>
        <v>13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02311</v>
      </c>
      <c r="B212" s="16">
        <f t="shared" si="12"/>
        <v>122</v>
      </c>
      <c r="C212" s="16">
        <f t="shared" si="12"/>
        <v>0</v>
      </c>
      <c r="D212" s="16">
        <f t="shared" si="12"/>
        <v>231</v>
      </c>
      <c r="E212" s="16">
        <f t="shared" si="12"/>
        <v>1</v>
      </c>
      <c r="F212" s="16">
        <f t="shared" si="12"/>
        <v>13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02341</v>
      </c>
      <c r="B213" s="16">
        <f t="shared" si="12"/>
        <v>122</v>
      </c>
      <c r="C213" s="16">
        <f t="shared" si="12"/>
        <v>0</v>
      </c>
      <c r="D213" s="16">
        <f t="shared" si="12"/>
        <v>234</v>
      </c>
      <c r="E213" s="16">
        <f t="shared" si="12"/>
        <v>1</v>
      </c>
      <c r="F213" s="16">
        <f t="shared" si="12"/>
        <v>13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02371</v>
      </c>
      <c r="B214" s="16">
        <f t="shared" si="12"/>
        <v>122</v>
      </c>
      <c r="C214" s="16">
        <f t="shared" si="12"/>
        <v>0</v>
      </c>
      <c r="D214" s="16">
        <f t="shared" si="12"/>
        <v>237</v>
      </c>
      <c r="E214" s="16">
        <f t="shared" si="12"/>
        <v>1</v>
      </c>
      <c r="F214" s="16">
        <f t="shared" si="12"/>
        <v>13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02381</v>
      </c>
      <c r="B215" s="16">
        <f t="shared" si="12"/>
        <v>122</v>
      </c>
      <c r="C215" s="16">
        <f t="shared" si="12"/>
        <v>0</v>
      </c>
      <c r="D215" s="16">
        <f t="shared" si="12"/>
        <v>238</v>
      </c>
      <c r="E215" s="16">
        <f t="shared" si="12"/>
        <v>1</v>
      </c>
      <c r="F215" s="16">
        <f t="shared" si="12"/>
        <v>228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02391</v>
      </c>
      <c r="B216" s="16">
        <f t="shared" si="12"/>
        <v>122</v>
      </c>
      <c r="C216" s="16">
        <f t="shared" si="12"/>
        <v>0</v>
      </c>
      <c r="D216" s="16">
        <f t="shared" si="12"/>
        <v>239</v>
      </c>
      <c r="E216" s="16">
        <f t="shared" si="12"/>
        <v>1</v>
      </c>
      <c r="F216" s="16">
        <f t="shared" si="12"/>
        <v>80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02401</v>
      </c>
      <c r="B217" s="16">
        <f t="shared" si="12"/>
        <v>122</v>
      </c>
      <c r="C217" s="16">
        <f t="shared" si="12"/>
        <v>0</v>
      </c>
      <c r="D217" s="16">
        <f t="shared" si="12"/>
        <v>240</v>
      </c>
      <c r="E217" s="16">
        <f t="shared" si="12"/>
        <v>1</v>
      </c>
      <c r="F217" s="16">
        <f t="shared" si="12"/>
        <v>13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02411</v>
      </c>
      <c r="B218" s="16">
        <f t="shared" si="12"/>
        <v>122</v>
      </c>
      <c r="C218" s="16">
        <f t="shared" si="12"/>
        <v>0</v>
      </c>
      <c r="D218" s="16">
        <f t="shared" si="12"/>
        <v>241</v>
      </c>
      <c r="E218" s="16">
        <f t="shared" si="12"/>
        <v>1</v>
      </c>
      <c r="F218" s="16">
        <f t="shared" si="12"/>
        <v>228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02421</v>
      </c>
      <c r="B219" s="16">
        <f t="shared" si="12"/>
        <v>122</v>
      </c>
      <c r="C219" s="16">
        <f t="shared" si="12"/>
        <v>0</v>
      </c>
      <c r="D219" s="16">
        <f t="shared" si="12"/>
        <v>242</v>
      </c>
      <c r="E219" s="16">
        <f t="shared" si="12"/>
        <v>1</v>
      </c>
      <c r="F219" s="16">
        <f t="shared" si="12"/>
        <v>80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02431</v>
      </c>
      <c r="B220" s="16">
        <f t="shared" si="12"/>
        <v>122</v>
      </c>
      <c r="C220" s="16">
        <f t="shared" si="12"/>
        <v>0</v>
      </c>
      <c r="D220" s="16">
        <f t="shared" si="12"/>
        <v>243</v>
      </c>
      <c r="E220" s="16">
        <f t="shared" si="12"/>
        <v>1</v>
      </c>
      <c r="F220" s="16">
        <f t="shared" si="12"/>
        <v>13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02441</v>
      </c>
      <c r="B221" s="16">
        <f t="shared" si="12"/>
        <v>122</v>
      </c>
      <c r="C221" s="16">
        <f t="shared" si="12"/>
        <v>0</v>
      </c>
      <c r="D221" s="16">
        <f t="shared" si="12"/>
        <v>244</v>
      </c>
      <c r="E221" s="16">
        <f t="shared" si="12"/>
        <v>1</v>
      </c>
      <c r="F221" s="16">
        <f t="shared" si="12"/>
        <v>228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02451</v>
      </c>
      <c r="B222" s="16">
        <f t="shared" si="12"/>
        <v>122</v>
      </c>
      <c r="C222" s="16">
        <f t="shared" si="12"/>
        <v>0</v>
      </c>
      <c r="D222" s="16">
        <f t="shared" si="12"/>
        <v>245</v>
      </c>
      <c r="E222" s="16">
        <f t="shared" si="12"/>
        <v>1</v>
      </c>
      <c r="F222" s="16">
        <f t="shared" si="12"/>
        <v>80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02461</v>
      </c>
      <c r="B223" s="16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122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13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02471</v>
      </c>
      <c r="B224" s="16">
        <f t="shared" si="13"/>
        <v>122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228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02481</v>
      </c>
      <c r="B225" s="16">
        <f t="shared" si="13"/>
        <v>122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80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02491</v>
      </c>
      <c r="B226" s="16">
        <f t="shared" si="13"/>
        <v>122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13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02501</v>
      </c>
      <c r="B227" s="16">
        <f t="shared" si="13"/>
        <v>122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228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02511</v>
      </c>
      <c r="B228" s="16">
        <f t="shared" si="13"/>
        <v>122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80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02521</v>
      </c>
      <c r="B229" s="16">
        <f t="shared" si="13"/>
        <v>122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13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02531</v>
      </c>
      <c r="B230" s="16">
        <f t="shared" si="13"/>
        <v>122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228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02541</v>
      </c>
      <c r="B231" s="16">
        <f t="shared" si="13"/>
        <v>122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80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02551</v>
      </c>
      <c r="B232" s="16">
        <f t="shared" si="13"/>
        <v>122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13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02561</v>
      </c>
      <c r="B233" s="16">
        <f t="shared" si="13"/>
        <v>122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228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02571</v>
      </c>
      <c r="B234" s="16">
        <f t="shared" si="13"/>
        <v>122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80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02581</v>
      </c>
      <c r="B235" s="16">
        <f t="shared" si="13"/>
        <v>122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13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02591</v>
      </c>
      <c r="B236" s="16">
        <f t="shared" si="13"/>
        <v>122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228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02601</v>
      </c>
      <c r="B237" s="16">
        <f t="shared" si="13"/>
        <v>122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80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02611</v>
      </c>
      <c r="B238" s="16">
        <f t="shared" si="13"/>
        <v>122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13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1"/>
        <v>03201</v>
      </c>
      <c r="B239" s="16">
        <f t="shared" si="13"/>
        <v>122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144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1"/>
        <v>03211</v>
      </c>
      <c r="B240" s="16">
        <f t="shared" si="13"/>
        <v>122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48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1"/>
        <v>03221</v>
      </c>
      <c r="B241" s="16">
        <f t="shared" si="13"/>
        <v>122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144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1"/>
        <v>03231</v>
      </c>
      <c r="B242" s="16">
        <f t="shared" si="13"/>
        <v>122</v>
      </c>
      <c r="C242" s="16">
        <f t="shared" si="13"/>
        <v>0</v>
      </c>
      <c r="D242" s="16">
        <f t="shared" si="13"/>
        <v>323</v>
      </c>
      <c r="E242" s="16">
        <f t="shared" si="13"/>
        <v>1</v>
      </c>
      <c r="F242" s="16">
        <f t="shared" si="13"/>
        <v>48</v>
      </c>
      <c r="G242" s="16">
        <f t="shared" si="13"/>
        <v>0</v>
      </c>
      <c r="H242" s="16">
        <f t="shared" si="13"/>
        <v>0</v>
      </c>
      <c r="I242" s="16">
        <f t="shared" si="13"/>
        <v>0</v>
      </c>
      <c r="J242" s="16">
        <f t="shared" si="13"/>
        <v>0</v>
      </c>
      <c r="K242" s="16">
        <f t="shared" si="13"/>
        <v>1</v>
      </c>
    </row>
    <row r="243" spans="1:11">
      <c r="A243" s="15" t="str">
        <f t="shared" si="11"/>
        <v>03241</v>
      </c>
      <c r="B243" s="16">
        <f t="shared" si="13"/>
        <v>122</v>
      </c>
      <c r="C243" s="16">
        <f t="shared" si="13"/>
        <v>0</v>
      </c>
      <c r="D243" s="16">
        <f t="shared" si="13"/>
        <v>324</v>
      </c>
      <c r="E243" s="16">
        <f t="shared" si="13"/>
        <v>1</v>
      </c>
      <c r="F243" s="16">
        <f t="shared" si="13"/>
        <v>144</v>
      </c>
      <c r="G243" s="16">
        <f t="shared" si="13"/>
        <v>0</v>
      </c>
      <c r="H243" s="16">
        <f t="shared" si="13"/>
        <v>0</v>
      </c>
      <c r="I243" s="16">
        <f t="shared" si="13"/>
        <v>0</v>
      </c>
      <c r="J243" s="16">
        <f t="shared" si="13"/>
        <v>0</v>
      </c>
      <c r="K243" s="16">
        <f t="shared" si="13"/>
        <v>1</v>
      </c>
    </row>
    <row r="244" spans="1:11">
      <c r="A244" s="15" t="str">
        <f t="shared" si="11"/>
        <v>03251</v>
      </c>
      <c r="B244" s="16">
        <f t="shared" si="13"/>
        <v>122</v>
      </c>
      <c r="C244" s="16">
        <f t="shared" si="13"/>
        <v>0</v>
      </c>
      <c r="D244" s="16">
        <f t="shared" si="13"/>
        <v>325</v>
      </c>
      <c r="E244" s="16">
        <f t="shared" si="13"/>
        <v>1</v>
      </c>
      <c r="F244" s="16">
        <f t="shared" si="13"/>
        <v>48</v>
      </c>
      <c r="G244" s="16">
        <f t="shared" si="13"/>
        <v>0</v>
      </c>
      <c r="H244" s="16">
        <f t="shared" si="13"/>
        <v>0</v>
      </c>
      <c r="I244" s="16">
        <f t="shared" si="13"/>
        <v>0</v>
      </c>
      <c r="J244" s="16">
        <f t="shared" si="13"/>
        <v>0</v>
      </c>
      <c r="K244" s="16">
        <f t="shared" si="13"/>
        <v>1</v>
      </c>
    </row>
    <row r="245" spans="1:11">
      <c r="A245" s="15" t="str">
        <f t="shared" si="11"/>
        <v>03261</v>
      </c>
      <c r="B245" s="16">
        <f t="shared" si="13"/>
        <v>122</v>
      </c>
      <c r="C245" s="16">
        <f t="shared" si="13"/>
        <v>0</v>
      </c>
      <c r="D245" s="16">
        <f t="shared" si="13"/>
        <v>326</v>
      </c>
      <c r="E245" s="16">
        <f t="shared" si="13"/>
        <v>1</v>
      </c>
      <c r="F245" s="16">
        <f t="shared" si="13"/>
        <v>144</v>
      </c>
      <c r="G245" s="16">
        <f t="shared" si="13"/>
        <v>0</v>
      </c>
      <c r="H245" s="16">
        <f t="shared" si="13"/>
        <v>0</v>
      </c>
      <c r="I245" s="16">
        <f t="shared" si="13"/>
        <v>0</v>
      </c>
      <c r="J245" s="16">
        <f t="shared" si="13"/>
        <v>0</v>
      </c>
      <c r="K245" s="16">
        <f t="shared" si="13"/>
        <v>1</v>
      </c>
    </row>
    <row r="246" spans="1:11">
      <c r="A246" s="15" t="str">
        <f t="shared" si="11"/>
        <v>03271</v>
      </c>
      <c r="B246" s="16">
        <f t="shared" si="13"/>
        <v>122</v>
      </c>
      <c r="C246" s="16">
        <f t="shared" si="13"/>
        <v>0</v>
      </c>
      <c r="D246" s="16">
        <f t="shared" si="13"/>
        <v>327</v>
      </c>
      <c r="E246" s="16">
        <f t="shared" si="13"/>
        <v>1</v>
      </c>
      <c r="F246" s="16">
        <f t="shared" si="13"/>
        <v>48</v>
      </c>
      <c r="G246" s="16">
        <f t="shared" si="13"/>
        <v>0</v>
      </c>
      <c r="H246" s="16">
        <f t="shared" si="13"/>
        <v>0</v>
      </c>
      <c r="I246" s="16">
        <f t="shared" si="13"/>
        <v>0</v>
      </c>
      <c r="J246" s="16">
        <f t="shared" si="13"/>
        <v>0</v>
      </c>
      <c r="K246" s="16">
        <f t="shared" si="13"/>
        <v>1</v>
      </c>
    </row>
    <row r="247" spans="1:11">
      <c r="A247" s="15" t="str">
        <f t="shared" si="11"/>
        <v>03801</v>
      </c>
      <c r="B247" s="16">
        <f t="shared" si="13"/>
        <v>122</v>
      </c>
      <c r="C247" s="16">
        <f t="shared" si="13"/>
        <v>0</v>
      </c>
      <c r="D247" s="16">
        <f t="shared" si="13"/>
        <v>380</v>
      </c>
      <c r="E247" s="16">
        <f t="shared" si="13"/>
        <v>1</v>
      </c>
      <c r="F247" s="16">
        <f t="shared" si="13"/>
        <v>5467</v>
      </c>
      <c r="G247" s="16">
        <f t="shared" si="13"/>
        <v>0</v>
      </c>
      <c r="H247" s="16">
        <f t="shared" si="13"/>
        <v>0</v>
      </c>
      <c r="I247" s="16">
        <f t="shared" si="13"/>
        <v>0</v>
      </c>
      <c r="J247" s="16">
        <f t="shared" si="13"/>
        <v>0</v>
      </c>
      <c r="K247" s="16">
        <f t="shared" si="13"/>
        <v>1</v>
      </c>
    </row>
    <row r="248" spans="1:11">
      <c r="A248" s="15" t="str">
        <f t="shared" si="11"/>
        <v>03811</v>
      </c>
      <c r="B248" s="16">
        <f t="shared" si="13"/>
        <v>122</v>
      </c>
      <c r="C248" s="16">
        <f t="shared" si="13"/>
        <v>0</v>
      </c>
      <c r="D248" s="16">
        <f t="shared" si="13"/>
        <v>381</v>
      </c>
      <c r="E248" s="16">
        <f t="shared" si="13"/>
        <v>1</v>
      </c>
      <c r="F248" s="16">
        <f t="shared" si="13"/>
        <v>1925</v>
      </c>
      <c r="G248" s="16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1"/>
        <v>03821</v>
      </c>
      <c r="B249" s="16">
        <f t="shared" si="14"/>
        <v>122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308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1"/>
        <v>03831</v>
      </c>
      <c r="B250" s="16">
        <f t="shared" si="14"/>
        <v>122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1348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1"/>
        <v>03841</v>
      </c>
      <c r="B251" s="16">
        <f t="shared" si="14"/>
        <v>122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193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1"/>
        <v>03851</v>
      </c>
      <c r="B252" s="16">
        <f t="shared" si="14"/>
        <v>122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1348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1"/>
        <v>03861</v>
      </c>
      <c r="B253" s="16">
        <f t="shared" si="14"/>
        <v>122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193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1"/>
        <v>03871</v>
      </c>
      <c r="B254" s="16">
        <f t="shared" si="14"/>
        <v>122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5467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1"/>
        <v>03881</v>
      </c>
      <c r="B255" s="16">
        <f t="shared" si="14"/>
        <v>122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1925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1"/>
        <v>03891</v>
      </c>
      <c r="B256" s="16">
        <f t="shared" si="14"/>
        <v>122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308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24" sqref="M24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gacha_unit_tables_123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2050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123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2050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123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2050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123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2050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123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2050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123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2050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123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2050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123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2050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123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2050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123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2050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123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2050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123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2050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123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2050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123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2050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123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2050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123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2050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2050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123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2050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123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2050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123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2050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123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2030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123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2030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123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2030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123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2030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123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2030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123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2030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123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2030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123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2030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123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2030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123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2030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123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2030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123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2030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123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2030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123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2030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123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2030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123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2030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123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2030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123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2030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123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2030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123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2030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123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200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123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200</v>
      </c>
      <c r="G44" s="16">
        <f t="shared" ref="G44:K44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ref="B45:K70" si="4">VLOOKUP($A45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45" s="16">
        <f t="shared" si="4"/>
        <v>1</v>
      </c>
      <c r="D45" s="16">
        <f t="shared" si="4"/>
        <v>233</v>
      </c>
      <c r="E45" s="16">
        <f t="shared" si="4"/>
        <v>1</v>
      </c>
      <c r="F45" s="16">
        <f t="shared" si="4"/>
        <v>200</v>
      </c>
      <c r="G45" s="16">
        <f t="shared" si="4"/>
        <v>0</v>
      </c>
      <c r="H45" s="16">
        <f t="shared" si="4"/>
        <v>0</v>
      </c>
      <c r="I45" s="16">
        <f t="shared" si="4"/>
        <v>0</v>
      </c>
      <c r="J45" s="16">
        <f t="shared" si="4"/>
        <v>0</v>
      </c>
      <c r="K45" s="16">
        <f t="shared" si="4"/>
        <v>1</v>
      </c>
    </row>
    <row r="46" spans="1:11">
      <c r="A46" s="15" t="str">
        <f t="shared" si="0"/>
        <v>12361</v>
      </c>
      <c r="B46" s="16">
        <f t="shared" si="4"/>
        <v>123</v>
      </c>
      <c r="C46" s="16">
        <f t="shared" si="4"/>
        <v>1</v>
      </c>
      <c r="D46" s="16">
        <f t="shared" si="4"/>
        <v>236</v>
      </c>
      <c r="E46" s="16">
        <f t="shared" si="4"/>
        <v>1</v>
      </c>
      <c r="F46" s="16">
        <f t="shared" si="4"/>
        <v>200</v>
      </c>
      <c r="G46" s="16">
        <f t="shared" si="4"/>
        <v>0</v>
      </c>
      <c r="H46" s="16">
        <f t="shared" si="4"/>
        <v>0</v>
      </c>
      <c r="I46" s="16">
        <f t="shared" si="4"/>
        <v>0</v>
      </c>
      <c r="J46" s="16">
        <f t="shared" si="4"/>
        <v>0</v>
      </c>
      <c r="K46" s="16">
        <f t="shared" si="4"/>
        <v>1</v>
      </c>
    </row>
    <row r="47" spans="1:11">
      <c r="A47" s="15" t="str">
        <f t="shared" si="0"/>
        <v>11681</v>
      </c>
      <c r="B47" s="16">
        <f t="shared" si="4"/>
        <v>123</v>
      </c>
      <c r="C47" s="16">
        <f t="shared" si="4"/>
        <v>1</v>
      </c>
      <c r="D47" s="16">
        <f t="shared" si="4"/>
        <v>168</v>
      </c>
      <c r="E47" s="16">
        <f t="shared" si="4"/>
        <v>1</v>
      </c>
      <c r="F47" s="16">
        <f t="shared" si="4"/>
        <v>170</v>
      </c>
      <c r="G47" s="16">
        <f t="shared" si="4"/>
        <v>0</v>
      </c>
      <c r="H47" s="16">
        <f t="shared" si="4"/>
        <v>0</v>
      </c>
      <c r="I47" s="16">
        <f t="shared" si="4"/>
        <v>0</v>
      </c>
      <c r="J47" s="16">
        <f t="shared" si="4"/>
        <v>0</v>
      </c>
      <c r="K47" s="16">
        <f t="shared" si="4"/>
        <v>1</v>
      </c>
    </row>
    <row r="48" spans="1:11">
      <c r="A48" s="15" t="str">
        <f t="shared" si="0"/>
        <v>11711</v>
      </c>
      <c r="B48" s="16">
        <f t="shared" si="4"/>
        <v>123</v>
      </c>
      <c r="C48" s="16">
        <f t="shared" si="4"/>
        <v>1</v>
      </c>
      <c r="D48" s="16">
        <f t="shared" si="4"/>
        <v>171</v>
      </c>
      <c r="E48" s="16">
        <f t="shared" si="4"/>
        <v>1</v>
      </c>
      <c r="F48" s="16">
        <f t="shared" si="4"/>
        <v>170</v>
      </c>
      <c r="G48" s="16">
        <f t="shared" si="4"/>
        <v>0</v>
      </c>
      <c r="H48" s="16">
        <f t="shared" si="4"/>
        <v>0</v>
      </c>
      <c r="I48" s="16">
        <f t="shared" si="4"/>
        <v>0</v>
      </c>
      <c r="J48" s="16">
        <f t="shared" si="4"/>
        <v>0</v>
      </c>
      <c r="K48" s="16">
        <f t="shared" si="4"/>
        <v>1</v>
      </c>
    </row>
    <row r="49" spans="1:11">
      <c r="A49" s="15" t="str">
        <f t="shared" si="0"/>
        <v>11741</v>
      </c>
      <c r="B49" s="16">
        <f t="shared" si="4"/>
        <v>123</v>
      </c>
      <c r="C49" s="16">
        <f t="shared" si="4"/>
        <v>1</v>
      </c>
      <c r="D49" s="16">
        <f t="shared" si="4"/>
        <v>174</v>
      </c>
      <c r="E49" s="16">
        <f t="shared" si="4"/>
        <v>1</v>
      </c>
      <c r="F49" s="16">
        <f t="shared" si="4"/>
        <v>170</v>
      </c>
      <c r="G49" s="16">
        <f t="shared" si="4"/>
        <v>0</v>
      </c>
      <c r="H49" s="16">
        <f t="shared" si="4"/>
        <v>0</v>
      </c>
      <c r="I49" s="16">
        <f t="shared" si="4"/>
        <v>0</v>
      </c>
      <c r="J49" s="16">
        <f t="shared" si="4"/>
        <v>0</v>
      </c>
      <c r="K49" s="16">
        <f t="shared" si="4"/>
        <v>1</v>
      </c>
    </row>
    <row r="50" spans="1:11">
      <c r="A50" s="15" t="str">
        <f t="shared" si="0"/>
        <v>11771</v>
      </c>
      <c r="B50" s="16">
        <f t="shared" si="4"/>
        <v>123</v>
      </c>
      <c r="C50" s="16">
        <f t="shared" si="4"/>
        <v>1</v>
      </c>
      <c r="D50" s="16">
        <f t="shared" si="4"/>
        <v>177</v>
      </c>
      <c r="E50" s="16">
        <f t="shared" si="4"/>
        <v>1</v>
      </c>
      <c r="F50" s="16">
        <f t="shared" si="4"/>
        <v>170</v>
      </c>
      <c r="G50" s="16">
        <f t="shared" si="4"/>
        <v>0</v>
      </c>
      <c r="H50" s="16">
        <f t="shared" si="4"/>
        <v>0</v>
      </c>
      <c r="I50" s="16">
        <f t="shared" si="4"/>
        <v>0</v>
      </c>
      <c r="J50" s="16">
        <f t="shared" si="4"/>
        <v>0</v>
      </c>
      <c r="K50" s="16">
        <f t="shared" si="4"/>
        <v>1</v>
      </c>
    </row>
    <row r="51" spans="1:11">
      <c r="A51" s="15" t="str">
        <f t="shared" si="0"/>
        <v>11801</v>
      </c>
      <c r="B51" s="16">
        <f t="shared" si="4"/>
        <v>123</v>
      </c>
      <c r="C51" s="16">
        <f t="shared" si="4"/>
        <v>1</v>
      </c>
      <c r="D51" s="16">
        <f t="shared" si="4"/>
        <v>180</v>
      </c>
      <c r="E51" s="16">
        <f t="shared" si="4"/>
        <v>1</v>
      </c>
      <c r="F51" s="16">
        <f t="shared" si="4"/>
        <v>170</v>
      </c>
      <c r="G51" s="16">
        <f t="shared" si="4"/>
        <v>0</v>
      </c>
      <c r="H51" s="16">
        <f t="shared" si="4"/>
        <v>0</v>
      </c>
      <c r="I51" s="16">
        <f t="shared" si="4"/>
        <v>0</v>
      </c>
      <c r="J51" s="16">
        <f t="shared" si="4"/>
        <v>0</v>
      </c>
      <c r="K51" s="16">
        <f t="shared" si="4"/>
        <v>1</v>
      </c>
    </row>
    <row r="52" spans="1:11">
      <c r="A52" s="15" t="str">
        <f t="shared" si="0"/>
        <v>11831</v>
      </c>
      <c r="B52" s="16">
        <f t="shared" si="4"/>
        <v>123</v>
      </c>
      <c r="C52" s="16">
        <f t="shared" si="4"/>
        <v>1</v>
      </c>
      <c r="D52" s="16">
        <f t="shared" si="4"/>
        <v>183</v>
      </c>
      <c r="E52" s="16">
        <f t="shared" si="4"/>
        <v>1</v>
      </c>
      <c r="F52" s="16">
        <f t="shared" si="4"/>
        <v>170</v>
      </c>
      <c r="G52" s="16">
        <f t="shared" si="4"/>
        <v>0</v>
      </c>
      <c r="H52" s="16">
        <f t="shared" si="4"/>
        <v>0</v>
      </c>
      <c r="I52" s="16">
        <f t="shared" si="4"/>
        <v>0</v>
      </c>
      <c r="J52" s="16">
        <f t="shared" si="4"/>
        <v>0</v>
      </c>
      <c r="K52" s="16">
        <f t="shared" si="4"/>
        <v>1</v>
      </c>
    </row>
    <row r="53" spans="1:11">
      <c r="A53" s="15" t="str">
        <f t="shared" si="0"/>
        <v>11861</v>
      </c>
      <c r="B53" s="16">
        <f t="shared" si="4"/>
        <v>123</v>
      </c>
      <c r="C53" s="16">
        <f t="shared" si="4"/>
        <v>1</v>
      </c>
      <c r="D53" s="16">
        <f t="shared" si="4"/>
        <v>186</v>
      </c>
      <c r="E53" s="16">
        <f t="shared" si="4"/>
        <v>1</v>
      </c>
      <c r="F53" s="16">
        <f t="shared" si="4"/>
        <v>170</v>
      </c>
      <c r="G53" s="16">
        <f t="shared" si="4"/>
        <v>0</v>
      </c>
      <c r="H53" s="16">
        <f t="shared" si="4"/>
        <v>0</v>
      </c>
      <c r="I53" s="16">
        <f t="shared" si="4"/>
        <v>0</v>
      </c>
      <c r="J53" s="16">
        <f t="shared" si="4"/>
        <v>0</v>
      </c>
      <c r="K53" s="16">
        <f t="shared" si="4"/>
        <v>1</v>
      </c>
    </row>
    <row r="54" spans="1:11">
      <c r="A54" s="15" t="str">
        <f t="shared" si="0"/>
        <v>11891</v>
      </c>
      <c r="B54" s="16">
        <f t="shared" si="4"/>
        <v>123</v>
      </c>
      <c r="C54" s="16">
        <f t="shared" si="4"/>
        <v>1</v>
      </c>
      <c r="D54" s="16">
        <f t="shared" si="4"/>
        <v>189</v>
      </c>
      <c r="E54" s="16">
        <f t="shared" si="4"/>
        <v>1</v>
      </c>
      <c r="F54" s="16">
        <f t="shared" si="4"/>
        <v>170</v>
      </c>
      <c r="G54" s="16">
        <f t="shared" si="4"/>
        <v>0</v>
      </c>
      <c r="H54" s="16">
        <f t="shared" si="4"/>
        <v>0</v>
      </c>
      <c r="I54" s="16">
        <f t="shared" si="4"/>
        <v>0</v>
      </c>
      <c r="J54" s="16">
        <f t="shared" si="4"/>
        <v>0</v>
      </c>
      <c r="K54" s="16">
        <f t="shared" si="4"/>
        <v>1</v>
      </c>
    </row>
    <row r="55" spans="1:11">
      <c r="A55" s="15" t="str">
        <f t="shared" si="0"/>
        <v>11921</v>
      </c>
      <c r="B55" s="16">
        <f t="shared" si="4"/>
        <v>123</v>
      </c>
      <c r="C55" s="16">
        <f t="shared" si="4"/>
        <v>1</v>
      </c>
      <c r="D55" s="16">
        <f t="shared" si="4"/>
        <v>192</v>
      </c>
      <c r="E55" s="16">
        <f t="shared" si="4"/>
        <v>1</v>
      </c>
      <c r="F55" s="16">
        <f t="shared" si="4"/>
        <v>170</v>
      </c>
      <c r="G55" s="16">
        <f t="shared" si="4"/>
        <v>0</v>
      </c>
      <c r="H55" s="16">
        <f t="shared" si="4"/>
        <v>0</v>
      </c>
      <c r="I55" s="16">
        <f t="shared" si="4"/>
        <v>0</v>
      </c>
      <c r="J55" s="16">
        <f t="shared" si="4"/>
        <v>0</v>
      </c>
      <c r="K55" s="16">
        <f t="shared" si="4"/>
        <v>1</v>
      </c>
    </row>
    <row r="56" spans="1:11">
      <c r="A56" s="15" t="str">
        <f t="shared" si="0"/>
        <v>11951</v>
      </c>
      <c r="B56" s="16">
        <f t="shared" si="4"/>
        <v>123</v>
      </c>
      <c r="C56" s="16">
        <f t="shared" si="4"/>
        <v>1</v>
      </c>
      <c r="D56" s="16">
        <f t="shared" si="4"/>
        <v>195</v>
      </c>
      <c r="E56" s="16">
        <f t="shared" si="4"/>
        <v>1</v>
      </c>
      <c r="F56" s="16">
        <f t="shared" si="4"/>
        <v>170</v>
      </c>
      <c r="G56" s="16">
        <f t="shared" si="4"/>
        <v>0</v>
      </c>
      <c r="H56" s="16">
        <f t="shared" si="4"/>
        <v>0</v>
      </c>
      <c r="I56" s="16">
        <f t="shared" si="4"/>
        <v>0</v>
      </c>
      <c r="J56" s="16">
        <f t="shared" si="4"/>
        <v>0</v>
      </c>
      <c r="K56" s="16">
        <f t="shared" si="4"/>
        <v>1</v>
      </c>
    </row>
    <row r="57" spans="1:11">
      <c r="A57" s="15" t="str">
        <f t="shared" si="0"/>
        <v>11981</v>
      </c>
      <c r="B57" s="16">
        <f t="shared" si="4"/>
        <v>123</v>
      </c>
      <c r="C57" s="16">
        <f t="shared" si="4"/>
        <v>1</v>
      </c>
      <c r="D57" s="16">
        <f t="shared" si="4"/>
        <v>198</v>
      </c>
      <c r="E57" s="16">
        <f t="shared" si="4"/>
        <v>1</v>
      </c>
      <c r="F57" s="16">
        <f t="shared" si="4"/>
        <v>170</v>
      </c>
      <c r="G57" s="16">
        <f t="shared" si="4"/>
        <v>0</v>
      </c>
      <c r="H57" s="16">
        <f t="shared" si="4"/>
        <v>0</v>
      </c>
      <c r="I57" s="16">
        <f t="shared" si="4"/>
        <v>0</v>
      </c>
      <c r="J57" s="16">
        <f t="shared" si="4"/>
        <v>0</v>
      </c>
      <c r="K57" s="16">
        <f t="shared" si="4"/>
        <v>1</v>
      </c>
    </row>
    <row r="58" spans="1:11">
      <c r="A58" s="15" t="str">
        <f t="shared" si="0"/>
        <v>12011</v>
      </c>
      <c r="B58" s="16">
        <f t="shared" si="4"/>
        <v>123</v>
      </c>
      <c r="C58" s="16">
        <f t="shared" si="4"/>
        <v>1</v>
      </c>
      <c r="D58" s="16">
        <f t="shared" si="4"/>
        <v>201</v>
      </c>
      <c r="E58" s="16">
        <f t="shared" si="4"/>
        <v>1</v>
      </c>
      <c r="F58" s="16">
        <f t="shared" si="4"/>
        <v>170</v>
      </c>
      <c r="G58" s="16">
        <f t="shared" si="4"/>
        <v>0</v>
      </c>
      <c r="H58" s="16">
        <f t="shared" si="4"/>
        <v>0</v>
      </c>
      <c r="I58" s="16">
        <f t="shared" si="4"/>
        <v>0</v>
      </c>
      <c r="J58" s="16">
        <f t="shared" si="4"/>
        <v>0</v>
      </c>
      <c r="K58" s="16">
        <f t="shared" si="4"/>
        <v>1</v>
      </c>
    </row>
    <row r="59" spans="1:11">
      <c r="A59" s="15" t="str">
        <f t="shared" si="0"/>
        <v>12041</v>
      </c>
      <c r="B59" s="16">
        <f t="shared" si="4"/>
        <v>123</v>
      </c>
      <c r="C59" s="16">
        <f t="shared" si="4"/>
        <v>1</v>
      </c>
      <c r="D59" s="16">
        <f t="shared" si="4"/>
        <v>204</v>
      </c>
      <c r="E59" s="16">
        <f t="shared" si="4"/>
        <v>1</v>
      </c>
      <c r="F59" s="16">
        <f t="shared" si="4"/>
        <v>170</v>
      </c>
      <c r="G59" s="16">
        <f t="shared" si="4"/>
        <v>0</v>
      </c>
      <c r="H59" s="16">
        <f t="shared" si="4"/>
        <v>0</v>
      </c>
      <c r="I59" s="16">
        <f t="shared" si="4"/>
        <v>0</v>
      </c>
      <c r="J59" s="16">
        <f t="shared" si="4"/>
        <v>0</v>
      </c>
      <c r="K59" s="16">
        <f t="shared" si="4"/>
        <v>1</v>
      </c>
    </row>
    <row r="60" spans="1:11">
      <c r="A60" s="15" t="str">
        <f t="shared" si="0"/>
        <v>12071</v>
      </c>
      <c r="B60" s="16">
        <f t="shared" si="4"/>
        <v>123</v>
      </c>
      <c r="C60" s="16">
        <f t="shared" si="4"/>
        <v>1</v>
      </c>
      <c r="D60" s="16">
        <f t="shared" si="4"/>
        <v>207</v>
      </c>
      <c r="E60" s="16">
        <f t="shared" si="4"/>
        <v>1</v>
      </c>
      <c r="F60" s="16">
        <f t="shared" si="4"/>
        <v>170</v>
      </c>
      <c r="G60" s="16">
        <f t="shared" si="4"/>
        <v>0</v>
      </c>
      <c r="H60" s="16">
        <f t="shared" si="4"/>
        <v>0</v>
      </c>
      <c r="I60" s="16">
        <f t="shared" si="4"/>
        <v>0</v>
      </c>
      <c r="J60" s="16">
        <f t="shared" si="4"/>
        <v>0</v>
      </c>
      <c r="K60" s="16">
        <f t="shared" si="4"/>
        <v>1</v>
      </c>
    </row>
    <row r="61" spans="1:11">
      <c r="A61" s="15" t="str">
        <f t="shared" si="0"/>
        <v>12101</v>
      </c>
      <c r="B61" s="16">
        <f t="shared" si="4"/>
        <v>123</v>
      </c>
      <c r="C61" s="16">
        <f t="shared" si="4"/>
        <v>1</v>
      </c>
      <c r="D61" s="16">
        <f t="shared" si="4"/>
        <v>210</v>
      </c>
      <c r="E61" s="16">
        <f t="shared" si="4"/>
        <v>1</v>
      </c>
      <c r="F61" s="16">
        <f t="shared" si="4"/>
        <v>170</v>
      </c>
      <c r="G61" s="16">
        <f t="shared" si="4"/>
        <v>0</v>
      </c>
      <c r="H61" s="16">
        <f t="shared" si="4"/>
        <v>0</v>
      </c>
      <c r="I61" s="16">
        <f t="shared" si="4"/>
        <v>0</v>
      </c>
      <c r="J61" s="16">
        <f t="shared" si="4"/>
        <v>0</v>
      </c>
      <c r="K61" s="16">
        <f t="shared" si="4"/>
        <v>1</v>
      </c>
    </row>
    <row r="62" spans="1:11">
      <c r="A62" s="15" t="str">
        <f t="shared" si="0"/>
        <v>12131</v>
      </c>
      <c r="B62" s="16">
        <f t="shared" si="4"/>
        <v>123</v>
      </c>
      <c r="C62" s="16">
        <f t="shared" si="4"/>
        <v>1</v>
      </c>
      <c r="D62" s="16">
        <f t="shared" si="4"/>
        <v>213</v>
      </c>
      <c r="E62" s="16">
        <f t="shared" si="4"/>
        <v>1</v>
      </c>
      <c r="F62" s="16">
        <f t="shared" si="4"/>
        <v>170</v>
      </c>
      <c r="G62" s="16">
        <f t="shared" si="4"/>
        <v>0</v>
      </c>
      <c r="H62" s="16">
        <f t="shared" si="4"/>
        <v>0</v>
      </c>
      <c r="I62" s="16">
        <f t="shared" si="4"/>
        <v>0</v>
      </c>
      <c r="J62" s="16">
        <f t="shared" si="4"/>
        <v>0</v>
      </c>
      <c r="K62" s="16">
        <f t="shared" si="4"/>
        <v>1</v>
      </c>
    </row>
    <row r="63" spans="1:11">
      <c r="A63" s="15" t="str">
        <f t="shared" si="0"/>
        <v>12161</v>
      </c>
      <c r="B63" s="16">
        <f t="shared" si="4"/>
        <v>123</v>
      </c>
      <c r="C63" s="16">
        <f t="shared" si="4"/>
        <v>1</v>
      </c>
      <c r="D63" s="16">
        <f t="shared" si="4"/>
        <v>216</v>
      </c>
      <c r="E63" s="16">
        <f t="shared" si="4"/>
        <v>1</v>
      </c>
      <c r="F63" s="16">
        <f t="shared" si="4"/>
        <v>170</v>
      </c>
      <c r="G63" s="16">
        <f t="shared" si="4"/>
        <v>0</v>
      </c>
      <c r="H63" s="16">
        <f t="shared" si="4"/>
        <v>0</v>
      </c>
      <c r="I63" s="16">
        <f t="shared" si="4"/>
        <v>0</v>
      </c>
      <c r="J63" s="16">
        <f t="shared" si="4"/>
        <v>0</v>
      </c>
      <c r="K63" s="16">
        <f t="shared" si="4"/>
        <v>1</v>
      </c>
    </row>
    <row r="64" spans="1:11">
      <c r="A64" s="15" t="str">
        <f t="shared" si="0"/>
        <v>12191</v>
      </c>
      <c r="B64" s="16">
        <f t="shared" si="4"/>
        <v>123</v>
      </c>
      <c r="C64" s="16">
        <f t="shared" si="4"/>
        <v>1</v>
      </c>
      <c r="D64" s="16">
        <f t="shared" si="4"/>
        <v>219</v>
      </c>
      <c r="E64" s="16">
        <f t="shared" si="4"/>
        <v>1</v>
      </c>
      <c r="F64" s="16">
        <f t="shared" si="4"/>
        <v>170</v>
      </c>
      <c r="G64" s="16">
        <f t="shared" si="4"/>
        <v>0</v>
      </c>
      <c r="H64" s="16">
        <f t="shared" si="4"/>
        <v>0</v>
      </c>
      <c r="I64" s="16">
        <f t="shared" si="4"/>
        <v>0</v>
      </c>
      <c r="J64" s="16">
        <f t="shared" si="4"/>
        <v>0</v>
      </c>
      <c r="K64" s="16">
        <f t="shared" si="4"/>
        <v>1</v>
      </c>
    </row>
    <row r="65" spans="1:11">
      <c r="A65" s="15" t="str">
        <f t="shared" si="0"/>
        <v>12221</v>
      </c>
      <c r="B65" s="16">
        <f t="shared" si="4"/>
        <v>123</v>
      </c>
      <c r="C65" s="16">
        <f t="shared" si="4"/>
        <v>1</v>
      </c>
      <c r="D65" s="16">
        <f t="shared" si="4"/>
        <v>222</v>
      </c>
      <c r="E65" s="16">
        <f t="shared" si="4"/>
        <v>1</v>
      </c>
      <c r="F65" s="16">
        <f t="shared" si="4"/>
        <v>170</v>
      </c>
      <c r="G65" s="16">
        <f t="shared" si="4"/>
        <v>0</v>
      </c>
      <c r="H65" s="16">
        <f t="shared" si="4"/>
        <v>0</v>
      </c>
      <c r="I65" s="16">
        <f t="shared" si="4"/>
        <v>0</v>
      </c>
      <c r="J65" s="16">
        <f t="shared" si="4"/>
        <v>0</v>
      </c>
      <c r="K65" s="16">
        <f t="shared" si="4"/>
        <v>1</v>
      </c>
    </row>
    <row r="66" spans="1:11">
      <c r="A66" s="15" t="str">
        <f t="shared" si="0"/>
        <v>12251</v>
      </c>
      <c r="B66" s="16">
        <f t="shared" si="4"/>
        <v>123</v>
      </c>
      <c r="C66" s="16">
        <f t="shared" si="4"/>
        <v>1</v>
      </c>
      <c r="D66" s="16">
        <f t="shared" si="4"/>
        <v>225</v>
      </c>
      <c r="E66" s="16">
        <f t="shared" si="4"/>
        <v>1</v>
      </c>
      <c r="F66" s="16">
        <f t="shared" si="4"/>
        <v>170</v>
      </c>
      <c r="G66" s="16">
        <f t="shared" si="4"/>
        <v>0</v>
      </c>
      <c r="H66" s="16">
        <f t="shared" si="4"/>
        <v>0</v>
      </c>
      <c r="I66" s="16">
        <f t="shared" si="4"/>
        <v>0</v>
      </c>
      <c r="J66" s="16">
        <f t="shared" si="4"/>
        <v>0</v>
      </c>
      <c r="K66" s="16">
        <f t="shared" si="4"/>
        <v>1</v>
      </c>
    </row>
    <row r="67" spans="1:11">
      <c r="A67" s="15" t="str">
        <f t="shared" ref="A67:A130" si="5">INDIRECT(ADDRESS(ROW()+$A$1,COLUMN(),1,TRUE,$C$1))</f>
        <v>12281</v>
      </c>
      <c r="B67" s="16">
        <f t="shared" si="4"/>
        <v>123</v>
      </c>
      <c r="C67" s="16">
        <f t="shared" si="4"/>
        <v>1</v>
      </c>
      <c r="D67" s="16">
        <f t="shared" si="4"/>
        <v>228</v>
      </c>
      <c r="E67" s="16">
        <f t="shared" si="4"/>
        <v>1</v>
      </c>
      <c r="F67" s="16">
        <f t="shared" si="4"/>
        <v>8</v>
      </c>
      <c r="G67" s="16">
        <f t="shared" si="4"/>
        <v>0</v>
      </c>
      <c r="H67" s="16">
        <f t="shared" si="4"/>
        <v>0</v>
      </c>
      <c r="I67" s="16">
        <f t="shared" si="4"/>
        <v>0</v>
      </c>
      <c r="J67" s="16">
        <f t="shared" si="4"/>
        <v>0</v>
      </c>
      <c r="K67" s="16">
        <f t="shared" si="4"/>
        <v>1</v>
      </c>
    </row>
    <row r="68" spans="1:11">
      <c r="A68" s="15" t="str">
        <f t="shared" si="5"/>
        <v>12311</v>
      </c>
      <c r="B68" s="16">
        <f t="shared" si="4"/>
        <v>123</v>
      </c>
      <c r="C68" s="16">
        <f t="shared" si="4"/>
        <v>1</v>
      </c>
      <c r="D68" s="16">
        <f t="shared" si="4"/>
        <v>231</v>
      </c>
      <c r="E68" s="16">
        <f t="shared" si="4"/>
        <v>1</v>
      </c>
      <c r="F68" s="16">
        <f t="shared" si="4"/>
        <v>8</v>
      </c>
      <c r="G68" s="16">
        <f t="shared" si="4"/>
        <v>0</v>
      </c>
      <c r="H68" s="16">
        <f t="shared" si="4"/>
        <v>0</v>
      </c>
      <c r="I68" s="16">
        <f t="shared" si="4"/>
        <v>0</v>
      </c>
      <c r="J68" s="16">
        <f t="shared" si="4"/>
        <v>0</v>
      </c>
      <c r="K68" s="16">
        <f t="shared" si="4"/>
        <v>1</v>
      </c>
    </row>
    <row r="69" spans="1:11">
      <c r="A69" s="15" t="str">
        <f t="shared" si="5"/>
        <v>12341</v>
      </c>
      <c r="B69" s="16">
        <f t="shared" si="4"/>
        <v>123</v>
      </c>
      <c r="C69" s="16">
        <f t="shared" si="4"/>
        <v>1</v>
      </c>
      <c r="D69" s="16">
        <f t="shared" si="4"/>
        <v>234</v>
      </c>
      <c r="E69" s="16">
        <f t="shared" si="4"/>
        <v>1</v>
      </c>
      <c r="F69" s="16">
        <f t="shared" si="4"/>
        <v>8</v>
      </c>
      <c r="G69" s="16">
        <f t="shared" si="4"/>
        <v>0</v>
      </c>
      <c r="H69" s="16">
        <f t="shared" si="4"/>
        <v>0</v>
      </c>
      <c r="I69" s="16">
        <f t="shared" si="4"/>
        <v>0</v>
      </c>
      <c r="J69" s="16">
        <f t="shared" si="4"/>
        <v>0</v>
      </c>
      <c r="K69" s="16">
        <f t="shared" si="4"/>
        <v>1</v>
      </c>
    </row>
    <row r="70" spans="1:11">
      <c r="A70" s="15" t="str">
        <f t="shared" si="5"/>
        <v>12371</v>
      </c>
      <c r="B70" s="16">
        <f t="shared" si="4"/>
        <v>123</v>
      </c>
      <c r="C70" s="16">
        <f t="shared" si="4"/>
        <v>1</v>
      </c>
      <c r="D70" s="16">
        <f t="shared" si="4"/>
        <v>237</v>
      </c>
      <c r="E70" s="16">
        <f t="shared" si="4"/>
        <v>1</v>
      </c>
      <c r="F70" s="16">
        <f t="shared" si="4"/>
        <v>8</v>
      </c>
      <c r="G70" s="16">
        <f t="shared" ref="G70:K70" si="6">VLOOKUP($A70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70" s="16">
        <f t="shared" si="6"/>
        <v>0</v>
      </c>
      <c r="I70" s="16">
        <f t="shared" si="6"/>
        <v>0</v>
      </c>
      <c r="J70" s="16">
        <f t="shared" si="6"/>
        <v>0</v>
      </c>
      <c r="K70" s="16">
        <f t="shared" si="6"/>
        <v>1</v>
      </c>
    </row>
    <row r="71" spans="1:11">
      <c r="A71" s="15" t="str">
        <f t="shared" si="5"/>
        <v>12391</v>
      </c>
      <c r="B71" s="16">
        <f t="shared" ref="B71:K96" si="7">VLOOKUP($A71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71" s="16">
        <f t="shared" si="7"/>
        <v>1</v>
      </c>
      <c r="D71" s="16">
        <f t="shared" si="7"/>
        <v>239</v>
      </c>
      <c r="E71" s="16">
        <f t="shared" si="7"/>
        <v>1</v>
      </c>
      <c r="F71" s="16">
        <f t="shared" si="7"/>
        <v>200</v>
      </c>
      <c r="G71" s="16">
        <f t="shared" si="7"/>
        <v>0</v>
      </c>
      <c r="H71" s="16">
        <f t="shared" si="7"/>
        <v>0</v>
      </c>
      <c r="I71" s="16">
        <f t="shared" si="7"/>
        <v>0</v>
      </c>
      <c r="J71" s="16">
        <f t="shared" si="7"/>
        <v>0</v>
      </c>
      <c r="K71" s="16">
        <f t="shared" si="7"/>
        <v>1</v>
      </c>
    </row>
    <row r="72" spans="1:11">
      <c r="A72" s="15" t="str">
        <f t="shared" si="5"/>
        <v>12401</v>
      </c>
      <c r="B72" s="16">
        <f t="shared" si="7"/>
        <v>123</v>
      </c>
      <c r="C72" s="16">
        <f t="shared" si="7"/>
        <v>1</v>
      </c>
      <c r="D72" s="16">
        <f t="shared" si="7"/>
        <v>240</v>
      </c>
      <c r="E72" s="16">
        <f t="shared" si="7"/>
        <v>1</v>
      </c>
      <c r="F72" s="16">
        <f t="shared" si="7"/>
        <v>8</v>
      </c>
      <c r="G72" s="16">
        <f t="shared" si="7"/>
        <v>0</v>
      </c>
      <c r="H72" s="16">
        <f t="shared" si="7"/>
        <v>0</v>
      </c>
      <c r="I72" s="16">
        <f t="shared" si="7"/>
        <v>0</v>
      </c>
      <c r="J72" s="16">
        <f t="shared" si="7"/>
        <v>0</v>
      </c>
      <c r="K72" s="16">
        <f t="shared" si="7"/>
        <v>1</v>
      </c>
    </row>
    <row r="73" spans="1:11">
      <c r="A73" s="15" t="str">
        <f t="shared" si="5"/>
        <v>12421</v>
      </c>
      <c r="B73" s="16">
        <f t="shared" si="7"/>
        <v>123</v>
      </c>
      <c r="C73" s="16">
        <f t="shared" si="7"/>
        <v>1</v>
      </c>
      <c r="D73" s="16">
        <f t="shared" si="7"/>
        <v>242</v>
      </c>
      <c r="E73" s="16">
        <f t="shared" si="7"/>
        <v>1</v>
      </c>
      <c r="F73" s="16">
        <f t="shared" si="7"/>
        <v>200</v>
      </c>
      <c r="G73" s="16">
        <f t="shared" si="7"/>
        <v>0</v>
      </c>
      <c r="H73" s="16">
        <f t="shared" si="7"/>
        <v>0</v>
      </c>
      <c r="I73" s="16">
        <f t="shared" si="7"/>
        <v>0</v>
      </c>
      <c r="J73" s="16">
        <f t="shared" si="7"/>
        <v>0</v>
      </c>
      <c r="K73" s="16">
        <f t="shared" si="7"/>
        <v>1</v>
      </c>
    </row>
    <row r="74" spans="1:11">
      <c r="A74" s="15" t="str">
        <f t="shared" si="5"/>
        <v>12431</v>
      </c>
      <c r="B74" s="16">
        <f t="shared" si="7"/>
        <v>123</v>
      </c>
      <c r="C74" s="16">
        <f t="shared" si="7"/>
        <v>1</v>
      </c>
      <c r="D74" s="16">
        <f t="shared" si="7"/>
        <v>243</v>
      </c>
      <c r="E74" s="16">
        <f t="shared" si="7"/>
        <v>1</v>
      </c>
      <c r="F74" s="16">
        <f t="shared" si="7"/>
        <v>8</v>
      </c>
      <c r="G74" s="16">
        <f t="shared" si="7"/>
        <v>0</v>
      </c>
      <c r="H74" s="16">
        <f t="shared" si="7"/>
        <v>0</v>
      </c>
      <c r="I74" s="16">
        <f t="shared" si="7"/>
        <v>0</v>
      </c>
      <c r="J74" s="16">
        <f t="shared" si="7"/>
        <v>0</v>
      </c>
      <c r="K74" s="16">
        <f t="shared" si="7"/>
        <v>1</v>
      </c>
    </row>
    <row r="75" spans="1:11">
      <c r="A75" s="15" t="str">
        <f t="shared" si="5"/>
        <v>12451</v>
      </c>
      <c r="B75" s="16">
        <f t="shared" si="7"/>
        <v>123</v>
      </c>
      <c r="C75" s="16">
        <f t="shared" si="7"/>
        <v>1</v>
      </c>
      <c r="D75" s="16">
        <f t="shared" si="7"/>
        <v>245</v>
      </c>
      <c r="E75" s="16">
        <f t="shared" si="7"/>
        <v>1</v>
      </c>
      <c r="F75" s="16">
        <f t="shared" si="7"/>
        <v>200</v>
      </c>
      <c r="G75" s="16">
        <f t="shared" si="7"/>
        <v>0</v>
      </c>
      <c r="H75" s="16">
        <f t="shared" si="7"/>
        <v>0</v>
      </c>
      <c r="I75" s="16">
        <f t="shared" si="7"/>
        <v>0</v>
      </c>
      <c r="J75" s="16">
        <f t="shared" si="7"/>
        <v>0</v>
      </c>
      <c r="K75" s="16">
        <f t="shared" si="7"/>
        <v>1</v>
      </c>
    </row>
    <row r="76" spans="1:11">
      <c r="A76" s="15" t="str">
        <f t="shared" si="5"/>
        <v>12461</v>
      </c>
      <c r="B76" s="16">
        <f t="shared" si="7"/>
        <v>123</v>
      </c>
      <c r="C76" s="16">
        <f t="shared" si="7"/>
        <v>1</v>
      </c>
      <c r="D76" s="16">
        <f t="shared" si="7"/>
        <v>246</v>
      </c>
      <c r="E76" s="16">
        <f t="shared" si="7"/>
        <v>1</v>
      </c>
      <c r="F76" s="16">
        <f t="shared" si="7"/>
        <v>8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1</v>
      </c>
    </row>
    <row r="77" spans="1:11">
      <c r="A77" s="15" t="str">
        <f t="shared" si="5"/>
        <v>12481</v>
      </c>
      <c r="B77" s="16">
        <f t="shared" si="7"/>
        <v>123</v>
      </c>
      <c r="C77" s="16">
        <f t="shared" si="7"/>
        <v>1</v>
      </c>
      <c r="D77" s="16">
        <f t="shared" si="7"/>
        <v>248</v>
      </c>
      <c r="E77" s="16">
        <f t="shared" si="7"/>
        <v>1</v>
      </c>
      <c r="F77" s="16">
        <f t="shared" si="7"/>
        <v>200</v>
      </c>
      <c r="G77" s="16">
        <f t="shared" si="7"/>
        <v>0</v>
      </c>
      <c r="H77" s="16">
        <f t="shared" si="7"/>
        <v>0</v>
      </c>
      <c r="I77" s="16">
        <f t="shared" si="7"/>
        <v>0</v>
      </c>
      <c r="J77" s="16">
        <f t="shared" si="7"/>
        <v>0</v>
      </c>
      <c r="K77" s="16">
        <f t="shared" si="7"/>
        <v>1</v>
      </c>
    </row>
    <row r="78" spans="1:11">
      <c r="A78" s="15" t="str">
        <f t="shared" si="5"/>
        <v>12491</v>
      </c>
      <c r="B78" s="16">
        <f t="shared" si="7"/>
        <v>123</v>
      </c>
      <c r="C78" s="16">
        <f t="shared" si="7"/>
        <v>1</v>
      </c>
      <c r="D78" s="16">
        <f t="shared" si="7"/>
        <v>249</v>
      </c>
      <c r="E78" s="16">
        <f t="shared" si="7"/>
        <v>1</v>
      </c>
      <c r="F78" s="16">
        <f t="shared" si="7"/>
        <v>8</v>
      </c>
      <c r="G78" s="16">
        <f t="shared" si="7"/>
        <v>0</v>
      </c>
      <c r="H78" s="16">
        <f t="shared" si="7"/>
        <v>0</v>
      </c>
      <c r="I78" s="16">
        <f t="shared" si="7"/>
        <v>0</v>
      </c>
      <c r="J78" s="16">
        <f t="shared" si="7"/>
        <v>0</v>
      </c>
      <c r="K78" s="16">
        <f t="shared" si="7"/>
        <v>1</v>
      </c>
    </row>
    <row r="79" spans="1:11">
      <c r="A79" s="15" t="str">
        <f t="shared" si="5"/>
        <v>12511</v>
      </c>
      <c r="B79" s="16">
        <f t="shared" si="7"/>
        <v>123</v>
      </c>
      <c r="C79" s="16">
        <f t="shared" si="7"/>
        <v>1</v>
      </c>
      <c r="D79" s="16">
        <f t="shared" si="7"/>
        <v>251</v>
      </c>
      <c r="E79" s="16">
        <f t="shared" si="7"/>
        <v>1</v>
      </c>
      <c r="F79" s="16">
        <f t="shared" si="7"/>
        <v>200</v>
      </c>
      <c r="G79" s="16">
        <f t="shared" si="7"/>
        <v>0</v>
      </c>
      <c r="H79" s="16">
        <f t="shared" si="7"/>
        <v>0</v>
      </c>
      <c r="I79" s="16">
        <f t="shared" si="7"/>
        <v>0</v>
      </c>
      <c r="J79" s="16">
        <f t="shared" si="7"/>
        <v>0</v>
      </c>
      <c r="K79" s="16">
        <f t="shared" si="7"/>
        <v>1</v>
      </c>
    </row>
    <row r="80" spans="1:11">
      <c r="A80" s="15" t="str">
        <f t="shared" si="5"/>
        <v>12521</v>
      </c>
      <c r="B80" s="16">
        <f t="shared" si="7"/>
        <v>123</v>
      </c>
      <c r="C80" s="16">
        <f t="shared" si="7"/>
        <v>1</v>
      </c>
      <c r="D80" s="16">
        <f t="shared" si="7"/>
        <v>252</v>
      </c>
      <c r="E80" s="16">
        <f t="shared" si="7"/>
        <v>1</v>
      </c>
      <c r="F80" s="16">
        <f t="shared" si="7"/>
        <v>8</v>
      </c>
      <c r="G80" s="16">
        <f t="shared" si="7"/>
        <v>0</v>
      </c>
      <c r="H80" s="16">
        <f t="shared" si="7"/>
        <v>0</v>
      </c>
      <c r="I80" s="16">
        <f t="shared" si="7"/>
        <v>0</v>
      </c>
      <c r="J80" s="16">
        <f t="shared" si="7"/>
        <v>0</v>
      </c>
      <c r="K80" s="16">
        <f t="shared" si="7"/>
        <v>1</v>
      </c>
    </row>
    <row r="81" spans="1:11">
      <c r="A81" s="15" t="str">
        <f t="shared" si="5"/>
        <v>12541</v>
      </c>
      <c r="B81" s="16">
        <f t="shared" si="7"/>
        <v>123</v>
      </c>
      <c r="C81" s="16">
        <f t="shared" si="7"/>
        <v>1</v>
      </c>
      <c r="D81" s="16">
        <f t="shared" si="7"/>
        <v>254</v>
      </c>
      <c r="E81" s="16">
        <f t="shared" si="7"/>
        <v>1</v>
      </c>
      <c r="F81" s="16">
        <f t="shared" si="7"/>
        <v>200</v>
      </c>
      <c r="G81" s="16">
        <f t="shared" si="7"/>
        <v>0</v>
      </c>
      <c r="H81" s="16">
        <f t="shared" si="7"/>
        <v>0</v>
      </c>
      <c r="I81" s="16">
        <f t="shared" si="7"/>
        <v>0</v>
      </c>
      <c r="J81" s="16">
        <f t="shared" si="7"/>
        <v>0</v>
      </c>
      <c r="K81" s="16">
        <f t="shared" si="7"/>
        <v>1</v>
      </c>
    </row>
    <row r="82" spans="1:11">
      <c r="A82" s="15" t="str">
        <f t="shared" si="5"/>
        <v>12551</v>
      </c>
      <c r="B82" s="16">
        <f t="shared" si="7"/>
        <v>123</v>
      </c>
      <c r="C82" s="16">
        <f t="shared" si="7"/>
        <v>1</v>
      </c>
      <c r="D82" s="16">
        <f t="shared" si="7"/>
        <v>255</v>
      </c>
      <c r="E82" s="16">
        <f t="shared" si="7"/>
        <v>1</v>
      </c>
      <c r="F82" s="16">
        <f t="shared" si="7"/>
        <v>8</v>
      </c>
      <c r="G82" s="16">
        <f t="shared" si="7"/>
        <v>0</v>
      </c>
      <c r="H82" s="16">
        <f t="shared" si="7"/>
        <v>0</v>
      </c>
      <c r="I82" s="16">
        <f t="shared" si="7"/>
        <v>0</v>
      </c>
      <c r="J82" s="16">
        <f t="shared" si="7"/>
        <v>0</v>
      </c>
      <c r="K82" s="16">
        <f t="shared" si="7"/>
        <v>1</v>
      </c>
    </row>
    <row r="83" spans="1:11">
      <c r="A83" s="15" t="str">
        <f t="shared" si="5"/>
        <v>12571</v>
      </c>
      <c r="B83" s="16">
        <f t="shared" si="7"/>
        <v>123</v>
      </c>
      <c r="C83" s="16">
        <f t="shared" si="7"/>
        <v>1</v>
      </c>
      <c r="D83" s="16">
        <f t="shared" si="7"/>
        <v>257</v>
      </c>
      <c r="E83" s="16">
        <f t="shared" si="7"/>
        <v>1</v>
      </c>
      <c r="F83" s="16">
        <f t="shared" si="7"/>
        <v>200</v>
      </c>
      <c r="G83" s="16">
        <f t="shared" si="7"/>
        <v>0</v>
      </c>
      <c r="H83" s="16">
        <f t="shared" si="7"/>
        <v>0</v>
      </c>
      <c r="I83" s="16">
        <f t="shared" si="7"/>
        <v>0</v>
      </c>
      <c r="J83" s="16">
        <f t="shared" si="7"/>
        <v>0</v>
      </c>
      <c r="K83" s="16">
        <f t="shared" si="7"/>
        <v>1</v>
      </c>
    </row>
    <row r="84" spans="1:11">
      <c r="A84" s="15" t="str">
        <f t="shared" si="5"/>
        <v>12581</v>
      </c>
      <c r="B84" s="16">
        <f t="shared" si="7"/>
        <v>123</v>
      </c>
      <c r="C84" s="16">
        <f t="shared" si="7"/>
        <v>1</v>
      </c>
      <c r="D84" s="16">
        <f t="shared" si="7"/>
        <v>258</v>
      </c>
      <c r="E84" s="16">
        <f t="shared" si="7"/>
        <v>1</v>
      </c>
      <c r="F84" s="16">
        <f t="shared" si="7"/>
        <v>8</v>
      </c>
      <c r="G84" s="16">
        <f t="shared" si="7"/>
        <v>0</v>
      </c>
      <c r="H84" s="16">
        <f t="shared" si="7"/>
        <v>0</v>
      </c>
      <c r="I84" s="16">
        <f t="shared" si="7"/>
        <v>0</v>
      </c>
      <c r="J84" s="16">
        <f t="shared" si="7"/>
        <v>0</v>
      </c>
      <c r="K84" s="16">
        <f t="shared" si="7"/>
        <v>1</v>
      </c>
    </row>
    <row r="85" spans="1:11">
      <c r="A85" s="15" t="str">
        <f t="shared" si="5"/>
        <v>12601</v>
      </c>
      <c r="B85" s="16">
        <f t="shared" si="7"/>
        <v>123</v>
      </c>
      <c r="C85" s="16">
        <f t="shared" si="7"/>
        <v>1</v>
      </c>
      <c r="D85" s="16">
        <f t="shared" si="7"/>
        <v>260</v>
      </c>
      <c r="E85" s="16">
        <f t="shared" si="7"/>
        <v>1</v>
      </c>
      <c r="F85" s="16" t="e">
        <f t="shared" si="7"/>
        <v>#REF!</v>
      </c>
      <c r="G85" s="16">
        <f t="shared" si="7"/>
        <v>0</v>
      </c>
      <c r="H85" s="16">
        <f t="shared" si="7"/>
        <v>0</v>
      </c>
      <c r="I85" s="16">
        <f t="shared" si="7"/>
        <v>0</v>
      </c>
      <c r="J85" s="16">
        <f t="shared" si="7"/>
        <v>0</v>
      </c>
      <c r="K85" s="16">
        <f t="shared" si="7"/>
        <v>1</v>
      </c>
    </row>
    <row r="86" spans="1:11">
      <c r="A86" s="15" t="str">
        <f t="shared" si="5"/>
        <v>12611</v>
      </c>
      <c r="B86" s="16">
        <f t="shared" si="7"/>
        <v>123</v>
      </c>
      <c r="C86" s="16">
        <f t="shared" si="7"/>
        <v>1</v>
      </c>
      <c r="D86" s="16">
        <f t="shared" si="7"/>
        <v>261</v>
      </c>
      <c r="E86" s="16">
        <f t="shared" si="7"/>
        <v>1</v>
      </c>
      <c r="F86" s="16" t="e">
        <f t="shared" si="7"/>
        <v>#REF!</v>
      </c>
      <c r="G86" s="16">
        <f t="shared" si="7"/>
        <v>0</v>
      </c>
      <c r="H86" s="16">
        <f t="shared" si="7"/>
        <v>0</v>
      </c>
      <c r="I86" s="16">
        <f t="shared" si="7"/>
        <v>0</v>
      </c>
      <c r="J86" s="16">
        <f t="shared" si="7"/>
        <v>0</v>
      </c>
      <c r="K86" s="16">
        <f t="shared" si="7"/>
        <v>1</v>
      </c>
    </row>
    <row r="87" spans="1:11">
      <c r="A87" s="15" t="str">
        <f t="shared" si="5"/>
        <v>13201</v>
      </c>
      <c r="B87" s="16">
        <f t="shared" si="7"/>
        <v>123</v>
      </c>
      <c r="C87" s="16">
        <f t="shared" si="7"/>
        <v>1</v>
      </c>
      <c r="D87" s="16">
        <f t="shared" si="7"/>
        <v>320</v>
      </c>
      <c r="E87" s="16">
        <f t="shared" si="7"/>
        <v>1</v>
      </c>
      <c r="F87" s="16">
        <f t="shared" si="7"/>
        <v>120</v>
      </c>
      <c r="G87" s="16">
        <f t="shared" si="7"/>
        <v>0</v>
      </c>
      <c r="H87" s="16">
        <f t="shared" si="7"/>
        <v>0</v>
      </c>
      <c r="I87" s="16">
        <f t="shared" si="7"/>
        <v>0</v>
      </c>
      <c r="J87" s="16">
        <f t="shared" si="7"/>
        <v>0</v>
      </c>
      <c r="K87" s="16">
        <f t="shared" si="7"/>
        <v>1</v>
      </c>
    </row>
    <row r="88" spans="1:11">
      <c r="A88" s="15" t="str">
        <f t="shared" si="5"/>
        <v>13211</v>
      </c>
      <c r="B88" s="16">
        <f t="shared" si="7"/>
        <v>123</v>
      </c>
      <c r="C88" s="16">
        <f t="shared" si="7"/>
        <v>1</v>
      </c>
      <c r="D88" s="16">
        <f t="shared" si="7"/>
        <v>321</v>
      </c>
      <c r="E88" s="16">
        <f t="shared" si="7"/>
        <v>1</v>
      </c>
      <c r="F88" s="16" t="e">
        <f t="shared" si="7"/>
        <v>#REF!</v>
      </c>
      <c r="G88" s="16">
        <f t="shared" si="7"/>
        <v>0</v>
      </c>
      <c r="H88" s="16">
        <f t="shared" si="7"/>
        <v>0</v>
      </c>
      <c r="I88" s="16">
        <f t="shared" si="7"/>
        <v>0</v>
      </c>
      <c r="J88" s="16">
        <f t="shared" si="7"/>
        <v>0</v>
      </c>
      <c r="K88" s="16">
        <f t="shared" si="7"/>
        <v>1</v>
      </c>
    </row>
    <row r="89" spans="1:11">
      <c r="A89" s="15" t="str">
        <f t="shared" si="5"/>
        <v>13221</v>
      </c>
      <c r="B89" s="16">
        <f t="shared" si="7"/>
        <v>123</v>
      </c>
      <c r="C89" s="16">
        <f t="shared" si="7"/>
        <v>1</v>
      </c>
      <c r="D89" s="16">
        <f t="shared" si="7"/>
        <v>322</v>
      </c>
      <c r="E89" s="16">
        <f t="shared" si="7"/>
        <v>1</v>
      </c>
      <c r="F89" s="16">
        <f t="shared" si="7"/>
        <v>120</v>
      </c>
      <c r="G89" s="16">
        <f t="shared" si="7"/>
        <v>0</v>
      </c>
      <c r="H89" s="16">
        <f t="shared" si="7"/>
        <v>0</v>
      </c>
      <c r="I89" s="16">
        <f t="shared" si="7"/>
        <v>0</v>
      </c>
      <c r="J89" s="16">
        <f t="shared" si="7"/>
        <v>0</v>
      </c>
      <c r="K89" s="16">
        <f t="shared" si="7"/>
        <v>1</v>
      </c>
    </row>
    <row r="90" spans="1:11">
      <c r="A90" s="15" t="str">
        <f t="shared" si="5"/>
        <v>13231</v>
      </c>
      <c r="B90" s="16">
        <f t="shared" si="7"/>
        <v>123</v>
      </c>
      <c r="C90" s="16">
        <f t="shared" si="7"/>
        <v>1</v>
      </c>
      <c r="D90" s="16">
        <f t="shared" si="7"/>
        <v>323</v>
      </c>
      <c r="E90" s="16">
        <f t="shared" si="7"/>
        <v>1</v>
      </c>
      <c r="F90" s="16" t="e">
        <f t="shared" si="7"/>
        <v>#REF!</v>
      </c>
      <c r="G90" s="16">
        <f t="shared" si="7"/>
        <v>0</v>
      </c>
      <c r="H90" s="16">
        <f t="shared" si="7"/>
        <v>0</v>
      </c>
      <c r="I90" s="16">
        <f t="shared" si="7"/>
        <v>0</v>
      </c>
      <c r="J90" s="16">
        <f t="shared" si="7"/>
        <v>0</v>
      </c>
      <c r="K90" s="16">
        <f t="shared" si="7"/>
        <v>1</v>
      </c>
    </row>
    <row r="91" spans="1:11">
      <c r="A91" s="15" t="str">
        <f t="shared" si="5"/>
        <v>13241</v>
      </c>
      <c r="B91" s="16">
        <f t="shared" si="7"/>
        <v>123</v>
      </c>
      <c r="C91" s="16">
        <f t="shared" si="7"/>
        <v>1</v>
      </c>
      <c r="D91" s="16">
        <f t="shared" si="7"/>
        <v>324</v>
      </c>
      <c r="E91" s="16">
        <f t="shared" si="7"/>
        <v>1</v>
      </c>
      <c r="F91" s="16">
        <f t="shared" si="7"/>
        <v>120</v>
      </c>
      <c r="G91" s="16">
        <f t="shared" si="7"/>
        <v>0</v>
      </c>
      <c r="H91" s="16">
        <f t="shared" si="7"/>
        <v>0</v>
      </c>
      <c r="I91" s="16">
        <f t="shared" si="7"/>
        <v>0</v>
      </c>
      <c r="J91" s="16">
        <f t="shared" si="7"/>
        <v>0</v>
      </c>
      <c r="K91" s="16">
        <f t="shared" si="7"/>
        <v>1</v>
      </c>
    </row>
    <row r="92" spans="1:11">
      <c r="A92" s="15" t="str">
        <f t="shared" si="5"/>
        <v>13251</v>
      </c>
      <c r="B92" s="16">
        <f t="shared" si="7"/>
        <v>123</v>
      </c>
      <c r="C92" s="16">
        <f t="shared" si="7"/>
        <v>1</v>
      </c>
      <c r="D92" s="16">
        <f t="shared" si="7"/>
        <v>325</v>
      </c>
      <c r="E92" s="16">
        <f t="shared" si="7"/>
        <v>1</v>
      </c>
      <c r="F92" s="16" t="e">
        <f t="shared" si="7"/>
        <v>#REF!</v>
      </c>
      <c r="G92" s="16">
        <f t="shared" si="7"/>
        <v>0</v>
      </c>
      <c r="H92" s="16">
        <f t="shared" si="7"/>
        <v>0</v>
      </c>
      <c r="I92" s="16">
        <f t="shared" si="7"/>
        <v>0</v>
      </c>
      <c r="J92" s="16">
        <f t="shared" si="7"/>
        <v>0</v>
      </c>
      <c r="K92" s="16">
        <f t="shared" si="7"/>
        <v>1</v>
      </c>
    </row>
    <row r="93" spans="1:11">
      <c r="A93" s="15" t="str">
        <f t="shared" si="5"/>
        <v>13261</v>
      </c>
      <c r="B93" s="16">
        <f t="shared" si="7"/>
        <v>123</v>
      </c>
      <c r="C93" s="16">
        <f t="shared" si="7"/>
        <v>1</v>
      </c>
      <c r="D93" s="16">
        <f t="shared" si="7"/>
        <v>326</v>
      </c>
      <c r="E93" s="16">
        <f t="shared" si="7"/>
        <v>1</v>
      </c>
      <c r="F93" s="16">
        <f t="shared" si="7"/>
        <v>120</v>
      </c>
      <c r="G93" s="16">
        <f t="shared" si="7"/>
        <v>0</v>
      </c>
      <c r="H93" s="16">
        <f t="shared" si="7"/>
        <v>0</v>
      </c>
      <c r="I93" s="16">
        <f t="shared" si="7"/>
        <v>0</v>
      </c>
      <c r="J93" s="16">
        <f t="shared" si="7"/>
        <v>0</v>
      </c>
      <c r="K93" s="16">
        <f t="shared" si="7"/>
        <v>1</v>
      </c>
    </row>
    <row r="94" spans="1:11">
      <c r="A94" s="15" t="str">
        <f t="shared" si="5"/>
        <v>13271</v>
      </c>
      <c r="B94" s="16">
        <f t="shared" si="7"/>
        <v>123</v>
      </c>
      <c r="C94" s="16">
        <f t="shared" si="7"/>
        <v>1</v>
      </c>
      <c r="D94" s="16">
        <f t="shared" si="7"/>
        <v>327</v>
      </c>
      <c r="E94" s="16">
        <f t="shared" si="7"/>
        <v>1</v>
      </c>
      <c r="F94" s="16" t="e">
        <f t="shared" si="7"/>
        <v>#REF!</v>
      </c>
      <c r="G94" s="16">
        <f t="shared" si="7"/>
        <v>0</v>
      </c>
      <c r="H94" s="16">
        <f t="shared" si="7"/>
        <v>0</v>
      </c>
      <c r="I94" s="16">
        <f t="shared" si="7"/>
        <v>0</v>
      </c>
      <c r="J94" s="16">
        <f t="shared" si="7"/>
        <v>0</v>
      </c>
      <c r="K94" s="16">
        <f t="shared" si="7"/>
        <v>1</v>
      </c>
    </row>
    <row r="95" spans="1:11">
      <c r="A95" s="15" t="str">
        <f t="shared" si="5"/>
        <v>13811</v>
      </c>
      <c r="B95" s="16">
        <f t="shared" si="7"/>
        <v>123</v>
      </c>
      <c r="C95" s="16">
        <f t="shared" si="7"/>
        <v>1</v>
      </c>
      <c r="D95" s="16">
        <f t="shared" si="7"/>
        <v>381</v>
      </c>
      <c r="E95" s="16">
        <f t="shared" si="7"/>
        <v>1</v>
      </c>
      <c r="F95" s="16">
        <f t="shared" si="7"/>
        <v>4800</v>
      </c>
      <c r="G95" s="16">
        <f t="shared" si="7"/>
        <v>0</v>
      </c>
      <c r="H95" s="16">
        <f t="shared" si="7"/>
        <v>0</v>
      </c>
      <c r="I95" s="16">
        <f t="shared" si="7"/>
        <v>0</v>
      </c>
      <c r="J95" s="16">
        <f t="shared" si="7"/>
        <v>0</v>
      </c>
      <c r="K95" s="16">
        <f t="shared" si="7"/>
        <v>1</v>
      </c>
    </row>
    <row r="96" spans="1:11">
      <c r="A96" s="15" t="str">
        <f t="shared" si="5"/>
        <v>13821</v>
      </c>
      <c r="B96" s="16">
        <f t="shared" si="7"/>
        <v>123</v>
      </c>
      <c r="C96" s="16">
        <f t="shared" si="7"/>
        <v>1</v>
      </c>
      <c r="D96" s="16">
        <f t="shared" si="7"/>
        <v>382</v>
      </c>
      <c r="E96" s="16">
        <f t="shared" si="7"/>
        <v>1</v>
      </c>
      <c r="F96" s="16">
        <f t="shared" si="7"/>
        <v>200</v>
      </c>
      <c r="G96" s="16">
        <f t="shared" ref="G96:K96" si="8">VLOOKUP($A96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6" s="16">
        <f t="shared" si="8"/>
        <v>0</v>
      </c>
      <c r="I96" s="16">
        <f t="shared" si="8"/>
        <v>0</v>
      </c>
      <c r="J96" s="16">
        <f t="shared" si="8"/>
        <v>0</v>
      </c>
      <c r="K96" s="16">
        <f t="shared" si="8"/>
        <v>1</v>
      </c>
    </row>
    <row r="97" spans="1:11">
      <c r="A97" s="15" t="str">
        <f t="shared" si="5"/>
        <v>13831</v>
      </c>
      <c r="B97" s="16">
        <f t="shared" ref="B97:K122" si="9">VLOOKUP($A97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97" s="16">
        <f t="shared" si="9"/>
        <v>1</v>
      </c>
      <c r="D97" s="16">
        <f t="shared" si="9"/>
        <v>383</v>
      </c>
      <c r="E97" s="16">
        <f t="shared" si="9"/>
        <v>1</v>
      </c>
      <c r="F97" s="16">
        <f t="shared" si="9"/>
        <v>960</v>
      </c>
      <c r="G97" s="16">
        <f t="shared" si="9"/>
        <v>0</v>
      </c>
      <c r="H97" s="16">
        <f t="shared" si="9"/>
        <v>0</v>
      </c>
      <c r="I97" s="16">
        <f t="shared" si="9"/>
        <v>0</v>
      </c>
      <c r="J97" s="16">
        <f t="shared" si="9"/>
        <v>0</v>
      </c>
      <c r="K97" s="16">
        <f t="shared" si="9"/>
        <v>1</v>
      </c>
    </row>
    <row r="98" spans="1:11">
      <c r="A98" s="15" t="str">
        <f t="shared" si="5"/>
        <v>13841</v>
      </c>
      <c r="B98" s="16">
        <f t="shared" si="9"/>
        <v>123</v>
      </c>
      <c r="C98" s="16">
        <f t="shared" si="9"/>
        <v>1</v>
      </c>
      <c r="D98" s="16">
        <f t="shared" si="9"/>
        <v>384</v>
      </c>
      <c r="E98" s="16">
        <f t="shared" si="9"/>
        <v>1</v>
      </c>
      <c r="F98" s="16">
        <f t="shared" si="9"/>
        <v>40</v>
      </c>
      <c r="G98" s="16">
        <f t="shared" si="9"/>
        <v>0</v>
      </c>
      <c r="H98" s="16">
        <f t="shared" si="9"/>
        <v>0</v>
      </c>
      <c r="I98" s="16">
        <f t="shared" si="9"/>
        <v>0</v>
      </c>
      <c r="J98" s="16">
        <f t="shared" si="9"/>
        <v>0</v>
      </c>
      <c r="K98" s="16">
        <f t="shared" si="9"/>
        <v>1</v>
      </c>
    </row>
    <row r="99" spans="1:11">
      <c r="A99" s="15" t="str">
        <f t="shared" si="5"/>
        <v>13851</v>
      </c>
      <c r="B99" s="16">
        <f t="shared" si="9"/>
        <v>123</v>
      </c>
      <c r="C99" s="16">
        <f t="shared" si="9"/>
        <v>1</v>
      </c>
      <c r="D99" s="16">
        <f t="shared" si="9"/>
        <v>385</v>
      </c>
      <c r="E99" s="16">
        <f t="shared" si="9"/>
        <v>1</v>
      </c>
      <c r="F99" s="16">
        <f t="shared" si="9"/>
        <v>960</v>
      </c>
      <c r="G99" s="16">
        <f t="shared" si="9"/>
        <v>0</v>
      </c>
      <c r="H99" s="16">
        <f t="shared" si="9"/>
        <v>0</v>
      </c>
      <c r="I99" s="16">
        <f t="shared" si="9"/>
        <v>0</v>
      </c>
      <c r="J99" s="16">
        <f t="shared" si="9"/>
        <v>0</v>
      </c>
      <c r="K99" s="16">
        <f t="shared" si="9"/>
        <v>1</v>
      </c>
    </row>
    <row r="100" spans="1:11">
      <c r="A100" s="15" t="str">
        <f t="shared" si="5"/>
        <v>13861</v>
      </c>
      <c r="B100" s="16">
        <f t="shared" si="9"/>
        <v>123</v>
      </c>
      <c r="C100" s="16">
        <f t="shared" si="9"/>
        <v>1</v>
      </c>
      <c r="D100" s="16">
        <f t="shared" si="9"/>
        <v>386</v>
      </c>
      <c r="E100" s="16">
        <f t="shared" si="9"/>
        <v>1</v>
      </c>
      <c r="F100" s="16">
        <f t="shared" si="9"/>
        <v>40</v>
      </c>
      <c r="G100" s="16">
        <f t="shared" si="9"/>
        <v>0</v>
      </c>
      <c r="H100" s="16">
        <f t="shared" si="9"/>
        <v>0</v>
      </c>
      <c r="I100" s="16">
        <f t="shared" si="9"/>
        <v>0</v>
      </c>
      <c r="J100" s="16">
        <f t="shared" si="9"/>
        <v>0</v>
      </c>
      <c r="K100" s="16">
        <f t="shared" si="9"/>
        <v>1</v>
      </c>
    </row>
    <row r="101" spans="1:11">
      <c r="A101" s="15" t="str">
        <f t="shared" si="5"/>
        <v>13881</v>
      </c>
      <c r="B101" s="16">
        <f t="shared" si="9"/>
        <v>123</v>
      </c>
      <c r="C101" s="16">
        <f t="shared" si="9"/>
        <v>1</v>
      </c>
      <c r="D101" s="16">
        <f t="shared" si="9"/>
        <v>388</v>
      </c>
      <c r="E101" s="16">
        <f t="shared" si="9"/>
        <v>1</v>
      </c>
      <c r="F101" s="16">
        <f t="shared" si="9"/>
        <v>4800</v>
      </c>
      <c r="G101" s="16">
        <f t="shared" si="9"/>
        <v>0</v>
      </c>
      <c r="H101" s="16">
        <f t="shared" si="9"/>
        <v>0</v>
      </c>
      <c r="I101" s="16">
        <f t="shared" si="9"/>
        <v>0</v>
      </c>
      <c r="J101" s="16">
        <f t="shared" si="9"/>
        <v>0</v>
      </c>
      <c r="K101" s="16">
        <f t="shared" si="9"/>
        <v>1</v>
      </c>
    </row>
    <row r="102" spans="1:11">
      <c r="A102" s="15" t="str">
        <f t="shared" si="5"/>
        <v>13891</v>
      </c>
      <c r="B102" s="16">
        <f t="shared" si="9"/>
        <v>123</v>
      </c>
      <c r="C102" s="16">
        <f t="shared" si="9"/>
        <v>1</v>
      </c>
      <c r="D102" s="16">
        <f t="shared" si="9"/>
        <v>389</v>
      </c>
      <c r="E102" s="16">
        <f t="shared" si="9"/>
        <v>1</v>
      </c>
      <c r="F102" s="16">
        <f t="shared" si="9"/>
        <v>200</v>
      </c>
      <c r="G102" s="16">
        <f t="shared" si="9"/>
        <v>0</v>
      </c>
      <c r="H102" s="16">
        <f t="shared" si="9"/>
        <v>0</v>
      </c>
      <c r="I102" s="16">
        <f t="shared" si="9"/>
        <v>0</v>
      </c>
      <c r="J102" s="16">
        <f t="shared" si="9"/>
        <v>0</v>
      </c>
      <c r="K102" s="16">
        <f t="shared" si="9"/>
        <v>1</v>
      </c>
    </row>
    <row r="103" spans="1:11">
      <c r="A103" s="15" t="str">
        <f t="shared" si="5"/>
        <v>01261</v>
      </c>
      <c r="B103" s="16">
        <f t="shared" si="9"/>
        <v>123</v>
      </c>
      <c r="C103" s="16">
        <f t="shared" si="9"/>
        <v>0</v>
      </c>
      <c r="D103" s="16">
        <f t="shared" si="9"/>
        <v>126</v>
      </c>
      <c r="E103" s="16">
        <f t="shared" si="9"/>
        <v>1</v>
      </c>
      <c r="F103" s="16">
        <f t="shared" si="9"/>
        <v>2351</v>
      </c>
      <c r="G103" s="16">
        <f t="shared" si="9"/>
        <v>0</v>
      </c>
      <c r="H103" s="16">
        <f t="shared" si="9"/>
        <v>0</v>
      </c>
      <c r="I103" s="16">
        <f t="shared" si="9"/>
        <v>0</v>
      </c>
      <c r="J103" s="16">
        <f t="shared" si="9"/>
        <v>0</v>
      </c>
      <c r="K103" s="16">
        <f t="shared" si="9"/>
        <v>1</v>
      </c>
    </row>
    <row r="104" spans="1:11">
      <c r="A104" s="15" t="str">
        <f t="shared" si="5"/>
        <v>01281</v>
      </c>
      <c r="B104" s="16">
        <f t="shared" si="9"/>
        <v>123</v>
      </c>
      <c r="C104" s="16">
        <f t="shared" si="9"/>
        <v>0</v>
      </c>
      <c r="D104" s="16">
        <f t="shared" si="9"/>
        <v>128</v>
      </c>
      <c r="E104" s="16">
        <f t="shared" si="9"/>
        <v>1</v>
      </c>
      <c r="F104" s="16">
        <f t="shared" si="9"/>
        <v>2351</v>
      </c>
      <c r="G104" s="16">
        <f t="shared" si="9"/>
        <v>0</v>
      </c>
      <c r="H104" s="16">
        <f t="shared" si="9"/>
        <v>0</v>
      </c>
      <c r="I104" s="16">
        <f t="shared" si="9"/>
        <v>0</v>
      </c>
      <c r="J104" s="16">
        <f t="shared" si="9"/>
        <v>0</v>
      </c>
      <c r="K104" s="16">
        <f t="shared" si="9"/>
        <v>1</v>
      </c>
    </row>
    <row r="105" spans="1:11">
      <c r="A105" s="15" t="str">
        <f t="shared" si="5"/>
        <v>01301</v>
      </c>
      <c r="B105" s="16">
        <f t="shared" si="9"/>
        <v>123</v>
      </c>
      <c r="C105" s="16">
        <f t="shared" si="9"/>
        <v>0</v>
      </c>
      <c r="D105" s="16">
        <f t="shared" si="9"/>
        <v>130</v>
      </c>
      <c r="E105" s="16">
        <f t="shared" si="9"/>
        <v>1</v>
      </c>
      <c r="F105" s="16">
        <f t="shared" si="9"/>
        <v>2351</v>
      </c>
      <c r="G105" s="16">
        <f t="shared" si="9"/>
        <v>0</v>
      </c>
      <c r="H105" s="16">
        <f t="shared" si="9"/>
        <v>0</v>
      </c>
      <c r="I105" s="16">
        <f t="shared" si="9"/>
        <v>0</v>
      </c>
      <c r="J105" s="16">
        <f t="shared" si="9"/>
        <v>0</v>
      </c>
      <c r="K105" s="16">
        <f t="shared" si="9"/>
        <v>1</v>
      </c>
    </row>
    <row r="106" spans="1:11">
      <c r="A106" s="15" t="str">
        <f t="shared" si="5"/>
        <v>01321</v>
      </c>
      <c r="B106" s="16">
        <f t="shared" si="9"/>
        <v>123</v>
      </c>
      <c r="C106" s="16">
        <f t="shared" si="9"/>
        <v>0</v>
      </c>
      <c r="D106" s="16">
        <f t="shared" si="9"/>
        <v>132</v>
      </c>
      <c r="E106" s="16">
        <f t="shared" si="9"/>
        <v>1</v>
      </c>
      <c r="F106" s="16">
        <f t="shared" si="9"/>
        <v>2351</v>
      </c>
      <c r="G106" s="16">
        <f t="shared" si="9"/>
        <v>0</v>
      </c>
      <c r="H106" s="16">
        <f t="shared" si="9"/>
        <v>0</v>
      </c>
      <c r="I106" s="16">
        <f t="shared" si="9"/>
        <v>0</v>
      </c>
      <c r="J106" s="16">
        <f t="shared" si="9"/>
        <v>0</v>
      </c>
      <c r="K106" s="16">
        <f t="shared" si="9"/>
        <v>1</v>
      </c>
    </row>
    <row r="107" spans="1:11">
      <c r="A107" s="15" t="str">
        <f t="shared" si="5"/>
        <v>01341</v>
      </c>
      <c r="B107" s="16">
        <f t="shared" si="9"/>
        <v>123</v>
      </c>
      <c r="C107" s="16">
        <f t="shared" si="9"/>
        <v>0</v>
      </c>
      <c r="D107" s="16">
        <f t="shared" si="9"/>
        <v>134</v>
      </c>
      <c r="E107" s="16">
        <f t="shared" si="9"/>
        <v>1</v>
      </c>
      <c r="F107" s="16">
        <f t="shared" si="9"/>
        <v>2351</v>
      </c>
      <c r="G107" s="16">
        <f t="shared" si="9"/>
        <v>0</v>
      </c>
      <c r="H107" s="16">
        <f t="shared" si="9"/>
        <v>0</v>
      </c>
      <c r="I107" s="16">
        <f t="shared" si="9"/>
        <v>0</v>
      </c>
      <c r="J107" s="16">
        <f t="shared" si="9"/>
        <v>0</v>
      </c>
      <c r="K107" s="16">
        <f t="shared" si="9"/>
        <v>1</v>
      </c>
    </row>
    <row r="108" spans="1:11">
      <c r="A108" s="15" t="str">
        <f t="shared" si="5"/>
        <v>01361</v>
      </c>
      <c r="B108" s="16">
        <f t="shared" si="9"/>
        <v>123</v>
      </c>
      <c r="C108" s="16">
        <f t="shared" si="9"/>
        <v>0</v>
      </c>
      <c r="D108" s="16">
        <f t="shared" si="9"/>
        <v>136</v>
      </c>
      <c r="E108" s="16">
        <f t="shared" si="9"/>
        <v>1</v>
      </c>
      <c r="F108" s="16">
        <f t="shared" si="9"/>
        <v>2351</v>
      </c>
      <c r="G108" s="16">
        <f t="shared" si="9"/>
        <v>0</v>
      </c>
      <c r="H108" s="16">
        <f t="shared" si="9"/>
        <v>0</v>
      </c>
      <c r="I108" s="16">
        <f t="shared" si="9"/>
        <v>0</v>
      </c>
      <c r="J108" s="16">
        <f t="shared" si="9"/>
        <v>0</v>
      </c>
      <c r="K108" s="16">
        <f t="shared" si="9"/>
        <v>1</v>
      </c>
    </row>
    <row r="109" spans="1:11">
      <c r="A109" s="15" t="str">
        <f t="shared" si="5"/>
        <v>01381</v>
      </c>
      <c r="B109" s="16">
        <f t="shared" si="9"/>
        <v>123</v>
      </c>
      <c r="C109" s="16">
        <f t="shared" si="9"/>
        <v>0</v>
      </c>
      <c r="D109" s="16">
        <f t="shared" si="9"/>
        <v>138</v>
      </c>
      <c r="E109" s="16">
        <f t="shared" si="9"/>
        <v>1</v>
      </c>
      <c r="F109" s="16">
        <f t="shared" si="9"/>
        <v>2351</v>
      </c>
      <c r="G109" s="16">
        <f t="shared" si="9"/>
        <v>0</v>
      </c>
      <c r="H109" s="16">
        <f t="shared" si="9"/>
        <v>0</v>
      </c>
      <c r="I109" s="16">
        <f t="shared" si="9"/>
        <v>0</v>
      </c>
      <c r="J109" s="16">
        <f t="shared" si="9"/>
        <v>0</v>
      </c>
      <c r="K109" s="16">
        <f t="shared" si="9"/>
        <v>1</v>
      </c>
    </row>
    <row r="110" spans="1:11">
      <c r="A110" s="15" t="str">
        <f t="shared" si="5"/>
        <v>01401</v>
      </c>
      <c r="B110" s="16">
        <f t="shared" si="9"/>
        <v>123</v>
      </c>
      <c r="C110" s="16">
        <f t="shared" si="9"/>
        <v>0</v>
      </c>
      <c r="D110" s="16">
        <f t="shared" si="9"/>
        <v>140</v>
      </c>
      <c r="E110" s="16">
        <f t="shared" si="9"/>
        <v>1</v>
      </c>
      <c r="F110" s="16">
        <f t="shared" si="9"/>
        <v>2351</v>
      </c>
      <c r="G110" s="16">
        <f t="shared" si="9"/>
        <v>0</v>
      </c>
      <c r="H110" s="16">
        <f t="shared" si="9"/>
        <v>0</v>
      </c>
      <c r="I110" s="16">
        <f t="shared" si="9"/>
        <v>0</v>
      </c>
      <c r="J110" s="16">
        <f t="shared" si="9"/>
        <v>0</v>
      </c>
      <c r="K110" s="16">
        <f t="shared" si="9"/>
        <v>1</v>
      </c>
    </row>
    <row r="111" spans="1:11">
      <c r="A111" s="15" t="str">
        <f t="shared" si="5"/>
        <v>01421</v>
      </c>
      <c r="B111" s="16">
        <f t="shared" si="9"/>
        <v>123</v>
      </c>
      <c r="C111" s="16">
        <f t="shared" si="9"/>
        <v>0</v>
      </c>
      <c r="D111" s="16">
        <f t="shared" si="9"/>
        <v>142</v>
      </c>
      <c r="E111" s="16">
        <f t="shared" si="9"/>
        <v>1</v>
      </c>
      <c r="F111" s="16">
        <f t="shared" si="9"/>
        <v>2351</v>
      </c>
      <c r="G111" s="16">
        <f t="shared" si="9"/>
        <v>0</v>
      </c>
      <c r="H111" s="16">
        <f t="shared" si="9"/>
        <v>0</v>
      </c>
      <c r="I111" s="16">
        <f t="shared" si="9"/>
        <v>0</v>
      </c>
      <c r="J111" s="16">
        <f t="shared" si="9"/>
        <v>0</v>
      </c>
      <c r="K111" s="16">
        <f t="shared" si="9"/>
        <v>1</v>
      </c>
    </row>
    <row r="112" spans="1:11">
      <c r="A112" s="15" t="str">
        <f t="shared" si="5"/>
        <v>01441</v>
      </c>
      <c r="B112" s="16">
        <f t="shared" si="9"/>
        <v>123</v>
      </c>
      <c r="C112" s="16">
        <f t="shared" si="9"/>
        <v>0</v>
      </c>
      <c r="D112" s="16">
        <f t="shared" si="9"/>
        <v>144</v>
      </c>
      <c r="E112" s="16">
        <f t="shared" si="9"/>
        <v>1</v>
      </c>
      <c r="F112" s="16">
        <f t="shared" si="9"/>
        <v>2351</v>
      </c>
      <c r="G112" s="16">
        <f t="shared" si="9"/>
        <v>0</v>
      </c>
      <c r="H112" s="16">
        <f t="shared" si="9"/>
        <v>0</v>
      </c>
      <c r="I112" s="16">
        <f t="shared" si="9"/>
        <v>0</v>
      </c>
      <c r="J112" s="16">
        <f t="shared" si="9"/>
        <v>0</v>
      </c>
      <c r="K112" s="16">
        <f t="shared" si="9"/>
        <v>1</v>
      </c>
    </row>
    <row r="113" spans="1:11">
      <c r="A113" s="15" t="str">
        <f t="shared" si="5"/>
        <v>01461</v>
      </c>
      <c r="B113" s="16">
        <f t="shared" si="9"/>
        <v>123</v>
      </c>
      <c r="C113" s="16">
        <f t="shared" si="9"/>
        <v>0</v>
      </c>
      <c r="D113" s="16">
        <f t="shared" si="9"/>
        <v>146</v>
      </c>
      <c r="E113" s="16">
        <f t="shared" si="9"/>
        <v>1</v>
      </c>
      <c r="F113" s="16">
        <f t="shared" si="9"/>
        <v>2351</v>
      </c>
      <c r="G113" s="16">
        <f t="shared" si="9"/>
        <v>0</v>
      </c>
      <c r="H113" s="16">
        <f t="shared" si="9"/>
        <v>0</v>
      </c>
      <c r="I113" s="16">
        <f t="shared" si="9"/>
        <v>0</v>
      </c>
      <c r="J113" s="16">
        <f t="shared" si="9"/>
        <v>0</v>
      </c>
      <c r="K113" s="16">
        <f t="shared" si="9"/>
        <v>1</v>
      </c>
    </row>
    <row r="114" spans="1:11">
      <c r="A114" s="15" t="str">
        <f t="shared" si="5"/>
        <v>01481</v>
      </c>
      <c r="B114" s="16">
        <f t="shared" si="9"/>
        <v>123</v>
      </c>
      <c r="C114" s="16">
        <f t="shared" si="9"/>
        <v>0</v>
      </c>
      <c r="D114" s="16">
        <f t="shared" si="9"/>
        <v>148</v>
      </c>
      <c r="E114" s="16">
        <f t="shared" si="9"/>
        <v>1</v>
      </c>
      <c r="F114" s="16">
        <f t="shared" si="9"/>
        <v>2351</v>
      </c>
      <c r="G114" s="16">
        <f t="shared" si="9"/>
        <v>0</v>
      </c>
      <c r="H114" s="16">
        <f t="shared" si="9"/>
        <v>0</v>
      </c>
      <c r="I114" s="16">
        <f t="shared" si="9"/>
        <v>0</v>
      </c>
      <c r="J114" s="16">
        <f t="shared" si="9"/>
        <v>0</v>
      </c>
      <c r="K114" s="16">
        <f t="shared" si="9"/>
        <v>1</v>
      </c>
    </row>
    <row r="115" spans="1:11">
      <c r="A115" s="15" t="str">
        <f t="shared" si="5"/>
        <v>01501</v>
      </c>
      <c r="B115" s="16">
        <f t="shared" si="9"/>
        <v>123</v>
      </c>
      <c r="C115" s="16">
        <f t="shared" si="9"/>
        <v>0</v>
      </c>
      <c r="D115" s="16">
        <f t="shared" si="9"/>
        <v>150</v>
      </c>
      <c r="E115" s="16">
        <f t="shared" si="9"/>
        <v>1</v>
      </c>
      <c r="F115" s="16">
        <f t="shared" si="9"/>
        <v>2351</v>
      </c>
      <c r="G115" s="16">
        <f t="shared" si="9"/>
        <v>0</v>
      </c>
      <c r="H115" s="16">
        <f t="shared" si="9"/>
        <v>0</v>
      </c>
      <c r="I115" s="16">
        <f t="shared" si="9"/>
        <v>0</v>
      </c>
      <c r="J115" s="16">
        <f t="shared" si="9"/>
        <v>0</v>
      </c>
      <c r="K115" s="16">
        <f t="shared" si="9"/>
        <v>1</v>
      </c>
    </row>
    <row r="116" spans="1:11">
      <c r="A116" s="15" t="str">
        <f t="shared" si="5"/>
        <v>01521</v>
      </c>
      <c r="B116" s="16">
        <f t="shared" si="9"/>
        <v>123</v>
      </c>
      <c r="C116" s="16">
        <f t="shared" si="9"/>
        <v>0</v>
      </c>
      <c r="D116" s="16">
        <f t="shared" si="9"/>
        <v>152</v>
      </c>
      <c r="E116" s="16">
        <f t="shared" si="9"/>
        <v>1</v>
      </c>
      <c r="F116" s="16">
        <f t="shared" si="9"/>
        <v>2351</v>
      </c>
      <c r="G116" s="16">
        <f t="shared" si="9"/>
        <v>0</v>
      </c>
      <c r="H116" s="16">
        <f t="shared" si="9"/>
        <v>0</v>
      </c>
      <c r="I116" s="16">
        <f t="shared" si="9"/>
        <v>0</v>
      </c>
      <c r="J116" s="16">
        <f t="shared" si="9"/>
        <v>0</v>
      </c>
      <c r="K116" s="16">
        <f t="shared" si="9"/>
        <v>1</v>
      </c>
    </row>
    <row r="117" spans="1:11">
      <c r="A117" s="15" t="str">
        <f t="shared" si="5"/>
        <v>01541</v>
      </c>
      <c r="B117" s="16">
        <f t="shared" si="9"/>
        <v>123</v>
      </c>
      <c r="C117" s="16">
        <f t="shared" si="9"/>
        <v>0</v>
      </c>
      <c r="D117" s="16">
        <f t="shared" si="9"/>
        <v>154</v>
      </c>
      <c r="E117" s="16">
        <f t="shared" si="9"/>
        <v>1</v>
      </c>
      <c r="F117" s="16">
        <f t="shared" si="9"/>
        <v>2351</v>
      </c>
      <c r="G117" s="16">
        <f t="shared" si="9"/>
        <v>0</v>
      </c>
      <c r="H117" s="16">
        <f t="shared" si="9"/>
        <v>0</v>
      </c>
      <c r="I117" s="16">
        <f t="shared" si="9"/>
        <v>0</v>
      </c>
      <c r="J117" s="16">
        <f t="shared" si="9"/>
        <v>0</v>
      </c>
      <c r="K117" s="16">
        <f t="shared" si="9"/>
        <v>1</v>
      </c>
    </row>
    <row r="118" spans="1:11">
      <c r="A118" s="15" t="str">
        <f t="shared" si="5"/>
        <v>01561</v>
      </c>
      <c r="B118" s="16">
        <f t="shared" si="9"/>
        <v>123</v>
      </c>
      <c r="C118" s="16">
        <f t="shared" si="9"/>
        <v>0</v>
      </c>
      <c r="D118" s="16">
        <f t="shared" si="9"/>
        <v>156</v>
      </c>
      <c r="E118" s="16">
        <f t="shared" si="9"/>
        <v>1</v>
      </c>
      <c r="F118" s="16">
        <f t="shared" si="9"/>
        <v>2351</v>
      </c>
      <c r="G118" s="16">
        <f t="shared" si="9"/>
        <v>0</v>
      </c>
      <c r="H118" s="16">
        <f t="shared" si="9"/>
        <v>0</v>
      </c>
      <c r="I118" s="16">
        <f t="shared" si="9"/>
        <v>0</v>
      </c>
      <c r="J118" s="16">
        <f t="shared" si="9"/>
        <v>0</v>
      </c>
      <c r="K118" s="16">
        <f t="shared" si="9"/>
        <v>1</v>
      </c>
    </row>
    <row r="119" spans="1:11">
      <c r="A119" s="15" t="str">
        <f t="shared" si="5"/>
        <v>01581</v>
      </c>
      <c r="B119" s="16">
        <f t="shared" si="9"/>
        <v>123</v>
      </c>
      <c r="C119" s="16">
        <f t="shared" si="9"/>
        <v>0</v>
      </c>
      <c r="D119" s="16">
        <f t="shared" si="9"/>
        <v>158</v>
      </c>
      <c r="E119" s="16">
        <f t="shared" si="9"/>
        <v>1</v>
      </c>
      <c r="F119" s="16">
        <f t="shared" si="9"/>
        <v>2351</v>
      </c>
      <c r="G119" s="16">
        <f t="shared" si="9"/>
        <v>0</v>
      </c>
      <c r="H119" s="16">
        <f t="shared" si="9"/>
        <v>0</v>
      </c>
      <c r="I119" s="16">
        <f t="shared" si="9"/>
        <v>0</v>
      </c>
      <c r="J119" s="16">
        <f t="shared" si="9"/>
        <v>0</v>
      </c>
      <c r="K119" s="16">
        <f t="shared" si="9"/>
        <v>1</v>
      </c>
    </row>
    <row r="120" spans="1:11">
      <c r="A120" s="15" t="str">
        <f t="shared" si="5"/>
        <v>01601</v>
      </c>
      <c r="B120" s="16">
        <f t="shared" si="9"/>
        <v>123</v>
      </c>
      <c r="C120" s="16">
        <f t="shared" si="9"/>
        <v>0</v>
      </c>
      <c r="D120" s="16">
        <f t="shared" si="9"/>
        <v>160</v>
      </c>
      <c r="E120" s="16">
        <f t="shared" si="9"/>
        <v>1</v>
      </c>
      <c r="F120" s="16">
        <f t="shared" si="9"/>
        <v>2351</v>
      </c>
      <c r="G120" s="16">
        <f t="shared" si="9"/>
        <v>0</v>
      </c>
      <c r="H120" s="16">
        <f t="shared" si="9"/>
        <v>0</v>
      </c>
      <c r="I120" s="16">
        <f t="shared" si="9"/>
        <v>0</v>
      </c>
      <c r="J120" s="16">
        <f t="shared" si="9"/>
        <v>0</v>
      </c>
      <c r="K120" s="16">
        <f t="shared" si="9"/>
        <v>1</v>
      </c>
    </row>
    <row r="121" spans="1:11">
      <c r="A121" s="15" t="str">
        <f t="shared" si="5"/>
        <v>01621</v>
      </c>
      <c r="B121" s="16">
        <f t="shared" si="9"/>
        <v>123</v>
      </c>
      <c r="C121" s="16">
        <f t="shared" si="9"/>
        <v>0</v>
      </c>
      <c r="D121" s="16">
        <f t="shared" si="9"/>
        <v>162</v>
      </c>
      <c r="E121" s="16">
        <f t="shared" si="9"/>
        <v>1</v>
      </c>
      <c r="F121" s="16">
        <f t="shared" si="9"/>
        <v>2351</v>
      </c>
      <c r="G121" s="16">
        <f t="shared" si="9"/>
        <v>0</v>
      </c>
      <c r="H121" s="16">
        <f t="shared" si="9"/>
        <v>0</v>
      </c>
      <c r="I121" s="16">
        <f t="shared" si="9"/>
        <v>0</v>
      </c>
      <c r="J121" s="16">
        <f t="shared" si="9"/>
        <v>0</v>
      </c>
      <c r="K121" s="16">
        <f t="shared" si="9"/>
        <v>1</v>
      </c>
    </row>
    <row r="122" spans="1:11">
      <c r="A122" s="15" t="str">
        <f t="shared" si="5"/>
        <v>01641</v>
      </c>
      <c r="B122" s="16">
        <f t="shared" si="9"/>
        <v>123</v>
      </c>
      <c r="C122" s="16">
        <f t="shared" si="9"/>
        <v>0</v>
      </c>
      <c r="D122" s="16">
        <f t="shared" si="9"/>
        <v>164</v>
      </c>
      <c r="E122" s="16">
        <f t="shared" si="9"/>
        <v>1</v>
      </c>
      <c r="F122" s="16">
        <f t="shared" si="9"/>
        <v>2351</v>
      </c>
      <c r="G122" s="16">
        <f t="shared" ref="G122:K122" si="10">VLOOKUP($A122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22" s="16">
        <f t="shared" si="10"/>
        <v>0</v>
      </c>
      <c r="I122" s="16">
        <f t="shared" si="10"/>
        <v>0</v>
      </c>
      <c r="J122" s="16">
        <f t="shared" si="10"/>
        <v>0</v>
      </c>
      <c r="K122" s="16">
        <f t="shared" si="10"/>
        <v>1</v>
      </c>
    </row>
    <row r="123" spans="1:11">
      <c r="A123" s="15" t="str">
        <f t="shared" si="5"/>
        <v>01661</v>
      </c>
      <c r="B123" s="16">
        <f t="shared" ref="B123:K148" si="11">VLOOKUP($A123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123" s="16">
        <f t="shared" si="11"/>
        <v>0</v>
      </c>
      <c r="D123" s="16">
        <f t="shared" si="11"/>
        <v>166</v>
      </c>
      <c r="E123" s="16">
        <f t="shared" si="11"/>
        <v>1</v>
      </c>
      <c r="F123" s="16">
        <f t="shared" si="11"/>
        <v>2433</v>
      </c>
      <c r="G123" s="16">
        <f t="shared" si="11"/>
        <v>0</v>
      </c>
      <c r="H123" s="16">
        <f t="shared" si="11"/>
        <v>0</v>
      </c>
      <c r="I123" s="16">
        <f t="shared" si="11"/>
        <v>0</v>
      </c>
      <c r="J123" s="16">
        <f t="shared" si="11"/>
        <v>0</v>
      </c>
      <c r="K123" s="16">
        <f t="shared" si="11"/>
        <v>1</v>
      </c>
    </row>
    <row r="124" spans="1:11">
      <c r="A124" s="15" t="str">
        <f t="shared" si="5"/>
        <v>01691</v>
      </c>
      <c r="B124" s="16">
        <f t="shared" si="11"/>
        <v>123</v>
      </c>
      <c r="C124" s="16">
        <f t="shared" si="11"/>
        <v>0</v>
      </c>
      <c r="D124" s="16">
        <f t="shared" si="11"/>
        <v>169</v>
      </c>
      <c r="E124" s="16">
        <f t="shared" si="11"/>
        <v>1</v>
      </c>
      <c r="F124" s="16">
        <f t="shared" si="11"/>
        <v>2433</v>
      </c>
      <c r="G124" s="16">
        <f t="shared" si="11"/>
        <v>0</v>
      </c>
      <c r="H124" s="16">
        <f t="shared" si="11"/>
        <v>0</v>
      </c>
      <c r="I124" s="16">
        <f t="shared" si="11"/>
        <v>0</v>
      </c>
      <c r="J124" s="16">
        <f t="shared" si="11"/>
        <v>0</v>
      </c>
      <c r="K124" s="16">
        <f t="shared" si="11"/>
        <v>1</v>
      </c>
    </row>
    <row r="125" spans="1:11">
      <c r="A125" s="15" t="str">
        <f t="shared" si="5"/>
        <v>01721</v>
      </c>
      <c r="B125" s="16">
        <f t="shared" si="11"/>
        <v>123</v>
      </c>
      <c r="C125" s="16">
        <f t="shared" si="11"/>
        <v>0</v>
      </c>
      <c r="D125" s="16">
        <f t="shared" si="11"/>
        <v>172</v>
      </c>
      <c r="E125" s="16">
        <f t="shared" si="11"/>
        <v>1</v>
      </c>
      <c r="F125" s="16">
        <f t="shared" si="11"/>
        <v>2433</v>
      </c>
      <c r="G125" s="16">
        <f t="shared" si="11"/>
        <v>0</v>
      </c>
      <c r="H125" s="16">
        <f t="shared" si="11"/>
        <v>0</v>
      </c>
      <c r="I125" s="16">
        <f t="shared" si="11"/>
        <v>0</v>
      </c>
      <c r="J125" s="16">
        <f t="shared" si="11"/>
        <v>0</v>
      </c>
      <c r="K125" s="16">
        <f t="shared" si="11"/>
        <v>1</v>
      </c>
    </row>
    <row r="126" spans="1:11">
      <c r="A126" s="15" t="str">
        <f t="shared" si="5"/>
        <v>01751</v>
      </c>
      <c r="B126" s="16">
        <f t="shared" si="11"/>
        <v>123</v>
      </c>
      <c r="C126" s="16">
        <f t="shared" si="11"/>
        <v>0</v>
      </c>
      <c r="D126" s="16">
        <f t="shared" si="11"/>
        <v>175</v>
      </c>
      <c r="E126" s="16">
        <f t="shared" si="11"/>
        <v>1</v>
      </c>
      <c r="F126" s="16">
        <f t="shared" si="11"/>
        <v>2433</v>
      </c>
      <c r="G126" s="16">
        <f t="shared" si="11"/>
        <v>0</v>
      </c>
      <c r="H126" s="16">
        <f t="shared" si="11"/>
        <v>0</v>
      </c>
      <c r="I126" s="16">
        <f t="shared" si="11"/>
        <v>0</v>
      </c>
      <c r="J126" s="16">
        <f t="shared" si="11"/>
        <v>0</v>
      </c>
      <c r="K126" s="16">
        <f t="shared" si="11"/>
        <v>1</v>
      </c>
    </row>
    <row r="127" spans="1:11">
      <c r="A127" s="15" t="str">
        <f t="shared" si="5"/>
        <v>01781</v>
      </c>
      <c r="B127" s="16">
        <f t="shared" si="11"/>
        <v>123</v>
      </c>
      <c r="C127" s="16">
        <f t="shared" si="11"/>
        <v>0</v>
      </c>
      <c r="D127" s="16">
        <f t="shared" si="11"/>
        <v>178</v>
      </c>
      <c r="E127" s="16">
        <f t="shared" si="11"/>
        <v>1</v>
      </c>
      <c r="F127" s="16">
        <f t="shared" si="11"/>
        <v>2433</v>
      </c>
      <c r="G127" s="16">
        <f t="shared" si="11"/>
        <v>0</v>
      </c>
      <c r="H127" s="16">
        <f t="shared" si="11"/>
        <v>0</v>
      </c>
      <c r="I127" s="16">
        <f t="shared" si="11"/>
        <v>0</v>
      </c>
      <c r="J127" s="16">
        <f t="shared" si="11"/>
        <v>0</v>
      </c>
      <c r="K127" s="16">
        <f t="shared" si="11"/>
        <v>1</v>
      </c>
    </row>
    <row r="128" spans="1:11">
      <c r="A128" s="15" t="str">
        <f t="shared" si="5"/>
        <v>01811</v>
      </c>
      <c r="B128" s="16">
        <f t="shared" si="11"/>
        <v>123</v>
      </c>
      <c r="C128" s="16">
        <f t="shared" si="11"/>
        <v>0</v>
      </c>
      <c r="D128" s="16">
        <f t="shared" si="11"/>
        <v>181</v>
      </c>
      <c r="E128" s="16">
        <f t="shared" si="11"/>
        <v>1</v>
      </c>
      <c r="F128" s="16">
        <f t="shared" si="11"/>
        <v>2433</v>
      </c>
      <c r="G128" s="16">
        <f t="shared" si="11"/>
        <v>0</v>
      </c>
      <c r="H128" s="16">
        <f t="shared" si="11"/>
        <v>0</v>
      </c>
      <c r="I128" s="16">
        <f t="shared" si="11"/>
        <v>0</v>
      </c>
      <c r="J128" s="16">
        <f t="shared" si="11"/>
        <v>0</v>
      </c>
      <c r="K128" s="16">
        <f t="shared" si="11"/>
        <v>1</v>
      </c>
    </row>
    <row r="129" spans="1:11">
      <c r="A129" s="15" t="str">
        <f t="shared" si="5"/>
        <v>01841</v>
      </c>
      <c r="B129" s="16">
        <f t="shared" si="11"/>
        <v>123</v>
      </c>
      <c r="C129" s="16">
        <f t="shared" si="11"/>
        <v>0</v>
      </c>
      <c r="D129" s="16">
        <f t="shared" si="11"/>
        <v>184</v>
      </c>
      <c r="E129" s="16">
        <f t="shared" si="11"/>
        <v>1</v>
      </c>
      <c r="F129" s="16">
        <f t="shared" si="11"/>
        <v>2433</v>
      </c>
      <c r="G129" s="16">
        <f t="shared" si="11"/>
        <v>0</v>
      </c>
      <c r="H129" s="16">
        <f t="shared" si="11"/>
        <v>0</v>
      </c>
      <c r="I129" s="16">
        <f t="shared" si="11"/>
        <v>0</v>
      </c>
      <c r="J129" s="16">
        <f t="shared" si="11"/>
        <v>0</v>
      </c>
      <c r="K129" s="16">
        <f t="shared" si="11"/>
        <v>1</v>
      </c>
    </row>
    <row r="130" spans="1:11">
      <c r="A130" s="15" t="str">
        <f t="shared" si="5"/>
        <v>01871</v>
      </c>
      <c r="B130" s="16">
        <f t="shared" si="11"/>
        <v>123</v>
      </c>
      <c r="C130" s="16">
        <f t="shared" si="11"/>
        <v>0</v>
      </c>
      <c r="D130" s="16">
        <f t="shared" si="11"/>
        <v>187</v>
      </c>
      <c r="E130" s="16">
        <f t="shared" si="11"/>
        <v>1</v>
      </c>
      <c r="F130" s="16">
        <f t="shared" si="11"/>
        <v>2433</v>
      </c>
      <c r="G130" s="16">
        <f t="shared" si="11"/>
        <v>0</v>
      </c>
      <c r="H130" s="16">
        <f t="shared" si="11"/>
        <v>0</v>
      </c>
      <c r="I130" s="16">
        <f t="shared" si="11"/>
        <v>0</v>
      </c>
      <c r="J130" s="16">
        <f t="shared" si="11"/>
        <v>0</v>
      </c>
      <c r="K130" s="16">
        <f t="shared" si="11"/>
        <v>1</v>
      </c>
    </row>
    <row r="131" spans="1:11">
      <c r="A131" s="15" t="str">
        <f t="shared" ref="A131:A194" si="12">INDIRECT(ADDRESS(ROW()+$A$1,COLUMN(),1,TRUE,$C$1))</f>
        <v>01901</v>
      </c>
      <c r="B131" s="16">
        <f t="shared" si="11"/>
        <v>123</v>
      </c>
      <c r="C131" s="16">
        <f t="shared" si="11"/>
        <v>0</v>
      </c>
      <c r="D131" s="16">
        <f t="shared" si="11"/>
        <v>190</v>
      </c>
      <c r="E131" s="16">
        <f t="shared" si="11"/>
        <v>1</v>
      </c>
      <c r="F131" s="16">
        <f t="shared" si="11"/>
        <v>2433</v>
      </c>
      <c r="G131" s="16">
        <f t="shared" si="11"/>
        <v>0</v>
      </c>
      <c r="H131" s="16">
        <f t="shared" si="11"/>
        <v>0</v>
      </c>
      <c r="I131" s="16">
        <f t="shared" si="11"/>
        <v>0</v>
      </c>
      <c r="J131" s="16">
        <f t="shared" si="11"/>
        <v>0</v>
      </c>
      <c r="K131" s="16">
        <f t="shared" si="11"/>
        <v>1</v>
      </c>
    </row>
    <row r="132" spans="1:11">
      <c r="A132" s="15" t="str">
        <f t="shared" si="12"/>
        <v>01931</v>
      </c>
      <c r="B132" s="16">
        <f t="shared" si="11"/>
        <v>123</v>
      </c>
      <c r="C132" s="16">
        <f t="shared" si="11"/>
        <v>0</v>
      </c>
      <c r="D132" s="16">
        <f t="shared" si="11"/>
        <v>193</v>
      </c>
      <c r="E132" s="16">
        <f t="shared" si="11"/>
        <v>1</v>
      </c>
      <c r="F132" s="16">
        <f t="shared" si="11"/>
        <v>2433</v>
      </c>
      <c r="G132" s="16">
        <f t="shared" si="11"/>
        <v>0</v>
      </c>
      <c r="H132" s="16">
        <f t="shared" si="11"/>
        <v>0</v>
      </c>
      <c r="I132" s="16">
        <f t="shared" si="11"/>
        <v>0</v>
      </c>
      <c r="J132" s="16">
        <f t="shared" si="11"/>
        <v>0</v>
      </c>
      <c r="K132" s="16">
        <f t="shared" si="11"/>
        <v>1</v>
      </c>
    </row>
    <row r="133" spans="1:11">
      <c r="A133" s="15" t="str">
        <f t="shared" si="12"/>
        <v>01961</v>
      </c>
      <c r="B133" s="16">
        <f t="shared" si="11"/>
        <v>123</v>
      </c>
      <c r="C133" s="16">
        <f t="shared" si="11"/>
        <v>0</v>
      </c>
      <c r="D133" s="16">
        <f t="shared" si="11"/>
        <v>196</v>
      </c>
      <c r="E133" s="16">
        <f t="shared" si="11"/>
        <v>1</v>
      </c>
      <c r="F133" s="16">
        <f t="shared" si="11"/>
        <v>2433</v>
      </c>
      <c r="G133" s="16">
        <f t="shared" si="11"/>
        <v>0</v>
      </c>
      <c r="H133" s="16">
        <f t="shared" si="11"/>
        <v>0</v>
      </c>
      <c r="I133" s="16">
        <f t="shared" si="11"/>
        <v>0</v>
      </c>
      <c r="J133" s="16">
        <f t="shared" si="11"/>
        <v>0</v>
      </c>
      <c r="K133" s="16">
        <f t="shared" si="11"/>
        <v>1</v>
      </c>
    </row>
    <row r="134" spans="1:11">
      <c r="A134" s="15" t="str">
        <f t="shared" si="12"/>
        <v>01991</v>
      </c>
      <c r="B134" s="16">
        <f t="shared" si="11"/>
        <v>123</v>
      </c>
      <c r="C134" s="16">
        <f t="shared" si="11"/>
        <v>0</v>
      </c>
      <c r="D134" s="16">
        <f t="shared" si="11"/>
        <v>199</v>
      </c>
      <c r="E134" s="16">
        <f t="shared" si="11"/>
        <v>1</v>
      </c>
      <c r="F134" s="16">
        <f t="shared" si="11"/>
        <v>2433</v>
      </c>
      <c r="G134" s="16">
        <f t="shared" si="11"/>
        <v>0</v>
      </c>
      <c r="H134" s="16">
        <f t="shared" si="11"/>
        <v>0</v>
      </c>
      <c r="I134" s="16">
        <f t="shared" si="11"/>
        <v>0</v>
      </c>
      <c r="J134" s="16">
        <f t="shared" si="11"/>
        <v>0</v>
      </c>
      <c r="K134" s="16">
        <f t="shared" si="11"/>
        <v>1</v>
      </c>
    </row>
    <row r="135" spans="1:11">
      <c r="A135" s="15" t="str">
        <f t="shared" si="12"/>
        <v>02021</v>
      </c>
      <c r="B135" s="16">
        <f t="shared" si="11"/>
        <v>123</v>
      </c>
      <c r="C135" s="16">
        <f t="shared" si="11"/>
        <v>0</v>
      </c>
      <c r="D135" s="16">
        <f t="shared" si="11"/>
        <v>202</v>
      </c>
      <c r="E135" s="16">
        <f t="shared" si="11"/>
        <v>1</v>
      </c>
      <c r="F135" s="16">
        <f t="shared" si="11"/>
        <v>2433</v>
      </c>
      <c r="G135" s="16">
        <f t="shared" si="11"/>
        <v>0</v>
      </c>
      <c r="H135" s="16">
        <f t="shared" si="11"/>
        <v>0</v>
      </c>
      <c r="I135" s="16">
        <f t="shared" si="11"/>
        <v>0</v>
      </c>
      <c r="J135" s="16">
        <f t="shared" si="11"/>
        <v>0</v>
      </c>
      <c r="K135" s="16">
        <f t="shared" si="11"/>
        <v>1</v>
      </c>
    </row>
    <row r="136" spans="1:11">
      <c r="A136" s="15" t="str">
        <f t="shared" si="12"/>
        <v>02051</v>
      </c>
      <c r="B136" s="16">
        <f t="shared" si="11"/>
        <v>123</v>
      </c>
      <c r="C136" s="16">
        <f t="shared" si="11"/>
        <v>0</v>
      </c>
      <c r="D136" s="16">
        <f t="shared" si="11"/>
        <v>205</v>
      </c>
      <c r="E136" s="16">
        <f t="shared" si="11"/>
        <v>1</v>
      </c>
      <c r="F136" s="16">
        <f t="shared" si="11"/>
        <v>2433</v>
      </c>
      <c r="G136" s="16">
        <f t="shared" si="11"/>
        <v>0</v>
      </c>
      <c r="H136" s="16">
        <f t="shared" si="11"/>
        <v>0</v>
      </c>
      <c r="I136" s="16">
        <f t="shared" si="11"/>
        <v>0</v>
      </c>
      <c r="J136" s="16">
        <f t="shared" si="11"/>
        <v>0</v>
      </c>
      <c r="K136" s="16">
        <f t="shared" si="11"/>
        <v>1</v>
      </c>
    </row>
    <row r="137" spans="1:11">
      <c r="A137" s="15" t="str">
        <f t="shared" si="12"/>
        <v>02081</v>
      </c>
      <c r="B137" s="16">
        <f t="shared" si="11"/>
        <v>123</v>
      </c>
      <c r="C137" s="16">
        <f t="shared" si="11"/>
        <v>0</v>
      </c>
      <c r="D137" s="16">
        <f t="shared" si="11"/>
        <v>208</v>
      </c>
      <c r="E137" s="16">
        <f t="shared" si="11"/>
        <v>1</v>
      </c>
      <c r="F137" s="16">
        <f t="shared" si="11"/>
        <v>2433</v>
      </c>
      <c r="G137" s="16">
        <f t="shared" si="11"/>
        <v>0</v>
      </c>
      <c r="H137" s="16">
        <f t="shared" si="11"/>
        <v>0</v>
      </c>
      <c r="I137" s="16">
        <f t="shared" si="11"/>
        <v>0</v>
      </c>
      <c r="J137" s="16">
        <f t="shared" si="11"/>
        <v>0</v>
      </c>
      <c r="K137" s="16">
        <f t="shared" si="11"/>
        <v>1</v>
      </c>
    </row>
    <row r="138" spans="1:11">
      <c r="A138" s="15" t="str">
        <f t="shared" si="12"/>
        <v>02111</v>
      </c>
      <c r="B138" s="16">
        <f t="shared" si="11"/>
        <v>123</v>
      </c>
      <c r="C138" s="16">
        <f t="shared" si="11"/>
        <v>0</v>
      </c>
      <c r="D138" s="16">
        <f t="shared" si="11"/>
        <v>211</v>
      </c>
      <c r="E138" s="16">
        <f t="shared" si="11"/>
        <v>1</v>
      </c>
      <c r="F138" s="16">
        <f t="shared" si="11"/>
        <v>2433</v>
      </c>
      <c r="G138" s="16">
        <f t="shared" si="11"/>
        <v>0</v>
      </c>
      <c r="H138" s="16">
        <f t="shared" si="11"/>
        <v>0</v>
      </c>
      <c r="I138" s="16">
        <f t="shared" si="11"/>
        <v>0</v>
      </c>
      <c r="J138" s="16">
        <f t="shared" si="11"/>
        <v>0</v>
      </c>
      <c r="K138" s="16">
        <f t="shared" si="11"/>
        <v>1</v>
      </c>
    </row>
    <row r="139" spans="1:11">
      <c r="A139" s="15" t="str">
        <f t="shared" si="12"/>
        <v>02141</v>
      </c>
      <c r="B139" s="16">
        <f t="shared" si="11"/>
        <v>123</v>
      </c>
      <c r="C139" s="16">
        <f t="shared" si="11"/>
        <v>0</v>
      </c>
      <c r="D139" s="16">
        <f t="shared" si="11"/>
        <v>214</v>
      </c>
      <c r="E139" s="16">
        <f t="shared" si="11"/>
        <v>1</v>
      </c>
      <c r="F139" s="16">
        <f t="shared" si="11"/>
        <v>2433</v>
      </c>
      <c r="G139" s="16">
        <f t="shared" si="11"/>
        <v>0</v>
      </c>
      <c r="H139" s="16">
        <f t="shared" si="11"/>
        <v>0</v>
      </c>
      <c r="I139" s="16">
        <f t="shared" si="11"/>
        <v>0</v>
      </c>
      <c r="J139" s="16">
        <f t="shared" si="11"/>
        <v>0</v>
      </c>
      <c r="K139" s="16">
        <f t="shared" si="11"/>
        <v>1</v>
      </c>
    </row>
    <row r="140" spans="1:11">
      <c r="A140" s="15" t="str">
        <f t="shared" si="12"/>
        <v>02171</v>
      </c>
      <c r="B140" s="16">
        <f t="shared" si="11"/>
        <v>123</v>
      </c>
      <c r="C140" s="16">
        <f t="shared" si="11"/>
        <v>0</v>
      </c>
      <c r="D140" s="16">
        <f t="shared" si="11"/>
        <v>217</v>
      </c>
      <c r="E140" s="16">
        <f t="shared" si="11"/>
        <v>1</v>
      </c>
      <c r="F140" s="16">
        <f t="shared" si="11"/>
        <v>2433</v>
      </c>
      <c r="G140" s="16">
        <f t="shared" si="11"/>
        <v>0</v>
      </c>
      <c r="H140" s="16">
        <f t="shared" si="11"/>
        <v>0</v>
      </c>
      <c r="I140" s="16">
        <f t="shared" si="11"/>
        <v>0</v>
      </c>
      <c r="J140" s="16">
        <f t="shared" si="11"/>
        <v>0</v>
      </c>
      <c r="K140" s="16">
        <f t="shared" si="11"/>
        <v>1</v>
      </c>
    </row>
    <row r="141" spans="1:11">
      <c r="A141" s="15" t="str">
        <f t="shared" si="12"/>
        <v>02201</v>
      </c>
      <c r="B141" s="16">
        <f t="shared" si="11"/>
        <v>123</v>
      </c>
      <c r="C141" s="16">
        <f t="shared" si="11"/>
        <v>0</v>
      </c>
      <c r="D141" s="16">
        <f t="shared" si="11"/>
        <v>220</v>
      </c>
      <c r="E141" s="16">
        <f t="shared" si="11"/>
        <v>1</v>
      </c>
      <c r="F141" s="16">
        <f t="shared" si="11"/>
        <v>2433</v>
      </c>
      <c r="G141" s="16">
        <f t="shared" si="11"/>
        <v>0</v>
      </c>
      <c r="H141" s="16">
        <f t="shared" si="11"/>
        <v>0</v>
      </c>
      <c r="I141" s="16">
        <f t="shared" si="11"/>
        <v>0</v>
      </c>
      <c r="J141" s="16">
        <f t="shared" si="11"/>
        <v>0</v>
      </c>
      <c r="K141" s="16">
        <f t="shared" si="11"/>
        <v>1</v>
      </c>
    </row>
    <row r="142" spans="1:11">
      <c r="A142" s="15" t="str">
        <f t="shared" si="12"/>
        <v>02231</v>
      </c>
      <c r="B142" s="16">
        <f t="shared" si="11"/>
        <v>123</v>
      </c>
      <c r="C142" s="16">
        <f t="shared" si="11"/>
        <v>0</v>
      </c>
      <c r="D142" s="16">
        <f t="shared" si="11"/>
        <v>223</v>
      </c>
      <c r="E142" s="16">
        <f t="shared" si="11"/>
        <v>1</v>
      </c>
      <c r="F142" s="16">
        <f t="shared" si="11"/>
        <v>2433</v>
      </c>
      <c r="G142" s="16">
        <f t="shared" si="11"/>
        <v>0</v>
      </c>
      <c r="H142" s="16">
        <f t="shared" si="11"/>
        <v>0</v>
      </c>
      <c r="I142" s="16">
        <f t="shared" si="11"/>
        <v>0</v>
      </c>
      <c r="J142" s="16">
        <f t="shared" si="11"/>
        <v>0</v>
      </c>
      <c r="K142" s="16">
        <f t="shared" si="11"/>
        <v>1</v>
      </c>
    </row>
    <row r="143" spans="1:11">
      <c r="A143" s="15" t="str">
        <f t="shared" si="12"/>
        <v>02261</v>
      </c>
      <c r="B143" s="16">
        <f t="shared" si="11"/>
        <v>123</v>
      </c>
      <c r="C143" s="16">
        <f t="shared" si="11"/>
        <v>0</v>
      </c>
      <c r="D143" s="16">
        <f t="shared" si="11"/>
        <v>226</v>
      </c>
      <c r="E143" s="16">
        <f t="shared" si="11"/>
        <v>1</v>
      </c>
      <c r="F143" s="16">
        <f t="shared" si="11"/>
        <v>228</v>
      </c>
      <c r="G143" s="16">
        <f t="shared" si="11"/>
        <v>0</v>
      </c>
      <c r="H143" s="16">
        <f t="shared" si="11"/>
        <v>0</v>
      </c>
      <c r="I143" s="16">
        <f t="shared" si="11"/>
        <v>0</v>
      </c>
      <c r="J143" s="16">
        <f t="shared" si="11"/>
        <v>0</v>
      </c>
      <c r="K143" s="16">
        <f t="shared" si="11"/>
        <v>1</v>
      </c>
    </row>
    <row r="144" spans="1:11">
      <c r="A144" s="15" t="str">
        <f t="shared" si="12"/>
        <v>02291</v>
      </c>
      <c r="B144" s="16">
        <f t="shared" si="11"/>
        <v>123</v>
      </c>
      <c r="C144" s="16">
        <f t="shared" si="11"/>
        <v>0</v>
      </c>
      <c r="D144" s="16">
        <f t="shared" si="11"/>
        <v>229</v>
      </c>
      <c r="E144" s="16">
        <f t="shared" si="11"/>
        <v>1</v>
      </c>
      <c r="F144" s="16">
        <f t="shared" si="11"/>
        <v>228</v>
      </c>
      <c r="G144" s="16">
        <f t="shared" si="11"/>
        <v>0</v>
      </c>
      <c r="H144" s="16">
        <f t="shared" si="11"/>
        <v>0</v>
      </c>
      <c r="I144" s="16">
        <f t="shared" si="11"/>
        <v>0</v>
      </c>
      <c r="J144" s="16">
        <f t="shared" si="11"/>
        <v>0</v>
      </c>
      <c r="K144" s="16">
        <f t="shared" si="11"/>
        <v>1</v>
      </c>
    </row>
    <row r="145" spans="1:11">
      <c r="A145" s="15" t="str">
        <f t="shared" si="12"/>
        <v>02321</v>
      </c>
      <c r="B145" s="16">
        <f t="shared" si="11"/>
        <v>123</v>
      </c>
      <c r="C145" s="16">
        <f t="shared" si="11"/>
        <v>0</v>
      </c>
      <c r="D145" s="16">
        <f t="shared" si="11"/>
        <v>232</v>
      </c>
      <c r="E145" s="16">
        <f t="shared" si="11"/>
        <v>1</v>
      </c>
      <c r="F145" s="16">
        <f t="shared" si="11"/>
        <v>228</v>
      </c>
      <c r="G145" s="16">
        <f t="shared" si="11"/>
        <v>0</v>
      </c>
      <c r="H145" s="16">
        <f t="shared" si="11"/>
        <v>0</v>
      </c>
      <c r="I145" s="16">
        <f t="shared" si="11"/>
        <v>0</v>
      </c>
      <c r="J145" s="16">
        <f t="shared" si="11"/>
        <v>0</v>
      </c>
      <c r="K145" s="16">
        <f t="shared" si="11"/>
        <v>1</v>
      </c>
    </row>
    <row r="146" spans="1:11">
      <c r="A146" s="15" t="str">
        <f t="shared" si="12"/>
        <v>02351</v>
      </c>
      <c r="B146" s="16">
        <f t="shared" si="11"/>
        <v>123</v>
      </c>
      <c r="C146" s="16">
        <f t="shared" si="11"/>
        <v>0</v>
      </c>
      <c r="D146" s="16">
        <f t="shared" si="11"/>
        <v>235</v>
      </c>
      <c r="E146" s="16">
        <f t="shared" si="11"/>
        <v>1</v>
      </c>
      <c r="F146" s="16">
        <f t="shared" si="11"/>
        <v>228</v>
      </c>
      <c r="G146" s="16">
        <f t="shared" si="11"/>
        <v>0</v>
      </c>
      <c r="H146" s="16">
        <f t="shared" si="11"/>
        <v>0</v>
      </c>
      <c r="I146" s="16">
        <f t="shared" si="11"/>
        <v>0</v>
      </c>
      <c r="J146" s="16">
        <f t="shared" si="11"/>
        <v>0</v>
      </c>
      <c r="K146" s="16">
        <f t="shared" si="11"/>
        <v>1</v>
      </c>
    </row>
    <row r="147" spans="1:11">
      <c r="A147" s="15" t="str">
        <f t="shared" si="12"/>
        <v>01271</v>
      </c>
      <c r="B147" s="16">
        <f t="shared" si="11"/>
        <v>123</v>
      </c>
      <c r="C147" s="16">
        <f t="shared" si="11"/>
        <v>0</v>
      </c>
      <c r="D147" s="16">
        <f t="shared" si="11"/>
        <v>127</v>
      </c>
      <c r="E147" s="16">
        <f t="shared" si="11"/>
        <v>1</v>
      </c>
      <c r="F147" s="16">
        <f t="shared" si="11"/>
        <v>806</v>
      </c>
      <c r="G147" s="16">
        <f t="shared" si="11"/>
        <v>0</v>
      </c>
      <c r="H147" s="16">
        <f t="shared" si="11"/>
        <v>0</v>
      </c>
      <c r="I147" s="16">
        <f t="shared" si="11"/>
        <v>0</v>
      </c>
      <c r="J147" s="16">
        <f t="shared" si="11"/>
        <v>0</v>
      </c>
      <c r="K147" s="16">
        <f t="shared" si="11"/>
        <v>1</v>
      </c>
    </row>
    <row r="148" spans="1:11">
      <c r="A148" s="15" t="str">
        <f t="shared" si="12"/>
        <v>01291</v>
      </c>
      <c r="B148" s="16">
        <f t="shared" si="11"/>
        <v>123</v>
      </c>
      <c r="C148" s="16">
        <f t="shared" si="11"/>
        <v>0</v>
      </c>
      <c r="D148" s="16">
        <f t="shared" si="11"/>
        <v>129</v>
      </c>
      <c r="E148" s="16">
        <f t="shared" si="11"/>
        <v>1</v>
      </c>
      <c r="F148" s="16">
        <f t="shared" si="11"/>
        <v>806</v>
      </c>
      <c r="G148" s="16">
        <f t="shared" ref="G148:K148" si="13">VLOOKUP($A148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8" s="16">
        <f t="shared" si="13"/>
        <v>0</v>
      </c>
      <c r="I148" s="16">
        <f t="shared" si="13"/>
        <v>0</v>
      </c>
      <c r="J148" s="16">
        <f t="shared" si="13"/>
        <v>0</v>
      </c>
      <c r="K148" s="16">
        <f t="shared" si="13"/>
        <v>1</v>
      </c>
    </row>
    <row r="149" spans="1:11">
      <c r="A149" s="15" t="str">
        <f t="shared" si="12"/>
        <v>01311</v>
      </c>
      <c r="B149" s="16">
        <f t="shared" ref="B149:K174" si="14">VLOOKUP($A149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149" s="16">
        <f t="shared" si="14"/>
        <v>0</v>
      </c>
      <c r="D149" s="16">
        <f t="shared" si="14"/>
        <v>131</v>
      </c>
      <c r="E149" s="16">
        <f t="shared" si="14"/>
        <v>1</v>
      </c>
      <c r="F149" s="16">
        <f t="shared" si="14"/>
        <v>806</v>
      </c>
      <c r="G149" s="16">
        <f t="shared" si="14"/>
        <v>0</v>
      </c>
      <c r="H149" s="16">
        <f t="shared" si="14"/>
        <v>0</v>
      </c>
      <c r="I149" s="16">
        <f t="shared" si="14"/>
        <v>0</v>
      </c>
      <c r="J149" s="16">
        <f t="shared" si="14"/>
        <v>0</v>
      </c>
      <c r="K149" s="16">
        <f t="shared" si="14"/>
        <v>1</v>
      </c>
    </row>
    <row r="150" spans="1:11">
      <c r="A150" s="15" t="str">
        <f t="shared" si="12"/>
        <v>01331</v>
      </c>
      <c r="B150" s="16">
        <f t="shared" si="14"/>
        <v>123</v>
      </c>
      <c r="C150" s="16">
        <f t="shared" si="14"/>
        <v>0</v>
      </c>
      <c r="D150" s="16">
        <f t="shared" si="14"/>
        <v>133</v>
      </c>
      <c r="E150" s="16">
        <f t="shared" si="14"/>
        <v>1</v>
      </c>
      <c r="F150" s="16">
        <f t="shared" si="14"/>
        <v>806</v>
      </c>
      <c r="G150" s="16">
        <f t="shared" si="14"/>
        <v>0</v>
      </c>
      <c r="H150" s="16">
        <f t="shared" si="14"/>
        <v>0</v>
      </c>
      <c r="I150" s="16">
        <f t="shared" si="14"/>
        <v>0</v>
      </c>
      <c r="J150" s="16">
        <f t="shared" si="14"/>
        <v>0</v>
      </c>
      <c r="K150" s="16">
        <f t="shared" si="14"/>
        <v>1</v>
      </c>
    </row>
    <row r="151" spans="1:11">
      <c r="A151" s="15" t="str">
        <f t="shared" si="12"/>
        <v>01351</v>
      </c>
      <c r="B151" s="16">
        <f t="shared" si="14"/>
        <v>123</v>
      </c>
      <c r="C151" s="16">
        <f t="shared" si="14"/>
        <v>0</v>
      </c>
      <c r="D151" s="16">
        <f t="shared" si="14"/>
        <v>135</v>
      </c>
      <c r="E151" s="16">
        <f t="shared" si="14"/>
        <v>1</v>
      </c>
      <c r="F151" s="16">
        <f t="shared" si="14"/>
        <v>806</v>
      </c>
      <c r="G151" s="16">
        <f t="shared" si="14"/>
        <v>0</v>
      </c>
      <c r="H151" s="16">
        <f t="shared" si="14"/>
        <v>0</v>
      </c>
      <c r="I151" s="16">
        <f t="shared" si="14"/>
        <v>0</v>
      </c>
      <c r="J151" s="16">
        <f t="shared" si="14"/>
        <v>0</v>
      </c>
      <c r="K151" s="16">
        <f t="shared" si="14"/>
        <v>1</v>
      </c>
    </row>
    <row r="152" spans="1:11">
      <c r="A152" s="15" t="str">
        <f t="shared" si="12"/>
        <v>01371</v>
      </c>
      <c r="B152" s="16">
        <f t="shared" si="14"/>
        <v>123</v>
      </c>
      <c r="C152" s="16">
        <f t="shared" si="14"/>
        <v>0</v>
      </c>
      <c r="D152" s="16">
        <f t="shared" si="14"/>
        <v>137</v>
      </c>
      <c r="E152" s="16">
        <f t="shared" si="14"/>
        <v>1</v>
      </c>
      <c r="F152" s="16">
        <f t="shared" si="14"/>
        <v>806</v>
      </c>
      <c r="G152" s="16">
        <f t="shared" si="14"/>
        <v>0</v>
      </c>
      <c r="H152" s="16">
        <f t="shared" si="14"/>
        <v>0</v>
      </c>
      <c r="I152" s="16">
        <f t="shared" si="14"/>
        <v>0</v>
      </c>
      <c r="J152" s="16">
        <f t="shared" si="14"/>
        <v>0</v>
      </c>
      <c r="K152" s="16">
        <f t="shared" si="14"/>
        <v>1</v>
      </c>
    </row>
    <row r="153" spans="1:11">
      <c r="A153" s="15" t="str">
        <f t="shared" si="12"/>
        <v>01391</v>
      </c>
      <c r="B153" s="16">
        <f t="shared" si="14"/>
        <v>123</v>
      </c>
      <c r="C153" s="16">
        <f t="shared" si="14"/>
        <v>0</v>
      </c>
      <c r="D153" s="16">
        <f t="shared" si="14"/>
        <v>139</v>
      </c>
      <c r="E153" s="16">
        <f t="shared" si="14"/>
        <v>1</v>
      </c>
      <c r="F153" s="16">
        <f t="shared" si="14"/>
        <v>806</v>
      </c>
      <c r="G153" s="16">
        <f t="shared" si="14"/>
        <v>0</v>
      </c>
      <c r="H153" s="16">
        <f t="shared" si="14"/>
        <v>0</v>
      </c>
      <c r="I153" s="16">
        <f t="shared" si="14"/>
        <v>0</v>
      </c>
      <c r="J153" s="16">
        <f t="shared" si="14"/>
        <v>0</v>
      </c>
      <c r="K153" s="16">
        <f t="shared" si="14"/>
        <v>1</v>
      </c>
    </row>
    <row r="154" spans="1:11">
      <c r="A154" s="15" t="str">
        <f t="shared" si="12"/>
        <v>01411</v>
      </c>
      <c r="B154" s="16">
        <f t="shared" si="14"/>
        <v>123</v>
      </c>
      <c r="C154" s="16">
        <f t="shared" si="14"/>
        <v>0</v>
      </c>
      <c r="D154" s="16">
        <f t="shared" si="14"/>
        <v>141</v>
      </c>
      <c r="E154" s="16">
        <f t="shared" si="14"/>
        <v>1</v>
      </c>
      <c r="F154" s="16">
        <f t="shared" si="14"/>
        <v>806</v>
      </c>
      <c r="G154" s="16">
        <f t="shared" si="14"/>
        <v>0</v>
      </c>
      <c r="H154" s="16">
        <f t="shared" si="14"/>
        <v>0</v>
      </c>
      <c r="I154" s="16">
        <f t="shared" si="14"/>
        <v>0</v>
      </c>
      <c r="J154" s="16">
        <f t="shared" si="14"/>
        <v>0</v>
      </c>
      <c r="K154" s="16">
        <f t="shared" si="14"/>
        <v>1</v>
      </c>
    </row>
    <row r="155" spans="1:11">
      <c r="A155" s="15" t="str">
        <f t="shared" si="12"/>
        <v>01431</v>
      </c>
      <c r="B155" s="16">
        <f t="shared" si="14"/>
        <v>123</v>
      </c>
      <c r="C155" s="16">
        <f t="shared" si="14"/>
        <v>0</v>
      </c>
      <c r="D155" s="16">
        <f t="shared" si="14"/>
        <v>143</v>
      </c>
      <c r="E155" s="16">
        <f t="shared" si="14"/>
        <v>1</v>
      </c>
      <c r="F155" s="16">
        <f t="shared" si="14"/>
        <v>806</v>
      </c>
      <c r="G155" s="16">
        <f t="shared" si="14"/>
        <v>0</v>
      </c>
      <c r="H155" s="16">
        <f t="shared" si="14"/>
        <v>0</v>
      </c>
      <c r="I155" s="16">
        <f t="shared" si="14"/>
        <v>0</v>
      </c>
      <c r="J155" s="16">
        <f t="shared" si="14"/>
        <v>0</v>
      </c>
      <c r="K155" s="16">
        <f t="shared" si="14"/>
        <v>1</v>
      </c>
    </row>
    <row r="156" spans="1:11">
      <c r="A156" s="15" t="str">
        <f t="shared" si="12"/>
        <v>01451</v>
      </c>
      <c r="B156" s="16">
        <f t="shared" si="14"/>
        <v>123</v>
      </c>
      <c r="C156" s="16">
        <f t="shared" si="14"/>
        <v>0</v>
      </c>
      <c r="D156" s="16">
        <f t="shared" si="14"/>
        <v>145</v>
      </c>
      <c r="E156" s="16">
        <f t="shared" si="14"/>
        <v>1</v>
      </c>
      <c r="F156" s="16">
        <f t="shared" si="14"/>
        <v>806</v>
      </c>
      <c r="G156" s="16">
        <f t="shared" si="14"/>
        <v>0</v>
      </c>
      <c r="H156" s="16">
        <f t="shared" si="14"/>
        <v>0</v>
      </c>
      <c r="I156" s="16">
        <f t="shared" si="14"/>
        <v>0</v>
      </c>
      <c r="J156" s="16">
        <f t="shared" si="14"/>
        <v>0</v>
      </c>
      <c r="K156" s="16">
        <f t="shared" si="14"/>
        <v>1</v>
      </c>
    </row>
    <row r="157" spans="1:11">
      <c r="A157" s="15" t="str">
        <f t="shared" si="12"/>
        <v>01471</v>
      </c>
      <c r="B157" s="16">
        <f t="shared" si="14"/>
        <v>123</v>
      </c>
      <c r="C157" s="16">
        <f t="shared" si="14"/>
        <v>0</v>
      </c>
      <c r="D157" s="16">
        <f t="shared" si="14"/>
        <v>147</v>
      </c>
      <c r="E157" s="16">
        <f t="shared" si="14"/>
        <v>1</v>
      </c>
      <c r="F157" s="16">
        <f t="shared" si="14"/>
        <v>806</v>
      </c>
      <c r="G157" s="16">
        <f t="shared" si="14"/>
        <v>0</v>
      </c>
      <c r="H157" s="16">
        <f t="shared" si="14"/>
        <v>0</v>
      </c>
      <c r="I157" s="16">
        <f t="shared" si="14"/>
        <v>0</v>
      </c>
      <c r="J157" s="16">
        <f t="shared" si="14"/>
        <v>0</v>
      </c>
      <c r="K157" s="16">
        <f t="shared" si="14"/>
        <v>1</v>
      </c>
    </row>
    <row r="158" spans="1:11">
      <c r="A158" s="15" t="str">
        <f t="shared" si="12"/>
        <v>01491</v>
      </c>
      <c r="B158" s="16">
        <f t="shared" si="14"/>
        <v>123</v>
      </c>
      <c r="C158" s="16">
        <f t="shared" si="14"/>
        <v>0</v>
      </c>
      <c r="D158" s="16">
        <f t="shared" si="14"/>
        <v>149</v>
      </c>
      <c r="E158" s="16">
        <f t="shared" si="14"/>
        <v>1</v>
      </c>
      <c r="F158" s="16">
        <f t="shared" si="14"/>
        <v>806</v>
      </c>
      <c r="G158" s="16">
        <f t="shared" si="14"/>
        <v>0</v>
      </c>
      <c r="H158" s="16">
        <f t="shared" si="14"/>
        <v>0</v>
      </c>
      <c r="I158" s="16">
        <f t="shared" si="14"/>
        <v>0</v>
      </c>
      <c r="J158" s="16">
        <f t="shared" si="14"/>
        <v>0</v>
      </c>
      <c r="K158" s="16">
        <f t="shared" si="14"/>
        <v>1</v>
      </c>
    </row>
    <row r="159" spans="1:11">
      <c r="A159" s="15" t="str">
        <f t="shared" si="12"/>
        <v>01511</v>
      </c>
      <c r="B159" s="16">
        <f t="shared" si="14"/>
        <v>123</v>
      </c>
      <c r="C159" s="16">
        <f t="shared" si="14"/>
        <v>0</v>
      </c>
      <c r="D159" s="16">
        <f t="shared" si="14"/>
        <v>151</v>
      </c>
      <c r="E159" s="16">
        <f t="shared" si="14"/>
        <v>1</v>
      </c>
      <c r="F159" s="16">
        <f t="shared" si="14"/>
        <v>806</v>
      </c>
      <c r="G159" s="16">
        <f t="shared" si="14"/>
        <v>0</v>
      </c>
      <c r="H159" s="16">
        <f t="shared" si="14"/>
        <v>0</v>
      </c>
      <c r="I159" s="16">
        <f t="shared" si="14"/>
        <v>0</v>
      </c>
      <c r="J159" s="16">
        <f t="shared" si="14"/>
        <v>0</v>
      </c>
      <c r="K159" s="16">
        <f t="shared" si="14"/>
        <v>1</v>
      </c>
    </row>
    <row r="160" spans="1:11">
      <c r="A160" s="15" t="str">
        <f t="shared" si="12"/>
        <v>01531</v>
      </c>
      <c r="B160" s="16">
        <f t="shared" si="14"/>
        <v>123</v>
      </c>
      <c r="C160" s="16">
        <f t="shared" si="14"/>
        <v>0</v>
      </c>
      <c r="D160" s="16">
        <f t="shared" si="14"/>
        <v>153</v>
      </c>
      <c r="E160" s="16">
        <f t="shared" si="14"/>
        <v>1</v>
      </c>
      <c r="F160" s="16">
        <f t="shared" si="14"/>
        <v>806</v>
      </c>
      <c r="G160" s="16">
        <f t="shared" si="14"/>
        <v>0</v>
      </c>
      <c r="H160" s="16">
        <f t="shared" si="14"/>
        <v>0</v>
      </c>
      <c r="I160" s="16">
        <f t="shared" si="14"/>
        <v>0</v>
      </c>
      <c r="J160" s="16">
        <f t="shared" si="14"/>
        <v>0</v>
      </c>
      <c r="K160" s="16">
        <f t="shared" si="14"/>
        <v>1</v>
      </c>
    </row>
    <row r="161" spans="1:11">
      <c r="A161" s="15" t="str">
        <f t="shared" si="12"/>
        <v>01551</v>
      </c>
      <c r="B161" s="16">
        <f t="shared" si="14"/>
        <v>123</v>
      </c>
      <c r="C161" s="16">
        <f t="shared" si="14"/>
        <v>0</v>
      </c>
      <c r="D161" s="16">
        <f t="shared" si="14"/>
        <v>155</v>
      </c>
      <c r="E161" s="16">
        <f t="shared" si="14"/>
        <v>1</v>
      </c>
      <c r="F161" s="16">
        <f t="shared" si="14"/>
        <v>806</v>
      </c>
      <c r="G161" s="16">
        <f t="shared" si="14"/>
        <v>0</v>
      </c>
      <c r="H161" s="16">
        <f t="shared" si="14"/>
        <v>0</v>
      </c>
      <c r="I161" s="16">
        <f t="shared" si="14"/>
        <v>0</v>
      </c>
      <c r="J161" s="16">
        <f t="shared" si="14"/>
        <v>0</v>
      </c>
      <c r="K161" s="16">
        <f t="shared" si="14"/>
        <v>1</v>
      </c>
    </row>
    <row r="162" spans="1:11">
      <c r="A162" s="15" t="str">
        <f t="shared" si="12"/>
        <v>01571</v>
      </c>
      <c r="B162" s="16">
        <f t="shared" si="14"/>
        <v>123</v>
      </c>
      <c r="C162" s="16">
        <f t="shared" si="14"/>
        <v>0</v>
      </c>
      <c r="D162" s="16">
        <f t="shared" si="14"/>
        <v>157</v>
      </c>
      <c r="E162" s="16">
        <f t="shared" si="14"/>
        <v>1</v>
      </c>
      <c r="F162" s="16">
        <f t="shared" si="14"/>
        <v>806</v>
      </c>
      <c r="G162" s="16">
        <f t="shared" si="14"/>
        <v>0</v>
      </c>
      <c r="H162" s="16">
        <f t="shared" si="14"/>
        <v>0</v>
      </c>
      <c r="I162" s="16">
        <f t="shared" si="14"/>
        <v>0</v>
      </c>
      <c r="J162" s="16">
        <f t="shared" si="14"/>
        <v>0</v>
      </c>
      <c r="K162" s="16">
        <f t="shared" si="14"/>
        <v>1</v>
      </c>
    </row>
    <row r="163" spans="1:11">
      <c r="A163" s="15" t="str">
        <f t="shared" si="12"/>
        <v>01591</v>
      </c>
      <c r="B163" s="16">
        <f t="shared" si="14"/>
        <v>123</v>
      </c>
      <c r="C163" s="16">
        <f t="shared" si="14"/>
        <v>0</v>
      </c>
      <c r="D163" s="16">
        <f t="shared" si="14"/>
        <v>159</v>
      </c>
      <c r="E163" s="16">
        <f t="shared" si="14"/>
        <v>1</v>
      </c>
      <c r="F163" s="16">
        <f t="shared" si="14"/>
        <v>806</v>
      </c>
      <c r="G163" s="16">
        <f t="shared" si="14"/>
        <v>0</v>
      </c>
      <c r="H163" s="16">
        <f t="shared" si="14"/>
        <v>0</v>
      </c>
      <c r="I163" s="16">
        <f t="shared" si="14"/>
        <v>0</v>
      </c>
      <c r="J163" s="16">
        <f t="shared" si="14"/>
        <v>0</v>
      </c>
      <c r="K163" s="16">
        <f t="shared" si="14"/>
        <v>1</v>
      </c>
    </row>
    <row r="164" spans="1:11">
      <c r="A164" s="15" t="str">
        <f t="shared" si="12"/>
        <v>01611</v>
      </c>
      <c r="B164" s="16">
        <f t="shared" si="14"/>
        <v>123</v>
      </c>
      <c r="C164" s="16">
        <f t="shared" si="14"/>
        <v>0</v>
      </c>
      <c r="D164" s="16">
        <f t="shared" si="14"/>
        <v>161</v>
      </c>
      <c r="E164" s="16">
        <f t="shared" si="14"/>
        <v>1</v>
      </c>
      <c r="F164" s="16">
        <f t="shared" si="14"/>
        <v>806</v>
      </c>
      <c r="G164" s="16">
        <f t="shared" si="14"/>
        <v>0</v>
      </c>
      <c r="H164" s="16">
        <f t="shared" si="14"/>
        <v>0</v>
      </c>
      <c r="I164" s="16">
        <f t="shared" si="14"/>
        <v>0</v>
      </c>
      <c r="J164" s="16">
        <f t="shared" si="14"/>
        <v>0</v>
      </c>
      <c r="K164" s="16">
        <f t="shared" si="14"/>
        <v>1</v>
      </c>
    </row>
    <row r="165" spans="1:11">
      <c r="A165" s="15" t="str">
        <f t="shared" si="12"/>
        <v>01631</v>
      </c>
      <c r="B165" s="16">
        <f t="shared" si="14"/>
        <v>123</v>
      </c>
      <c r="C165" s="16">
        <f t="shared" si="14"/>
        <v>0</v>
      </c>
      <c r="D165" s="16">
        <f t="shared" si="14"/>
        <v>163</v>
      </c>
      <c r="E165" s="16">
        <f t="shared" si="14"/>
        <v>1</v>
      </c>
      <c r="F165" s="16">
        <f t="shared" si="14"/>
        <v>806</v>
      </c>
      <c r="G165" s="16">
        <f t="shared" si="14"/>
        <v>0</v>
      </c>
      <c r="H165" s="16">
        <f t="shared" si="14"/>
        <v>0</v>
      </c>
      <c r="I165" s="16">
        <f t="shared" si="14"/>
        <v>0</v>
      </c>
      <c r="J165" s="16">
        <f t="shared" si="14"/>
        <v>0</v>
      </c>
      <c r="K165" s="16">
        <f t="shared" si="14"/>
        <v>1</v>
      </c>
    </row>
    <row r="166" spans="1:11">
      <c r="A166" s="15" t="str">
        <f t="shared" si="12"/>
        <v>01651</v>
      </c>
      <c r="B166" s="16">
        <f t="shared" si="14"/>
        <v>123</v>
      </c>
      <c r="C166" s="16">
        <f t="shared" si="14"/>
        <v>0</v>
      </c>
      <c r="D166" s="16">
        <f t="shared" si="14"/>
        <v>165</v>
      </c>
      <c r="E166" s="16">
        <f t="shared" si="14"/>
        <v>1</v>
      </c>
      <c r="F166" s="16">
        <f t="shared" si="14"/>
        <v>806</v>
      </c>
      <c r="G166" s="16">
        <f t="shared" si="14"/>
        <v>0</v>
      </c>
      <c r="H166" s="16">
        <f t="shared" si="14"/>
        <v>0</v>
      </c>
      <c r="I166" s="16">
        <f t="shared" si="14"/>
        <v>0</v>
      </c>
      <c r="J166" s="16">
        <f t="shared" si="14"/>
        <v>0</v>
      </c>
      <c r="K166" s="16">
        <f t="shared" si="14"/>
        <v>1</v>
      </c>
    </row>
    <row r="167" spans="1:11">
      <c r="A167" s="15" t="str">
        <f t="shared" si="12"/>
        <v>01671</v>
      </c>
      <c r="B167" s="16">
        <f t="shared" si="14"/>
        <v>123</v>
      </c>
      <c r="C167" s="16">
        <f t="shared" si="14"/>
        <v>0</v>
      </c>
      <c r="D167" s="16">
        <f t="shared" si="14"/>
        <v>167</v>
      </c>
      <c r="E167" s="16">
        <f t="shared" si="14"/>
        <v>1</v>
      </c>
      <c r="F167" s="16">
        <f t="shared" si="14"/>
        <v>715</v>
      </c>
      <c r="G167" s="16">
        <f t="shared" si="14"/>
        <v>0</v>
      </c>
      <c r="H167" s="16">
        <f t="shared" si="14"/>
        <v>0</v>
      </c>
      <c r="I167" s="16">
        <f t="shared" si="14"/>
        <v>0</v>
      </c>
      <c r="J167" s="16">
        <f t="shared" si="14"/>
        <v>0</v>
      </c>
      <c r="K167" s="16">
        <f t="shared" si="14"/>
        <v>1</v>
      </c>
    </row>
    <row r="168" spans="1:11">
      <c r="A168" s="15" t="str">
        <f t="shared" si="12"/>
        <v>01701</v>
      </c>
      <c r="B168" s="16">
        <f t="shared" si="14"/>
        <v>123</v>
      </c>
      <c r="C168" s="16">
        <f t="shared" si="14"/>
        <v>0</v>
      </c>
      <c r="D168" s="16">
        <f t="shared" si="14"/>
        <v>170</v>
      </c>
      <c r="E168" s="16">
        <f t="shared" si="14"/>
        <v>1</v>
      </c>
      <c r="F168" s="16">
        <f t="shared" si="14"/>
        <v>715</v>
      </c>
      <c r="G168" s="16">
        <f t="shared" si="14"/>
        <v>0</v>
      </c>
      <c r="H168" s="16">
        <f t="shared" si="14"/>
        <v>0</v>
      </c>
      <c r="I168" s="16">
        <f t="shared" si="14"/>
        <v>0</v>
      </c>
      <c r="J168" s="16">
        <f t="shared" si="14"/>
        <v>0</v>
      </c>
      <c r="K168" s="16">
        <f t="shared" si="14"/>
        <v>1</v>
      </c>
    </row>
    <row r="169" spans="1:11">
      <c r="A169" s="15" t="str">
        <f t="shared" si="12"/>
        <v>01731</v>
      </c>
      <c r="B169" s="16">
        <f t="shared" si="14"/>
        <v>123</v>
      </c>
      <c r="C169" s="16">
        <f t="shared" si="14"/>
        <v>0</v>
      </c>
      <c r="D169" s="16">
        <f t="shared" si="14"/>
        <v>173</v>
      </c>
      <c r="E169" s="16">
        <f t="shared" si="14"/>
        <v>1</v>
      </c>
      <c r="F169" s="16">
        <f t="shared" si="14"/>
        <v>715</v>
      </c>
      <c r="G169" s="16">
        <f t="shared" si="14"/>
        <v>0</v>
      </c>
      <c r="H169" s="16">
        <f t="shared" si="14"/>
        <v>0</v>
      </c>
      <c r="I169" s="16">
        <f t="shared" si="14"/>
        <v>0</v>
      </c>
      <c r="J169" s="16">
        <f t="shared" si="14"/>
        <v>0</v>
      </c>
      <c r="K169" s="16">
        <f t="shared" si="14"/>
        <v>1</v>
      </c>
    </row>
    <row r="170" spans="1:11">
      <c r="A170" s="15" t="str">
        <f t="shared" si="12"/>
        <v>01761</v>
      </c>
      <c r="B170" s="16">
        <f t="shared" si="14"/>
        <v>123</v>
      </c>
      <c r="C170" s="16">
        <f t="shared" si="14"/>
        <v>0</v>
      </c>
      <c r="D170" s="16">
        <f t="shared" si="14"/>
        <v>176</v>
      </c>
      <c r="E170" s="16">
        <f t="shared" si="14"/>
        <v>1</v>
      </c>
      <c r="F170" s="16">
        <f t="shared" si="14"/>
        <v>715</v>
      </c>
      <c r="G170" s="16">
        <f t="shared" si="14"/>
        <v>0</v>
      </c>
      <c r="H170" s="16">
        <f t="shared" si="14"/>
        <v>0</v>
      </c>
      <c r="I170" s="16">
        <f t="shared" si="14"/>
        <v>0</v>
      </c>
      <c r="J170" s="16">
        <f t="shared" si="14"/>
        <v>0</v>
      </c>
      <c r="K170" s="16">
        <f t="shared" si="14"/>
        <v>1</v>
      </c>
    </row>
    <row r="171" spans="1:11">
      <c r="A171" s="15" t="str">
        <f t="shared" si="12"/>
        <v>01791</v>
      </c>
      <c r="B171" s="16">
        <f t="shared" si="14"/>
        <v>123</v>
      </c>
      <c r="C171" s="16">
        <f t="shared" si="14"/>
        <v>0</v>
      </c>
      <c r="D171" s="16">
        <f t="shared" si="14"/>
        <v>179</v>
      </c>
      <c r="E171" s="16">
        <f t="shared" si="14"/>
        <v>1</v>
      </c>
      <c r="F171" s="16">
        <f t="shared" si="14"/>
        <v>715</v>
      </c>
      <c r="G171" s="16">
        <f t="shared" si="14"/>
        <v>0</v>
      </c>
      <c r="H171" s="16">
        <f t="shared" si="14"/>
        <v>0</v>
      </c>
      <c r="I171" s="16">
        <f t="shared" si="14"/>
        <v>0</v>
      </c>
      <c r="J171" s="16">
        <f t="shared" si="14"/>
        <v>0</v>
      </c>
      <c r="K171" s="16">
        <f t="shared" si="14"/>
        <v>1</v>
      </c>
    </row>
    <row r="172" spans="1:11">
      <c r="A172" s="15" t="str">
        <f t="shared" si="12"/>
        <v>01821</v>
      </c>
      <c r="B172" s="16">
        <f t="shared" si="14"/>
        <v>123</v>
      </c>
      <c r="C172" s="16">
        <f t="shared" si="14"/>
        <v>0</v>
      </c>
      <c r="D172" s="16">
        <f t="shared" si="14"/>
        <v>182</v>
      </c>
      <c r="E172" s="16">
        <f t="shared" si="14"/>
        <v>1</v>
      </c>
      <c r="F172" s="16">
        <f t="shared" si="14"/>
        <v>715</v>
      </c>
      <c r="G172" s="16">
        <f t="shared" si="14"/>
        <v>0</v>
      </c>
      <c r="H172" s="16">
        <f t="shared" si="14"/>
        <v>0</v>
      </c>
      <c r="I172" s="16">
        <f t="shared" si="14"/>
        <v>0</v>
      </c>
      <c r="J172" s="16">
        <f t="shared" si="14"/>
        <v>0</v>
      </c>
      <c r="K172" s="16">
        <f t="shared" si="14"/>
        <v>1</v>
      </c>
    </row>
    <row r="173" spans="1:11">
      <c r="A173" s="15" t="str">
        <f t="shared" si="12"/>
        <v>01851</v>
      </c>
      <c r="B173" s="16">
        <f t="shared" si="14"/>
        <v>123</v>
      </c>
      <c r="C173" s="16">
        <f t="shared" si="14"/>
        <v>0</v>
      </c>
      <c r="D173" s="16">
        <f t="shared" si="14"/>
        <v>185</v>
      </c>
      <c r="E173" s="16">
        <f t="shared" si="14"/>
        <v>1</v>
      </c>
      <c r="F173" s="16">
        <f t="shared" si="14"/>
        <v>715</v>
      </c>
      <c r="G173" s="16">
        <f t="shared" si="14"/>
        <v>0</v>
      </c>
      <c r="H173" s="16">
        <f t="shared" si="14"/>
        <v>0</v>
      </c>
      <c r="I173" s="16">
        <f t="shared" si="14"/>
        <v>0</v>
      </c>
      <c r="J173" s="16">
        <f t="shared" si="14"/>
        <v>0</v>
      </c>
      <c r="K173" s="16">
        <f t="shared" si="14"/>
        <v>1</v>
      </c>
    </row>
    <row r="174" spans="1:11">
      <c r="A174" s="15" t="str">
        <f t="shared" si="12"/>
        <v>01881</v>
      </c>
      <c r="B174" s="16">
        <f t="shared" si="14"/>
        <v>123</v>
      </c>
      <c r="C174" s="16">
        <f t="shared" si="14"/>
        <v>0</v>
      </c>
      <c r="D174" s="16">
        <f t="shared" si="14"/>
        <v>188</v>
      </c>
      <c r="E174" s="16">
        <f t="shared" si="14"/>
        <v>1</v>
      </c>
      <c r="F174" s="16">
        <f t="shared" si="14"/>
        <v>715</v>
      </c>
      <c r="G174" s="16">
        <f t="shared" ref="G174:K174" si="15">VLOOKUP($A174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74" s="16">
        <f t="shared" si="15"/>
        <v>0</v>
      </c>
      <c r="I174" s="16">
        <f t="shared" si="15"/>
        <v>0</v>
      </c>
      <c r="J174" s="16">
        <f t="shared" si="15"/>
        <v>0</v>
      </c>
      <c r="K174" s="16">
        <f t="shared" si="15"/>
        <v>1</v>
      </c>
    </row>
    <row r="175" spans="1:11">
      <c r="A175" s="15" t="str">
        <f t="shared" si="12"/>
        <v>01911</v>
      </c>
      <c r="B175" s="16">
        <f t="shared" ref="B175:K200" si="16">VLOOKUP($A175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175" s="16">
        <f t="shared" si="16"/>
        <v>0</v>
      </c>
      <c r="D175" s="16">
        <f t="shared" si="16"/>
        <v>191</v>
      </c>
      <c r="E175" s="16">
        <f t="shared" si="16"/>
        <v>1</v>
      </c>
      <c r="F175" s="16">
        <f t="shared" si="16"/>
        <v>715</v>
      </c>
      <c r="G175" s="16">
        <f t="shared" si="16"/>
        <v>0</v>
      </c>
      <c r="H175" s="16">
        <f t="shared" si="16"/>
        <v>0</v>
      </c>
      <c r="I175" s="16">
        <f t="shared" si="16"/>
        <v>0</v>
      </c>
      <c r="J175" s="16">
        <f t="shared" si="16"/>
        <v>0</v>
      </c>
      <c r="K175" s="16">
        <f t="shared" si="16"/>
        <v>1</v>
      </c>
    </row>
    <row r="176" spans="1:11">
      <c r="A176" s="15" t="str">
        <f t="shared" si="12"/>
        <v>01941</v>
      </c>
      <c r="B176" s="16">
        <f t="shared" si="16"/>
        <v>123</v>
      </c>
      <c r="C176" s="16">
        <f t="shared" si="16"/>
        <v>0</v>
      </c>
      <c r="D176" s="16">
        <f t="shared" si="16"/>
        <v>194</v>
      </c>
      <c r="E176" s="16">
        <f t="shared" si="16"/>
        <v>1</v>
      </c>
      <c r="F176" s="16">
        <f t="shared" si="16"/>
        <v>715</v>
      </c>
      <c r="G176" s="16">
        <f t="shared" si="16"/>
        <v>0</v>
      </c>
      <c r="H176" s="16">
        <f t="shared" si="16"/>
        <v>0</v>
      </c>
      <c r="I176" s="16">
        <f t="shared" si="16"/>
        <v>0</v>
      </c>
      <c r="J176" s="16">
        <f t="shared" si="16"/>
        <v>0</v>
      </c>
      <c r="K176" s="16">
        <f t="shared" si="16"/>
        <v>1</v>
      </c>
    </row>
    <row r="177" spans="1:11">
      <c r="A177" s="15" t="str">
        <f t="shared" si="12"/>
        <v>01971</v>
      </c>
      <c r="B177" s="16">
        <f t="shared" si="16"/>
        <v>123</v>
      </c>
      <c r="C177" s="16">
        <f t="shared" si="16"/>
        <v>0</v>
      </c>
      <c r="D177" s="16">
        <f t="shared" si="16"/>
        <v>197</v>
      </c>
      <c r="E177" s="16">
        <f t="shared" si="16"/>
        <v>1</v>
      </c>
      <c r="F177" s="16">
        <f t="shared" si="16"/>
        <v>715</v>
      </c>
      <c r="G177" s="16">
        <f t="shared" si="16"/>
        <v>0</v>
      </c>
      <c r="H177" s="16">
        <f t="shared" si="16"/>
        <v>0</v>
      </c>
      <c r="I177" s="16">
        <f t="shared" si="16"/>
        <v>0</v>
      </c>
      <c r="J177" s="16">
        <f t="shared" si="16"/>
        <v>0</v>
      </c>
      <c r="K177" s="16">
        <f t="shared" si="16"/>
        <v>1</v>
      </c>
    </row>
    <row r="178" spans="1:11">
      <c r="A178" s="15" t="str">
        <f t="shared" si="12"/>
        <v>02001</v>
      </c>
      <c r="B178" s="16">
        <f t="shared" si="16"/>
        <v>123</v>
      </c>
      <c r="C178" s="16">
        <f t="shared" si="16"/>
        <v>0</v>
      </c>
      <c r="D178" s="16">
        <f t="shared" si="16"/>
        <v>200</v>
      </c>
      <c r="E178" s="16">
        <f t="shared" si="16"/>
        <v>1</v>
      </c>
      <c r="F178" s="16">
        <f t="shared" si="16"/>
        <v>715</v>
      </c>
      <c r="G178" s="16">
        <f t="shared" si="16"/>
        <v>0</v>
      </c>
      <c r="H178" s="16">
        <f t="shared" si="16"/>
        <v>0</v>
      </c>
      <c r="I178" s="16">
        <f t="shared" si="16"/>
        <v>0</v>
      </c>
      <c r="J178" s="16">
        <f t="shared" si="16"/>
        <v>0</v>
      </c>
      <c r="K178" s="16">
        <f t="shared" si="16"/>
        <v>1</v>
      </c>
    </row>
    <row r="179" spans="1:11">
      <c r="A179" s="15" t="str">
        <f t="shared" si="12"/>
        <v>02031</v>
      </c>
      <c r="B179" s="16">
        <f t="shared" si="16"/>
        <v>123</v>
      </c>
      <c r="C179" s="16">
        <f t="shared" si="16"/>
        <v>0</v>
      </c>
      <c r="D179" s="16">
        <f t="shared" si="16"/>
        <v>203</v>
      </c>
      <c r="E179" s="16">
        <f t="shared" si="16"/>
        <v>1</v>
      </c>
      <c r="F179" s="16">
        <f t="shared" si="16"/>
        <v>715</v>
      </c>
      <c r="G179" s="16">
        <f t="shared" si="16"/>
        <v>0</v>
      </c>
      <c r="H179" s="16">
        <f t="shared" si="16"/>
        <v>0</v>
      </c>
      <c r="I179" s="16">
        <f t="shared" si="16"/>
        <v>0</v>
      </c>
      <c r="J179" s="16">
        <f t="shared" si="16"/>
        <v>0</v>
      </c>
      <c r="K179" s="16">
        <f t="shared" si="16"/>
        <v>1</v>
      </c>
    </row>
    <row r="180" spans="1:11">
      <c r="A180" s="15" t="str">
        <f t="shared" si="12"/>
        <v>02061</v>
      </c>
      <c r="B180" s="16">
        <f t="shared" si="16"/>
        <v>123</v>
      </c>
      <c r="C180" s="16">
        <f t="shared" si="16"/>
        <v>0</v>
      </c>
      <c r="D180" s="16">
        <f t="shared" si="16"/>
        <v>206</v>
      </c>
      <c r="E180" s="16">
        <f t="shared" si="16"/>
        <v>1</v>
      </c>
      <c r="F180" s="16">
        <f t="shared" si="16"/>
        <v>715</v>
      </c>
      <c r="G180" s="16">
        <f t="shared" si="16"/>
        <v>0</v>
      </c>
      <c r="H180" s="16">
        <f t="shared" si="16"/>
        <v>0</v>
      </c>
      <c r="I180" s="16">
        <f t="shared" si="16"/>
        <v>0</v>
      </c>
      <c r="J180" s="16">
        <f t="shared" si="16"/>
        <v>0</v>
      </c>
      <c r="K180" s="16">
        <f t="shared" si="16"/>
        <v>1</v>
      </c>
    </row>
    <row r="181" spans="1:11">
      <c r="A181" s="15" t="str">
        <f t="shared" si="12"/>
        <v>02091</v>
      </c>
      <c r="B181" s="16">
        <f t="shared" si="16"/>
        <v>123</v>
      </c>
      <c r="C181" s="16">
        <f t="shared" si="16"/>
        <v>0</v>
      </c>
      <c r="D181" s="16">
        <f t="shared" si="16"/>
        <v>209</v>
      </c>
      <c r="E181" s="16">
        <f t="shared" si="16"/>
        <v>1</v>
      </c>
      <c r="F181" s="16">
        <f t="shared" si="16"/>
        <v>715</v>
      </c>
      <c r="G181" s="16">
        <f t="shared" si="16"/>
        <v>0</v>
      </c>
      <c r="H181" s="16">
        <f t="shared" si="16"/>
        <v>0</v>
      </c>
      <c r="I181" s="16">
        <f t="shared" si="16"/>
        <v>0</v>
      </c>
      <c r="J181" s="16">
        <f t="shared" si="16"/>
        <v>0</v>
      </c>
      <c r="K181" s="16">
        <f t="shared" si="16"/>
        <v>1</v>
      </c>
    </row>
    <row r="182" spans="1:11">
      <c r="A182" s="15" t="str">
        <f t="shared" si="12"/>
        <v>02121</v>
      </c>
      <c r="B182" s="16">
        <f t="shared" si="16"/>
        <v>123</v>
      </c>
      <c r="C182" s="16">
        <f t="shared" si="16"/>
        <v>0</v>
      </c>
      <c r="D182" s="16">
        <f t="shared" si="16"/>
        <v>212</v>
      </c>
      <c r="E182" s="16">
        <f t="shared" si="16"/>
        <v>1</v>
      </c>
      <c r="F182" s="16">
        <f t="shared" si="16"/>
        <v>715</v>
      </c>
      <c r="G182" s="16">
        <f t="shared" si="16"/>
        <v>0</v>
      </c>
      <c r="H182" s="16">
        <f t="shared" si="16"/>
        <v>0</v>
      </c>
      <c r="I182" s="16">
        <f t="shared" si="16"/>
        <v>0</v>
      </c>
      <c r="J182" s="16">
        <f t="shared" si="16"/>
        <v>0</v>
      </c>
      <c r="K182" s="16">
        <f t="shared" si="16"/>
        <v>1</v>
      </c>
    </row>
    <row r="183" spans="1:11">
      <c r="A183" s="15" t="str">
        <f t="shared" si="12"/>
        <v>02151</v>
      </c>
      <c r="B183" s="16">
        <f t="shared" si="16"/>
        <v>123</v>
      </c>
      <c r="C183" s="16">
        <f t="shared" si="16"/>
        <v>0</v>
      </c>
      <c r="D183" s="16">
        <f t="shared" si="16"/>
        <v>215</v>
      </c>
      <c r="E183" s="16">
        <f t="shared" si="16"/>
        <v>1</v>
      </c>
      <c r="F183" s="16">
        <f t="shared" si="16"/>
        <v>715</v>
      </c>
      <c r="G183" s="16">
        <f t="shared" si="16"/>
        <v>0</v>
      </c>
      <c r="H183" s="16">
        <f t="shared" si="16"/>
        <v>0</v>
      </c>
      <c r="I183" s="16">
        <f t="shared" si="16"/>
        <v>0</v>
      </c>
      <c r="J183" s="16">
        <f t="shared" si="16"/>
        <v>0</v>
      </c>
      <c r="K183" s="16">
        <f t="shared" si="16"/>
        <v>1</v>
      </c>
    </row>
    <row r="184" spans="1:11">
      <c r="A184" s="15" t="str">
        <f t="shared" si="12"/>
        <v>02181</v>
      </c>
      <c r="B184" s="16">
        <f t="shared" si="16"/>
        <v>123</v>
      </c>
      <c r="C184" s="16">
        <f t="shared" si="16"/>
        <v>0</v>
      </c>
      <c r="D184" s="16">
        <f t="shared" si="16"/>
        <v>218</v>
      </c>
      <c r="E184" s="16">
        <f t="shared" si="16"/>
        <v>1</v>
      </c>
      <c r="F184" s="16">
        <f t="shared" si="16"/>
        <v>715</v>
      </c>
      <c r="G184" s="16">
        <f t="shared" si="16"/>
        <v>0</v>
      </c>
      <c r="H184" s="16">
        <f t="shared" si="16"/>
        <v>0</v>
      </c>
      <c r="I184" s="16">
        <f t="shared" si="16"/>
        <v>0</v>
      </c>
      <c r="J184" s="16">
        <f t="shared" si="16"/>
        <v>0</v>
      </c>
      <c r="K184" s="16">
        <f t="shared" si="16"/>
        <v>1</v>
      </c>
    </row>
    <row r="185" spans="1:11">
      <c r="A185" s="15" t="str">
        <f t="shared" si="12"/>
        <v>02211</v>
      </c>
      <c r="B185" s="16">
        <f t="shared" si="16"/>
        <v>123</v>
      </c>
      <c r="C185" s="16">
        <f t="shared" si="16"/>
        <v>0</v>
      </c>
      <c r="D185" s="16">
        <f t="shared" si="16"/>
        <v>221</v>
      </c>
      <c r="E185" s="16">
        <f t="shared" si="16"/>
        <v>1</v>
      </c>
      <c r="F185" s="16">
        <f t="shared" si="16"/>
        <v>715</v>
      </c>
      <c r="G185" s="16">
        <f t="shared" si="16"/>
        <v>0</v>
      </c>
      <c r="H185" s="16">
        <f t="shared" si="16"/>
        <v>0</v>
      </c>
      <c r="I185" s="16">
        <f t="shared" si="16"/>
        <v>0</v>
      </c>
      <c r="J185" s="16">
        <f t="shared" si="16"/>
        <v>0</v>
      </c>
      <c r="K185" s="16">
        <f t="shared" si="16"/>
        <v>1</v>
      </c>
    </row>
    <row r="186" spans="1:11">
      <c r="A186" s="15" t="str">
        <f t="shared" si="12"/>
        <v>02241</v>
      </c>
      <c r="B186" s="16">
        <f t="shared" si="16"/>
        <v>123</v>
      </c>
      <c r="C186" s="16">
        <f t="shared" si="16"/>
        <v>0</v>
      </c>
      <c r="D186" s="16">
        <f t="shared" si="16"/>
        <v>224</v>
      </c>
      <c r="E186" s="16">
        <f t="shared" si="16"/>
        <v>1</v>
      </c>
      <c r="F186" s="16">
        <f t="shared" si="16"/>
        <v>715</v>
      </c>
      <c r="G186" s="16">
        <f t="shared" si="16"/>
        <v>0</v>
      </c>
      <c r="H186" s="16">
        <f t="shared" si="16"/>
        <v>0</v>
      </c>
      <c r="I186" s="16">
        <f t="shared" si="16"/>
        <v>0</v>
      </c>
      <c r="J186" s="16">
        <f t="shared" si="16"/>
        <v>0</v>
      </c>
      <c r="K186" s="16">
        <f t="shared" si="16"/>
        <v>1</v>
      </c>
    </row>
    <row r="187" spans="1:11">
      <c r="A187" s="15" t="str">
        <f t="shared" si="12"/>
        <v>02271</v>
      </c>
      <c r="B187" s="16">
        <f t="shared" si="16"/>
        <v>123</v>
      </c>
      <c r="C187" s="16">
        <f t="shared" si="16"/>
        <v>0</v>
      </c>
      <c r="D187" s="16">
        <f t="shared" si="16"/>
        <v>227</v>
      </c>
      <c r="E187" s="16">
        <f t="shared" si="16"/>
        <v>1</v>
      </c>
      <c r="F187" s="16">
        <f t="shared" si="16"/>
        <v>80</v>
      </c>
      <c r="G187" s="16">
        <f t="shared" si="16"/>
        <v>0</v>
      </c>
      <c r="H187" s="16">
        <f t="shared" si="16"/>
        <v>0</v>
      </c>
      <c r="I187" s="16">
        <f t="shared" si="16"/>
        <v>0</v>
      </c>
      <c r="J187" s="16">
        <f t="shared" si="16"/>
        <v>0</v>
      </c>
      <c r="K187" s="16">
        <f t="shared" si="16"/>
        <v>1</v>
      </c>
    </row>
    <row r="188" spans="1:11">
      <c r="A188" s="15" t="str">
        <f t="shared" si="12"/>
        <v>02301</v>
      </c>
      <c r="B188" s="16">
        <f t="shared" si="16"/>
        <v>123</v>
      </c>
      <c r="C188" s="16">
        <f t="shared" si="16"/>
        <v>0</v>
      </c>
      <c r="D188" s="16">
        <f t="shared" si="16"/>
        <v>230</v>
      </c>
      <c r="E188" s="16">
        <f t="shared" si="16"/>
        <v>1</v>
      </c>
      <c r="F188" s="16">
        <f t="shared" si="16"/>
        <v>80</v>
      </c>
      <c r="G188" s="16">
        <f t="shared" si="16"/>
        <v>0</v>
      </c>
      <c r="H188" s="16">
        <f t="shared" si="16"/>
        <v>0</v>
      </c>
      <c r="I188" s="16">
        <f t="shared" si="16"/>
        <v>0</v>
      </c>
      <c r="J188" s="16">
        <f t="shared" si="16"/>
        <v>0</v>
      </c>
      <c r="K188" s="16">
        <f t="shared" si="16"/>
        <v>1</v>
      </c>
    </row>
    <row r="189" spans="1:11">
      <c r="A189" s="15" t="str">
        <f t="shared" si="12"/>
        <v>02331</v>
      </c>
      <c r="B189" s="16">
        <f t="shared" si="16"/>
        <v>123</v>
      </c>
      <c r="C189" s="16">
        <f t="shared" si="16"/>
        <v>0</v>
      </c>
      <c r="D189" s="16">
        <f t="shared" si="16"/>
        <v>233</v>
      </c>
      <c r="E189" s="16">
        <f t="shared" si="16"/>
        <v>1</v>
      </c>
      <c r="F189" s="16">
        <f t="shared" si="16"/>
        <v>80</v>
      </c>
      <c r="G189" s="16">
        <f t="shared" si="16"/>
        <v>0</v>
      </c>
      <c r="H189" s="16">
        <f t="shared" si="16"/>
        <v>0</v>
      </c>
      <c r="I189" s="16">
        <f t="shared" si="16"/>
        <v>0</v>
      </c>
      <c r="J189" s="16">
        <f t="shared" si="16"/>
        <v>0</v>
      </c>
      <c r="K189" s="16">
        <f t="shared" si="16"/>
        <v>1</v>
      </c>
    </row>
    <row r="190" spans="1:11">
      <c r="A190" s="15" t="str">
        <f t="shared" si="12"/>
        <v>02361</v>
      </c>
      <c r="B190" s="16">
        <f t="shared" si="16"/>
        <v>123</v>
      </c>
      <c r="C190" s="16">
        <f t="shared" si="16"/>
        <v>0</v>
      </c>
      <c r="D190" s="16">
        <f t="shared" si="16"/>
        <v>236</v>
      </c>
      <c r="E190" s="16">
        <f t="shared" si="16"/>
        <v>1</v>
      </c>
      <c r="F190" s="16">
        <f t="shared" si="16"/>
        <v>80</v>
      </c>
      <c r="G190" s="16">
        <f t="shared" si="16"/>
        <v>0</v>
      </c>
      <c r="H190" s="16">
        <f t="shared" si="16"/>
        <v>0</v>
      </c>
      <c r="I190" s="16">
        <f t="shared" si="16"/>
        <v>0</v>
      </c>
      <c r="J190" s="16">
        <f t="shared" si="16"/>
        <v>0</v>
      </c>
      <c r="K190" s="16">
        <f t="shared" si="16"/>
        <v>1</v>
      </c>
    </row>
    <row r="191" spans="1:11">
      <c r="A191" s="15" t="str">
        <f t="shared" si="12"/>
        <v>01681</v>
      </c>
      <c r="B191" s="16">
        <f t="shared" si="16"/>
        <v>123</v>
      </c>
      <c r="C191" s="16">
        <f t="shared" si="16"/>
        <v>0</v>
      </c>
      <c r="D191" s="16">
        <f t="shared" si="16"/>
        <v>168</v>
      </c>
      <c r="E191" s="16">
        <f t="shared" si="16"/>
        <v>1</v>
      </c>
      <c r="F191" s="16">
        <f t="shared" si="16"/>
        <v>241</v>
      </c>
      <c r="G191" s="16">
        <f t="shared" si="16"/>
        <v>0</v>
      </c>
      <c r="H191" s="16">
        <f t="shared" si="16"/>
        <v>0</v>
      </c>
      <c r="I191" s="16">
        <f t="shared" si="16"/>
        <v>0</v>
      </c>
      <c r="J191" s="16">
        <f t="shared" si="16"/>
        <v>0</v>
      </c>
      <c r="K191" s="16">
        <f t="shared" si="16"/>
        <v>1</v>
      </c>
    </row>
    <row r="192" spans="1:11">
      <c r="A192" s="15" t="str">
        <f t="shared" si="12"/>
        <v>01711</v>
      </c>
      <c r="B192" s="16">
        <f t="shared" si="16"/>
        <v>123</v>
      </c>
      <c r="C192" s="16">
        <f t="shared" si="16"/>
        <v>0</v>
      </c>
      <c r="D192" s="16">
        <f t="shared" si="16"/>
        <v>171</v>
      </c>
      <c r="E192" s="16">
        <f t="shared" si="16"/>
        <v>1</v>
      </c>
      <c r="F192" s="16">
        <f t="shared" si="16"/>
        <v>241</v>
      </c>
      <c r="G192" s="16">
        <f t="shared" si="16"/>
        <v>0</v>
      </c>
      <c r="H192" s="16">
        <f t="shared" si="16"/>
        <v>0</v>
      </c>
      <c r="I192" s="16">
        <f t="shared" si="16"/>
        <v>0</v>
      </c>
      <c r="J192" s="16">
        <f t="shared" si="16"/>
        <v>0</v>
      </c>
      <c r="K192" s="16">
        <f t="shared" si="16"/>
        <v>1</v>
      </c>
    </row>
    <row r="193" spans="1:11">
      <c r="A193" s="15" t="str">
        <f t="shared" si="12"/>
        <v>01741</v>
      </c>
      <c r="B193" s="16">
        <f t="shared" si="16"/>
        <v>123</v>
      </c>
      <c r="C193" s="16">
        <f t="shared" si="16"/>
        <v>0</v>
      </c>
      <c r="D193" s="16">
        <f t="shared" si="16"/>
        <v>174</v>
      </c>
      <c r="E193" s="16">
        <f t="shared" si="16"/>
        <v>1</v>
      </c>
      <c r="F193" s="16">
        <f t="shared" si="16"/>
        <v>241</v>
      </c>
      <c r="G193" s="16">
        <f t="shared" si="16"/>
        <v>0</v>
      </c>
      <c r="H193" s="16">
        <f t="shared" si="16"/>
        <v>0</v>
      </c>
      <c r="I193" s="16">
        <f t="shared" si="16"/>
        <v>0</v>
      </c>
      <c r="J193" s="16">
        <f t="shared" si="16"/>
        <v>0</v>
      </c>
      <c r="K193" s="16">
        <f t="shared" si="16"/>
        <v>1</v>
      </c>
    </row>
    <row r="194" spans="1:11">
      <c r="A194" s="15" t="str">
        <f t="shared" si="12"/>
        <v>01771</v>
      </c>
      <c r="B194" s="16">
        <f t="shared" si="16"/>
        <v>123</v>
      </c>
      <c r="C194" s="16">
        <f t="shared" si="16"/>
        <v>0</v>
      </c>
      <c r="D194" s="16">
        <f t="shared" si="16"/>
        <v>177</v>
      </c>
      <c r="E194" s="16">
        <f t="shared" si="16"/>
        <v>1</v>
      </c>
      <c r="F194" s="16">
        <f t="shared" si="16"/>
        <v>241</v>
      </c>
      <c r="G194" s="16">
        <f t="shared" si="16"/>
        <v>0</v>
      </c>
      <c r="H194" s="16">
        <f t="shared" si="16"/>
        <v>0</v>
      </c>
      <c r="I194" s="16">
        <f t="shared" si="16"/>
        <v>0</v>
      </c>
      <c r="J194" s="16">
        <f t="shared" si="16"/>
        <v>0</v>
      </c>
      <c r="K194" s="16">
        <f t="shared" si="16"/>
        <v>1</v>
      </c>
    </row>
    <row r="195" spans="1:11">
      <c r="A195" s="15" t="str">
        <f t="shared" ref="A195:A256" si="17">INDIRECT(ADDRESS(ROW()+$A$1,COLUMN(),1,TRUE,$C$1))</f>
        <v>01801</v>
      </c>
      <c r="B195" s="16">
        <f t="shared" si="16"/>
        <v>123</v>
      </c>
      <c r="C195" s="16">
        <f t="shared" si="16"/>
        <v>0</v>
      </c>
      <c r="D195" s="16">
        <f t="shared" si="16"/>
        <v>180</v>
      </c>
      <c r="E195" s="16">
        <f t="shared" si="16"/>
        <v>1</v>
      </c>
      <c r="F195" s="16">
        <f t="shared" si="16"/>
        <v>241</v>
      </c>
      <c r="G195" s="16">
        <f t="shared" si="16"/>
        <v>0</v>
      </c>
      <c r="H195" s="16">
        <f t="shared" si="16"/>
        <v>0</v>
      </c>
      <c r="I195" s="16">
        <f t="shared" si="16"/>
        <v>0</v>
      </c>
      <c r="J195" s="16">
        <f t="shared" si="16"/>
        <v>0</v>
      </c>
      <c r="K195" s="16">
        <f t="shared" si="16"/>
        <v>1</v>
      </c>
    </row>
    <row r="196" spans="1:11">
      <c r="A196" s="15" t="str">
        <f t="shared" si="17"/>
        <v>01831</v>
      </c>
      <c r="B196" s="16">
        <f t="shared" si="16"/>
        <v>123</v>
      </c>
      <c r="C196" s="16">
        <f t="shared" si="16"/>
        <v>0</v>
      </c>
      <c r="D196" s="16">
        <f t="shared" si="16"/>
        <v>183</v>
      </c>
      <c r="E196" s="16">
        <f t="shared" si="16"/>
        <v>1</v>
      </c>
      <c r="F196" s="16">
        <f t="shared" si="16"/>
        <v>241</v>
      </c>
      <c r="G196" s="16">
        <f t="shared" si="16"/>
        <v>0</v>
      </c>
      <c r="H196" s="16">
        <f t="shared" si="16"/>
        <v>0</v>
      </c>
      <c r="I196" s="16">
        <f t="shared" si="16"/>
        <v>0</v>
      </c>
      <c r="J196" s="16">
        <f t="shared" si="16"/>
        <v>0</v>
      </c>
      <c r="K196" s="16">
        <f t="shared" si="16"/>
        <v>1</v>
      </c>
    </row>
    <row r="197" spans="1:11">
      <c r="A197" s="15" t="str">
        <f t="shared" si="17"/>
        <v>01861</v>
      </c>
      <c r="B197" s="16">
        <f t="shared" si="16"/>
        <v>123</v>
      </c>
      <c r="C197" s="16">
        <f t="shared" si="16"/>
        <v>0</v>
      </c>
      <c r="D197" s="16">
        <f t="shared" si="16"/>
        <v>186</v>
      </c>
      <c r="E197" s="16">
        <f t="shared" si="16"/>
        <v>1</v>
      </c>
      <c r="F197" s="16">
        <f t="shared" si="16"/>
        <v>241</v>
      </c>
      <c r="G197" s="16">
        <f t="shared" si="16"/>
        <v>0</v>
      </c>
      <c r="H197" s="16">
        <f t="shared" si="16"/>
        <v>0</v>
      </c>
      <c r="I197" s="16">
        <f t="shared" si="16"/>
        <v>0</v>
      </c>
      <c r="J197" s="16">
        <f t="shared" si="16"/>
        <v>0</v>
      </c>
      <c r="K197" s="16">
        <f t="shared" si="16"/>
        <v>1</v>
      </c>
    </row>
    <row r="198" spans="1:11">
      <c r="A198" s="15" t="str">
        <f t="shared" si="17"/>
        <v>01891</v>
      </c>
      <c r="B198" s="16">
        <f t="shared" si="16"/>
        <v>123</v>
      </c>
      <c r="C198" s="16">
        <f t="shared" si="16"/>
        <v>0</v>
      </c>
      <c r="D198" s="16">
        <f t="shared" si="16"/>
        <v>189</v>
      </c>
      <c r="E198" s="16">
        <f t="shared" si="16"/>
        <v>1</v>
      </c>
      <c r="F198" s="16">
        <f t="shared" si="16"/>
        <v>241</v>
      </c>
      <c r="G198" s="16">
        <f t="shared" si="16"/>
        <v>0</v>
      </c>
      <c r="H198" s="16">
        <f t="shared" si="16"/>
        <v>0</v>
      </c>
      <c r="I198" s="16">
        <f t="shared" si="16"/>
        <v>0</v>
      </c>
      <c r="J198" s="16">
        <f t="shared" si="16"/>
        <v>0</v>
      </c>
      <c r="K198" s="16">
        <f t="shared" si="16"/>
        <v>1</v>
      </c>
    </row>
    <row r="199" spans="1:11">
      <c r="A199" s="15" t="str">
        <f t="shared" si="17"/>
        <v>01921</v>
      </c>
      <c r="B199" s="16">
        <f t="shared" si="16"/>
        <v>123</v>
      </c>
      <c r="C199" s="16">
        <f t="shared" si="16"/>
        <v>0</v>
      </c>
      <c r="D199" s="16">
        <f t="shared" si="16"/>
        <v>192</v>
      </c>
      <c r="E199" s="16">
        <f t="shared" si="16"/>
        <v>1</v>
      </c>
      <c r="F199" s="16">
        <f t="shared" si="16"/>
        <v>241</v>
      </c>
      <c r="G199" s="16">
        <f t="shared" si="16"/>
        <v>0</v>
      </c>
      <c r="H199" s="16">
        <f t="shared" si="16"/>
        <v>0</v>
      </c>
      <c r="I199" s="16">
        <f t="shared" si="16"/>
        <v>0</v>
      </c>
      <c r="J199" s="16">
        <f t="shared" si="16"/>
        <v>0</v>
      </c>
      <c r="K199" s="16">
        <f t="shared" si="16"/>
        <v>1</v>
      </c>
    </row>
    <row r="200" spans="1:11">
      <c r="A200" s="15" t="str">
        <f t="shared" si="17"/>
        <v>01951</v>
      </c>
      <c r="B200" s="16">
        <f t="shared" si="16"/>
        <v>123</v>
      </c>
      <c r="C200" s="16">
        <f t="shared" si="16"/>
        <v>0</v>
      </c>
      <c r="D200" s="16">
        <f t="shared" si="16"/>
        <v>195</v>
      </c>
      <c r="E200" s="16">
        <f t="shared" si="16"/>
        <v>1</v>
      </c>
      <c r="F200" s="16">
        <f t="shared" si="16"/>
        <v>241</v>
      </c>
      <c r="G200" s="16">
        <f t="shared" ref="G200:K200" si="18">VLOOKUP($A200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00" s="16">
        <f t="shared" si="18"/>
        <v>0</v>
      </c>
      <c r="I200" s="16">
        <f t="shared" si="18"/>
        <v>0</v>
      </c>
      <c r="J200" s="16">
        <f t="shared" si="18"/>
        <v>0</v>
      </c>
      <c r="K200" s="16">
        <f t="shared" si="18"/>
        <v>1</v>
      </c>
    </row>
    <row r="201" spans="1:11">
      <c r="A201" s="15" t="str">
        <f t="shared" si="17"/>
        <v>01981</v>
      </c>
      <c r="B201" s="16">
        <f t="shared" ref="B201:K226" si="19">VLOOKUP($A201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201" s="16">
        <f t="shared" si="19"/>
        <v>0</v>
      </c>
      <c r="D201" s="16">
        <f t="shared" si="19"/>
        <v>198</v>
      </c>
      <c r="E201" s="16">
        <f t="shared" si="19"/>
        <v>1</v>
      </c>
      <c r="F201" s="16">
        <f t="shared" si="19"/>
        <v>241</v>
      </c>
      <c r="G201" s="16">
        <f t="shared" si="19"/>
        <v>0</v>
      </c>
      <c r="H201" s="16">
        <f t="shared" si="19"/>
        <v>0</v>
      </c>
      <c r="I201" s="16">
        <f t="shared" si="19"/>
        <v>0</v>
      </c>
      <c r="J201" s="16">
        <f t="shared" si="19"/>
        <v>0</v>
      </c>
      <c r="K201" s="16">
        <f t="shared" si="19"/>
        <v>1</v>
      </c>
    </row>
    <row r="202" spans="1:11">
      <c r="A202" s="15" t="str">
        <f t="shared" si="17"/>
        <v>02011</v>
      </c>
      <c r="B202" s="16">
        <f t="shared" si="19"/>
        <v>123</v>
      </c>
      <c r="C202" s="16">
        <f t="shared" si="19"/>
        <v>0</v>
      </c>
      <c r="D202" s="16">
        <f t="shared" si="19"/>
        <v>201</v>
      </c>
      <c r="E202" s="16">
        <f t="shared" si="19"/>
        <v>1</v>
      </c>
      <c r="F202" s="16">
        <f t="shared" si="19"/>
        <v>241</v>
      </c>
      <c r="G202" s="16">
        <f t="shared" si="19"/>
        <v>0</v>
      </c>
      <c r="H202" s="16">
        <f t="shared" si="19"/>
        <v>0</v>
      </c>
      <c r="I202" s="16">
        <f t="shared" si="19"/>
        <v>0</v>
      </c>
      <c r="J202" s="16">
        <f t="shared" si="19"/>
        <v>0</v>
      </c>
      <c r="K202" s="16">
        <f t="shared" si="19"/>
        <v>1</v>
      </c>
    </row>
    <row r="203" spans="1:11">
      <c r="A203" s="15" t="str">
        <f t="shared" si="17"/>
        <v>02041</v>
      </c>
      <c r="B203" s="16">
        <f t="shared" si="19"/>
        <v>123</v>
      </c>
      <c r="C203" s="16">
        <f t="shared" si="19"/>
        <v>0</v>
      </c>
      <c r="D203" s="16">
        <f t="shared" si="19"/>
        <v>204</v>
      </c>
      <c r="E203" s="16">
        <f t="shared" si="19"/>
        <v>1</v>
      </c>
      <c r="F203" s="16">
        <f t="shared" si="19"/>
        <v>241</v>
      </c>
      <c r="G203" s="16">
        <f t="shared" si="19"/>
        <v>0</v>
      </c>
      <c r="H203" s="16">
        <f t="shared" si="19"/>
        <v>0</v>
      </c>
      <c r="I203" s="16">
        <f t="shared" si="19"/>
        <v>0</v>
      </c>
      <c r="J203" s="16">
        <f t="shared" si="19"/>
        <v>0</v>
      </c>
      <c r="K203" s="16">
        <f t="shared" si="19"/>
        <v>1</v>
      </c>
    </row>
    <row r="204" spans="1:11">
      <c r="A204" s="15" t="str">
        <f t="shared" si="17"/>
        <v>02071</v>
      </c>
      <c r="B204" s="16">
        <f t="shared" si="19"/>
        <v>123</v>
      </c>
      <c r="C204" s="16">
        <f t="shared" si="19"/>
        <v>0</v>
      </c>
      <c r="D204" s="16">
        <f t="shared" si="19"/>
        <v>207</v>
      </c>
      <c r="E204" s="16">
        <f t="shared" si="19"/>
        <v>1</v>
      </c>
      <c r="F204" s="16">
        <f t="shared" si="19"/>
        <v>241</v>
      </c>
      <c r="G204" s="16">
        <f t="shared" si="19"/>
        <v>0</v>
      </c>
      <c r="H204" s="16">
        <f t="shared" si="19"/>
        <v>0</v>
      </c>
      <c r="I204" s="16">
        <f t="shared" si="19"/>
        <v>0</v>
      </c>
      <c r="J204" s="16">
        <f t="shared" si="19"/>
        <v>0</v>
      </c>
      <c r="K204" s="16">
        <f t="shared" si="19"/>
        <v>1</v>
      </c>
    </row>
    <row r="205" spans="1:11">
      <c r="A205" s="15" t="str">
        <f t="shared" si="17"/>
        <v>02101</v>
      </c>
      <c r="B205" s="16">
        <f t="shared" si="19"/>
        <v>123</v>
      </c>
      <c r="C205" s="16">
        <f t="shared" si="19"/>
        <v>0</v>
      </c>
      <c r="D205" s="16">
        <f t="shared" si="19"/>
        <v>210</v>
      </c>
      <c r="E205" s="16">
        <f t="shared" si="19"/>
        <v>1</v>
      </c>
      <c r="F205" s="16">
        <f t="shared" si="19"/>
        <v>241</v>
      </c>
      <c r="G205" s="16">
        <f t="shared" si="19"/>
        <v>0</v>
      </c>
      <c r="H205" s="16">
        <f t="shared" si="19"/>
        <v>0</v>
      </c>
      <c r="I205" s="16">
        <f t="shared" si="19"/>
        <v>0</v>
      </c>
      <c r="J205" s="16">
        <f t="shared" si="19"/>
        <v>0</v>
      </c>
      <c r="K205" s="16">
        <f t="shared" si="19"/>
        <v>1</v>
      </c>
    </row>
    <row r="206" spans="1:11">
      <c r="A206" s="15" t="str">
        <f t="shared" si="17"/>
        <v>02131</v>
      </c>
      <c r="B206" s="16">
        <f t="shared" si="19"/>
        <v>123</v>
      </c>
      <c r="C206" s="16">
        <f t="shared" si="19"/>
        <v>0</v>
      </c>
      <c r="D206" s="16">
        <f t="shared" si="19"/>
        <v>213</v>
      </c>
      <c r="E206" s="16">
        <f t="shared" si="19"/>
        <v>1</v>
      </c>
      <c r="F206" s="16">
        <f t="shared" si="19"/>
        <v>241</v>
      </c>
      <c r="G206" s="16">
        <f t="shared" si="19"/>
        <v>0</v>
      </c>
      <c r="H206" s="16">
        <f t="shared" si="19"/>
        <v>0</v>
      </c>
      <c r="I206" s="16">
        <f t="shared" si="19"/>
        <v>0</v>
      </c>
      <c r="J206" s="16">
        <f t="shared" si="19"/>
        <v>0</v>
      </c>
      <c r="K206" s="16">
        <f t="shared" si="19"/>
        <v>1</v>
      </c>
    </row>
    <row r="207" spans="1:11">
      <c r="A207" s="15" t="str">
        <f t="shared" si="17"/>
        <v>02161</v>
      </c>
      <c r="B207" s="16">
        <f t="shared" si="19"/>
        <v>123</v>
      </c>
      <c r="C207" s="16">
        <f t="shared" si="19"/>
        <v>0</v>
      </c>
      <c r="D207" s="16">
        <f t="shared" si="19"/>
        <v>216</v>
      </c>
      <c r="E207" s="16">
        <f t="shared" si="19"/>
        <v>1</v>
      </c>
      <c r="F207" s="16">
        <f t="shared" si="19"/>
        <v>241</v>
      </c>
      <c r="G207" s="16">
        <f t="shared" si="19"/>
        <v>0</v>
      </c>
      <c r="H207" s="16">
        <f t="shared" si="19"/>
        <v>0</v>
      </c>
      <c r="I207" s="16">
        <f t="shared" si="19"/>
        <v>0</v>
      </c>
      <c r="J207" s="16">
        <f t="shared" si="19"/>
        <v>0</v>
      </c>
      <c r="K207" s="16">
        <f t="shared" si="19"/>
        <v>1</v>
      </c>
    </row>
    <row r="208" spans="1:11">
      <c r="A208" s="15" t="str">
        <f t="shared" si="17"/>
        <v>02191</v>
      </c>
      <c r="B208" s="16">
        <f t="shared" si="19"/>
        <v>123</v>
      </c>
      <c r="C208" s="16">
        <f t="shared" si="19"/>
        <v>0</v>
      </c>
      <c r="D208" s="16">
        <f t="shared" si="19"/>
        <v>219</v>
      </c>
      <c r="E208" s="16">
        <f t="shared" si="19"/>
        <v>1</v>
      </c>
      <c r="F208" s="16">
        <f t="shared" si="19"/>
        <v>241</v>
      </c>
      <c r="G208" s="16">
        <f t="shared" si="19"/>
        <v>0</v>
      </c>
      <c r="H208" s="16">
        <f t="shared" si="19"/>
        <v>0</v>
      </c>
      <c r="I208" s="16">
        <f t="shared" si="19"/>
        <v>0</v>
      </c>
      <c r="J208" s="16">
        <f t="shared" si="19"/>
        <v>0</v>
      </c>
      <c r="K208" s="16">
        <f t="shared" si="19"/>
        <v>1</v>
      </c>
    </row>
    <row r="209" spans="1:11">
      <c r="A209" s="15" t="str">
        <f t="shared" si="17"/>
        <v>02221</v>
      </c>
      <c r="B209" s="16">
        <f t="shared" si="19"/>
        <v>123</v>
      </c>
      <c r="C209" s="16">
        <f t="shared" si="19"/>
        <v>0</v>
      </c>
      <c r="D209" s="16">
        <f t="shared" si="19"/>
        <v>222</v>
      </c>
      <c r="E209" s="16">
        <f t="shared" si="19"/>
        <v>1</v>
      </c>
      <c r="F209" s="16">
        <f t="shared" si="19"/>
        <v>241</v>
      </c>
      <c r="G209" s="16">
        <f t="shared" si="19"/>
        <v>0</v>
      </c>
      <c r="H209" s="16">
        <f t="shared" si="19"/>
        <v>0</v>
      </c>
      <c r="I209" s="16">
        <f t="shared" si="19"/>
        <v>0</v>
      </c>
      <c r="J209" s="16">
        <f t="shared" si="19"/>
        <v>0</v>
      </c>
      <c r="K209" s="16">
        <f t="shared" si="19"/>
        <v>1</v>
      </c>
    </row>
    <row r="210" spans="1:11">
      <c r="A210" s="15" t="str">
        <f t="shared" si="17"/>
        <v>02251</v>
      </c>
      <c r="B210" s="16">
        <f t="shared" si="19"/>
        <v>123</v>
      </c>
      <c r="C210" s="16">
        <f t="shared" si="19"/>
        <v>0</v>
      </c>
      <c r="D210" s="16">
        <f t="shared" si="19"/>
        <v>225</v>
      </c>
      <c r="E210" s="16">
        <f t="shared" si="19"/>
        <v>1</v>
      </c>
      <c r="F210" s="16">
        <f t="shared" si="19"/>
        <v>241</v>
      </c>
      <c r="G210" s="16">
        <f t="shared" si="19"/>
        <v>0</v>
      </c>
      <c r="H210" s="16">
        <f t="shared" si="19"/>
        <v>0</v>
      </c>
      <c r="I210" s="16">
        <f t="shared" si="19"/>
        <v>0</v>
      </c>
      <c r="J210" s="16">
        <f t="shared" si="19"/>
        <v>0</v>
      </c>
      <c r="K210" s="16">
        <f t="shared" si="19"/>
        <v>1</v>
      </c>
    </row>
    <row r="211" spans="1:11">
      <c r="A211" s="15" t="str">
        <f t="shared" si="17"/>
        <v>02281</v>
      </c>
      <c r="B211" s="16">
        <f t="shared" si="19"/>
        <v>123</v>
      </c>
      <c r="C211" s="16">
        <f t="shared" si="19"/>
        <v>0</v>
      </c>
      <c r="D211" s="16">
        <f t="shared" si="19"/>
        <v>228</v>
      </c>
      <c r="E211" s="16">
        <f t="shared" si="19"/>
        <v>1</v>
      </c>
      <c r="F211" s="16">
        <f t="shared" si="19"/>
        <v>13</v>
      </c>
      <c r="G211" s="16">
        <f t="shared" si="19"/>
        <v>0</v>
      </c>
      <c r="H211" s="16">
        <f t="shared" si="19"/>
        <v>0</v>
      </c>
      <c r="I211" s="16">
        <f t="shared" si="19"/>
        <v>0</v>
      </c>
      <c r="J211" s="16">
        <f t="shared" si="19"/>
        <v>0</v>
      </c>
      <c r="K211" s="16">
        <f t="shared" si="19"/>
        <v>1</v>
      </c>
    </row>
    <row r="212" spans="1:11">
      <c r="A212" s="15" t="str">
        <f t="shared" si="17"/>
        <v>02311</v>
      </c>
      <c r="B212" s="16">
        <f t="shared" si="19"/>
        <v>123</v>
      </c>
      <c r="C212" s="16">
        <f t="shared" si="19"/>
        <v>0</v>
      </c>
      <c r="D212" s="16">
        <f t="shared" si="19"/>
        <v>231</v>
      </c>
      <c r="E212" s="16">
        <f t="shared" si="19"/>
        <v>1</v>
      </c>
      <c r="F212" s="16">
        <f t="shared" si="19"/>
        <v>13</v>
      </c>
      <c r="G212" s="16">
        <f t="shared" si="19"/>
        <v>0</v>
      </c>
      <c r="H212" s="16">
        <f t="shared" si="19"/>
        <v>0</v>
      </c>
      <c r="I212" s="16">
        <f t="shared" si="19"/>
        <v>0</v>
      </c>
      <c r="J212" s="16">
        <f t="shared" si="19"/>
        <v>0</v>
      </c>
      <c r="K212" s="16">
        <f t="shared" si="19"/>
        <v>1</v>
      </c>
    </row>
    <row r="213" spans="1:11">
      <c r="A213" s="15" t="str">
        <f t="shared" si="17"/>
        <v>02341</v>
      </c>
      <c r="B213" s="16">
        <f t="shared" si="19"/>
        <v>123</v>
      </c>
      <c r="C213" s="16">
        <f t="shared" si="19"/>
        <v>0</v>
      </c>
      <c r="D213" s="16">
        <f t="shared" si="19"/>
        <v>234</v>
      </c>
      <c r="E213" s="16">
        <f t="shared" si="19"/>
        <v>1</v>
      </c>
      <c r="F213" s="16">
        <f t="shared" si="19"/>
        <v>13</v>
      </c>
      <c r="G213" s="16">
        <f t="shared" si="19"/>
        <v>0</v>
      </c>
      <c r="H213" s="16">
        <f t="shared" si="19"/>
        <v>0</v>
      </c>
      <c r="I213" s="16">
        <f t="shared" si="19"/>
        <v>0</v>
      </c>
      <c r="J213" s="16">
        <f t="shared" si="19"/>
        <v>0</v>
      </c>
      <c r="K213" s="16">
        <f t="shared" si="19"/>
        <v>1</v>
      </c>
    </row>
    <row r="214" spans="1:11">
      <c r="A214" s="15" t="str">
        <f t="shared" si="17"/>
        <v>02371</v>
      </c>
      <c r="B214" s="16">
        <f t="shared" si="19"/>
        <v>123</v>
      </c>
      <c r="C214" s="16">
        <f t="shared" si="19"/>
        <v>0</v>
      </c>
      <c r="D214" s="16">
        <f t="shared" si="19"/>
        <v>237</v>
      </c>
      <c r="E214" s="16">
        <f t="shared" si="19"/>
        <v>1</v>
      </c>
      <c r="F214" s="16">
        <f t="shared" si="19"/>
        <v>13</v>
      </c>
      <c r="G214" s="16">
        <f t="shared" si="19"/>
        <v>0</v>
      </c>
      <c r="H214" s="16">
        <f t="shared" si="19"/>
        <v>0</v>
      </c>
      <c r="I214" s="16">
        <f t="shared" si="19"/>
        <v>0</v>
      </c>
      <c r="J214" s="16">
        <f t="shared" si="19"/>
        <v>0</v>
      </c>
      <c r="K214" s="16">
        <f t="shared" si="19"/>
        <v>1</v>
      </c>
    </row>
    <row r="215" spans="1:11">
      <c r="A215" s="15" t="str">
        <f t="shared" si="17"/>
        <v>02381</v>
      </c>
      <c r="B215" s="16">
        <f t="shared" si="19"/>
        <v>123</v>
      </c>
      <c r="C215" s="16">
        <f t="shared" si="19"/>
        <v>0</v>
      </c>
      <c r="D215" s="16">
        <f t="shared" si="19"/>
        <v>238</v>
      </c>
      <c r="E215" s="16">
        <f t="shared" si="19"/>
        <v>1</v>
      </c>
      <c r="F215" s="16">
        <f t="shared" si="19"/>
        <v>228</v>
      </c>
      <c r="G215" s="16">
        <f t="shared" si="19"/>
        <v>0</v>
      </c>
      <c r="H215" s="16">
        <f t="shared" si="19"/>
        <v>0</v>
      </c>
      <c r="I215" s="16">
        <f t="shared" si="19"/>
        <v>0</v>
      </c>
      <c r="J215" s="16">
        <f t="shared" si="19"/>
        <v>0</v>
      </c>
      <c r="K215" s="16">
        <f t="shared" si="19"/>
        <v>1</v>
      </c>
    </row>
    <row r="216" spans="1:11">
      <c r="A216" s="15" t="str">
        <f t="shared" si="17"/>
        <v>02391</v>
      </c>
      <c r="B216" s="16">
        <f t="shared" si="19"/>
        <v>123</v>
      </c>
      <c r="C216" s="16">
        <f t="shared" si="19"/>
        <v>0</v>
      </c>
      <c r="D216" s="16">
        <f t="shared" si="19"/>
        <v>239</v>
      </c>
      <c r="E216" s="16">
        <f t="shared" si="19"/>
        <v>1</v>
      </c>
      <c r="F216" s="16">
        <f t="shared" si="19"/>
        <v>80</v>
      </c>
      <c r="G216" s="16">
        <f t="shared" si="19"/>
        <v>0</v>
      </c>
      <c r="H216" s="16">
        <f t="shared" si="19"/>
        <v>0</v>
      </c>
      <c r="I216" s="16">
        <f t="shared" si="19"/>
        <v>0</v>
      </c>
      <c r="J216" s="16">
        <f t="shared" si="19"/>
        <v>0</v>
      </c>
      <c r="K216" s="16">
        <f t="shared" si="19"/>
        <v>1</v>
      </c>
    </row>
    <row r="217" spans="1:11">
      <c r="A217" s="15" t="str">
        <f t="shared" si="17"/>
        <v>02401</v>
      </c>
      <c r="B217" s="16">
        <f t="shared" si="19"/>
        <v>123</v>
      </c>
      <c r="C217" s="16">
        <f t="shared" si="19"/>
        <v>0</v>
      </c>
      <c r="D217" s="16">
        <f t="shared" si="19"/>
        <v>240</v>
      </c>
      <c r="E217" s="16">
        <f t="shared" si="19"/>
        <v>1</v>
      </c>
      <c r="F217" s="16">
        <f t="shared" si="19"/>
        <v>13</v>
      </c>
      <c r="G217" s="16">
        <f t="shared" si="19"/>
        <v>0</v>
      </c>
      <c r="H217" s="16">
        <f t="shared" si="19"/>
        <v>0</v>
      </c>
      <c r="I217" s="16">
        <f t="shared" si="19"/>
        <v>0</v>
      </c>
      <c r="J217" s="16">
        <f t="shared" si="19"/>
        <v>0</v>
      </c>
      <c r="K217" s="16">
        <f t="shared" si="19"/>
        <v>1</v>
      </c>
    </row>
    <row r="218" spans="1:11">
      <c r="A218" s="15" t="str">
        <f t="shared" si="17"/>
        <v>02411</v>
      </c>
      <c r="B218" s="16">
        <f t="shared" si="19"/>
        <v>123</v>
      </c>
      <c r="C218" s="16">
        <f t="shared" si="19"/>
        <v>0</v>
      </c>
      <c r="D218" s="16">
        <f t="shared" si="19"/>
        <v>241</v>
      </c>
      <c r="E218" s="16">
        <f t="shared" si="19"/>
        <v>1</v>
      </c>
      <c r="F218" s="16">
        <f t="shared" si="19"/>
        <v>228</v>
      </c>
      <c r="G218" s="16">
        <f t="shared" si="19"/>
        <v>0</v>
      </c>
      <c r="H218" s="16">
        <f t="shared" si="19"/>
        <v>0</v>
      </c>
      <c r="I218" s="16">
        <f t="shared" si="19"/>
        <v>0</v>
      </c>
      <c r="J218" s="16">
        <f t="shared" si="19"/>
        <v>0</v>
      </c>
      <c r="K218" s="16">
        <f t="shared" si="19"/>
        <v>1</v>
      </c>
    </row>
    <row r="219" spans="1:11">
      <c r="A219" s="15" t="str">
        <f t="shared" si="17"/>
        <v>02421</v>
      </c>
      <c r="B219" s="16">
        <f t="shared" si="19"/>
        <v>123</v>
      </c>
      <c r="C219" s="16">
        <f t="shared" si="19"/>
        <v>0</v>
      </c>
      <c r="D219" s="16">
        <f t="shared" si="19"/>
        <v>242</v>
      </c>
      <c r="E219" s="16">
        <f t="shared" si="19"/>
        <v>1</v>
      </c>
      <c r="F219" s="16">
        <f t="shared" si="19"/>
        <v>80</v>
      </c>
      <c r="G219" s="16">
        <f t="shared" si="19"/>
        <v>0</v>
      </c>
      <c r="H219" s="16">
        <f t="shared" si="19"/>
        <v>0</v>
      </c>
      <c r="I219" s="16">
        <f t="shared" si="19"/>
        <v>0</v>
      </c>
      <c r="J219" s="16">
        <f t="shared" si="19"/>
        <v>0</v>
      </c>
      <c r="K219" s="16">
        <f t="shared" si="19"/>
        <v>1</v>
      </c>
    </row>
    <row r="220" spans="1:11">
      <c r="A220" s="15" t="str">
        <f t="shared" si="17"/>
        <v>02431</v>
      </c>
      <c r="B220" s="16">
        <f t="shared" si="19"/>
        <v>123</v>
      </c>
      <c r="C220" s="16">
        <f t="shared" si="19"/>
        <v>0</v>
      </c>
      <c r="D220" s="16">
        <f t="shared" si="19"/>
        <v>243</v>
      </c>
      <c r="E220" s="16">
        <f t="shared" si="19"/>
        <v>1</v>
      </c>
      <c r="F220" s="16">
        <f t="shared" si="19"/>
        <v>13</v>
      </c>
      <c r="G220" s="16">
        <f t="shared" si="19"/>
        <v>0</v>
      </c>
      <c r="H220" s="16">
        <f t="shared" si="19"/>
        <v>0</v>
      </c>
      <c r="I220" s="16">
        <f t="shared" si="19"/>
        <v>0</v>
      </c>
      <c r="J220" s="16">
        <f t="shared" si="19"/>
        <v>0</v>
      </c>
      <c r="K220" s="16">
        <f t="shared" si="19"/>
        <v>1</v>
      </c>
    </row>
    <row r="221" spans="1:11">
      <c r="A221" s="15" t="str">
        <f t="shared" si="17"/>
        <v>02441</v>
      </c>
      <c r="B221" s="16">
        <f t="shared" si="19"/>
        <v>123</v>
      </c>
      <c r="C221" s="16">
        <f t="shared" si="19"/>
        <v>0</v>
      </c>
      <c r="D221" s="16">
        <f t="shared" si="19"/>
        <v>244</v>
      </c>
      <c r="E221" s="16">
        <f t="shared" si="19"/>
        <v>1</v>
      </c>
      <c r="F221" s="16">
        <f t="shared" si="19"/>
        <v>228</v>
      </c>
      <c r="G221" s="16">
        <f t="shared" si="19"/>
        <v>0</v>
      </c>
      <c r="H221" s="16">
        <f t="shared" si="19"/>
        <v>0</v>
      </c>
      <c r="I221" s="16">
        <f t="shared" si="19"/>
        <v>0</v>
      </c>
      <c r="J221" s="16">
        <f t="shared" si="19"/>
        <v>0</v>
      </c>
      <c r="K221" s="16">
        <f t="shared" si="19"/>
        <v>1</v>
      </c>
    </row>
    <row r="222" spans="1:11">
      <c r="A222" s="15" t="str">
        <f t="shared" si="17"/>
        <v>02451</v>
      </c>
      <c r="B222" s="16">
        <f t="shared" si="19"/>
        <v>123</v>
      </c>
      <c r="C222" s="16">
        <f t="shared" si="19"/>
        <v>0</v>
      </c>
      <c r="D222" s="16">
        <f t="shared" si="19"/>
        <v>245</v>
      </c>
      <c r="E222" s="16">
        <f t="shared" si="19"/>
        <v>1</v>
      </c>
      <c r="F222" s="16">
        <f t="shared" si="19"/>
        <v>80</v>
      </c>
      <c r="G222" s="16">
        <f t="shared" si="19"/>
        <v>0</v>
      </c>
      <c r="H222" s="16">
        <f t="shared" si="19"/>
        <v>0</v>
      </c>
      <c r="I222" s="16">
        <f t="shared" si="19"/>
        <v>0</v>
      </c>
      <c r="J222" s="16">
        <f t="shared" si="19"/>
        <v>0</v>
      </c>
      <c r="K222" s="16">
        <f t="shared" si="19"/>
        <v>1</v>
      </c>
    </row>
    <row r="223" spans="1:11">
      <c r="A223" s="15" t="str">
        <f t="shared" si="17"/>
        <v>02461</v>
      </c>
      <c r="B223" s="16">
        <f t="shared" si="19"/>
        <v>123</v>
      </c>
      <c r="C223" s="16">
        <f t="shared" si="19"/>
        <v>0</v>
      </c>
      <c r="D223" s="16">
        <f t="shared" si="19"/>
        <v>246</v>
      </c>
      <c r="E223" s="16">
        <f t="shared" si="19"/>
        <v>1</v>
      </c>
      <c r="F223" s="16">
        <f t="shared" si="19"/>
        <v>13</v>
      </c>
      <c r="G223" s="16">
        <f t="shared" si="19"/>
        <v>0</v>
      </c>
      <c r="H223" s="16">
        <f t="shared" si="19"/>
        <v>0</v>
      </c>
      <c r="I223" s="16">
        <f t="shared" si="19"/>
        <v>0</v>
      </c>
      <c r="J223" s="16">
        <f t="shared" si="19"/>
        <v>0</v>
      </c>
      <c r="K223" s="16">
        <f t="shared" si="19"/>
        <v>1</v>
      </c>
    </row>
    <row r="224" spans="1:11">
      <c r="A224" s="15" t="str">
        <f t="shared" si="17"/>
        <v>02471</v>
      </c>
      <c r="B224" s="16">
        <f t="shared" si="19"/>
        <v>123</v>
      </c>
      <c r="C224" s="16">
        <f t="shared" si="19"/>
        <v>0</v>
      </c>
      <c r="D224" s="16">
        <f t="shared" si="19"/>
        <v>247</v>
      </c>
      <c r="E224" s="16">
        <f t="shared" si="19"/>
        <v>1</v>
      </c>
      <c r="F224" s="16">
        <f t="shared" si="19"/>
        <v>228</v>
      </c>
      <c r="G224" s="16">
        <f t="shared" si="19"/>
        <v>0</v>
      </c>
      <c r="H224" s="16">
        <f t="shared" si="19"/>
        <v>0</v>
      </c>
      <c r="I224" s="16">
        <f t="shared" si="19"/>
        <v>0</v>
      </c>
      <c r="J224" s="16">
        <f t="shared" si="19"/>
        <v>0</v>
      </c>
      <c r="K224" s="16">
        <f t="shared" si="19"/>
        <v>1</v>
      </c>
    </row>
    <row r="225" spans="1:11">
      <c r="A225" s="15" t="str">
        <f t="shared" si="17"/>
        <v>02481</v>
      </c>
      <c r="B225" s="16">
        <f t="shared" si="19"/>
        <v>123</v>
      </c>
      <c r="C225" s="16">
        <f t="shared" si="19"/>
        <v>0</v>
      </c>
      <c r="D225" s="16">
        <f t="shared" si="19"/>
        <v>248</v>
      </c>
      <c r="E225" s="16">
        <f t="shared" si="19"/>
        <v>1</v>
      </c>
      <c r="F225" s="16">
        <f t="shared" si="19"/>
        <v>80</v>
      </c>
      <c r="G225" s="16">
        <f t="shared" si="19"/>
        <v>0</v>
      </c>
      <c r="H225" s="16">
        <f t="shared" si="19"/>
        <v>0</v>
      </c>
      <c r="I225" s="16">
        <f t="shared" si="19"/>
        <v>0</v>
      </c>
      <c r="J225" s="16">
        <f t="shared" si="19"/>
        <v>0</v>
      </c>
      <c r="K225" s="16">
        <f t="shared" si="19"/>
        <v>1</v>
      </c>
    </row>
    <row r="226" spans="1:11">
      <c r="A226" s="15" t="str">
        <f t="shared" si="17"/>
        <v>02491</v>
      </c>
      <c r="B226" s="16">
        <f t="shared" si="19"/>
        <v>123</v>
      </c>
      <c r="C226" s="16">
        <f t="shared" si="19"/>
        <v>0</v>
      </c>
      <c r="D226" s="16">
        <f t="shared" si="19"/>
        <v>249</v>
      </c>
      <c r="E226" s="16">
        <f t="shared" si="19"/>
        <v>1</v>
      </c>
      <c r="F226" s="16">
        <f t="shared" si="19"/>
        <v>13</v>
      </c>
      <c r="G226" s="16">
        <f t="shared" ref="G226:K226" si="20">VLOOKUP($A226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26" s="16">
        <f t="shared" si="20"/>
        <v>0</v>
      </c>
      <c r="I226" s="16">
        <f t="shared" si="20"/>
        <v>0</v>
      </c>
      <c r="J226" s="16">
        <f t="shared" si="20"/>
        <v>0</v>
      </c>
      <c r="K226" s="16">
        <f t="shared" si="20"/>
        <v>1</v>
      </c>
    </row>
    <row r="227" spans="1:11">
      <c r="A227" s="15" t="str">
        <f t="shared" si="17"/>
        <v>02501</v>
      </c>
      <c r="B227" s="16">
        <f t="shared" ref="B227:K252" si="21">VLOOKUP($A227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227" s="16">
        <f t="shared" si="21"/>
        <v>0</v>
      </c>
      <c r="D227" s="16">
        <f t="shared" si="21"/>
        <v>250</v>
      </c>
      <c r="E227" s="16">
        <f t="shared" si="21"/>
        <v>1</v>
      </c>
      <c r="F227" s="16">
        <f t="shared" si="21"/>
        <v>228</v>
      </c>
      <c r="G227" s="16">
        <f t="shared" si="21"/>
        <v>0</v>
      </c>
      <c r="H227" s="16">
        <f t="shared" si="21"/>
        <v>0</v>
      </c>
      <c r="I227" s="16">
        <f t="shared" si="21"/>
        <v>0</v>
      </c>
      <c r="J227" s="16">
        <f t="shared" si="21"/>
        <v>0</v>
      </c>
      <c r="K227" s="16">
        <f t="shared" si="21"/>
        <v>1</v>
      </c>
    </row>
    <row r="228" spans="1:11">
      <c r="A228" s="15" t="str">
        <f t="shared" si="17"/>
        <v>02511</v>
      </c>
      <c r="B228" s="16">
        <f t="shared" si="21"/>
        <v>123</v>
      </c>
      <c r="C228" s="16">
        <f t="shared" si="21"/>
        <v>0</v>
      </c>
      <c r="D228" s="16">
        <f t="shared" si="21"/>
        <v>251</v>
      </c>
      <c r="E228" s="16">
        <f t="shared" si="21"/>
        <v>1</v>
      </c>
      <c r="F228" s="16">
        <f t="shared" si="21"/>
        <v>80</v>
      </c>
      <c r="G228" s="16">
        <f t="shared" si="21"/>
        <v>0</v>
      </c>
      <c r="H228" s="16">
        <f t="shared" si="21"/>
        <v>0</v>
      </c>
      <c r="I228" s="16">
        <f t="shared" si="21"/>
        <v>0</v>
      </c>
      <c r="J228" s="16">
        <f t="shared" si="21"/>
        <v>0</v>
      </c>
      <c r="K228" s="16">
        <f t="shared" si="21"/>
        <v>1</v>
      </c>
    </row>
    <row r="229" spans="1:11">
      <c r="A229" s="15" t="str">
        <f t="shared" si="17"/>
        <v>02521</v>
      </c>
      <c r="B229" s="16">
        <f t="shared" si="21"/>
        <v>123</v>
      </c>
      <c r="C229" s="16">
        <f t="shared" si="21"/>
        <v>0</v>
      </c>
      <c r="D229" s="16">
        <f t="shared" si="21"/>
        <v>252</v>
      </c>
      <c r="E229" s="16">
        <f t="shared" si="21"/>
        <v>1</v>
      </c>
      <c r="F229" s="16">
        <f t="shared" si="21"/>
        <v>13</v>
      </c>
      <c r="G229" s="16">
        <f t="shared" si="21"/>
        <v>0</v>
      </c>
      <c r="H229" s="16">
        <f t="shared" si="21"/>
        <v>0</v>
      </c>
      <c r="I229" s="16">
        <f t="shared" si="21"/>
        <v>0</v>
      </c>
      <c r="J229" s="16">
        <f t="shared" si="21"/>
        <v>0</v>
      </c>
      <c r="K229" s="16">
        <f t="shared" si="21"/>
        <v>1</v>
      </c>
    </row>
    <row r="230" spans="1:11">
      <c r="A230" s="15" t="str">
        <f t="shared" si="17"/>
        <v>02531</v>
      </c>
      <c r="B230" s="16">
        <f t="shared" si="21"/>
        <v>123</v>
      </c>
      <c r="C230" s="16">
        <f t="shared" si="21"/>
        <v>0</v>
      </c>
      <c r="D230" s="16">
        <f t="shared" si="21"/>
        <v>253</v>
      </c>
      <c r="E230" s="16">
        <f t="shared" si="21"/>
        <v>1</v>
      </c>
      <c r="F230" s="16">
        <f t="shared" si="21"/>
        <v>228</v>
      </c>
      <c r="G230" s="16">
        <f t="shared" si="21"/>
        <v>0</v>
      </c>
      <c r="H230" s="16">
        <f t="shared" si="21"/>
        <v>0</v>
      </c>
      <c r="I230" s="16">
        <f t="shared" si="21"/>
        <v>0</v>
      </c>
      <c r="J230" s="16">
        <f t="shared" si="21"/>
        <v>0</v>
      </c>
      <c r="K230" s="16">
        <f t="shared" si="21"/>
        <v>1</v>
      </c>
    </row>
    <row r="231" spans="1:11">
      <c r="A231" s="15" t="str">
        <f t="shared" si="17"/>
        <v>02541</v>
      </c>
      <c r="B231" s="16">
        <f t="shared" si="21"/>
        <v>123</v>
      </c>
      <c r="C231" s="16">
        <f t="shared" si="21"/>
        <v>0</v>
      </c>
      <c r="D231" s="16">
        <f t="shared" si="21"/>
        <v>254</v>
      </c>
      <c r="E231" s="16">
        <f t="shared" si="21"/>
        <v>1</v>
      </c>
      <c r="F231" s="16">
        <f t="shared" si="21"/>
        <v>80</v>
      </c>
      <c r="G231" s="16">
        <f t="shared" si="21"/>
        <v>0</v>
      </c>
      <c r="H231" s="16">
        <f t="shared" si="21"/>
        <v>0</v>
      </c>
      <c r="I231" s="16">
        <f t="shared" si="21"/>
        <v>0</v>
      </c>
      <c r="J231" s="16">
        <f t="shared" si="21"/>
        <v>0</v>
      </c>
      <c r="K231" s="16">
        <f t="shared" si="21"/>
        <v>1</v>
      </c>
    </row>
    <row r="232" spans="1:11">
      <c r="A232" s="15" t="str">
        <f t="shared" si="17"/>
        <v>02551</v>
      </c>
      <c r="B232" s="16">
        <f t="shared" si="21"/>
        <v>123</v>
      </c>
      <c r="C232" s="16">
        <f t="shared" si="21"/>
        <v>0</v>
      </c>
      <c r="D232" s="16">
        <f t="shared" si="21"/>
        <v>255</v>
      </c>
      <c r="E232" s="16">
        <f t="shared" si="21"/>
        <v>1</v>
      </c>
      <c r="F232" s="16">
        <f t="shared" si="21"/>
        <v>13</v>
      </c>
      <c r="G232" s="16">
        <f t="shared" si="21"/>
        <v>0</v>
      </c>
      <c r="H232" s="16">
        <f t="shared" si="21"/>
        <v>0</v>
      </c>
      <c r="I232" s="16">
        <f t="shared" si="21"/>
        <v>0</v>
      </c>
      <c r="J232" s="16">
        <f t="shared" si="21"/>
        <v>0</v>
      </c>
      <c r="K232" s="16">
        <f t="shared" si="21"/>
        <v>1</v>
      </c>
    </row>
    <row r="233" spans="1:11">
      <c r="A233" s="15" t="str">
        <f t="shared" si="17"/>
        <v>02561</v>
      </c>
      <c r="B233" s="16">
        <f t="shared" si="21"/>
        <v>123</v>
      </c>
      <c r="C233" s="16">
        <f t="shared" si="21"/>
        <v>0</v>
      </c>
      <c r="D233" s="16">
        <f t="shared" si="21"/>
        <v>256</v>
      </c>
      <c r="E233" s="16">
        <f t="shared" si="21"/>
        <v>1</v>
      </c>
      <c r="F233" s="16">
        <f t="shared" si="21"/>
        <v>228</v>
      </c>
      <c r="G233" s="16">
        <f t="shared" si="21"/>
        <v>0</v>
      </c>
      <c r="H233" s="16">
        <f t="shared" si="21"/>
        <v>0</v>
      </c>
      <c r="I233" s="16">
        <f t="shared" si="21"/>
        <v>0</v>
      </c>
      <c r="J233" s="16">
        <f t="shared" si="21"/>
        <v>0</v>
      </c>
      <c r="K233" s="16">
        <f t="shared" si="21"/>
        <v>1</v>
      </c>
    </row>
    <row r="234" spans="1:11">
      <c r="A234" s="15" t="str">
        <f t="shared" si="17"/>
        <v>02571</v>
      </c>
      <c r="B234" s="16">
        <f t="shared" si="21"/>
        <v>123</v>
      </c>
      <c r="C234" s="16">
        <f t="shared" si="21"/>
        <v>0</v>
      </c>
      <c r="D234" s="16">
        <f t="shared" si="21"/>
        <v>257</v>
      </c>
      <c r="E234" s="16">
        <f t="shared" si="21"/>
        <v>1</v>
      </c>
      <c r="F234" s="16">
        <f t="shared" si="21"/>
        <v>80</v>
      </c>
      <c r="G234" s="16">
        <f t="shared" si="21"/>
        <v>0</v>
      </c>
      <c r="H234" s="16">
        <f t="shared" si="21"/>
        <v>0</v>
      </c>
      <c r="I234" s="16">
        <f t="shared" si="21"/>
        <v>0</v>
      </c>
      <c r="J234" s="16">
        <f t="shared" si="21"/>
        <v>0</v>
      </c>
      <c r="K234" s="16">
        <f t="shared" si="21"/>
        <v>1</v>
      </c>
    </row>
    <row r="235" spans="1:11">
      <c r="A235" s="15" t="str">
        <f t="shared" si="17"/>
        <v>02581</v>
      </c>
      <c r="B235" s="16">
        <f t="shared" si="21"/>
        <v>123</v>
      </c>
      <c r="C235" s="16">
        <f t="shared" si="21"/>
        <v>0</v>
      </c>
      <c r="D235" s="16">
        <f t="shared" si="21"/>
        <v>258</v>
      </c>
      <c r="E235" s="16">
        <f t="shared" si="21"/>
        <v>1</v>
      </c>
      <c r="F235" s="16">
        <f t="shared" si="21"/>
        <v>13</v>
      </c>
      <c r="G235" s="16">
        <f t="shared" si="21"/>
        <v>0</v>
      </c>
      <c r="H235" s="16">
        <f t="shared" si="21"/>
        <v>0</v>
      </c>
      <c r="I235" s="16">
        <f t="shared" si="21"/>
        <v>0</v>
      </c>
      <c r="J235" s="16">
        <f t="shared" si="21"/>
        <v>0</v>
      </c>
      <c r="K235" s="16">
        <f t="shared" si="21"/>
        <v>1</v>
      </c>
    </row>
    <row r="236" spans="1:11">
      <c r="A236" s="15" t="str">
        <f t="shared" si="17"/>
        <v>02591</v>
      </c>
      <c r="B236" s="16">
        <f t="shared" si="21"/>
        <v>123</v>
      </c>
      <c r="C236" s="16">
        <f t="shared" si="21"/>
        <v>0</v>
      </c>
      <c r="D236" s="16">
        <f t="shared" si="21"/>
        <v>259</v>
      </c>
      <c r="E236" s="16">
        <f t="shared" si="21"/>
        <v>1</v>
      </c>
      <c r="F236" s="16">
        <f t="shared" si="21"/>
        <v>228</v>
      </c>
      <c r="G236" s="16">
        <f t="shared" si="21"/>
        <v>0</v>
      </c>
      <c r="H236" s="16">
        <f t="shared" si="21"/>
        <v>0</v>
      </c>
      <c r="I236" s="16">
        <f t="shared" si="21"/>
        <v>0</v>
      </c>
      <c r="J236" s="16">
        <f t="shared" si="21"/>
        <v>0</v>
      </c>
      <c r="K236" s="16">
        <f t="shared" si="21"/>
        <v>1</v>
      </c>
    </row>
    <row r="237" spans="1:11">
      <c r="A237" s="15" t="str">
        <f t="shared" si="17"/>
        <v>02601</v>
      </c>
      <c r="B237" s="16">
        <f t="shared" si="21"/>
        <v>123</v>
      </c>
      <c r="C237" s="16">
        <f t="shared" si="21"/>
        <v>0</v>
      </c>
      <c r="D237" s="16">
        <f t="shared" si="21"/>
        <v>260</v>
      </c>
      <c r="E237" s="16">
        <f t="shared" si="21"/>
        <v>1</v>
      </c>
      <c r="F237" s="16">
        <f t="shared" si="21"/>
        <v>80</v>
      </c>
      <c r="G237" s="16">
        <f t="shared" si="21"/>
        <v>0</v>
      </c>
      <c r="H237" s="16">
        <f t="shared" si="21"/>
        <v>0</v>
      </c>
      <c r="I237" s="16">
        <f t="shared" si="21"/>
        <v>0</v>
      </c>
      <c r="J237" s="16">
        <f t="shared" si="21"/>
        <v>0</v>
      </c>
      <c r="K237" s="16">
        <f t="shared" si="21"/>
        <v>1</v>
      </c>
    </row>
    <row r="238" spans="1:11">
      <c r="A238" s="15" t="str">
        <f t="shared" si="17"/>
        <v>02611</v>
      </c>
      <c r="B238" s="16">
        <f t="shared" si="21"/>
        <v>123</v>
      </c>
      <c r="C238" s="16">
        <f t="shared" si="21"/>
        <v>0</v>
      </c>
      <c r="D238" s="16">
        <f t="shared" si="21"/>
        <v>261</v>
      </c>
      <c r="E238" s="16">
        <f t="shared" si="21"/>
        <v>1</v>
      </c>
      <c r="F238" s="16">
        <f t="shared" si="21"/>
        <v>13</v>
      </c>
      <c r="G238" s="16">
        <f t="shared" si="21"/>
        <v>0</v>
      </c>
      <c r="H238" s="16">
        <f t="shared" si="21"/>
        <v>0</v>
      </c>
      <c r="I238" s="16">
        <f t="shared" si="21"/>
        <v>0</v>
      </c>
      <c r="J238" s="16">
        <f t="shared" si="21"/>
        <v>0</v>
      </c>
      <c r="K238" s="16">
        <f t="shared" si="21"/>
        <v>1</v>
      </c>
    </row>
    <row r="239" spans="1:11">
      <c r="A239" s="15" t="str">
        <f t="shared" si="17"/>
        <v>03201</v>
      </c>
      <c r="B239" s="16">
        <f t="shared" si="21"/>
        <v>123</v>
      </c>
      <c r="C239" s="16">
        <f t="shared" si="21"/>
        <v>0</v>
      </c>
      <c r="D239" s="16">
        <f t="shared" si="21"/>
        <v>320</v>
      </c>
      <c r="E239" s="16">
        <f t="shared" si="21"/>
        <v>1</v>
      </c>
      <c r="F239" s="16">
        <f t="shared" si="21"/>
        <v>144</v>
      </c>
      <c r="G239" s="16">
        <f t="shared" si="21"/>
        <v>0</v>
      </c>
      <c r="H239" s="16">
        <f t="shared" si="21"/>
        <v>0</v>
      </c>
      <c r="I239" s="16">
        <f t="shared" si="21"/>
        <v>0</v>
      </c>
      <c r="J239" s="16">
        <f t="shared" si="21"/>
        <v>0</v>
      </c>
      <c r="K239" s="16">
        <f t="shared" si="21"/>
        <v>1</v>
      </c>
    </row>
    <row r="240" spans="1:11">
      <c r="A240" s="15" t="str">
        <f t="shared" si="17"/>
        <v>03211</v>
      </c>
      <c r="B240" s="16">
        <f t="shared" si="21"/>
        <v>123</v>
      </c>
      <c r="C240" s="16">
        <f t="shared" si="21"/>
        <v>0</v>
      </c>
      <c r="D240" s="16">
        <f t="shared" si="21"/>
        <v>321</v>
      </c>
      <c r="E240" s="16">
        <f t="shared" si="21"/>
        <v>1</v>
      </c>
      <c r="F240" s="16">
        <f t="shared" si="21"/>
        <v>48</v>
      </c>
      <c r="G240" s="16">
        <f t="shared" si="21"/>
        <v>0</v>
      </c>
      <c r="H240" s="16">
        <f t="shared" si="21"/>
        <v>0</v>
      </c>
      <c r="I240" s="16">
        <f t="shared" si="21"/>
        <v>0</v>
      </c>
      <c r="J240" s="16">
        <f t="shared" si="21"/>
        <v>0</v>
      </c>
      <c r="K240" s="16">
        <f t="shared" si="21"/>
        <v>1</v>
      </c>
    </row>
    <row r="241" spans="1:11">
      <c r="A241" s="15" t="str">
        <f t="shared" si="17"/>
        <v>03221</v>
      </c>
      <c r="B241" s="16">
        <f t="shared" si="21"/>
        <v>123</v>
      </c>
      <c r="C241" s="16">
        <f t="shared" si="21"/>
        <v>0</v>
      </c>
      <c r="D241" s="16">
        <f t="shared" si="21"/>
        <v>322</v>
      </c>
      <c r="E241" s="16">
        <f t="shared" si="21"/>
        <v>1</v>
      </c>
      <c r="F241" s="16">
        <f t="shared" si="21"/>
        <v>144</v>
      </c>
      <c r="G241" s="16">
        <f t="shared" si="21"/>
        <v>0</v>
      </c>
      <c r="H241" s="16">
        <f t="shared" si="21"/>
        <v>0</v>
      </c>
      <c r="I241" s="16">
        <f t="shared" si="21"/>
        <v>0</v>
      </c>
      <c r="J241" s="16">
        <f t="shared" si="21"/>
        <v>0</v>
      </c>
      <c r="K241" s="16">
        <f t="shared" si="21"/>
        <v>1</v>
      </c>
    </row>
    <row r="242" spans="1:11">
      <c r="A242" s="15" t="str">
        <f t="shared" si="17"/>
        <v>03231</v>
      </c>
      <c r="B242" s="16">
        <f t="shared" si="21"/>
        <v>123</v>
      </c>
      <c r="C242" s="16">
        <f t="shared" si="21"/>
        <v>0</v>
      </c>
      <c r="D242" s="16">
        <f t="shared" si="21"/>
        <v>323</v>
      </c>
      <c r="E242" s="16">
        <f t="shared" si="21"/>
        <v>1</v>
      </c>
      <c r="F242" s="16">
        <f t="shared" si="21"/>
        <v>48</v>
      </c>
      <c r="G242" s="16">
        <f t="shared" si="21"/>
        <v>0</v>
      </c>
      <c r="H242" s="16">
        <f t="shared" si="21"/>
        <v>0</v>
      </c>
      <c r="I242" s="16">
        <f t="shared" si="21"/>
        <v>0</v>
      </c>
      <c r="J242" s="16">
        <f t="shared" si="21"/>
        <v>0</v>
      </c>
      <c r="K242" s="16">
        <f t="shared" si="21"/>
        <v>1</v>
      </c>
    </row>
    <row r="243" spans="1:11">
      <c r="A243" s="15" t="str">
        <f t="shared" si="17"/>
        <v>03241</v>
      </c>
      <c r="B243" s="16">
        <f t="shared" si="21"/>
        <v>123</v>
      </c>
      <c r="C243" s="16">
        <f t="shared" si="21"/>
        <v>0</v>
      </c>
      <c r="D243" s="16">
        <f t="shared" si="21"/>
        <v>324</v>
      </c>
      <c r="E243" s="16">
        <f t="shared" si="21"/>
        <v>1</v>
      </c>
      <c r="F243" s="16">
        <f t="shared" si="21"/>
        <v>144</v>
      </c>
      <c r="G243" s="16">
        <f t="shared" si="21"/>
        <v>0</v>
      </c>
      <c r="H243" s="16">
        <f t="shared" si="21"/>
        <v>0</v>
      </c>
      <c r="I243" s="16">
        <f t="shared" si="21"/>
        <v>0</v>
      </c>
      <c r="J243" s="16">
        <f t="shared" si="21"/>
        <v>0</v>
      </c>
      <c r="K243" s="16">
        <f t="shared" si="21"/>
        <v>1</v>
      </c>
    </row>
    <row r="244" spans="1:11">
      <c r="A244" s="15" t="str">
        <f t="shared" si="17"/>
        <v>03251</v>
      </c>
      <c r="B244" s="16">
        <f t="shared" si="21"/>
        <v>123</v>
      </c>
      <c r="C244" s="16">
        <f t="shared" si="21"/>
        <v>0</v>
      </c>
      <c r="D244" s="16">
        <f t="shared" si="21"/>
        <v>325</v>
      </c>
      <c r="E244" s="16">
        <f t="shared" si="21"/>
        <v>1</v>
      </c>
      <c r="F244" s="16">
        <f t="shared" si="21"/>
        <v>48</v>
      </c>
      <c r="G244" s="16">
        <f t="shared" si="21"/>
        <v>0</v>
      </c>
      <c r="H244" s="16">
        <f t="shared" si="21"/>
        <v>0</v>
      </c>
      <c r="I244" s="16">
        <f t="shared" si="21"/>
        <v>0</v>
      </c>
      <c r="J244" s="16">
        <f t="shared" si="21"/>
        <v>0</v>
      </c>
      <c r="K244" s="16">
        <f t="shared" si="21"/>
        <v>1</v>
      </c>
    </row>
    <row r="245" spans="1:11">
      <c r="A245" s="15" t="str">
        <f t="shared" si="17"/>
        <v>03261</v>
      </c>
      <c r="B245" s="16">
        <f t="shared" si="21"/>
        <v>123</v>
      </c>
      <c r="C245" s="16">
        <f t="shared" si="21"/>
        <v>0</v>
      </c>
      <c r="D245" s="16">
        <f t="shared" si="21"/>
        <v>326</v>
      </c>
      <c r="E245" s="16">
        <f t="shared" si="21"/>
        <v>1</v>
      </c>
      <c r="F245" s="16">
        <f t="shared" si="21"/>
        <v>144</v>
      </c>
      <c r="G245" s="16">
        <f t="shared" si="21"/>
        <v>0</v>
      </c>
      <c r="H245" s="16">
        <f t="shared" si="21"/>
        <v>0</v>
      </c>
      <c r="I245" s="16">
        <f t="shared" si="21"/>
        <v>0</v>
      </c>
      <c r="J245" s="16">
        <f t="shared" si="21"/>
        <v>0</v>
      </c>
      <c r="K245" s="16">
        <f t="shared" si="21"/>
        <v>1</v>
      </c>
    </row>
    <row r="246" spans="1:11">
      <c r="A246" s="15" t="str">
        <f t="shared" si="17"/>
        <v>03271</v>
      </c>
      <c r="B246" s="16">
        <f t="shared" si="21"/>
        <v>123</v>
      </c>
      <c r="C246" s="16">
        <f t="shared" si="21"/>
        <v>0</v>
      </c>
      <c r="D246" s="16">
        <f t="shared" si="21"/>
        <v>327</v>
      </c>
      <c r="E246" s="16">
        <f t="shared" si="21"/>
        <v>1</v>
      </c>
      <c r="F246" s="16">
        <f t="shared" si="21"/>
        <v>48</v>
      </c>
      <c r="G246" s="16">
        <f t="shared" si="21"/>
        <v>0</v>
      </c>
      <c r="H246" s="16">
        <f t="shared" si="21"/>
        <v>0</v>
      </c>
      <c r="I246" s="16">
        <f t="shared" si="21"/>
        <v>0</v>
      </c>
      <c r="J246" s="16">
        <f t="shared" si="21"/>
        <v>0</v>
      </c>
      <c r="K246" s="16">
        <f t="shared" si="21"/>
        <v>1</v>
      </c>
    </row>
    <row r="247" spans="1:11">
      <c r="A247" s="15" t="str">
        <f t="shared" si="17"/>
        <v>03801</v>
      </c>
      <c r="B247" s="16">
        <f t="shared" si="21"/>
        <v>123</v>
      </c>
      <c r="C247" s="16">
        <f t="shared" si="21"/>
        <v>0</v>
      </c>
      <c r="D247" s="16">
        <f t="shared" si="21"/>
        <v>380</v>
      </c>
      <c r="E247" s="16">
        <f t="shared" si="21"/>
        <v>1</v>
      </c>
      <c r="F247" s="16">
        <f t="shared" si="21"/>
        <v>5467</v>
      </c>
      <c r="G247" s="16">
        <f t="shared" si="21"/>
        <v>0</v>
      </c>
      <c r="H247" s="16">
        <f t="shared" si="21"/>
        <v>0</v>
      </c>
      <c r="I247" s="16">
        <f t="shared" si="21"/>
        <v>0</v>
      </c>
      <c r="J247" s="16">
        <f t="shared" si="21"/>
        <v>0</v>
      </c>
      <c r="K247" s="16">
        <f t="shared" si="21"/>
        <v>1</v>
      </c>
    </row>
    <row r="248" spans="1:11">
      <c r="A248" s="15" t="str">
        <f t="shared" si="17"/>
        <v>03811</v>
      </c>
      <c r="B248" s="16">
        <f t="shared" si="21"/>
        <v>123</v>
      </c>
      <c r="C248" s="16">
        <f t="shared" si="21"/>
        <v>0</v>
      </c>
      <c r="D248" s="16">
        <f t="shared" si="21"/>
        <v>381</v>
      </c>
      <c r="E248" s="16">
        <f t="shared" si="21"/>
        <v>1</v>
      </c>
      <c r="F248" s="16">
        <f t="shared" si="21"/>
        <v>1925</v>
      </c>
      <c r="G248" s="16">
        <f t="shared" si="21"/>
        <v>0</v>
      </c>
      <c r="H248" s="16">
        <f t="shared" si="21"/>
        <v>0</v>
      </c>
      <c r="I248" s="16">
        <f t="shared" si="21"/>
        <v>0</v>
      </c>
      <c r="J248" s="16">
        <f t="shared" si="21"/>
        <v>0</v>
      </c>
      <c r="K248" s="16">
        <f t="shared" si="21"/>
        <v>1</v>
      </c>
    </row>
    <row r="249" spans="1:11">
      <c r="A249" s="15" t="str">
        <f t="shared" si="17"/>
        <v>03821</v>
      </c>
      <c r="B249" s="16">
        <f t="shared" si="21"/>
        <v>123</v>
      </c>
      <c r="C249" s="16">
        <f t="shared" si="21"/>
        <v>0</v>
      </c>
      <c r="D249" s="16">
        <f t="shared" si="21"/>
        <v>382</v>
      </c>
      <c r="E249" s="16">
        <f t="shared" si="21"/>
        <v>1</v>
      </c>
      <c r="F249" s="16">
        <f t="shared" si="21"/>
        <v>308</v>
      </c>
      <c r="G249" s="16">
        <f t="shared" si="21"/>
        <v>0</v>
      </c>
      <c r="H249" s="16">
        <f t="shared" si="21"/>
        <v>0</v>
      </c>
      <c r="I249" s="16">
        <f t="shared" si="21"/>
        <v>0</v>
      </c>
      <c r="J249" s="16">
        <f t="shared" si="21"/>
        <v>0</v>
      </c>
      <c r="K249" s="16">
        <f t="shared" si="21"/>
        <v>1</v>
      </c>
    </row>
    <row r="250" spans="1:11">
      <c r="A250" s="15" t="str">
        <f t="shared" si="17"/>
        <v>03831</v>
      </c>
      <c r="B250" s="16">
        <f t="shared" si="21"/>
        <v>123</v>
      </c>
      <c r="C250" s="16">
        <f t="shared" si="21"/>
        <v>0</v>
      </c>
      <c r="D250" s="16">
        <f t="shared" si="21"/>
        <v>383</v>
      </c>
      <c r="E250" s="16">
        <f t="shared" si="21"/>
        <v>1</v>
      </c>
      <c r="F250" s="16">
        <f t="shared" si="21"/>
        <v>1348</v>
      </c>
      <c r="G250" s="16">
        <f t="shared" si="21"/>
        <v>0</v>
      </c>
      <c r="H250" s="16">
        <f t="shared" si="21"/>
        <v>0</v>
      </c>
      <c r="I250" s="16">
        <f t="shared" si="21"/>
        <v>0</v>
      </c>
      <c r="J250" s="16">
        <f t="shared" si="21"/>
        <v>0</v>
      </c>
      <c r="K250" s="16">
        <f t="shared" si="21"/>
        <v>1</v>
      </c>
    </row>
    <row r="251" spans="1:11">
      <c r="A251" s="15" t="str">
        <f t="shared" si="17"/>
        <v>03841</v>
      </c>
      <c r="B251" s="16">
        <f t="shared" si="21"/>
        <v>123</v>
      </c>
      <c r="C251" s="16">
        <f t="shared" si="21"/>
        <v>0</v>
      </c>
      <c r="D251" s="16">
        <f t="shared" si="21"/>
        <v>384</v>
      </c>
      <c r="E251" s="16">
        <f t="shared" si="21"/>
        <v>1</v>
      </c>
      <c r="F251" s="16">
        <f t="shared" si="21"/>
        <v>193</v>
      </c>
      <c r="G251" s="16">
        <f t="shared" si="21"/>
        <v>0</v>
      </c>
      <c r="H251" s="16">
        <f t="shared" si="21"/>
        <v>0</v>
      </c>
      <c r="I251" s="16">
        <f t="shared" si="21"/>
        <v>0</v>
      </c>
      <c r="J251" s="16">
        <f t="shared" si="21"/>
        <v>0</v>
      </c>
      <c r="K251" s="16">
        <f t="shared" si="21"/>
        <v>1</v>
      </c>
    </row>
    <row r="252" spans="1:11">
      <c r="A252" s="15" t="str">
        <f t="shared" si="17"/>
        <v>03851</v>
      </c>
      <c r="B252" s="16">
        <f t="shared" si="21"/>
        <v>123</v>
      </c>
      <c r="C252" s="16">
        <f t="shared" si="21"/>
        <v>0</v>
      </c>
      <c r="D252" s="16">
        <f t="shared" si="21"/>
        <v>385</v>
      </c>
      <c r="E252" s="16">
        <f t="shared" si="21"/>
        <v>1</v>
      </c>
      <c r="F252" s="16">
        <f t="shared" si="21"/>
        <v>1348</v>
      </c>
      <c r="G252" s="16">
        <f t="shared" ref="G252:K252" si="22">VLOOKUP($A252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52" s="16">
        <f t="shared" si="22"/>
        <v>0</v>
      </c>
      <c r="I252" s="16">
        <f t="shared" si="22"/>
        <v>0</v>
      </c>
      <c r="J252" s="16">
        <f t="shared" si="22"/>
        <v>0</v>
      </c>
      <c r="K252" s="16">
        <f t="shared" si="22"/>
        <v>1</v>
      </c>
    </row>
    <row r="253" spans="1:11">
      <c r="A253" s="15" t="str">
        <f t="shared" si="17"/>
        <v>03861</v>
      </c>
      <c r="B253" s="16">
        <f t="shared" ref="B253:K256" si="23"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123</v>
      </c>
      <c r="C253" s="16">
        <f t="shared" si="23"/>
        <v>0</v>
      </c>
      <c r="D253" s="16">
        <f t="shared" si="23"/>
        <v>386</v>
      </c>
      <c r="E253" s="16">
        <f t="shared" si="23"/>
        <v>1</v>
      </c>
      <c r="F253" s="16">
        <f t="shared" si="23"/>
        <v>193</v>
      </c>
      <c r="G253" s="16">
        <f t="shared" si="23"/>
        <v>0</v>
      </c>
      <c r="H253" s="16">
        <f t="shared" si="23"/>
        <v>0</v>
      </c>
      <c r="I253" s="16">
        <f t="shared" si="23"/>
        <v>0</v>
      </c>
      <c r="J253" s="16">
        <f t="shared" si="23"/>
        <v>0</v>
      </c>
      <c r="K253" s="16">
        <f t="shared" si="23"/>
        <v>1</v>
      </c>
    </row>
    <row r="254" spans="1:11">
      <c r="A254" s="15" t="str">
        <f t="shared" si="17"/>
        <v>03871</v>
      </c>
      <c r="B254" s="16">
        <f t="shared" si="23"/>
        <v>123</v>
      </c>
      <c r="C254" s="16">
        <f t="shared" si="23"/>
        <v>0</v>
      </c>
      <c r="D254" s="16">
        <f t="shared" si="23"/>
        <v>387</v>
      </c>
      <c r="E254" s="16">
        <f t="shared" si="23"/>
        <v>1</v>
      </c>
      <c r="F254" s="16">
        <f t="shared" si="23"/>
        <v>5467</v>
      </c>
      <c r="G254" s="16">
        <f t="shared" si="23"/>
        <v>0</v>
      </c>
      <c r="H254" s="16">
        <f t="shared" si="23"/>
        <v>0</v>
      </c>
      <c r="I254" s="16">
        <f t="shared" si="23"/>
        <v>0</v>
      </c>
      <c r="J254" s="16">
        <f t="shared" si="23"/>
        <v>0</v>
      </c>
      <c r="K254" s="16">
        <f t="shared" si="23"/>
        <v>1</v>
      </c>
    </row>
    <row r="255" spans="1:11">
      <c r="A255" s="15" t="str">
        <f t="shared" si="17"/>
        <v>03881</v>
      </c>
      <c r="B255" s="16">
        <f t="shared" si="23"/>
        <v>123</v>
      </c>
      <c r="C255" s="16">
        <f t="shared" si="23"/>
        <v>0</v>
      </c>
      <c r="D255" s="16">
        <f t="shared" si="23"/>
        <v>388</v>
      </c>
      <c r="E255" s="16">
        <f t="shared" si="23"/>
        <v>1</v>
      </c>
      <c r="F255" s="16">
        <f t="shared" si="23"/>
        <v>1925</v>
      </c>
      <c r="G255" s="16">
        <f t="shared" si="23"/>
        <v>0</v>
      </c>
      <c r="H255" s="16">
        <f t="shared" si="23"/>
        <v>0</v>
      </c>
      <c r="I255" s="16">
        <f t="shared" si="23"/>
        <v>0</v>
      </c>
      <c r="J255" s="16">
        <f t="shared" si="23"/>
        <v>0</v>
      </c>
      <c r="K255" s="16">
        <f t="shared" si="23"/>
        <v>1</v>
      </c>
    </row>
    <row r="256" spans="1:11">
      <c r="A256" s="15" t="str">
        <f t="shared" si="17"/>
        <v>03891</v>
      </c>
      <c r="B256" s="16">
        <f t="shared" si="23"/>
        <v>123</v>
      </c>
      <c r="C256" s="16">
        <f t="shared" si="23"/>
        <v>0</v>
      </c>
      <c r="D256" s="16">
        <f t="shared" si="23"/>
        <v>389</v>
      </c>
      <c r="E256" s="16">
        <f t="shared" si="23"/>
        <v>1</v>
      </c>
      <c r="F256" s="16">
        <f t="shared" si="23"/>
        <v>308</v>
      </c>
      <c r="G256" s="16">
        <f t="shared" si="23"/>
        <v>0</v>
      </c>
      <c r="H256" s="16">
        <f t="shared" si="23"/>
        <v>0</v>
      </c>
      <c r="I256" s="16">
        <f t="shared" si="23"/>
        <v>0</v>
      </c>
      <c r="J256" s="16">
        <f t="shared" si="23"/>
        <v>0</v>
      </c>
      <c r="K256" s="16">
        <f t="shared" si="23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6" sqref="C6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gacha_unit_tables_124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124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2150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124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2150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124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2150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124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2150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124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2150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124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2150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124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2150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124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2150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124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2150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124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2150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124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2150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124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2150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124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2150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124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2150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124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2150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124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2150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124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2150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124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2150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124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2150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124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2150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124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2266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124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2266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124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2266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124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2266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124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2266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124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2266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124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2266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124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2266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124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2266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124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2266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124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2266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124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2266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124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2266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124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2266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124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2266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124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2266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124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2266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124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2266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124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2266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124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2266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124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160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124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160</v>
      </c>
      <c r="G44" s="16">
        <f t="shared" ref="G44:K44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ref="B45:K70" si="4">VLOOKUP($A45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124</v>
      </c>
      <c r="C45" s="16">
        <f t="shared" si="4"/>
        <v>1</v>
      </c>
      <c r="D45" s="16">
        <f t="shared" si="4"/>
        <v>233</v>
      </c>
      <c r="E45" s="16">
        <f t="shared" si="4"/>
        <v>1</v>
      </c>
      <c r="F45" s="16">
        <f t="shared" si="4"/>
        <v>160</v>
      </c>
      <c r="G45" s="16">
        <f t="shared" si="4"/>
        <v>0</v>
      </c>
      <c r="H45" s="16">
        <f t="shared" si="4"/>
        <v>0</v>
      </c>
      <c r="I45" s="16">
        <f t="shared" si="4"/>
        <v>0</v>
      </c>
      <c r="J45" s="16">
        <f t="shared" si="4"/>
        <v>0</v>
      </c>
      <c r="K45" s="16">
        <f t="shared" si="4"/>
        <v>1</v>
      </c>
    </row>
    <row r="46" spans="1:11">
      <c r="A46" s="15" t="str">
        <f t="shared" si="0"/>
        <v>12361</v>
      </c>
      <c r="B46" s="16">
        <f t="shared" si="4"/>
        <v>124</v>
      </c>
      <c r="C46" s="16">
        <f t="shared" si="4"/>
        <v>1</v>
      </c>
      <c r="D46" s="16">
        <f t="shared" si="4"/>
        <v>236</v>
      </c>
      <c r="E46" s="16">
        <f t="shared" si="4"/>
        <v>1</v>
      </c>
      <c r="F46" s="16">
        <f t="shared" si="4"/>
        <v>160</v>
      </c>
      <c r="G46" s="16">
        <f t="shared" si="4"/>
        <v>0</v>
      </c>
      <c r="H46" s="16">
        <f t="shared" si="4"/>
        <v>0</v>
      </c>
      <c r="I46" s="16">
        <f t="shared" si="4"/>
        <v>0</v>
      </c>
      <c r="J46" s="16">
        <f t="shared" si="4"/>
        <v>0</v>
      </c>
      <c r="K46" s="16">
        <f t="shared" si="4"/>
        <v>1</v>
      </c>
    </row>
    <row r="47" spans="1:11">
      <c r="A47" s="15" t="str">
        <f t="shared" si="0"/>
        <v>11681</v>
      </c>
      <c r="B47" s="16">
        <f t="shared" si="4"/>
        <v>124</v>
      </c>
      <c r="C47" s="16">
        <f t="shared" si="4"/>
        <v>1</v>
      </c>
      <c r="D47" s="16">
        <f t="shared" si="4"/>
        <v>168</v>
      </c>
      <c r="E47" s="16">
        <f t="shared" si="4"/>
        <v>1</v>
      </c>
      <c r="F47" s="16">
        <f t="shared" si="4"/>
        <v>184</v>
      </c>
      <c r="G47" s="16">
        <f t="shared" si="4"/>
        <v>0</v>
      </c>
      <c r="H47" s="16">
        <f t="shared" si="4"/>
        <v>0</v>
      </c>
      <c r="I47" s="16">
        <f t="shared" si="4"/>
        <v>0</v>
      </c>
      <c r="J47" s="16">
        <f t="shared" si="4"/>
        <v>0</v>
      </c>
      <c r="K47" s="16">
        <f t="shared" si="4"/>
        <v>1</v>
      </c>
    </row>
    <row r="48" spans="1:11">
      <c r="A48" s="15" t="str">
        <f t="shared" si="0"/>
        <v>11711</v>
      </c>
      <c r="B48" s="16">
        <f t="shared" si="4"/>
        <v>124</v>
      </c>
      <c r="C48" s="16">
        <f t="shared" si="4"/>
        <v>1</v>
      </c>
      <c r="D48" s="16">
        <f t="shared" si="4"/>
        <v>171</v>
      </c>
      <c r="E48" s="16">
        <f t="shared" si="4"/>
        <v>1</v>
      </c>
      <c r="F48" s="16">
        <f t="shared" si="4"/>
        <v>184</v>
      </c>
      <c r="G48" s="16">
        <f t="shared" si="4"/>
        <v>0</v>
      </c>
      <c r="H48" s="16">
        <f t="shared" si="4"/>
        <v>0</v>
      </c>
      <c r="I48" s="16">
        <f t="shared" si="4"/>
        <v>0</v>
      </c>
      <c r="J48" s="16">
        <f t="shared" si="4"/>
        <v>0</v>
      </c>
      <c r="K48" s="16">
        <f t="shared" si="4"/>
        <v>1</v>
      </c>
    </row>
    <row r="49" spans="1:11">
      <c r="A49" s="15" t="str">
        <f t="shared" si="0"/>
        <v>11741</v>
      </c>
      <c r="B49" s="16">
        <f t="shared" si="4"/>
        <v>124</v>
      </c>
      <c r="C49" s="16">
        <f t="shared" si="4"/>
        <v>1</v>
      </c>
      <c r="D49" s="16">
        <f t="shared" si="4"/>
        <v>174</v>
      </c>
      <c r="E49" s="16">
        <f t="shared" si="4"/>
        <v>1</v>
      </c>
      <c r="F49" s="16">
        <f t="shared" si="4"/>
        <v>184</v>
      </c>
      <c r="G49" s="16">
        <f t="shared" si="4"/>
        <v>0</v>
      </c>
      <c r="H49" s="16">
        <f t="shared" si="4"/>
        <v>0</v>
      </c>
      <c r="I49" s="16">
        <f t="shared" si="4"/>
        <v>0</v>
      </c>
      <c r="J49" s="16">
        <f t="shared" si="4"/>
        <v>0</v>
      </c>
      <c r="K49" s="16">
        <f t="shared" si="4"/>
        <v>1</v>
      </c>
    </row>
    <row r="50" spans="1:11">
      <c r="A50" s="15" t="str">
        <f t="shared" si="0"/>
        <v>11771</v>
      </c>
      <c r="B50" s="16">
        <f t="shared" si="4"/>
        <v>124</v>
      </c>
      <c r="C50" s="16">
        <f t="shared" si="4"/>
        <v>1</v>
      </c>
      <c r="D50" s="16">
        <f t="shared" si="4"/>
        <v>177</v>
      </c>
      <c r="E50" s="16">
        <f t="shared" si="4"/>
        <v>1</v>
      </c>
      <c r="F50" s="16">
        <f t="shared" si="4"/>
        <v>184</v>
      </c>
      <c r="G50" s="16">
        <f t="shared" si="4"/>
        <v>0</v>
      </c>
      <c r="H50" s="16">
        <f t="shared" si="4"/>
        <v>0</v>
      </c>
      <c r="I50" s="16">
        <f t="shared" si="4"/>
        <v>0</v>
      </c>
      <c r="J50" s="16">
        <f t="shared" si="4"/>
        <v>0</v>
      </c>
      <c r="K50" s="16">
        <f t="shared" si="4"/>
        <v>1</v>
      </c>
    </row>
    <row r="51" spans="1:11">
      <c r="A51" s="15" t="str">
        <f t="shared" si="0"/>
        <v>11801</v>
      </c>
      <c r="B51" s="16">
        <f t="shared" si="4"/>
        <v>124</v>
      </c>
      <c r="C51" s="16">
        <f t="shared" si="4"/>
        <v>1</v>
      </c>
      <c r="D51" s="16">
        <f t="shared" si="4"/>
        <v>180</v>
      </c>
      <c r="E51" s="16">
        <f t="shared" si="4"/>
        <v>1</v>
      </c>
      <c r="F51" s="16">
        <f t="shared" si="4"/>
        <v>184</v>
      </c>
      <c r="G51" s="16">
        <f t="shared" si="4"/>
        <v>0</v>
      </c>
      <c r="H51" s="16">
        <f t="shared" si="4"/>
        <v>0</v>
      </c>
      <c r="I51" s="16">
        <f t="shared" si="4"/>
        <v>0</v>
      </c>
      <c r="J51" s="16">
        <f t="shared" si="4"/>
        <v>0</v>
      </c>
      <c r="K51" s="16">
        <f t="shared" si="4"/>
        <v>1</v>
      </c>
    </row>
    <row r="52" spans="1:11">
      <c r="A52" s="15" t="str">
        <f t="shared" si="0"/>
        <v>11831</v>
      </c>
      <c r="B52" s="16">
        <f t="shared" si="4"/>
        <v>124</v>
      </c>
      <c r="C52" s="16">
        <f t="shared" si="4"/>
        <v>1</v>
      </c>
      <c r="D52" s="16">
        <f t="shared" si="4"/>
        <v>183</v>
      </c>
      <c r="E52" s="16">
        <f t="shared" si="4"/>
        <v>1</v>
      </c>
      <c r="F52" s="16">
        <f t="shared" si="4"/>
        <v>184</v>
      </c>
      <c r="G52" s="16">
        <f t="shared" si="4"/>
        <v>0</v>
      </c>
      <c r="H52" s="16">
        <f t="shared" si="4"/>
        <v>0</v>
      </c>
      <c r="I52" s="16">
        <f t="shared" si="4"/>
        <v>0</v>
      </c>
      <c r="J52" s="16">
        <f t="shared" si="4"/>
        <v>0</v>
      </c>
      <c r="K52" s="16">
        <f t="shared" si="4"/>
        <v>1</v>
      </c>
    </row>
    <row r="53" spans="1:11">
      <c r="A53" s="15" t="str">
        <f t="shared" si="0"/>
        <v>11861</v>
      </c>
      <c r="B53" s="16">
        <f t="shared" si="4"/>
        <v>124</v>
      </c>
      <c r="C53" s="16">
        <f t="shared" si="4"/>
        <v>1</v>
      </c>
      <c r="D53" s="16">
        <f t="shared" si="4"/>
        <v>186</v>
      </c>
      <c r="E53" s="16">
        <f t="shared" si="4"/>
        <v>1</v>
      </c>
      <c r="F53" s="16">
        <f t="shared" si="4"/>
        <v>184</v>
      </c>
      <c r="G53" s="16">
        <f t="shared" si="4"/>
        <v>0</v>
      </c>
      <c r="H53" s="16">
        <f t="shared" si="4"/>
        <v>0</v>
      </c>
      <c r="I53" s="16">
        <f t="shared" si="4"/>
        <v>0</v>
      </c>
      <c r="J53" s="16">
        <f t="shared" si="4"/>
        <v>0</v>
      </c>
      <c r="K53" s="16">
        <f t="shared" si="4"/>
        <v>1</v>
      </c>
    </row>
    <row r="54" spans="1:11">
      <c r="A54" s="15" t="str">
        <f t="shared" si="0"/>
        <v>11891</v>
      </c>
      <c r="B54" s="16">
        <f t="shared" si="4"/>
        <v>124</v>
      </c>
      <c r="C54" s="16">
        <f t="shared" si="4"/>
        <v>1</v>
      </c>
      <c r="D54" s="16">
        <f t="shared" si="4"/>
        <v>189</v>
      </c>
      <c r="E54" s="16">
        <f t="shared" si="4"/>
        <v>1</v>
      </c>
      <c r="F54" s="16">
        <f t="shared" si="4"/>
        <v>184</v>
      </c>
      <c r="G54" s="16">
        <f t="shared" si="4"/>
        <v>0</v>
      </c>
      <c r="H54" s="16">
        <f t="shared" si="4"/>
        <v>0</v>
      </c>
      <c r="I54" s="16">
        <f t="shared" si="4"/>
        <v>0</v>
      </c>
      <c r="J54" s="16">
        <f t="shared" si="4"/>
        <v>0</v>
      </c>
      <c r="K54" s="16">
        <f t="shared" si="4"/>
        <v>1</v>
      </c>
    </row>
    <row r="55" spans="1:11">
      <c r="A55" s="15" t="str">
        <f t="shared" si="0"/>
        <v>11921</v>
      </c>
      <c r="B55" s="16">
        <f t="shared" si="4"/>
        <v>124</v>
      </c>
      <c r="C55" s="16">
        <f t="shared" si="4"/>
        <v>1</v>
      </c>
      <c r="D55" s="16">
        <f t="shared" si="4"/>
        <v>192</v>
      </c>
      <c r="E55" s="16">
        <f t="shared" si="4"/>
        <v>1</v>
      </c>
      <c r="F55" s="16">
        <f t="shared" si="4"/>
        <v>184</v>
      </c>
      <c r="G55" s="16">
        <f t="shared" si="4"/>
        <v>0</v>
      </c>
      <c r="H55" s="16">
        <f t="shared" si="4"/>
        <v>0</v>
      </c>
      <c r="I55" s="16">
        <f t="shared" si="4"/>
        <v>0</v>
      </c>
      <c r="J55" s="16">
        <f t="shared" si="4"/>
        <v>0</v>
      </c>
      <c r="K55" s="16">
        <f t="shared" si="4"/>
        <v>1</v>
      </c>
    </row>
    <row r="56" spans="1:11">
      <c r="A56" s="15" t="str">
        <f t="shared" si="0"/>
        <v>11951</v>
      </c>
      <c r="B56" s="16">
        <f t="shared" si="4"/>
        <v>124</v>
      </c>
      <c r="C56" s="16">
        <f t="shared" si="4"/>
        <v>1</v>
      </c>
      <c r="D56" s="16">
        <f t="shared" si="4"/>
        <v>195</v>
      </c>
      <c r="E56" s="16">
        <f t="shared" si="4"/>
        <v>1</v>
      </c>
      <c r="F56" s="16">
        <f t="shared" si="4"/>
        <v>184</v>
      </c>
      <c r="G56" s="16">
        <f t="shared" si="4"/>
        <v>0</v>
      </c>
      <c r="H56" s="16">
        <f t="shared" si="4"/>
        <v>0</v>
      </c>
      <c r="I56" s="16">
        <f t="shared" si="4"/>
        <v>0</v>
      </c>
      <c r="J56" s="16">
        <f t="shared" si="4"/>
        <v>0</v>
      </c>
      <c r="K56" s="16">
        <f t="shared" si="4"/>
        <v>1</v>
      </c>
    </row>
    <row r="57" spans="1:11">
      <c r="A57" s="15" t="str">
        <f t="shared" si="0"/>
        <v>11981</v>
      </c>
      <c r="B57" s="16">
        <f t="shared" si="4"/>
        <v>124</v>
      </c>
      <c r="C57" s="16">
        <f t="shared" si="4"/>
        <v>1</v>
      </c>
      <c r="D57" s="16">
        <f t="shared" si="4"/>
        <v>198</v>
      </c>
      <c r="E57" s="16">
        <f t="shared" si="4"/>
        <v>1</v>
      </c>
      <c r="F57" s="16">
        <f t="shared" si="4"/>
        <v>184</v>
      </c>
      <c r="G57" s="16">
        <f t="shared" si="4"/>
        <v>0</v>
      </c>
      <c r="H57" s="16">
        <f t="shared" si="4"/>
        <v>0</v>
      </c>
      <c r="I57" s="16">
        <f t="shared" si="4"/>
        <v>0</v>
      </c>
      <c r="J57" s="16">
        <f t="shared" si="4"/>
        <v>0</v>
      </c>
      <c r="K57" s="16">
        <f t="shared" si="4"/>
        <v>1</v>
      </c>
    </row>
    <row r="58" spans="1:11">
      <c r="A58" s="15" t="str">
        <f t="shared" si="0"/>
        <v>12011</v>
      </c>
      <c r="B58" s="16">
        <f t="shared" si="4"/>
        <v>124</v>
      </c>
      <c r="C58" s="16">
        <f t="shared" si="4"/>
        <v>1</v>
      </c>
      <c r="D58" s="16">
        <f t="shared" si="4"/>
        <v>201</v>
      </c>
      <c r="E58" s="16">
        <f t="shared" si="4"/>
        <v>1</v>
      </c>
      <c r="F58" s="16">
        <f t="shared" si="4"/>
        <v>184</v>
      </c>
      <c r="G58" s="16">
        <f t="shared" si="4"/>
        <v>0</v>
      </c>
      <c r="H58" s="16">
        <f t="shared" si="4"/>
        <v>0</v>
      </c>
      <c r="I58" s="16">
        <f t="shared" si="4"/>
        <v>0</v>
      </c>
      <c r="J58" s="16">
        <f t="shared" si="4"/>
        <v>0</v>
      </c>
      <c r="K58" s="16">
        <f t="shared" si="4"/>
        <v>1</v>
      </c>
    </row>
    <row r="59" spans="1:11">
      <c r="A59" s="15" t="str">
        <f t="shared" si="0"/>
        <v>12041</v>
      </c>
      <c r="B59" s="16">
        <f t="shared" si="4"/>
        <v>124</v>
      </c>
      <c r="C59" s="16">
        <f t="shared" si="4"/>
        <v>1</v>
      </c>
      <c r="D59" s="16">
        <f t="shared" si="4"/>
        <v>204</v>
      </c>
      <c r="E59" s="16">
        <f t="shared" si="4"/>
        <v>1</v>
      </c>
      <c r="F59" s="16">
        <f t="shared" si="4"/>
        <v>184</v>
      </c>
      <c r="G59" s="16">
        <f t="shared" si="4"/>
        <v>0</v>
      </c>
      <c r="H59" s="16">
        <f t="shared" si="4"/>
        <v>0</v>
      </c>
      <c r="I59" s="16">
        <f t="shared" si="4"/>
        <v>0</v>
      </c>
      <c r="J59" s="16">
        <f t="shared" si="4"/>
        <v>0</v>
      </c>
      <c r="K59" s="16">
        <f t="shared" si="4"/>
        <v>1</v>
      </c>
    </row>
    <row r="60" spans="1:11">
      <c r="A60" s="15" t="str">
        <f t="shared" si="0"/>
        <v>12071</v>
      </c>
      <c r="B60" s="16">
        <f t="shared" si="4"/>
        <v>124</v>
      </c>
      <c r="C60" s="16">
        <f t="shared" si="4"/>
        <v>1</v>
      </c>
      <c r="D60" s="16">
        <f t="shared" si="4"/>
        <v>207</v>
      </c>
      <c r="E60" s="16">
        <f t="shared" si="4"/>
        <v>1</v>
      </c>
      <c r="F60" s="16">
        <f t="shared" si="4"/>
        <v>184</v>
      </c>
      <c r="G60" s="16">
        <f t="shared" si="4"/>
        <v>0</v>
      </c>
      <c r="H60" s="16">
        <f t="shared" si="4"/>
        <v>0</v>
      </c>
      <c r="I60" s="16">
        <f t="shared" si="4"/>
        <v>0</v>
      </c>
      <c r="J60" s="16">
        <f t="shared" si="4"/>
        <v>0</v>
      </c>
      <c r="K60" s="16">
        <f t="shared" si="4"/>
        <v>1</v>
      </c>
    </row>
    <row r="61" spans="1:11">
      <c r="A61" s="15" t="str">
        <f t="shared" si="0"/>
        <v>12101</v>
      </c>
      <c r="B61" s="16">
        <f t="shared" si="4"/>
        <v>124</v>
      </c>
      <c r="C61" s="16">
        <f t="shared" si="4"/>
        <v>1</v>
      </c>
      <c r="D61" s="16">
        <f t="shared" si="4"/>
        <v>210</v>
      </c>
      <c r="E61" s="16">
        <f t="shared" si="4"/>
        <v>1</v>
      </c>
      <c r="F61" s="16">
        <f t="shared" si="4"/>
        <v>184</v>
      </c>
      <c r="G61" s="16">
        <f t="shared" si="4"/>
        <v>0</v>
      </c>
      <c r="H61" s="16">
        <f t="shared" si="4"/>
        <v>0</v>
      </c>
      <c r="I61" s="16">
        <f t="shared" si="4"/>
        <v>0</v>
      </c>
      <c r="J61" s="16">
        <f t="shared" si="4"/>
        <v>0</v>
      </c>
      <c r="K61" s="16">
        <f t="shared" si="4"/>
        <v>1</v>
      </c>
    </row>
    <row r="62" spans="1:11">
      <c r="A62" s="15" t="str">
        <f t="shared" si="0"/>
        <v>12131</v>
      </c>
      <c r="B62" s="16">
        <f t="shared" si="4"/>
        <v>124</v>
      </c>
      <c r="C62" s="16">
        <f t="shared" si="4"/>
        <v>1</v>
      </c>
      <c r="D62" s="16">
        <f t="shared" si="4"/>
        <v>213</v>
      </c>
      <c r="E62" s="16">
        <f t="shared" si="4"/>
        <v>1</v>
      </c>
      <c r="F62" s="16">
        <f t="shared" si="4"/>
        <v>184</v>
      </c>
      <c r="G62" s="16">
        <f t="shared" si="4"/>
        <v>0</v>
      </c>
      <c r="H62" s="16">
        <f t="shared" si="4"/>
        <v>0</v>
      </c>
      <c r="I62" s="16">
        <f t="shared" si="4"/>
        <v>0</v>
      </c>
      <c r="J62" s="16">
        <f t="shared" si="4"/>
        <v>0</v>
      </c>
      <c r="K62" s="16">
        <f t="shared" si="4"/>
        <v>1</v>
      </c>
    </row>
    <row r="63" spans="1:11">
      <c r="A63" s="15" t="str">
        <f t="shared" si="0"/>
        <v>12161</v>
      </c>
      <c r="B63" s="16">
        <f t="shared" si="4"/>
        <v>124</v>
      </c>
      <c r="C63" s="16">
        <f t="shared" si="4"/>
        <v>1</v>
      </c>
      <c r="D63" s="16">
        <f t="shared" si="4"/>
        <v>216</v>
      </c>
      <c r="E63" s="16">
        <f t="shared" si="4"/>
        <v>1</v>
      </c>
      <c r="F63" s="16">
        <f t="shared" si="4"/>
        <v>184</v>
      </c>
      <c r="G63" s="16">
        <f t="shared" si="4"/>
        <v>0</v>
      </c>
      <c r="H63" s="16">
        <f t="shared" si="4"/>
        <v>0</v>
      </c>
      <c r="I63" s="16">
        <f t="shared" si="4"/>
        <v>0</v>
      </c>
      <c r="J63" s="16">
        <f t="shared" si="4"/>
        <v>0</v>
      </c>
      <c r="K63" s="16">
        <f t="shared" si="4"/>
        <v>1</v>
      </c>
    </row>
    <row r="64" spans="1:11">
      <c r="A64" s="15" t="str">
        <f t="shared" si="0"/>
        <v>12191</v>
      </c>
      <c r="B64" s="16">
        <f t="shared" si="4"/>
        <v>124</v>
      </c>
      <c r="C64" s="16">
        <f t="shared" si="4"/>
        <v>1</v>
      </c>
      <c r="D64" s="16">
        <f t="shared" si="4"/>
        <v>219</v>
      </c>
      <c r="E64" s="16">
        <f t="shared" si="4"/>
        <v>1</v>
      </c>
      <c r="F64" s="16">
        <f t="shared" si="4"/>
        <v>184</v>
      </c>
      <c r="G64" s="16">
        <f t="shared" si="4"/>
        <v>0</v>
      </c>
      <c r="H64" s="16">
        <f t="shared" si="4"/>
        <v>0</v>
      </c>
      <c r="I64" s="16">
        <f t="shared" si="4"/>
        <v>0</v>
      </c>
      <c r="J64" s="16">
        <f t="shared" si="4"/>
        <v>0</v>
      </c>
      <c r="K64" s="16">
        <f t="shared" si="4"/>
        <v>1</v>
      </c>
    </row>
    <row r="65" spans="1:11">
      <c r="A65" s="15" t="str">
        <f t="shared" si="0"/>
        <v>12221</v>
      </c>
      <c r="B65" s="16">
        <f t="shared" si="4"/>
        <v>124</v>
      </c>
      <c r="C65" s="16">
        <f t="shared" si="4"/>
        <v>1</v>
      </c>
      <c r="D65" s="16">
        <f t="shared" si="4"/>
        <v>222</v>
      </c>
      <c r="E65" s="16">
        <f t="shared" si="4"/>
        <v>1</v>
      </c>
      <c r="F65" s="16">
        <f t="shared" si="4"/>
        <v>184</v>
      </c>
      <c r="G65" s="16">
        <f t="shared" si="4"/>
        <v>0</v>
      </c>
      <c r="H65" s="16">
        <f t="shared" si="4"/>
        <v>0</v>
      </c>
      <c r="I65" s="16">
        <f t="shared" si="4"/>
        <v>0</v>
      </c>
      <c r="J65" s="16">
        <f t="shared" si="4"/>
        <v>0</v>
      </c>
      <c r="K65" s="16">
        <f t="shared" si="4"/>
        <v>1</v>
      </c>
    </row>
    <row r="66" spans="1:11">
      <c r="A66" s="15" t="str">
        <f t="shared" si="0"/>
        <v>12251</v>
      </c>
      <c r="B66" s="16">
        <f t="shared" si="4"/>
        <v>124</v>
      </c>
      <c r="C66" s="16">
        <f t="shared" si="4"/>
        <v>1</v>
      </c>
      <c r="D66" s="16">
        <f t="shared" si="4"/>
        <v>225</v>
      </c>
      <c r="E66" s="16">
        <f t="shared" si="4"/>
        <v>1</v>
      </c>
      <c r="F66" s="16">
        <f t="shared" si="4"/>
        <v>184</v>
      </c>
      <c r="G66" s="16">
        <f t="shared" si="4"/>
        <v>0</v>
      </c>
      <c r="H66" s="16">
        <f t="shared" si="4"/>
        <v>0</v>
      </c>
      <c r="I66" s="16">
        <f t="shared" si="4"/>
        <v>0</v>
      </c>
      <c r="J66" s="16">
        <f t="shared" si="4"/>
        <v>0</v>
      </c>
      <c r="K66" s="16">
        <f t="shared" si="4"/>
        <v>1</v>
      </c>
    </row>
    <row r="67" spans="1:11">
      <c r="A67" s="15" t="str">
        <f t="shared" ref="A67:A130" si="5">INDIRECT(ADDRESS(ROW()+$A$1,COLUMN(),1,TRUE,$C$1))</f>
        <v>12281</v>
      </c>
      <c r="B67" s="16">
        <f t="shared" si="4"/>
        <v>124</v>
      </c>
      <c r="C67" s="16">
        <f t="shared" si="4"/>
        <v>1</v>
      </c>
      <c r="D67" s="16">
        <f t="shared" si="4"/>
        <v>228</v>
      </c>
      <c r="E67" s="16">
        <f t="shared" si="4"/>
        <v>1</v>
      </c>
      <c r="F67" s="16">
        <f t="shared" si="4"/>
        <v>7</v>
      </c>
      <c r="G67" s="16">
        <f t="shared" si="4"/>
        <v>0</v>
      </c>
      <c r="H67" s="16">
        <f t="shared" si="4"/>
        <v>0</v>
      </c>
      <c r="I67" s="16">
        <f t="shared" si="4"/>
        <v>0</v>
      </c>
      <c r="J67" s="16">
        <f t="shared" si="4"/>
        <v>0</v>
      </c>
      <c r="K67" s="16">
        <f t="shared" si="4"/>
        <v>1</v>
      </c>
    </row>
    <row r="68" spans="1:11">
      <c r="A68" s="15" t="str">
        <f t="shared" si="5"/>
        <v>12311</v>
      </c>
      <c r="B68" s="16">
        <f t="shared" si="4"/>
        <v>124</v>
      </c>
      <c r="C68" s="16">
        <f t="shared" si="4"/>
        <v>1</v>
      </c>
      <c r="D68" s="16">
        <f t="shared" si="4"/>
        <v>231</v>
      </c>
      <c r="E68" s="16">
        <f t="shared" si="4"/>
        <v>1</v>
      </c>
      <c r="F68" s="16">
        <f t="shared" si="4"/>
        <v>7</v>
      </c>
      <c r="G68" s="16">
        <f t="shared" si="4"/>
        <v>0</v>
      </c>
      <c r="H68" s="16">
        <f t="shared" si="4"/>
        <v>0</v>
      </c>
      <c r="I68" s="16">
        <f t="shared" si="4"/>
        <v>0</v>
      </c>
      <c r="J68" s="16">
        <f t="shared" si="4"/>
        <v>0</v>
      </c>
      <c r="K68" s="16">
        <f t="shared" si="4"/>
        <v>1</v>
      </c>
    </row>
    <row r="69" spans="1:11">
      <c r="A69" s="15" t="str">
        <f t="shared" si="5"/>
        <v>12341</v>
      </c>
      <c r="B69" s="16">
        <f t="shared" si="4"/>
        <v>124</v>
      </c>
      <c r="C69" s="16">
        <f t="shared" si="4"/>
        <v>1</v>
      </c>
      <c r="D69" s="16">
        <f t="shared" si="4"/>
        <v>234</v>
      </c>
      <c r="E69" s="16">
        <f t="shared" si="4"/>
        <v>1</v>
      </c>
      <c r="F69" s="16">
        <f t="shared" si="4"/>
        <v>7</v>
      </c>
      <c r="G69" s="16">
        <f t="shared" si="4"/>
        <v>0</v>
      </c>
      <c r="H69" s="16">
        <f t="shared" si="4"/>
        <v>0</v>
      </c>
      <c r="I69" s="16">
        <f t="shared" si="4"/>
        <v>0</v>
      </c>
      <c r="J69" s="16">
        <f t="shared" si="4"/>
        <v>0</v>
      </c>
      <c r="K69" s="16">
        <f t="shared" si="4"/>
        <v>1</v>
      </c>
    </row>
    <row r="70" spans="1:11">
      <c r="A70" s="15" t="str">
        <f t="shared" si="5"/>
        <v>12371</v>
      </c>
      <c r="B70" s="16">
        <f t="shared" si="4"/>
        <v>124</v>
      </c>
      <c r="C70" s="16">
        <f t="shared" si="4"/>
        <v>1</v>
      </c>
      <c r="D70" s="16">
        <f t="shared" si="4"/>
        <v>237</v>
      </c>
      <c r="E70" s="16">
        <f t="shared" si="4"/>
        <v>1</v>
      </c>
      <c r="F70" s="16">
        <f t="shared" si="4"/>
        <v>7</v>
      </c>
      <c r="G70" s="16">
        <f t="shared" ref="B70:K95" si="6">VLOOKUP($A70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70" s="16">
        <f t="shared" si="6"/>
        <v>0</v>
      </c>
      <c r="I70" s="16">
        <f t="shared" si="6"/>
        <v>0</v>
      </c>
      <c r="J70" s="16">
        <f t="shared" si="6"/>
        <v>0</v>
      </c>
      <c r="K70" s="16">
        <f t="shared" si="6"/>
        <v>1</v>
      </c>
    </row>
    <row r="71" spans="1:11">
      <c r="A71" s="15" t="str">
        <f t="shared" si="5"/>
        <v>12391</v>
      </c>
      <c r="B71" s="16">
        <f t="shared" si="6"/>
        <v>124</v>
      </c>
      <c r="C71" s="16">
        <f t="shared" si="6"/>
        <v>1</v>
      </c>
      <c r="D71" s="16">
        <f t="shared" si="6"/>
        <v>239</v>
      </c>
      <c r="E71" s="16">
        <f t="shared" si="6"/>
        <v>1</v>
      </c>
      <c r="F71" s="16">
        <f t="shared" si="6"/>
        <v>160</v>
      </c>
      <c r="G71" s="16">
        <f t="shared" si="6"/>
        <v>0</v>
      </c>
      <c r="H71" s="16">
        <f t="shared" si="6"/>
        <v>0</v>
      </c>
      <c r="I71" s="16">
        <f t="shared" si="6"/>
        <v>0</v>
      </c>
      <c r="J71" s="16">
        <f t="shared" si="6"/>
        <v>0</v>
      </c>
      <c r="K71" s="16">
        <f t="shared" si="6"/>
        <v>1</v>
      </c>
    </row>
    <row r="72" spans="1:11">
      <c r="A72" s="15" t="str">
        <f t="shared" si="5"/>
        <v>12401</v>
      </c>
      <c r="B72" s="16">
        <f t="shared" si="6"/>
        <v>124</v>
      </c>
      <c r="C72" s="16">
        <f t="shared" si="6"/>
        <v>1</v>
      </c>
      <c r="D72" s="16">
        <f t="shared" si="6"/>
        <v>240</v>
      </c>
      <c r="E72" s="16">
        <f t="shared" si="6"/>
        <v>1</v>
      </c>
      <c r="F72" s="16">
        <f t="shared" si="6"/>
        <v>7</v>
      </c>
      <c r="G72" s="16">
        <f t="shared" si="6"/>
        <v>0</v>
      </c>
      <c r="H72" s="16">
        <f t="shared" si="6"/>
        <v>0</v>
      </c>
      <c r="I72" s="16">
        <f t="shared" si="6"/>
        <v>0</v>
      </c>
      <c r="J72" s="16">
        <f t="shared" si="6"/>
        <v>0</v>
      </c>
      <c r="K72" s="16">
        <f t="shared" si="6"/>
        <v>1</v>
      </c>
    </row>
    <row r="73" spans="1:11">
      <c r="A73" s="15" t="str">
        <f t="shared" si="5"/>
        <v>12421</v>
      </c>
      <c r="B73" s="16">
        <f t="shared" si="6"/>
        <v>124</v>
      </c>
      <c r="C73" s="16">
        <f t="shared" si="6"/>
        <v>1</v>
      </c>
      <c r="D73" s="16">
        <f t="shared" si="6"/>
        <v>242</v>
      </c>
      <c r="E73" s="16">
        <f t="shared" si="6"/>
        <v>1</v>
      </c>
      <c r="F73" s="16">
        <f t="shared" si="6"/>
        <v>160</v>
      </c>
      <c r="G73" s="16">
        <f t="shared" si="6"/>
        <v>0</v>
      </c>
      <c r="H73" s="16">
        <f t="shared" si="6"/>
        <v>0</v>
      </c>
      <c r="I73" s="16">
        <f t="shared" si="6"/>
        <v>0</v>
      </c>
      <c r="J73" s="16">
        <f t="shared" si="6"/>
        <v>0</v>
      </c>
      <c r="K73" s="16">
        <f t="shared" si="6"/>
        <v>1</v>
      </c>
    </row>
    <row r="74" spans="1:11">
      <c r="A74" s="15" t="str">
        <f t="shared" si="5"/>
        <v>12431</v>
      </c>
      <c r="B74" s="16">
        <f t="shared" si="6"/>
        <v>124</v>
      </c>
      <c r="C74" s="16">
        <f t="shared" si="6"/>
        <v>1</v>
      </c>
      <c r="D74" s="16">
        <f t="shared" si="6"/>
        <v>243</v>
      </c>
      <c r="E74" s="16">
        <f t="shared" si="6"/>
        <v>1</v>
      </c>
      <c r="F74" s="16">
        <f t="shared" si="6"/>
        <v>7</v>
      </c>
      <c r="G74" s="16">
        <f t="shared" si="6"/>
        <v>0</v>
      </c>
      <c r="H74" s="16">
        <f t="shared" si="6"/>
        <v>0</v>
      </c>
      <c r="I74" s="16">
        <f t="shared" si="6"/>
        <v>0</v>
      </c>
      <c r="J74" s="16">
        <f t="shared" si="6"/>
        <v>0</v>
      </c>
      <c r="K74" s="16">
        <f t="shared" si="6"/>
        <v>1</v>
      </c>
    </row>
    <row r="75" spans="1:11">
      <c r="A75" s="15" t="str">
        <f t="shared" si="5"/>
        <v>12451</v>
      </c>
      <c r="B75" s="16">
        <f t="shared" si="6"/>
        <v>124</v>
      </c>
      <c r="C75" s="16">
        <f t="shared" si="6"/>
        <v>1</v>
      </c>
      <c r="D75" s="16">
        <f t="shared" si="6"/>
        <v>245</v>
      </c>
      <c r="E75" s="16">
        <f t="shared" si="6"/>
        <v>1</v>
      </c>
      <c r="F75" s="16">
        <f t="shared" si="6"/>
        <v>160</v>
      </c>
      <c r="G75" s="16">
        <f t="shared" si="6"/>
        <v>0</v>
      </c>
      <c r="H75" s="16">
        <f t="shared" si="6"/>
        <v>0</v>
      </c>
      <c r="I75" s="16">
        <f t="shared" si="6"/>
        <v>0</v>
      </c>
      <c r="J75" s="16">
        <f t="shared" si="6"/>
        <v>0</v>
      </c>
      <c r="K75" s="16">
        <f t="shared" si="6"/>
        <v>1</v>
      </c>
    </row>
    <row r="76" spans="1:11">
      <c r="A76" s="15" t="str">
        <f t="shared" si="5"/>
        <v>12461</v>
      </c>
      <c r="B76" s="16">
        <f t="shared" si="6"/>
        <v>124</v>
      </c>
      <c r="C76" s="16">
        <f t="shared" si="6"/>
        <v>1</v>
      </c>
      <c r="D76" s="16">
        <f t="shared" si="6"/>
        <v>246</v>
      </c>
      <c r="E76" s="16">
        <f t="shared" si="6"/>
        <v>1</v>
      </c>
      <c r="F76" s="16">
        <f t="shared" si="6"/>
        <v>7</v>
      </c>
      <c r="G76" s="16">
        <f t="shared" si="6"/>
        <v>0</v>
      </c>
      <c r="H76" s="16">
        <f t="shared" si="6"/>
        <v>0</v>
      </c>
      <c r="I76" s="16">
        <f t="shared" si="6"/>
        <v>0</v>
      </c>
      <c r="J76" s="16">
        <f t="shared" si="6"/>
        <v>0</v>
      </c>
      <c r="K76" s="16">
        <f t="shared" si="6"/>
        <v>1</v>
      </c>
    </row>
    <row r="77" spans="1:11">
      <c r="A77" s="15" t="str">
        <f t="shared" si="5"/>
        <v>12481</v>
      </c>
      <c r="B77" s="16">
        <f t="shared" si="6"/>
        <v>124</v>
      </c>
      <c r="C77" s="16">
        <f t="shared" si="6"/>
        <v>1</v>
      </c>
      <c r="D77" s="16">
        <f t="shared" si="6"/>
        <v>248</v>
      </c>
      <c r="E77" s="16">
        <f t="shared" si="6"/>
        <v>1</v>
      </c>
      <c r="F77" s="16">
        <f t="shared" si="6"/>
        <v>160</v>
      </c>
      <c r="G77" s="16">
        <f t="shared" si="6"/>
        <v>0</v>
      </c>
      <c r="H77" s="16">
        <f t="shared" si="6"/>
        <v>0</v>
      </c>
      <c r="I77" s="16">
        <f t="shared" si="6"/>
        <v>0</v>
      </c>
      <c r="J77" s="16">
        <f t="shared" si="6"/>
        <v>0</v>
      </c>
      <c r="K77" s="16">
        <f t="shared" si="6"/>
        <v>1</v>
      </c>
    </row>
    <row r="78" spans="1:11">
      <c r="A78" s="15" t="str">
        <f t="shared" si="5"/>
        <v>12491</v>
      </c>
      <c r="B78" s="16">
        <f t="shared" si="6"/>
        <v>124</v>
      </c>
      <c r="C78" s="16">
        <f t="shared" si="6"/>
        <v>1</v>
      </c>
      <c r="D78" s="16">
        <f t="shared" si="6"/>
        <v>249</v>
      </c>
      <c r="E78" s="16">
        <f t="shared" si="6"/>
        <v>1</v>
      </c>
      <c r="F78" s="16">
        <f t="shared" si="6"/>
        <v>7</v>
      </c>
      <c r="G78" s="16">
        <f t="shared" si="6"/>
        <v>0</v>
      </c>
      <c r="H78" s="16">
        <f t="shared" si="6"/>
        <v>0</v>
      </c>
      <c r="I78" s="16">
        <f t="shared" si="6"/>
        <v>0</v>
      </c>
      <c r="J78" s="16">
        <f t="shared" si="6"/>
        <v>0</v>
      </c>
      <c r="K78" s="16">
        <f t="shared" si="6"/>
        <v>1</v>
      </c>
    </row>
    <row r="79" spans="1:11">
      <c r="A79" s="15" t="str">
        <f t="shared" si="5"/>
        <v>12511</v>
      </c>
      <c r="B79" s="16">
        <f t="shared" si="6"/>
        <v>124</v>
      </c>
      <c r="C79" s="16">
        <f t="shared" si="6"/>
        <v>1</v>
      </c>
      <c r="D79" s="16">
        <f t="shared" si="6"/>
        <v>251</v>
      </c>
      <c r="E79" s="16">
        <f t="shared" si="6"/>
        <v>1</v>
      </c>
      <c r="F79" s="16">
        <f t="shared" si="6"/>
        <v>160</v>
      </c>
      <c r="G79" s="16">
        <f t="shared" si="6"/>
        <v>0</v>
      </c>
      <c r="H79" s="16">
        <f t="shared" si="6"/>
        <v>0</v>
      </c>
      <c r="I79" s="16">
        <f t="shared" si="6"/>
        <v>0</v>
      </c>
      <c r="J79" s="16">
        <f t="shared" si="6"/>
        <v>0</v>
      </c>
      <c r="K79" s="16">
        <f t="shared" si="6"/>
        <v>1</v>
      </c>
    </row>
    <row r="80" spans="1:11">
      <c r="A80" s="15" t="str">
        <f t="shared" si="5"/>
        <v>12521</v>
      </c>
      <c r="B80" s="16">
        <f t="shared" si="6"/>
        <v>124</v>
      </c>
      <c r="C80" s="16">
        <f t="shared" si="6"/>
        <v>1</v>
      </c>
      <c r="D80" s="16">
        <f t="shared" si="6"/>
        <v>252</v>
      </c>
      <c r="E80" s="16">
        <f t="shared" si="6"/>
        <v>1</v>
      </c>
      <c r="F80" s="16">
        <f t="shared" si="6"/>
        <v>7</v>
      </c>
      <c r="G80" s="16">
        <f t="shared" si="6"/>
        <v>0</v>
      </c>
      <c r="H80" s="16">
        <f t="shared" si="6"/>
        <v>0</v>
      </c>
      <c r="I80" s="16">
        <f t="shared" si="6"/>
        <v>0</v>
      </c>
      <c r="J80" s="16">
        <f t="shared" si="6"/>
        <v>0</v>
      </c>
      <c r="K80" s="16">
        <f t="shared" si="6"/>
        <v>1</v>
      </c>
    </row>
    <row r="81" spans="1:11">
      <c r="A81" s="15" t="str">
        <f t="shared" si="5"/>
        <v>12541</v>
      </c>
      <c r="B81" s="16">
        <f t="shared" si="6"/>
        <v>124</v>
      </c>
      <c r="C81" s="16">
        <f t="shared" si="6"/>
        <v>1</v>
      </c>
      <c r="D81" s="16">
        <f t="shared" si="6"/>
        <v>254</v>
      </c>
      <c r="E81" s="16">
        <f t="shared" si="6"/>
        <v>1</v>
      </c>
      <c r="F81" s="16">
        <f t="shared" si="6"/>
        <v>160</v>
      </c>
      <c r="G81" s="16">
        <f t="shared" si="6"/>
        <v>0</v>
      </c>
      <c r="H81" s="16">
        <f t="shared" si="6"/>
        <v>0</v>
      </c>
      <c r="I81" s="16">
        <f t="shared" si="6"/>
        <v>0</v>
      </c>
      <c r="J81" s="16">
        <f t="shared" si="6"/>
        <v>0</v>
      </c>
      <c r="K81" s="16">
        <f t="shared" si="6"/>
        <v>1</v>
      </c>
    </row>
    <row r="82" spans="1:11">
      <c r="A82" s="15" t="str">
        <f t="shared" si="5"/>
        <v>12551</v>
      </c>
      <c r="B82" s="16">
        <f t="shared" si="6"/>
        <v>124</v>
      </c>
      <c r="C82" s="16">
        <f t="shared" si="6"/>
        <v>1</v>
      </c>
      <c r="D82" s="16">
        <f t="shared" si="6"/>
        <v>255</v>
      </c>
      <c r="E82" s="16">
        <f t="shared" si="6"/>
        <v>1</v>
      </c>
      <c r="F82" s="16">
        <f t="shared" si="6"/>
        <v>7</v>
      </c>
      <c r="G82" s="16">
        <f t="shared" si="6"/>
        <v>0</v>
      </c>
      <c r="H82" s="16">
        <f t="shared" si="6"/>
        <v>0</v>
      </c>
      <c r="I82" s="16">
        <f t="shared" si="6"/>
        <v>0</v>
      </c>
      <c r="J82" s="16">
        <f t="shared" si="6"/>
        <v>0</v>
      </c>
      <c r="K82" s="16">
        <f t="shared" si="6"/>
        <v>1</v>
      </c>
    </row>
    <row r="83" spans="1:11">
      <c r="A83" s="15" t="str">
        <f t="shared" si="5"/>
        <v>12571</v>
      </c>
      <c r="B83" s="16">
        <f t="shared" si="6"/>
        <v>124</v>
      </c>
      <c r="C83" s="16">
        <f t="shared" si="6"/>
        <v>1</v>
      </c>
      <c r="D83" s="16">
        <f t="shared" si="6"/>
        <v>257</v>
      </c>
      <c r="E83" s="16">
        <f t="shared" si="6"/>
        <v>1</v>
      </c>
      <c r="F83" s="16">
        <f t="shared" si="6"/>
        <v>160</v>
      </c>
      <c r="G83" s="16">
        <f t="shared" si="6"/>
        <v>0</v>
      </c>
      <c r="H83" s="16">
        <f t="shared" si="6"/>
        <v>0</v>
      </c>
      <c r="I83" s="16">
        <f t="shared" si="6"/>
        <v>0</v>
      </c>
      <c r="J83" s="16">
        <f t="shared" si="6"/>
        <v>0</v>
      </c>
      <c r="K83" s="16">
        <f t="shared" si="6"/>
        <v>1</v>
      </c>
    </row>
    <row r="84" spans="1:11">
      <c r="A84" s="15" t="str">
        <f t="shared" si="5"/>
        <v>12581</v>
      </c>
      <c r="B84" s="16">
        <f t="shared" si="6"/>
        <v>124</v>
      </c>
      <c r="C84" s="16">
        <f t="shared" si="6"/>
        <v>1</v>
      </c>
      <c r="D84" s="16">
        <f t="shared" si="6"/>
        <v>258</v>
      </c>
      <c r="E84" s="16">
        <f t="shared" si="6"/>
        <v>1</v>
      </c>
      <c r="F84" s="16">
        <f t="shared" si="6"/>
        <v>7</v>
      </c>
      <c r="G84" s="16">
        <f t="shared" si="6"/>
        <v>0</v>
      </c>
      <c r="H84" s="16">
        <f t="shared" si="6"/>
        <v>0</v>
      </c>
      <c r="I84" s="16">
        <f t="shared" si="6"/>
        <v>0</v>
      </c>
      <c r="J84" s="16">
        <f t="shared" si="6"/>
        <v>0</v>
      </c>
      <c r="K84" s="16">
        <f t="shared" si="6"/>
        <v>1</v>
      </c>
    </row>
    <row r="85" spans="1:11">
      <c r="A85" s="15" t="str">
        <f t="shared" si="5"/>
        <v>12601</v>
      </c>
      <c r="B85" s="16">
        <f t="shared" si="6"/>
        <v>124</v>
      </c>
      <c r="C85" s="16">
        <f t="shared" si="6"/>
        <v>1</v>
      </c>
      <c r="D85" s="16">
        <f t="shared" si="6"/>
        <v>260</v>
      </c>
      <c r="E85" s="16">
        <f t="shared" si="6"/>
        <v>1</v>
      </c>
      <c r="F85" s="16">
        <f t="shared" si="6"/>
        <v>160</v>
      </c>
      <c r="G85" s="16">
        <f t="shared" si="6"/>
        <v>0</v>
      </c>
      <c r="H85" s="16">
        <f t="shared" si="6"/>
        <v>0</v>
      </c>
      <c r="I85" s="16">
        <f t="shared" si="6"/>
        <v>0</v>
      </c>
      <c r="J85" s="16">
        <f t="shared" si="6"/>
        <v>0</v>
      </c>
      <c r="K85" s="16">
        <f t="shared" si="6"/>
        <v>1</v>
      </c>
    </row>
    <row r="86" spans="1:11">
      <c r="A86" s="15" t="str">
        <f t="shared" si="5"/>
        <v>12611</v>
      </c>
      <c r="B86" s="16">
        <f t="shared" si="6"/>
        <v>124</v>
      </c>
      <c r="C86" s="16">
        <f t="shared" si="6"/>
        <v>1</v>
      </c>
      <c r="D86" s="16">
        <f t="shared" si="6"/>
        <v>261</v>
      </c>
      <c r="E86" s="16">
        <f t="shared" si="6"/>
        <v>1</v>
      </c>
      <c r="F86" s="16">
        <f t="shared" si="6"/>
        <v>7</v>
      </c>
      <c r="G86" s="16">
        <f t="shared" si="6"/>
        <v>0</v>
      </c>
      <c r="H86" s="16">
        <f t="shared" si="6"/>
        <v>0</v>
      </c>
      <c r="I86" s="16">
        <f t="shared" si="6"/>
        <v>0</v>
      </c>
      <c r="J86" s="16">
        <f t="shared" si="6"/>
        <v>0</v>
      </c>
      <c r="K86" s="16">
        <f t="shared" si="6"/>
        <v>1</v>
      </c>
    </row>
    <row r="87" spans="1:11">
      <c r="A87" s="15" t="str">
        <f t="shared" si="5"/>
        <v>13201</v>
      </c>
      <c r="B87" s="16">
        <f t="shared" si="6"/>
        <v>124</v>
      </c>
      <c r="C87" s="16">
        <f t="shared" si="6"/>
        <v>1</v>
      </c>
      <c r="D87" s="16">
        <f t="shared" si="6"/>
        <v>320</v>
      </c>
      <c r="E87" s="16">
        <f t="shared" si="6"/>
        <v>1</v>
      </c>
      <c r="F87" s="16">
        <f t="shared" si="6"/>
        <v>120</v>
      </c>
      <c r="G87" s="16">
        <f t="shared" si="6"/>
        <v>0</v>
      </c>
      <c r="H87" s="16">
        <f t="shared" si="6"/>
        <v>0</v>
      </c>
      <c r="I87" s="16">
        <f t="shared" si="6"/>
        <v>0</v>
      </c>
      <c r="J87" s="16">
        <f t="shared" si="6"/>
        <v>0</v>
      </c>
      <c r="K87" s="16">
        <f t="shared" si="6"/>
        <v>1</v>
      </c>
    </row>
    <row r="88" spans="1:11">
      <c r="A88" s="15" t="str">
        <f t="shared" si="5"/>
        <v>13211</v>
      </c>
      <c r="B88" s="16">
        <f t="shared" si="6"/>
        <v>124</v>
      </c>
      <c r="C88" s="16">
        <f t="shared" si="6"/>
        <v>1</v>
      </c>
      <c r="D88" s="16">
        <f t="shared" si="6"/>
        <v>321</v>
      </c>
      <c r="E88" s="16">
        <f t="shared" si="6"/>
        <v>1</v>
      </c>
      <c r="F88" s="16">
        <f t="shared" si="6"/>
        <v>5</v>
      </c>
      <c r="G88" s="16">
        <f t="shared" si="6"/>
        <v>0</v>
      </c>
      <c r="H88" s="16">
        <f t="shared" si="6"/>
        <v>0</v>
      </c>
      <c r="I88" s="16">
        <f t="shared" si="6"/>
        <v>0</v>
      </c>
      <c r="J88" s="16">
        <f t="shared" si="6"/>
        <v>0</v>
      </c>
      <c r="K88" s="16">
        <f t="shared" si="6"/>
        <v>1</v>
      </c>
    </row>
    <row r="89" spans="1:11">
      <c r="A89" s="15" t="str">
        <f t="shared" si="5"/>
        <v>13221</v>
      </c>
      <c r="B89" s="16">
        <f t="shared" si="6"/>
        <v>124</v>
      </c>
      <c r="C89" s="16">
        <f t="shared" si="6"/>
        <v>1</v>
      </c>
      <c r="D89" s="16">
        <f t="shared" si="6"/>
        <v>322</v>
      </c>
      <c r="E89" s="16">
        <f t="shared" si="6"/>
        <v>1</v>
      </c>
      <c r="F89" s="16">
        <f t="shared" si="6"/>
        <v>120</v>
      </c>
      <c r="G89" s="16">
        <f t="shared" si="6"/>
        <v>0</v>
      </c>
      <c r="H89" s="16">
        <f t="shared" si="6"/>
        <v>0</v>
      </c>
      <c r="I89" s="16">
        <f t="shared" si="6"/>
        <v>0</v>
      </c>
      <c r="J89" s="16">
        <f t="shared" si="6"/>
        <v>0</v>
      </c>
      <c r="K89" s="16">
        <f t="shared" si="6"/>
        <v>1</v>
      </c>
    </row>
    <row r="90" spans="1:11">
      <c r="A90" s="15" t="str">
        <f t="shared" si="5"/>
        <v>13231</v>
      </c>
      <c r="B90" s="16">
        <f t="shared" si="6"/>
        <v>124</v>
      </c>
      <c r="C90" s="16">
        <f t="shared" si="6"/>
        <v>1</v>
      </c>
      <c r="D90" s="16">
        <f t="shared" si="6"/>
        <v>323</v>
      </c>
      <c r="E90" s="16">
        <f t="shared" si="6"/>
        <v>1</v>
      </c>
      <c r="F90" s="16">
        <f t="shared" si="6"/>
        <v>5</v>
      </c>
      <c r="G90" s="16">
        <f t="shared" si="6"/>
        <v>0</v>
      </c>
      <c r="H90" s="16">
        <f t="shared" si="6"/>
        <v>0</v>
      </c>
      <c r="I90" s="16">
        <f t="shared" si="6"/>
        <v>0</v>
      </c>
      <c r="J90" s="16">
        <f t="shared" si="6"/>
        <v>0</v>
      </c>
      <c r="K90" s="16">
        <f t="shared" si="6"/>
        <v>1</v>
      </c>
    </row>
    <row r="91" spans="1:11">
      <c r="A91" s="15" t="str">
        <f t="shared" si="5"/>
        <v>13241</v>
      </c>
      <c r="B91" s="16">
        <f t="shared" si="6"/>
        <v>124</v>
      </c>
      <c r="C91" s="16">
        <f t="shared" si="6"/>
        <v>1</v>
      </c>
      <c r="D91" s="16">
        <f t="shared" si="6"/>
        <v>324</v>
      </c>
      <c r="E91" s="16">
        <f t="shared" si="6"/>
        <v>1</v>
      </c>
      <c r="F91" s="16">
        <f t="shared" si="6"/>
        <v>120</v>
      </c>
      <c r="G91" s="16">
        <f t="shared" si="6"/>
        <v>0</v>
      </c>
      <c r="H91" s="16">
        <f t="shared" si="6"/>
        <v>0</v>
      </c>
      <c r="I91" s="16">
        <f t="shared" si="6"/>
        <v>0</v>
      </c>
      <c r="J91" s="16">
        <f t="shared" si="6"/>
        <v>0</v>
      </c>
      <c r="K91" s="16">
        <f t="shared" si="6"/>
        <v>1</v>
      </c>
    </row>
    <row r="92" spans="1:11">
      <c r="A92" s="15" t="str">
        <f t="shared" si="5"/>
        <v>13251</v>
      </c>
      <c r="B92" s="16">
        <f t="shared" si="6"/>
        <v>124</v>
      </c>
      <c r="C92" s="16">
        <f t="shared" si="6"/>
        <v>1</v>
      </c>
      <c r="D92" s="16">
        <f t="shared" si="6"/>
        <v>325</v>
      </c>
      <c r="E92" s="16">
        <f t="shared" si="6"/>
        <v>1</v>
      </c>
      <c r="F92" s="16">
        <f t="shared" si="6"/>
        <v>5</v>
      </c>
      <c r="G92" s="16">
        <f t="shared" si="6"/>
        <v>0</v>
      </c>
      <c r="H92" s="16">
        <f t="shared" si="6"/>
        <v>0</v>
      </c>
      <c r="I92" s="16">
        <f t="shared" si="6"/>
        <v>0</v>
      </c>
      <c r="J92" s="16">
        <f t="shared" si="6"/>
        <v>0</v>
      </c>
      <c r="K92" s="16">
        <f t="shared" si="6"/>
        <v>1</v>
      </c>
    </row>
    <row r="93" spans="1:11">
      <c r="A93" s="15" t="str">
        <f t="shared" si="5"/>
        <v>13261</v>
      </c>
      <c r="B93" s="16">
        <f t="shared" si="6"/>
        <v>124</v>
      </c>
      <c r="C93" s="16">
        <f t="shared" si="6"/>
        <v>1</v>
      </c>
      <c r="D93" s="16">
        <f t="shared" si="6"/>
        <v>326</v>
      </c>
      <c r="E93" s="16">
        <f t="shared" si="6"/>
        <v>1</v>
      </c>
      <c r="F93" s="16">
        <f t="shared" si="6"/>
        <v>120</v>
      </c>
      <c r="G93" s="16">
        <f t="shared" si="6"/>
        <v>0</v>
      </c>
      <c r="H93" s="16">
        <f t="shared" si="6"/>
        <v>0</v>
      </c>
      <c r="I93" s="16">
        <f t="shared" si="6"/>
        <v>0</v>
      </c>
      <c r="J93" s="16">
        <f t="shared" si="6"/>
        <v>0</v>
      </c>
      <c r="K93" s="16">
        <f t="shared" si="6"/>
        <v>1</v>
      </c>
    </row>
    <row r="94" spans="1:11">
      <c r="A94" s="15" t="str">
        <f t="shared" si="5"/>
        <v>13271</v>
      </c>
      <c r="B94" s="16">
        <f t="shared" si="6"/>
        <v>124</v>
      </c>
      <c r="C94" s="16">
        <f t="shared" si="6"/>
        <v>1</v>
      </c>
      <c r="D94" s="16">
        <f t="shared" si="6"/>
        <v>327</v>
      </c>
      <c r="E94" s="16">
        <f t="shared" si="6"/>
        <v>1</v>
      </c>
      <c r="F94" s="16">
        <f t="shared" si="6"/>
        <v>5</v>
      </c>
      <c r="G94" s="16">
        <f t="shared" si="6"/>
        <v>0</v>
      </c>
      <c r="H94" s="16">
        <f t="shared" si="6"/>
        <v>0</v>
      </c>
      <c r="I94" s="16">
        <f t="shared" si="6"/>
        <v>0</v>
      </c>
      <c r="J94" s="16">
        <f t="shared" si="6"/>
        <v>0</v>
      </c>
      <c r="K94" s="16">
        <f t="shared" si="6"/>
        <v>1</v>
      </c>
    </row>
    <row r="95" spans="1:11">
      <c r="A95" s="15" t="str">
        <f t="shared" si="5"/>
        <v>13811</v>
      </c>
      <c r="B95" s="16">
        <f t="shared" si="6"/>
        <v>124</v>
      </c>
      <c r="C95" s="16">
        <f t="shared" si="6"/>
        <v>1</v>
      </c>
      <c r="D95" s="16">
        <f t="shared" si="6"/>
        <v>381</v>
      </c>
      <c r="E95" s="16">
        <f t="shared" si="6"/>
        <v>1</v>
      </c>
      <c r="F95" s="16">
        <f t="shared" si="6"/>
        <v>1920</v>
      </c>
      <c r="G95" s="16">
        <f t="shared" si="6"/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5"/>
        <v>13821</v>
      </c>
      <c r="B96" s="16">
        <f t="shared" ref="B96:K121" si="7">VLOOKUP($A96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124</v>
      </c>
      <c r="C96" s="16">
        <f t="shared" si="7"/>
        <v>1</v>
      </c>
      <c r="D96" s="16">
        <f t="shared" si="7"/>
        <v>382</v>
      </c>
      <c r="E96" s="16">
        <f t="shared" si="7"/>
        <v>1</v>
      </c>
      <c r="F96" s="16">
        <f t="shared" si="7"/>
        <v>80</v>
      </c>
      <c r="G96" s="16">
        <f t="shared" si="7"/>
        <v>0</v>
      </c>
      <c r="H96" s="16">
        <f t="shared" si="7"/>
        <v>0</v>
      </c>
      <c r="I96" s="16">
        <f t="shared" si="7"/>
        <v>0</v>
      </c>
      <c r="J96" s="16">
        <f t="shared" si="7"/>
        <v>0</v>
      </c>
      <c r="K96" s="16">
        <f t="shared" si="7"/>
        <v>1</v>
      </c>
    </row>
    <row r="97" spans="1:11">
      <c r="A97" s="15" t="str">
        <f t="shared" si="5"/>
        <v>13831</v>
      </c>
      <c r="B97" s="16">
        <f t="shared" si="7"/>
        <v>124</v>
      </c>
      <c r="C97" s="16">
        <f t="shared" si="7"/>
        <v>1</v>
      </c>
      <c r="D97" s="16">
        <f t="shared" si="7"/>
        <v>383</v>
      </c>
      <c r="E97" s="16">
        <f t="shared" si="7"/>
        <v>1</v>
      </c>
      <c r="F97" s="16">
        <f t="shared" si="7"/>
        <v>720</v>
      </c>
      <c r="G97" s="16">
        <f t="shared" si="7"/>
        <v>0</v>
      </c>
      <c r="H97" s="16">
        <f t="shared" si="7"/>
        <v>0</v>
      </c>
      <c r="I97" s="16">
        <f t="shared" si="7"/>
        <v>0</v>
      </c>
      <c r="J97" s="16">
        <f t="shared" si="7"/>
        <v>0</v>
      </c>
      <c r="K97" s="16">
        <f t="shared" si="7"/>
        <v>1</v>
      </c>
    </row>
    <row r="98" spans="1:11">
      <c r="A98" s="15" t="str">
        <f t="shared" si="5"/>
        <v>13841</v>
      </c>
      <c r="B98" s="16">
        <f t="shared" si="7"/>
        <v>124</v>
      </c>
      <c r="C98" s="16">
        <f t="shared" si="7"/>
        <v>1</v>
      </c>
      <c r="D98" s="16">
        <f t="shared" si="7"/>
        <v>384</v>
      </c>
      <c r="E98" s="16">
        <f t="shared" si="7"/>
        <v>1</v>
      </c>
      <c r="F98" s="16">
        <f t="shared" si="7"/>
        <v>30</v>
      </c>
      <c r="G98" s="16">
        <f t="shared" si="7"/>
        <v>0</v>
      </c>
      <c r="H98" s="16">
        <f t="shared" si="7"/>
        <v>0</v>
      </c>
      <c r="I98" s="16">
        <f t="shared" si="7"/>
        <v>0</v>
      </c>
      <c r="J98" s="16">
        <f t="shared" si="7"/>
        <v>0</v>
      </c>
      <c r="K98" s="16">
        <f t="shared" si="7"/>
        <v>1</v>
      </c>
    </row>
    <row r="99" spans="1:11">
      <c r="A99" s="15" t="str">
        <f t="shared" si="5"/>
        <v>13851</v>
      </c>
      <c r="B99" s="16">
        <f t="shared" si="7"/>
        <v>124</v>
      </c>
      <c r="C99" s="16">
        <f t="shared" si="7"/>
        <v>1</v>
      </c>
      <c r="D99" s="16">
        <f t="shared" si="7"/>
        <v>385</v>
      </c>
      <c r="E99" s="16">
        <f t="shared" si="7"/>
        <v>1</v>
      </c>
      <c r="F99" s="16">
        <f t="shared" si="7"/>
        <v>720</v>
      </c>
      <c r="G99" s="16">
        <f t="shared" si="7"/>
        <v>0</v>
      </c>
      <c r="H99" s="16">
        <f t="shared" si="7"/>
        <v>0</v>
      </c>
      <c r="I99" s="16">
        <f t="shared" si="7"/>
        <v>0</v>
      </c>
      <c r="J99" s="16">
        <f t="shared" si="7"/>
        <v>0</v>
      </c>
      <c r="K99" s="16">
        <f t="shared" si="7"/>
        <v>1</v>
      </c>
    </row>
    <row r="100" spans="1:11">
      <c r="A100" s="15" t="str">
        <f t="shared" si="5"/>
        <v>13861</v>
      </c>
      <c r="B100" s="16">
        <f t="shared" si="7"/>
        <v>124</v>
      </c>
      <c r="C100" s="16">
        <f t="shared" si="7"/>
        <v>1</v>
      </c>
      <c r="D100" s="16">
        <f t="shared" si="7"/>
        <v>386</v>
      </c>
      <c r="E100" s="16">
        <f t="shared" si="7"/>
        <v>1</v>
      </c>
      <c r="F100" s="16">
        <f t="shared" si="7"/>
        <v>30</v>
      </c>
      <c r="G100" s="16">
        <f t="shared" si="7"/>
        <v>0</v>
      </c>
      <c r="H100" s="16">
        <f t="shared" si="7"/>
        <v>0</v>
      </c>
      <c r="I100" s="16">
        <f t="shared" si="7"/>
        <v>0</v>
      </c>
      <c r="J100" s="16">
        <f t="shared" si="7"/>
        <v>0</v>
      </c>
      <c r="K100" s="16">
        <f t="shared" si="7"/>
        <v>1</v>
      </c>
    </row>
    <row r="101" spans="1:11">
      <c r="A101" s="15" t="str">
        <f t="shared" si="5"/>
        <v>13881</v>
      </c>
      <c r="B101" s="16">
        <f t="shared" si="7"/>
        <v>124</v>
      </c>
      <c r="C101" s="16">
        <f t="shared" si="7"/>
        <v>1</v>
      </c>
      <c r="D101" s="16">
        <f t="shared" si="7"/>
        <v>388</v>
      </c>
      <c r="E101" s="16">
        <f t="shared" si="7"/>
        <v>1</v>
      </c>
      <c r="F101" s="16">
        <f t="shared" si="7"/>
        <v>1920</v>
      </c>
      <c r="G101" s="16">
        <f t="shared" si="7"/>
        <v>0</v>
      </c>
      <c r="H101" s="16">
        <f t="shared" si="7"/>
        <v>0</v>
      </c>
      <c r="I101" s="16">
        <f t="shared" si="7"/>
        <v>0</v>
      </c>
      <c r="J101" s="16">
        <f t="shared" si="7"/>
        <v>0</v>
      </c>
      <c r="K101" s="16">
        <f t="shared" si="7"/>
        <v>1</v>
      </c>
    </row>
    <row r="102" spans="1:11">
      <c r="A102" s="15" t="str">
        <f t="shared" si="5"/>
        <v>13891</v>
      </c>
      <c r="B102" s="16">
        <f t="shared" si="7"/>
        <v>124</v>
      </c>
      <c r="C102" s="16">
        <f t="shared" si="7"/>
        <v>1</v>
      </c>
      <c r="D102" s="16">
        <f t="shared" si="7"/>
        <v>389</v>
      </c>
      <c r="E102" s="16">
        <f t="shared" si="7"/>
        <v>1</v>
      </c>
      <c r="F102" s="16">
        <f t="shared" si="7"/>
        <v>80</v>
      </c>
      <c r="G102" s="16">
        <f t="shared" si="7"/>
        <v>0</v>
      </c>
      <c r="H102" s="16">
        <f t="shared" si="7"/>
        <v>0</v>
      </c>
      <c r="I102" s="16">
        <f t="shared" si="7"/>
        <v>0</v>
      </c>
      <c r="J102" s="16">
        <f t="shared" si="7"/>
        <v>0</v>
      </c>
      <c r="K102" s="16">
        <f t="shared" si="7"/>
        <v>1</v>
      </c>
    </row>
    <row r="103" spans="1:11">
      <c r="A103" s="15" t="str">
        <f t="shared" si="5"/>
        <v>01261</v>
      </c>
      <c r="B103" s="16">
        <f t="shared" si="7"/>
        <v>124</v>
      </c>
      <c r="C103" s="16">
        <f t="shared" si="7"/>
        <v>0</v>
      </c>
      <c r="D103" s="16">
        <f t="shared" si="7"/>
        <v>126</v>
      </c>
      <c r="E103" s="16">
        <f t="shared" si="7"/>
        <v>1</v>
      </c>
      <c r="F103" s="16">
        <f t="shared" si="7"/>
        <v>2460</v>
      </c>
      <c r="G103" s="16">
        <f t="shared" si="7"/>
        <v>0</v>
      </c>
      <c r="H103" s="16">
        <f t="shared" si="7"/>
        <v>0</v>
      </c>
      <c r="I103" s="16">
        <f t="shared" si="7"/>
        <v>0</v>
      </c>
      <c r="J103" s="16">
        <f t="shared" si="7"/>
        <v>0</v>
      </c>
      <c r="K103" s="16">
        <f t="shared" si="7"/>
        <v>1</v>
      </c>
    </row>
    <row r="104" spans="1:11">
      <c r="A104" s="15" t="str">
        <f t="shared" si="5"/>
        <v>01281</v>
      </c>
      <c r="B104" s="16">
        <f t="shared" si="7"/>
        <v>124</v>
      </c>
      <c r="C104" s="16">
        <f t="shared" si="7"/>
        <v>0</v>
      </c>
      <c r="D104" s="16">
        <f t="shared" si="7"/>
        <v>128</v>
      </c>
      <c r="E104" s="16">
        <f t="shared" si="7"/>
        <v>1</v>
      </c>
      <c r="F104" s="16">
        <f t="shared" si="7"/>
        <v>2460</v>
      </c>
      <c r="G104" s="16">
        <f t="shared" si="7"/>
        <v>0</v>
      </c>
      <c r="H104" s="16">
        <f t="shared" si="7"/>
        <v>0</v>
      </c>
      <c r="I104" s="16">
        <f t="shared" si="7"/>
        <v>0</v>
      </c>
      <c r="J104" s="16">
        <f t="shared" si="7"/>
        <v>0</v>
      </c>
      <c r="K104" s="16">
        <f t="shared" si="7"/>
        <v>1</v>
      </c>
    </row>
    <row r="105" spans="1:11">
      <c r="A105" s="15" t="str">
        <f t="shared" si="5"/>
        <v>01301</v>
      </c>
      <c r="B105" s="16">
        <f t="shared" si="7"/>
        <v>124</v>
      </c>
      <c r="C105" s="16">
        <f t="shared" si="7"/>
        <v>0</v>
      </c>
      <c r="D105" s="16">
        <f t="shared" si="7"/>
        <v>130</v>
      </c>
      <c r="E105" s="16">
        <f t="shared" si="7"/>
        <v>1</v>
      </c>
      <c r="F105" s="16">
        <f t="shared" si="7"/>
        <v>2460</v>
      </c>
      <c r="G105" s="16">
        <f t="shared" si="7"/>
        <v>0</v>
      </c>
      <c r="H105" s="16">
        <f t="shared" si="7"/>
        <v>0</v>
      </c>
      <c r="I105" s="16">
        <f t="shared" si="7"/>
        <v>0</v>
      </c>
      <c r="J105" s="16">
        <f t="shared" si="7"/>
        <v>0</v>
      </c>
      <c r="K105" s="16">
        <f t="shared" si="7"/>
        <v>1</v>
      </c>
    </row>
    <row r="106" spans="1:11">
      <c r="A106" s="15" t="str">
        <f t="shared" si="5"/>
        <v>01321</v>
      </c>
      <c r="B106" s="16">
        <f t="shared" si="7"/>
        <v>124</v>
      </c>
      <c r="C106" s="16">
        <f t="shared" si="7"/>
        <v>0</v>
      </c>
      <c r="D106" s="16">
        <f t="shared" si="7"/>
        <v>132</v>
      </c>
      <c r="E106" s="16">
        <f t="shared" si="7"/>
        <v>1</v>
      </c>
      <c r="F106" s="16">
        <f t="shared" si="7"/>
        <v>2460</v>
      </c>
      <c r="G106" s="16">
        <f t="shared" si="7"/>
        <v>0</v>
      </c>
      <c r="H106" s="16">
        <f t="shared" si="7"/>
        <v>0</v>
      </c>
      <c r="I106" s="16">
        <f t="shared" si="7"/>
        <v>0</v>
      </c>
      <c r="J106" s="16">
        <f t="shared" si="7"/>
        <v>0</v>
      </c>
      <c r="K106" s="16">
        <f t="shared" si="7"/>
        <v>1</v>
      </c>
    </row>
    <row r="107" spans="1:11">
      <c r="A107" s="15" t="str">
        <f t="shared" si="5"/>
        <v>01341</v>
      </c>
      <c r="B107" s="16">
        <f t="shared" si="7"/>
        <v>124</v>
      </c>
      <c r="C107" s="16">
        <f t="shared" si="7"/>
        <v>0</v>
      </c>
      <c r="D107" s="16">
        <f t="shared" si="7"/>
        <v>134</v>
      </c>
      <c r="E107" s="16">
        <f t="shared" si="7"/>
        <v>1</v>
      </c>
      <c r="F107" s="16">
        <f t="shared" si="7"/>
        <v>2460</v>
      </c>
      <c r="G107" s="16">
        <f t="shared" si="7"/>
        <v>0</v>
      </c>
      <c r="H107" s="16">
        <f t="shared" si="7"/>
        <v>0</v>
      </c>
      <c r="I107" s="16">
        <f t="shared" si="7"/>
        <v>0</v>
      </c>
      <c r="J107" s="16">
        <f t="shared" si="7"/>
        <v>0</v>
      </c>
      <c r="K107" s="16">
        <f t="shared" si="7"/>
        <v>1</v>
      </c>
    </row>
    <row r="108" spans="1:11">
      <c r="A108" s="15" t="str">
        <f t="shared" si="5"/>
        <v>01361</v>
      </c>
      <c r="B108" s="16">
        <f t="shared" si="7"/>
        <v>124</v>
      </c>
      <c r="C108" s="16">
        <f t="shared" si="7"/>
        <v>0</v>
      </c>
      <c r="D108" s="16">
        <f t="shared" si="7"/>
        <v>136</v>
      </c>
      <c r="E108" s="16">
        <f t="shared" si="7"/>
        <v>1</v>
      </c>
      <c r="F108" s="16">
        <f t="shared" si="7"/>
        <v>2460</v>
      </c>
      <c r="G108" s="16">
        <f t="shared" si="7"/>
        <v>0</v>
      </c>
      <c r="H108" s="16">
        <f t="shared" si="7"/>
        <v>0</v>
      </c>
      <c r="I108" s="16">
        <f t="shared" si="7"/>
        <v>0</v>
      </c>
      <c r="J108" s="16">
        <f t="shared" si="7"/>
        <v>0</v>
      </c>
      <c r="K108" s="16">
        <f t="shared" si="7"/>
        <v>1</v>
      </c>
    </row>
    <row r="109" spans="1:11">
      <c r="A109" s="15" t="str">
        <f t="shared" si="5"/>
        <v>01381</v>
      </c>
      <c r="B109" s="16">
        <f t="shared" si="7"/>
        <v>124</v>
      </c>
      <c r="C109" s="16">
        <f t="shared" si="7"/>
        <v>0</v>
      </c>
      <c r="D109" s="16">
        <f t="shared" si="7"/>
        <v>138</v>
      </c>
      <c r="E109" s="16">
        <f t="shared" si="7"/>
        <v>1</v>
      </c>
      <c r="F109" s="16">
        <f t="shared" si="7"/>
        <v>2460</v>
      </c>
      <c r="G109" s="16">
        <f t="shared" si="7"/>
        <v>0</v>
      </c>
      <c r="H109" s="16">
        <f t="shared" si="7"/>
        <v>0</v>
      </c>
      <c r="I109" s="16">
        <f t="shared" si="7"/>
        <v>0</v>
      </c>
      <c r="J109" s="16">
        <f t="shared" si="7"/>
        <v>0</v>
      </c>
      <c r="K109" s="16">
        <f t="shared" si="7"/>
        <v>1</v>
      </c>
    </row>
    <row r="110" spans="1:11">
      <c r="A110" s="15" t="str">
        <f t="shared" si="5"/>
        <v>01401</v>
      </c>
      <c r="B110" s="16">
        <f t="shared" si="7"/>
        <v>124</v>
      </c>
      <c r="C110" s="16">
        <f t="shared" si="7"/>
        <v>0</v>
      </c>
      <c r="D110" s="16">
        <f t="shared" si="7"/>
        <v>140</v>
      </c>
      <c r="E110" s="16">
        <f t="shared" si="7"/>
        <v>1</v>
      </c>
      <c r="F110" s="16">
        <f t="shared" si="7"/>
        <v>2460</v>
      </c>
      <c r="G110" s="16">
        <f t="shared" si="7"/>
        <v>0</v>
      </c>
      <c r="H110" s="16">
        <f t="shared" si="7"/>
        <v>0</v>
      </c>
      <c r="I110" s="16">
        <f t="shared" si="7"/>
        <v>0</v>
      </c>
      <c r="J110" s="16">
        <f t="shared" si="7"/>
        <v>0</v>
      </c>
      <c r="K110" s="16">
        <f t="shared" si="7"/>
        <v>1</v>
      </c>
    </row>
    <row r="111" spans="1:11">
      <c r="A111" s="15" t="str">
        <f t="shared" si="5"/>
        <v>01421</v>
      </c>
      <c r="B111" s="16">
        <f t="shared" si="7"/>
        <v>124</v>
      </c>
      <c r="C111" s="16">
        <f t="shared" si="7"/>
        <v>0</v>
      </c>
      <c r="D111" s="16">
        <f t="shared" si="7"/>
        <v>142</v>
      </c>
      <c r="E111" s="16">
        <f t="shared" si="7"/>
        <v>1</v>
      </c>
      <c r="F111" s="16">
        <f t="shared" si="7"/>
        <v>2460</v>
      </c>
      <c r="G111" s="16">
        <f t="shared" si="7"/>
        <v>0</v>
      </c>
      <c r="H111" s="16">
        <f t="shared" si="7"/>
        <v>0</v>
      </c>
      <c r="I111" s="16">
        <f t="shared" si="7"/>
        <v>0</v>
      </c>
      <c r="J111" s="16">
        <f t="shared" si="7"/>
        <v>0</v>
      </c>
      <c r="K111" s="16">
        <f t="shared" si="7"/>
        <v>1</v>
      </c>
    </row>
    <row r="112" spans="1:11">
      <c r="A112" s="15" t="str">
        <f t="shared" si="5"/>
        <v>01441</v>
      </c>
      <c r="B112" s="16">
        <f t="shared" si="7"/>
        <v>124</v>
      </c>
      <c r="C112" s="16">
        <f t="shared" si="7"/>
        <v>0</v>
      </c>
      <c r="D112" s="16">
        <f t="shared" si="7"/>
        <v>144</v>
      </c>
      <c r="E112" s="16">
        <f t="shared" si="7"/>
        <v>1</v>
      </c>
      <c r="F112" s="16">
        <f t="shared" si="7"/>
        <v>2460</v>
      </c>
      <c r="G112" s="16">
        <f t="shared" si="7"/>
        <v>0</v>
      </c>
      <c r="H112" s="16">
        <f t="shared" si="7"/>
        <v>0</v>
      </c>
      <c r="I112" s="16">
        <f t="shared" si="7"/>
        <v>0</v>
      </c>
      <c r="J112" s="16">
        <f t="shared" si="7"/>
        <v>0</v>
      </c>
      <c r="K112" s="16">
        <f t="shared" si="7"/>
        <v>1</v>
      </c>
    </row>
    <row r="113" spans="1:11">
      <c r="A113" s="15" t="str">
        <f t="shared" si="5"/>
        <v>01461</v>
      </c>
      <c r="B113" s="16">
        <f t="shared" si="7"/>
        <v>124</v>
      </c>
      <c r="C113" s="16">
        <f t="shared" si="7"/>
        <v>0</v>
      </c>
      <c r="D113" s="16">
        <f t="shared" si="7"/>
        <v>146</v>
      </c>
      <c r="E113" s="16">
        <f t="shared" si="7"/>
        <v>1</v>
      </c>
      <c r="F113" s="16">
        <f t="shared" si="7"/>
        <v>2460</v>
      </c>
      <c r="G113" s="16">
        <f t="shared" si="7"/>
        <v>0</v>
      </c>
      <c r="H113" s="16">
        <f t="shared" si="7"/>
        <v>0</v>
      </c>
      <c r="I113" s="16">
        <f t="shared" si="7"/>
        <v>0</v>
      </c>
      <c r="J113" s="16">
        <f t="shared" si="7"/>
        <v>0</v>
      </c>
      <c r="K113" s="16">
        <f t="shared" si="7"/>
        <v>1</v>
      </c>
    </row>
    <row r="114" spans="1:11">
      <c r="A114" s="15" t="str">
        <f t="shared" si="5"/>
        <v>01481</v>
      </c>
      <c r="B114" s="16">
        <f t="shared" si="7"/>
        <v>124</v>
      </c>
      <c r="C114" s="16">
        <f t="shared" si="7"/>
        <v>0</v>
      </c>
      <c r="D114" s="16">
        <f t="shared" si="7"/>
        <v>148</v>
      </c>
      <c r="E114" s="16">
        <f t="shared" si="7"/>
        <v>1</v>
      </c>
      <c r="F114" s="16">
        <f t="shared" si="7"/>
        <v>2460</v>
      </c>
      <c r="G114" s="16">
        <f t="shared" si="7"/>
        <v>0</v>
      </c>
      <c r="H114" s="16">
        <f t="shared" si="7"/>
        <v>0</v>
      </c>
      <c r="I114" s="16">
        <f t="shared" si="7"/>
        <v>0</v>
      </c>
      <c r="J114" s="16">
        <f t="shared" si="7"/>
        <v>0</v>
      </c>
      <c r="K114" s="16">
        <f t="shared" si="7"/>
        <v>1</v>
      </c>
    </row>
    <row r="115" spans="1:11">
      <c r="A115" s="15" t="str">
        <f t="shared" si="5"/>
        <v>01501</v>
      </c>
      <c r="B115" s="16">
        <f t="shared" si="7"/>
        <v>124</v>
      </c>
      <c r="C115" s="16">
        <f t="shared" si="7"/>
        <v>0</v>
      </c>
      <c r="D115" s="16">
        <f t="shared" si="7"/>
        <v>150</v>
      </c>
      <c r="E115" s="16">
        <f t="shared" si="7"/>
        <v>1</v>
      </c>
      <c r="F115" s="16">
        <f t="shared" si="7"/>
        <v>2460</v>
      </c>
      <c r="G115" s="16">
        <f t="shared" si="7"/>
        <v>0</v>
      </c>
      <c r="H115" s="16">
        <f t="shared" si="7"/>
        <v>0</v>
      </c>
      <c r="I115" s="16">
        <f t="shared" si="7"/>
        <v>0</v>
      </c>
      <c r="J115" s="16">
        <f t="shared" si="7"/>
        <v>0</v>
      </c>
      <c r="K115" s="16">
        <f t="shared" si="7"/>
        <v>1</v>
      </c>
    </row>
    <row r="116" spans="1:11">
      <c r="A116" s="15" t="str">
        <f t="shared" si="5"/>
        <v>01521</v>
      </c>
      <c r="B116" s="16">
        <f t="shared" si="7"/>
        <v>124</v>
      </c>
      <c r="C116" s="16">
        <f t="shared" si="7"/>
        <v>0</v>
      </c>
      <c r="D116" s="16">
        <f t="shared" si="7"/>
        <v>152</v>
      </c>
      <c r="E116" s="16">
        <f t="shared" si="7"/>
        <v>1</v>
      </c>
      <c r="F116" s="16">
        <f t="shared" si="7"/>
        <v>2460</v>
      </c>
      <c r="G116" s="16">
        <f t="shared" si="7"/>
        <v>0</v>
      </c>
      <c r="H116" s="16">
        <f t="shared" si="7"/>
        <v>0</v>
      </c>
      <c r="I116" s="16">
        <f t="shared" si="7"/>
        <v>0</v>
      </c>
      <c r="J116" s="16">
        <f t="shared" si="7"/>
        <v>0</v>
      </c>
      <c r="K116" s="16">
        <f t="shared" si="7"/>
        <v>1</v>
      </c>
    </row>
    <row r="117" spans="1:11">
      <c r="A117" s="15" t="str">
        <f t="shared" si="5"/>
        <v>01541</v>
      </c>
      <c r="B117" s="16">
        <f t="shared" si="7"/>
        <v>124</v>
      </c>
      <c r="C117" s="16">
        <f t="shared" si="7"/>
        <v>0</v>
      </c>
      <c r="D117" s="16">
        <f t="shared" si="7"/>
        <v>154</v>
      </c>
      <c r="E117" s="16">
        <f t="shared" si="7"/>
        <v>1</v>
      </c>
      <c r="F117" s="16">
        <f t="shared" si="7"/>
        <v>2460</v>
      </c>
      <c r="G117" s="16">
        <f t="shared" si="7"/>
        <v>0</v>
      </c>
      <c r="H117" s="16">
        <f t="shared" si="7"/>
        <v>0</v>
      </c>
      <c r="I117" s="16">
        <f t="shared" si="7"/>
        <v>0</v>
      </c>
      <c r="J117" s="16">
        <f t="shared" si="7"/>
        <v>0</v>
      </c>
      <c r="K117" s="16">
        <f t="shared" si="7"/>
        <v>1</v>
      </c>
    </row>
    <row r="118" spans="1:11">
      <c r="A118" s="15" t="str">
        <f t="shared" si="5"/>
        <v>01561</v>
      </c>
      <c r="B118" s="16">
        <f t="shared" si="7"/>
        <v>124</v>
      </c>
      <c r="C118" s="16">
        <f t="shared" si="7"/>
        <v>0</v>
      </c>
      <c r="D118" s="16">
        <f t="shared" si="7"/>
        <v>156</v>
      </c>
      <c r="E118" s="16">
        <f t="shared" si="7"/>
        <v>1</v>
      </c>
      <c r="F118" s="16">
        <f t="shared" si="7"/>
        <v>2460</v>
      </c>
      <c r="G118" s="16">
        <f t="shared" si="7"/>
        <v>0</v>
      </c>
      <c r="H118" s="16">
        <f t="shared" si="7"/>
        <v>0</v>
      </c>
      <c r="I118" s="16">
        <f t="shared" si="7"/>
        <v>0</v>
      </c>
      <c r="J118" s="16">
        <f t="shared" si="7"/>
        <v>0</v>
      </c>
      <c r="K118" s="16">
        <f t="shared" si="7"/>
        <v>1</v>
      </c>
    </row>
    <row r="119" spans="1:11">
      <c r="A119" s="15" t="str">
        <f t="shared" si="5"/>
        <v>01581</v>
      </c>
      <c r="B119" s="16">
        <f t="shared" si="7"/>
        <v>124</v>
      </c>
      <c r="C119" s="16">
        <f t="shared" si="7"/>
        <v>0</v>
      </c>
      <c r="D119" s="16">
        <f t="shared" si="7"/>
        <v>158</v>
      </c>
      <c r="E119" s="16">
        <f t="shared" si="7"/>
        <v>1</v>
      </c>
      <c r="F119" s="16">
        <f t="shared" si="7"/>
        <v>2460</v>
      </c>
      <c r="G119" s="16">
        <f t="shared" si="7"/>
        <v>0</v>
      </c>
      <c r="H119" s="16">
        <f t="shared" si="7"/>
        <v>0</v>
      </c>
      <c r="I119" s="16">
        <f t="shared" si="7"/>
        <v>0</v>
      </c>
      <c r="J119" s="16">
        <f t="shared" si="7"/>
        <v>0</v>
      </c>
      <c r="K119" s="16">
        <f t="shared" si="7"/>
        <v>1</v>
      </c>
    </row>
    <row r="120" spans="1:11">
      <c r="A120" s="15" t="str">
        <f t="shared" si="5"/>
        <v>01601</v>
      </c>
      <c r="B120" s="16">
        <f t="shared" si="7"/>
        <v>124</v>
      </c>
      <c r="C120" s="16">
        <f t="shared" si="7"/>
        <v>0</v>
      </c>
      <c r="D120" s="16">
        <f t="shared" si="7"/>
        <v>160</v>
      </c>
      <c r="E120" s="16">
        <f t="shared" si="7"/>
        <v>1</v>
      </c>
      <c r="F120" s="16">
        <f t="shared" si="7"/>
        <v>2460</v>
      </c>
      <c r="G120" s="16">
        <f t="shared" si="7"/>
        <v>0</v>
      </c>
      <c r="H120" s="16">
        <f t="shared" si="7"/>
        <v>0</v>
      </c>
      <c r="I120" s="16">
        <f t="shared" si="7"/>
        <v>0</v>
      </c>
      <c r="J120" s="16">
        <f t="shared" si="7"/>
        <v>0</v>
      </c>
      <c r="K120" s="16">
        <f t="shared" si="7"/>
        <v>1</v>
      </c>
    </row>
    <row r="121" spans="1:11">
      <c r="A121" s="15" t="str">
        <f t="shared" si="5"/>
        <v>01621</v>
      </c>
      <c r="B121" s="16">
        <f t="shared" si="7"/>
        <v>124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2460</v>
      </c>
      <c r="G121" s="16">
        <f t="shared" ref="B121:K146" si="8">VLOOKUP($A121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21" s="16">
        <f t="shared" si="8"/>
        <v>0</v>
      </c>
      <c r="I121" s="16">
        <f t="shared" si="8"/>
        <v>0</v>
      </c>
      <c r="J121" s="16">
        <f t="shared" si="8"/>
        <v>0</v>
      </c>
      <c r="K121" s="16">
        <f t="shared" si="8"/>
        <v>1</v>
      </c>
    </row>
    <row r="122" spans="1:11">
      <c r="A122" s="15" t="str">
        <f t="shared" si="5"/>
        <v>01641</v>
      </c>
      <c r="B122" s="16">
        <f t="shared" si="8"/>
        <v>124</v>
      </c>
      <c r="C122" s="16">
        <f t="shared" si="8"/>
        <v>0</v>
      </c>
      <c r="D122" s="16">
        <f t="shared" si="8"/>
        <v>164</v>
      </c>
      <c r="E122" s="16">
        <f t="shared" si="8"/>
        <v>1</v>
      </c>
      <c r="F122" s="16">
        <f t="shared" si="8"/>
        <v>2460</v>
      </c>
      <c r="G122" s="16">
        <f t="shared" si="8"/>
        <v>0</v>
      </c>
      <c r="H122" s="16">
        <f t="shared" si="8"/>
        <v>0</v>
      </c>
      <c r="I122" s="16">
        <f t="shared" si="8"/>
        <v>0</v>
      </c>
      <c r="J122" s="16">
        <f t="shared" si="8"/>
        <v>0</v>
      </c>
      <c r="K122" s="16">
        <f t="shared" si="8"/>
        <v>1</v>
      </c>
    </row>
    <row r="123" spans="1:11">
      <c r="A123" s="15" t="str">
        <f t="shared" si="5"/>
        <v>01661</v>
      </c>
      <c r="B123" s="16">
        <f t="shared" si="8"/>
        <v>124</v>
      </c>
      <c r="C123" s="16">
        <f t="shared" si="8"/>
        <v>0</v>
      </c>
      <c r="D123" s="16">
        <f t="shared" si="8"/>
        <v>166</v>
      </c>
      <c r="E123" s="16">
        <f t="shared" si="8"/>
        <v>1</v>
      </c>
      <c r="F123" s="16">
        <f t="shared" si="8"/>
        <v>2679</v>
      </c>
      <c r="G123" s="16">
        <f t="shared" si="8"/>
        <v>0</v>
      </c>
      <c r="H123" s="16">
        <f t="shared" si="8"/>
        <v>0</v>
      </c>
      <c r="I123" s="16">
        <f t="shared" si="8"/>
        <v>0</v>
      </c>
      <c r="J123" s="16">
        <f t="shared" si="8"/>
        <v>0</v>
      </c>
      <c r="K123" s="16">
        <f t="shared" si="8"/>
        <v>1</v>
      </c>
    </row>
    <row r="124" spans="1:11">
      <c r="A124" s="15" t="str">
        <f t="shared" si="5"/>
        <v>01691</v>
      </c>
      <c r="B124" s="16">
        <f t="shared" si="8"/>
        <v>124</v>
      </c>
      <c r="C124" s="16">
        <f t="shared" si="8"/>
        <v>0</v>
      </c>
      <c r="D124" s="16">
        <f t="shared" si="8"/>
        <v>169</v>
      </c>
      <c r="E124" s="16">
        <f t="shared" si="8"/>
        <v>1</v>
      </c>
      <c r="F124" s="16">
        <f t="shared" si="8"/>
        <v>2679</v>
      </c>
      <c r="G124" s="16">
        <f t="shared" si="8"/>
        <v>0</v>
      </c>
      <c r="H124" s="16">
        <f t="shared" si="8"/>
        <v>0</v>
      </c>
      <c r="I124" s="16">
        <f t="shared" si="8"/>
        <v>0</v>
      </c>
      <c r="J124" s="16">
        <f t="shared" si="8"/>
        <v>0</v>
      </c>
      <c r="K124" s="16">
        <f t="shared" si="8"/>
        <v>1</v>
      </c>
    </row>
    <row r="125" spans="1:11">
      <c r="A125" s="15" t="str">
        <f t="shared" si="5"/>
        <v>01721</v>
      </c>
      <c r="B125" s="16">
        <f t="shared" si="8"/>
        <v>124</v>
      </c>
      <c r="C125" s="16">
        <f t="shared" si="8"/>
        <v>0</v>
      </c>
      <c r="D125" s="16">
        <f t="shared" si="8"/>
        <v>172</v>
      </c>
      <c r="E125" s="16">
        <f t="shared" si="8"/>
        <v>1</v>
      </c>
      <c r="F125" s="16">
        <f t="shared" si="8"/>
        <v>2679</v>
      </c>
      <c r="G125" s="16">
        <f t="shared" si="8"/>
        <v>0</v>
      </c>
      <c r="H125" s="16">
        <f t="shared" si="8"/>
        <v>0</v>
      </c>
      <c r="I125" s="16">
        <f t="shared" si="8"/>
        <v>0</v>
      </c>
      <c r="J125" s="16">
        <f t="shared" si="8"/>
        <v>0</v>
      </c>
      <c r="K125" s="16">
        <f t="shared" si="8"/>
        <v>1</v>
      </c>
    </row>
    <row r="126" spans="1:11">
      <c r="A126" s="15" t="str">
        <f t="shared" si="5"/>
        <v>01751</v>
      </c>
      <c r="B126" s="16">
        <f t="shared" si="8"/>
        <v>124</v>
      </c>
      <c r="C126" s="16">
        <f t="shared" si="8"/>
        <v>0</v>
      </c>
      <c r="D126" s="16">
        <f t="shared" si="8"/>
        <v>175</v>
      </c>
      <c r="E126" s="16">
        <f t="shared" si="8"/>
        <v>1</v>
      </c>
      <c r="F126" s="16">
        <f t="shared" si="8"/>
        <v>2679</v>
      </c>
      <c r="G126" s="16">
        <f t="shared" si="8"/>
        <v>0</v>
      </c>
      <c r="H126" s="16">
        <f t="shared" si="8"/>
        <v>0</v>
      </c>
      <c r="I126" s="16">
        <f t="shared" si="8"/>
        <v>0</v>
      </c>
      <c r="J126" s="16">
        <f t="shared" si="8"/>
        <v>0</v>
      </c>
      <c r="K126" s="16">
        <f t="shared" si="8"/>
        <v>1</v>
      </c>
    </row>
    <row r="127" spans="1:11">
      <c r="A127" s="15" t="str">
        <f t="shared" si="5"/>
        <v>01781</v>
      </c>
      <c r="B127" s="16">
        <f t="shared" si="8"/>
        <v>124</v>
      </c>
      <c r="C127" s="16">
        <f t="shared" si="8"/>
        <v>0</v>
      </c>
      <c r="D127" s="16">
        <f t="shared" si="8"/>
        <v>178</v>
      </c>
      <c r="E127" s="16">
        <f t="shared" si="8"/>
        <v>1</v>
      </c>
      <c r="F127" s="16">
        <f t="shared" si="8"/>
        <v>2679</v>
      </c>
      <c r="G127" s="16">
        <f t="shared" si="8"/>
        <v>0</v>
      </c>
      <c r="H127" s="16">
        <f t="shared" si="8"/>
        <v>0</v>
      </c>
      <c r="I127" s="16">
        <f t="shared" si="8"/>
        <v>0</v>
      </c>
      <c r="J127" s="16">
        <f t="shared" si="8"/>
        <v>0</v>
      </c>
      <c r="K127" s="16">
        <f t="shared" si="8"/>
        <v>1</v>
      </c>
    </row>
    <row r="128" spans="1:11">
      <c r="A128" s="15" t="str">
        <f t="shared" si="5"/>
        <v>01811</v>
      </c>
      <c r="B128" s="16">
        <f t="shared" si="8"/>
        <v>124</v>
      </c>
      <c r="C128" s="16">
        <f t="shared" si="8"/>
        <v>0</v>
      </c>
      <c r="D128" s="16">
        <f t="shared" si="8"/>
        <v>181</v>
      </c>
      <c r="E128" s="16">
        <f t="shared" si="8"/>
        <v>1</v>
      </c>
      <c r="F128" s="16">
        <f t="shared" si="8"/>
        <v>2679</v>
      </c>
      <c r="G128" s="16">
        <f t="shared" si="8"/>
        <v>0</v>
      </c>
      <c r="H128" s="16">
        <f t="shared" si="8"/>
        <v>0</v>
      </c>
      <c r="I128" s="16">
        <f t="shared" si="8"/>
        <v>0</v>
      </c>
      <c r="J128" s="16">
        <f t="shared" si="8"/>
        <v>0</v>
      </c>
      <c r="K128" s="16">
        <f t="shared" si="8"/>
        <v>1</v>
      </c>
    </row>
    <row r="129" spans="1:11">
      <c r="A129" s="15" t="str">
        <f t="shared" si="5"/>
        <v>01841</v>
      </c>
      <c r="B129" s="16">
        <f t="shared" si="8"/>
        <v>124</v>
      </c>
      <c r="C129" s="16">
        <f t="shared" si="8"/>
        <v>0</v>
      </c>
      <c r="D129" s="16">
        <f t="shared" si="8"/>
        <v>184</v>
      </c>
      <c r="E129" s="16">
        <f t="shared" si="8"/>
        <v>1</v>
      </c>
      <c r="F129" s="16">
        <f t="shared" si="8"/>
        <v>2679</v>
      </c>
      <c r="G129" s="16">
        <f t="shared" si="8"/>
        <v>0</v>
      </c>
      <c r="H129" s="16">
        <f t="shared" si="8"/>
        <v>0</v>
      </c>
      <c r="I129" s="16">
        <f t="shared" si="8"/>
        <v>0</v>
      </c>
      <c r="J129" s="16">
        <f t="shared" si="8"/>
        <v>0</v>
      </c>
      <c r="K129" s="16">
        <f t="shared" si="8"/>
        <v>1</v>
      </c>
    </row>
    <row r="130" spans="1:11">
      <c r="A130" s="15" t="str">
        <f t="shared" si="5"/>
        <v>01871</v>
      </c>
      <c r="B130" s="16">
        <f t="shared" si="8"/>
        <v>124</v>
      </c>
      <c r="C130" s="16">
        <f t="shared" si="8"/>
        <v>0</v>
      </c>
      <c r="D130" s="16">
        <f t="shared" si="8"/>
        <v>187</v>
      </c>
      <c r="E130" s="16">
        <f t="shared" si="8"/>
        <v>1</v>
      </c>
      <c r="F130" s="16">
        <f t="shared" si="8"/>
        <v>2679</v>
      </c>
      <c r="G130" s="16">
        <f t="shared" si="8"/>
        <v>0</v>
      </c>
      <c r="H130" s="16">
        <f t="shared" si="8"/>
        <v>0</v>
      </c>
      <c r="I130" s="16">
        <f t="shared" si="8"/>
        <v>0</v>
      </c>
      <c r="J130" s="16">
        <f t="shared" si="8"/>
        <v>0</v>
      </c>
      <c r="K130" s="16">
        <f t="shared" si="8"/>
        <v>1</v>
      </c>
    </row>
    <row r="131" spans="1:11">
      <c r="A131" s="15" t="str">
        <f t="shared" ref="A131:A194" si="9">INDIRECT(ADDRESS(ROW()+$A$1,COLUMN(),1,TRUE,$C$1))</f>
        <v>01901</v>
      </c>
      <c r="B131" s="16">
        <f t="shared" si="8"/>
        <v>124</v>
      </c>
      <c r="C131" s="16">
        <f t="shared" si="8"/>
        <v>0</v>
      </c>
      <c r="D131" s="16">
        <f t="shared" si="8"/>
        <v>190</v>
      </c>
      <c r="E131" s="16">
        <f t="shared" si="8"/>
        <v>1</v>
      </c>
      <c r="F131" s="16">
        <f t="shared" si="8"/>
        <v>2679</v>
      </c>
      <c r="G131" s="16">
        <f t="shared" si="8"/>
        <v>0</v>
      </c>
      <c r="H131" s="16">
        <f t="shared" si="8"/>
        <v>0</v>
      </c>
      <c r="I131" s="16">
        <f t="shared" si="8"/>
        <v>0</v>
      </c>
      <c r="J131" s="16">
        <f t="shared" si="8"/>
        <v>0</v>
      </c>
      <c r="K131" s="16">
        <f t="shared" si="8"/>
        <v>1</v>
      </c>
    </row>
    <row r="132" spans="1:11">
      <c r="A132" s="15" t="str">
        <f t="shared" si="9"/>
        <v>01931</v>
      </c>
      <c r="B132" s="16">
        <f t="shared" si="8"/>
        <v>124</v>
      </c>
      <c r="C132" s="16">
        <f t="shared" si="8"/>
        <v>0</v>
      </c>
      <c r="D132" s="16">
        <f t="shared" si="8"/>
        <v>193</v>
      </c>
      <c r="E132" s="16">
        <f t="shared" si="8"/>
        <v>1</v>
      </c>
      <c r="F132" s="16">
        <f t="shared" si="8"/>
        <v>2679</v>
      </c>
      <c r="G132" s="16">
        <f t="shared" si="8"/>
        <v>0</v>
      </c>
      <c r="H132" s="16">
        <f t="shared" si="8"/>
        <v>0</v>
      </c>
      <c r="I132" s="16">
        <f t="shared" si="8"/>
        <v>0</v>
      </c>
      <c r="J132" s="16">
        <f t="shared" si="8"/>
        <v>0</v>
      </c>
      <c r="K132" s="16">
        <f t="shared" si="8"/>
        <v>1</v>
      </c>
    </row>
    <row r="133" spans="1:11">
      <c r="A133" s="15" t="str">
        <f t="shared" si="9"/>
        <v>01961</v>
      </c>
      <c r="B133" s="16">
        <f t="shared" si="8"/>
        <v>124</v>
      </c>
      <c r="C133" s="16">
        <f t="shared" si="8"/>
        <v>0</v>
      </c>
      <c r="D133" s="16">
        <f t="shared" si="8"/>
        <v>196</v>
      </c>
      <c r="E133" s="16">
        <f t="shared" si="8"/>
        <v>1</v>
      </c>
      <c r="F133" s="16">
        <f t="shared" si="8"/>
        <v>2679</v>
      </c>
      <c r="G133" s="16">
        <f t="shared" si="8"/>
        <v>0</v>
      </c>
      <c r="H133" s="16">
        <f t="shared" si="8"/>
        <v>0</v>
      </c>
      <c r="I133" s="16">
        <f t="shared" si="8"/>
        <v>0</v>
      </c>
      <c r="J133" s="16">
        <f t="shared" si="8"/>
        <v>0</v>
      </c>
      <c r="K133" s="16">
        <f t="shared" si="8"/>
        <v>1</v>
      </c>
    </row>
    <row r="134" spans="1:11">
      <c r="A134" s="15" t="str">
        <f t="shared" si="9"/>
        <v>01991</v>
      </c>
      <c r="B134" s="16">
        <f t="shared" si="8"/>
        <v>124</v>
      </c>
      <c r="C134" s="16">
        <f t="shared" si="8"/>
        <v>0</v>
      </c>
      <c r="D134" s="16">
        <f t="shared" si="8"/>
        <v>199</v>
      </c>
      <c r="E134" s="16">
        <f t="shared" si="8"/>
        <v>1</v>
      </c>
      <c r="F134" s="16">
        <f t="shared" si="8"/>
        <v>2679</v>
      </c>
      <c r="G134" s="16">
        <f t="shared" si="8"/>
        <v>0</v>
      </c>
      <c r="H134" s="16">
        <f t="shared" si="8"/>
        <v>0</v>
      </c>
      <c r="I134" s="16">
        <f t="shared" si="8"/>
        <v>0</v>
      </c>
      <c r="J134" s="16">
        <f t="shared" si="8"/>
        <v>0</v>
      </c>
      <c r="K134" s="16">
        <f t="shared" si="8"/>
        <v>1</v>
      </c>
    </row>
    <row r="135" spans="1:11">
      <c r="A135" s="15" t="str">
        <f t="shared" si="9"/>
        <v>02021</v>
      </c>
      <c r="B135" s="16">
        <f t="shared" si="8"/>
        <v>124</v>
      </c>
      <c r="C135" s="16">
        <f t="shared" si="8"/>
        <v>0</v>
      </c>
      <c r="D135" s="16">
        <f t="shared" si="8"/>
        <v>202</v>
      </c>
      <c r="E135" s="16">
        <f t="shared" si="8"/>
        <v>1</v>
      </c>
      <c r="F135" s="16">
        <f t="shared" si="8"/>
        <v>2679</v>
      </c>
      <c r="G135" s="16">
        <f t="shared" si="8"/>
        <v>0</v>
      </c>
      <c r="H135" s="16">
        <f t="shared" si="8"/>
        <v>0</v>
      </c>
      <c r="I135" s="16">
        <f t="shared" si="8"/>
        <v>0</v>
      </c>
      <c r="J135" s="16">
        <f t="shared" si="8"/>
        <v>0</v>
      </c>
      <c r="K135" s="16">
        <f t="shared" si="8"/>
        <v>1</v>
      </c>
    </row>
    <row r="136" spans="1:11">
      <c r="A136" s="15" t="str">
        <f t="shared" si="9"/>
        <v>02051</v>
      </c>
      <c r="B136" s="16">
        <f t="shared" si="8"/>
        <v>124</v>
      </c>
      <c r="C136" s="16">
        <f t="shared" si="8"/>
        <v>0</v>
      </c>
      <c r="D136" s="16">
        <f t="shared" si="8"/>
        <v>205</v>
      </c>
      <c r="E136" s="16">
        <f t="shared" si="8"/>
        <v>1</v>
      </c>
      <c r="F136" s="16">
        <f t="shared" si="8"/>
        <v>2679</v>
      </c>
      <c r="G136" s="16">
        <f t="shared" si="8"/>
        <v>0</v>
      </c>
      <c r="H136" s="16">
        <f t="shared" si="8"/>
        <v>0</v>
      </c>
      <c r="I136" s="16">
        <f t="shared" si="8"/>
        <v>0</v>
      </c>
      <c r="J136" s="16">
        <f t="shared" si="8"/>
        <v>0</v>
      </c>
      <c r="K136" s="16">
        <f t="shared" si="8"/>
        <v>1</v>
      </c>
    </row>
    <row r="137" spans="1:11">
      <c r="A137" s="15" t="str">
        <f t="shared" si="9"/>
        <v>02081</v>
      </c>
      <c r="B137" s="16">
        <f t="shared" si="8"/>
        <v>124</v>
      </c>
      <c r="C137" s="16">
        <f t="shared" si="8"/>
        <v>0</v>
      </c>
      <c r="D137" s="16">
        <f t="shared" si="8"/>
        <v>208</v>
      </c>
      <c r="E137" s="16">
        <f t="shared" si="8"/>
        <v>1</v>
      </c>
      <c r="F137" s="16">
        <f t="shared" si="8"/>
        <v>2679</v>
      </c>
      <c r="G137" s="16">
        <f t="shared" si="8"/>
        <v>0</v>
      </c>
      <c r="H137" s="16">
        <f t="shared" si="8"/>
        <v>0</v>
      </c>
      <c r="I137" s="16">
        <f t="shared" si="8"/>
        <v>0</v>
      </c>
      <c r="J137" s="16">
        <f t="shared" si="8"/>
        <v>0</v>
      </c>
      <c r="K137" s="16">
        <f t="shared" si="8"/>
        <v>1</v>
      </c>
    </row>
    <row r="138" spans="1:11">
      <c r="A138" s="15" t="str">
        <f t="shared" si="9"/>
        <v>02111</v>
      </c>
      <c r="B138" s="16">
        <f t="shared" si="8"/>
        <v>124</v>
      </c>
      <c r="C138" s="16">
        <f t="shared" si="8"/>
        <v>0</v>
      </c>
      <c r="D138" s="16">
        <f t="shared" si="8"/>
        <v>211</v>
      </c>
      <c r="E138" s="16">
        <f t="shared" si="8"/>
        <v>1</v>
      </c>
      <c r="F138" s="16">
        <f t="shared" si="8"/>
        <v>2679</v>
      </c>
      <c r="G138" s="16">
        <f t="shared" si="8"/>
        <v>0</v>
      </c>
      <c r="H138" s="16">
        <f t="shared" si="8"/>
        <v>0</v>
      </c>
      <c r="I138" s="16">
        <f t="shared" si="8"/>
        <v>0</v>
      </c>
      <c r="J138" s="16">
        <f t="shared" si="8"/>
        <v>0</v>
      </c>
      <c r="K138" s="16">
        <f t="shared" si="8"/>
        <v>1</v>
      </c>
    </row>
    <row r="139" spans="1:11">
      <c r="A139" s="15" t="str">
        <f t="shared" si="9"/>
        <v>02141</v>
      </c>
      <c r="B139" s="16">
        <f t="shared" si="8"/>
        <v>124</v>
      </c>
      <c r="C139" s="16">
        <f t="shared" si="8"/>
        <v>0</v>
      </c>
      <c r="D139" s="16">
        <f t="shared" si="8"/>
        <v>214</v>
      </c>
      <c r="E139" s="16">
        <f t="shared" si="8"/>
        <v>1</v>
      </c>
      <c r="F139" s="16">
        <f t="shared" si="8"/>
        <v>2679</v>
      </c>
      <c r="G139" s="16">
        <f t="shared" si="8"/>
        <v>0</v>
      </c>
      <c r="H139" s="16">
        <f t="shared" si="8"/>
        <v>0</v>
      </c>
      <c r="I139" s="16">
        <f t="shared" si="8"/>
        <v>0</v>
      </c>
      <c r="J139" s="16">
        <f t="shared" si="8"/>
        <v>0</v>
      </c>
      <c r="K139" s="16">
        <f t="shared" si="8"/>
        <v>1</v>
      </c>
    </row>
    <row r="140" spans="1:11">
      <c r="A140" s="15" t="str">
        <f t="shared" si="9"/>
        <v>02171</v>
      </c>
      <c r="B140" s="16">
        <f t="shared" si="8"/>
        <v>124</v>
      </c>
      <c r="C140" s="16">
        <f t="shared" si="8"/>
        <v>0</v>
      </c>
      <c r="D140" s="16">
        <f t="shared" si="8"/>
        <v>217</v>
      </c>
      <c r="E140" s="16">
        <f t="shared" si="8"/>
        <v>1</v>
      </c>
      <c r="F140" s="16">
        <f t="shared" si="8"/>
        <v>2679</v>
      </c>
      <c r="G140" s="16">
        <f t="shared" si="8"/>
        <v>0</v>
      </c>
      <c r="H140" s="16">
        <f t="shared" si="8"/>
        <v>0</v>
      </c>
      <c r="I140" s="16">
        <f t="shared" si="8"/>
        <v>0</v>
      </c>
      <c r="J140" s="16">
        <f t="shared" si="8"/>
        <v>0</v>
      </c>
      <c r="K140" s="16">
        <f t="shared" si="8"/>
        <v>1</v>
      </c>
    </row>
    <row r="141" spans="1:11">
      <c r="A141" s="15" t="str">
        <f t="shared" si="9"/>
        <v>02201</v>
      </c>
      <c r="B141" s="16">
        <f t="shared" si="8"/>
        <v>124</v>
      </c>
      <c r="C141" s="16">
        <f t="shared" si="8"/>
        <v>0</v>
      </c>
      <c r="D141" s="16">
        <f t="shared" si="8"/>
        <v>220</v>
      </c>
      <c r="E141" s="16">
        <f t="shared" si="8"/>
        <v>1</v>
      </c>
      <c r="F141" s="16">
        <f t="shared" si="8"/>
        <v>2679</v>
      </c>
      <c r="G141" s="16">
        <f t="shared" si="8"/>
        <v>0</v>
      </c>
      <c r="H141" s="16">
        <f t="shared" si="8"/>
        <v>0</v>
      </c>
      <c r="I141" s="16">
        <f t="shared" si="8"/>
        <v>0</v>
      </c>
      <c r="J141" s="16">
        <f t="shared" si="8"/>
        <v>0</v>
      </c>
      <c r="K141" s="16">
        <f t="shared" si="8"/>
        <v>1</v>
      </c>
    </row>
    <row r="142" spans="1:11">
      <c r="A142" s="15" t="str">
        <f t="shared" si="9"/>
        <v>02231</v>
      </c>
      <c r="B142" s="16">
        <f t="shared" si="8"/>
        <v>124</v>
      </c>
      <c r="C142" s="16">
        <f t="shared" si="8"/>
        <v>0</v>
      </c>
      <c r="D142" s="16">
        <f t="shared" si="8"/>
        <v>223</v>
      </c>
      <c r="E142" s="16">
        <f t="shared" si="8"/>
        <v>1</v>
      </c>
      <c r="F142" s="16">
        <f t="shared" si="8"/>
        <v>2679</v>
      </c>
      <c r="G142" s="16">
        <f t="shared" si="8"/>
        <v>0</v>
      </c>
      <c r="H142" s="16">
        <f t="shared" si="8"/>
        <v>0</v>
      </c>
      <c r="I142" s="16">
        <f t="shared" si="8"/>
        <v>0</v>
      </c>
      <c r="J142" s="16">
        <f t="shared" si="8"/>
        <v>0</v>
      </c>
      <c r="K142" s="16">
        <f t="shared" si="8"/>
        <v>1</v>
      </c>
    </row>
    <row r="143" spans="1:11">
      <c r="A143" s="15" t="str">
        <f t="shared" si="9"/>
        <v>02261</v>
      </c>
      <c r="B143" s="16">
        <f t="shared" si="8"/>
        <v>124</v>
      </c>
      <c r="C143" s="16">
        <f t="shared" si="8"/>
        <v>0</v>
      </c>
      <c r="D143" s="16">
        <f t="shared" si="8"/>
        <v>226</v>
      </c>
      <c r="E143" s="16">
        <f t="shared" si="8"/>
        <v>1</v>
      </c>
      <c r="F143" s="16">
        <f t="shared" si="8"/>
        <v>469</v>
      </c>
      <c r="G143" s="16">
        <f t="shared" si="8"/>
        <v>0</v>
      </c>
      <c r="H143" s="16">
        <f t="shared" si="8"/>
        <v>0</v>
      </c>
      <c r="I143" s="16">
        <f t="shared" si="8"/>
        <v>0</v>
      </c>
      <c r="J143" s="16">
        <f t="shared" si="8"/>
        <v>0</v>
      </c>
      <c r="K143" s="16">
        <f t="shared" si="8"/>
        <v>1</v>
      </c>
    </row>
    <row r="144" spans="1:11">
      <c r="A144" s="15" t="str">
        <f t="shared" si="9"/>
        <v>02291</v>
      </c>
      <c r="B144" s="16">
        <f t="shared" si="8"/>
        <v>124</v>
      </c>
      <c r="C144" s="16">
        <f t="shared" si="8"/>
        <v>0</v>
      </c>
      <c r="D144" s="16">
        <f t="shared" si="8"/>
        <v>229</v>
      </c>
      <c r="E144" s="16">
        <f t="shared" si="8"/>
        <v>1</v>
      </c>
      <c r="F144" s="16">
        <f t="shared" si="8"/>
        <v>469</v>
      </c>
      <c r="G144" s="16">
        <f t="shared" si="8"/>
        <v>0</v>
      </c>
      <c r="H144" s="16">
        <f t="shared" si="8"/>
        <v>0</v>
      </c>
      <c r="I144" s="16">
        <f t="shared" si="8"/>
        <v>0</v>
      </c>
      <c r="J144" s="16">
        <f t="shared" si="8"/>
        <v>0</v>
      </c>
      <c r="K144" s="16">
        <f t="shared" si="8"/>
        <v>1</v>
      </c>
    </row>
    <row r="145" spans="1:11">
      <c r="A145" s="15" t="str">
        <f t="shared" si="9"/>
        <v>02321</v>
      </c>
      <c r="B145" s="16">
        <f t="shared" si="8"/>
        <v>124</v>
      </c>
      <c r="C145" s="16">
        <f t="shared" si="8"/>
        <v>0</v>
      </c>
      <c r="D145" s="16">
        <f t="shared" si="8"/>
        <v>232</v>
      </c>
      <c r="E145" s="16">
        <f t="shared" si="8"/>
        <v>1</v>
      </c>
      <c r="F145" s="16">
        <f t="shared" si="8"/>
        <v>469</v>
      </c>
      <c r="G145" s="16">
        <f t="shared" si="8"/>
        <v>0</v>
      </c>
      <c r="H145" s="16">
        <f t="shared" si="8"/>
        <v>0</v>
      </c>
      <c r="I145" s="16">
        <f t="shared" si="8"/>
        <v>0</v>
      </c>
      <c r="J145" s="16">
        <f t="shared" si="8"/>
        <v>0</v>
      </c>
      <c r="K145" s="16">
        <f t="shared" si="8"/>
        <v>1</v>
      </c>
    </row>
    <row r="146" spans="1:11">
      <c r="A146" s="15" t="str">
        <f t="shared" si="9"/>
        <v>02351</v>
      </c>
      <c r="B146" s="16">
        <f t="shared" si="8"/>
        <v>124</v>
      </c>
      <c r="C146" s="16">
        <f t="shared" si="8"/>
        <v>0</v>
      </c>
      <c r="D146" s="16">
        <f t="shared" si="8"/>
        <v>235</v>
      </c>
      <c r="E146" s="16">
        <f t="shared" si="8"/>
        <v>1</v>
      </c>
      <c r="F146" s="16">
        <f t="shared" si="8"/>
        <v>469</v>
      </c>
      <c r="G146" s="16">
        <f t="shared" si="8"/>
        <v>0</v>
      </c>
      <c r="H146" s="16">
        <f t="shared" si="8"/>
        <v>0</v>
      </c>
      <c r="I146" s="16">
        <f t="shared" si="8"/>
        <v>0</v>
      </c>
      <c r="J146" s="16">
        <f t="shared" si="8"/>
        <v>0</v>
      </c>
      <c r="K146" s="16">
        <f t="shared" si="8"/>
        <v>1</v>
      </c>
    </row>
    <row r="147" spans="1:11">
      <c r="A147" s="15" t="str">
        <f t="shared" si="9"/>
        <v>01271</v>
      </c>
      <c r="B147" s="16">
        <f t="shared" ref="B147:K172" si="10">VLOOKUP($A147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124</v>
      </c>
      <c r="C147" s="16">
        <f t="shared" si="10"/>
        <v>0</v>
      </c>
      <c r="D147" s="16">
        <f t="shared" si="10"/>
        <v>127</v>
      </c>
      <c r="E147" s="16">
        <f t="shared" si="10"/>
        <v>1</v>
      </c>
      <c r="F147" s="16">
        <f t="shared" si="10"/>
        <v>851</v>
      </c>
      <c r="G147" s="16">
        <f t="shared" si="10"/>
        <v>0</v>
      </c>
      <c r="H147" s="16">
        <f t="shared" si="10"/>
        <v>0</v>
      </c>
      <c r="I147" s="16">
        <f t="shared" si="10"/>
        <v>0</v>
      </c>
      <c r="J147" s="16">
        <f t="shared" si="10"/>
        <v>0</v>
      </c>
      <c r="K147" s="16">
        <f t="shared" si="10"/>
        <v>1</v>
      </c>
    </row>
    <row r="148" spans="1:11">
      <c r="A148" s="15" t="str">
        <f t="shared" si="9"/>
        <v>01291</v>
      </c>
      <c r="B148" s="16">
        <f t="shared" si="10"/>
        <v>124</v>
      </c>
      <c r="C148" s="16">
        <f t="shared" si="10"/>
        <v>0</v>
      </c>
      <c r="D148" s="16">
        <f t="shared" si="10"/>
        <v>129</v>
      </c>
      <c r="E148" s="16">
        <f t="shared" si="10"/>
        <v>1</v>
      </c>
      <c r="F148" s="16">
        <f t="shared" si="10"/>
        <v>851</v>
      </c>
      <c r="G148" s="16">
        <f t="shared" si="10"/>
        <v>0</v>
      </c>
      <c r="H148" s="16">
        <f t="shared" si="10"/>
        <v>0</v>
      </c>
      <c r="I148" s="16">
        <f t="shared" si="10"/>
        <v>0</v>
      </c>
      <c r="J148" s="16">
        <f t="shared" si="10"/>
        <v>0</v>
      </c>
      <c r="K148" s="16">
        <f t="shared" si="10"/>
        <v>1</v>
      </c>
    </row>
    <row r="149" spans="1:11">
      <c r="A149" s="15" t="str">
        <f t="shared" si="9"/>
        <v>01311</v>
      </c>
      <c r="B149" s="16">
        <f t="shared" si="10"/>
        <v>124</v>
      </c>
      <c r="C149" s="16">
        <f t="shared" si="10"/>
        <v>0</v>
      </c>
      <c r="D149" s="16">
        <f t="shared" si="10"/>
        <v>131</v>
      </c>
      <c r="E149" s="16">
        <f t="shared" si="10"/>
        <v>1</v>
      </c>
      <c r="F149" s="16">
        <f t="shared" si="10"/>
        <v>851</v>
      </c>
      <c r="G149" s="16">
        <f t="shared" si="10"/>
        <v>0</v>
      </c>
      <c r="H149" s="16">
        <f t="shared" si="10"/>
        <v>0</v>
      </c>
      <c r="I149" s="16">
        <f t="shared" si="10"/>
        <v>0</v>
      </c>
      <c r="J149" s="16">
        <f t="shared" si="10"/>
        <v>0</v>
      </c>
      <c r="K149" s="16">
        <f t="shared" si="10"/>
        <v>1</v>
      </c>
    </row>
    <row r="150" spans="1:11">
      <c r="A150" s="15" t="str">
        <f t="shared" si="9"/>
        <v>01331</v>
      </c>
      <c r="B150" s="16">
        <f t="shared" si="10"/>
        <v>124</v>
      </c>
      <c r="C150" s="16">
        <f t="shared" si="10"/>
        <v>0</v>
      </c>
      <c r="D150" s="16">
        <f t="shared" si="10"/>
        <v>133</v>
      </c>
      <c r="E150" s="16">
        <f t="shared" si="10"/>
        <v>1</v>
      </c>
      <c r="F150" s="16">
        <f t="shared" si="10"/>
        <v>851</v>
      </c>
      <c r="G150" s="16">
        <f t="shared" si="10"/>
        <v>0</v>
      </c>
      <c r="H150" s="16">
        <f t="shared" si="10"/>
        <v>0</v>
      </c>
      <c r="I150" s="16">
        <f t="shared" si="10"/>
        <v>0</v>
      </c>
      <c r="J150" s="16">
        <f t="shared" si="10"/>
        <v>0</v>
      </c>
      <c r="K150" s="16">
        <f t="shared" si="10"/>
        <v>1</v>
      </c>
    </row>
    <row r="151" spans="1:11">
      <c r="A151" s="15" t="str">
        <f t="shared" si="9"/>
        <v>01351</v>
      </c>
      <c r="B151" s="16">
        <f t="shared" si="10"/>
        <v>124</v>
      </c>
      <c r="C151" s="16">
        <f t="shared" si="10"/>
        <v>0</v>
      </c>
      <c r="D151" s="16">
        <f t="shared" si="10"/>
        <v>135</v>
      </c>
      <c r="E151" s="16">
        <f t="shared" si="10"/>
        <v>1</v>
      </c>
      <c r="F151" s="16">
        <f t="shared" si="10"/>
        <v>851</v>
      </c>
      <c r="G151" s="16">
        <f t="shared" si="10"/>
        <v>0</v>
      </c>
      <c r="H151" s="16">
        <f t="shared" si="10"/>
        <v>0</v>
      </c>
      <c r="I151" s="16">
        <f t="shared" si="10"/>
        <v>0</v>
      </c>
      <c r="J151" s="16">
        <f t="shared" si="10"/>
        <v>0</v>
      </c>
      <c r="K151" s="16">
        <f t="shared" si="10"/>
        <v>1</v>
      </c>
    </row>
    <row r="152" spans="1:11">
      <c r="A152" s="15" t="str">
        <f t="shared" si="9"/>
        <v>01371</v>
      </c>
      <c r="B152" s="16">
        <f t="shared" si="10"/>
        <v>124</v>
      </c>
      <c r="C152" s="16">
        <f t="shared" si="10"/>
        <v>0</v>
      </c>
      <c r="D152" s="16">
        <f t="shared" si="10"/>
        <v>137</v>
      </c>
      <c r="E152" s="16">
        <f t="shared" si="10"/>
        <v>1</v>
      </c>
      <c r="F152" s="16">
        <f t="shared" si="10"/>
        <v>851</v>
      </c>
      <c r="G152" s="16">
        <f t="shared" si="10"/>
        <v>0</v>
      </c>
      <c r="H152" s="16">
        <f t="shared" si="10"/>
        <v>0</v>
      </c>
      <c r="I152" s="16">
        <f t="shared" si="10"/>
        <v>0</v>
      </c>
      <c r="J152" s="16">
        <f t="shared" si="10"/>
        <v>0</v>
      </c>
      <c r="K152" s="16">
        <f t="shared" si="10"/>
        <v>1</v>
      </c>
    </row>
    <row r="153" spans="1:11">
      <c r="A153" s="15" t="str">
        <f t="shared" si="9"/>
        <v>01391</v>
      </c>
      <c r="B153" s="16">
        <f t="shared" si="10"/>
        <v>124</v>
      </c>
      <c r="C153" s="16">
        <f t="shared" si="10"/>
        <v>0</v>
      </c>
      <c r="D153" s="16">
        <f t="shared" si="10"/>
        <v>139</v>
      </c>
      <c r="E153" s="16">
        <f t="shared" si="10"/>
        <v>1</v>
      </c>
      <c r="F153" s="16">
        <f t="shared" si="10"/>
        <v>851</v>
      </c>
      <c r="G153" s="16">
        <f t="shared" si="10"/>
        <v>0</v>
      </c>
      <c r="H153" s="16">
        <f t="shared" si="10"/>
        <v>0</v>
      </c>
      <c r="I153" s="16">
        <f t="shared" si="10"/>
        <v>0</v>
      </c>
      <c r="J153" s="16">
        <f t="shared" si="10"/>
        <v>0</v>
      </c>
      <c r="K153" s="16">
        <f t="shared" si="10"/>
        <v>1</v>
      </c>
    </row>
    <row r="154" spans="1:11">
      <c r="A154" s="15" t="str">
        <f t="shared" si="9"/>
        <v>01411</v>
      </c>
      <c r="B154" s="16">
        <f t="shared" si="10"/>
        <v>124</v>
      </c>
      <c r="C154" s="16">
        <f t="shared" si="10"/>
        <v>0</v>
      </c>
      <c r="D154" s="16">
        <f t="shared" si="10"/>
        <v>141</v>
      </c>
      <c r="E154" s="16">
        <f t="shared" si="10"/>
        <v>1</v>
      </c>
      <c r="F154" s="16">
        <f t="shared" si="10"/>
        <v>851</v>
      </c>
      <c r="G154" s="16">
        <f t="shared" si="10"/>
        <v>0</v>
      </c>
      <c r="H154" s="16">
        <f t="shared" si="10"/>
        <v>0</v>
      </c>
      <c r="I154" s="16">
        <f t="shared" si="10"/>
        <v>0</v>
      </c>
      <c r="J154" s="16">
        <f t="shared" si="10"/>
        <v>0</v>
      </c>
      <c r="K154" s="16">
        <f t="shared" si="10"/>
        <v>1</v>
      </c>
    </row>
    <row r="155" spans="1:11">
      <c r="A155" s="15" t="str">
        <f t="shared" si="9"/>
        <v>01431</v>
      </c>
      <c r="B155" s="16">
        <f t="shared" si="10"/>
        <v>124</v>
      </c>
      <c r="C155" s="16">
        <f t="shared" si="10"/>
        <v>0</v>
      </c>
      <c r="D155" s="16">
        <f t="shared" si="10"/>
        <v>143</v>
      </c>
      <c r="E155" s="16">
        <f t="shared" si="10"/>
        <v>1</v>
      </c>
      <c r="F155" s="16">
        <f t="shared" si="10"/>
        <v>851</v>
      </c>
      <c r="G155" s="16">
        <f t="shared" si="10"/>
        <v>0</v>
      </c>
      <c r="H155" s="16">
        <f t="shared" si="10"/>
        <v>0</v>
      </c>
      <c r="I155" s="16">
        <f t="shared" si="10"/>
        <v>0</v>
      </c>
      <c r="J155" s="16">
        <f t="shared" si="10"/>
        <v>0</v>
      </c>
      <c r="K155" s="16">
        <f t="shared" si="10"/>
        <v>1</v>
      </c>
    </row>
    <row r="156" spans="1:11">
      <c r="A156" s="15" t="str">
        <f t="shared" si="9"/>
        <v>01451</v>
      </c>
      <c r="B156" s="16">
        <f t="shared" si="10"/>
        <v>124</v>
      </c>
      <c r="C156" s="16">
        <f t="shared" si="10"/>
        <v>0</v>
      </c>
      <c r="D156" s="16">
        <f t="shared" si="10"/>
        <v>145</v>
      </c>
      <c r="E156" s="16">
        <f t="shared" si="10"/>
        <v>1</v>
      </c>
      <c r="F156" s="16">
        <f t="shared" si="10"/>
        <v>851</v>
      </c>
      <c r="G156" s="16">
        <f t="shared" si="10"/>
        <v>0</v>
      </c>
      <c r="H156" s="16">
        <f t="shared" si="10"/>
        <v>0</v>
      </c>
      <c r="I156" s="16">
        <f t="shared" si="10"/>
        <v>0</v>
      </c>
      <c r="J156" s="16">
        <f t="shared" si="10"/>
        <v>0</v>
      </c>
      <c r="K156" s="16">
        <f t="shared" si="10"/>
        <v>1</v>
      </c>
    </row>
    <row r="157" spans="1:11">
      <c r="A157" s="15" t="str">
        <f t="shared" si="9"/>
        <v>01471</v>
      </c>
      <c r="B157" s="16">
        <f t="shared" si="10"/>
        <v>124</v>
      </c>
      <c r="C157" s="16">
        <f t="shared" si="10"/>
        <v>0</v>
      </c>
      <c r="D157" s="16">
        <f t="shared" si="10"/>
        <v>147</v>
      </c>
      <c r="E157" s="16">
        <f t="shared" si="10"/>
        <v>1</v>
      </c>
      <c r="F157" s="16">
        <f t="shared" si="10"/>
        <v>851</v>
      </c>
      <c r="G157" s="16">
        <f t="shared" si="10"/>
        <v>0</v>
      </c>
      <c r="H157" s="16">
        <f t="shared" si="10"/>
        <v>0</v>
      </c>
      <c r="I157" s="16">
        <f t="shared" si="10"/>
        <v>0</v>
      </c>
      <c r="J157" s="16">
        <f t="shared" si="10"/>
        <v>0</v>
      </c>
      <c r="K157" s="16">
        <f t="shared" si="10"/>
        <v>1</v>
      </c>
    </row>
    <row r="158" spans="1:11">
      <c r="A158" s="15" t="str">
        <f t="shared" si="9"/>
        <v>01491</v>
      </c>
      <c r="B158" s="16">
        <f t="shared" si="10"/>
        <v>124</v>
      </c>
      <c r="C158" s="16">
        <f t="shared" si="10"/>
        <v>0</v>
      </c>
      <c r="D158" s="16">
        <f t="shared" si="10"/>
        <v>149</v>
      </c>
      <c r="E158" s="16">
        <f t="shared" si="10"/>
        <v>1</v>
      </c>
      <c r="F158" s="16">
        <f t="shared" si="10"/>
        <v>851</v>
      </c>
      <c r="G158" s="16">
        <f t="shared" si="10"/>
        <v>0</v>
      </c>
      <c r="H158" s="16">
        <f t="shared" si="10"/>
        <v>0</v>
      </c>
      <c r="I158" s="16">
        <f t="shared" si="10"/>
        <v>0</v>
      </c>
      <c r="J158" s="16">
        <f t="shared" si="10"/>
        <v>0</v>
      </c>
      <c r="K158" s="16">
        <f t="shared" si="10"/>
        <v>1</v>
      </c>
    </row>
    <row r="159" spans="1:11">
      <c r="A159" s="15" t="str">
        <f t="shared" si="9"/>
        <v>01511</v>
      </c>
      <c r="B159" s="16">
        <f t="shared" si="10"/>
        <v>124</v>
      </c>
      <c r="C159" s="16">
        <f t="shared" si="10"/>
        <v>0</v>
      </c>
      <c r="D159" s="16">
        <f t="shared" si="10"/>
        <v>151</v>
      </c>
      <c r="E159" s="16">
        <f t="shared" si="10"/>
        <v>1</v>
      </c>
      <c r="F159" s="16">
        <f t="shared" si="10"/>
        <v>851</v>
      </c>
      <c r="G159" s="16">
        <f t="shared" si="10"/>
        <v>0</v>
      </c>
      <c r="H159" s="16">
        <f t="shared" si="10"/>
        <v>0</v>
      </c>
      <c r="I159" s="16">
        <f t="shared" si="10"/>
        <v>0</v>
      </c>
      <c r="J159" s="16">
        <f t="shared" si="10"/>
        <v>0</v>
      </c>
      <c r="K159" s="16">
        <f t="shared" si="10"/>
        <v>1</v>
      </c>
    </row>
    <row r="160" spans="1:11">
      <c r="A160" s="15" t="str">
        <f t="shared" si="9"/>
        <v>01531</v>
      </c>
      <c r="B160" s="16">
        <f t="shared" si="10"/>
        <v>124</v>
      </c>
      <c r="C160" s="16">
        <f t="shared" si="10"/>
        <v>0</v>
      </c>
      <c r="D160" s="16">
        <f t="shared" si="10"/>
        <v>153</v>
      </c>
      <c r="E160" s="16">
        <f t="shared" si="10"/>
        <v>1</v>
      </c>
      <c r="F160" s="16">
        <f t="shared" si="10"/>
        <v>851</v>
      </c>
      <c r="G160" s="16">
        <f t="shared" si="10"/>
        <v>0</v>
      </c>
      <c r="H160" s="16">
        <f t="shared" si="10"/>
        <v>0</v>
      </c>
      <c r="I160" s="16">
        <f t="shared" si="10"/>
        <v>0</v>
      </c>
      <c r="J160" s="16">
        <f t="shared" si="10"/>
        <v>0</v>
      </c>
      <c r="K160" s="16">
        <f t="shared" si="10"/>
        <v>1</v>
      </c>
    </row>
    <row r="161" spans="1:11">
      <c r="A161" s="15" t="str">
        <f t="shared" si="9"/>
        <v>01551</v>
      </c>
      <c r="B161" s="16">
        <f t="shared" si="10"/>
        <v>124</v>
      </c>
      <c r="C161" s="16">
        <f t="shared" si="10"/>
        <v>0</v>
      </c>
      <c r="D161" s="16">
        <f t="shared" si="10"/>
        <v>155</v>
      </c>
      <c r="E161" s="16">
        <f t="shared" si="10"/>
        <v>1</v>
      </c>
      <c r="F161" s="16">
        <f t="shared" si="10"/>
        <v>851</v>
      </c>
      <c r="G161" s="16">
        <f t="shared" si="10"/>
        <v>0</v>
      </c>
      <c r="H161" s="16">
        <f t="shared" si="10"/>
        <v>0</v>
      </c>
      <c r="I161" s="16">
        <f t="shared" si="10"/>
        <v>0</v>
      </c>
      <c r="J161" s="16">
        <f t="shared" si="10"/>
        <v>0</v>
      </c>
      <c r="K161" s="16">
        <f t="shared" si="10"/>
        <v>1</v>
      </c>
    </row>
    <row r="162" spans="1:11">
      <c r="A162" s="15" t="str">
        <f t="shared" si="9"/>
        <v>01571</v>
      </c>
      <c r="B162" s="16">
        <f t="shared" si="10"/>
        <v>124</v>
      </c>
      <c r="C162" s="16">
        <f t="shared" si="10"/>
        <v>0</v>
      </c>
      <c r="D162" s="16">
        <f t="shared" si="10"/>
        <v>157</v>
      </c>
      <c r="E162" s="16">
        <f t="shared" si="10"/>
        <v>1</v>
      </c>
      <c r="F162" s="16">
        <f t="shared" si="10"/>
        <v>851</v>
      </c>
      <c r="G162" s="16">
        <f t="shared" si="10"/>
        <v>0</v>
      </c>
      <c r="H162" s="16">
        <f t="shared" si="10"/>
        <v>0</v>
      </c>
      <c r="I162" s="16">
        <f t="shared" si="10"/>
        <v>0</v>
      </c>
      <c r="J162" s="16">
        <f t="shared" si="10"/>
        <v>0</v>
      </c>
      <c r="K162" s="16">
        <f t="shared" si="10"/>
        <v>1</v>
      </c>
    </row>
    <row r="163" spans="1:11">
      <c r="A163" s="15" t="str">
        <f t="shared" si="9"/>
        <v>01591</v>
      </c>
      <c r="B163" s="16">
        <f t="shared" si="10"/>
        <v>124</v>
      </c>
      <c r="C163" s="16">
        <f t="shared" si="10"/>
        <v>0</v>
      </c>
      <c r="D163" s="16">
        <f t="shared" si="10"/>
        <v>159</v>
      </c>
      <c r="E163" s="16">
        <f t="shared" si="10"/>
        <v>1</v>
      </c>
      <c r="F163" s="16">
        <f t="shared" si="10"/>
        <v>851</v>
      </c>
      <c r="G163" s="16">
        <f t="shared" si="10"/>
        <v>0</v>
      </c>
      <c r="H163" s="16">
        <f t="shared" si="10"/>
        <v>0</v>
      </c>
      <c r="I163" s="16">
        <f t="shared" si="10"/>
        <v>0</v>
      </c>
      <c r="J163" s="16">
        <f t="shared" si="10"/>
        <v>0</v>
      </c>
      <c r="K163" s="16">
        <f t="shared" si="10"/>
        <v>1</v>
      </c>
    </row>
    <row r="164" spans="1:11">
      <c r="A164" s="15" t="str">
        <f t="shared" si="9"/>
        <v>01611</v>
      </c>
      <c r="B164" s="16">
        <f t="shared" si="10"/>
        <v>124</v>
      </c>
      <c r="C164" s="16">
        <f t="shared" si="10"/>
        <v>0</v>
      </c>
      <c r="D164" s="16">
        <f t="shared" si="10"/>
        <v>161</v>
      </c>
      <c r="E164" s="16">
        <f t="shared" si="10"/>
        <v>1</v>
      </c>
      <c r="F164" s="16">
        <f t="shared" si="10"/>
        <v>851</v>
      </c>
      <c r="G164" s="16">
        <f t="shared" si="10"/>
        <v>0</v>
      </c>
      <c r="H164" s="16">
        <f t="shared" si="10"/>
        <v>0</v>
      </c>
      <c r="I164" s="16">
        <f t="shared" si="10"/>
        <v>0</v>
      </c>
      <c r="J164" s="16">
        <f t="shared" si="10"/>
        <v>0</v>
      </c>
      <c r="K164" s="16">
        <f t="shared" si="10"/>
        <v>1</v>
      </c>
    </row>
    <row r="165" spans="1:11">
      <c r="A165" s="15" t="str">
        <f t="shared" si="9"/>
        <v>01631</v>
      </c>
      <c r="B165" s="16">
        <f t="shared" si="10"/>
        <v>124</v>
      </c>
      <c r="C165" s="16">
        <f t="shared" si="10"/>
        <v>0</v>
      </c>
      <c r="D165" s="16">
        <f t="shared" si="10"/>
        <v>163</v>
      </c>
      <c r="E165" s="16">
        <f t="shared" si="10"/>
        <v>1</v>
      </c>
      <c r="F165" s="16">
        <f t="shared" si="10"/>
        <v>851</v>
      </c>
      <c r="G165" s="16">
        <f t="shared" si="10"/>
        <v>0</v>
      </c>
      <c r="H165" s="16">
        <f t="shared" si="10"/>
        <v>0</v>
      </c>
      <c r="I165" s="16">
        <f t="shared" si="10"/>
        <v>0</v>
      </c>
      <c r="J165" s="16">
        <f t="shared" si="10"/>
        <v>0</v>
      </c>
      <c r="K165" s="16">
        <f t="shared" si="10"/>
        <v>1</v>
      </c>
    </row>
    <row r="166" spans="1:11">
      <c r="A166" s="15" t="str">
        <f t="shared" si="9"/>
        <v>01651</v>
      </c>
      <c r="B166" s="16">
        <f t="shared" si="10"/>
        <v>124</v>
      </c>
      <c r="C166" s="16">
        <f t="shared" si="10"/>
        <v>0</v>
      </c>
      <c r="D166" s="16">
        <f t="shared" si="10"/>
        <v>165</v>
      </c>
      <c r="E166" s="16">
        <f t="shared" si="10"/>
        <v>1</v>
      </c>
      <c r="F166" s="16">
        <f t="shared" si="10"/>
        <v>851</v>
      </c>
      <c r="G166" s="16">
        <f t="shared" si="10"/>
        <v>0</v>
      </c>
      <c r="H166" s="16">
        <f t="shared" si="10"/>
        <v>0</v>
      </c>
      <c r="I166" s="16">
        <f t="shared" si="10"/>
        <v>0</v>
      </c>
      <c r="J166" s="16">
        <f t="shared" si="10"/>
        <v>0</v>
      </c>
      <c r="K166" s="16">
        <f t="shared" si="10"/>
        <v>1</v>
      </c>
    </row>
    <row r="167" spans="1:11">
      <c r="A167" s="15" t="str">
        <f t="shared" si="9"/>
        <v>01671</v>
      </c>
      <c r="B167" s="16">
        <f t="shared" si="10"/>
        <v>124</v>
      </c>
      <c r="C167" s="16">
        <f t="shared" si="10"/>
        <v>0</v>
      </c>
      <c r="D167" s="16">
        <f t="shared" si="10"/>
        <v>167</v>
      </c>
      <c r="E167" s="16">
        <f t="shared" si="10"/>
        <v>1</v>
      </c>
      <c r="F167" s="16">
        <f t="shared" si="10"/>
        <v>824</v>
      </c>
      <c r="G167" s="16">
        <f t="shared" si="10"/>
        <v>0</v>
      </c>
      <c r="H167" s="16">
        <f t="shared" si="10"/>
        <v>0</v>
      </c>
      <c r="I167" s="16">
        <f t="shared" si="10"/>
        <v>0</v>
      </c>
      <c r="J167" s="16">
        <f t="shared" si="10"/>
        <v>0</v>
      </c>
      <c r="K167" s="16">
        <f t="shared" si="10"/>
        <v>1</v>
      </c>
    </row>
    <row r="168" spans="1:11">
      <c r="A168" s="15" t="str">
        <f t="shared" si="9"/>
        <v>01701</v>
      </c>
      <c r="B168" s="16">
        <f t="shared" si="10"/>
        <v>124</v>
      </c>
      <c r="C168" s="16">
        <f t="shared" si="10"/>
        <v>0</v>
      </c>
      <c r="D168" s="16">
        <f t="shared" si="10"/>
        <v>170</v>
      </c>
      <c r="E168" s="16">
        <f t="shared" si="10"/>
        <v>1</v>
      </c>
      <c r="F168" s="16">
        <f t="shared" si="10"/>
        <v>824</v>
      </c>
      <c r="G168" s="16">
        <f t="shared" si="10"/>
        <v>0</v>
      </c>
      <c r="H168" s="16">
        <f t="shared" si="10"/>
        <v>0</v>
      </c>
      <c r="I168" s="16">
        <f t="shared" si="10"/>
        <v>0</v>
      </c>
      <c r="J168" s="16">
        <f t="shared" si="10"/>
        <v>0</v>
      </c>
      <c r="K168" s="16">
        <f t="shared" si="10"/>
        <v>1</v>
      </c>
    </row>
    <row r="169" spans="1:11">
      <c r="A169" s="15" t="str">
        <f t="shared" si="9"/>
        <v>01731</v>
      </c>
      <c r="B169" s="16">
        <f t="shared" si="10"/>
        <v>124</v>
      </c>
      <c r="C169" s="16">
        <f t="shared" si="10"/>
        <v>0</v>
      </c>
      <c r="D169" s="16">
        <f t="shared" si="10"/>
        <v>173</v>
      </c>
      <c r="E169" s="16">
        <f t="shared" si="10"/>
        <v>1</v>
      </c>
      <c r="F169" s="16">
        <f t="shared" si="10"/>
        <v>824</v>
      </c>
      <c r="G169" s="16">
        <f t="shared" si="10"/>
        <v>0</v>
      </c>
      <c r="H169" s="16">
        <f t="shared" si="10"/>
        <v>0</v>
      </c>
      <c r="I169" s="16">
        <f t="shared" si="10"/>
        <v>0</v>
      </c>
      <c r="J169" s="16">
        <f t="shared" si="10"/>
        <v>0</v>
      </c>
      <c r="K169" s="16">
        <f t="shared" si="10"/>
        <v>1</v>
      </c>
    </row>
    <row r="170" spans="1:11">
      <c r="A170" s="15" t="str">
        <f t="shared" si="9"/>
        <v>01761</v>
      </c>
      <c r="B170" s="16">
        <f t="shared" si="10"/>
        <v>124</v>
      </c>
      <c r="C170" s="16">
        <f t="shared" si="10"/>
        <v>0</v>
      </c>
      <c r="D170" s="16">
        <f t="shared" si="10"/>
        <v>176</v>
      </c>
      <c r="E170" s="16">
        <f t="shared" si="10"/>
        <v>1</v>
      </c>
      <c r="F170" s="16">
        <f t="shared" si="10"/>
        <v>824</v>
      </c>
      <c r="G170" s="16">
        <f t="shared" si="10"/>
        <v>0</v>
      </c>
      <c r="H170" s="16">
        <f t="shared" si="10"/>
        <v>0</v>
      </c>
      <c r="I170" s="16">
        <f t="shared" si="10"/>
        <v>0</v>
      </c>
      <c r="J170" s="16">
        <f t="shared" si="10"/>
        <v>0</v>
      </c>
      <c r="K170" s="16">
        <f t="shared" si="10"/>
        <v>1</v>
      </c>
    </row>
    <row r="171" spans="1:11">
      <c r="A171" s="15" t="str">
        <f t="shared" si="9"/>
        <v>01791</v>
      </c>
      <c r="B171" s="16">
        <f t="shared" si="10"/>
        <v>124</v>
      </c>
      <c r="C171" s="16">
        <f t="shared" si="10"/>
        <v>0</v>
      </c>
      <c r="D171" s="16">
        <f t="shared" si="10"/>
        <v>179</v>
      </c>
      <c r="E171" s="16">
        <f t="shared" si="10"/>
        <v>1</v>
      </c>
      <c r="F171" s="16">
        <f t="shared" si="10"/>
        <v>824</v>
      </c>
      <c r="G171" s="16">
        <f t="shared" si="10"/>
        <v>0</v>
      </c>
      <c r="H171" s="16">
        <f t="shared" si="10"/>
        <v>0</v>
      </c>
      <c r="I171" s="16">
        <f t="shared" si="10"/>
        <v>0</v>
      </c>
      <c r="J171" s="16">
        <f t="shared" si="10"/>
        <v>0</v>
      </c>
      <c r="K171" s="16">
        <f t="shared" si="10"/>
        <v>1</v>
      </c>
    </row>
    <row r="172" spans="1:11">
      <c r="A172" s="15" t="str">
        <f t="shared" si="9"/>
        <v>01821</v>
      </c>
      <c r="B172" s="16">
        <f t="shared" si="10"/>
        <v>124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824</v>
      </c>
      <c r="G172" s="16">
        <f t="shared" ref="B172:K197" si="11">VLOOKUP($A172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72" s="16">
        <f t="shared" si="11"/>
        <v>0</v>
      </c>
      <c r="I172" s="16">
        <f t="shared" si="11"/>
        <v>0</v>
      </c>
      <c r="J172" s="16">
        <f t="shared" si="11"/>
        <v>0</v>
      </c>
      <c r="K172" s="16">
        <f t="shared" si="11"/>
        <v>1</v>
      </c>
    </row>
    <row r="173" spans="1:11">
      <c r="A173" s="15" t="str">
        <f t="shared" si="9"/>
        <v>01851</v>
      </c>
      <c r="B173" s="16">
        <f t="shared" si="11"/>
        <v>124</v>
      </c>
      <c r="C173" s="16">
        <f t="shared" si="11"/>
        <v>0</v>
      </c>
      <c r="D173" s="16">
        <f t="shared" si="11"/>
        <v>185</v>
      </c>
      <c r="E173" s="16">
        <f t="shared" si="11"/>
        <v>1</v>
      </c>
      <c r="F173" s="16">
        <f t="shared" si="11"/>
        <v>824</v>
      </c>
      <c r="G173" s="16">
        <f t="shared" si="11"/>
        <v>0</v>
      </c>
      <c r="H173" s="16">
        <f t="shared" si="11"/>
        <v>0</v>
      </c>
      <c r="I173" s="16">
        <f t="shared" si="11"/>
        <v>0</v>
      </c>
      <c r="J173" s="16">
        <f t="shared" si="11"/>
        <v>0</v>
      </c>
      <c r="K173" s="16">
        <f t="shared" si="11"/>
        <v>1</v>
      </c>
    </row>
    <row r="174" spans="1:11">
      <c r="A174" s="15" t="str">
        <f t="shared" si="9"/>
        <v>01881</v>
      </c>
      <c r="B174" s="16">
        <f t="shared" si="11"/>
        <v>124</v>
      </c>
      <c r="C174" s="16">
        <f t="shared" si="11"/>
        <v>0</v>
      </c>
      <c r="D174" s="16">
        <f t="shared" si="11"/>
        <v>188</v>
      </c>
      <c r="E174" s="16">
        <f t="shared" si="11"/>
        <v>1</v>
      </c>
      <c r="F174" s="16">
        <f t="shared" si="11"/>
        <v>824</v>
      </c>
      <c r="G174" s="16">
        <f t="shared" si="11"/>
        <v>0</v>
      </c>
      <c r="H174" s="16">
        <f t="shared" si="11"/>
        <v>0</v>
      </c>
      <c r="I174" s="16">
        <f t="shared" si="11"/>
        <v>0</v>
      </c>
      <c r="J174" s="16">
        <f t="shared" si="11"/>
        <v>0</v>
      </c>
      <c r="K174" s="16">
        <f t="shared" si="11"/>
        <v>1</v>
      </c>
    </row>
    <row r="175" spans="1:11">
      <c r="A175" s="15" t="str">
        <f t="shared" si="9"/>
        <v>01911</v>
      </c>
      <c r="B175" s="16">
        <f t="shared" si="11"/>
        <v>124</v>
      </c>
      <c r="C175" s="16">
        <f t="shared" si="11"/>
        <v>0</v>
      </c>
      <c r="D175" s="16">
        <f t="shared" si="11"/>
        <v>191</v>
      </c>
      <c r="E175" s="16">
        <f t="shared" si="11"/>
        <v>1</v>
      </c>
      <c r="F175" s="16">
        <f t="shared" si="11"/>
        <v>824</v>
      </c>
      <c r="G175" s="16">
        <f t="shared" si="11"/>
        <v>0</v>
      </c>
      <c r="H175" s="16">
        <f t="shared" si="11"/>
        <v>0</v>
      </c>
      <c r="I175" s="16">
        <f t="shared" si="11"/>
        <v>0</v>
      </c>
      <c r="J175" s="16">
        <f t="shared" si="11"/>
        <v>0</v>
      </c>
      <c r="K175" s="16">
        <f t="shared" si="11"/>
        <v>1</v>
      </c>
    </row>
    <row r="176" spans="1:11">
      <c r="A176" s="15" t="str">
        <f t="shared" si="9"/>
        <v>01941</v>
      </c>
      <c r="B176" s="16">
        <f t="shared" si="11"/>
        <v>124</v>
      </c>
      <c r="C176" s="16">
        <f t="shared" si="11"/>
        <v>0</v>
      </c>
      <c r="D176" s="16">
        <f t="shared" si="11"/>
        <v>194</v>
      </c>
      <c r="E176" s="16">
        <f t="shared" si="11"/>
        <v>1</v>
      </c>
      <c r="F176" s="16">
        <f t="shared" si="11"/>
        <v>824</v>
      </c>
      <c r="G176" s="16">
        <f t="shared" si="11"/>
        <v>0</v>
      </c>
      <c r="H176" s="16">
        <f t="shared" si="11"/>
        <v>0</v>
      </c>
      <c r="I176" s="16">
        <f t="shared" si="11"/>
        <v>0</v>
      </c>
      <c r="J176" s="16">
        <f t="shared" si="11"/>
        <v>0</v>
      </c>
      <c r="K176" s="16">
        <f t="shared" si="11"/>
        <v>1</v>
      </c>
    </row>
    <row r="177" spans="1:11">
      <c r="A177" s="15" t="str">
        <f t="shared" si="9"/>
        <v>01971</v>
      </c>
      <c r="B177" s="16">
        <f t="shared" si="11"/>
        <v>124</v>
      </c>
      <c r="C177" s="16">
        <f t="shared" si="11"/>
        <v>0</v>
      </c>
      <c r="D177" s="16">
        <f t="shared" si="11"/>
        <v>197</v>
      </c>
      <c r="E177" s="16">
        <f t="shared" si="11"/>
        <v>1</v>
      </c>
      <c r="F177" s="16">
        <f t="shared" si="11"/>
        <v>824</v>
      </c>
      <c r="G177" s="16">
        <f t="shared" si="11"/>
        <v>0</v>
      </c>
      <c r="H177" s="16">
        <f t="shared" si="11"/>
        <v>0</v>
      </c>
      <c r="I177" s="16">
        <f t="shared" si="11"/>
        <v>0</v>
      </c>
      <c r="J177" s="16">
        <f t="shared" si="11"/>
        <v>0</v>
      </c>
      <c r="K177" s="16">
        <f t="shared" si="11"/>
        <v>1</v>
      </c>
    </row>
    <row r="178" spans="1:11">
      <c r="A178" s="15" t="str">
        <f t="shared" si="9"/>
        <v>02001</v>
      </c>
      <c r="B178" s="16">
        <f t="shared" si="11"/>
        <v>124</v>
      </c>
      <c r="C178" s="16">
        <f t="shared" si="11"/>
        <v>0</v>
      </c>
      <c r="D178" s="16">
        <f t="shared" si="11"/>
        <v>200</v>
      </c>
      <c r="E178" s="16">
        <f t="shared" si="11"/>
        <v>1</v>
      </c>
      <c r="F178" s="16">
        <f t="shared" si="11"/>
        <v>824</v>
      </c>
      <c r="G178" s="16">
        <f t="shared" si="11"/>
        <v>0</v>
      </c>
      <c r="H178" s="16">
        <f t="shared" si="11"/>
        <v>0</v>
      </c>
      <c r="I178" s="16">
        <f t="shared" si="11"/>
        <v>0</v>
      </c>
      <c r="J178" s="16">
        <f t="shared" si="11"/>
        <v>0</v>
      </c>
      <c r="K178" s="16">
        <f t="shared" si="11"/>
        <v>1</v>
      </c>
    </row>
    <row r="179" spans="1:11">
      <c r="A179" s="15" t="str">
        <f t="shared" si="9"/>
        <v>02031</v>
      </c>
      <c r="B179" s="16">
        <f t="shared" si="11"/>
        <v>124</v>
      </c>
      <c r="C179" s="16">
        <f t="shared" si="11"/>
        <v>0</v>
      </c>
      <c r="D179" s="16">
        <f t="shared" si="11"/>
        <v>203</v>
      </c>
      <c r="E179" s="16">
        <f t="shared" si="11"/>
        <v>1</v>
      </c>
      <c r="F179" s="16">
        <f t="shared" si="11"/>
        <v>824</v>
      </c>
      <c r="G179" s="16">
        <f t="shared" si="11"/>
        <v>0</v>
      </c>
      <c r="H179" s="16">
        <f t="shared" si="11"/>
        <v>0</v>
      </c>
      <c r="I179" s="16">
        <f t="shared" si="11"/>
        <v>0</v>
      </c>
      <c r="J179" s="16">
        <f t="shared" si="11"/>
        <v>0</v>
      </c>
      <c r="K179" s="16">
        <f t="shared" si="11"/>
        <v>1</v>
      </c>
    </row>
    <row r="180" spans="1:11">
      <c r="A180" s="15" t="str">
        <f t="shared" si="9"/>
        <v>02061</v>
      </c>
      <c r="B180" s="16">
        <f t="shared" si="11"/>
        <v>124</v>
      </c>
      <c r="C180" s="16">
        <f t="shared" si="11"/>
        <v>0</v>
      </c>
      <c r="D180" s="16">
        <f t="shared" si="11"/>
        <v>206</v>
      </c>
      <c r="E180" s="16">
        <f t="shared" si="11"/>
        <v>1</v>
      </c>
      <c r="F180" s="16">
        <f t="shared" si="11"/>
        <v>824</v>
      </c>
      <c r="G180" s="16">
        <f t="shared" si="11"/>
        <v>0</v>
      </c>
      <c r="H180" s="16">
        <f t="shared" si="11"/>
        <v>0</v>
      </c>
      <c r="I180" s="16">
        <f t="shared" si="11"/>
        <v>0</v>
      </c>
      <c r="J180" s="16">
        <f t="shared" si="11"/>
        <v>0</v>
      </c>
      <c r="K180" s="16">
        <f t="shared" si="11"/>
        <v>1</v>
      </c>
    </row>
    <row r="181" spans="1:11">
      <c r="A181" s="15" t="str">
        <f t="shared" si="9"/>
        <v>02091</v>
      </c>
      <c r="B181" s="16">
        <f t="shared" si="11"/>
        <v>124</v>
      </c>
      <c r="C181" s="16">
        <f t="shared" si="11"/>
        <v>0</v>
      </c>
      <c r="D181" s="16">
        <f t="shared" si="11"/>
        <v>209</v>
      </c>
      <c r="E181" s="16">
        <f t="shared" si="11"/>
        <v>1</v>
      </c>
      <c r="F181" s="16">
        <f t="shared" si="11"/>
        <v>824</v>
      </c>
      <c r="G181" s="16">
        <f t="shared" si="11"/>
        <v>0</v>
      </c>
      <c r="H181" s="16">
        <f t="shared" si="11"/>
        <v>0</v>
      </c>
      <c r="I181" s="16">
        <f t="shared" si="11"/>
        <v>0</v>
      </c>
      <c r="J181" s="16">
        <f t="shared" si="11"/>
        <v>0</v>
      </c>
      <c r="K181" s="16">
        <f t="shared" si="11"/>
        <v>1</v>
      </c>
    </row>
    <row r="182" spans="1:11">
      <c r="A182" s="15" t="str">
        <f t="shared" si="9"/>
        <v>02121</v>
      </c>
      <c r="B182" s="16">
        <f t="shared" si="11"/>
        <v>124</v>
      </c>
      <c r="C182" s="16">
        <f t="shared" si="11"/>
        <v>0</v>
      </c>
      <c r="D182" s="16">
        <f t="shared" si="11"/>
        <v>212</v>
      </c>
      <c r="E182" s="16">
        <f t="shared" si="11"/>
        <v>1</v>
      </c>
      <c r="F182" s="16">
        <f t="shared" si="11"/>
        <v>824</v>
      </c>
      <c r="G182" s="16">
        <f t="shared" si="11"/>
        <v>0</v>
      </c>
      <c r="H182" s="16">
        <f t="shared" si="11"/>
        <v>0</v>
      </c>
      <c r="I182" s="16">
        <f t="shared" si="11"/>
        <v>0</v>
      </c>
      <c r="J182" s="16">
        <f t="shared" si="11"/>
        <v>0</v>
      </c>
      <c r="K182" s="16">
        <f t="shared" si="11"/>
        <v>1</v>
      </c>
    </row>
    <row r="183" spans="1:11">
      <c r="A183" s="15" t="str">
        <f t="shared" si="9"/>
        <v>02151</v>
      </c>
      <c r="B183" s="16">
        <f t="shared" si="11"/>
        <v>124</v>
      </c>
      <c r="C183" s="16">
        <f t="shared" si="11"/>
        <v>0</v>
      </c>
      <c r="D183" s="16">
        <f t="shared" si="11"/>
        <v>215</v>
      </c>
      <c r="E183" s="16">
        <f t="shared" si="11"/>
        <v>1</v>
      </c>
      <c r="F183" s="16">
        <f t="shared" si="11"/>
        <v>824</v>
      </c>
      <c r="G183" s="16">
        <f t="shared" si="11"/>
        <v>0</v>
      </c>
      <c r="H183" s="16">
        <f t="shared" si="11"/>
        <v>0</v>
      </c>
      <c r="I183" s="16">
        <f t="shared" si="11"/>
        <v>0</v>
      </c>
      <c r="J183" s="16">
        <f t="shared" si="11"/>
        <v>0</v>
      </c>
      <c r="K183" s="16">
        <f t="shared" si="11"/>
        <v>1</v>
      </c>
    </row>
    <row r="184" spans="1:11">
      <c r="A184" s="15" t="str">
        <f t="shared" si="9"/>
        <v>02181</v>
      </c>
      <c r="B184" s="16">
        <f t="shared" si="11"/>
        <v>124</v>
      </c>
      <c r="C184" s="16">
        <f t="shared" si="11"/>
        <v>0</v>
      </c>
      <c r="D184" s="16">
        <f t="shared" si="11"/>
        <v>218</v>
      </c>
      <c r="E184" s="16">
        <f t="shared" si="11"/>
        <v>1</v>
      </c>
      <c r="F184" s="16">
        <f t="shared" si="11"/>
        <v>824</v>
      </c>
      <c r="G184" s="16">
        <f t="shared" si="11"/>
        <v>0</v>
      </c>
      <c r="H184" s="16">
        <f t="shared" si="11"/>
        <v>0</v>
      </c>
      <c r="I184" s="16">
        <f t="shared" si="11"/>
        <v>0</v>
      </c>
      <c r="J184" s="16">
        <f t="shared" si="11"/>
        <v>0</v>
      </c>
      <c r="K184" s="16">
        <f t="shared" si="11"/>
        <v>1</v>
      </c>
    </row>
    <row r="185" spans="1:11">
      <c r="A185" s="15" t="str">
        <f t="shared" si="9"/>
        <v>02211</v>
      </c>
      <c r="B185" s="16">
        <f t="shared" si="11"/>
        <v>124</v>
      </c>
      <c r="C185" s="16">
        <f t="shared" si="11"/>
        <v>0</v>
      </c>
      <c r="D185" s="16">
        <f t="shared" si="11"/>
        <v>221</v>
      </c>
      <c r="E185" s="16">
        <f t="shared" si="11"/>
        <v>1</v>
      </c>
      <c r="F185" s="16">
        <f t="shared" si="11"/>
        <v>824</v>
      </c>
      <c r="G185" s="16">
        <f t="shared" si="11"/>
        <v>0</v>
      </c>
      <c r="H185" s="16">
        <f t="shared" si="11"/>
        <v>0</v>
      </c>
      <c r="I185" s="16">
        <f t="shared" si="11"/>
        <v>0</v>
      </c>
      <c r="J185" s="16">
        <f t="shared" si="11"/>
        <v>0</v>
      </c>
      <c r="K185" s="16">
        <f t="shared" si="11"/>
        <v>1</v>
      </c>
    </row>
    <row r="186" spans="1:11">
      <c r="A186" s="15" t="str">
        <f t="shared" si="9"/>
        <v>02241</v>
      </c>
      <c r="B186" s="16">
        <f t="shared" si="11"/>
        <v>124</v>
      </c>
      <c r="C186" s="16">
        <f t="shared" si="11"/>
        <v>0</v>
      </c>
      <c r="D186" s="16">
        <f t="shared" si="11"/>
        <v>224</v>
      </c>
      <c r="E186" s="16">
        <f t="shared" si="11"/>
        <v>1</v>
      </c>
      <c r="F186" s="16">
        <f t="shared" si="11"/>
        <v>824</v>
      </c>
      <c r="G186" s="16">
        <f t="shared" si="11"/>
        <v>0</v>
      </c>
      <c r="H186" s="16">
        <f t="shared" si="11"/>
        <v>0</v>
      </c>
      <c r="I186" s="16">
        <f t="shared" si="11"/>
        <v>0</v>
      </c>
      <c r="J186" s="16">
        <f t="shared" si="11"/>
        <v>0</v>
      </c>
      <c r="K186" s="16">
        <f t="shared" si="11"/>
        <v>1</v>
      </c>
    </row>
    <row r="187" spans="1:11">
      <c r="A187" s="15" t="str">
        <f t="shared" si="9"/>
        <v>02271</v>
      </c>
      <c r="B187" s="16">
        <f t="shared" si="11"/>
        <v>124</v>
      </c>
      <c r="C187" s="16">
        <f t="shared" si="11"/>
        <v>0</v>
      </c>
      <c r="D187" s="16">
        <f t="shared" si="11"/>
        <v>227</v>
      </c>
      <c r="E187" s="16">
        <f t="shared" si="11"/>
        <v>1</v>
      </c>
      <c r="F187" s="16">
        <f t="shared" si="11"/>
        <v>165</v>
      </c>
      <c r="G187" s="16">
        <f t="shared" si="11"/>
        <v>0</v>
      </c>
      <c r="H187" s="16">
        <f t="shared" si="11"/>
        <v>0</v>
      </c>
      <c r="I187" s="16">
        <f t="shared" si="11"/>
        <v>0</v>
      </c>
      <c r="J187" s="16">
        <f t="shared" si="11"/>
        <v>0</v>
      </c>
      <c r="K187" s="16">
        <f t="shared" si="11"/>
        <v>1</v>
      </c>
    </row>
    <row r="188" spans="1:11">
      <c r="A188" s="15" t="str">
        <f t="shared" si="9"/>
        <v>02301</v>
      </c>
      <c r="B188" s="16">
        <f t="shared" si="11"/>
        <v>124</v>
      </c>
      <c r="C188" s="16">
        <f t="shared" si="11"/>
        <v>0</v>
      </c>
      <c r="D188" s="16">
        <f t="shared" si="11"/>
        <v>230</v>
      </c>
      <c r="E188" s="16">
        <f t="shared" si="11"/>
        <v>1</v>
      </c>
      <c r="F188" s="16">
        <f t="shared" si="11"/>
        <v>165</v>
      </c>
      <c r="G188" s="16">
        <f t="shared" si="11"/>
        <v>0</v>
      </c>
      <c r="H188" s="16">
        <f t="shared" si="11"/>
        <v>0</v>
      </c>
      <c r="I188" s="16">
        <f t="shared" si="11"/>
        <v>0</v>
      </c>
      <c r="J188" s="16">
        <f t="shared" si="11"/>
        <v>0</v>
      </c>
      <c r="K188" s="16">
        <f t="shared" si="11"/>
        <v>1</v>
      </c>
    </row>
    <row r="189" spans="1:11">
      <c r="A189" s="15" t="str">
        <f t="shared" si="9"/>
        <v>02331</v>
      </c>
      <c r="B189" s="16">
        <f t="shared" si="11"/>
        <v>124</v>
      </c>
      <c r="C189" s="16">
        <f t="shared" si="11"/>
        <v>0</v>
      </c>
      <c r="D189" s="16">
        <f t="shared" si="11"/>
        <v>233</v>
      </c>
      <c r="E189" s="16">
        <f t="shared" si="11"/>
        <v>1</v>
      </c>
      <c r="F189" s="16">
        <f t="shared" si="11"/>
        <v>165</v>
      </c>
      <c r="G189" s="16">
        <f t="shared" si="11"/>
        <v>0</v>
      </c>
      <c r="H189" s="16">
        <f t="shared" si="11"/>
        <v>0</v>
      </c>
      <c r="I189" s="16">
        <f t="shared" si="11"/>
        <v>0</v>
      </c>
      <c r="J189" s="16">
        <f t="shared" si="11"/>
        <v>0</v>
      </c>
      <c r="K189" s="16">
        <f t="shared" si="11"/>
        <v>1</v>
      </c>
    </row>
    <row r="190" spans="1:11">
      <c r="A190" s="15" t="str">
        <f t="shared" si="9"/>
        <v>02361</v>
      </c>
      <c r="B190" s="16">
        <f t="shared" si="11"/>
        <v>124</v>
      </c>
      <c r="C190" s="16">
        <f t="shared" si="11"/>
        <v>0</v>
      </c>
      <c r="D190" s="16">
        <f t="shared" si="11"/>
        <v>236</v>
      </c>
      <c r="E190" s="16">
        <f t="shared" si="11"/>
        <v>1</v>
      </c>
      <c r="F190" s="16">
        <f t="shared" si="11"/>
        <v>165</v>
      </c>
      <c r="G190" s="16">
        <f t="shared" si="11"/>
        <v>0</v>
      </c>
      <c r="H190" s="16">
        <f t="shared" si="11"/>
        <v>0</v>
      </c>
      <c r="I190" s="16">
        <f t="shared" si="11"/>
        <v>0</v>
      </c>
      <c r="J190" s="16">
        <f t="shared" si="11"/>
        <v>0</v>
      </c>
      <c r="K190" s="16">
        <f t="shared" si="11"/>
        <v>1</v>
      </c>
    </row>
    <row r="191" spans="1:11">
      <c r="A191" s="15" t="str">
        <f t="shared" si="9"/>
        <v>01681</v>
      </c>
      <c r="B191" s="16">
        <f t="shared" si="11"/>
        <v>124</v>
      </c>
      <c r="C191" s="16">
        <f t="shared" si="11"/>
        <v>0</v>
      </c>
      <c r="D191" s="16">
        <f t="shared" si="11"/>
        <v>168</v>
      </c>
      <c r="E191" s="16">
        <f t="shared" si="11"/>
        <v>1</v>
      </c>
      <c r="F191" s="16">
        <f t="shared" si="11"/>
        <v>270</v>
      </c>
      <c r="G191" s="16">
        <f t="shared" si="11"/>
        <v>0</v>
      </c>
      <c r="H191" s="16">
        <f t="shared" si="11"/>
        <v>0</v>
      </c>
      <c r="I191" s="16">
        <f t="shared" si="11"/>
        <v>0</v>
      </c>
      <c r="J191" s="16">
        <f t="shared" si="11"/>
        <v>0</v>
      </c>
      <c r="K191" s="16">
        <f t="shared" si="11"/>
        <v>1</v>
      </c>
    </row>
    <row r="192" spans="1:11">
      <c r="A192" s="15" t="str">
        <f t="shared" si="9"/>
        <v>01711</v>
      </c>
      <c r="B192" s="16">
        <f t="shared" si="11"/>
        <v>124</v>
      </c>
      <c r="C192" s="16">
        <f t="shared" si="11"/>
        <v>0</v>
      </c>
      <c r="D192" s="16">
        <f t="shared" si="11"/>
        <v>171</v>
      </c>
      <c r="E192" s="16">
        <f t="shared" si="11"/>
        <v>1</v>
      </c>
      <c r="F192" s="16">
        <f t="shared" si="11"/>
        <v>270</v>
      </c>
      <c r="G192" s="16">
        <f t="shared" si="11"/>
        <v>0</v>
      </c>
      <c r="H192" s="16">
        <f t="shared" si="11"/>
        <v>0</v>
      </c>
      <c r="I192" s="16">
        <f t="shared" si="11"/>
        <v>0</v>
      </c>
      <c r="J192" s="16">
        <f t="shared" si="11"/>
        <v>0</v>
      </c>
      <c r="K192" s="16">
        <f t="shared" si="11"/>
        <v>1</v>
      </c>
    </row>
    <row r="193" spans="1:11">
      <c r="A193" s="15" t="str">
        <f t="shared" si="9"/>
        <v>01741</v>
      </c>
      <c r="B193" s="16">
        <f t="shared" si="11"/>
        <v>124</v>
      </c>
      <c r="C193" s="16">
        <f t="shared" si="11"/>
        <v>0</v>
      </c>
      <c r="D193" s="16">
        <f t="shared" si="11"/>
        <v>174</v>
      </c>
      <c r="E193" s="16">
        <f t="shared" si="11"/>
        <v>1</v>
      </c>
      <c r="F193" s="16">
        <f t="shared" si="11"/>
        <v>270</v>
      </c>
      <c r="G193" s="16">
        <f t="shared" si="11"/>
        <v>0</v>
      </c>
      <c r="H193" s="16">
        <f t="shared" si="11"/>
        <v>0</v>
      </c>
      <c r="I193" s="16">
        <f t="shared" si="11"/>
        <v>0</v>
      </c>
      <c r="J193" s="16">
        <f t="shared" si="11"/>
        <v>0</v>
      </c>
      <c r="K193" s="16">
        <f t="shared" si="11"/>
        <v>1</v>
      </c>
    </row>
    <row r="194" spans="1:11">
      <c r="A194" s="15" t="str">
        <f t="shared" si="9"/>
        <v>01771</v>
      </c>
      <c r="B194" s="16">
        <f t="shared" si="11"/>
        <v>124</v>
      </c>
      <c r="C194" s="16">
        <f t="shared" si="11"/>
        <v>0</v>
      </c>
      <c r="D194" s="16">
        <f t="shared" si="11"/>
        <v>177</v>
      </c>
      <c r="E194" s="16">
        <f t="shared" si="11"/>
        <v>1</v>
      </c>
      <c r="F194" s="16">
        <f t="shared" si="11"/>
        <v>270</v>
      </c>
      <c r="G194" s="16">
        <f t="shared" si="11"/>
        <v>0</v>
      </c>
      <c r="H194" s="16">
        <f t="shared" si="11"/>
        <v>0</v>
      </c>
      <c r="I194" s="16">
        <f t="shared" si="11"/>
        <v>0</v>
      </c>
      <c r="J194" s="16">
        <f t="shared" si="11"/>
        <v>0</v>
      </c>
      <c r="K194" s="16">
        <f t="shared" si="11"/>
        <v>1</v>
      </c>
    </row>
    <row r="195" spans="1:11">
      <c r="A195" s="15" t="str">
        <f t="shared" ref="A195:A256" si="12">INDIRECT(ADDRESS(ROW()+$A$1,COLUMN(),1,TRUE,$C$1))</f>
        <v>01801</v>
      </c>
      <c r="B195" s="16">
        <f t="shared" si="11"/>
        <v>124</v>
      </c>
      <c r="C195" s="16">
        <f t="shared" si="11"/>
        <v>0</v>
      </c>
      <c r="D195" s="16">
        <f t="shared" si="11"/>
        <v>180</v>
      </c>
      <c r="E195" s="16">
        <f t="shared" si="11"/>
        <v>1</v>
      </c>
      <c r="F195" s="16">
        <f t="shared" si="11"/>
        <v>270</v>
      </c>
      <c r="G195" s="16">
        <f t="shared" si="11"/>
        <v>0</v>
      </c>
      <c r="H195" s="16">
        <f t="shared" si="11"/>
        <v>0</v>
      </c>
      <c r="I195" s="16">
        <f t="shared" si="11"/>
        <v>0</v>
      </c>
      <c r="J195" s="16">
        <f t="shared" si="11"/>
        <v>0</v>
      </c>
      <c r="K195" s="16">
        <f t="shared" si="11"/>
        <v>1</v>
      </c>
    </row>
    <row r="196" spans="1:11">
      <c r="A196" s="15" t="str">
        <f t="shared" si="12"/>
        <v>01831</v>
      </c>
      <c r="B196" s="16">
        <f t="shared" si="11"/>
        <v>124</v>
      </c>
      <c r="C196" s="16">
        <f t="shared" si="11"/>
        <v>0</v>
      </c>
      <c r="D196" s="16">
        <f t="shared" si="11"/>
        <v>183</v>
      </c>
      <c r="E196" s="16">
        <f t="shared" si="11"/>
        <v>1</v>
      </c>
      <c r="F196" s="16">
        <f t="shared" si="11"/>
        <v>270</v>
      </c>
      <c r="G196" s="16">
        <f t="shared" si="11"/>
        <v>0</v>
      </c>
      <c r="H196" s="16">
        <f t="shared" si="11"/>
        <v>0</v>
      </c>
      <c r="I196" s="16">
        <f t="shared" si="11"/>
        <v>0</v>
      </c>
      <c r="J196" s="16">
        <f t="shared" si="11"/>
        <v>0</v>
      </c>
      <c r="K196" s="16">
        <f t="shared" si="11"/>
        <v>1</v>
      </c>
    </row>
    <row r="197" spans="1:11">
      <c r="A197" s="15" t="str">
        <f t="shared" si="12"/>
        <v>01861</v>
      </c>
      <c r="B197" s="16">
        <f t="shared" si="11"/>
        <v>124</v>
      </c>
      <c r="C197" s="16">
        <f t="shared" si="11"/>
        <v>0</v>
      </c>
      <c r="D197" s="16">
        <f t="shared" si="11"/>
        <v>186</v>
      </c>
      <c r="E197" s="16">
        <f t="shared" si="11"/>
        <v>1</v>
      </c>
      <c r="F197" s="16">
        <f t="shared" si="11"/>
        <v>270</v>
      </c>
      <c r="G197" s="16">
        <f t="shared" si="11"/>
        <v>0</v>
      </c>
      <c r="H197" s="16">
        <f t="shared" si="11"/>
        <v>0</v>
      </c>
      <c r="I197" s="16">
        <f t="shared" si="11"/>
        <v>0</v>
      </c>
      <c r="J197" s="16">
        <f t="shared" si="11"/>
        <v>0</v>
      </c>
      <c r="K197" s="16">
        <f t="shared" si="11"/>
        <v>1</v>
      </c>
    </row>
    <row r="198" spans="1:11">
      <c r="A198" s="15" t="str">
        <f t="shared" si="12"/>
        <v>01891</v>
      </c>
      <c r="B198" s="16">
        <f t="shared" ref="B198:K223" si="13">VLOOKUP($A198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124</v>
      </c>
      <c r="C198" s="16">
        <f t="shared" si="13"/>
        <v>0</v>
      </c>
      <c r="D198" s="16">
        <f t="shared" si="13"/>
        <v>189</v>
      </c>
      <c r="E198" s="16">
        <f t="shared" si="13"/>
        <v>1</v>
      </c>
      <c r="F198" s="16">
        <f t="shared" si="13"/>
        <v>270</v>
      </c>
      <c r="G198" s="16">
        <f t="shared" si="13"/>
        <v>0</v>
      </c>
      <c r="H198" s="16">
        <f t="shared" si="13"/>
        <v>0</v>
      </c>
      <c r="I198" s="16">
        <f t="shared" si="13"/>
        <v>0</v>
      </c>
      <c r="J198" s="16">
        <f t="shared" si="13"/>
        <v>0</v>
      </c>
      <c r="K198" s="16">
        <f t="shared" si="13"/>
        <v>1</v>
      </c>
    </row>
    <row r="199" spans="1:11">
      <c r="A199" s="15" t="str">
        <f t="shared" si="12"/>
        <v>01921</v>
      </c>
      <c r="B199" s="16">
        <f t="shared" si="13"/>
        <v>124</v>
      </c>
      <c r="C199" s="16">
        <f t="shared" si="13"/>
        <v>0</v>
      </c>
      <c r="D199" s="16">
        <f t="shared" si="13"/>
        <v>192</v>
      </c>
      <c r="E199" s="16">
        <f t="shared" si="13"/>
        <v>1</v>
      </c>
      <c r="F199" s="16">
        <f t="shared" si="13"/>
        <v>270</v>
      </c>
      <c r="G199" s="16">
        <f t="shared" si="13"/>
        <v>0</v>
      </c>
      <c r="H199" s="16">
        <f t="shared" si="13"/>
        <v>0</v>
      </c>
      <c r="I199" s="16">
        <f t="shared" si="13"/>
        <v>0</v>
      </c>
      <c r="J199" s="16">
        <f t="shared" si="13"/>
        <v>0</v>
      </c>
      <c r="K199" s="16">
        <f t="shared" si="13"/>
        <v>1</v>
      </c>
    </row>
    <row r="200" spans="1:11">
      <c r="A200" s="15" t="str">
        <f t="shared" si="12"/>
        <v>01951</v>
      </c>
      <c r="B200" s="16">
        <f t="shared" si="13"/>
        <v>124</v>
      </c>
      <c r="C200" s="16">
        <f t="shared" si="13"/>
        <v>0</v>
      </c>
      <c r="D200" s="16">
        <f t="shared" si="13"/>
        <v>195</v>
      </c>
      <c r="E200" s="16">
        <f t="shared" si="13"/>
        <v>1</v>
      </c>
      <c r="F200" s="16">
        <f t="shared" si="13"/>
        <v>270</v>
      </c>
      <c r="G200" s="16">
        <f t="shared" si="13"/>
        <v>0</v>
      </c>
      <c r="H200" s="16">
        <f t="shared" si="13"/>
        <v>0</v>
      </c>
      <c r="I200" s="16">
        <f t="shared" si="13"/>
        <v>0</v>
      </c>
      <c r="J200" s="16">
        <f t="shared" si="13"/>
        <v>0</v>
      </c>
      <c r="K200" s="16">
        <f t="shared" si="13"/>
        <v>1</v>
      </c>
    </row>
    <row r="201" spans="1:11">
      <c r="A201" s="15" t="str">
        <f t="shared" si="12"/>
        <v>01981</v>
      </c>
      <c r="B201" s="16">
        <f t="shared" si="13"/>
        <v>124</v>
      </c>
      <c r="C201" s="16">
        <f t="shared" si="13"/>
        <v>0</v>
      </c>
      <c r="D201" s="16">
        <f t="shared" si="13"/>
        <v>198</v>
      </c>
      <c r="E201" s="16">
        <f t="shared" si="13"/>
        <v>1</v>
      </c>
      <c r="F201" s="16">
        <f t="shared" si="13"/>
        <v>270</v>
      </c>
      <c r="G201" s="16">
        <f t="shared" si="13"/>
        <v>0</v>
      </c>
      <c r="H201" s="16">
        <f t="shared" si="13"/>
        <v>0</v>
      </c>
      <c r="I201" s="16">
        <f t="shared" si="13"/>
        <v>0</v>
      </c>
      <c r="J201" s="16">
        <f t="shared" si="13"/>
        <v>0</v>
      </c>
      <c r="K201" s="16">
        <f t="shared" si="13"/>
        <v>1</v>
      </c>
    </row>
    <row r="202" spans="1:11">
      <c r="A202" s="15" t="str">
        <f t="shared" si="12"/>
        <v>02011</v>
      </c>
      <c r="B202" s="16">
        <f t="shared" si="13"/>
        <v>124</v>
      </c>
      <c r="C202" s="16">
        <f t="shared" si="13"/>
        <v>0</v>
      </c>
      <c r="D202" s="16">
        <f t="shared" si="13"/>
        <v>201</v>
      </c>
      <c r="E202" s="16">
        <f t="shared" si="13"/>
        <v>1</v>
      </c>
      <c r="F202" s="16">
        <f t="shared" si="13"/>
        <v>270</v>
      </c>
      <c r="G202" s="16">
        <f t="shared" si="13"/>
        <v>0</v>
      </c>
      <c r="H202" s="16">
        <f t="shared" si="13"/>
        <v>0</v>
      </c>
      <c r="I202" s="16">
        <f t="shared" si="13"/>
        <v>0</v>
      </c>
      <c r="J202" s="16">
        <f t="shared" si="13"/>
        <v>0</v>
      </c>
      <c r="K202" s="16">
        <f t="shared" si="13"/>
        <v>1</v>
      </c>
    </row>
    <row r="203" spans="1:11">
      <c r="A203" s="15" t="str">
        <f t="shared" si="12"/>
        <v>02041</v>
      </c>
      <c r="B203" s="16">
        <f t="shared" si="13"/>
        <v>124</v>
      </c>
      <c r="C203" s="16">
        <f t="shared" si="13"/>
        <v>0</v>
      </c>
      <c r="D203" s="16">
        <f t="shared" si="13"/>
        <v>204</v>
      </c>
      <c r="E203" s="16">
        <f t="shared" si="13"/>
        <v>1</v>
      </c>
      <c r="F203" s="16">
        <f t="shared" si="13"/>
        <v>270</v>
      </c>
      <c r="G203" s="16">
        <f t="shared" si="13"/>
        <v>0</v>
      </c>
      <c r="H203" s="16">
        <f t="shared" si="13"/>
        <v>0</v>
      </c>
      <c r="I203" s="16">
        <f t="shared" si="13"/>
        <v>0</v>
      </c>
      <c r="J203" s="16">
        <f t="shared" si="13"/>
        <v>0</v>
      </c>
      <c r="K203" s="16">
        <f t="shared" si="13"/>
        <v>1</v>
      </c>
    </row>
    <row r="204" spans="1:11">
      <c r="A204" s="15" t="str">
        <f t="shared" si="12"/>
        <v>02071</v>
      </c>
      <c r="B204" s="16">
        <f t="shared" si="13"/>
        <v>124</v>
      </c>
      <c r="C204" s="16">
        <f t="shared" si="13"/>
        <v>0</v>
      </c>
      <c r="D204" s="16">
        <f t="shared" si="13"/>
        <v>207</v>
      </c>
      <c r="E204" s="16">
        <f t="shared" si="13"/>
        <v>1</v>
      </c>
      <c r="F204" s="16">
        <f t="shared" si="13"/>
        <v>270</v>
      </c>
      <c r="G204" s="16">
        <f t="shared" si="13"/>
        <v>0</v>
      </c>
      <c r="H204" s="16">
        <f t="shared" si="13"/>
        <v>0</v>
      </c>
      <c r="I204" s="16">
        <f t="shared" si="13"/>
        <v>0</v>
      </c>
      <c r="J204" s="16">
        <f t="shared" si="13"/>
        <v>0</v>
      </c>
      <c r="K204" s="16">
        <f t="shared" si="13"/>
        <v>1</v>
      </c>
    </row>
    <row r="205" spans="1:11">
      <c r="A205" s="15" t="str">
        <f t="shared" si="12"/>
        <v>02101</v>
      </c>
      <c r="B205" s="16">
        <f t="shared" si="13"/>
        <v>124</v>
      </c>
      <c r="C205" s="16">
        <f t="shared" si="13"/>
        <v>0</v>
      </c>
      <c r="D205" s="16">
        <f t="shared" si="13"/>
        <v>210</v>
      </c>
      <c r="E205" s="16">
        <f t="shared" si="13"/>
        <v>1</v>
      </c>
      <c r="F205" s="16">
        <f t="shared" si="13"/>
        <v>270</v>
      </c>
      <c r="G205" s="16">
        <f t="shared" si="13"/>
        <v>0</v>
      </c>
      <c r="H205" s="16">
        <f t="shared" si="13"/>
        <v>0</v>
      </c>
      <c r="I205" s="16">
        <f t="shared" si="13"/>
        <v>0</v>
      </c>
      <c r="J205" s="16">
        <f t="shared" si="13"/>
        <v>0</v>
      </c>
      <c r="K205" s="16">
        <f t="shared" si="13"/>
        <v>1</v>
      </c>
    </row>
    <row r="206" spans="1:11">
      <c r="A206" s="15" t="str">
        <f t="shared" si="12"/>
        <v>02131</v>
      </c>
      <c r="B206" s="16">
        <f t="shared" si="13"/>
        <v>124</v>
      </c>
      <c r="C206" s="16">
        <f t="shared" si="13"/>
        <v>0</v>
      </c>
      <c r="D206" s="16">
        <f t="shared" si="13"/>
        <v>213</v>
      </c>
      <c r="E206" s="16">
        <f t="shared" si="13"/>
        <v>1</v>
      </c>
      <c r="F206" s="16">
        <f t="shared" si="13"/>
        <v>270</v>
      </c>
      <c r="G206" s="16">
        <f t="shared" si="13"/>
        <v>0</v>
      </c>
      <c r="H206" s="16">
        <f t="shared" si="13"/>
        <v>0</v>
      </c>
      <c r="I206" s="16">
        <f t="shared" si="13"/>
        <v>0</v>
      </c>
      <c r="J206" s="16">
        <f t="shared" si="13"/>
        <v>0</v>
      </c>
      <c r="K206" s="16">
        <f t="shared" si="13"/>
        <v>1</v>
      </c>
    </row>
    <row r="207" spans="1:11">
      <c r="A207" s="15" t="str">
        <f t="shared" si="12"/>
        <v>02161</v>
      </c>
      <c r="B207" s="16">
        <f t="shared" si="13"/>
        <v>124</v>
      </c>
      <c r="C207" s="16">
        <f t="shared" si="13"/>
        <v>0</v>
      </c>
      <c r="D207" s="16">
        <f t="shared" si="13"/>
        <v>216</v>
      </c>
      <c r="E207" s="16">
        <f t="shared" si="13"/>
        <v>1</v>
      </c>
      <c r="F207" s="16">
        <f t="shared" si="13"/>
        <v>270</v>
      </c>
      <c r="G207" s="16">
        <f t="shared" si="13"/>
        <v>0</v>
      </c>
      <c r="H207" s="16">
        <f t="shared" si="13"/>
        <v>0</v>
      </c>
      <c r="I207" s="16">
        <f t="shared" si="13"/>
        <v>0</v>
      </c>
      <c r="J207" s="16">
        <f t="shared" si="13"/>
        <v>0</v>
      </c>
      <c r="K207" s="16">
        <f t="shared" si="13"/>
        <v>1</v>
      </c>
    </row>
    <row r="208" spans="1:11">
      <c r="A208" s="15" t="str">
        <f t="shared" si="12"/>
        <v>02191</v>
      </c>
      <c r="B208" s="16">
        <f t="shared" si="13"/>
        <v>124</v>
      </c>
      <c r="C208" s="16">
        <f t="shared" si="13"/>
        <v>0</v>
      </c>
      <c r="D208" s="16">
        <f t="shared" si="13"/>
        <v>219</v>
      </c>
      <c r="E208" s="16">
        <f t="shared" si="13"/>
        <v>1</v>
      </c>
      <c r="F208" s="16">
        <f t="shared" si="13"/>
        <v>270</v>
      </c>
      <c r="G208" s="16">
        <f t="shared" si="13"/>
        <v>0</v>
      </c>
      <c r="H208" s="16">
        <f t="shared" si="13"/>
        <v>0</v>
      </c>
      <c r="I208" s="16">
        <f t="shared" si="13"/>
        <v>0</v>
      </c>
      <c r="J208" s="16">
        <f t="shared" si="13"/>
        <v>0</v>
      </c>
      <c r="K208" s="16">
        <f t="shared" si="13"/>
        <v>1</v>
      </c>
    </row>
    <row r="209" spans="1:11">
      <c r="A209" s="15" t="str">
        <f t="shared" si="12"/>
        <v>02221</v>
      </c>
      <c r="B209" s="16">
        <f t="shared" si="13"/>
        <v>124</v>
      </c>
      <c r="C209" s="16">
        <f t="shared" si="13"/>
        <v>0</v>
      </c>
      <c r="D209" s="16">
        <f t="shared" si="13"/>
        <v>222</v>
      </c>
      <c r="E209" s="16">
        <f t="shared" si="13"/>
        <v>1</v>
      </c>
      <c r="F209" s="16">
        <f t="shared" si="13"/>
        <v>270</v>
      </c>
      <c r="G209" s="16">
        <f t="shared" si="13"/>
        <v>0</v>
      </c>
      <c r="H209" s="16">
        <f t="shared" si="13"/>
        <v>0</v>
      </c>
      <c r="I209" s="16">
        <f t="shared" si="13"/>
        <v>0</v>
      </c>
      <c r="J209" s="16">
        <f t="shared" si="13"/>
        <v>0</v>
      </c>
      <c r="K209" s="16">
        <f t="shared" si="13"/>
        <v>1</v>
      </c>
    </row>
    <row r="210" spans="1:11">
      <c r="A210" s="15" t="str">
        <f t="shared" si="12"/>
        <v>02251</v>
      </c>
      <c r="B210" s="16">
        <f t="shared" si="13"/>
        <v>124</v>
      </c>
      <c r="C210" s="16">
        <f t="shared" si="13"/>
        <v>0</v>
      </c>
      <c r="D210" s="16">
        <f t="shared" si="13"/>
        <v>225</v>
      </c>
      <c r="E210" s="16">
        <f t="shared" si="13"/>
        <v>1</v>
      </c>
      <c r="F210" s="16">
        <f t="shared" si="13"/>
        <v>270</v>
      </c>
      <c r="G210" s="16">
        <f t="shared" si="13"/>
        <v>0</v>
      </c>
      <c r="H210" s="16">
        <f t="shared" si="13"/>
        <v>0</v>
      </c>
      <c r="I210" s="16">
        <f t="shared" si="13"/>
        <v>0</v>
      </c>
      <c r="J210" s="16">
        <f t="shared" si="13"/>
        <v>0</v>
      </c>
      <c r="K210" s="16">
        <f t="shared" si="13"/>
        <v>1</v>
      </c>
    </row>
    <row r="211" spans="1:11">
      <c r="A211" s="15" t="str">
        <f t="shared" si="12"/>
        <v>02281</v>
      </c>
      <c r="B211" s="16">
        <f t="shared" si="13"/>
        <v>124</v>
      </c>
      <c r="C211" s="16">
        <f t="shared" si="13"/>
        <v>0</v>
      </c>
      <c r="D211" s="16">
        <f t="shared" si="13"/>
        <v>228</v>
      </c>
      <c r="E211" s="16">
        <f t="shared" si="13"/>
        <v>1</v>
      </c>
      <c r="F211" s="16">
        <f t="shared" si="13"/>
        <v>26</v>
      </c>
      <c r="G211" s="16">
        <f t="shared" si="13"/>
        <v>0</v>
      </c>
      <c r="H211" s="16">
        <f t="shared" si="13"/>
        <v>0</v>
      </c>
      <c r="I211" s="16">
        <f t="shared" si="13"/>
        <v>0</v>
      </c>
      <c r="J211" s="16">
        <f t="shared" si="13"/>
        <v>0</v>
      </c>
      <c r="K211" s="16">
        <f t="shared" si="13"/>
        <v>1</v>
      </c>
    </row>
    <row r="212" spans="1:11">
      <c r="A212" s="15" t="str">
        <f t="shared" si="12"/>
        <v>02311</v>
      </c>
      <c r="B212" s="16">
        <f t="shared" si="13"/>
        <v>124</v>
      </c>
      <c r="C212" s="16">
        <f t="shared" si="13"/>
        <v>0</v>
      </c>
      <c r="D212" s="16">
        <f t="shared" si="13"/>
        <v>231</v>
      </c>
      <c r="E212" s="16">
        <f t="shared" si="13"/>
        <v>1</v>
      </c>
      <c r="F212" s="16">
        <f t="shared" si="13"/>
        <v>26</v>
      </c>
      <c r="G212" s="16">
        <f t="shared" si="13"/>
        <v>0</v>
      </c>
      <c r="H212" s="16">
        <f t="shared" si="13"/>
        <v>0</v>
      </c>
      <c r="I212" s="16">
        <f t="shared" si="13"/>
        <v>0</v>
      </c>
      <c r="J212" s="16">
        <f t="shared" si="13"/>
        <v>0</v>
      </c>
      <c r="K212" s="16">
        <f t="shared" si="13"/>
        <v>1</v>
      </c>
    </row>
    <row r="213" spans="1:11">
      <c r="A213" s="15" t="str">
        <f t="shared" si="12"/>
        <v>02341</v>
      </c>
      <c r="B213" s="16">
        <f t="shared" si="13"/>
        <v>124</v>
      </c>
      <c r="C213" s="16">
        <f t="shared" si="13"/>
        <v>0</v>
      </c>
      <c r="D213" s="16">
        <f t="shared" si="13"/>
        <v>234</v>
      </c>
      <c r="E213" s="16">
        <f t="shared" si="13"/>
        <v>1</v>
      </c>
      <c r="F213" s="16">
        <f t="shared" si="13"/>
        <v>26</v>
      </c>
      <c r="G213" s="16">
        <f t="shared" si="13"/>
        <v>0</v>
      </c>
      <c r="H213" s="16">
        <f t="shared" si="13"/>
        <v>0</v>
      </c>
      <c r="I213" s="16">
        <f t="shared" si="13"/>
        <v>0</v>
      </c>
      <c r="J213" s="16">
        <f t="shared" si="13"/>
        <v>0</v>
      </c>
      <c r="K213" s="16">
        <f t="shared" si="13"/>
        <v>1</v>
      </c>
    </row>
    <row r="214" spans="1:11">
      <c r="A214" s="15" t="str">
        <f t="shared" si="12"/>
        <v>02371</v>
      </c>
      <c r="B214" s="16">
        <f t="shared" si="13"/>
        <v>124</v>
      </c>
      <c r="C214" s="16">
        <f t="shared" si="13"/>
        <v>0</v>
      </c>
      <c r="D214" s="16">
        <f t="shared" si="13"/>
        <v>237</v>
      </c>
      <c r="E214" s="16">
        <f t="shared" si="13"/>
        <v>1</v>
      </c>
      <c r="F214" s="16">
        <f t="shared" si="13"/>
        <v>26</v>
      </c>
      <c r="G214" s="16">
        <f t="shared" si="13"/>
        <v>0</v>
      </c>
      <c r="H214" s="16">
        <f t="shared" si="13"/>
        <v>0</v>
      </c>
      <c r="I214" s="16">
        <f t="shared" si="13"/>
        <v>0</v>
      </c>
      <c r="J214" s="16">
        <f t="shared" si="13"/>
        <v>0</v>
      </c>
      <c r="K214" s="16">
        <f t="shared" si="13"/>
        <v>1</v>
      </c>
    </row>
    <row r="215" spans="1:11">
      <c r="A215" s="15" t="str">
        <f t="shared" si="12"/>
        <v>02381</v>
      </c>
      <c r="B215" s="16">
        <f t="shared" si="13"/>
        <v>124</v>
      </c>
      <c r="C215" s="16">
        <f t="shared" si="13"/>
        <v>0</v>
      </c>
      <c r="D215" s="16">
        <f t="shared" si="13"/>
        <v>238</v>
      </c>
      <c r="E215" s="16">
        <f t="shared" si="13"/>
        <v>1</v>
      </c>
      <c r="F215" s="16">
        <f t="shared" si="13"/>
        <v>469</v>
      </c>
      <c r="G215" s="16">
        <f t="shared" si="13"/>
        <v>0</v>
      </c>
      <c r="H215" s="16">
        <f t="shared" si="13"/>
        <v>0</v>
      </c>
      <c r="I215" s="16">
        <f t="shared" si="13"/>
        <v>0</v>
      </c>
      <c r="J215" s="16">
        <f t="shared" si="13"/>
        <v>0</v>
      </c>
      <c r="K215" s="16">
        <f t="shared" si="13"/>
        <v>1</v>
      </c>
    </row>
    <row r="216" spans="1:11">
      <c r="A216" s="15" t="str">
        <f t="shared" si="12"/>
        <v>02391</v>
      </c>
      <c r="B216" s="16">
        <f t="shared" si="13"/>
        <v>124</v>
      </c>
      <c r="C216" s="16">
        <f t="shared" si="13"/>
        <v>0</v>
      </c>
      <c r="D216" s="16">
        <f t="shared" si="13"/>
        <v>239</v>
      </c>
      <c r="E216" s="16">
        <f t="shared" si="13"/>
        <v>1</v>
      </c>
      <c r="F216" s="16">
        <f t="shared" si="13"/>
        <v>165</v>
      </c>
      <c r="G216" s="16">
        <f t="shared" si="13"/>
        <v>0</v>
      </c>
      <c r="H216" s="16">
        <f t="shared" si="13"/>
        <v>0</v>
      </c>
      <c r="I216" s="16">
        <f t="shared" si="13"/>
        <v>0</v>
      </c>
      <c r="J216" s="16">
        <f t="shared" si="13"/>
        <v>0</v>
      </c>
      <c r="K216" s="16">
        <f t="shared" si="13"/>
        <v>1</v>
      </c>
    </row>
    <row r="217" spans="1:11">
      <c r="A217" s="15" t="str">
        <f t="shared" si="12"/>
        <v>02401</v>
      </c>
      <c r="B217" s="16">
        <f t="shared" si="13"/>
        <v>124</v>
      </c>
      <c r="C217" s="16">
        <f t="shared" si="13"/>
        <v>0</v>
      </c>
      <c r="D217" s="16">
        <f t="shared" si="13"/>
        <v>240</v>
      </c>
      <c r="E217" s="16">
        <f t="shared" si="13"/>
        <v>1</v>
      </c>
      <c r="F217" s="16">
        <f t="shared" si="13"/>
        <v>26</v>
      </c>
      <c r="G217" s="16">
        <f t="shared" si="13"/>
        <v>0</v>
      </c>
      <c r="H217" s="16">
        <f t="shared" si="13"/>
        <v>0</v>
      </c>
      <c r="I217" s="16">
        <f t="shared" si="13"/>
        <v>0</v>
      </c>
      <c r="J217" s="16">
        <f t="shared" si="13"/>
        <v>0</v>
      </c>
      <c r="K217" s="16">
        <f t="shared" si="13"/>
        <v>1</v>
      </c>
    </row>
    <row r="218" spans="1:11">
      <c r="A218" s="15" t="str">
        <f t="shared" si="12"/>
        <v>02411</v>
      </c>
      <c r="B218" s="16">
        <f t="shared" si="13"/>
        <v>124</v>
      </c>
      <c r="C218" s="16">
        <f t="shared" si="13"/>
        <v>0</v>
      </c>
      <c r="D218" s="16">
        <f t="shared" si="13"/>
        <v>241</v>
      </c>
      <c r="E218" s="16">
        <f t="shared" si="13"/>
        <v>1</v>
      </c>
      <c r="F218" s="16">
        <f t="shared" si="13"/>
        <v>469</v>
      </c>
      <c r="G218" s="16">
        <f t="shared" si="13"/>
        <v>0</v>
      </c>
      <c r="H218" s="16">
        <f t="shared" si="13"/>
        <v>0</v>
      </c>
      <c r="I218" s="16">
        <f t="shared" si="13"/>
        <v>0</v>
      </c>
      <c r="J218" s="16">
        <f t="shared" si="13"/>
        <v>0</v>
      </c>
      <c r="K218" s="16">
        <f t="shared" si="13"/>
        <v>1</v>
      </c>
    </row>
    <row r="219" spans="1:11">
      <c r="A219" s="15" t="str">
        <f t="shared" si="12"/>
        <v>02421</v>
      </c>
      <c r="B219" s="16">
        <f t="shared" si="13"/>
        <v>124</v>
      </c>
      <c r="C219" s="16">
        <f t="shared" si="13"/>
        <v>0</v>
      </c>
      <c r="D219" s="16">
        <f t="shared" si="13"/>
        <v>242</v>
      </c>
      <c r="E219" s="16">
        <f t="shared" si="13"/>
        <v>1</v>
      </c>
      <c r="F219" s="16">
        <f t="shared" si="13"/>
        <v>165</v>
      </c>
      <c r="G219" s="16">
        <f t="shared" si="13"/>
        <v>0</v>
      </c>
      <c r="H219" s="16">
        <f t="shared" si="13"/>
        <v>0</v>
      </c>
      <c r="I219" s="16">
        <f t="shared" si="13"/>
        <v>0</v>
      </c>
      <c r="J219" s="16">
        <f t="shared" si="13"/>
        <v>0</v>
      </c>
      <c r="K219" s="16">
        <f t="shared" si="13"/>
        <v>1</v>
      </c>
    </row>
    <row r="220" spans="1:11">
      <c r="A220" s="15" t="str">
        <f t="shared" si="12"/>
        <v>02431</v>
      </c>
      <c r="B220" s="16">
        <f t="shared" si="13"/>
        <v>124</v>
      </c>
      <c r="C220" s="16">
        <f t="shared" si="13"/>
        <v>0</v>
      </c>
      <c r="D220" s="16">
        <f t="shared" si="13"/>
        <v>243</v>
      </c>
      <c r="E220" s="16">
        <f t="shared" si="13"/>
        <v>1</v>
      </c>
      <c r="F220" s="16">
        <f t="shared" si="13"/>
        <v>26</v>
      </c>
      <c r="G220" s="16">
        <f t="shared" si="13"/>
        <v>0</v>
      </c>
      <c r="H220" s="16">
        <f t="shared" si="13"/>
        <v>0</v>
      </c>
      <c r="I220" s="16">
        <f t="shared" si="13"/>
        <v>0</v>
      </c>
      <c r="J220" s="16">
        <f t="shared" si="13"/>
        <v>0</v>
      </c>
      <c r="K220" s="16">
        <f t="shared" si="13"/>
        <v>1</v>
      </c>
    </row>
    <row r="221" spans="1:11">
      <c r="A221" s="15" t="str">
        <f t="shared" si="12"/>
        <v>02441</v>
      </c>
      <c r="B221" s="16">
        <f t="shared" si="13"/>
        <v>124</v>
      </c>
      <c r="C221" s="16">
        <f t="shared" si="13"/>
        <v>0</v>
      </c>
      <c r="D221" s="16">
        <f t="shared" si="13"/>
        <v>244</v>
      </c>
      <c r="E221" s="16">
        <f t="shared" si="13"/>
        <v>1</v>
      </c>
      <c r="F221" s="16">
        <f t="shared" si="13"/>
        <v>469</v>
      </c>
      <c r="G221" s="16">
        <f t="shared" si="13"/>
        <v>0</v>
      </c>
      <c r="H221" s="16">
        <f t="shared" si="13"/>
        <v>0</v>
      </c>
      <c r="I221" s="16">
        <f t="shared" si="13"/>
        <v>0</v>
      </c>
      <c r="J221" s="16">
        <f t="shared" si="13"/>
        <v>0</v>
      </c>
      <c r="K221" s="16">
        <f t="shared" si="13"/>
        <v>1</v>
      </c>
    </row>
    <row r="222" spans="1:11">
      <c r="A222" s="15" t="str">
        <f t="shared" si="12"/>
        <v>02451</v>
      </c>
      <c r="B222" s="16">
        <f t="shared" si="13"/>
        <v>124</v>
      </c>
      <c r="C222" s="16">
        <f t="shared" si="13"/>
        <v>0</v>
      </c>
      <c r="D222" s="16">
        <f t="shared" si="13"/>
        <v>245</v>
      </c>
      <c r="E222" s="16">
        <f t="shared" si="13"/>
        <v>1</v>
      </c>
      <c r="F222" s="16">
        <f t="shared" si="13"/>
        <v>165</v>
      </c>
      <c r="G222" s="16">
        <f t="shared" si="13"/>
        <v>0</v>
      </c>
      <c r="H222" s="16">
        <f t="shared" si="13"/>
        <v>0</v>
      </c>
      <c r="I222" s="16">
        <f t="shared" si="13"/>
        <v>0</v>
      </c>
      <c r="J222" s="16">
        <f t="shared" si="13"/>
        <v>0</v>
      </c>
      <c r="K222" s="16">
        <f t="shared" si="13"/>
        <v>1</v>
      </c>
    </row>
    <row r="223" spans="1:11">
      <c r="A223" s="15" t="str">
        <f t="shared" si="12"/>
        <v>02461</v>
      </c>
      <c r="B223" s="16">
        <f t="shared" si="13"/>
        <v>124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26</v>
      </c>
      <c r="G223" s="16">
        <f t="shared" ref="B223:K248" si="14">VLOOKUP($A223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23" s="16">
        <f t="shared" si="14"/>
        <v>0</v>
      </c>
      <c r="I223" s="16">
        <f t="shared" si="14"/>
        <v>0</v>
      </c>
      <c r="J223" s="16">
        <f t="shared" si="14"/>
        <v>0</v>
      </c>
      <c r="K223" s="16">
        <f t="shared" si="14"/>
        <v>1</v>
      </c>
    </row>
    <row r="224" spans="1:11">
      <c r="A224" s="15" t="str">
        <f t="shared" si="12"/>
        <v>02471</v>
      </c>
      <c r="B224" s="16">
        <f t="shared" si="14"/>
        <v>124</v>
      </c>
      <c r="C224" s="16">
        <f t="shared" si="14"/>
        <v>0</v>
      </c>
      <c r="D224" s="16">
        <f t="shared" si="14"/>
        <v>247</v>
      </c>
      <c r="E224" s="16">
        <f t="shared" si="14"/>
        <v>1</v>
      </c>
      <c r="F224" s="16">
        <f t="shared" si="14"/>
        <v>469</v>
      </c>
      <c r="G224" s="16">
        <f t="shared" si="14"/>
        <v>0</v>
      </c>
      <c r="H224" s="16">
        <f t="shared" si="14"/>
        <v>0</v>
      </c>
      <c r="I224" s="16">
        <f t="shared" si="14"/>
        <v>0</v>
      </c>
      <c r="J224" s="16">
        <f t="shared" si="14"/>
        <v>0</v>
      </c>
      <c r="K224" s="16">
        <f t="shared" si="14"/>
        <v>1</v>
      </c>
    </row>
    <row r="225" spans="1:11">
      <c r="A225" s="15" t="str">
        <f t="shared" si="12"/>
        <v>02481</v>
      </c>
      <c r="B225" s="16">
        <f t="shared" si="14"/>
        <v>124</v>
      </c>
      <c r="C225" s="16">
        <f t="shared" si="14"/>
        <v>0</v>
      </c>
      <c r="D225" s="16">
        <f t="shared" si="14"/>
        <v>248</v>
      </c>
      <c r="E225" s="16">
        <f t="shared" si="14"/>
        <v>1</v>
      </c>
      <c r="F225" s="16">
        <f t="shared" si="14"/>
        <v>165</v>
      </c>
      <c r="G225" s="16">
        <f t="shared" si="14"/>
        <v>0</v>
      </c>
      <c r="H225" s="16">
        <f t="shared" si="14"/>
        <v>0</v>
      </c>
      <c r="I225" s="16">
        <f t="shared" si="14"/>
        <v>0</v>
      </c>
      <c r="J225" s="16">
        <f t="shared" si="14"/>
        <v>0</v>
      </c>
      <c r="K225" s="16">
        <f t="shared" si="14"/>
        <v>1</v>
      </c>
    </row>
    <row r="226" spans="1:11">
      <c r="A226" s="15" t="str">
        <f t="shared" si="12"/>
        <v>02491</v>
      </c>
      <c r="B226" s="16">
        <f t="shared" si="14"/>
        <v>124</v>
      </c>
      <c r="C226" s="16">
        <f t="shared" si="14"/>
        <v>0</v>
      </c>
      <c r="D226" s="16">
        <f t="shared" si="14"/>
        <v>249</v>
      </c>
      <c r="E226" s="16">
        <f t="shared" si="14"/>
        <v>1</v>
      </c>
      <c r="F226" s="16">
        <f t="shared" si="14"/>
        <v>26</v>
      </c>
      <c r="G226" s="16">
        <f t="shared" si="14"/>
        <v>0</v>
      </c>
      <c r="H226" s="16">
        <f t="shared" si="14"/>
        <v>0</v>
      </c>
      <c r="I226" s="16">
        <f t="shared" si="14"/>
        <v>0</v>
      </c>
      <c r="J226" s="16">
        <f t="shared" si="14"/>
        <v>0</v>
      </c>
      <c r="K226" s="16">
        <f t="shared" si="14"/>
        <v>1</v>
      </c>
    </row>
    <row r="227" spans="1:11">
      <c r="A227" s="15" t="str">
        <f t="shared" si="12"/>
        <v>02501</v>
      </c>
      <c r="B227" s="16">
        <f t="shared" si="14"/>
        <v>124</v>
      </c>
      <c r="C227" s="16">
        <f t="shared" si="14"/>
        <v>0</v>
      </c>
      <c r="D227" s="16">
        <f t="shared" si="14"/>
        <v>250</v>
      </c>
      <c r="E227" s="16">
        <f t="shared" si="14"/>
        <v>1</v>
      </c>
      <c r="F227" s="16">
        <f t="shared" si="14"/>
        <v>469</v>
      </c>
      <c r="G227" s="16">
        <f t="shared" si="14"/>
        <v>0</v>
      </c>
      <c r="H227" s="16">
        <f t="shared" si="14"/>
        <v>0</v>
      </c>
      <c r="I227" s="16">
        <f t="shared" si="14"/>
        <v>0</v>
      </c>
      <c r="J227" s="16">
        <f t="shared" si="14"/>
        <v>0</v>
      </c>
      <c r="K227" s="16">
        <f t="shared" si="14"/>
        <v>1</v>
      </c>
    </row>
    <row r="228" spans="1:11">
      <c r="A228" s="15" t="str">
        <f t="shared" si="12"/>
        <v>02511</v>
      </c>
      <c r="B228" s="16">
        <f t="shared" si="14"/>
        <v>124</v>
      </c>
      <c r="C228" s="16">
        <f t="shared" si="14"/>
        <v>0</v>
      </c>
      <c r="D228" s="16">
        <f t="shared" si="14"/>
        <v>251</v>
      </c>
      <c r="E228" s="16">
        <f t="shared" si="14"/>
        <v>1</v>
      </c>
      <c r="F228" s="16">
        <f t="shared" si="14"/>
        <v>165</v>
      </c>
      <c r="G228" s="16">
        <f t="shared" si="14"/>
        <v>0</v>
      </c>
      <c r="H228" s="16">
        <f t="shared" si="14"/>
        <v>0</v>
      </c>
      <c r="I228" s="16">
        <f t="shared" si="14"/>
        <v>0</v>
      </c>
      <c r="J228" s="16">
        <f t="shared" si="14"/>
        <v>0</v>
      </c>
      <c r="K228" s="16">
        <f t="shared" si="14"/>
        <v>1</v>
      </c>
    </row>
    <row r="229" spans="1:11">
      <c r="A229" s="15" t="str">
        <f t="shared" si="12"/>
        <v>02521</v>
      </c>
      <c r="B229" s="16">
        <f t="shared" si="14"/>
        <v>124</v>
      </c>
      <c r="C229" s="16">
        <f t="shared" si="14"/>
        <v>0</v>
      </c>
      <c r="D229" s="16">
        <f t="shared" si="14"/>
        <v>252</v>
      </c>
      <c r="E229" s="16">
        <f t="shared" si="14"/>
        <v>1</v>
      </c>
      <c r="F229" s="16">
        <f t="shared" si="14"/>
        <v>26</v>
      </c>
      <c r="G229" s="16">
        <f t="shared" si="14"/>
        <v>0</v>
      </c>
      <c r="H229" s="16">
        <f t="shared" si="14"/>
        <v>0</v>
      </c>
      <c r="I229" s="16">
        <f t="shared" si="14"/>
        <v>0</v>
      </c>
      <c r="J229" s="16">
        <f t="shared" si="14"/>
        <v>0</v>
      </c>
      <c r="K229" s="16">
        <f t="shared" si="14"/>
        <v>1</v>
      </c>
    </row>
    <row r="230" spans="1:11">
      <c r="A230" s="15" t="str">
        <f t="shared" si="12"/>
        <v>02531</v>
      </c>
      <c r="B230" s="16">
        <f t="shared" si="14"/>
        <v>124</v>
      </c>
      <c r="C230" s="16">
        <f t="shared" si="14"/>
        <v>0</v>
      </c>
      <c r="D230" s="16">
        <f t="shared" si="14"/>
        <v>253</v>
      </c>
      <c r="E230" s="16">
        <f t="shared" si="14"/>
        <v>1</v>
      </c>
      <c r="F230" s="16">
        <f t="shared" si="14"/>
        <v>469</v>
      </c>
      <c r="G230" s="16">
        <f t="shared" si="14"/>
        <v>0</v>
      </c>
      <c r="H230" s="16">
        <f t="shared" si="14"/>
        <v>0</v>
      </c>
      <c r="I230" s="16">
        <f t="shared" si="14"/>
        <v>0</v>
      </c>
      <c r="J230" s="16">
        <f t="shared" si="14"/>
        <v>0</v>
      </c>
      <c r="K230" s="16">
        <f t="shared" si="14"/>
        <v>1</v>
      </c>
    </row>
    <row r="231" spans="1:11">
      <c r="A231" s="15" t="str">
        <f t="shared" si="12"/>
        <v>02541</v>
      </c>
      <c r="B231" s="16">
        <f t="shared" si="14"/>
        <v>124</v>
      </c>
      <c r="C231" s="16">
        <f t="shared" si="14"/>
        <v>0</v>
      </c>
      <c r="D231" s="16">
        <f t="shared" si="14"/>
        <v>254</v>
      </c>
      <c r="E231" s="16">
        <f t="shared" si="14"/>
        <v>1</v>
      </c>
      <c r="F231" s="16">
        <f t="shared" si="14"/>
        <v>165</v>
      </c>
      <c r="G231" s="16">
        <f t="shared" si="14"/>
        <v>0</v>
      </c>
      <c r="H231" s="16">
        <f t="shared" si="14"/>
        <v>0</v>
      </c>
      <c r="I231" s="16">
        <f t="shared" si="14"/>
        <v>0</v>
      </c>
      <c r="J231" s="16">
        <f t="shared" si="14"/>
        <v>0</v>
      </c>
      <c r="K231" s="16">
        <f t="shared" si="14"/>
        <v>1</v>
      </c>
    </row>
    <row r="232" spans="1:11">
      <c r="A232" s="15" t="str">
        <f t="shared" si="12"/>
        <v>02551</v>
      </c>
      <c r="B232" s="16">
        <f t="shared" si="14"/>
        <v>124</v>
      </c>
      <c r="C232" s="16">
        <f t="shared" si="14"/>
        <v>0</v>
      </c>
      <c r="D232" s="16">
        <f t="shared" si="14"/>
        <v>255</v>
      </c>
      <c r="E232" s="16">
        <f t="shared" si="14"/>
        <v>1</v>
      </c>
      <c r="F232" s="16">
        <f t="shared" si="14"/>
        <v>26</v>
      </c>
      <c r="G232" s="16">
        <f t="shared" si="14"/>
        <v>0</v>
      </c>
      <c r="H232" s="16">
        <f t="shared" si="14"/>
        <v>0</v>
      </c>
      <c r="I232" s="16">
        <f t="shared" si="14"/>
        <v>0</v>
      </c>
      <c r="J232" s="16">
        <f t="shared" si="14"/>
        <v>0</v>
      </c>
      <c r="K232" s="16">
        <f t="shared" si="14"/>
        <v>1</v>
      </c>
    </row>
    <row r="233" spans="1:11">
      <c r="A233" s="15" t="str">
        <f t="shared" si="12"/>
        <v>02561</v>
      </c>
      <c r="B233" s="16">
        <f t="shared" si="14"/>
        <v>124</v>
      </c>
      <c r="C233" s="16">
        <f t="shared" si="14"/>
        <v>0</v>
      </c>
      <c r="D233" s="16">
        <f t="shared" si="14"/>
        <v>256</v>
      </c>
      <c r="E233" s="16">
        <f t="shared" si="14"/>
        <v>1</v>
      </c>
      <c r="F233" s="16">
        <f t="shared" si="14"/>
        <v>469</v>
      </c>
      <c r="G233" s="16">
        <f t="shared" si="14"/>
        <v>0</v>
      </c>
      <c r="H233" s="16">
        <f t="shared" si="14"/>
        <v>0</v>
      </c>
      <c r="I233" s="16">
        <f t="shared" si="14"/>
        <v>0</v>
      </c>
      <c r="J233" s="16">
        <f t="shared" si="14"/>
        <v>0</v>
      </c>
      <c r="K233" s="16">
        <f t="shared" si="14"/>
        <v>1</v>
      </c>
    </row>
    <row r="234" spans="1:11">
      <c r="A234" s="15" t="str">
        <f t="shared" si="12"/>
        <v>02571</v>
      </c>
      <c r="B234" s="16">
        <f t="shared" si="14"/>
        <v>124</v>
      </c>
      <c r="C234" s="16">
        <f t="shared" si="14"/>
        <v>0</v>
      </c>
      <c r="D234" s="16">
        <f t="shared" si="14"/>
        <v>257</v>
      </c>
      <c r="E234" s="16">
        <f t="shared" si="14"/>
        <v>1</v>
      </c>
      <c r="F234" s="16">
        <f t="shared" si="14"/>
        <v>165</v>
      </c>
      <c r="G234" s="16">
        <f t="shared" si="14"/>
        <v>0</v>
      </c>
      <c r="H234" s="16">
        <f t="shared" si="14"/>
        <v>0</v>
      </c>
      <c r="I234" s="16">
        <f t="shared" si="14"/>
        <v>0</v>
      </c>
      <c r="J234" s="16">
        <f t="shared" si="14"/>
        <v>0</v>
      </c>
      <c r="K234" s="16">
        <f t="shared" si="14"/>
        <v>1</v>
      </c>
    </row>
    <row r="235" spans="1:11">
      <c r="A235" s="15" t="str">
        <f t="shared" si="12"/>
        <v>02581</v>
      </c>
      <c r="B235" s="16">
        <f t="shared" si="14"/>
        <v>124</v>
      </c>
      <c r="C235" s="16">
        <f t="shared" si="14"/>
        <v>0</v>
      </c>
      <c r="D235" s="16">
        <f t="shared" si="14"/>
        <v>258</v>
      </c>
      <c r="E235" s="16">
        <f t="shared" si="14"/>
        <v>1</v>
      </c>
      <c r="F235" s="16">
        <f t="shared" si="14"/>
        <v>26</v>
      </c>
      <c r="G235" s="16">
        <f t="shared" si="14"/>
        <v>0</v>
      </c>
      <c r="H235" s="16">
        <f t="shared" si="14"/>
        <v>0</v>
      </c>
      <c r="I235" s="16">
        <f t="shared" si="14"/>
        <v>0</v>
      </c>
      <c r="J235" s="16">
        <f t="shared" si="14"/>
        <v>0</v>
      </c>
      <c r="K235" s="16">
        <f t="shared" si="14"/>
        <v>1</v>
      </c>
    </row>
    <row r="236" spans="1:11">
      <c r="A236" s="15" t="str">
        <f t="shared" si="12"/>
        <v>02591</v>
      </c>
      <c r="B236" s="16">
        <f t="shared" si="14"/>
        <v>124</v>
      </c>
      <c r="C236" s="16">
        <f t="shared" si="14"/>
        <v>0</v>
      </c>
      <c r="D236" s="16">
        <f t="shared" si="14"/>
        <v>259</v>
      </c>
      <c r="E236" s="16">
        <f t="shared" si="14"/>
        <v>1</v>
      </c>
      <c r="F236" s="16">
        <f t="shared" si="14"/>
        <v>469</v>
      </c>
      <c r="G236" s="16">
        <f t="shared" si="14"/>
        <v>0</v>
      </c>
      <c r="H236" s="16">
        <f t="shared" si="14"/>
        <v>0</v>
      </c>
      <c r="I236" s="16">
        <f t="shared" si="14"/>
        <v>0</v>
      </c>
      <c r="J236" s="16">
        <f t="shared" si="14"/>
        <v>0</v>
      </c>
      <c r="K236" s="16">
        <f t="shared" si="14"/>
        <v>1</v>
      </c>
    </row>
    <row r="237" spans="1:11">
      <c r="A237" s="15" t="str">
        <f t="shared" si="12"/>
        <v>02601</v>
      </c>
      <c r="B237" s="16">
        <f t="shared" si="14"/>
        <v>124</v>
      </c>
      <c r="C237" s="16">
        <f t="shared" si="14"/>
        <v>0</v>
      </c>
      <c r="D237" s="16">
        <f t="shared" si="14"/>
        <v>260</v>
      </c>
      <c r="E237" s="16">
        <f t="shared" si="14"/>
        <v>1</v>
      </c>
      <c r="F237" s="16">
        <f t="shared" si="14"/>
        <v>165</v>
      </c>
      <c r="G237" s="16">
        <f t="shared" si="14"/>
        <v>0</v>
      </c>
      <c r="H237" s="16">
        <f t="shared" si="14"/>
        <v>0</v>
      </c>
      <c r="I237" s="16">
        <f t="shared" si="14"/>
        <v>0</v>
      </c>
      <c r="J237" s="16">
        <f t="shared" si="14"/>
        <v>0</v>
      </c>
      <c r="K237" s="16">
        <f t="shared" si="14"/>
        <v>1</v>
      </c>
    </row>
    <row r="238" spans="1:11">
      <c r="A238" s="15" t="str">
        <f t="shared" si="12"/>
        <v>02611</v>
      </c>
      <c r="B238" s="16">
        <f t="shared" si="14"/>
        <v>124</v>
      </c>
      <c r="C238" s="16">
        <f t="shared" si="14"/>
        <v>0</v>
      </c>
      <c r="D238" s="16">
        <f t="shared" si="14"/>
        <v>261</v>
      </c>
      <c r="E238" s="16">
        <f t="shared" si="14"/>
        <v>1</v>
      </c>
      <c r="F238" s="16">
        <f t="shared" si="14"/>
        <v>26</v>
      </c>
      <c r="G238" s="16">
        <f t="shared" si="14"/>
        <v>0</v>
      </c>
      <c r="H238" s="16">
        <f t="shared" si="14"/>
        <v>0</v>
      </c>
      <c r="I238" s="16">
        <f t="shared" si="14"/>
        <v>0</v>
      </c>
      <c r="J238" s="16">
        <f t="shared" si="14"/>
        <v>0</v>
      </c>
      <c r="K238" s="16">
        <f t="shared" si="14"/>
        <v>1</v>
      </c>
    </row>
    <row r="239" spans="1:11">
      <c r="A239" s="15" t="str">
        <f t="shared" si="12"/>
        <v>03201</v>
      </c>
      <c r="B239" s="16">
        <f t="shared" si="14"/>
        <v>124</v>
      </c>
      <c r="C239" s="16">
        <f t="shared" si="14"/>
        <v>0</v>
      </c>
      <c r="D239" s="16">
        <f t="shared" si="14"/>
        <v>320</v>
      </c>
      <c r="E239" s="16">
        <f t="shared" si="14"/>
        <v>1</v>
      </c>
      <c r="F239" s="16">
        <f t="shared" si="14"/>
        <v>449</v>
      </c>
      <c r="G239" s="16">
        <f t="shared" si="14"/>
        <v>0</v>
      </c>
      <c r="H239" s="16">
        <f t="shared" si="14"/>
        <v>0</v>
      </c>
      <c r="I239" s="16">
        <f t="shared" si="14"/>
        <v>0</v>
      </c>
      <c r="J239" s="16">
        <f t="shared" si="14"/>
        <v>0</v>
      </c>
      <c r="K239" s="16">
        <f t="shared" si="14"/>
        <v>1</v>
      </c>
    </row>
    <row r="240" spans="1:11">
      <c r="A240" s="15" t="str">
        <f t="shared" si="12"/>
        <v>03211</v>
      </c>
      <c r="B240" s="16">
        <f t="shared" si="14"/>
        <v>124</v>
      </c>
      <c r="C240" s="16">
        <f t="shared" si="14"/>
        <v>0</v>
      </c>
      <c r="D240" s="16">
        <f t="shared" si="14"/>
        <v>321</v>
      </c>
      <c r="E240" s="16">
        <f t="shared" si="14"/>
        <v>1</v>
      </c>
      <c r="F240" s="16">
        <f t="shared" si="14"/>
        <v>64</v>
      </c>
      <c r="G240" s="16">
        <f t="shared" si="14"/>
        <v>0</v>
      </c>
      <c r="H240" s="16">
        <f t="shared" si="14"/>
        <v>0</v>
      </c>
      <c r="I240" s="16">
        <f t="shared" si="14"/>
        <v>0</v>
      </c>
      <c r="J240" s="16">
        <f t="shared" si="14"/>
        <v>0</v>
      </c>
      <c r="K240" s="16">
        <f t="shared" si="14"/>
        <v>1</v>
      </c>
    </row>
    <row r="241" spans="1:11">
      <c r="A241" s="15" t="str">
        <f t="shared" si="12"/>
        <v>03221</v>
      </c>
      <c r="B241" s="16">
        <f t="shared" si="14"/>
        <v>124</v>
      </c>
      <c r="C241" s="16">
        <f t="shared" si="14"/>
        <v>0</v>
      </c>
      <c r="D241" s="16">
        <f t="shared" si="14"/>
        <v>322</v>
      </c>
      <c r="E241" s="16">
        <f t="shared" si="14"/>
        <v>1</v>
      </c>
      <c r="F241" s="16">
        <f t="shared" si="14"/>
        <v>449</v>
      </c>
      <c r="G241" s="16">
        <f t="shared" si="14"/>
        <v>0</v>
      </c>
      <c r="H241" s="16">
        <f t="shared" si="14"/>
        <v>0</v>
      </c>
      <c r="I241" s="16">
        <f t="shared" si="14"/>
        <v>0</v>
      </c>
      <c r="J241" s="16">
        <f t="shared" si="14"/>
        <v>0</v>
      </c>
      <c r="K241" s="16">
        <f t="shared" si="14"/>
        <v>1</v>
      </c>
    </row>
    <row r="242" spans="1:11">
      <c r="A242" s="15" t="str">
        <f t="shared" si="12"/>
        <v>03231</v>
      </c>
      <c r="B242" s="16">
        <f t="shared" si="14"/>
        <v>124</v>
      </c>
      <c r="C242" s="16">
        <f t="shared" si="14"/>
        <v>0</v>
      </c>
      <c r="D242" s="16">
        <f t="shared" si="14"/>
        <v>323</v>
      </c>
      <c r="E242" s="16">
        <f t="shared" si="14"/>
        <v>1</v>
      </c>
      <c r="F242" s="16">
        <f t="shared" si="14"/>
        <v>64</v>
      </c>
      <c r="G242" s="16">
        <f t="shared" si="14"/>
        <v>0</v>
      </c>
      <c r="H242" s="16">
        <f t="shared" si="14"/>
        <v>0</v>
      </c>
      <c r="I242" s="16">
        <f t="shared" si="14"/>
        <v>0</v>
      </c>
      <c r="J242" s="16">
        <f t="shared" si="14"/>
        <v>0</v>
      </c>
      <c r="K242" s="16">
        <f t="shared" si="14"/>
        <v>1</v>
      </c>
    </row>
    <row r="243" spans="1:11">
      <c r="A243" s="15" t="str">
        <f t="shared" si="12"/>
        <v>03241</v>
      </c>
      <c r="B243" s="16">
        <f t="shared" si="14"/>
        <v>124</v>
      </c>
      <c r="C243" s="16">
        <f t="shared" si="14"/>
        <v>0</v>
      </c>
      <c r="D243" s="16">
        <f t="shared" si="14"/>
        <v>324</v>
      </c>
      <c r="E243" s="16">
        <f t="shared" si="14"/>
        <v>1</v>
      </c>
      <c r="F243" s="16">
        <f t="shared" si="14"/>
        <v>449</v>
      </c>
      <c r="G243" s="16">
        <f t="shared" si="14"/>
        <v>0</v>
      </c>
      <c r="H243" s="16">
        <f t="shared" si="14"/>
        <v>0</v>
      </c>
      <c r="I243" s="16">
        <f t="shared" si="14"/>
        <v>0</v>
      </c>
      <c r="J243" s="16">
        <f t="shared" si="14"/>
        <v>0</v>
      </c>
      <c r="K243" s="16">
        <f t="shared" si="14"/>
        <v>1</v>
      </c>
    </row>
    <row r="244" spans="1:11">
      <c r="A244" s="15" t="str">
        <f t="shared" si="12"/>
        <v>03251</v>
      </c>
      <c r="B244" s="16">
        <f t="shared" si="14"/>
        <v>124</v>
      </c>
      <c r="C244" s="16">
        <f t="shared" si="14"/>
        <v>0</v>
      </c>
      <c r="D244" s="16">
        <f t="shared" si="14"/>
        <v>325</v>
      </c>
      <c r="E244" s="16">
        <f t="shared" si="14"/>
        <v>1</v>
      </c>
      <c r="F244" s="16">
        <f t="shared" si="14"/>
        <v>64</v>
      </c>
      <c r="G244" s="16">
        <f t="shared" si="14"/>
        <v>0</v>
      </c>
      <c r="H244" s="16">
        <f t="shared" si="14"/>
        <v>0</v>
      </c>
      <c r="I244" s="16">
        <f t="shared" si="14"/>
        <v>0</v>
      </c>
      <c r="J244" s="16">
        <f t="shared" si="14"/>
        <v>0</v>
      </c>
      <c r="K244" s="16">
        <f t="shared" si="14"/>
        <v>1</v>
      </c>
    </row>
    <row r="245" spans="1:11">
      <c r="A245" s="15" t="str">
        <f t="shared" si="12"/>
        <v>03261</v>
      </c>
      <c r="B245" s="16">
        <f t="shared" si="14"/>
        <v>124</v>
      </c>
      <c r="C245" s="16">
        <f t="shared" si="14"/>
        <v>0</v>
      </c>
      <c r="D245" s="16">
        <f t="shared" si="14"/>
        <v>326</v>
      </c>
      <c r="E245" s="16">
        <f t="shared" si="14"/>
        <v>1</v>
      </c>
      <c r="F245" s="16">
        <f t="shared" si="14"/>
        <v>449</v>
      </c>
      <c r="G245" s="16">
        <f t="shared" si="14"/>
        <v>0</v>
      </c>
      <c r="H245" s="16">
        <f t="shared" si="14"/>
        <v>0</v>
      </c>
      <c r="I245" s="16">
        <f t="shared" si="14"/>
        <v>0</v>
      </c>
      <c r="J245" s="16">
        <f t="shared" si="14"/>
        <v>0</v>
      </c>
      <c r="K245" s="16">
        <f t="shared" si="14"/>
        <v>1</v>
      </c>
    </row>
    <row r="246" spans="1:11">
      <c r="A246" s="15" t="str">
        <f t="shared" si="12"/>
        <v>03271</v>
      </c>
      <c r="B246" s="16">
        <f t="shared" si="14"/>
        <v>124</v>
      </c>
      <c r="C246" s="16">
        <f t="shared" si="14"/>
        <v>0</v>
      </c>
      <c r="D246" s="16">
        <f t="shared" si="14"/>
        <v>327</v>
      </c>
      <c r="E246" s="16">
        <f t="shared" si="14"/>
        <v>1</v>
      </c>
      <c r="F246" s="16">
        <f t="shared" si="14"/>
        <v>64</v>
      </c>
      <c r="G246" s="16">
        <f t="shared" si="14"/>
        <v>0</v>
      </c>
      <c r="H246" s="16">
        <f t="shared" si="14"/>
        <v>0</v>
      </c>
      <c r="I246" s="16">
        <f t="shared" si="14"/>
        <v>0</v>
      </c>
      <c r="J246" s="16">
        <f t="shared" si="14"/>
        <v>0</v>
      </c>
      <c r="K246" s="16">
        <f t="shared" si="14"/>
        <v>1</v>
      </c>
    </row>
    <row r="247" spans="1:11">
      <c r="A247" s="15" t="str">
        <f t="shared" si="12"/>
        <v>03801</v>
      </c>
      <c r="B247" s="16">
        <f t="shared" si="14"/>
        <v>124</v>
      </c>
      <c r="C247" s="16">
        <f t="shared" si="14"/>
        <v>0</v>
      </c>
      <c r="D247" s="16">
        <f t="shared" si="14"/>
        <v>380</v>
      </c>
      <c r="E247" s="16">
        <f t="shared" si="14"/>
        <v>1</v>
      </c>
      <c r="F247" s="16">
        <f t="shared" si="14"/>
        <v>469</v>
      </c>
      <c r="G247" s="16">
        <f t="shared" si="14"/>
        <v>0</v>
      </c>
      <c r="H247" s="16">
        <f t="shared" si="14"/>
        <v>0</v>
      </c>
      <c r="I247" s="16">
        <f t="shared" si="14"/>
        <v>0</v>
      </c>
      <c r="J247" s="16">
        <f t="shared" si="14"/>
        <v>0</v>
      </c>
      <c r="K247" s="16">
        <f t="shared" si="14"/>
        <v>1</v>
      </c>
    </row>
    <row r="248" spans="1:11">
      <c r="A248" s="15" t="str">
        <f t="shared" si="12"/>
        <v>03811</v>
      </c>
      <c r="B248" s="16">
        <f t="shared" si="14"/>
        <v>124</v>
      </c>
      <c r="C248" s="16">
        <f t="shared" si="14"/>
        <v>0</v>
      </c>
      <c r="D248" s="16">
        <f t="shared" si="14"/>
        <v>381</v>
      </c>
      <c r="E248" s="16">
        <f t="shared" si="14"/>
        <v>1</v>
      </c>
      <c r="F248" s="16">
        <f t="shared" si="14"/>
        <v>165</v>
      </c>
      <c r="G248" s="16">
        <f t="shared" si="14"/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2"/>
        <v>03821</v>
      </c>
      <c r="B249" s="16">
        <f t="shared" ref="B249:K256" si="15">VLOOKUP($A249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124</v>
      </c>
      <c r="C249" s="16">
        <f t="shared" si="15"/>
        <v>0</v>
      </c>
      <c r="D249" s="16">
        <f t="shared" si="15"/>
        <v>382</v>
      </c>
      <c r="E249" s="16">
        <f t="shared" si="15"/>
        <v>1</v>
      </c>
      <c r="F249" s="16">
        <f t="shared" si="15"/>
        <v>26</v>
      </c>
      <c r="G249" s="16">
        <f t="shared" si="15"/>
        <v>0</v>
      </c>
      <c r="H249" s="16">
        <f t="shared" si="15"/>
        <v>0</v>
      </c>
      <c r="I249" s="16">
        <f t="shared" si="15"/>
        <v>0</v>
      </c>
      <c r="J249" s="16">
        <f t="shared" si="15"/>
        <v>0</v>
      </c>
      <c r="K249" s="16">
        <f t="shared" si="15"/>
        <v>1</v>
      </c>
    </row>
    <row r="250" spans="1:11">
      <c r="A250" s="15" t="str">
        <f t="shared" si="12"/>
        <v>03831</v>
      </c>
      <c r="B250" s="16">
        <f t="shared" si="15"/>
        <v>124</v>
      </c>
      <c r="C250" s="16">
        <f t="shared" si="15"/>
        <v>0</v>
      </c>
      <c r="D250" s="16">
        <f t="shared" si="15"/>
        <v>383</v>
      </c>
      <c r="E250" s="16">
        <f t="shared" si="15"/>
        <v>1</v>
      </c>
      <c r="F250" s="16">
        <f t="shared" si="15"/>
        <v>449</v>
      </c>
      <c r="G250" s="16">
        <f t="shared" si="15"/>
        <v>0</v>
      </c>
      <c r="H250" s="16">
        <f t="shared" si="15"/>
        <v>0</v>
      </c>
      <c r="I250" s="16">
        <f t="shared" si="15"/>
        <v>0</v>
      </c>
      <c r="J250" s="16">
        <f t="shared" si="15"/>
        <v>0</v>
      </c>
      <c r="K250" s="16">
        <f t="shared" si="15"/>
        <v>1</v>
      </c>
    </row>
    <row r="251" spans="1:11">
      <c r="A251" s="15" t="str">
        <f t="shared" si="12"/>
        <v>03841</v>
      </c>
      <c r="B251" s="16">
        <f t="shared" si="15"/>
        <v>124</v>
      </c>
      <c r="C251" s="16">
        <f t="shared" si="15"/>
        <v>0</v>
      </c>
      <c r="D251" s="16">
        <f t="shared" si="15"/>
        <v>384</v>
      </c>
      <c r="E251" s="16">
        <f t="shared" si="15"/>
        <v>1</v>
      </c>
      <c r="F251" s="16">
        <f t="shared" si="15"/>
        <v>64</v>
      </c>
      <c r="G251" s="16">
        <f t="shared" si="15"/>
        <v>0</v>
      </c>
      <c r="H251" s="16">
        <f t="shared" si="15"/>
        <v>0</v>
      </c>
      <c r="I251" s="16">
        <f t="shared" si="15"/>
        <v>0</v>
      </c>
      <c r="J251" s="16">
        <f t="shared" si="15"/>
        <v>0</v>
      </c>
      <c r="K251" s="16">
        <f t="shared" si="15"/>
        <v>1</v>
      </c>
    </row>
    <row r="252" spans="1:11">
      <c r="A252" s="15" t="str">
        <f t="shared" si="12"/>
        <v>03851</v>
      </c>
      <c r="B252" s="16">
        <f t="shared" si="15"/>
        <v>124</v>
      </c>
      <c r="C252" s="16">
        <f t="shared" si="15"/>
        <v>0</v>
      </c>
      <c r="D252" s="16">
        <f t="shared" si="15"/>
        <v>385</v>
      </c>
      <c r="E252" s="16">
        <f t="shared" si="15"/>
        <v>1</v>
      </c>
      <c r="F252" s="16">
        <f t="shared" si="15"/>
        <v>449</v>
      </c>
      <c r="G252" s="16">
        <f t="shared" si="15"/>
        <v>0</v>
      </c>
      <c r="H252" s="16">
        <f t="shared" si="15"/>
        <v>0</v>
      </c>
      <c r="I252" s="16">
        <f t="shared" si="15"/>
        <v>0</v>
      </c>
      <c r="J252" s="16">
        <f t="shared" si="15"/>
        <v>0</v>
      </c>
      <c r="K252" s="16">
        <f t="shared" si="15"/>
        <v>1</v>
      </c>
    </row>
    <row r="253" spans="1:11">
      <c r="A253" s="15" t="str">
        <f t="shared" si="12"/>
        <v>03861</v>
      </c>
      <c r="B253" s="16">
        <f t="shared" si="15"/>
        <v>124</v>
      </c>
      <c r="C253" s="16">
        <f t="shared" si="15"/>
        <v>0</v>
      </c>
      <c r="D253" s="16">
        <f t="shared" si="15"/>
        <v>386</v>
      </c>
      <c r="E253" s="16">
        <f t="shared" si="15"/>
        <v>1</v>
      </c>
      <c r="F253" s="16">
        <f t="shared" si="15"/>
        <v>64</v>
      </c>
      <c r="G253" s="16">
        <f t="shared" si="15"/>
        <v>0</v>
      </c>
      <c r="H253" s="16">
        <f t="shared" si="15"/>
        <v>0</v>
      </c>
      <c r="I253" s="16">
        <f t="shared" si="15"/>
        <v>0</v>
      </c>
      <c r="J253" s="16">
        <f t="shared" si="15"/>
        <v>0</v>
      </c>
      <c r="K253" s="16">
        <f t="shared" si="15"/>
        <v>1</v>
      </c>
    </row>
    <row r="254" spans="1:11">
      <c r="A254" s="15" t="str">
        <f t="shared" si="12"/>
        <v>03871</v>
      </c>
      <c r="B254" s="16">
        <f t="shared" si="15"/>
        <v>124</v>
      </c>
      <c r="C254" s="16">
        <f t="shared" si="15"/>
        <v>0</v>
      </c>
      <c r="D254" s="16">
        <f t="shared" si="15"/>
        <v>387</v>
      </c>
      <c r="E254" s="16">
        <f t="shared" si="15"/>
        <v>1</v>
      </c>
      <c r="F254" s="16">
        <f t="shared" si="15"/>
        <v>469</v>
      </c>
      <c r="G254" s="16">
        <f t="shared" si="15"/>
        <v>0</v>
      </c>
      <c r="H254" s="16">
        <f t="shared" si="15"/>
        <v>0</v>
      </c>
      <c r="I254" s="16">
        <f t="shared" si="15"/>
        <v>0</v>
      </c>
      <c r="J254" s="16">
        <f t="shared" si="15"/>
        <v>0</v>
      </c>
      <c r="K254" s="16">
        <f t="shared" si="15"/>
        <v>1</v>
      </c>
    </row>
    <row r="255" spans="1:11">
      <c r="A255" s="15" t="str">
        <f t="shared" si="12"/>
        <v>03881</v>
      </c>
      <c r="B255" s="16">
        <f t="shared" si="15"/>
        <v>124</v>
      </c>
      <c r="C255" s="16">
        <f t="shared" si="15"/>
        <v>0</v>
      </c>
      <c r="D255" s="16">
        <f t="shared" si="15"/>
        <v>388</v>
      </c>
      <c r="E255" s="16">
        <f t="shared" si="15"/>
        <v>1</v>
      </c>
      <c r="F255" s="16">
        <f t="shared" si="15"/>
        <v>165</v>
      </c>
      <c r="G255" s="16">
        <f t="shared" si="15"/>
        <v>0</v>
      </c>
      <c r="H255" s="16">
        <f t="shared" si="15"/>
        <v>0</v>
      </c>
      <c r="I255" s="16">
        <f t="shared" si="15"/>
        <v>0</v>
      </c>
      <c r="J255" s="16">
        <f t="shared" si="15"/>
        <v>0</v>
      </c>
      <c r="K255" s="16">
        <f t="shared" si="15"/>
        <v>1</v>
      </c>
    </row>
    <row r="256" spans="1:11">
      <c r="A256" s="15" t="str">
        <f t="shared" si="12"/>
        <v>03891</v>
      </c>
      <c r="B256" s="16">
        <f t="shared" si="15"/>
        <v>124</v>
      </c>
      <c r="C256" s="16">
        <f t="shared" si="15"/>
        <v>0</v>
      </c>
      <c r="D256" s="16">
        <f t="shared" si="15"/>
        <v>389</v>
      </c>
      <c r="E256" s="16">
        <f t="shared" si="15"/>
        <v>1</v>
      </c>
      <c r="F256" s="16">
        <f t="shared" si="15"/>
        <v>26</v>
      </c>
      <c r="G256" s="16">
        <f t="shared" si="15"/>
        <v>0</v>
      </c>
      <c r="H256" s="16">
        <f t="shared" si="15"/>
        <v>0</v>
      </c>
      <c r="I256" s="16">
        <f t="shared" si="15"/>
        <v>0</v>
      </c>
      <c r="J256" s="16">
        <f t="shared" si="15"/>
        <v>0</v>
      </c>
      <c r="K256" s="16">
        <f t="shared" si="15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gacha_124_base</vt:lpstr>
      <vt:lpstr>gacha_114_base</vt:lpstr>
      <vt:lpstr>gacha_unit_tables_114</vt:lpstr>
      <vt:lpstr>gacha_unit_tables_122</vt:lpstr>
      <vt:lpstr>gacha_unit_tables_123</vt:lpstr>
      <vt:lpstr>gacha_unit_tables_124</vt:lpstr>
      <vt:lpstr>gacha_unit_tables_114.tmp</vt:lpstr>
      <vt:lpstr>gacha_unit_tables_122.tmp</vt:lpstr>
      <vt:lpstr>gacha_unit_tables_123.tmp</vt:lpstr>
      <vt:lpstr>gacha_unit_tables_124.tmp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2015-09-30T05:49:40Z</dcterms:modified>
</cp:coreProperties>
</file>