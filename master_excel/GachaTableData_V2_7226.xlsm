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0" yWindow="1460" windowWidth="25600" windowHeight="14460" tabRatio="943" activeTab="2"/>
  </bookViews>
  <sheets>
    <sheet name="確率の考え方" sheetId="110" r:id="rId1"/>
    <sheet name="Sheet1" sheetId="107" r:id="rId2"/>
    <sheet name="output" sheetId="103" r:id="rId3"/>
    <sheet name="tables_7226100" sheetId="131" r:id="rId4"/>
    <sheet name="R6追加前" sheetId="111" r:id="rId5"/>
    <sheet name="R6開放" sheetId="112" r:id="rId6"/>
  </sheets>
  <externalReferences>
    <externalReference r:id="rId7"/>
  </externalReferences>
  <definedNames>
    <definedName name="_xlnm._FilterDatabase" localSheetId="3" hidden="1">tables_7226100!$A$1:$V$274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" i="103" l="1"/>
  <c r="I75" i="131"/>
  <c r="D75" i="131"/>
  <c r="J75" i="131"/>
  <c r="E75" i="131"/>
  <c r="F75" i="131"/>
  <c r="C75" i="131"/>
  <c r="H75" i="131"/>
  <c r="K75" i="131"/>
  <c r="L75" i="131"/>
  <c r="M75" i="131"/>
  <c r="N75" i="131"/>
  <c r="P75" i="131"/>
  <c r="I76" i="131"/>
  <c r="D76" i="131"/>
  <c r="J76" i="131"/>
  <c r="E76" i="131"/>
  <c r="F76" i="131"/>
  <c r="C76" i="131"/>
  <c r="H76" i="131"/>
  <c r="K76" i="131"/>
  <c r="L76" i="131"/>
  <c r="M76" i="131"/>
  <c r="N76" i="131"/>
  <c r="P76" i="131"/>
  <c r="I74" i="131"/>
  <c r="D74" i="131"/>
  <c r="J74" i="131"/>
  <c r="E74" i="131"/>
  <c r="F74" i="131"/>
  <c r="C74" i="131"/>
  <c r="H74" i="131"/>
  <c r="K74" i="131"/>
  <c r="L74" i="131"/>
  <c r="M74" i="131"/>
  <c r="N74" i="131"/>
  <c r="P74" i="131"/>
  <c r="P73" i="131"/>
  <c r="N73" i="131"/>
  <c r="M73" i="131"/>
  <c r="L73" i="131"/>
  <c r="K73" i="131"/>
  <c r="J73" i="131"/>
  <c r="I73" i="131"/>
  <c r="H73" i="131"/>
  <c r="F73" i="131"/>
  <c r="E73" i="131"/>
  <c r="D73" i="131"/>
  <c r="C73" i="131"/>
  <c r="P72" i="131"/>
  <c r="N72" i="131"/>
  <c r="M72" i="131"/>
  <c r="L72" i="131"/>
  <c r="K72" i="131"/>
  <c r="J72" i="131"/>
  <c r="I72" i="131"/>
  <c r="H72" i="131"/>
  <c r="F72" i="131"/>
  <c r="E72" i="131"/>
  <c r="D72" i="131"/>
  <c r="C72" i="131"/>
  <c r="P71" i="131"/>
  <c r="N71" i="131"/>
  <c r="M71" i="131"/>
  <c r="L71" i="131"/>
  <c r="K71" i="131"/>
  <c r="J71" i="131"/>
  <c r="I71" i="131"/>
  <c r="H71" i="131"/>
  <c r="F71" i="131"/>
  <c r="E71" i="131"/>
  <c r="D71" i="131"/>
  <c r="C71" i="131"/>
  <c r="I68" i="131"/>
  <c r="D68" i="131"/>
  <c r="J68" i="131"/>
  <c r="E68" i="131"/>
  <c r="F68" i="131"/>
  <c r="C68" i="131"/>
  <c r="H68" i="131"/>
  <c r="K68" i="131"/>
  <c r="L68" i="131"/>
  <c r="M68" i="131"/>
  <c r="N68" i="131"/>
  <c r="P68" i="131"/>
  <c r="I69" i="131"/>
  <c r="D69" i="131"/>
  <c r="J69" i="131"/>
  <c r="E69" i="131"/>
  <c r="F69" i="131"/>
  <c r="C69" i="131"/>
  <c r="H69" i="131"/>
  <c r="K69" i="131"/>
  <c r="L69" i="131"/>
  <c r="M69" i="131"/>
  <c r="N69" i="131"/>
  <c r="P69" i="131"/>
  <c r="I70" i="131"/>
  <c r="D70" i="131"/>
  <c r="J70" i="131"/>
  <c r="E70" i="131"/>
  <c r="F70" i="131"/>
  <c r="C70" i="131"/>
  <c r="H70" i="131"/>
  <c r="K70" i="131"/>
  <c r="L70" i="131"/>
  <c r="M70" i="131"/>
  <c r="N70" i="131"/>
  <c r="P70" i="131"/>
  <c r="I11" i="131"/>
  <c r="D11" i="131"/>
  <c r="J11" i="131"/>
  <c r="E11" i="131"/>
  <c r="F11" i="131"/>
  <c r="C11" i="131"/>
  <c r="H11" i="131"/>
  <c r="K11" i="131"/>
  <c r="L11" i="131"/>
  <c r="M11" i="131"/>
  <c r="N11" i="131"/>
  <c r="P11" i="131"/>
  <c r="I17" i="131"/>
  <c r="D17" i="131"/>
  <c r="J17" i="131"/>
  <c r="E17" i="131"/>
  <c r="F17" i="131"/>
  <c r="C17" i="131"/>
  <c r="H17" i="131"/>
  <c r="K17" i="131"/>
  <c r="L17" i="131"/>
  <c r="M17" i="131"/>
  <c r="N17" i="131"/>
  <c r="P17" i="131"/>
  <c r="I13" i="131"/>
  <c r="D13" i="131"/>
  <c r="J13" i="131"/>
  <c r="E13" i="131"/>
  <c r="F13" i="131"/>
  <c r="C13" i="131"/>
  <c r="H13" i="131"/>
  <c r="K13" i="131"/>
  <c r="L13" i="131"/>
  <c r="M13" i="131"/>
  <c r="N13" i="131"/>
  <c r="P13" i="131"/>
  <c r="I21" i="131"/>
  <c r="D21" i="131"/>
  <c r="J21" i="131"/>
  <c r="E21" i="131"/>
  <c r="F21" i="131"/>
  <c r="C21" i="131"/>
  <c r="H21" i="131"/>
  <c r="K21" i="131"/>
  <c r="L21" i="131"/>
  <c r="M21" i="131"/>
  <c r="N21" i="131"/>
  <c r="P21" i="131"/>
  <c r="I3" i="131"/>
  <c r="D3" i="131"/>
  <c r="J3" i="131"/>
  <c r="E3" i="131"/>
  <c r="F3" i="131"/>
  <c r="C3" i="131"/>
  <c r="H3" i="131"/>
  <c r="K3" i="131"/>
  <c r="L3" i="131"/>
  <c r="M3" i="131"/>
  <c r="N3" i="131"/>
  <c r="P3" i="131"/>
  <c r="I5" i="131"/>
  <c r="D5" i="131"/>
  <c r="J5" i="131"/>
  <c r="E5" i="131"/>
  <c r="F5" i="131"/>
  <c r="C5" i="131"/>
  <c r="H5" i="131"/>
  <c r="K5" i="131"/>
  <c r="L5" i="131"/>
  <c r="M5" i="131"/>
  <c r="N5" i="131"/>
  <c r="P5" i="131"/>
  <c r="I65" i="131"/>
  <c r="D65" i="131"/>
  <c r="J65" i="131"/>
  <c r="E65" i="131"/>
  <c r="F65" i="131"/>
  <c r="C65" i="131"/>
  <c r="H65" i="131"/>
  <c r="K65" i="131"/>
  <c r="L65" i="131"/>
  <c r="M65" i="131"/>
  <c r="N65" i="131"/>
  <c r="P65" i="131"/>
  <c r="I66" i="131"/>
  <c r="D66" i="131"/>
  <c r="J66" i="131"/>
  <c r="E66" i="131"/>
  <c r="F66" i="131"/>
  <c r="C66" i="131"/>
  <c r="H66" i="131"/>
  <c r="K66" i="131"/>
  <c r="L66" i="131"/>
  <c r="M66" i="131"/>
  <c r="N66" i="131"/>
  <c r="P66" i="131"/>
  <c r="I67" i="131"/>
  <c r="D67" i="131"/>
  <c r="J67" i="131"/>
  <c r="E67" i="131"/>
  <c r="F67" i="131"/>
  <c r="C67" i="131"/>
  <c r="H67" i="131"/>
  <c r="K67" i="131"/>
  <c r="L67" i="131"/>
  <c r="M67" i="131"/>
  <c r="N67" i="131"/>
  <c r="P67" i="131"/>
  <c r="I62" i="131"/>
  <c r="D62" i="131"/>
  <c r="J62" i="131"/>
  <c r="E62" i="131"/>
  <c r="F62" i="131"/>
  <c r="C62" i="131"/>
  <c r="H62" i="131"/>
  <c r="K62" i="131"/>
  <c r="L62" i="131"/>
  <c r="M62" i="131"/>
  <c r="N62" i="131"/>
  <c r="P62" i="131"/>
  <c r="I63" i="131"/>
  <c r="D63" i="131"/>
  <c r="J63" i="131"/>
  <c r="E63" i="131"/>
  <c r="F63" i="131"/>
  <c r="C63" i="131"/>
  <c r="H63" i="131"/>
  <c r="K63" i="131"/>
  <c r="L63" i="131"/>
  <c r="M63" i="131"/>
  <c r="N63" i="131"/>
  <c r="P63" i="131"/>
  <c r="I64" i="131"/>
  <c r="D64" i="131"/>
  <c r="J64" i="131"/>
  <c r="E64" i="131"/>
  <c r="F64" i="131"/>
  <c r="C64" i="131"/>
  <c r="H64" i="131"/>
  <c r="K64" i="131"/>
  <c r="L64" i="131"/>
  <c r="M64" i="131"/>
  <c r="N64" i="131"/>
  <c r="P64" i="131"/>
  <c r="I57" i="131"/>
  <c r="D57" i="131"/>
  <c r="J57" i="131"/>
  <c r="E57" i="131"/>
  <c r="F57" i="131"/>
  <c r="C57" i="131"/>
  <c r="H57" i="131"/>
  <c r="K57" i="131"/>
  <c r="L57" i="131"/>
  <c r="M57" i="131"/>
  <c r="N57" i="131"/>
  <c r="P57" i="131"/>
  <c r="I58" i="131"/>
  <c r="D58" i="131"/>
  <c r="J58" i="131"/>
  <c r="E58" i="131"/>
  <c r="F58" i="131"/>
  <c r="C58" i="131"/>
  <c r="H58" i="131"/>
  <c r="K58" i="131"/>
  <c r="L58" i="131"/>
  <c r="M58" i="131"/>
  <c r="N58" i="131"/>
  <c r="P58" i="131"/>
  <c r="I59" i="131"/>
  <c r="D59" i="131"/>
  <c r="J59" i="131"/>
  <c r="E59" i="131"/>
  <c r="F59" i="131"/>
  <c r="C59" i="131"/>
  <c r="H59" i="131"/>
  <c r="K59" i="131"/>
  <c r="L59" i="131"/>
  <c r="M59" i="131"/>
  <c r="N59" i="131"/>
  <c r="P59" i="131"/>
  <c r="I60" i="131"/>
  <c r="D60" i="131"/>
  <c r="J60" i="131"/>
  <c r="E60" i="131"/>
  <c r="F60" i="131"/>
  <c r="C60" i="131"/>
  <c r="H60" i="131"/>
  <c r="K60" i="131"/>
  <c r="L60" i="131"/>
  <c r="M60" i="131"/>
  <c r="N60" i="131"/>
  <c r="P60" i="131"/>
  <c r="I61" i="131"/>
  <c r="D61" i="131"/>
  <c r="J61" i="131"/>
  <c r="E61" i="131"/>
  <c r="F61" i="131"/>
  <c r="C61" i="131"/>
  <c r="H61" i="131"/>
  <c r="K61" i="131"/>
  <c r="L61" i="131"/>
  <c r="M61" i="131"/>
  <c r="N61" i="131"/>
  <c r="P61" i="131"/>
  <c r="I54" i="131"/>
  <c r="D54" i="131"/>
  <c r="J54" i="131"/>
  <c r="E54" i="131"/>
  <c r="F54" i="131"/>
  <c r="C54" i="131"/>
  <c r="H54" i="131"/>
  <c r="K54" i="131"/>
  <c r="L54" i="131"/>
  <c r="M54" i="131"/>
  <c r="N54" i="131"/>
  <c r="P54" i="131"/>
  <c r="I55" i="131"/>
  <c r="D55" i="131"/>
  <c r="J55" i="131"/>
  <c r="E55" i="131"/>
  <c r="F55" i="131"/>
  <c r="C55" i="131"/>
  <c r="H55" i="131"/>
  <c r="K55" i="131"/>
  <c r="L55" i="131"/>
  <c r="M55" i="131"/>
  <c r="N55" i="131"/>
  <c r="P55" i="131"/>
  <c r="I56" i="131"/>
  <c r="D56" i="131"/>
  <c r="J56" i="131"/>
  <c r="E56" i="131"/>
  <c r="F56" i="131"/>
  <c r="C56" i="131"/>
  <c r="H56" i="131"/>
  <c r="K56" i="131"/>
  <c r="L56" i="131"/>
  <c r="M56" i="131"/>
  <c r="N56" i="131"/>
  <c r="P56" i="131"/>
  <c r="I51" i="131"/>
  <c r="D51" i="131"/>
  <c r="J51" i="131"/>
  <c r="E51" i="131"/>
  <c r="F51" i="131"/>
  <c r="C51" i="131"/>
  <c r="H51" i="131"/>
  <c r="K51" i="131"/>
  <c r="L51" i="131"/>
  <c r="M51" i="131"/>
  <c r="N51" i="131"/>
  <c r="P51" i="131"/>
  <c r="I52" i="131"/>
  <c r="D52" i="131"/>
  <c r="J52" i="131"/>
  <c r="E52" i="131"/>
  <c r="F52" i="131"/>
  <c r="C52" i="131"/>
  <c r="H52" i="131"/>
  <c r="K52" i="131"/>
  <c r="L52" i="131"/>
  <c r="M52" i="131"/>
  <c r="N52" i="131"/>
  <c r="P52" i="131"/>
  <c r="I53" i="131"/>
  <c r="D53" i="131"/>
  <c r="J53" i="131"/>
  <c r="E53" i="131"/>
  <c r="F53" i="131"/>
  <c r="C53" i="131"/>
  <c r="H53" i="131"/>
  <c r="K53" i="131"/>
  <c r="L53" i="131"/>
  <c r="M53" i="131"/>
  <c r="N53" i="131"/>
  <c r="P53" i="131"/>
  <c r="I48" i="131"/>
  <c r="D48" i="131"/>
  <c r="J48" i="131"/>
  <c r="E48" i="131"/>
  <c r="F48" i="131"/>
  <c r="C48" i="131"/>
  <c r="H48" i="131"/>
  <c r="K48" i="131"/>
  <c r="L48" i="131"/>
  <c r="M48" i="131"/>
  <c r="N48" i="131"/>
  <c r="P48" i="131"/>
  <c r="I49" i="131"/>
  <c r="D49" i="131"/>
  <c r="J49" i="131"/>
  <c r="E49" i="131"/>
  <c r="F49" i="131"/>
  <c r="C49" i="131"/>
  <c r="H49" i="131"/>
  <c r="K49" i="131"/>
  <c r="L49" i="131"/>
  <c r="M49" i="131"/>
  <c r="N49" i="131"/>
  <c r="P49" i="131"/>
  <c r="I50" i="131"/>
  <c r="D50" i="131"/>
  <c r="J50" i="131"/>
  <c r="E50" i="131"/>
  <c r="F50" i="131"/>
  <c r="C50" i="131"/>
  <c r="H50" i="131"/>
  <c r="K50" i="131"/>
  <c r="L50" i="131"/>
  <c r="M50" i="131"/>
  <c r="N50" i="131"/>
  <c r="P50" i="131"/>
  <c r="I47" i="131"/>
  <c r="D47" i="131"/>
  <c r="J47" i="131"/>
  <c r="E47" i="131"/>
  <c r="F47" i="131"/>
  <c r="C47" i="131"/>
  <c r="H47" i="131"/>
  <c r="K47" i="131"/>
  <c r="L47" i="131"/>
  <c r="M47" i="131"/>
  <c r="N47" i="131"/>
  <c r="P47" i="131"/>
  <c r="I46" i="131"/>
  <c r="D46" i="131"/>
  <c r="J46" i="131"/>
  <c r="E46" i="131"/>
  <c r="F46" i="131"/>
  <c r="C46" i="131"/>
  <c r="H46" i="131"/>
  <c r="K46" i="131"/>
  <c r="L46" i="131"/>
  <c r="M46" i="131"/>
  <c r="N46" i="131"/>
  <c r="P46" i="131"/>
  <c r="I2" i="131"/>
  <c r="E2" i="131"/>
  <c r="I4" i="131"/>
  <c r="E4" i="131"/>
  <c r="E6" i="131"/>
  <c r="E7" i="131"/>
  <c r="I8" i="131"/>
  <c r="E8" i="131"/>
  <c r="I9" i="131"/>
  <c r="E9" i="131"/>
  <c r="E10" i="131"/>
  <c r="E12" i="131"/>
  <c r="I14" i="131"/>
  <c r="E14" i="131"/>
  <c r="I15" i="131"/>
  <c r="E15" i="131"/>
  <c r="E16" i="131"/>
  <c r="E18" i="131"/>
  <c r="E19" i="131"/>
  <c r="E20" i="131"/>
  <c r="E22" i="131"/>
  <c r="E23" i="131"/>
  <c r="E24" i="131"/>
  <c r="E25" i="131"/>
  <c r="I26" i="131"/>
  <c r="E26" i="131"/>
  <c r="I27" i="131"/>
  <c r="E27" i="131"/>
  <c r="I28" i="131"/>
  <c r="E28" i="131"/>
  <c r="I29" i="131"/>
  <c r="E29" i="131"/>
  <c r="I30" i="131"/>
  <c r="E30" i="131"/>
  <c r="I31" i="131"/>
  <c r="E31" i="131"/>
  <c r="E32" i="131"/>
  <c r="I33" i="131"/>
  <c r="E33" i="131"/>
  <c r="I34" i="131"/>
  <c r="E34" i="131"/>
  <c r="I35" i="131"/>
  <c r="E35" i="131"/>
  <c r="I36" i="131"/>
  <c r="E36" i="131"/>
  <c r="I37" i="131"/>
  <c r="E37" i="131"/>
  <c r="I38" i="131"/>
  <c r="E38" i="131"/>
  <c r="I39" i="131"/>
  <c r="E39" i="131"/>
  <c r="I40" i="131"/>
  <c r="E40" i="131"/>
  <c r="I41" i="131"/>
  <c r="E41" i="131"/>
  <c r="I42" i="131"/>
  <c r="E42" i="131"/>
  <c r="I43" i="131"/>
  <c r="E43" i="131"/>
  <c r="I44" i="131"/>
  <c r="E44" i="131"/>
  <c r="I45" i="131"/>
  <c r="E45" i="131"/>
  <c r="D2" i="131"/>
  <c r="D4" i="131"/>
  <c r="I6" i="131"/>
  <c r="D6" i="131"/>
  <c r="I7" i="131"/>
  <c r="D7" i="131"/>
  <c r="D8" i="131"/>
  <c r="D9" i="131"/>
  <c r="I10" i="131"/>
  <c r="D10" i="131"/>
  <c r="I12" i="131"/>
  <c r="D12" i="131"/>
  <c r="D14" i="131"/>
  <c r="D15" i="131"/>
  <c r="I16" i="131"/>
  <c r="D16" i="131"/>
  <c r="I18" i="131"/>
  <c r="D18" i="131"/>
  <c r="I19" i="131"/>
  <c r="D19" i="131"/>
  <c r="I20" i="131"/>
  <c r="D20" i="131"/>
  <c r="I22" i="131"/>
  <c r="D22" i="131"/>
  <c r="I23" i="131"/>
  <c r="D23" i="131"/>
  <c r="I24" i="131"/>
  <c r="D24" i="131"/>
  <c r="I25" i="131"/>
  <c r="D25" i="131"/>
  <c r="D26" i="131"/>
  <c r="D27" i="131"/>
  <c r="D28" i="131"/>
  <c r="D29" i="131"/>
  <c r="D30" i="131"/>
  <c r="D31" i="131"/>
  <c r="I32" i="131"/>
  <c r="D32" i="131"/>
  <c r="D33" i="131"/>
  <c r="D34" i="131"/>
  <c r="D35" i="131"/>
  <c r="D36" i="131"/>
  <c r="D37" i="131"/>
  <c r="D38" i="131"/>
  <c r="D39" i="131"/>
  <c r="D40" i="131"/>
  <c r="D41" i="131"/>
  <c r="D42" i="131"/>
  <c r="D43" i="131"/>
  <c r="D44" i="131"/>
  <c r="D45" i="131"/>
  <c r="J43" i="131"/>
  <c r="F43" i="131"/>
  <c r="C43" i="131"/>
  <c r="H43" i="131"/>
  <c r="K43" i="131"/>
  <c r="L43" i="131"/>
  <c r="M43" i="131"/>
  <c r="N43" i="131"/>
  <c r="P43" i="131"/>
  <c r="J44" i="131"/>
  <c r="F44" i="131"/>
  <c r="C44" i="131"/>
  <c r="H44" i="131"/>
  <c r="K44" i="131"/>
  <c r="L44" i="131"/>
  <c r="M44" i="131"/>
  <c r="N44" i="131"/>
  <c r="P44" i="131"/>
  <c r="J45" i="131"/>
  <c r="F45" i="131"/>
  <c r="C45" i="131"/>
  <c r="H45" i="131"/>
  <c r="K45" i="131"/>
  <c r="L45" i="131"/>
  <c r="M45" i="131"/>
  <c r="N45" i="131"/>
  <c r="P45" i="131"/>
  <c r="J40" i="131"/>
  <c r="F40" i="131"/>
  <c r="C40" i="131"/>
  <c r="H40" i="131"/>
  <c r="K40" i="131"/>
  <c r="L40" i="131"/>
  <c r="M40" i="131"/>
  <c r="N40" i="131"/>
  <c r="P40" i="131"/>
  <c r="J41" i="131"/>
  <c r="F41" i="131"/>
  <c r="C41" i="131"/>
  <c r="H41" i="131"/>
  <c r="K41" i="131"/>
  <c r="L41" i="131"/>
  <c r="M41" i="131"/>
  <c r="N41" i="131"/>
  <c r="P41" i="131"/>
  <c r="J42" i="131"/>
  <c r="F42" i="131"/>
  <c r="C42" i="131"/>
  <c r="H42" i="131"/>
  <c r="K42" i="131"/>
  <c r="L42" i="131"/>
  <c r="M42" i="131"/>
  <c r="N42" i="131"/>
  <c r="P42" i="131"/>
  <c r="J38" i="131"/>
  <c r="F38" i="131"/>
  <c r="C38" i="131"/>
  <c r="H38" i="131"/>
  <c r="K38" i="131"/>
  <c r="L38" i="131"/>
  <c r="M38" i="131"/>
  <c r="N38" i="131"/>
  <c r="P38" i="131"/>
  <c r="J39" i="131"/>
  <c r="F39" i="131"/>
  <c r="C39" i="131"/>
  <c r="H39" i="131"/>
  <c r="K39" i="131"/>
  <c r="L39" i="131"/>
  <c r="M39" i="131"/>
  <c r="N39" i="131"/>
  <c r="P39" i="131"/>
  <c r="C3" i="103"/>
  <c r="P37" i="131"/>
  <c r="N37" i="131"/>
  <c r="M37" i="131"/>
  <c r="L37" i="131"/>
  <c r="K37" i="131"/>
  <c r="J37" i="131"/>
  <c r="H37" i="131"/>
  <c r="F37" i="131"/>
  <c r="C37" i="131"/>
  <c r="P36" i="131"/>
  <c r="N36" i="131"/>
  <c r="M36" i="131"/>
  <c r="L36" i="131"/>
  <c r="K36" i="131"/>
  <c r="J36" i="131"/>
  <c r="H36" i="131"/>
  <c r="F36" i="131"/>
  <c r="C36" i="131"/>
  <c r="J33" i="131"/>
  <c r="F33" i="131"/>
  <c r="C33" i="131"/>
  <c r="H33" i="131"/>
  <c r="K33" i="131"/>
  <c r="L33" i="131"/>
  <c r="M33" i="131"/>
  <c r="N33" i="131"/>
  <c r="P33" i="131"/>
  <c r="J34" i="131"/>
  <c r="F34" i="131"/>
  <c r="C34" i="131"/>
  <c r="H34" i="131"/>
  <c r="K34" i="131"/>
  <c r="L34" i="131"/>
  <c r="M34" i="131"/>
  <c r="N34" i="131"/>
  <c r="P34" i="131"/>
  <c r="J35" i="131"/>
  <c r="F35" i="131"/>
  <c r="C35" i="131"/>
  <c r="H35" i="131"/>
  <c r="K35" i="131"/>
  <c r="L35" i="131"/>
  <c r="M35" i="131"/>
  <c r="N35" i="131"/>
  <c r="P35" i="131"/>
  <c r="J31" i="131"/>
  <c r="F31" i="131"/>
  <c r="C31" i="131"/>
  <c r="H31" i="131"/>
  <c r="K31" i="131"/>
  <c r="L31" i="131"/>
  <c r="M31" i="131"/>
  <c r="N31" i="131"/>
  <c r="P31" i="131"/>
  <c r="J32" i="131"/>
  <c r="F32" i="131"/>
  <c r="C32" i="131"/>
  <c r="H32" i="131"/>
  <c r="K32" i="131"/>
  <c r="L32" i="131"/>
  <c r="M32" i="131"/>
  <c r="N32" i="131"/>
  <c r="P32" i="131"/>
  <c r="J22" i="131"/>
  <c r="F22" i="131"/>
  <c r="C22" i="131"/>
  <c r="H22" i="131"/>
  <c r="K22" i="131"/>
  <c r="L22" i="131"/>
  <c r="M22" i="131"/>
  <c r="N22" i="131"/>
  <c r="P22" i="131"/>
  <c r="J23" i="131"/>
  <c r="F23" i="131"/>
  <c r="C23" i="131"/>
  <c r="H23" i="131"/>
  <c r="K23" i="131"/>
  <c r="L23" i="131"/>
  <c r="M23" i="131"/>
  <c r="N23" i="131"/>
  <c r="P23" i="131"/>
  <c r="J24" i="131"/>
  <c r="F24" i="131"/>
  <c r="C24" i="131"/>
  <c r="H24" i="131"/>
  <c r="K24" i="131"/>
  <c r="L24" i="131"/>
  <c r="M24" i="131"/>
  <c r="N24" i="131"/>
  <c r="P24" i="131"/>
  <c r="J25" i="131"/>
  <c r="F25" i="131"/>
  <c r="C25" i="131"/>
  <c r="H25" i="131"/>
  <c r="K25" i="131"/>
  <c r="L25" i="131"/>
  <c r="M25" i="131"/>
  <c r="N25" i="131"/>
  <c r="P25" i="131"/>
  <c r="J2" i="131"/>
  <c r="F2" i="131"/>
  <c r="C2" i="131"/>
  <c r="J4" i="131"/>
  <c r="F4" i="131"/>
  <c r="C4" i="131"/>
  <c r="J6" i="131"/>
  <c r="F6" i="131"/>
  <c r="C6" i="131"/>
  <c r="J7" i="131"/>
  <c r="F7" i="131"/>
  <c r="C7" i="131"/>
  <c r="J8" i="131"/>
  <c r="F8" i="131"/>
  <c r="C8" i="131"/>
  <c r="J9" i="131"/>
  <c r="F9" i="131"/>
  <c r="C9" i="131"/>
  <c r="J10" i="131"/>
  <c r="F10" i="131"/>
  <c r="C10" i="131"/>
  <c r="J12" i="131"/>
  <c r="F12" i="131"/>
  <c r="C12" i="131"/>
  <c r="J14" i="131"/>
  <c r="F14" i="131"/>
  <c r="C14" i="131"/>
  <c r="J15" i="131"/>
  <c r="F15" i="131"/>
  <c r="C15" i="131"/>
  <c r="J16" i="131"/>
  <c r="F16" i="131"/>
  <c r="C16" i="131"/>
  <c r="J18" i="131"/>
  <c r="F18" i="131"/>
  <c r="C18" i="131"/>
  <c r="J19" i="131"/>
  <c r="F19" i="131"/>
  <c r="C19" i="131"/>
  <c r="J20" i="131"/>
  <c r="F20" i="131"/>
  <c r="C20" i="131"/>
  <c r="J26" i="131"/>
  <c r="F26" i="131"/>
  <c r="C26" i="131"/>
  <c r="J27" i="131"/>
  <c r="F27" i="131"/>
  <c r="C27" i="131"/>
  <c r="J28" i="131"/>
  <c r="F28" i="131"/>
  <c r="C28" i="131"/>
  <c r="J29" i="131"/>
  <c r="F29" i="131"/>
  <c r="C29" i="131"/>
  <c r="J30" i="131"/>
  <c r="F30" i="131"/>
  <c r="C30" i="131"/>
  <c r="H30" i="131"/>
  <c r="K30" i="131"/>
  <c r="L30" i="131"/>
  <c r="M30" i="131"/>
  <c r="N30" i="131"/>
  <c r="P30" i="131"/>
  <c r="H28" i="131"/>
  <c r="K28" i="131"/>
  <c r="L28" i="131"/>
  <c r="M28" i="131"/>
  <c r="N28" i="131"/>
  <c r="P28" i="131"/>
  <c r="H29" i="131"/>
  <c r="K29" i="131"/>
  <c r="L29" i="131"/>
  <c r="M29" i="131"/>
  <c r="N29" i="131"/>
  <c r="P29" i="131"/>
  <c r="H26" i="131"/>
  <c r="K26" i="131"/>
  <c r="L26" i="131"/>
  <c r="M26" i="131"/>
  <c r="N26" i="131"/>
  <c r="P26" i="131"/>
  <c r="H27" i="131"/>
  <c r="K27" i="131"/>
  <c r="L27" i="131"/>
  <c r="M27" i="131"/>
  <c r="N27" i="131"/>
  <c r="P27" i="131"/>
  <c r="H19" i="131"/>
  <c r="K19" i="131"/>
  <c r="L19" i="131"/>
  <c r="M19" i="131"/>
  <c r="N19" i="131"/>
  <c r="P19" i="131"/>
  <c r="H20" i="131"/>
  <c r="K20" i="131"/>
  <c r="L20" i="131"/>
  <c r="M20" i="131"/>
  <c r="N20" i="131"/>
  <c r="P20" i="131"/>
  <c r="H16" i="131"/>
  <c r="K16" i="131"/>
  <c r="L16" i="131"/>
  <c r="M16" i="131"/>
  <c r="N16" i="131"/>
  <c r="P16" i="131"/>
  <c r="H18" i="131"/>
  <c r="K18" i="131"/>
  <c r="L18" i="131"/>
  <c r="M18" i="131"/>
  <c r="N18" i="131"/>
  <c r="P18" i="131"/>
  <c r="H15" i="131"/>
  <c r="H14" i="131"/>
  <c r="K14" i="131"/>
  <c r="L14" i="131"/>
  <c r="M14" i="131"/>
  <c r="N14" i="131"/>
  <c r="P14" i="131"/>
  <c r="K15" i="131"/>
  <c r="L15" i="131"/>
  <c r="M15" i="131"/>
  <c r="N15" i="131"/>
  <c r="P15" i="131"/>
  <c r="H10" i="131"/>
  <c r="K10" i="131"/>
  <c r="L10" i="131"/>
  <c r="M10" i="131"/>
  <c r="N10" i="131"/>
  <c r="P10" i="131"/>
  <c r="H12" i="131"/>
  <c r="K12" i="131"/>
  <c r="L12" i="131"/>
  <c r="M12" i="131"/>
  <c r="N12" i="131"/>
  <c r="P12" i="131"/>
  <c r="H8" i="131"/>
  <c r="K8" i="131"/>
  <c r="L8" i="131"/>
  <c r="M8" i="131"/>
  <c r="N8" i="131"/>
  <c r="P8" i="131"/>
  <c r="H9" i="131"/>
  <c r="K9" i="131"/>
  <c r="L9" i="131"/>
  <c r="M9" i="131"/>
  <c r="N9" i="131"/>
  <c r="P9" i="131"/>
  <c r="P7" i="131"/>
  <c r="N7" i="131"/>
  <c r="M7" i="131"/>
  <c r="L7" i="131"/>
  <c r="K7" i="131"/>
  <c r="H7" i="131"/>
  <c r="P6" i="131"/>
  <c r="N6" i="131"/>
  <c r="M6" i="131"/>
  <c r="L6" i="131"/>
  <c r="K6" i="131"/>
  <c r="H6" i="131"/>
  <c r="P4" i="131"/>
  <c r="N4" i="131"/>
  <c r="M4" i="131"/>
  <c r="L4" i="131"/>
  <c r="K4" i="131"/>
  <c r="H4" i="131"/>
  <c r="P2" i="131"/>
  <c r="N2" i="131"/>
  <c r="M2" i="131"/>
  <c r="L2" i="131"/>
  <c r="K2" i="131"/>
  <c r="H2" i="131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<sst xmlns="http://schemas.openxmlformats.org/spreadsheetml/2006/main" count="213" uniqueCount="146">
  <si>
    <t>character_id</t>
  </si>
  <si>
    <t>character_id</t>
    <phoneticPr fontId="17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</si>
  <si>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</si>
  <si>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</si>
  <si>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</si>
  <si>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</si>
  <si>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</si>
  <si>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</si>
  <si>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</si>
  <si>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7"/>
  </si>
  <si>
    <t>weight</t>
    <phoneticPr fontId="17"/>
  </si>
  <si>
    <t>gift_id</t>
    <phoneticPr fontId="17"/>
  </si>
  <si>
    <t>gift_id</t>
    <phoneticPr fontId="17"/>
  </si>
  <si>
    <t>gift_id</t>
    <phoneticPr fontId="17"/>
  </si>
  <si>
    <t>gift_value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</si>
  <si>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</si>
  <si>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</si>
  <si>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</si>
  <si>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</si>
  <si>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</si>
  <si>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</si>
  <si>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gift_type</t>
    <phoneticPr fontId="17"/>
  </si>
  <si>
    <t>備考</t>
    <rPh sb="0" eb="2">
      <t>ビコウ</t>
    </rPh>
    <phoneticPr fontId="17"/>
  </si>
  <si>
    <t>character_id</t>
    <phoneticPr fontId="17"/>
  </si>
  <si>
    <t>name</t>
    <phoneticPr fontId="17"/>
  </si>
  <si>
    <t>接頭語</t>
    <rPh sb="0" eb="3">
      <t>セットウゴ</t>
    </rPh>
    <phoneticPr fontId="50"/>
  </si>
  <si>
    <t>識別子</t>
    <rPh sb="0" eb="3">
      <t>シキベツシ</t>
    </rPh>
    <phoneticPr fontId="50"/>
  </si>
  <si>
    <t>形式</t>
    <rPh sb="0" eb="2">
      <t>ケイシキ</t>
    </rPh>
    <phoneticPr fontId="50"/>
  </si>
  <si>
    <t>出力ファイル名</t>
    <rPh sb="0" eb="2">
      <t>シュツリョク</t>
    </rPh>
    <rPh sb="6" eb="7">
      <t>メイ</t>
    </rPh>
    <phoneticPr fontId="50"/>
  </si>
  <si>
    <t>入力シート名</t>
    <rPh sb="0" eb="2">
      <t>ニュウリョク</t>
    </rPh>
    <rPh sb="5" eb="6">
      <t>メイ</t>
    </rPh>
    <phoneticPr fontId="50"/>
  </si>
  <si>
    <t>出力データ</t>
    <rPh sb="0" eb="2">
      <t>シュツリョク</t>
    </rPh>
    <phoneticPr fontId="50"/>
  </si>
  <si>
    <t>.tmp</t>
    <phoneticPr fontId="50"/>
  </si>
  <si>
    <t>.tmp</t>
    <phoneticPr fontId="50"/>
  </si>
  <si>
    <t>gacha_bonus_tables</t>
    <phoneticPr fontId="50"/>
  </si>
  <si>
    <t>gifts_tmp_</t>
    <phoneticPr fontId="17"/>
  </si>
  <si>
    <t>gifts_i18n_</t>
    <phoneticPr fontId="17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</si>
  <si>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7"/>
  </si>
  <si>
    <t>出力flg</t>
    <rPh sb="0" eb="2">
      <t>シュツリョク</t>
    </rPh>
    <phoneticPr fontId="50"/>
  </si>
  <si>
    <t>性別</t>
    <rPh sb="0" eb="2">
      <t>セイベツ</t>
    </rPh>
    <phoneticPr fontId="17"/>
  </si>
  <si>
    <t>ピックアップ確率</t>
    <rPh sb="6" eb="8">
      <t>カクリツ</t>
    </rPh>
    <phoneticPr fontId="17"/>
  </si>
  <si>
    <t>確率</t>
    <rPh sb="0" eb="2">
      <t>カクリツ</t>
    </rPh>
    <phoneticPr fontId="17"/>
  </si>
  <si>
    <t>名前</t>
    <rPh sb="0" eb="2">
      <t>ナマエ</t>
    </rPh>
    <phoneticPr fontId="17"/>
  </si>
  <si>
    <t>テーブルを増やしたい場合</t>
    <rPh sb="5" eb="6">
      <t>フ</t>
    </rPh>
    <rPh sb="10" eb="12">
      <t>バアイ</t>
    </rPh>
    <phoneticPr fontId="17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</si>
  <si>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7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</si>
  <si>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7"/>
  </si>
  <si>
    <t>３．outputシートで２で作ったtablesを指定する</t>
    <rPh sb="14" eb="15">
      <t>ツク</t>
    </rPh>
    <rPh sb="24" eb="26">
      <t>シテイ</t>
    </rPh>
    <phoneticPr fontId="17"/>
  </si>
  <si>
    <t>table_no</t>
    <phoneticPr fontId="17"/>
  </si>
  <si>
    <t>skill_level</t>
  </si>
  <si>
    <t>level</t>
  </si>
  <si>
    <t>gacha_select_tables_</t>
    <phoneticPr fontId="17"/>
  </si>
  <si>
    <t>ラベル確率で考えましょう</t>
    <rPh sb="6" eb="7">
      <t>カンガエマショウ</t>
    </rPh>
    <phoneticPr fontId="50"/>
  </si>
  <si>
    <t>ラベル</t>
    <phoneticPr fontId="50"/>
  </si>
  <si>
    <t>レアリティ</t>
    <phoneticPr fontId="50"/>
  </si>
  <si>
    <t>{W}</t>
    <phoneticPr fontId="50"/>
  </si>
  <si>
    <t>{N,S}</t>
    <phoneticPr fontId="50"/>
  </si>
  <si>
    <t>{N,S}R3less</t>
    <phoneticPr fontId="50"/>
  </si>
  <si>
    <t>{N,S}R6release</t>
    <phoneticPr fontId="50"/>
  </si>
  <si>
    <t>{SS}</t>
    <phoneticPr fontId="50"/>
  </si>
  <si>
    <t>{SS}R6only</t>
    <phoneticPr fontId="50"/>
  </si>
  <si>
    <t>小計</t>
    <rPh sb="0" eb="2">
      <t>ショウケイ</t>
    </rPh>
    <phoneticPr fontId="50"/>
  </si>
  <si>
    <t>A</t>
    <phoneticPr fontId="50"/>
  </si>
  <si>
    <t>C</t>
    <phoneticPr fontId="50"/>
  </si>
  <si>
    <t>H</t>
    <phoneticPr fontId="50"/>
  </si>
  <si>
    <t>B</t>
    <phoneticPr fontId="50"/>
  </si>
  <si>
    <t>D</t>
    <phoneticPr fontId="50"/>
  </si>
  <si>
    <t>F</t>
    <phoneticPr fontId="50"/>
  </si>
  <si>
    <t>I</t>
    <phoneticPr fontId="50"/>
  </si>
  <si>
    <t>K</t>
    <phoneticPr fontId="50"/>
  </si>
  <si>
    <t>E</t>
    <phoneticPr fontId="50"/>
  </si>
  <si>
    <t>G</t>
    <phoneticPr fontId="50"/>
  </si>
  <si>
    <t>J</t>
    <phoneticPr fontId="50"/>
  </si>
  <si>
    <t>L</t>
    <phoneticPr fontId="50"/>
  </si>
  <si>
    <t>M</t>
    <phoneticPr fontId="50"/>
  </si>
  <si>
    <t>→</t>
    <phoneticPr fontId="50"/>
  </si>
  <si>
    <t>1-SS率</t>
    <rPh sb="4" eb="5">
      <t>リツ</t>
    </rPh>
    <phoneticPr fontId="50"/>
  </si>
  <si>
    <t>SS率</t>
    <rPh sb="2" eb="3">
      <t>リツ</t>
    </rPh>
    <phoneticPr fontId="50"/>
  </si>
  <si>
    <t>考え方を変える</t>
    <rPh sb="0" eb="1">
      <t>カンガエカタ</t>
    </rPh>
    <rPh sb="4" eb="5">
      <t>カエル</t>
    </rPh>
    <phoneticPr fontId="50"/>
  </si>
  <si>
    <t>SS4%は確定事項</t>
    <rPh sb="5" eb="7">
      <t>カクテイ</t>
    </rPh>
    <rPh sb="7" eb="9">
      <t>ジコウ</t>
    </rPh>
    <phoneticPr fontId="50"/>
  </si>
  <si>
    <t>当たりは分配</t>
    <rPh sb="0" eb="1">
      <t>アタリ</t>
    </rPh>
    <rPh sb="4" eb="6">
      <t>ブンパイ</t>
    </rPh>
    <phoneticPr fontId="50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</si>
  <si>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0"/>
  </si>
  <si>
    <t>=</t>
    <phoneticPr fontId="50"/>
  </si>
  <si>
    <t>X*{SS R5only}</t>
    <phoneticPr fontId="50"/>
  </si>
  <si>
    <t>K</t>
    <phoneticPr fontId="50"/>
  </si>
  <si>
    <t>=</t>
    <phoneticPr fontId="50"/>
  </si>
  <si>
    <t>X*{SS}*(R3率+R4率)</t>
    <rPh sb="10" eb="11">
      <t>リツ</t>
    </rPh>
    <rPh sb="14" eb="15">
      <t>リツ</t>
    </rPh>
    <phoneticPr fontId="50"/>
  </si>
  <si>
    <t>L</t>
    <phoneticPr fontId="50"/>
  </si>
  <si>
    <t>X*{SS}*R5率</t>
    <rPh sb="9" eb="10">
      <t>リツ</t>
    </rPh>
    <phoneticPr fontId="50"/>
  </si>
  <si>
    <t>X*{R6release}*R3率</t>
    <rPh sb="16" eb="17">
      <t>リツ</t>
    </rPh>
    <phoneticPr fontId="50"/>
  </si>
  <si>
    <t>X*{R6release}*R4率</t>
    <rPh sb="16" eb="17">
      <t>リツ</t>
    </rPh>
    <phoneticPr fontId="50"/>
  </si>
  <si>
    <t>J</t>
    <phoneticPr fontId="50"/>
  </si>
  <si>
    <t>X*{R6release}*R5率</t>
    <rPh sb="16" eb="17">
      <t>リツ</t>
    </rPh>
    <phoneticPr fontId="50"/>
  </si>
  <si>
    <t>ハズレで確率を整える</t>
    <rPh sb="4" eb="6">
      <t>カクリツ</t>
    </rPh>
    <rPh sb="7" eb="8">
      <t>トトノエル</t>
    </rPh>
    <phoneticPr fontId="50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</si>
  <si>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0"/>
  </si>
  <si>
    <t>A + C</t>
    <phoneticPr fontId="50"/>
  </si>
  <si>
    <t>=</t>
    <phoneticPr fontId="50"/>
  </si>
  <si>
    <t>50%-H</t>
    <phoneticPr fontId="50"/>
  </si>
  <si>
    <t>①</t>
    <phoneticPr fontId="50"/>
  </si>
  <si>
    <t>B + D + F</t>
    <phoneticPr fontId="50"/>
  </si>
  <si>
    <t>45%-I-K</t>
    <phoneticPr fontId="50"/>
  </si>
  <si>
    <t>②</t>
    <phoneticPr fontId="50"/>
  </si>
  <si>
    <t>E+G</t>
    <phoneticPr fontId="50"/>
  </si>
  <si>
    <t>5%-J-L-M</t>
    <phoneticPr fontId="50"/>
  </si>
  <si>
    <t>③</t>
    <phoneticPr fontId="50"/>
  </si>
  <si>
    <t>A+B</t>
    <phoneticPr fontId="50"/>
  </si>
  <si>
    <t>Y*{W}</t>
    <phoneticPr fontId="50"/>
  </si>
  <si>
    <t>④</t>
    <phoneticPr fontId="50"/>
  </si>
  <si>
    <t>C+D+E</t>
    <phoneticPr fontId="50"/>
  </si>
  <si>
    <t>Y*{N,S}</t>
    <phoneticPr fontId="50"/>
  </si>
  <si>
    <t>⑤</t>
    <phoneticPr fontId="50"/>
  </si>
  <si>
    <t>F+G</t>
    <phoneticPr fontId="50"/>
  </si>
  <si>
    <t>Y*{N,S R3less}</t>
    <phoneticPr fontId="50"/>
  </si>
  <si>
    <t>⑥</t>
    <phoneticPr fontId="50"/>
  </si>
  <si>
    <t>A+B+C+D+E+F+G</t>
    <phoneticPr fontId="50"/>
  </si>
  <si>
    <t>⑦</t>
    <phoneticPr fontId="50"/>
  </si>
  <si>
    <t>←これは4,5,6で作れるのでダメだわ</t>
    <rPh sb="10" eb="11">
      <t>ツクレル</t>
    </rPh>
    <phoneticPr fontId="50"/>
  </si>
  <si>
    <t>E*R3率/R5率</t>
    <rPh sb="4" eb="5">
      <t>リツ</t>
    </rPh>
    <rPh sb="8" eb="9">
      <t>リツ</t>
    </rPh>
    <phoneticPr fontId="50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</si>
  <si>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0"/>
  </si>
  <si>
    <t>E*R4率/R5率</t>
    <rPh sb="4" eb="5">
      <t>リツ</t>
    </rPh>
    <rPh sb="8" eb="9">
      <t>リツ</t>
    </rPh>
    <phoneticPr fontId="50"/>
  </si>
  <si>
    <t>∴</t>
    <phoneticPr fontId="50"/>
  </si>
  <si>
    <t>E</t>
    <phoneticPr fontId="50"/>
  </si>
  <si>
    <t>Y*{N,S}*R5率</t>
    <rPh sb="10" eb="11">
      <t>リツ</t>
    </rPh>
    <phoneticPr fontId="50"/>
  </si>
  <si>
    <t>Y*{N,S}*R4率</t>
    <rPh sb="10" eb="11">
      <t>リツ</t>
    </rPh>
    <phoneticPr fontId="50"/>
  </si>
  <si>
    <t>Y*{N,S}*R3率</t>
    <rPh sb="10" eb="11">
      <t>リツ</t>
    </rPh>
    <phoneticPr fontId="50"/>
  </si>
  <si>
    <t>50%-H-C</t>
    <phoneticPr fontId="50"/>
  </si>
  <si>
    <t>Y*{W}-A</t>
    <phoneticPr fontId="50"/>
  </si>
  <si>
    <t>5%-J-L-M-E</t>
    <phoneticPr fontId="50"/>
  </si>
  <si>
    <t>Y*{N,S R3less} - G</t>
    <phoneticPr fontId="50"/>
  </si>
  <si>
    <t>R6境界前後</t>
    <rPh sb="2" eb="4">
      <t>キョウカイ</t>
    </rPh>
    <rPh sb="4" eb="6">
      <t>ゼンゴ</t>
    </rPh>
    <phoneticPr fontId="17"/>
  </si>
  <si>
    <t>R6事後開放N,S</t>
    <rPh sb="2" eb="6">
      <t>ジゴカイホウ</t>
    </rPh>
    <phoneticPr fontId="17"/>
  </si>
  <si>
    <t>skip</t>
    <phoneticPr fontId="17"/>
  </si>
  <si>
    <t>hogehoge</t>
    <phoneticPr fontId="17"/>
  </si>
  <si>
    <t>gacha_settle_tables_</t>
    <phoneticPr fontId="17"/>
  </si>
  <si>
    <t>table_no</t>
    <phoneticPr fontId="17"/>
  </si>
  <si>
    <t>drop_label2</t>
    <phoneticPr fontId="17"/>
  </si>
  <si>
    <t>color2</t>
    <phoneticPr fontId="17"/>
  </si>
  <si>
    <t>name</t>
    <phoneticPr fontId="17"/>
  </si>
  <si>
    <t>drop_label</t>
    <phoneticPr fontId="17"/>
  </si>
  <si>
    <t>rare</t>
    <phoneticPr fontId="17"/>
  </si>
  <si>
    <t>color</t>
    <phoneticPr fontId="17"/>
  </si>
  <si>
    <t>character_type_id</t>
    <phoneticPr fontId="17"/>
  </si>
  <si>
    <t>character_tribe_id</t>
    <phoneticPr fontId="17"/>
  </si>
  <si>
    <t>weight</t>
    <phoneticPr fontId="17"/>
  </si>
  <si>
    <t>unit_level</t>
    <phoneticPr fontId="17"/>
  </si>
  <si>
    <t>old</t>
    <phoneticPr fontId="17"/>
  </si>
  <si>
    <t>tables_settle_7226100</t>
    <phoneticPr fontId="17"/>
  </si>
  <si>
    <t>tables_7226100</t>
    <phoneticPr fontId="1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</si>
</sst>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3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5">
    <xf numFmtId="0" fontId="0" fillId="0" borderId="0"/>
    <xf numFmtId="0" fontId="16" fillId="0" borderId="0"/>
    <xf numFmtId="0" fontId="20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5" fillId="0" borderId="0"/>
    <xf numFmtId="0" fontId="27" fillId="5" borderId="2" applyNumberFormat="0" applyAlignment="0" applyProtection="0"/>
    <xf numFmtId="0" fontId="28" fillId="6" borderId="0" applyNumberFormat="0" applyBorder="0" applyAlignment="0" applyProtection="0"/>
    <xf numFmtId="0" fontId="29" fillId="7" borderId="3" applyNumberFormat="0" applyAlignment="0" applyProtection="0"/>
    <xf numFmtId="0" fontId="30" fillId="0" borderId="0" applyNumberFormat="0" applyFill="0" applyBorder="0" applyAlignment="0" applyProtection="0"/>
    <xf numFmtId="0" fontId="31" fillId="8" borderId="0" applyNumberFormat="0" applyBorder="0" applyAlignment="0" applyProtection="0"/>
    <xf numFmtId="0" fontId="32" fillId="9" borderId="4" applyNumberFormat="0" applyAlignment="0" applyProtection="0"/>
    <xf numFmtId="0" fontId="33" fillId="0" borderId="0" applyNumberFormat="0" applyFill="0" applyBorder="0" applyAlignment="0" applyProtection="0"/>
    <xf numFmtId="0" fontId="34" fillId="0" borderId="5" applyNumberFormat="0" applyFill="0" applyAlignment="0" applyProtection="0"/>
    <xf numFmtId="0" fontId="35" fillId="0" borderId="6" applyNumberFormat="0" applyFill="0" applyAlignment="0" applyProtection="0"/>
    <xf numFmtId="0" fontId="36" fillId="0" borderId="7" applyNumberFormat="0" applyFill="0" applyAlignment="0" applyProtection="0"/>
    <xf numFmtId="0" fontId="36" fillId="0" borderId="0" applyNumberFormat="0" applyFill="0" applyBorder="0" applyAlignment="0" applyProtection="0"/>
    <xf numFmtId="0" fontId="37" fillId="7" borderId="0" applyNumberFormat="0" applyBorder="0" applyAlignment="0" applyProtection="0"/>
    <xf numFmtId="0" fontId="37" fillId="6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1" borderId="0" applyNumberFormat="0" applyBorder="0" applyAlignment="0" applyProtection="0"/>
    <xf numFmtId="0" fontId="37" fillId="5" borderId="0" applyNumberFormat="0" applyBorder="0" applyAlignment="0" applyProtection="0"/>
    <xf numFmtId="0" fontId="37" fillId="7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3" borderId="0" applyNumberFormat="0" applyBorder="0" applyAlignment="0" applyProtection="0"/>
    <xf numFmtId="0" fontId="37" fillId="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4" borderId="0" applyNumberFormat="0" applyBorder="0" applyAlignment="0" applyProtection="0"/>
    <xf numFmtId="0" fontId="38" fillId="6" borderId="0" applyNumberFormat="0" applyBorder="0" applyAlignment="0" applyProtection="0"/>
    <xf numFmtId="0" fontId="30" fillId="0" borderId="0" applyNumberFormat="0" applyFill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0" borderId="0" applyNumberFormat="0" applyBorder="0" applyAlignment="0" applyProtection="0"/>
    <xf numFmtId="0" fontId="38" fillId="1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9" fillId="17" borderId="0" applyNumberFormat="0" applyBorder="0" applyAlignment="0" applyProtection="0"/>
    <xf numFmtId="0" fontId="28" fillId="6" borderId="0" applyNumberFormat="0" applyBorder="0" applyAlignment="0" applyProtection="0"/>
    <xf numFmtId="0" fontId="40" fillId="0" borderId="8" applyNumberFormat="0" applyFill="0" applyAlignment="0" applyProtection="0"/>
    <xf numFmtId="0" fontId="41" fillId="7" borderId="9" applyNumberFormat="0" applyAlignment="0" applyProtection="0"/>
    <xf numFmtId="0" fontId="41" fillId="18" borderId="9" applyNumberFormat="0" applyAlignment="0" applyProtection="0"/>
    <xf numFmtId="0" fontId="29" fillId="6" borderId="3" applyNumberFormat="0" applyAlignment="0" applyProtection="0"/>
    <xf numFmtId="0" fontId="42" fillId="0" borderId="10" applyNumberFormat="0" applyFill="0" applyAlignment="0" applyProtection="0"/>
    <xf numFmtId="0" fontId="43" fillId="18" borderId="3" applyNumberFormat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11" applyNumberFormat="0" applyFill="0" applyAlignment="0" applyProtection="0"/>
    <xf numFmtId="38" fontId="15" fillId="0" borderId="0" applyFont="0" applyFill="0" applyBorder="0" applyAlignment="0" applyProtection="0">
      <alignment vertical="center"/>
    </xf>
    <xf numFmtId="0" fontId="46" fillId="19" borderId="0" applyNumberFormat="0" applyBorder="0" applyAlignment="0" applyProtection="0"/>
    <xf numFmtId="0" fontId="47" fillId="20" borderId="0" applyNumberFormat="0" applyBorder="0" applyAlignment="0" applyProtection="0"/>
    <xf numFmtId="0" fontId="15" fillId="0" borderId="0"/>
    <xf numFmtId="0" fontId="48" fillId="20" borderId="0" applyNumberFormat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0" fillId="0" borderId="0"/>
    <xf numFmtId="0" fontId="51" fillId="0" borderId="0">
      <alignment vertical="center"/>
    </xf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8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9" fontId="5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5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</cellStyleXfs>
  <cellXfs count="51">
    <xf numFmtId="0" fontId="0" fillId="0" borderId="0" xfId="0"/>
    <xf numFmtId="0" fontId="22" fillId="0" borderId="0" xfId="2" applyFont="1" applyAlignment="1">
      <alignment vertical="center"/>
    </xf>
    <xf numFmtId="0" fontId="22" fillId="0" borderId="1" xfId="2" applyFont="1" applyBorder="1" applyAlignment="1">
      <alignment vertical="center"/>
    </xf>
    <xf numFmtId="0" fontId="22" fillId="3" borderId="1" xfId="2" applyFont="1" applyFill="1" applyBorder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2" fillId="4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horizontal="right" vertical="center"/>
    </xf>
    <xf numFmtId="0" fontId="22" fillId="3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vertical="center"/>
    </xf>
    <xf numFmtId="0" fontId="21" fillId="4" borderId="12" xfId="0" applyFont="1" applyFill="1" applyBorder="1" applyAlignment="1">
      <alignment horizontal="right" vertical="center"/>
    </xf>
    <xf numFmtId="0" fontId="21" fillId="4" borderId="13" xfId="0" applyFont="1" applyFill="1" applyBorder="1" applyAlignment="1">
      <alignment horizontal="right" vertical="center"/>
    </xf>
    <xf numFmtId="0" fontId="22" fillId="2" borderId="1" xfId="2" applyFont="1" applyFill="1" applyBorder="1" applyAlignment="1">
      <alignment horizontal="left" vertical="center"/>
    </xf>
    <xf numFmtId="0" fontId="22" fillId="2" borderId="1" xfId="2" applyFont="1" applyFill="1" applyBorder="1" applyAlignment="1">
      <alignment horizontal="center" vertical="center"/>
    </xf>
    <xf numFmtId="0" fontId="24" fillId="21" borderId="1" xfId="2978" applyFont="1" applyFill="1" applyBorder="1"/>
    <xf numFmtId="0" fontId="10" fillId="21" borderId="1" xfId="2978" applyFill="1" applyBorder="1"/>
    <xf numFmtId="0" fontId="10" fillId="0" borderId="0" xfId="2978"/>
    <xf numFmtId="0" fontId="10" fillId="0" borderId="1" xfId="2978" applyBorder="1"/>
    <xf numFmtId="0" fontId="10" fillId="2" borderId="1" xfId="2978" applyFill="1" applyBorder="1"/>
    <xf numFmtId="0" fontId="14" fillId="2" borderId="1" xfId="19" applyFont="1" applyFill="1" applyBorder="1"/>
    <xf numFmtId="0" fontId="15" fillId="2" borderId="1" xfId="19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9" fillId="0" borderId="1" xfId="2978" applyFont="1" applyBorder="1"/>
    <xf numFmtId="0" fontId="24" fillId="21" borderId="1" xfId="0" applyFont="1" applyFill="1" applyBorder="1"/>
    <xf numFmtId="0" fontId="49" fillId="22" borderId="1" xfId="0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vertical="center"/>
    </xf>
    <xf numFmtId="0" fontId="0" fillId="0" borderId="1" xfId="0" applyBorder="1"/>
    <xf numFmtId="0" fontId="0" fillId="3" borderId="1" xfId="0" applyFill="1" applyBorder="1"/>
    <xf numFmtId="0" fontId="0" fillId="24" borderId="0" xfId="0" applyFill="1"/>
    <xf numFmtId="0" fontId="0" fillId="25" borderId="1" xfId="0" applyFill="1" applyBorder="1"/>
    <xf numFmtId="176" fontId="0" fillId="25" borderId="1" xfId="3575" applyNumberFormat="1" applyFont="1" applyFill="1" applyBorder="1"/>
    <xf numFmtId="0" fontId="7" fillId="2" borderId="1" xfId="19" applyFont="1" applyFill="1" applyBorder="1"/>
    <xf numFmtId="0" fontId="7" fillId="4" borderId="1" xfId="2978" applyFont="1" applyFill="1" applyBorder="1"/>
    <xf numFmtId="0" fontId="0" fillId="2" borderId="0" xfId="0" applyFill="1"/>
    <xf numFmtId="0" fontId="21" fillId="23" borderId="1" xfId="0" applyFont="1" applyFill="1" applyBorder="1" applyAlignment="1">
      <alignment horizontal="right" vertical="center"/>
    </xf>
    <xf numFmtId="0" fontId="6" fillId="0" borderId="1" xfId="2978" applyFont="1" applyBorder="1"/>
    <xf numFmtId="0" fontId="5" fillId="0" borderId="0" xfId="3662"/>
    <xf numFmtId="0" fontId="5" fillId="4" borderId="0" xfId="3662" applyFill="1"/>
    <xf numFmtId="9" fontId="5" fillId="0" borderId="0" xfId="3662" applyNumberFormat="1"/>
    <xf numFmtId="0" fontId="5" fillId="0" borderId="0" xfId="3662" applyFill="1"/>
    <xf numFmtId="9" fontId="5" fillId="0" borderId="0" xfId="3662" applyNumberFormat="1" applyAlignment="1"/>
    <xf numFmtId="0" fontId="5" fillId="0" borderId="0" xfId="3662" applyNumberFormat="1"/>
    <xf numFmtId="0" fontId="4" fillId="0" borderId="1" xfId="3036" applyFont="1" applyBorder="1"/>
    <xf numFmtId="0" fontId="4" fillId="0" borderId="1" xfId="2978" applyFont="1" applyBorder="1"/>
    <xf numFmtId="0" fontId="3" fillId="0" borderId="1" xfId="2978" applyFont="1" applyBorder="1"/>
    <xf numFmtId="0" fontId="2" fillId="0" borderId="1" xfId="3036" applyFont="1" applyBorder="1"/>
    <xf numFmtId="0" fontId="21" fillId="0" borderId="1" xfId="0" applyFont="1" applyFill="1" applyBorder="1" applyAlignment="1">
      <alignment horizontal="right" vertical="center"/>
    </xf>
    <xf numFmtId="0" fontId="22" fillId="0" borderId="1" xfId="2" applyFont="1" applyFill="1" applyBorder="1" applyAlignment="1">
      <alignment vertical="center"/>
    </xf>
    <xf numFmtId="0" fontId="1" fillId="4" borderId="1" xfId="2978" applyFont="1" applyFill="1" applyBorder="1"/>
  </cellXfs>
  <cellStyles count="3665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externalLink" Target="externalLinks/externalLink1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hp</v>
          </cell>
          <cell r="L1392" t="str">
            <v>体力タイプ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5001</v>
          </cell>
          <cell r="B1564" t="str">
            <v>ja</v>
          </cell>
          <cell r="C1564" t="str">
            <v>ガルーダ</v>
          </cell>
          <cell r="D1564" t="str">
            <v>ノーマルクエスト</v>
          </cell>
          <cell r="E1564" t="str">
            <v>QoH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PremiumSSw</v>
          </cell>
          <cell r="K1564" t="str">
            <v>attack</v>
          </cell>
          <cell r="L1564" t="str">
            <v>攻撃タイプ</v>
          </cell>
          <cell r="M1564" t="str">
            <v>god</v>
          </cell>
        </row>
        <row r="1565">
          <cell r="A1565">
            <v>5002</v>
          </cell>
          <cell r="B1565" t="str">
            <v>ja</v>
          </cell>
          <cell r="C1565" t="str">
            <v>光輝する美翼聖鳥 ガルーダ</v>
          </cell>
          <cell r="D1565" t="str">
            <v>ノーマルクエスト</v>
          </cell>
          <cell r="E1565" t="str">
            <v>アバター</v>
          </cell>
          <cell r="F1565" t="str">
            <v>世界観</v>
          </cell>
          <cell r="G1565" t="str">
            <v>男性</v>
          </cell>
          <cell r="H1565" t="str">
            <v>red</v>
          </cell>
          <cell r="I1565">
            <v>6</v>
          </cell>
          <cell r="J1565" t="str">
            <v>PremiumSSw</v>
          </cell>
          <cell r="K1565" t="str">
            <v>attack</v>
          </cell>
          <cell r="L1565" t="str">
            <v>攻撃タイプ</v>
          </cell>
          <cell r="M1565" t="str">
            <v>god</v>
          </cell>
        </row>
        <row r="1566">
          <cell r="A1566">
            <v>5003</v>
          </cell>
          <cell r="B1566" t="str">
            <v>ja</v>
          </cell>
          <cell r="C1566" t="str">
            <v>ナーガ</v>
          </cell>
          <cell r="D1566" t="str">
            <v>リンクガチャ:4神</v>
          </cell>
          <cell r="E1566" t="str">
            <v>守護神</v>
          </cell>
          <cell r="F1566" t="str">
            <v>格好いい</v>
          </cell>
          <cell r="G1566" t="str">
            <v>不明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animal</v>
          </cell>
        </row>
        <row r="1567">
          <cell r="A1567">
            <v>5004</v>
          </cell>
          <cell r="B1567" t="str">
            <v>ja</v>
          </cell>
          <cell r="C1567" t="str">
            <v>深淵翠緑 ナーガ</v>
          </cell>
          <cell r="D1567" t="str">
            <v>ノーマルクエスト</v>
          </cell>
          <cell r="E1567" t="str">
            <v>アバター</v>
          </cell>
          <cell r="F1567" t="str">
            <v>世界観</v>
          </cell>
          <cell r="G1567" t="str">
            <v>不明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animal</v>
          </cell>
        </row>
        <row r="1568">
          <cell r="A1568">
            <v>5005</v>
          </cell>
          <cell r="B1568" t="str">
            <v>ja</v>
          </cell>
          <cell r="C1568" t="str">
            <v>カーミラ</v>
          </cell>
          <cell r="D1568" t="str">
            <v>ノーマルクエスト</v>
          </cell>
          <cell r="E1568" t="str">
            <v>QoH</v>
          </cell>
          <cell r="F1568" t="str">
            <v>世界観</v>
          </cell>
          <cell r="G1568" t="str">
            <v>不明</v>
          </cell>
          <cell r="H1568" t="str">
            <v>green</v>
          </cell>
          <cell r="I1568">
            <v>5</v>
          </cell>
          <cell r="J1568" t="str">
            <v>PremiumSSw</v>
          </cell>
          <cell r="K1568" t="str">
            <v>balance</v>
          </cell>
          <cell r="L1568" t="str">
            <v>バランスタイプ</v>
          </cell>
          <cell r="M1568" t="str">
            <v>demon</v>
          </cell>
        </row>
        <row r="1569">
          <cell r="A1569">
            <v>5006</v>
          </cell>
          <cell r="B1569" t="str">
            <v>ja</v>
          </cell>
          <cell r="C1569" t="str">
            <v>カーミラ★６</v>
          </cell>
          <cell r="D1569" t="str">
            <v>ノーマルクエスト</v>
          </cell>
          <cell r="E1569" t="str">
            <v>アバター</v>
          </cell>
          <cell r="F1569" t="str">
            <v>世界観</v>
          </cell>
          <cell r="G1569" t="str">
            <v>男性</v>
          </cell>
          <cell r="H1569" t="str">
            <v>green</v>
          </cell>
          <cell r="I1569">
            <v>6</v>
          </cell>
          <cell r="J1569" t="str">
            <v>PremiumSSw</v>
          </cell>
          <cell r="K1569" t="str">
            <v>balance</v>
          </cell>
          <cell r="L1569" t="str">
            <v>バランスタイプ</v>
          </cell>
          <cell r="M1569" t="str">
            <v>demon</v>
          </cell>
        </row>
        <row r="1570">
          <cell r="A1570">
            <v>5007</v>
          </cell>
          <cell r="B1570" t="str">
            <v>ja</v>
          </cell>
          <cell r="C1570" t="str">
            <v>ヘルシング</v>
          </cell>
          <cell r="D1570" t="str">
            <v>リンクガチャ:4神</v>
          </cell>
          <cell r="E1570" t="str">
            <v>守護神</v>
          </cell>
          <cell r="F1570" t="str">
            <v>格好いい</v>
          </cell>
          <cell r="G1570" t="str">
            <v>不明</v>
          </cell>
          <cell r="H1570" t="str">
            <v>yellow</v>
          </cell>
          <cell r="I1570">
            <v>5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human</v>
          </cell>
        </row>
        <row r="1571">
          <cell r="A1571">
            <v>5008</v>
          </cell>
          <cell r="B1571" t="str">
            <v>ja</v>
          </cell>
          <cell r="C1571" t="str">
            <v>ヘルシング★６</v>
          </cell>
          <cell r="D1571" t="str">
            <v>ノーマルクエスト</v>
          </cell>
          <cell r="E1571" t="str">
            <v>アバター</v>
          </cell>
          <cell r="F1571" t="str">
            <v>世界観</v>
          </cell>
          <cell r="G1571" t="str">
            <v>不明</v>
          </cell>
          <cell r="H1571" t="str">
            <v>yellow</v>
          </cell>
          <cell r="I1571">
            <v>6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human</v>
          </cell>
        </row>
        <row r="1572">
          <cell r="A1572">
            <v>6001</v>
          </cell>
          <cell r="B1572" t="str">
            <v>ja</v>
          </cell>
          <cell r="C1572" t="str">
            <v>ジェリー</v>
          </cell>
          <cell r="D1572" t="str">
            <v>ノーマルクエスト</v>
          </cell>
          <cell r="E1572" t="str">
            <v>QoH</v>
          </cell>
          <cell r="F1572" t="str">
            <v>世界観</v>
          </cell>
          <cell r="G1572" t="str">
            <v>不明</v>
          </cell>
          <cell r="H1572" t="str">
            <v>red</v>
          </cell>
          <cell r="I1572">
            <v>1</v>
          </cell>
          <cell r="J1572" t="str">
            <v>Drop1T</v>
          </cell>
          <cell r="K1572" t="str">
            <v>ra</v>
          </cell>
          <cell r="L1572" t="str">
            <v>ラグランジュチャレンジ</v>
          </cell>
          <cell r="M1572" t="str">
            <v>unknown</v>
          </cell>
        </row>
        <row r="1573">
          <cell r="A1573">
            <v>6002</v>
          </cell>
          <cell r="B1573" t="str">
            <v>ja</v>
          </cell>
          <cell r="C1573" t="str">
            <v>ヨシタカ</v>
          </cell>
          <cell r="D1573" t="str">
            <v>ノーマルクエスト</v>
          </cell>
          <cell r="E1573" t="str">
            <v>アバター</v>
          </cell>
          <cell r="F1573" t="str">
            <v>世界観</v>
          </cell>
          <cell r="G1573" t="str">
            <v>男性</v>
          </cell>
          <cell r="H1573" t="str">
            <v>red</v>
          </cell>
          <cell r="I1573">
            <v>2</v>
          </cell>
          <cell r="J1573" t="str">
            <v>Drop1N</v>
          </cell>
          <cell r="K1573" t="str">
            <v>ra</v>
          </cell>
          <cell r="L1573" t="str">
            <v>ラグランジュチャレンジ</v>
          </cell>
          <cell r="M1573" t="str">
            <v>human</v>
          </cell>
        </row>
        <row r="1574">
          <cell r="A1574">
            <v>6003</v>
          </cell>
          <cell r="B1574" t="str">
            <v>ja</v>
          </cell>
          <cell r="C1574" t="str">
            <v>朱雀</v>
          </cell>
          <cell r="D1574" t="str">
            <v>リンクガチャ:4神</v>
          </cell>
          <cell r="E1574" t="str">
            <v>守護神</v>
          </cell>
          <cell r="F1574" t="str">
            <v>格好いい</v>
          </cell>
          <cell r="G1574" t="str">
            <v>不明</v>
          </cell>
          <cell r="H1574" t="str">
            <v>red</v>
          </cell>
          <cell r="I1574">
            <v>3</v>
          </cell>
          <cell r="J1574" t="str">
            <v>Drop2N</v>
          </cell>
          <cell r="K1574" t="str">
            <v>ra</v>
          </cell>
          <cell r="L1574" t="str">
            <v>ラグランジュチャレンジ</v>
          </cell>
          <cell r="M1574" t="str">
            <v>animal</v>
          </cell>
        </row>
        <row r="1575">
          <cell r="A1575">
            <v>6004</v>
          </cell>
          <cell r="B1575" t="str">
            <v>ja</v>
          </cell>
          <cell r="C1575" t="str">
            <v>ブレット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不明</v>
          </cell>
          <cell r="H1575" t="str">
            <v>red</v>
          </cell>
          <cell r="I1575">
            <v>1</v>
          </cell>
          <cell r="J1575" t="str">
            <v>Drop1W</v>
          </cell>
          <cell r="K1575" t="str">
            <v>ra</v>
          </cell>
          <cell r="L1575" t="str">
            <v>ラグランジュチャレンジ</v>
          </cell>
          <cell r="M1575" t="str">
            <v>animal</v>
          </cell>
        </row>
        <row r="1576">
          <cell r="A1576">
            <v>6005</v>
          </cell>
          <cell r="B1576" t="str">
            <v>ja</v>
          </cell>
          <cell r="C1576" t="str">
            <v>孤神 テティス</v>
          </cell>
          <cell r="D1576" t="str">
            <v>初期ガチャ</v>
          </cell>
          <cell r="E1576" t="str">
            <v>管理者</v>
          </cell>
          <cell r="F1576" t="str">
            <v>美しい</v>
          </cell>
          <cell r="G1576" t="str">
            <v>女性</v>
          </cell>
          <cell r="H1576" t="str">
            <v>blue</v>
          </cell>
          <cell r="I1576">
            <v>4</v>
          </cell>
          <cell r="J1576" t="str">
            <v>PremiumN</v>
          </cell>
          <cell r="K1576" t="str">
            <v>ra</v>
          </cell>
          <cell r="L1576" t="str">
            <v>ラグランジュチャレンジ</v>
          </cell>
          <cell r="M1576" t="str">
            <v>god</v>
          </cell>
        </row>
        <row r="1577">
          <cell r="A1577">
            <v>6006</v>
          </cell>
          <cell r="B1577" t="str">
            <v>ja</v>
          </cell>
          <cell r="C1577" t="str">
            <v>海底の孤高神 テティス</v>
          </cell>
          <cell r="D1577" t="str">
            <v>初期ガチャ</v>
          </cell>
          <cell r="E1577" t="str">
            <v>管理者</v>
          </cell>
          <cell r="F1577" t="str">
            <v>美しい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PremiumN</v>
          </cell>
          <cell r="K1577" t="str">
            <v>ra</v>
          </cell>
          <cell r="L1577" t="str">
            <v>ラグランジュチャレンジ</v>
          </cell>
          <cell r="M1577" t="str">
            <v>god</v>
          </cell>
        </row>
        <row r="1578">
          <cell r="A1578">
            <v>6007</v>
          </cell>
          <cell r="B1578" t="str">
            <v>ja</v>
          </cell>
          <cell r="C1578" t="str">
            <v>番犬 ケルベロス</v>
          </cell>
          <cell r="D1578" t="str">
            <v>初期ガチャ</v>
          </cell>
          <cell r="E1578" t="str">
            <v>破界者</v>
          </cell>
          <cell r="F1578" t="str">
            <v>可愛い</v>
          </cell>
          <cell r="G1578" t="str">
            <v>女性</v>
          </cell>
          <cell r="H1578" t="str">
            <v>red</v>
          </cell>
          <cell r="I1578">
            <v>4</v>
          </cell>
          <cell r="J1578" t="str">
            <v>PremiumN</v>
          </cell>
          <cell r="K1578" t="str">
            <v>ra</v>
          </cell>
          <cell r="L1578" t="str">
            <v>ラグランジュチャレンジ</v>
          </cell>
          <cell r="M1578" t="str">
            <v>animal</v>
          </cell>
        </row>
        <row r="1579">
          <cell r="A1579">
            <v>6008</v>
          </cell>
          <cell r="B1579" t="str">
            <v>ja</v>
          </cell>
          <cell r="C1579" t="str">
            <v>焔神 プロメテウス</v>
          </cell>
          <cell r="D1579" t="str">
            <v>初期ガチャ</v>
          </cell>
          <cell r="E1579" t="str">
            <v>管理者</v>
          </cell>
          <cell r="F1579" t="str">
            <v>格好いい</v>
          </cell>
          <cell r="G1579" t="str">
            <v>男性</v>
          </cell>
          <cell r="H1579" t="str">
            <v>red</v>
          </cell>
          <cell r="I1579">
            <v>4</v>
          </cell>
          <cell r="J1579" t="str">
            <v>PremiumN</v>
          </cell>
          <cell r="K1579" t="str">
            <v>ra</v>
          </cell>
          <cell r="L1579" t="str">
            <v>ラグランジュチャレンジ</v>
          </cell>
          <cell r="M1579" t="str">
            <v>god</v>
          </cell>
        </row>
        <row r="1580">
          <cell r="A1580">
            <v>6009</v>
          </cell>
          <cell r="B1580" t="str">
            <v>ja</v>
          </cell>
          <cell r="C1580" t="str">
            <v>超越自我 ラグランジュ</v>
          </cell>
          <cell r="D1580" t="str">
            <v>ガチャ:フィーバーフェス02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5</v>
          </cell>
          <cell r="J1580" t="str">
            <v>PremiumSSS</v>
          </cell>
          <cell r="K1580" t="str">
            <v>ra</v>
          </cell>
          <cell r="L1580" t="str">
            <v>ラグランジュチャレンジ</v>
          </cell>
          <cell r="M1580" t="str">
            <v>human</v>
          </cell>
        </row>
        <row r="1581">
          <cell r="A1581">
            <v>6010</v>
          </cell>
          <cell r="B1581" t="str">
            <v>ja</v>
          </cell>
          <cell r="C1581" t="str">
            <v>超越凌駕 ラグランジュ</v>
          </cell>
          <cell r="D1581" t="str">
            <v>ガチャ:フィーバーフェス02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6</v>
          </cell>
          <cell r="J1581" t="str">
            <v>PremiumSSS</v>
          </cell>
          <cell r="K1581" t="str">
            <v>ra</v>
          </cell>
          <cell r="L1581" t="str">
            <v>ラグランジュチャレンジ</v>
          </cell>
          <cell r="M1581" t="str">
            <v>human</v>
          </cell>
        </row>
        <row r="1582">
          <cell r="A1582">
            <v>6011</v>
          </cell>
          <cell r="B1582" t="str">
            <v>ja</v>
          </cell>
          <cell r="C1582" t="str">
            <v>パトドッグリーダー ポチ</v>
          </cell>
          <cell r="D1582" t="str">
            <v>ガチャ:フィーバーフェス02</v>
          </cell>
          <cell r="E1582" t="str">
            <v>執行者</v>
          </cell>
          <cell r="F1582" t="str">
            <v>格好いい</v>
          </cell>
          <cell r="G1582" t="str">
            <v>男性</v>
          </cell>
          <cell r="H1582" t="str">
            <v>blue</v>
          </cell>
          <cell r="I1582">
            <v>2</v>
          </cell>
          <cell r="J1582" t="str">
            <v>Drop1T</v>
          </cell>
          <cell r="K1582" t="str">
            <v>ra002</v>
          </cell>
          <cell r="L1582" t="str">
            <v>ユークリッドチャレンジ</v>
          </cell>
          <cell r="M1582" t="str">
            <v>unknown</v>
          </cell>
        </row>
        <row r="1583">
          <cell r="A1583">
            <v>6012</v>
          </cell>
          <cell r="B1583" t="str">
            <v>ja</v>
          </cell>
          <cell r="C1583" t="str">
            <v>ミミ</v>
          </cell>
          <cell r="D1583" t="str">
            <v>ガチャ:フィーバーフェス02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yellow</v>
          </cell>
          <cell r="I1583">
            <v>1</v>
          </cell>
          <cell r="J1583" t="str">
            <v>Drop1W</v>
          </cell>
          <cell r="K1583" t="str">
            <v>ra002</v>
          </cell>
          <cell r="L1583" t="str">
            <v>ユークリッドチャレンジ</v>
          </cell>
          <cell r="M1583" t="str">
            <v>animal</v>
          </cell>
        </row>
        <row r="1584">
          <cell r="A1584">
            <v>6013</v>
          </cell>
          <cell r="B1584" t="str">
            <v>ja</v>
          </cell>
          <cell r="C1584" t="str">
            <v>護衛機人 スケアクロウ</v>
          </cell>
          <cell r="D1584" t="str">
            <v>ガチャ:フィーバーフェス02</v>
          </cell>
          <cell r="E1584" t="str">
            <v>執行者</v>
          </cell>
          <cell r="F1584" t="str">
            <v>格好いい</v>
          </cell>
          <cell r="G1584" t="str">
            <v>男性</v>
          </cell>
          <cell r="H1584" t="str">
            <v>blue</v>
          </cell>
          <cell r="I1584">
            <v>2</v>
          </cell>
          <cell r="J1584" t="str">
            <v>Drop1N</v>
          </cell>
          <cell r="K1584" t="str">
            <v>ra002</v>
          </cell>
          <cell r="L1584" t="str">
            <v>ユークリッドチャレンジ</v>
          </cell>
          <cell r="M1584" t="str">
            <v>machine</v>
          </cell>
        </row>
        <row r="1585">
          <cell r="A1585">
            <v>6014</v>
          </cell>
          <cell r="B1585" t="str">
            <v>ja</v>
          </cell>
          <cell r="C1585" t="str">
            <v>月下の人狼 ローレンス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男性</v>
          </cell>
          <cell r="H1585" t="str">
            <v>blue</v>
          </cell>
          <cell r="I1585">
            <v>4</v>
          </cell>
          <cell r="J1585" t="str">
            <v>PremiumW</v>
          </cell>
          <cell r="K1585" t="str">
            <v>ra002</v>
          </cell>
          <cell r="L1585" t="str">
            <v>ユークリッドチャレンジ</v>
          </cell>
          <cell r="M1585" t="str">
            <v>animal</v>
          </cell>
        </row>
        <row r="1586">
          <cell r="A1586">
            <v>6015</v>
          </cell>
          <cell r="B1586" t="str">
            <v>ja</v>
          </cell>
          <cell r="C1586" t="str">
            <v>フレイヤ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男性</v>
          </cell>
          <cell r="H1586" t="str">
            <v>blue</v>
          </cell>
          <cell r="I1586">
            <v>4</v>
          </cell>
          <cell r="J1586" t="str">
            <v>PremiumSS</v>
          </cell>
          <cell r="K1586" t="str">
            <v>ra002</v>
          </cell>
          <cell r="L1586" t="str">
            <v>ユークリッドチャレンジ</v>
          </cell>
          <cell r="M1586" t="str">
            <v>animal</v>
          </cell>
        </row>
        <row r="1587">
          <cell r="A1587">
            <v>6016</v>
          </cell>
          <cell r="B1587" t="str">
            <v>ja</v>
          </cell>
          <cell r="C1587" t="str">
            <v>根原論理 ユークリッド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5</v>
          </cell>
          <cell r="J1587" t="str">
            <v>PremiumSSS</v>
          </cell>
          <cell r="K1587" t="str">
            <v>ra002</v>
          </cell>
          <cell r="L1587" t="str">
            <v>ユークリッドチャレンジ</v>
          </cell>
          <cell r="M1587" t="str">
            <v>human</v>
          </cell>
        </row>
        <row r="1588">
          <cell r="A1588">
            <v>6017</v>
          </cell>
          <cell r="B1588" t="str">
            <v>ja</v>
          </cell>
          <cell r="C1588" t="str">
            <v>不朽の極論 ユークリッド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blue</v>
          </cell>
          <cell r="I1588">
            <v>6</v>
          </cell>
          <cell r="J1588" t="str">
            <v>PremiumSSS</v>
          </cell>
          <cell r="K1588" t="str">
            <v>ra002</v>
          </cell>
          <cell r="L1588" t="str">
            <v>ユークリッドチャレンジ</v>
          </cell>
          <cell r="M1588" t="str">
            <v>human</v>
          </cell>
        </row>
        <row r="1589">
          <cell r="A1589">
            <v>6018</v>
          </cell>
          <cell r="B1589" t="str">
            <v>ja</v>
          </cell>
          <cell r="C1589" t="str">
            <v>ハヅル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PremiumSS</v>
          </cell>
          <cell r="K1589" t="str">
            <v>ra002</v>
          </cell>
          <cell r="L1589" t="str">
            <v>ユークリッドチャレンジ</v>
          </cell>
          <cell r="M1589" t="str">
            <v>animal</v>
          </cell>
        </row>
        <row r="1590">
          <cell r="A1590">
            <v>6019</v>
          </cell>
          <cell r="B1590" t="str">
            <v>ja</v>
          </cell>
          <cell r="C1590" t="str">
            <v>天織羽鶴 ハヅル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red</v>
          </cell>
          <cell r="I1590">
            <v>5</v>
          </cell>
          <cell r="J1590" t="str">
            <v>PremiumSS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</row>
        <row r="1591">
          <cell r="A1591">
            <v>6020</v>
          </cell>
          <cell r="B1591" t="str">
            <v>ja</v>
          </cell>
          <cell r="C1591" t="str">
            <v>ミズチ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</v>
          </cell>
          <cell r="K1591" t="str">
            <v>ra002</v>
          </cell>
          <cell r="L1591" t="str">
            <v>ユークリッドチャレンジ</v>
          </cell>
          <cell r="M1591" t="str">
            <v>dragon</v>
          </cell>
        </row>
        <row r="1592">
          <cell r="A1592">
            <v>8001</v>
          </cell>
          <cell r="B1592" t="str">
            <v>ja</v>
          </cell>
          <cell r="C1592" t="str">
            <v>媽祖</v>
          </cell>
          <cell r="D1592" t="str">
            <v>イベント:ミクコラボ01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attack</v>
          </cell>
          <cell r="L1592" t="str">
            <v>攻撃タイプ</v>
          </cell>
          <cell r="M1592" t="str">
            <v>god</v>
          </cell>
        </row>
        <row r="1593">
          <cell r="A1593">
            <v>8002</v>
          </cell>
          <cell r="B1593" t="str">
            <v>ja</v>
          </cell>
          <cell r="C1593" t="str">
            <v>宣導する天海妃 媽祖</v>
          </cell>
          <cell r="D1593" t="str">
            <v>イベント:ミクコラボ01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6</v>
          </cell>
          <cell r="J1593" t="str">
            <v>PremiumSS</v>
          </cell>
          <cell r="K1593" t="str">
            <v>attack</v>
          </cell>
          <cell r="L1593" t="str">
            <v>攻撃タイプ</v>
          </cell>
          <cell r="M1593" t="str">
            <v>god</v>
          </cell>
        </row>
        <row r="1594">
          <cell r="A1594">
            <v>8003</v>
          </cell>
          <cell r="B1594" t="str">
            <v>ja</v>
          </cell>
          <cell r="C1594" t="str">
            <v>蛟龍</v>
          </cell>
          <cell r="D1594" t="str">
            <v>イベント:ミクコラボ01</v>
          </cell>
          <cell r="E1594" t="str">
            <v>執行者</v>
          </cell>
          <cell r="F1594" t="str">
            <v>格好いい</v>
          </cell>
          <cell r="G1594" t="str">
            <v>不明</v>
          </cell>
          <cell r="H1594" t="str">
            <v>blue</v>
          </cell>
          <cell r="I1594">
            <v>5</v>
          </cell>
          <cell r="J1594" t="str">
            <v>DropWizS</v>
          </cell>
          <cell r="K1594" t="str">
            <v>hp</v>
          </cell>
          <cell r="L1594" t="str">
            <v>体力タイプ</v>
          </cell>
          <cell r="M1594" t="str">
            <v>dragon</v>
          </cell>
        </row>
        <row r="1595">
          <cell r="A1595">
            <v>8004</v>
          </cell>
          <cell r="B1595" t="str">
            <v>ja</v>
          </cell>
          <cell r="C1595" t="str">
            <v>呼嵐の蒼棲龍 蛟龍</v>
          </cell>
          <cell r="D1595" t="str">
            <v>イベント:ミクコラボ01</v>
          </cell>
          <cell r="E1595" t="str">
            <v>執行者</v>
          </cell>
          <cell r="F1595" t="str">
            <v>格好いい</v>
          </cell>
          <cell r="G1595" t="str">
            <v>不明</v>
          </cell>
          <cell r="H1595" t="str">
            <v>blue</v>
          </cell>
          <cell r="I1595">
            <v>6</v>
          </cell>
          <cell r="J1595" t="str">
            <v>DropWizS</v>
          </cell>
          <cell r="K1595" t="str">
            <v>hp</v>
          </cell>
          <cell r="L1595" t="str">
            <v>体力タイプ</v>
          </cell>
          <cell r="M1595" t="str">
            <v>dragon</v>
          </cell>
        </row>
        <row r="1596">
          <cell r="A1596">
            <v>8005</v>
          </cell>
          <cell r="B1596" t="str">
            <v>ja</v>
          </cell>
          <cell r="C1596" t="str">
            <v>三蔵法師</v>
          </cell>
          <cell r="D1596" t="str">
            <v>イベント:ミクコラボ01</v>
          </cell>
          <cell r="E1596" t="str">
            <v>執行者</v>
          </cell>
          <cell r="F1596" t="str">
            <v>格好いい</v>
          </cell>
          <cell r="G1596" t="str">
            <v>不明</v>
          </cell>
          <cell r="H1596" t="str">
            <v>blue</v>
          </cell>
          <cell r="I1596">
            <v>5</v>
          </cell>
          <cell r="J1596" t="str">
            <v>PremiumSS</v>
          </cell>
          <cell r="K1596" t="str">
            <v>balance</v>
          </cell>
          <cell r="L1596" t="str">
            <v>バランスタイプ</v>
          </cell>
          <cell r="M1596" t="str">
            <v>human</v>
          </cell>
        </row>
        <row r="1597">
          <cell r="A1597">
            <v>8006</v>
          </cell>
          <cell r="B1597" t="str">
            <v>ja</v>
          </cell>
          <cell r="C1597" t="str">
            <v>慈戒の呪封使 三蔵法師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不明</v>
          </cell>
          <cell r="H1597" t="str">
            <v>blue</v>
          </cell>
          <cell r="I1597">
            <v>6</v>
          </cell>
          <cell r="J1597" t="str">
            <v>PremiumSS</v>
          </cell>
          <cell r="K1597" t="str">
            <v>balance</v>
          </cell>
          <cell r="L1597" t="str">
            <v>バランスタイプ</v>
          </cell>
          <cell r="M1597" t="str">
            <v>human</v>
          </cell>
        </row>
        <row r="1598">
          <cell r="A1598">
            <v>8007</v>
          </cell>
          <cell r="B1598" t="str">
            <v>ja</v>
          </cell>
          <cell r="C1598" t="str">
            <v>孫悟空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不明</v>
          </cell>
          <cell r="H1598" t="str">
            <v>red</v>
          </cell>
          <cell r="I1598">
            <v>5</v>
          </cell>
          <cell r="J1598" t="str">
            <v>DropWizS</v>
          </cell>
          <cell r="K1598" t="str">
            <v>attack</v>
          </cell>
          <cell r="L1598" t="str">
            <v>攻撃タイプ</v>
          </cell>
          <cell r="M1598" t="str">
            <v>animal</v>
          </cell>
        </row>
        <row r="1599">
          <cell r="A1599">
            <v>8008</v>
          </cell>
          <cell r="B1599" t="str">
            <v>ja</v>
          </cell>
          <cell r="C1599" t="str">
            <v>花果の天猿仙人 孫悟空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red</v>
          </cell>
          <cell r="I1599">
            <v>6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8009</v>
          </cell>
          <cell r="B1600" t="str">
            <v>ja</v>
          </cell>
          <cell r="C1600" t="str">
            <v>西王娘娘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green</v>
          </cell>
          <cell r="I1600">
            <v>5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god</v>
          </cell>
        </row>
        <row r="1601">
          <cell r="A1601">
            <v>8010</v>
          </cell>
          <cell r="B1601" t="str">
            <v>ja</v>
          </cell>
          <cell r="C1601" t="str">
            <v>極楽瑶池の聖母 西王娘娘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green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god</v>
          </cell>
        </row>
        <row r="1602">
          <cell r="A1602">
            <v>8011</v>
          </cell>
          <cell r="B1602" t="str">
            <v>ja</v>
          </cell>
          <cell r="C1602" t="str">
            <v>月下老人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DropWizS</v>
          </cell>
          <cell r="K1602" t="str">
            <v>balance</v>
          </cell>
          <cell r="L1602" t="str">
            <v>バランスタイプ</v>
          </cell>
          <cell r="M1602" t="str">
            <v>god</v>
          </cell>
        </row>
        <row r="1603">
          <cell r="A1603">
            <v>8012</v>
          </cell>
          <cell r="B1603" t="str">
            <v>ja</v>
          </cell>
          <cell r="C1603" t="str">
            <v>破戀斬る縁剣 月下老人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DropWizS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8013</v>
          </cell>
          <cell r="B1604" t="str">
            <v>ja</v>
          </cell>
          <cell r="C1604" t="str">
            <v>初音ミクV3</v>
          </cell>
          <cell r="D1604" t="str">
            <v>初音ミクV3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4</v>
          </cell>
          <cell r="J1604" t="str">
            <v>DropWizS</v>
          </cell>
          <cell r="K1604" t="str">
            <v>balance</v>
          </cell>
          <cell r="L1604" t="str">
            <v>バランスタイプ</v>
          </cell>
          <cell r="M1604" t="str">
            <v>unknown</v>
          </cell>
        </row>
        <row r="1605">
          <cell r="A1605">
            <v>8014</v>
          </cell>
          <cell r="B1605" t="str">
            <v>ja</v>
          </cell>
          <cell r="C1605" t="str">
            <v>初音ミクV3</v>
          </cell>
          <cell r="D1605" t="str">
            <v>初音ミクV3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5</v>
          </cell>
          <cell r="J1605" t="str">
            <v>DropWizS</v>
          </cell>
          <cell r="K1605" t="str">
            <v>balance</v>
          </cell>
          <cell r="L1605" t="str">
            <v>バランスタイプ</v>
          </cell>
          <cell r="M1605" t="str">
            <v>unknown</v>
          </cell>
        </row>
        <row r="1606">
          <cell r="A1606">
            <v>8015</v>
          </cell>
          <cell r="B1606" t="str">
            <v>ja</v>
          </cell>
          <cell r="C1606" t="str">
            <v>初音ミク・アペンド</v>
          </cell>
          <cell r="D1606" t="str">
            <v>初音ミク・アペンド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4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8016</v>
          </cell>
          <cell r="B1607" t="str">
            <v>ja</v>
          </cell>
          <cell r="C1607" t="str">
            <v>初音ミク・アペンド</v>
          </cell>
          <cell r="D1607" t="str">
            <v>初音ミク・アペンド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green</v>
          </cell>
          <cell r="I1607">
            <v>5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8017</v>
          </cell>
          <cell r="B1608" t="str">
            <v>ja</v>
          </cell>
          <cell r="C1608" t="str">
            <v>初音ミク</v>
          </cell>
          <cell r="D1608" t="str">
            <v>初音ミク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green</v>
          </cell>
          <cell r="I1608">
            <v>4</v>
          </cell>
          <cell r="J1608" t="str">
            <v>PremiumSSS</v>
          </cell>
          <cell r="K1608" t="str">
            <v>balance</v>
          </cell>
          <cell r="L1608" t="str">
            <v>バランスタイプ</v>
          </cell>
          <cell r="M1608" t="str">
            <v>unknown</v>
          </cell>
        </row>
        <row r="1609">
          <cell r="A1609">
            <v>8018</v>
          </cell>
          <cell r="B1609" t="str">
            <v>ja</v>
          </cell>
          <cell r="C1609" t="str">
            <v>初音ミク</v>
          </cell>
          <cell r="D1609" t="str">
            <v>初音ミク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</row>
        <row r="1610">
          <cell r="A1610">
            <v>8019</v>
          </cell>
          <cell r="B1610" t="str">
            <v>ja</v>
          </cell>
          <cell r="C1610" t="str">
            <v>鏡音リン</v>
          </cell>
          <cell r="D1610" t="str">
            <v>鏡音リン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yellow</v>
          </cell>
          <cell r="I1610">
            <v>4</v>
          </cell>
          <cell r="J1610" t="str">
            <v>PremiumSS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</row>
        <row r="1611">
          <cell r="A1611">
            <v>8020</v>
          </cell>
          <cell r="B1611" t="str">
            <v>ja</v>
          </cell>
          <cell r="C1611" t="str">
            <v>鏡音リン</v>
          </cell>
          <cell r="D1611" t="str">
            <v>鏡音リン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yellow</v>
          </cell>
          <cell r="I1611">
            <v>5</v>
          </cell>
          <cell r="J1611" t="str">
            <v>PremiumSS</v>
          </cell>
          <cell r="K1611" t="str">
            <v>balance</v>
          </cell>
          <cell r="L1611" t="str">
            <v>バランスタイプ</v>
          </cell>
          <cell r="M1611" t="str">
            <v>unknown</v>
          </cell>
        </row>
        <row r="1612">
          <cell r="A1612">
            <v>8021</v>
          </cell>
          <cell r="B1612" t="str">
            <v>ja</v>
          </cell>
          <cell r="C1612" t="str">
            <v>鏡音レン</v>
          </cell>
          <cell r="D1612" t="str">
            <v>鏡音レン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4</v>
          </cell>
          <cell r="J1612" t="str">
            <v>PremiumSS</v>
          </cell>
          <cell r="K1612" t="str">
            <v>heal</v>
          </cell>
          <cell r="L1612" t="str">
            <v>回復タイプ</v>
          </cell>
          <cell r="M1612" t="str">
            <v>unknown</v>
          </cell>
        </row>
        <row r="1613">
          <cell r="A1613">
            <v>8022</v>
          </cell>
          <cell r="B1613" t="str">
            <v>ja</v>
          </cell>
          <cell r="C1613" t="str">
            <v>鏡音レン</v>
          </cell>
          <cell r="D1613" t="str">
            <v>鏡音レン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5</v>
          </cell>
          <cell r="J1613" t="str">
            <v>PremiumSS</v>
          </cell>
          <cell r="K1613" t="str">
            <v>heal</v>
          </cell>
          <cell r="L1613" t="str">
            <v>回復タイプ</v>
          </cell>
          <cell r="M1613" t="str">
            <v>unknown</v>
          </cell>
        </row>
        <row r="1614">
          <cell r="A1614">
            <v>8023</v>
          </cell>
          <cell r="B1614" t="str">
            <v>ja</v>
          </cell>
          <cell r="C1614" t="str">
            <v>巡音ルカ</v>
          </cell>
          <cell r="D1614" t="str">
            <v>巡音ルカ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red</v>
          </cell>
          <cell r="I1614">
            <v>3</v>
          </cell>
          <cell r="J1614" t="str">
            <v>PremiumS</v>
          </cell>
          <cell r="K1614" t="str">
            <v>attack</v>
          </cell>
          <cell r="L1614" t="str">
            <v>攻撃タイプ</v>
          </cell>
          <cell r="M1614" t="str">
            <v>unknown</v>
          </cell>
        </row>
        <row r="1615">
          <cell r="A1615">
            <v>8024</v>
          </cell>
          <cell r="B1615" t="str">
            <v>ja</v>
          </cell>
          <cell r="C1615" t="str">
            <v>巡音ルカ</v>
          </cell>
          <cell r="D1615" t="str">
            <v>巡音ルカ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4</v>
          </cell>
          <cell r="J1615" t="str">
            <v>PremiumS</v>
          </cell>
          <cell r="K1615" t="str">
            <v>attack</v>
          </cell>
          <cell r="L1615" t="str">
            <v>攻撃タイプ</v>
          </cell>
          <cell r="M1615" t="str">
            <v>unknown</v>
          </cell>
        </row>
        <row r="1616">
          <cell r="A1616">
            <v>8025</v>
          </cell>
          <cell r="B1616" t="str">
            <v>ja</v>
          </cell>
          <cell r="C1616" t="str">
            <v>MEIKO</v>
          </cell>
          <cell r="D1616" t="str">
            <v>MEIKO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3</v>
          </cell>
          <cell r="J1616" t="str">
            <v>PremiumS</v>
          </cell>
          <cell r="K1616" t="str">
            <v>hp</v>
          </cell>
          <cell r="L1616" t="str">
            <v>体力タイプ</v>
          </cell>
          <cell r="M1616" t="str">
            <v>unknown</v>
          </cell>
        </row>
        <row r="1617">
          <cell r="A1617">
            <v>8026</v>
          </cell>
          <cell r="B1617" t="str">
            <v>ja</v>
          </cell>
          <cell r="C1617" t="str">
            <v>MEIKO</v>
          </cell>
          <cell r="D1617" t="str">
            <v>MEIKO</v>
          </cell>
          <cell r="E1617" t="str">
            <v>執行者</v>
          </cell>
          <cell r="F1617" t="str">
            <v>格好いい</v>
          </cell>
          <cell r="G1617" t="str">
            <v>男性</v>
          </cell>
          <cell r="H1617" t="str">
            <v>red</v>
          </cell>
          <cell r="I1617">
            <v>4</v>
          </cell>
          <cell r="J1617" t="str">
            <v>PremiumS</v>
          </cell>
          <cell r="K1617" t="str">
            <v>hp</v>
          </cell>
          <cell r="L1617" t="str">
            <v>体力タイプ</v>
          </cell>
          <cell r="M1617" t="str">
            <v>unknown</v>
          </cell>
        </row>
        <row r="1618">
          <cell r="A1618">
            <v>8027</v>
          </cell>
          <cell r="B1618" t="str">
            <v>ja</v>
          </cell>
          <cell r="C1618" t="str">
            <v>KAITO</v>
          </cell>
          <cell r="D1618" t="str">
            <v>KAITO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blue</v>
          </cell>
          <cell r="I1618">
            <v>3</v>
          </cell>
          <cell r="J1618" t="str">
            <v>PremiumS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8028</v>
          </cell>
          <cell r="B1619" t="str">
            <v>ja</v>
          </cell>
          <cell r="C1619" t="str">
            <v>KAITO</v>
          </cell>
          <cell r="D1619" t="str">
            <v>KAITO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4</v>
          </cell>
          <cell r="J1619" t="str">
            <v>PremiumS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</row>
        <row r="1620">
          <cell r="A1620">
            <v>8029</v>
          </cell>
          <cell r="B1620" t="str">
            <v>ja</v>
          </cell>
          <cell r="C1620" t="str">
            <v>Expoミク</v>
          </cell>
          <cell r="D1620" t="str">
            <v>Expoミク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blue</v>
          </cell>
          <cell r="I1620">
            <v>4</v>
          </cell>
          <cell r="J1620" t="str">
            <v>Drop2N</v>
          </cell>
          <cell r="K1620" t="str">
            <v>heal</v>
          </cell>
          <cell r="L1620" t="str">
            <v>回復タイプ</v>
          </cell>
          <cell r="M1620" t="str">
            <v>unknown</v>
          </cell>
        </row>
        <row r="1621">
          <cell r="A1621">
            <v>8030</v>
          </cell>
          <cell r="B1621" t="str">
            <v>ja</v>
          </cell>
          <cell r="C1621" t="str">
            <v>Expoミク</v>
          </cell>
          <cell r="D1621" t="str">
            <v>Expoミク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blue</v>
          </cell>
          <cell r="I1621">
            <v>5</v>
          </cell>
          <cell r="J1621" t="str">
            <v>Drop2N</v>
          </cell>
          <cell r="K1621" t="str">
            <v>heal</v>
          </cell>
          <cell r="L1621" t="str">
            <v>回復タイプ</v>
          </cell>
          <cell r="M1621" t="str">
            <v>unknown</v>
          </cell>
        </row>
        <row r="1622">
          <cell r="A1622">
            <v>8031</v>
          </cell>
          <cell r="B1622" t="str">
            <v>ja</v>
          </cell>
          <cell r="C1622" t="str">
            <v>閻羅王</v>
          </cell>
          <cell r="D1622" t="str">
            <v>Expoミク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</row>
        <row r="1623">
          <cell r="A1623">
            <v>8032</v>
          </cell>
          <cell r="B1623" t="str">
            <v>ja</v>
          </cell>
          <cell r="C1623" t="str">
            <v>六道輪廻の絶獄 閻羅王</v>
          </cell>
          <cell r="D1623" t="str">
            <v>Expoミク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6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god</v>
          </cell>
        </row>
        <row r="1624">
          <cell r="A1624">
            <v>8033</v>
          </cell>
          <cell r="B1624" t="str">
            <v>ja</v>
          </cell>
          <cell r="C1624" t="str">
            <v>牛頭馬面</v>
          </cell>
          <cell r="D1624" t="str">
            <v>Expoミク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green</v>
          </cell>
          <cell r="I1624">
            <v>5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8034</v>
          </cell>
          <cell r="B1625" t="str">
            <v>ja</v>
          </cell>
          <cell r="C1625" t="str">
            <v>冥府狩る魂使 牛頭馬面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green</v>
          </cell>
          <cell r="I1625">
            <v>6</v>
          </cell>
          <cell r="J1625" t="str">
            <v>DropWizS</v>
          </cell>
          <cell r="K1625" t="str">
            <v>attack</v>
          </cell>
          <cell r="L1625" t="str">
            <v>攻撃タイプ</v>
          </cell>
          <cell r="M1625" t="str">
            <v>god</v>
          </cell>
        </row>
        <row r="1626">
          <cell r="A1626">
            <v>8035</v>
          </cell>
          <cell r="B1626" t="str">
            <v>ja</v>
          </cell>
          <cell r="C1626" t="str">
            <v>飛衛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PremiumSS</v>
          </cell>
          <cell r="K1626" t="str">
            <v>heal</v>
          </cell>
          <cell r="L1626" t="str">
            <v>回復タイプ</v>
          </cell>
          <cell r="M1626" t="str">
            <v>human</v>
          </cell>
        </row>
        <row r="1627">
          <cell r="A1627">
            <v>8036</v>
          </cell>
          <cell r="B1627" t="str">
            <v>ja</v>
          </cell>
          <cell r="C1627" t="str">
            <v>レア６飛衛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blue</v>
          </cell>
          <cell r="I1627">
            <v>6</v>
          </cell>
          <cell r="J1627" t="str">
            <v>PremiumSS</v>
          </cell>
          <cell r="K1627" t="str">
            <v>heal</v>
          </cell>
          <cell r="L1627" t="str">
            <v>回復タイプ</v>
          </cell>
          <cell r="M1627" t="str">
            <v>human</v>
          </cell>
        </row>
        <row r="1628">
          <cell r="A1628">
            <v>8037</v>
          </cell>
          <cell r="B1628" t="str">
            <v>ja</v>
          </cell>
          <cell r="C1628" t="str">
            <v>紀昌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DropWizS</v>
          </cell>
          <cell r="K1628" t="str">
            <v>attack</v>
          </cell>
          <cell r="L1628" t="str">
            <v>攻撃タイプ</v>
          </cell>
          <cell r="M1628" t="str">
            <v>human</v>
          </cell>
        </row>
        <row r="1629">
          <cell r="A1629">
            <v>8038</v>
          </cell>
          <cell r="B1629" t="str">
            <v>ja</v>
          </cell>
          <cell r="C1629" t="str">
            <v>レア６紀昌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6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human</v>
          </cell>
        </row>
        <row r="1630">
          <cell r="A1630">
            <v>8039</v>
          </cell>
          <cell r="B1630" t="str">
            <v>ja</v>
          </cell>
          <cell r="C1630" t="str">
            <v>何仙姑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yellow</v>
          </cell>
          <cell r="I1630">
            <v>5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god</v>
          </cell>
        </row>
        <row r="1631">
          <cell r="A1631">
            <v>8040</v>
          </cell>
          <cell r="B1631" t="str">
            <v>ja</v>
          </cell>
          <cell r="C1631" t="str">
            <v>荷咲く九天 何仙姑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yellow</v>
          </cell>
          <cell r="I1631">
            <v>6</v>
          </cell>
          <cell r="J1631" t="str">
            <v>PremiumSSw</v>
          </cell>
          <cell r="K1631" t="str">
            <v>hp</v>
          </cell>
          <cell r="L1631" t="str">
            <v>体力タイプ</v>
          </cell>
          <cell r="M1631" t="str">
            <v>god</v>
          </cell>
        </row>
        <row r="1632">
          <cell r="A1632">
            <v>8041</v>
          </cell>
          <cell r="B1632" t="str">
            <v>ja</v>
          </cell>
          <cell r="C1632" t="str">
            <v>藍采和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5</v>
          </cell>
          <cell r="J1632" t="str">
            <v>DropWizS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</row>
        <row r="1633">
          <cell r="A1633">
            <v>8042</v>
          </cell>
          <cell r="B1633" t="str">
            <v>ja</v>
          </cell>
          <cell r="C1633" t="str">
            <v>天真浪漫 藍采和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6</v>
          </cell>
          <cell r="J1633" t="str">
            <v>DropWizS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</row>
        <row r="1634">
          <cell r="A1634">
            <v>8043</v>
          </cell>
          <cell r="B1634" t="str">
            <v>ja</v>
          </cell>
          <cell r="C1634" t="str">
            <v>サンリオキャラ大集合+アザゼル</v>
          </cell>
          <cell r="D1634" t="str">
            <v>サンリオキャラ大集合+アザゼル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technical</v>
          </cell>
          <cell r="L1634" t="str">
            <v>テクニカルタイプ</v>
          </cell>
          <cell r="M1634" t="str">
            <v>ss</v>
          </cell>
        </row>
        <row r="1635">
          <cell r="A1635">
            <v>8044</v>
          </cell>
          <cell r="B1635" t="str">
            <v>ja</v>
          </cell>
          <cell r="C1635" t="str">
            <v>サンリオキャラ大集合+アザゼル</v>
          </cell>
          <cell r="D1635" t="str">
            <v>サンリオキャラ大集合+アザゼル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technical</v>
          </cell>
          <cell r="L1635" t="str">
            <v>テクニカルタイプ</v>
          </cell>
          <cell r="M1635" t="str">
            <v>ss</v>
          </cell>
        </row>
        <row r="1636">
          <cell r="A1636">
            <v>8045</v>
          </cell>
          <cell r="B1636" t="str">
            <v>ja</v>
          </cell>
          <cell r="C1636" t="str">
            <v>ニムダ_サンリオキャラ混じり</v>
          </cell>
          <cell r="D1636" t="str">
            <v>ニムダ_サンリオキャラ混じり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4</v>
          </cell>
          <cell r="J1636" t="str">
            <v>Drop2N</v>
          </cell>
          <cell r="K1636" t="str">
            <v>technical</v>
          </cell>
          <cell r="L1636" t="str">
            <v>テクニカルタイプ</v>
          </cell>
          <cell r="M1636" t="str">
            <v>ss</v>
          </cell>
        </row>
        <row r="1637">
          <cell r="A1637">
            <v>8046</v>
          </cell>
          <cell r="B1637" t="str">
            <v>ja</v>
          </cell>
          <cell r="C1637" t="str">
            <v>ニムダ_サンリオキャラ混じり</v>
          </cell>
          <cell r="D1637" t="str">
            <v>ニムダ_サンリオキャラ混じり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5</v>
          </cell>
          <cell r="J1637" t="str">
            <v>Drop2N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8047</v>
          </cell>
          <cell r="B1638" t="str">
            <v>ja</v>
          </cell>
          <cell r="C1638" t="str">
            <v>ハローキティ</v>
          </cell>
          <cell r="D1638" t="str">
            <v>ハローキティ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4</v>
          </cell>
          <cell r="J1638" t="str">
            <v>Drop2N</v>
          </cell>
          <cell r="K1638" t="str">
            <v>balance</v>
          </cell>
          <cell r="L1638" t="str">
            <v>バランスタイプ</v>
          </cell>
          <cell r="M1638" t="str">
            <v>ss</v>
          </cell>
        </row>
        <row r="1639">
          <cell r="A1639">
            <v>8048</v>
          </cell>
          <cell r="B1639" t="str">
            <v>ja</v>
          </cell>
          <cell r="C1639" t="str">
            <v>ハローキティ</v>
          </cell>
          <cell r="D1639" t="str">
            <v>ハローキティ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5</v>
          </cell>
          <cell r="J1639" t="str">
            <v>Drop2N</v>
          </cell>
          <cell r="K1639" t="str">
            <v>balance</v>
          </cell>
          <cell r="L1639" t="str">
            <v>バランスタイプ</v>
          </cell>
          <cell r="M1639" t="str">
            <v>ss</v>
          </cell>
        </row>
        <row r="1640">
          <cell r="A1640">
            <v>8049</v>
          </cell>
          <cell r="B1640" t="str">
            <v>ja</v>
          </cell>
          <cell r="C1640" t="str">
            <v>KIRIMIちゃん</v>
          </cell>
          <cell r="D1640" t="str">
            <v>KIRIMIちゃん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4</v>
          </cell>
          <cell r="J1640" t="str">
            <v>Drop2N</v>
          </cell>
          <cell r="K1640" t="str">
            <v>hp</v>
          </cell>
          <cell r="L1640" t="str">
            <v>体力タイプ</v>
          </cell>
          <cell r="M1640" t="str">
            <v>ss</v>
          </cell>
        </row>
        <row r="1641">
          <cell r="A1641">
            <v>8050</v>
          </cell>
          <cell r="B1641" t="str">
            <v>ja</v>
          </cell>
          <cell r="C1641" t="str">
            <v>KIRIMIちゃん</v>
          </cell>
          <cell r="D1641" t="str">
            <v>KIRIMIちゃん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5</v>
          </cell>
          <cell r="J1641" t="str">
            <v>Drop2N</v>
          </cell>
          <cell r="K1641" t="str">
            <v>hp</v>
          </cell>
          <cell r="L1641" t="str">
            <v>体力タイプ</v>
          </cell>
          <cell r="M1641" t="str">
            <v>ss</v>
          </cell>
        </row>
        <row r="1642">
          <cell r="A1642">
            <v>8051</v>
          </cell>
          <cell r="B1642" t="str">
            <v>ja</v>
          </cell>
          <cell r="C1642" t="str">
            <v>ハローキティのリボン</v>
          </cell>
          <cell r="D1642" t="str">
            <v>ハローキティのリボン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red</v>
          </cell>
          <cell r="I1642">
            <v>5</v>
          </cell>
          <cell r="J1642" t="str">
            <v>Drop2N</v>
          </cell>
          <cell r="K1642" t="str">
            <v>evolution</v>
          </cell>
          <cell r="L1642" t="str">
            <v>覚醒素材タイプ</v>
          </cell>
          <cell r="M1642" t="str">
            <v>ss</v>
          </cell>
        </row>
        <row r="1643">
          <cell r="A1643">
            <v>8052</v>
          </cell>
          <cell r="B1643" t="str">
            <v>ja</v>
          </cell>
          <cell r="C1643" t="str">
            <v>ママの作ったアップルパイ</v>
          </cell>
          <cell r="D1643" t="str">
            <v>ママの作ったアップルパイ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evolution</v>
          </cell>
          <cell r="L1643" t="str">
            <v>覚醒素材タイプ</v>
          </cell>
          <cell r="M1643" t="str">
            <v>ss</v>
          </cell>
        </row>
        <row r="1644">
          <cell r="A1644">
            <v>8053</v>
          </cell>
          <cell r="B1644" t="str">
            <v>ja</v>
          </cell>
          <cell r="C1644" t="str">
            <v>D.R.T.H__キティコスプレ</v>
          </cell>
          <cell r="D1644" t="str">
            <v>D.R.T.H__キティコスプレ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</row>
        <row r="1645">
          <cell r="A1645">
            <v>8054</v>
          </cell>
          <cell r="B1645" t="str">
            <v>ja</v>
          </cell>
          <cell r="C1645" t="str">
            <v>D.R.T.H__キティコスプレ</v>
          </cell>
          <cell r="D1645" t="str">
            <v>D.R.T.H__キティコスプレ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ss</v>
          </cell>
        </row>
        <row r="1646">
          <cell r="A1646">
            <v>8055</v>
          </cell>
          <cell r="B1646" t="str">
            <v>ja</v>
          </cell>
          <cell r="C1646" t="str">
            <v>マイメロディ</v>
          </cell>
          <cell r="D1646" t="str">
            <v>マイメロディ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4</v>
          </cell>
          <cell r="J1646" t="str">
            <v>PremiumS</v>
          </cell>
          <cell r="K1646" t="str">
            <v>attack</v>
          </cell>
          <cell r="L1646" t="str">
            <v>攻撃タイプ</v>
          </cell>
          <cell r="M1646" t="str">
            <v>ss</v>
          </cell>
        </row>
        <row r="1647">
          <cell r="A1647">
            <v>8056</v>
          </cell>
          <cell r="B1647" t="str">
            <v>ja</v>
          </cell>
          <cell r="C1647" t="str">
            <v>マイメロディ</v>
          </cell>
          <cell r="D1647" t="str">
            <v>マイメロディ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PremiumS</v>
          </cell>
          <cell r="K1647" t="str">
            <v>attack</v>
          </cell>
          <cell r="L1647" t="str">
            <v>攻撃タイプ</v>
          </cell>
          <cell r="M1647" t="str">
            <v>ss</v>
          </cell>
        </row>
        <row r="1648">
          <cell r="A1648">
            <v>8057</v>
          </cell>
          <cell r="B1648" t="str">
            <v>ja</v>
          </cell>
          <cell r="C1648" t="str">
            <v>ニーベルゲン_シナモロールコスプレ</v>
          </cell>
          <cell r="D1648" t="str">
            <v>ニーベルゲン_シナモロールコスプレ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green</v>
          </cell>
          <cell r="I1648">
            <v>4</v>
          </cell>
          <cell r="J1648" t="str">
            <v>PremiumS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</row>
        <row r="1649">
          <cell r="A1649">
            <v>8058</v>
          </cell>
          <cell r="B1649" t="str">
            <v>ja</v>
          </cell>
          <cell r="C1649" t="str">
            <v>ニーベルゲン_シナモロールコスプレ</v>
          </cell>
          <cell r="D1649" t="str">
            <v>ニーベルゲン_シナモロールコスプレ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green</v>
          </cell>
          <cell r="I1649">
            <v>5</v>
          </cell>
          <cell r="J1649" t="str">
            <v>PremiumS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8059</v>
          </cell>
          <cell r="B1650" t="str">
            <v>ja</v>
          </cell>
          <cell r="C1650" t="str">
            <v>カカシ_マイメロディコスプレ</v>
          </cell>
          <cell r="D1650" t="str">
            <v>カカシ_マイメロディコスプレ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green</v>
          </cell>
          <cell r="I1650">
            <v>4</v>
          </cell>
          <cell r="J1650" t="str">
            <v>PremiumS</v>
          </cell>
          <cell r="K1650" t="str">
            <v>technical</v>
          </cell>
          <cell r="L1650" t="str">
            <v>テクニカルタイプ</v>
          </cell>
          <cell r="M1650" t="str">
            <v>ss</v>
          </cell>
        </row>
        <row r="1651">
          <cell r="A1651">
            <v>8060</v>
          </cell>
          <cell r="B1651" t="str">
            <v>ja</v>
          </cell>
          <cell r="C1651" t="str">
            <v>カカシ_マイメロディコスプレ</v>
          </cell>
          <cell r="D1651" t="str">
            <v>カカシ_マイメロディコスプレ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green</v>
          </cell>
          <cell r="I1651">
            <v>5</v>
          </cell>
          <cell r="J1651" t="str">
            <v>PremiumS</v>
          </cell>
          <cell r="K1651" t="str">
            <v>technical</v>
          </cell>
          <cell r="L1651" t="str">
            <v>テクニカルタイプ</v>
          </cell>
          <cell r="M1651" t="str">
            <v>ss</v>
          </cell>
        </row>
        <row r="1652">
          <cell r="A1652">
            <v>8061</v>
          </cell>
          <cell r="B1652" t="str">
            <v>ja</v>
          </cell>
          <cell r="C1652" t="str">
            <v>ケロケロけろっぴ</v>
          </cell>
          <cell r="D1652" t="str">
            <v>ケロケロけろっぴ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green</v>
          </cell>
          <cell r="I1652">
            <v>3</v>
          </cell>
          <cell r="J1652" t="str">
            <v>PremiumS</v>
          </cell>
          <cell r="K1652" t="str">
            <v>balance</v>
          </cell>
          <cell r="L1652" t="str">
            <v>バランスタイプ</v>
          </cell>
          <cell r="M1652" t="str">
            <v>ss</v>
          </cell>
        </row>
        <row r="1653">
          <cell r="A1653">
            <v>8062</v>
          </cell>
          <cell r="B1653" t="str">
            <v>ja</v>
          </cell>
          <cell r="C1653" t="str">
            <v>ケロケロけろっぴ</v>
          </cell>
          <cell r="D1653" t="str">
            <v>ケロケロけろっぴ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</row>
        <row r="1654">
          <cell r="A1654">
            <v>8063</v>
          </cell>
          <cell r="B1654" t="str">
            <v>ja</v>
          </cell>
          <cell r="C1654" t="str">
            <v>モルドレッド_ポムポムプリンコスプレ</v>
          </cell>
          <cell r="D1654" t="str">
            <v>モルドレッド_ポムポムプリンコスプレ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PremiumSS</v>
          </cell>
          <cell r="K1654" t="str">
            <v>heal</v>
          </cell>
          <cell r="L1654" t="str">
            <v>回復タイプ</v>
          </cell>
          <cell r="M1654" t="str">
            <v>ss</v>
          </cell>
        </row>
        <row r="1655">
          <cell r="A1655">
            <v>8064</v>
          </cell>
          <cell r="B1655" t="str">
            <v>ja</v>
          </cell>
          <cell r="C1655" t="str">
            <v>モルドレッド_ポムポムプリンコスプレ</v>
          </cell>
          <cell r="D1655" t="str">
            <v>モルドレッド_ポムポムプリンコスプレ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PremiumSS</v>
          </cell>
          <cell r="K1655" t="str">
            <v>heal</v>
          </cell>
          <cell r="L1655" t="str">
            <v>回復タイプ</v>
          </cell>
          <cell r="M1655" t="str">
            <v>ss</v>
          </cell>
        </row>
        <row r="1656">
          <cell r="A1656">
            <v>8065</v>
          </cell>
          <cell r="B1656" t="str">
            <v>ja</v>
          </cell>
          <cell r="C1656" t="str">
            <v>クロミ</v>
          </cell>
          <cell r="D1656" t="str">
            <v>クロミ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blue</v>
          </cell>
          <cell r="I1656">
            <v>3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8066</v>
          </cell>
          <cell r="B1657" t="str">
            <v>ja</v>
          </cell>
          <cell r="C1657" t="str">
            <v>クロミ</v>
          </cell>
          <cell r="D1657" t="str">
            <v>クロミ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blue</v>
          </cell>
          <cell r="I1657">
            <v>4</v>
          </cell>
          <cell r="J1657" t="str">
            <v>PremiumS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8067</v>
          </cell>
          <cell r="B1658" t="str">
            <v>ja</v>
          </cell>
          <cell r="C1658" t="str">
            <v>バッドばつ丸</v>
          </cell>
          <cell r="D1658" t="str">
            <v>バッドばつ丸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blue</v>
          </cell>
          <cell r="I1658">
            <v>3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</row>
        <row r="1659">
          <cell r="A1659">
            <v>8068</v>
          </cell>
          <cell r="B1659" t="str">
            <v>ja</v>
          </cell>
          <cell r="C1659" t="str">
            <v>バッドばつ丸</v>
          </cell>
          <cell r="D1659" t="str">
            <v>バッドばつ丸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4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</row>
        <row r="1660">
          <cell r="A1660">
            <v>8069</v>
          </cell>
          <cell r="B1660" t="str">
            <v>ja</v>
          </cell>
          <cell r="C1660" t="str">
            <v>シナモロール</v>
          </cell>
          <cell r="D1660" t="str">
            <v>シナモロール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yellow</v>
          </cell>
          <cell r="I1660">
            <v>4</v>
          </cell>
          <cell r="J1660" t="str">
            <v>PremiumS</v>
          </cell>
          <cell r="K1660" t="str">
            <v>heal</v>
          </cell>
          <cell r="L1660" t="str">
            <v>回復タイプ</v>
          </cell>
          <cell r="M1660" t="str">
            <v>ss</v>
          </cell>
        </row>
        <row r="1661">
          <cell r="A1661">
            <v>8070</v>
          </cell>
          <cell r="B1661" t="str">
            <v>ja</v>
          </cell>
          <cell r="C1661" t="str">
            <v>シナモロール</v>
          </cell>
          <cell r="D1661" t="str">
            <v>シナモロール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5</v>
          </cell>
          <cell r="J1661" t="str">
            <v>PremiumS</v>
          </cell>
          <cell r="K1661" t="str">
            <v>heal</v>
          </cell>
          <cell r="L1661" t="str">
            <v>回復タイプ</v>
          </cell>
          <cell r="M1661" t="str">
            <v>ss</v>
          </cell>
        </row>
        <row r="1662">
          <cell r="A1662">
            <v>8071</v>
          </cell>
          <cell r="B1662" t="str">
            <v>ja</v>
          </cell>
          <cell r="C1662" t="str">
            <v>ポムポムプリン</v>
          </cell>
          <cell r="D1662" t="str">
            <v>ポムポムプリン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3</v>
          </cell>
          <cell r="J1662" t="str">
            <v>PremiumS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8072</v>
          </cell>
          <cell r="B1663" t="str">
            <v>ja</v>
          </cell>
          <cell r="C1663" t="str">
            <v>ポムポムプリン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yellow</v>
          </cell>
          <cell r="I1663">
            <v>4</v>
          </cell>
          <cell r="J1663" t="str">
            <v>PremiumS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8073</v>
          </cell>
          <cell r="B1664" t="str">
            <v>ja</v>
          </cell>
          <cell r="C1664" t="str">
            <v>星海祈る天光妃 媽祖</v>
          </cell>
          <cell r="D1664" t="str">
            <v>Expoミク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attack</v>
          </cell>
          <cell r="L1664" t="str">
            <v>攻撃タイプ</v>
          </cell>
          <cell r="M1664" t="str">
            <v>human</v>
          </cell>
        </row>
        <row r="1665">
          <cell r="A1665">
            <v>8074</v>
          </cell>
          <cell r="B1665" t="str">
            <v>ja</v>
          </cell>
          <cell r="C1665" t="str">
            <v>海戀の絶龍姫 蛟龍</v>
          </cell>
          <cell r="D1665" t="str">
            <v>Expoミク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DropWizS</v>
          </cell>
          <cell r="K1665" t="str">
            <v>hp</v>
          </cell>
          <cell r="L1665" t="str">
            <v>体力タイプ</v>
          </cell>
          <cell r="M1665" t="str">
            <v>dragon</v>
          </cell>
        </row>
        <row r="1666">
          <cell r="A1666">
            <v>8075</v>
          </cell>
          <cell r="B1666" t="str">
            <v>ja</v>
          </cell>
          <cell r="C1666" t="str">
            <v>解脱天の知徳 三蔵法師</v>
          </cell>
          <cell r="D1666" t="str">
            <v>Expoミク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god</v>
          </cell>
        </row>
        <row r="1667">
          <cell r="A1667">
            <v>8076</v>
          </cell>
          <cell r="B1667" t="str">
            <v>ja</v>
          </cell>
          <cell r="C1667" t="str">
            <v>天暴の斉天大聖 孫悟空</v>
          </cell>
          <cell r="D1667" t="str">
            <v>Expoミク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DropWizS</v>
          </cell>
          <cell r="K1667" t="str">
            <v>attack</v>
          </cell>
          <cell r="L1667" t="str">
            <v>攻撃タイプ</v>
          </cell>
          <cell r="M1667" t="str">
            <v>unknown</v>
          </cell>
        </row>
        <row r="1668">
          <cell r="A1668">
            <v>8077</v>
          </cell>
          <cell r="B1668" t="str">
            <v>ja</v>
          </cell>
          <cell r="C1668" t="str">
            <v>鄭成功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5</v>
          </cell>
          <cell r="J1668" t="str">
            <v>PremiumSS</v>
          </cell>
          <cell r="K1668" t="str">
            <v>attack</v>
          </cell>
          <cell r="L1668" t="str">
            <v>攻撃タイプ</v>
          </cell>
          <cell r="M1668" t="str">
            <v>human</v>
          </cell>
        </row>
        <row r="1669">
          <cell r="A1669">
            <v>8078</v>
          </cell>
          <cell r="B1669" t="str">
            <v>ja</v>
          </cell>
          <cell r="C1669" t="str">
            <v>レア６鄭成功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</row>
        <row r="1670">
          <cell r="A1670">
            <v>8079</v>
          </cell>
          <cell r="B1670" t="str">
            <v>ja</v>
          </cell>
          <cell r="C1670" t="str">
            <v>赤鬼</v>
          </cell>
          <cell r="D1670" t="str">
            <v>ポムポムプリン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red</v>
          </cell>
          <cell r="I1670">
            <v>5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</row>
        <row r="1671">
          <cell r="A1671">
            <v>8080</v>
          </cell>
          <cell r="B1671" t="str">
            <v>ja</v>
          </cell>
          <cell r="C1671" t="str">
            <v>レア６赤鬼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6</v>
          </cell>
          <cell r="J1671" t="str">
            <v>DropWizS</v>
          </cell>
          <cell r="K1671" t="str">
            <v>hp</v>
          </cell>
          <cell r="L1671" t="str">
            <v>体力タイプ</v>
          </cell>
          <cell r="M1671" t="str">
            <v>dragon</v>
          </cell>
        </row>
        <row r="1672">
          <cell r="A1672">
            <v>8081</v>
          </cell>
          <cell r="B1672" t="str">
            <v>ja</v>
          </cell>
          <cell r="C1672" t="str">
            <v>関羽</v>
          </cell>
          <cell r="H1672" t="str">
            <v>green</v>
          </cell>
          <cell r="I1672">
            <v>5</v>
          </cell>
          <cell r="J1672" t="str">
            <v>PremiumSSS</v>
          </cell>
          <cell r="K1672" t="str">
            <v>balance</v>
          </cell>
          <cell r="L1672" t="str">
            <v>バランスタイプ</v>
          </cell>
          <cell r="M1672" t="str">
            <v>samurai</v>
          </cell>
        </row>
        <row r="1673">
          <cell r="A1673">
            <v>8082</v>
          </cell>
          <cell r="B1673" t="str">
            <v>ja</v>
          </cell>
          <cell r="C1673" t="str">
            <v>★６関羽</v>
          </cell>
          <cell r="H1673" t="str">
            <v>green</v>
          </cell>
          <cell r="I1673">
            <v>6</v>
          </cell>
          <cell r="J1673" t="str">
            <v>PremiumSSS</v>
          </cell>
          <cell r="K1673" t="str">
            <v>balance</v>
          </cell>
          <cell r="L1673" t="str">
            <v>バランスタイプ</v>
          </cell>
          <cell r="M1673" t="str">
            <v>samurai</v>
          </cell>
        </row>
        <row r="1674">
          <cell r="A1674">
            <v>8083</v>
          </cell>
          <cell r="B1674" t="str">
            <v>ja</v>
          </cell>
          <cell r="C1674" t="str">
            <v>曹操</v>
          </cell>
          <cell r="H1674" t="str">
            <v>yellow</v>
          </cell>
          <cell r="I1674">
            <v>5</v>
          </cell>
          <cell r="J1674" t="str">
            <v>DropWizSS</v>
          </cell>
          <cell r="K1674" t="str">
            <v>technical</v>
          </cell>
          <cell r="L1674" t="str">
            <v>テクニカルタイプ</v>
          </cell>
          <cell r="M1674" t="str">
            <v>samurai</v>
          </cell>
        </row>
        <row r="1675">
          <cell r="A1675">
            <v>8084</v>
          </cell>
          <cell r="B1675" t="str">
            <v>ja</v>
          </cell>
          <cell r="C1675" t="str">
            <v>★６曹操</v>
          </cell>
          <cell r="H1675" t="str">
            <v>yellow</v>
          </cell>
          <cell r="I1675">
            <v>6</v>
          </cell>
          <cell r="J1675" t="str">
            <v>DropWizSS</v>
          </cell>
          <cell r="K1675" t="str">
            <v>technical</v>
          </cell>
          <cell r="L1675" t="str">
            <v>テクニカルタイプ</v>
          </cell>
          <cell r="M1675" t="str">
            <v>samurai</v>
          </cell>
        </row>
        <row r="1676">
          <cell r="A1676">
            <v>8085</v>
          </cell>
          <cell r="B1676" t="str">
            <v>ja</v>
          </cell>
          <cell r="C1676" t="str">
            <v>九霊無上の聖母 西王娘娘</v>
          </cell>
          <cell r="H1676" t="str">
            <v>green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god</v>
          </cell>
        </row>
        <row r="1677">
          <cell r="A1677">
            <v>8086</v>
          </cell>
          <cell r="B1677" t="str">
            <v>ja</v>
          </cell>
          <cell r="C1677" t="str">
            <v>砕縁の情滅剣 月下老人</v>
          </cell>
          <cell r="H1677" t="str">
            <v>yellow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god</v>
          </cell>
        </row>
        <row r="1678">
          <cell r="A1678">
            <v>8087</v>
          </cell>
          <cell r="B1678" t="str">
            <v>ja</v>
          </cell>
          <cell r="C1678" t="str">
            <v>財神</v>
          </cell>
          <cell r="H1678" t="str">
            <v>red</v>
          </cell>
          <cell r="I1678">
            <v>5</v>
          </cell>
          <cell r="J1678" t="str">
            <v>PremiumSSS</v>
          </cell>
          <cell r="K1678" t="str">
            <v>technical</v>
          </cell>
          <cell r="L1678" t="str">
            <v>テクニカルタイプ</v>
          </cell>
          <cell r="M1678" t="str">
            <v>god</v>
          </cell>
        </row>
        <row r="1679">
          <cell r="A1679">
            <v>8088</v>
          </cell>
          <cell r="B1679" t="str">
            <v>ja</v>
          </cell>
          <cell r="C1679" t="str">
            <v>★６財神</v>
          </cell>
          <cell r="H1679" t="str">
            <v>red</v>
          </cell>
          <cell r="I1679">
            <v>6</v>
          </cell>
          <cell r="J1679" t="str">
            <v>PremiumSSS</v>
          </cell>
          <cell r="K1679" t="str">
            <v>technical</v>
          </cell>
          <cell r="L1679" t="str">
            <v>テクニカルタイプ</v>
          </cell>
          <cell r="M1679" t="str">
            <v>god</v>
          </cell>
        </row>
        <row r="1680">
          <cell r="A1680">
            <v>8089</v>
          </cell>
          <cell r="B1680" t="str">
            <v>ja</v>
          </cell>
          <cell r="C1680" t="str">
            <v>年獣</v>
          </cell>
          <cell r="H1680" t="str">
            <v>green</v>
          </cell>
          <cell r="I1680">
            <v>5</v>
          </cell>
          <cell r="J1680" t="str">
            <v>DropWizS</v>
          </cell>
          <cell r="K1680" t="str">
            <v>attack</v>
          </cell>
          <cell r="L1680" t="str">
            <v>攻撃タイプ</v>
          </cell>
          <cell r="M1680" t="str">
            <v>animal</v>
          </cell>
        </row>
        <row r="1681">
          <cell r="A1681">
            <v>8090</v>
          </cell>
          <cell r="B1681" t="str">
            <v>ja</v>
          </cell>
          <cell r="C1681" t="str">
            <v>★６年獣</v>
          </cell>
          <cell r="H1681" t="str">
            <v>green</v>
          </cell>
          <cell r="I1681">
            <v>6</v>
          </cell>
          <cell r="J1681" t="str">
            <v>DropWizS</v>
          </cell>
          <cell r="K1681" t="str">
            <v>attack</v>
          </cell>
          <cell r="L1681" t="str">
            <v>攻撃タイプ</v>
          </cell>
          <cell r="M1681" t="str">
            <v>animal</v>
          </cell>
        </row>
        <row r="1682">
          <cell r="A1682">
            <v>8095</v>
          </cell>
          <cell r="B1682" t="str">
            <v>ja</v>
          </cell>
          <cell r="C1682" t="str">
            <v>バハムートダック赤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6</v>
          </cell>
          <cell r="J1682" t="str">
            <v>Material</v>
          </cell>
          <cell r="K1682" t="str">
            <v>exp</v>
          </cell>
          <cell r="L1682" t="str">
            <v>強化素材タイプ</v>
          </cell>
          <cell r="M1682" t="str">
            <v>unknown</v>
          </cell>
        </row>
        <row r="1683">
          <cell r="A1683">
            <v>8096</v>
          </cell>
          <cell r="B1683" t="str">
            <v>ja</v>
          </cell>
          <cell r="C1683" t="str">
            <v>バハムートダック緑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6</v>
          </cell>
          <cell r="J1683" t="str">
            <v>Material</v>
          </cell>
          <cell r="K1683" t="str">
            <v>exp</v>
          </cell>
          <cell r="L1683" t="str">
            <v>強化素材タイプ</v>
          </cell>
          <cell r="M1683" t="str">
            <v>unknown</v>
          </cell>
        </row>
        <row r="1684">
          <cell r="A1684">
            <v>8097</v>
          </cell>
          <cell r="B1684" t="str">
            <v>ja</v>
          </cell>
          <cell r="C1684" t="str">
            <v>バハムートダック青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blue</v>
          </cell>
          <cell r="I1684">
            <v>6</v>
          </cell>
          <cell r="J1684" t="str">
            <v>Material</v>
          </cell>
          <cell r="K1684" t="str">
            <v>exp</v>
          </cell>
          <cell r="L1684" t="str">
            <v>強化素材タイプ</v>
          </cell>
          <cell r="M1684" t="str">
            <v>unknown</v>
          </cell>
        </row>
        <row r="1685">
          <cell r="A1685">
            <v>8098</v>
          </cell>
          <cell r="B1685" t="str">
            <v>ja</v>
          </cell>
          <cell r="C1685" t="str">
            <v>バハムートダック黄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6</v>
          </cell>
          <cell r="J1685" t="str">
            <v>Material</v>
          </cell>
          <cell r="K1685" t="str">
            <v>exp</v>
          </cell>
          <cell r="L1685" t="str">
            <v>強化素材タイプ</v>
          </cell>
          <cell r="M1685" t="str">
            <v>unknown</v>
          </cell>
        </row>
        <row r="1686">
          <cell r="A1686">
            <v>8099</v>
          </cell>
          <cell r="B1686" t="str">
            <v>ja</v>
          </cell>
          <cell r="C1686" t="str">
            <v>韓湘子</v>
          </cell>
          <cell r="D1686" t="str">
            <v>ポムポムプリン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green</v>
          </cell>
          <cell r="I1686">
            <v>5</v>
          </cell>
          <cell r="J1686" t="str">
            <v>PremiumSSw</v>
          </cell>
          <cell r="K1686" t="str">
            <v>balance</v>
          </cell>
          <cell r="L1686" t="str">
            <v>バランスタイプ</v>
          </cell>
          <cell r="M1686" t="str">
            <v>god</v>
          </cell>
        </row>
        <row r="1687">
          <cell r="A1687">
            <v>8100</v>
          </cell>
          <cell r="B1687" t="str">
            <v>ja</v>
          </cell>
          <cell r="C1687" t="str">
            <v>韓湘子★６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green</v>
          </cell>
          <cell r="I1687">
            <v>6</v>
          </cell>
          <cell r="J1687" t="str">
            <v>PremiumSSw</v>
          </cell>
          <cell r="K1687" t="str">
            <v>balance</v>
          </cell>
          <cell r="L1687" t="str">
            <v>バランスタイプ</v>
          </cell>
          <cell r="M1687" t="str">
            <v>god</v>
          </cell>
        </row>
        <row r="1688">
          <cell r="A1688">
            <v>8101</v>
          </cell>
          <cell r="B1688" t="str">
            <v>ja</v>
          </cell>
          <cell r="C1688" t="str">
            <v>張果老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yellow</v>
          </cell>
          <cell r="I1688">
            <v>5</v>
          </cell>
          <cell r="J1688" t="str">
            <v>DropWizS</v>
          </cell>
          <cell r="K1688" t="str">
            <v>attack</v>
          </cell>
          <cell r="L1688" t="str">
            <v>攻撃タイプ</v>
          </cell>
          <cell r="M1688" t="str">
            <v>god</v>
          </cell>
        </row>
        <row r="1689">
          <cell r="A1689">
            <v>8102</v>
          </cell>
          <cell r="B1689" t="str">
            <v>ja</v>
          </cell>
          <cell r="C1689" t="str">
            <v>張果老★６</v>
          </cell>
          <cell r="D1689" t="str">
            <v>各属性相性良3・黄・R455</v>
          </cell>
          <cell r="E1689" t="str">
            <v>執行者</v>
          </cell>
          <cell r="F1689" t="str">
            <v>格好いい</v>
          </cell>
          <cell r="G1689" t="str">
            <v>男性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</row>
        <row r="1690">
          <cell r="A1690">
            <v>8103</v>
          </cell>
          <cell r="B1690" t="str">
            <v>ja</v>
          </cell>
          <cell r="C1690" t="str">
            <v>李鐵拐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PremiumSSw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</row>
        <row r="1691">
          <cell r="A1691">
            <v>8104</v>
          </cell>
          <cell r="B1691" t="str">
            <v>ja</v>
          </cell>
          <cell r="C1691" t="str">
            <v>李鐵拐★６</v>
          </cell>
          <cell r="D1691" t="str">
            <v>各属性相性良3・黄・R455</v>
          </cell>
          <cell r="E1691" t="str">
            <v>執行者</v>
          </cell>
          <cell r="F1691" t="str">
            <v>格好いい</v>
          </cell>
          <cell r="G1691" t="str">
            <v>男性</v>
          </cell>
          <cell r="H1691" t="str">
            <v>red</v>
          </cell>
          <cell r="I1691">
            <v>6</v>
          </cell>
          <cell r="J1691" t="str">
            <v>PremiumSSw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</row>
        <row r="1692">
          <cell r="A1692">
            <v>8105</v>
          </cell>
          <cell r="B1692" t="str">
            <v>ja</v>
          </cell>
          <cell r="C1692" t="str">
            <v>曹國舅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god</v>
          </cell>
        </row>
        <row r="1693">
          <cell r="A1693">
            <v>8106</v>
          </cell>
          <cell r="B1693" t="str">
            <v>ja</v>
          </cell>
          <cell r="C1693" t="str">
            <v>曹國舅★６</v>
          </cell>
          <cell r="D1693" t="str">
            <v>各属性相性良3・黄・R455</v>
          </cell>
          <cell r="E1693" t="str">
            <v>執行者</v>
          </cell>
          <cell r="F1693" t="str">
            <v>格好いい</v>
          </cell>
          <cell r="G1693" t="str">
            <v>男性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god</v>
          </cell>
        </row>
        <row r="1694">
          <cell r="A1694">
            <v>8111</v>
          </cell>
          <cell r="B1694" t="str">
            <v>ja</v>
          </cell>
          <cell r="C1694" t="str">
            <v>福德正神</v>
          </cell>
          <cell r="H1694" t="str">
            <v>blue</v>
          </cell>
          <cell r="I1694">
            <v>5</v>
          </cell>
          <cell r="J1694" t="str">
            <v>Drop2N</v>
          </cell>
          <cell r="K1694" t="str">
            <v>heal</v>
          </cell>
          <cell r="L1694" t="str">
            <v>回復タイプ</v>
          </cell>
          <cell r="M1694" t="str">
            <v>god</v>
          </cell>
        </row>
        <row r="1695">
          <cell r="A1695">
            <v>8112</v>
          </cell>
          <cell r="B1695" t="str">
            <v>ja</v>
          </cell>
          <cell r="C1695" t="str">
            <v>福德正神★６</v>
          </cell>
          <cell r="H1695" t="str">
            <v>blue</v>
          </cell>
          <cell r="I1695">
            <v>6</v>
          </cell>
          <cell r="J1695" t="str">
            <v>Drop2N</v>
          </cell>
          <cell r="K1695" t="str">
            <v>heal</v>
          </cell>
          <cell r="L1695" t="str">
            <v>回復タイプ</v>
          </cell>
          <cell r="M1695" t="str">
            <v>god</v>
          </cell>
        </row>
        <row r="1696">
          <cell r="A1696">
            <v>8113</v>
          </cell>
          <cell r="B1696" t="str">
            <v>ja</v>
          </cell>
          <cell r="C1696" t="str">
            <v>孔子</v>
          </cell>
          <cell r="H1696" t="str">
            <v>yellow</v>
          </cell>
          <cell r="I1696">
            <v>5</v>
          </cell>
          <cell r="J1696" t="str">
            <v>PremiumSSS</v>
          </cell>
          <cell r="K1696" t="str">
            <v>attack</v>
          </cell>
          <cell r="L1696" t="str">
            <v>攻撃タイプ</v>
          </cell>
          <cell r="M1696" t="str">
            <v>academia</v>
          </cell>
        </row>
        <row r="1697">
          <cell r="A1697">
            <v>8114</v>
          </cell>
          <cell r="B1697" t="str">
            <v>ja</v>
          </cell>
          <cell r="C1697" t="str">
            <v>孔子★６</v>
          </cell>
          <cell r="H1697" t="str">
            <v>yellow</v>
          </cell>
          <cell r="I1697">
            <v>6</v>
          </cell>
          <cell r="J1697" t="str">
            <v>PremiumSSS</v>
          </cell>
          <cell r="K1697" t="str">
            <v>attack</v>
          </cell>
          <cell r="L1697" t="str">
            <v>攻撃タイプ</v>
          </cell>
          <cell r="M1697" t="str">
            <v>academia</v>
          </cell>
        </row>
        <row r="1698">
          <cell r="A1698">
            <v>8115</v>
          </cell>
          <cell r="B1698" t="str">
            <v>ja</v>
          </cell>
          <cell r="C1698" t="str">
            <v>贏政</v>
          </cell>
          <cell r="H1698" t="str">
            <v>blue</v>
          </cell>
          <cell r="I1698">
            <v>5</v>
          </cell>
          <cell r="J1698" t="str">
            <v>DropWizSS</v>
          </cell>
          <cell r="K1698" t="str">
            <v>attack</v>
          </cell>
          <cell r="L1698" t="str">
            <v>攻撃タイプ</v>
          </cell>
          <cell r="M1698" t="str">
            <v>human</v>
          </cell>
        </row>
        <row r="1699">
          <cell r="A1699">
            <v>8116</v>
          </cell>
          <cell r="B1699" t="str">
            <v>ja</v>
          </cell>
          <cell r="C1699" t="str">
            <v>贏政★６</v>
          </cell>
          <cell r="H1699" t="str">
            <v>blue</v>
          </cell>
          <cell r="I1699">
            <v>6</v>
          </cell>
          <cell r="J1699" t="str">
            <v>DropWizSS</v>
          </cell>
          <cell r="K1699" t="str">
            <v>attack</v>
          </cell>
          <cell r="L1699" t="str">
            <v>攻撃タイプ</v>
          </cell>
          <cell r="M1699" t="str">
            <v>human</v>
          </cell>
        </row>
        <row r="1700">
          <cell r="A1700">
            <v>8117</v>
          </cell>
          <cell r="B1700" t="str">
            <v>ja</v>
          </cell>
          <cell r="C1700" t="str">
            <v>白娘子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PremiumSSw</v>
          </cell>
          <cell r="K1700" t="str">
            <v>heal</v>
          </cell>
          <cell r="L1700" t="str">
            <v>回復タイプ</v>
          </cell>
          <cell r="M1700" t="str">
            <v>dragon</v>
          </cell>
        </row>
        <row r="1701">
          <cell r="A1701">
            <v>8118</v>
          </cell>
          <cell r="B1701" t="str">
            <v>ja</v>
          </cell>
          <cell r="C1701" t="str">
            <v>白娘子★６</v>
          </cell>
          <cell r="D1701" t="str">
            <v>ポムポムプリン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6</v>
          </cell>
          <cell r="J1701" t="str">
            <v>PremiumSSw</v>
          </cell>
          <cell r="K1701" t="str">
            <v>heal</v>
          </cell>
          <cell r="L1701" t="str">
            <v>回復タイプ</v>
          </cell>
          <cell r="M1701" t="str">
            <v>dragon</v>
          </cell>
        </row>
        <row r="1702">
          <cell r="A1702">
            <v>8119</v>
          </cell>
          <cell r="B1702" t="str">
            <v>ja</v>
          </cell>
          <cell r="C1702" t="str">
            <v>小青</v>
          </cell>
          <cell r="D1702" t="str">
            <v>ポムポムプリン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5</v>
          </cell>
          <cell r="J1702" t="str">
            <v>PremiumSSw</v>
          </cell>
          <cell r="K1702" t="str">
            <v>attack</v>
          </cell>
          <cell r="L1702" t="str">
            <v>攻撃タイプ</v>
          </cell>
          <cell r="M1702" t="str">
            <v>dragon</v>
          </cell>
        </row>
        <row r="1703">
          <cell r="A1703">
            <v>8120</v>
          </cell>
          <cell r="B1703" t="str">
            <v>ja</v>
          </cell>
          <cell r="C1703" t="str">
            <v>小青★６</v>
          </cell>
          <cell r="D1703" t="str">
            <v>ポムポムプリン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green</v>
          </cell>
          <cell r="I1703">
            <v>6</v>
          </cell>
          <cell r="J1703" t="str">
            <v>PremiumSSw</v>
          </cell>
          <cell r="K1703" t="str">
            <v>attack</v>
          </cell>
          <cell r="L1703" t="str">
            <v>攻撃タイプ</v>
          </cell>
          <cell r="M1703" t="str">
            <v>dragon</v>
          </cell>
        </row>
        <row r="1704">
          <cell r="A1704">
            <v>8121</v>
          </cell>
          <cell r="B1704" t="str">
            <v>ja</v>
          </cell>
          <cell r="C1704" t="str">
            <v>法海</v>
          </cell>
          <cell r="D1704" t="str">
            <v>ポムポムプリン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yellow</v>
          </cell>
          <cell r="I1704">
            <v>5</v>
          </cell>
          <cell r="J1704" t="str">
            <v>DropWizS</v>
          </cell>
          <cell r="K1704" t="str">
            <v>attack</v>
          </cell>
          <cell r="L1704" t="str">
            <v>攻撃タイプ</v>
          </cell>
          <cell r="M1704" t="str">
            <v>human</v>
          </cell>
        </row>
        <row r="1705">
          <cell r="A1705">
            <v>8122</v>
          </cell>
          <cell r="B1705" t="str">
            <v>ja</v>
          </cell>
          <cell r="C1705" t="str">
            <v>法海★６</v>
          </cell>
          <cell r="D1705" t="str">
            <v>各属性相性良3・黄・R455</v>
          </cell>
          <cell r="E1705" t="str">
            <v>執行者</v>
          </cell>
          <cell r="F1705" t="str">
            <v>格好いい</v>
          </cell>
          <cell r="G1705" t="str">
            <v>男性</v>
          </cell>
          <cell r="H1705" t="str">
            <v>yellow</v>
          </cell>
          <cell r="I1705">
            <v>6</v>
          </cell>
          <cell r="J1705" t="str">
            <v>DropWizS</v>
          </cell>
          <cell r="K1705" t="str">
            <v>attack</v>
          </cell>
          <cell r="L1705" t="str">
            <v>攻撃タイプ</v>
          </cell>
          <cell r="M1705" t="str">
            <v>human</v>
          </cell>
        </row>
        <row r="1706">
          <cell r="A1706">
            <v>9001</v>
          </cell>
          <cell r="B1706" t="str">
            <v>ja</v>
          </cell>
          <cell r="C1706" t="str">
            <v>春香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red</v>
          </cell>
          <cell r="I1706">
            <v>5</v>
          </cell>
          <cell r="J1706" t="str">
            <v>PremiumSSw</v>
          </cell>
          <cell r="K1706" t="str">
            <v>attack</v>
          </cell>
          <cell r="L1706" t="str">
            <v>攻撃タイプ</v>
          </cell>
          <cell r="M1706" t="str">
            <v>human</v>
          </cell>
        </row>
        <row r="1707">
          <cell r="A1707">
            <v>9002</v>
          </cell>
          <cell r="B1707" t="str">
            <v>ja</v>
          </cell>
          <cell r="C1707" t="str">
            <v>春香★６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red</v>
          </cell>
          <cell r="I1707">
            <v>6</v>
          </cell>
          <cell r="J1707" t="str">
            <v>PremiumSSw</v>
          </cell>
          <cell r="K1707" t="str">
            <v>attack</v>
          </cell>
          <cell r="L1707" t="str">
            <v>攻撃タイプ</v>
          </cell>
          <cell r="M1707" t="str">
            <v>human</v>
          </cell>
        </row>
        <row r="1708">
          <cell r="A1708">
            <v>9003</v>
          </cell>
          <cell r="B1708" t="str">
            <v>ja</v>
          </cell>
          <cell r="C1708" t="str">
            <v>夢龍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5</v>
          </cell>
          <cell r="J1708" t="str">
            <v>DropWizS</v>
          </cell>
          <cell r="K1708" t="str">
            <v>heal</v>
          </cell>
          <cell r="L1708" t="str">
            <v>回復タイプ</v>
          </cell>
          <cell r="M1708" t="str">
            <v>dragon</v>
          </cell>
        </row>
        <row r="1709">
          <cell r="A1709">
            <v>9004</v>
          </cell>
          <cell r="B1709" t="str">
            <v>ja</v>
          </cell>
          <cell r="C1709" t="str">
            <v>夢龍★６</v>
          </cell>
          <cell r="D1709" t="str">
            <v>各属性相性良3・黄・R455</v>
          </cell>
          <cell r="E1709" t="str">
            <v>執行者</v>
          </cell>
          <cell r="F1709" t="str">
            <v>格好いい</v>
          </cell>
          <cell r="G1709" t="str">
            <v>男性</v>
          </cell>
          <cell r="H1709" t="str">
            <v>green</v>
          </cell>
          <cell r="I1709">
            <v>6</v>
          </cell>
          <cell r="J1709" t="str">
            <v>DropWizS</v>
          </cell>
          <cell r="K1709" t="str">
            <v>heal</v>
          </cell>
          <cell r="L1709" t="str">
            <v>回復タイプ</v>
          </cell>
          <cell r="M1709" t="str">
            <v>dragon</v>
          </cell>
        </row>
        <row r="1710">
          <cell r="A1710">
            <v>9005</v>
          </cell>
          <cell r="B1710" t="str">
            <v>ja</v>
          </cell>
          <cell r="C1710" t="str">
            <v>降臨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blue</v>
          </cell>
          <cell r="I1710">
            <v>5</v>
          </cell>
          <cell r="J1710" t="str">
            <v>PremiumSSw</v>
          </cell>
          <cell r="K1710" t="str">
            <v>hp</v>
          </cell>
          <cell r="L1710" t="str">
            <v>体力タイプ</v>
          </cell>
          <cell r="M1710" t="str">
            <v>demon</v>
          </cell>
        </row>
        <row r="1711">
          <cell r="A1711">
            <v>9006</v>
          </cell>
          <cell r="B1711" t="str">
            <v>ja</v>
          </cell>
          <cell r="C1711" t="str">
            <v>降臨★６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blue</v>
          </cell>
          <cell r="I1711">
            <v>6</v>
          </cell>
          <cell r="J1711" t="str">
            <v>PremiumSSw</v>
          </cell>
          <cell r="K1711" t="str">
            <v>hp</v>
          </cell>
          <cell r="L1711" t="str">
            <v>体力タイプ</v>
          </cell>
          <cell r="M1711" t="str">
            <v>demon</v>
          </cell>
        </row>
        <row r="1712">
          <cell r="A1712">
            <v>9007</v>
          </cell>
          <cell r="B1712" t="str">
            <v>ja</v>
          </cell>
          <cell r="C1712" t="str">
            <v>田禹治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red</v>
          </cell>
          <cell r="I1712">
            <v>5</v>
          </cell>
          <cell r="J1712" t="str">
            <v>DropWizS</v>
          </cell>
          <cell r="K1712" t="str">
            <v>technical</v>
          </cell>
          <cell r="L1712" t="str">
            <v>テクニカルタイプ</v>
          </cell>
          <cell r="M1712" t="str">
            <v>hero</v>
          </cell>
        </row>
        <row r="1713">
          <cell r="A1713">
            <v>9008</v>
          </cell>
          <cell r="B1713" t="str">
            <v>ja</v>
          </cell>
          <cell r="C1713" t="str">
            <v>田禹治★６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red</v>
          </cell>
          <cell r="I1713">
            <v>6</v>
          </cell>
          <cell r="J1713" t="str">
            <v>DropWizS</v>
          </cell>
          <cell r="K1713" t="str">
            <v>technical</v>
          </cell>
          <cell r="L1713" t="str">
            <v>テクニカルタイプ</v>
          </cell>
          <cell r="M1713" t="str">
            <v>hero</v>
          </cell>
        </row>
        <row r="1714">
          <cell r="A1714">
            <v>10001</v>
          </cell>
          <cell r="B1714" t="str">
            <v>ja</v>
          </cell>
          <cell r="C1714" t="str">
            <v>テストユニット01</v>
          </cell>
          <cell r="H1714" t="str">
            <v>yellow</v>
          </cell>
          <cell r="I1714">
            <v>6</v>
          </cell>
          <cell r="J1714" t="str">
            <v>DropWizS</v>
          </cell>
          <cell r="K1714" t="str">
            <v>heal</v>
          </cell>
          <cell r="L1714" t="str">
            <v>回復タイプ</v>
          </cell>
          <cell r="M1714" t="str">
            <v>human</v>
          </cell>
        </row>
        <row r="1715">
          <cell r="A1715">
            <v>10002</v>
          </cell>
          <cell r="B1715" t="str">
            <v>ja</v>
          </cell>
          <cell r="C1715" t="str">
            <v>テストユニット02</v>
          </cell>
          <cell r="H1715" t="str">
            <v>yellow</v>
          </cell>
          <cell r="I1715">
            <v>6</v>
          </cell>
          <cell r="J1715" t="str">
            <v>PremiumSS</v>
          </cell>
          <cell r="K1715" t="str">
            <v>technical</v>
          </cell>
          <cell r="L1715" t="str">
            <v>テクニカルタイプ</v>
          </cell>
          <cell r="M1715" t="str">
            <v>animal</v>
          </cell>
        </row>
        <row r="1716">
          <cell r="A1716">
            <v>10003</v>
          </cell>
          <cell r="B1716" t="str">
            <v>ja</v>
          </cell>
          <cell r="C1716" t="str">
            <v>テストユニット03</v>
          </cell>
          <cell r="H1716" t="str">
            <v>red</v>
          </cell>
          <cell r="I1716">
            <v>5</v>
          </cell>
          <cell r="J1716" t="str">
            <v>PremiumSSS</v>
          </cell>
          <cell r="K1716" t="str">
            <v>technical</v>
          </cell>
          <cell r="L1716" t="str">
            <v>テクニカルタイプ</v>
          </cell>
          <cell r="M1716" t="str">
            <v>academia</v>
          </cell>
        </row>
        <row r="1717">
          <cell r="A1717">
            <v>10004</v>
          </cell>
          <cell r="B1717" t="str">
            <v>ja</v>
          </cell>
          <cell r="C1717" t="str">
            <v>テストユニット04</v>
          </cell>
          <cell r="H1717" t="str">
            <v>red</v>
          </cell>
          <cell r="I1717">
            <v>6</v>
          </cell>
          <cell r="J1717" t="str">
            <v>PremiumSSS</v>
          </cell>
          <cell r="K1717" t="str">
            <v>technical</v>
          </cell>
          <cell r="L1717" t="str">
            <v>テクニカルタイプ</v>
          </cell>
          <cell r="M1717" t="str">
            <v>academia</v>
          </cell>
        </row>
        <row r="1718">
          <cell r="A1718">
            <v>10005</v>
          </cell>
          <cell r="B1718" t="str">
            <v>ja</v>
          </cell>
          <cell r="C1718" t="str">
            <v>テストユニット05</v>
          </cell>
          <cell r="H1718" t="str">
            <v>yellow</v>
          </cell>
          <cell r="I1718">
            <v>6</v>
          </cell>
          <cell r="J1718" t="str">
            <v>PremiumSS</v>
          </cell>
          <cell r="K1718" t="str">
            <v>technical</v>
          </cell>
          <cell r="L1718" t="str">
            <v>テクニカルタイプ</v>
          </cell>
          <cell r="M1718" t="str">
            <v>human</v>
          </cell>
        </row>
        <row r="1719">
          <cell r="A1719">
            <v>10006</v>
          </cell>
          <cell r="B1719" t="str">
            <v>ja</v>
          </cell>
          <cell r="C1719" t="str">
            <v>テストユニット06</v>
          </cell>
          <cell r="H1719" t="str">
            <v>yellow</v>
          </cell>
          <cell r="I1719">
            <v>6</v>
          </cell>
          <cell r="J1719" t="str">
            <v>PremiumSS</v>
          </cell>
          <cell r="K1719" t="str">
            <v>attack</v>
          </cell>
          <cell r="L1719" t="str">
            <v>攻撃タイプ</v>
          </cell>
          <cell r="M1719" t="str">
            <v>animal</v>
          </cell>
        </row>
        <row r="1720">
          <cell r="A1720">
            <v>10007</v>
          </cell>
          <cell r="B1720" t="str">
            <v>ja</v>
          </cell>
          <cell r="C1720" t="str">
            <v>テストユニット07</v>
          </cell>
          <cell r="H1720" t="str">
            <v>yellow</v>
          </cell>
          <cell r="I1720">
            <v>5</v>
          </cell>
          <cell r="J1720" t="str">
            <v>PremiumSSS</v>
          </cell>
          <cell r="K1720" t="str">
            <v>technical</v>
          </cell>
          <cell r="L1720" t="str">
            <v>テクニカルタイプ</v>
          </cell>
          <cell r="M1720" t="str">
            <v>machine</v>
          </cell>
        </row>
        <row r="1721">
          <cell r="A1721">
            <v>10008</v>
          </cell>
          <cell r="B1721" t="str">
            <v>ja</v>
          </cell>
          <cell r="C1721" t="str">
            <v>テストユニット08</v>
          </cell>
          <cell r="H1721" t="str">
            <v>yellow</v>
          </cell>
          <cell r="I1721">
            <v>6</v>
          </cell>
          <cell r="J1721" t="str">
            <v>PremiumSSS</v>
          </cell>
          <cell r="K1721" t="str">
            <v>technical</v>
          </cell>
          <cell r="L1721" t="str">
            <v>テクニカルタイプ</v>
          </cell>
          <cell r="M1721" t="str">
            <v>machine</v>
          </cell>
        </row>
        <row r="1722">
          <cell r="A1722">
            <v>10009</v>
          </cell>
          <cell r="B1722" t="str">
            <v>ja</v>
          </cell>
          <cell r="C1722" t="str">
            <v>青テスト01</v>
          </cell>
          <cell r="H1722" t="str">
            <v>blue</v>
          </cell>
          <cell r="I1722">
            <v>6</v>
          </cell>
          <cell r="J1722" t="str">
            <v>DropWizS</v>
          </cell>
          <cell r="K1722" t="str">
            <v>heal</v>
          </cell>
          <cell r="L1722" t="str">
            <v>回復タイプ</v>
          </cell>
          <cell r="M1722" t="str">
            <v>human</v>
          </cell>
        </row>
        <row r="1723">
          <cell r="A1723">
            <v>10010</v>
          </cell>
          <cell r="B1723" t="str">
            <v>ja</v>
          </cell>
          <cell r="C1723" t="str">
            <v>赤テスト01</v>
          </cell>
          <cell r="H1723" t="str">
            <v>red</v>
          </cell>
          <cell r="I1723">
            <v>6</v>
          </cell>
          <cell r="J1723" t="str">
            <v>PremiumSSS</v>
          </cell>
          <cell r="K1723" t="str">
            <v>technical</v>
          </cell>
          <cell r="L1723" t="str">
            <v>テクニカルタイプ</v>
          </cell>
          <cell r="M1723" t="str">
            <v>human</v>
          </cell>
        </row>
        <row r="1724">
          <cell r="A1724">
            <v>10011</v>
          </cell>
          <cell r="B1724" t="str">
            <v>ja</v>
          </cell>
          <cell r="C1724" t="str">
            <v>テストユニット11</v>
          </cell>
          <cell r="H1724" t="str">
            <v>yellow</v>
          </cell>
          <cell r="I1724">
            <v>5</v>
          </cell>
          <cell r="J1724" t="str">
            <v>PremiumSS</v>
          </cell>
          <cell r="K1724" t="str">
            <v>balance</v>
          </cell>
          <cell r="L1724" t="str">
            <v>バランスタイプ</v>
          </cell>
          <cell r="M1724" t="str">
            <v>human</v>
          </cell>
        </row>
        <row r="1725">
          <cell r="A1725">
            <v>10012</v>
          </cell>
          <cell r="B1725" t="str">
            <v>ja</v>
          </cell>
          <cell r="C1725" t="str">
            <v>テストユニット12</v>
          </cell>
          <cell r="H1725" t="str">
            <v>yellow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human</v>
          </cell>
        </row>
        <row r="1726">
          <cell r="A1726">
            <v>10013</v>
          </cell>
          <cell r="B1726" t="str">
            <v>ja</v>
          </cell>
          <cell r="C1726" t="str">
            <v>テストユニット13</v>
          </cell>
          <cell r="H1726" t="str">
            <v>yellow</v>
          </cell>
          <cell r="I1726">
            <v>5</v>
          </cell>
          <cell r="J1726" t="str">
            <v>PremiumSSw</v>
          </cell>
          <cell r="K1726" t="str">
            <v>hp</v>
          </cell>
          <cell r="L1726" t="str">
            <v>体力タイプ</v>
          </cell>
          <cell r="M1726" t="str">
            <v>dragon</v>
          </cell>
        </row>
        <row r="1727">
          <cell r="A1727">
            <v>10014</v>
          </cell>
          <cell r="B1727" t="str">
            <v>ja</v>
          </cell>
          <cell r="C1727" t="str">
            <v>テストユニット14</v>
          </cell>
          <cell r="H1727" t="str">
            <v>yellow</v>
          </cell>
          <cell r="I1727">
            <v>6</v>
          </cell>
          <cell r="J1727" t="str">
            <v>PremiumSSw</v>
          </cell>
          <cell r="K1727" t="str">
            <v>hp</v>
          </cell>
          <cell r="L1727" t="str">
            <v>体力タイプ</v>
          </cell>
          <cell r="M1727" t="str">
            <v>dragon</v>
          </cell>
        </row>
        <row r="1728">
          <cell r="A1728">
            <v>10015</v>
          </cell>
          <cell r="B1728" t="str">
            <v>ja</v>
          </cell>
          <cell r="C1728" t="str">
            <v>テストユニット15</v>
          </cell>
          <cell r="H1728" t="str">
            <v>green</v>
          </cell>
          <cell r="I1728">
            <v>5</v>
          </cell>
          <cell r="J1728" t="str">
            <v>DropWizS</v>
          </cell>
          <cell r="K1728" t="str">
            <v>heal</v>
          </cell>
          <cell r="L1728" t="str">
            <v>回復タイプ</v>
          </cell>
          <cell r="M1728" t="str">
            <v>human</v>
          </cell>
        </row>
        <row r="1729">
          <cell r="A1729">
            <v>10016</v>
          </cell>
          <cell r="B1729" t="str">
            <v>ja</v>
          </cell>
          <cell r="C1729" t="str">
            <v>テストユニット16</v>
          </cell>
          <cell r="H1729" t="str">
            <v>green</v>
          </cell>
          <cell r="I1729">
            <v>6</v>
          </cell>
          <cell r="J1729" t="str">
            <v>DropWizS</v>
          </cell>
          <cell r="K1729" t="str">
            <v>heal</v>
          </cell>
          <cell r="L1729" t="str">
            <v>回復タイプ</v>
          </cell>
          <cell r="M1729" t="str">
            <v>human</v>
          </cell>
        </row>
        <row r="1730">
          <cell r="A1730">
            <v>10017</v>
          </cell>
          <cell r="B1730" t="str">
            <v>ja</v>
          </cell>
          <cell r="C1730" t="str">
            <v>テストユニット17</v>
          </cell>
          <cell r="H1730" t="str">
            <v>red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10018</v>
          </cell>
          <cell r="B1731" t="str">
            <v>ja</v>
          </cell>
          <cell r="C1731" t="str">
            <v>テストユニット18</v>
          </cell>
          <cell r="H1731" t="str">
            <v>blue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10019</v>
          </cell>
          <cell r="B1732" t="str">
            <v>ja</v>
          </cell>
          <cell r="C1732" t="str">
            <v>テストユニット19</v>
          </cell>
          <cell r="H1732" t="str">
            <v>green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10020</v>
          </cell>
          <cell r="B1733" t="str">
            <v>ja</v>
          </cell>
          <cell r="C1733" t="str">
            <v>テストユニット20</v>
          </cell>
          <cell r="H1733" t="str">
            <v>yellow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10021</v>
          </cell>
          <cell r="B1734" t="str">
            <v>ja</v>
          </cell>
          <cell r="C1734" t="str">
            <v>テストユニット21</v>
          </cell>
          <cell r="H1734" t="str">
            <v>blue</v>
          </cell>
          <cell r="I1734">
            <v>5</v>
          </cell>
          <cell r="J1734" t="str">
            <v>PremiumSSw</v>
          </cell>
          <cell r="K1734" t="str">
            <v>hp</v>
          </cell>
          <cell r="L1734" t="str">
            <v>体力タイプ</v>
          </cell>
          <cell r="M1734" t="str">
            <v>demon</v>
          </cell>
        </row>
        <row r="1735">
          <cell r="A1735">
            <v>10022</v>
          </cell>
          <cell r="B1735" t="str">
            <v>ja</v>
          </cell>
          <cell r="C1735" t="str">
            <v>テストユニット22</v>
          </cell>
          <cell r="H1735" t="str">
            <v>blue</v>
          </cell>
          <cell r="I1735">
            <v>6</v>
          </cell>
          <cell r="J1735" t="str">
            <v>PremiumSSw</v>
          </cell>
          <cell r="K1735" t="str">
            <v>hp</v>
          </cell>
          <cell r="L1735" t="str">
            <v>体力タイプ</v>
          </cell>
          <cell r="M1735" t="str">
            <v>demon</v>
          </cell>
        </row>
        <row r="1736">
          <cell r="A1736">
            <v>10023</v>
          </cell>
          <cell r="B1736" t="str">
            <v>ja</v>
          </cell>
          <cell r="C1736" t="str">
            <v>テストユニット23</v>
          </cell>
          <cell r="H1736" t="str">
            <v>green</v>
          </cell>
          <cell r="I1736">
            <v>5</v>
          </cell>
          <cell r="J1736" t="str">
            <v>PremiumSSw</v>
          </cell>
          <cell r="K1736" t="str">
            <v>heal</v>
          </cell>
          <cell r="L1736" t="str">
            <v>回復タイプ</v>
          </cell>
          <cell r="M1736" t="str">
            <v>dragon</v>
          </cell>
        </row>
        <row r="1737">
          <cell r="A1737">
            <v>10024</v>
          </cell>
          <cell r="B1737" t="str">
            <v>ja</v>
          </cell>
          <cell r="C1737" t="str">
            <v>テストユニット24</v>
          </cell>
          <cell r="H1737" t="str">
            <v>green</v>
          </cell>
          <cell r="I1737">
            <v>6</v>
          </cell>
          <cell r="J1737" t="str">
            <v>PremiumSSw</v>
          </cell>
          <cell r="K1737" t="str">
            <v>hp</v>
          </cell>
          <cell r="L1737" t="str">
            <v>体力タイプ</v>
          </cell>
          <cell r="M1737" t="str">
            <v>dragon</v>
          </cell>
        </row>
        <row r="1738">
          <cell r="A1738">
            <v>10025</v>
          </cell>
          <cell r="B1738" t="str">
            <v>ja</v>
          </cell>
          <cell r="C1738" t="str">
            <v>テストユニット25</v>
          </cell>
          <cell r="H1738" t="str">
            <v>red</v>
          </cell>
          <cell r="I1738">
            <v>5</v>
          </cell>
          <cell r="J1738" t="str">
            <v>PremiumSSw</v>
          </cell>
          <cell r="K1738" t="str">
            <v>hp</v>
          </cell>
          <cell r="L1738" t="str">
            <v>体力タイプ</v>
          </cell>
          <cell r="M1738" t="str">
            <v>dragon</v>
          </cell>
        </row>
        <row r="1739">
          <cell r="A1739">
            <v>10026</v>
          </cell>
          <cell r="B1739" t="str">
            <v>ja</v>
          </cell>
          <cell r="C1739" t="str">
            <v>テストユニット26</v>
          </cell>
          <cell r="H1739" t="str">
            <v>red</v>
          </cell>
          <cell r="I1739">
            <v>6</v>
          </cell>
          <cell r="J1739" t="str">
            <v>PremiumSSw</v>
          </cell>
          <cell r="K1739" t="str">
            <v>hp</v>
          </cell>
          <cell r="L1739" t="str">
            <v>体力タイプ</v>
          </cell>
          <cell r="M1739" t="str">
            <v>dragon</v>
          </cell>
        </row>
        <row r="1740">
          <cell r="A1740">
            <v>10027</v>
          </cell>
          <cell r="B1740" t="str">
            <v>ja</v>
          </cell>
          <cell r="C1740" t="str">
            <v>テストユニット27</v>
          </cell>
          <cell r="H1740" t="str">
            <v>green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10028</v>
          </cell>
          <cell r="B1741" t="str">
            <v>ja</v>
          </cell>
          <cell r="C1741" t="str">
            <v>テストユニット28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10029</v>
          </cell>
          <cell r="B1742" t="str">
            <v>ja</v>
          </cell>
          <cell r="C1742" t="str">
            <v>テストユニット29</v>
          </cell>
          <cell r="H1742" t="str">
            <v>red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10030</v>
          </cell>
          <cell r="B1743" t="str">
            <v>ja</v>
          </cell>
          <cell r="C1743" t="str">
            <v>テストユニット30</v>
          </cell>
          <cell r="H1743" t="str">
            <v>blue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10031</v>
          </cell>
          <cell r="B1744" t="str">
            <v>ja</v>
          </cell>
          <cell r="C1744" t="str">
            <v>テストユニット31</v>
          </cell>
          <cell r="H1744" t="str">
            <v>green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10032</v>
          </cell>
          <cell r="B1745" t="str">
            <v>ja</v>
          </cell>
          <cell r="C1745" t="str">
            <v>テストユニット32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10033</v>
          </cell>
          <cell r="B1746" t="str">
            <v>ja</v>
          </cell>
          <cell r="C1746" t="str">
            <v>テストユニット33</v>
          </cell>
          <cell r="H1746" t="str">
            <v>red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10034</v>
          </cell>
          <cell r="B1747" t="str">
            <v>ja</v>
          </cell>
          <cell r="C1747" t="str">
            <v>テストユニット34</v>
          </cell>
          <cell r="H1747" t="str">
            <v>blue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10035</v>
          </cell>
          <cell r="B1748" t="str">
            <v>ja</v>
          </cell>
          <cell r="C1748" t="str">
            <v>テストユニット35</v>
          </cell>
          <cell r="H1748" t="str">
            <v>green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10036</v>
          </cell>
          <cell r="B1749" t="str">
            <v>ja</v>
          </cell>
          <cell r="C1749" t="str">
            <v>テストユニット36</v>
          </cell>
          <cell r="H1749" t="str">
            <v>yellow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10037</v>
          </cell>
          <cell r="B1750" t="str">
            <v>ja</v>
          </cell>
          <cell r="C1750" t="str">
            <v>テストユニット37</v>
          </cell>
          <cell r="H1750" t="str">
            <v>red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10038</v>
          </cell>
          <cell r="B1751" t="str">
            <v>ja</v>
          </cell>
          <cell r="C1751" t="str">
            <v>テストユニット38</v>
          </cell>
          <cell r="H1751" t="str">
            <v>blue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10039</v>
          </cell>
          <cell r="B1752" t="str">
            <v>ja</v>
          </cell>
          <cell r="C1752" t="str">
            <v>テストユニット39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</row>
        <row r="1753">
          <cell r="A1753">
            <v>10040</v>
          </cell>
          <cell r="B1753" t="str">
            <v>ja</v>
          </cell>
          <cell r="C1753" t="str">
            <v>テストユニット40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</row>
        <row r="1754">
          <cell r="A1754">
            <v>10041</v>
          </cell>
          <cell r="B1754" t="str">
            <v>ja</v>
          </cell>
          <cell r="C1754" t="str">
            <v>テストユニット41</v>
          </cell>
          <cell r="H1754" t="str">
            <v>red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</row>
        <row r="1755">
          <cell r="A1755">
            <v>10042</v>
          </cell>
          <cell r="B1755" t="str">
            <v>ja</v>
          </cell>
          <cell r="C1755" t="str">
            <v>テストユニット42</v>
          </cell>
          <cell r="H1755" t="str">
            <v>blue</v>
          </cell>
          <cell r="I1755">
            <v>6</v>
          </cell>
          <cell r="J1755" t="str">
            <v>PremiumSS</v>
          </cell>
          <cell r="K1755" t="str">
            <v>balance</v>
          </cell>
          <cell r="L1755" t="str">
            <v>バランスタイプ</v>
          </cell>
          <cell r="M1755" t="str">
            <v>unknown</v>
          </cell>
        </row>
        <row r="1756">
          <cell r="A1756">
            <v>10043</v>
          </cell>
          <cell r="B1756" t="str">
            <v>ja</v>
          </cell>
          <cell r="C1756" t="str">
            <v>テストユニット43</v>
          </cell>
          <cell r="H1756" t="str">
            <v>green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</row>
        <row r="1757">
          <cell r="A1757">
            <v>10044</v>
          </cell>
          <cell r="B1757" t="str">
            <v>ja</v>
          </cell>
          <cell r="C1757" t="str">
            <v>テストユニット44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</row>
        <row r="1758">
          <cell r="A1758">
            <v>10045</v>
          </cell>
          <cell r="B1758" t="str">
            <v>ja</v>
          </cell>
          <cell r="C1758" t="str">
            <v>テストユニット45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10046</v>
          </cell>
          <cell r="B1759" t="str">
            <v>ja</v>
          </cell>
          <cell r="C1759" t="str">
            <v>テストユニット46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10047</v>
          </cell>
          <cell r="B1760" t="str">
            <v>ja</v>
          </cell>
          <cell r="C1760" t="str">
            <v>テストユニット47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</row>
        <row r="1761">
          <cell r="A1761">
            <v>10048</v>
          </cell>
          <cell r="B1761" t="str">
            <v>ja</v>
          </cell>
          <cell r="C1761" t="str">
            <v>テストユニット48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10049</v>
          </cell>
          <cell r="B1762" t="str">
            <v>ja</v>
          </cell>
          <cell r="C1762" t="str">
            <v>テストユニット49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10050</v>
          </cell>
          <cell r="B1763" t="str">
            <v>ja</v>
          </cell>
          <cell r="C1763" t="str">
            <v>テストユニット50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10051</v>
          </cell>
          <cell r="B1764" t="str">
            <v>ja</v>
          </cell>
          <cell r="C1764" t="str">
            <v>テストユニット51</v>
          </cell>
          <cell r="H1764" t="str">
            <v>green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10052</v>
          </cell>
          <cell r="B1765" t="str">
            <v>ja</v>
          </cell>
          <cell r="C1765" t="str">
            <v>テストユニット52</v>
          </cell>
          <cell r="H1765" t="str">
            <v>yellow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10053</v>
          </cell>
          <cell r="B1766" t="str">
            <v>ja</v>
          </cell>
          <cell r="C1766" t="str">
            <v>テストユニット53</v>
          </cell>
          <cell r="H1766" t="str">
            <v>red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10054</v>
          </cell>
          <cell r="B1767" t="str">
            <v>ja</v>
          </cell>
          <cell r="C1767" t="str">
            <v>テストユニット54</v>
          </cell>
          <cell r="H1767" t="str">
            <v>blue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10055</v>
          </cell>
          <cell r="B1768" t="str">
            <v>ja</v>
          </cell>
          <cell r="C1768" t="str">
            <v>テストユニット55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10056</v>
          </cell>
          <cell r="B1769" t="str">
            <v>ja</v>
          </cell>
          <cell r="C1769" t="str">
            <v>テストユニット56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10057</v>
          </cell>
          <cell r="B1770" t="str">
            <v>ja</v>
          </cell>
          <cell r="C1770" t="str">
            <v>テストユニット57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10058</v>
          </cell>
          <cell r="B1771" t="str">
            <v>ja</v>
          </cell>
          <cell r="C1771" t="str">
            <v>テストユニット58</v>
          </cell>
          <cell r="H1771" t="str">
            <v>blue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10059</v>
          </cell>
          <cell r="B1772" t="str">
            <v>ja</v>
          </cell>
          <cell r="C1772" t="str">
            <v>テストユニット59</v>
          </cell>
          <cell r="H1772" t="str">
            <v>green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10060</v>
          </cell>
          <cell r="B1773" t="str">
            <v>ja</v>
          </cell>
          <cell r="C1773" t="str">
            <v>テストユニット60</v>
          </cell>
          <cell r="H1773" t="str">
            <v>yellow</v>
          </cell>
          <cell r="I1773">
            <v>6</v>
          </cell>
          <cell r="J1773" t="str">
            <v>PremiumSS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10061</v>
          </cell>
          <cell r="B1774" t="str">
            <v>ja</v>
          </cell>
          <cell r="C1774" t="str">
            <v>テストユニット61</v>
          </cell>
          <cell r="H1774" t="str">
            <v>red</v>
          </cell>
          <cell r="I1774">
            <v>6</v>
          </cell>
          <cell r="J1774" t="str">
            <v>PremiumSS</v>
          </cell>
          <cell r="K1774" t="str">
            <v>balance</v>
          </cell>
          <cell r="L1774" t="str">
            <v>バランスタイプ</v>
          </cell>
          <cell r="M1774" t="str">
            <v>unknown</v>
          </cell>
        </row>
        <row r="1775">
          <cell r="A1775">
            <v>10062</v>
          </cell>
          <cell r="B1775" t="str">
            <v>ja</v>
          </cell>
          <cell r="C1775" t="str">
            <v>テストユニット62</v>
          </cell>
          <cell r="H1775" t="str">
            <v>blue</v>
          </cell>
          <cell r="I1775">
            <v>6</v>
          </cell>
          <cell r="J1775" t="str">
            <v>PremiumSS</v>
          </cell>
          <cell r="K1775" t="str">
            <v>balance</v>
          </cell>
          <cell r="L1775" t="str">
            <v>バランスタイプ</v>
          </cell>
          <cell r="M1775" t="str">
            <v>unknown</v>
          </cell>
        </row>
        <row r="1776">
          <cell r="A1776">
            <v>10063</v>
          </cell>
          <cell r="B1776" t="str">
            <v>ja</v>
          </cell>
          <cell r="C1776" t="str">
            <v>テストユニット63</v>
          </cell>
          <cell r="H1776" t="str">
            <v>green</v>
          </cell>
          <cell r="I1776">
            <v>6</v>
          </cell>
          <cell r="J1776" t="str">
            <v>PremiumSS</v>
          </cell>
          <cell r="K1776" t="str">
            <v>balance</v>
          </cell>
          <cell r="L1776" t="str">
            <v>バランスタイプ</v>
          </cell>
          <cell r="M1776" t="str">
            <v>unknown</v>
          </cell>
        </row>
        <row r="1777">
          <cell r="A1777">
            <v>10064</v>
          </cell>
          <cell r="B1777" t="str">
            <v>ja</v>
          </cell>
          <cell r="C1777" t="str">
            <v>テストユニット64</v>
          </cell>
          <cell r="H1777" t="str">
            <v>yellow</v>
          </cell>
          <cell r="I1777">
            <v>6</v>
          </cell>
          <cell r="J1777" t="str">
            <v>PremiumSS</v>
          </cell>
          <cell r="K1777" t="str">
            <v>balance</v>
          </cell>
          <cell r="L1777" t="str">
            <v>バランスタイプ</v>
          </cell>
          <cell r="M1777" t="str">
            <v>unknown</v>
          </cell>
        </row>
        <row r="1778">
          <cell r="A1778">
            <v>10065</v>
          </cell>
          <cell r="B1778" t="str">
            <v>ja</v>
          </cell>
          <cell r="C1778" t="str">
            <v>テストユニット65</v>
          </cell>
          <cell r="H1778" t="str">
            <v>red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10066</v>
          </cell>
          <cell r="B1779" t="str">
            <v>ja</v>
          </cell>
          <cell r="C1779" t="str">
            <v>テストユニット66</v>
          </cell>
          <cell r="H1779" t="str">
            <v>blue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10067</v>
          </cell>
          <cell r="B1780" t="str">
            <v>ja</v>
          </cell>
          <cell r="C1780" t="str">
            <v>テストユニット67</v>
          </cell>
          <cell r="H1780" t="str">
            <v>green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10068</v>
          </cell>
          <cell r="B1781" t="str">
            <v>ja</v>
          </cell>
          <cell r="C1781" t="str">
            <v>テストユニット68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10069</v>
          </cell>
          <cell r="B1782" t="str">
            <v>ja</v>
          </cell>
          <cell r="C1782" t="str">
            <v>テストユニット69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10070</v>
          </cell>
          <cell r="B1783" t="str">
            <v>ja</v>
          </cell>
          <cell r="C1783" t="str">
            <v>覚醒元(R5)</v>
          </cell>
          <cell r="H1783" t="str">
            <v>blue</v>
          </cell>
          <cell r="I1783">
            <v>5</v>
          </cell>
          <cell r="J1783" t="str">
            <v>Drop2N</v>
          </cell>
          <cell r="K1783" t="str">
            <v>technical</v>
          </cell>
          <cell r="L1783" t="str">
            <v>テクニカルタイプ</v>
          </cell>
          <cell r="M1783" t="str">
            <v>human</v>
          </cell>
        </row>
        <row r="1784">
          <cell r="A1784">
            <v>10071</v>
          </cell>
          <cell r="B1784" t="str">
            <v>ja</v>
          </cell>
          <cell r="C1784" t="str">
            <v>通常覚醒(R6)</v>
          </cell>
          <cell r="H1784" t="str">
            <v>red</v>
          </cell>
          <cell r="I1784">
            <v>6</v>
          </cell>
          <cell r="J1784" t="str">
            <v>PremiumSSS</v>
          </cell>
          <cell r="K1784" t="str">
            <v>hp</v>
          </cell>
          <cell r="L1784" t="str">
            <v>体力タイプ</v>
          </cell>
          <cell r="M1784" t="str">
            <v>demon</v>
          </cell>
        </row>
        <row r="1785">
          <cell r="A1785">
            <v>10072</v>
          </cell>
          <cell r="B1785" t="str">
            <v>ja</v>
          </cell>
          <cell r="C1785" t="str">
            <v>超覚醒A(R6)</v>
          </cell>
          <cell r="H1785" t="str">
            <v>green</v>
          </cell>
          <cell r="I1785">
            <v>6</v>
          </cell>
          <cell r="J1785" t="str">
            <v>PremiumSSS</v>
          </cell>
          <cell r="K1785" t="str">
            <v>heal</v>
          </cell>
          <cell r="L1785" t="str">
            <v>回復タイプ</v>
          </cell>
          <cell r="M1785" t="str">
            <v>unknown</v>
          </cell>
        </row>
        <row r="1786">
          <cell r="A1786">
            <v>10073</v>
          </cell>
          <cell r="B1786" t="str">
            <v>ja</v>
          </cell>
          <cell r="C1786" t="str">
            <v>超覚醒B(R6)</v>
          </cell>
          <cell r="H1786" t="str">
            <v>green</v>
          </cell>
          <cell r="I1786">
            <v>6</v>
          </cell>
          <cell r="J1786" t="str">
            <v>PremiumSSS</v>
          </cell>
          <cell r="K1786" t="str">
            <v>attack</v>
          </cell>
          <cell r="L1786" t="str">
            <v>攻撃タイプ</v>
          </cell>
          <cell r="M1786" t="str">
            <v>samurai</v>
          </cell>
        </row>
        <row r="1787">
          <cell r="A1787">
            <v>10074</v>
          </cell>
          <cell r="B1787" t="str">
            <v>ja</v>
          </cell>
          <cell r="C1787" t="str">
            <v>超覚醒C(R6)</v>
          </cell>
          <cell r="H1787" t="str">
            <v>blue</v>
          </cell>
          <cell r="I1787">
            <v>6</v>
          </cell>
          <cell r="J1787" t="str">
            <v>PremiumSSS</v>
          </cell>
          <cell r="K1787" t="str">
            <v>balance</v>
          </cell>
          <cell r="L1787" t="str">
            <v>バランスタイプ</v>
          </cell>
          <cell r="M1787" t="str">
            <v>fantasy</v>
          </cell>
        </row>
        <row r="1788">
          <cell r="A1788">
            <v>10075</v>
          </cell>
          <cell r="B1788" t="str">
            <v>ja</v>
          </cell>
          <cell r="C1788" t="str">
            <v>テストユニット75</v>
          </cell>
          <cell r="H1788" t="str">
            <v>blue</v>
          </cell>
          <cell r="I1788">
            <v>6</v>
          </cell>
          <cell r="J1788" t="str">
            <v>PremiumSSS</v>
          </cell>
          <cell r="K1788" t="str">
            <v>balance</v>
          </cell>
          <cell r="L1788" t="str">
            <v>バランスタイプ</v>
          </cell>
          <cell r="M1788" t="str">
            <v>human</v>
          </cell>
        </row>
        <row r="1789">
          <cell r="A1789">
            <v>10076</v>
          </cell>
          <cell r="B1789" t="str">
            <v>ja</v>
          </cell>
          <cell r="C1789" t="str">
            <v>テストユニット76</v>
          </cell>
          <cell r="H1789" t="str">
            <v>red</v>
          </cell>
          <cell r="I1789">
            <v>6</v>
          </cell>
          <cell r="J1789" t="str">
            <v>DropWizSS</v>
          </cell>
          <cell r="K1789" t="str">
            <v>hp</v>
          </cell>
          <cell r="L1789" t="str">
            <v>体力タイプ</v>
          </cell>
          <cell r="M1789" t="str">
            <v>hero</v>
          </cell>
        </row>
        <row r="1790">
          <cell r="A1790">
            <v>10077</v>
          </cell>
          <cell r="B1790" t="str">
            <v>ja</v>
          </cell>
          <cell r="C1790" t="str">
            <v>テストユニット77</v>
          </cell>
          <cell r="H1790" t="str">
            <v>red</v>
          </cell>
          <cell r="I1790">
            <v>6</v>
          </cell>
          <cell r="J1790" t="str">
            <v>DropWizSS</v>
          </cell>
          <cell r="K1790" t="str">
            <v>hp</v>
          </cell>
          <cell r="L1790" t="str">
            <v>体力タイプ</v>
          </cell>
          <cell r="M1790" t="str">
            <v>hero</v>
          </cell>
        </row>
        <row r="1791">
          <cell r="A1791">
            <v>10078</v>
          </cell>
          <cell r="B1791" t="str">
            <v>ja</v>
          </cell>
          <cell r="C1791" t="str">
            <v>テストユニット78</v>
          </cell>
          <cell r="H1791" t="str">
            <v>red</v>
          </cell>
          <cell r="I1791">
            <v>6</v>
          </cell>
          <cell r="J1791" t="str">
            <v>DropWizSS</v>
          </cell>
          <cell r="K1791" t="str">
            <v>hp</v>
          </cell>
          <cell r="L1791" t="str">
            <v>体力タイプ</v>
          </cell>
          <cell r="M1791" t="str">
            <v>hero</v>
          </cell>
        </row>
        <row r="1792">
          <cell r="A1792">
            <v>10079</v>
          </cell>
          <cell r="B1792" t="str">
            <v>ja</v>
          </cell>
          <cell r="C1792" t="str">
            <v>テストユニット79</v>
          </cell>
          <cell r="H1792" t="str">
            <v>red</v>
          </cell>
          <cell r="I1792">
            <v>6</v>
          </cell>
          <cell r="J1792" t="str">
            <v>DropWizSS</v>
          </cell>
          <cell r="K1792" t="str">
            <v>hp</v>
          </cell>
          <cell r="L1792" t="str">
            <v>体力タイプ</v>
          </cell>
          <cell r="M1792" t="str">
            <v>hero</v>
          </cell>
        </row>
        <row r="1793">
          <cell r="A1793">
            <v>10080</v>
          </cell>
          <cell r="B1793" t="str">
            <v>ja</v>
          </cell>
          <cell r="C1793" t="str">
            <v>テストユニット80</v>
          </cell>
          <cell r="H1793" t="str">
            <v>yellow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10081</v>
          </cell>
          <cell r="B1794" t="str">
            <v>ja</v>
          </cell>
          <cell r="C1794" t="str">
            <v>テストユニット81</v>
          </cell>
          <cell r="H1794" t="str">
            <v>red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10082</v>
          </cell>
          <cell r="B1795" t="str">
            <v>ja</v>
          </cell>
          <cell r="C1795" t="str">
            <v>テストユニット82</v>
          </cell>
          <cell r="H1795" t="str">
            <v>blue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10083</v>
          </cell>
          <cell r="B1796" t="str">
            <v>ja</v>
          </cell>
          <cell r="C1796" t="str">
            <v>テストユニット83</v>
          </cell>
          <cell r="H1796" t="str">
            <v>green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10084</v>
          </cell>
          <cell r="B1797" t="str">
            <v>ja</v>
          </cell>
          <cell r="C1797" t="str">
            <v>テストユニット84</v>
          </cell>
          <cell r="H1797" t="str">
            <v>yellow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10085</v>
          </cell>
          <cell r="B1798" t="str">
            <v>ja</v>
          </cell>
          <cell r="C1798" t="str">
            <v>テストユニット85</v>
          </cell>
          <cell r="H1798" t="str">
            <v>red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10086</v>
          </cell>
          <cell r="B1799" t="str">
            <v>ja</v>
          </cell>
          <cell r="C1799" t="str">
            <v>テストユニット86</v>
          </cell>
          <cell r="H1799" t="str">
            <v>blue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10087</v>
          </cell>
          <cell r="B1800" t="str">
            <v>ja</v>
          </cell>
          <cell r="C1800" t="str">
            <v>テストユニット87</v>
          </cell>
          <cell r="H1800" t="str">
            <v>green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10088</v>
          </cell>
          <cell r="B1801" t="str">
            <v>ja</v>
          </cell>
          <cell r="C1801" t="str">
            <v>テストユニット88</v>
          </cell>
          <cell r="H1801" t="str">
            <v>yellow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10089</v>
          </cell>
          <cell r="B1802" t="str">
            <v>ja</v>
          </cell>
          <cell r="C1802" t="str">
            <v>テストユニット89</v>
          </cell>
          <cell r="H1802" t="str">
            <v>red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10090</v>
          </cell>
          <cell r="B1803" t="str">
            <v>ja</v>
          </cell>
          <cell r="C1803" t="str">
            <v>テストユニット90</v>
          </cell>
          <cell r="H1803" t="str">
            <v>blue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10101</v>
          </cell>
          <cell r="B1804" t="str">
            <v>ja</v>
          </cell>
          <cell r="C1804" t="str">
            <v>Usagi-kun</v>
          </cell>
          <cell r="H1804" t="str">
            <v>blue</v>
          </cell>
          <cell r="I1804">
            <v>6</v>
          </cell>
          <cell r="J1804" t="str">
            <v>DropWizS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10102</v>
          </cell>
          <cell r="B1805" t="str">
            <v>ja</v>
          </cell>
          <cell r="C1805" t="str">
            <v>ローズ</v>
          </cell>
          <cell r="D1805" t="str">
            <v>未定</v>
          </cell>
          <cell r="E1805" t="str">
            <v>執行者</v>
          </cell>
          <cell r="F1805" t="str">
            <v>格好いい</v>
          </cell>
          <cell r="G1805" t="str">
            <v>不明</v>
          </cell>
          <cell r="H1805" t="str">
            <v>red</v>
          </cell>
          <cell r="I1805">
            <v>3</v>
          </cell>
          <cell r="J1805" t="str">
            <v>DropWizSSS</v>
          </cell>
          <cell r="K1805" t="str">
            <v>attack</v>
          </cell>
          <cell r="L1805" t="str">
            <v>攻撃タイプ</v>
          </cell>
          <cell r="M1805" t="str">
            <v>queen</v>
          </cell>
        </row>
        <row r="1806">
          <cell r="A1806">
            <v>10103</v>
          </cell>
          <cell r="B1806" t="str">
            <v>ja</v>
          </cell>
          <cell r="C1806" t="str">
            <v>ローズ</v>
          </cell>
          <cell r="D1806" t="str">
            <v>未定</v>
          </cell>
          <cell r="E1806" t="str">
            <v>執行者</v>
          </cell>
          <cell r="F1806" t="str">
            <v>格好いい</v>
          </cell>
          <cell r="G1806" t="str">
            <v>不明</v>
          </cell>
          <cell r="H1806" t="str">
            <v>red</v>
          </cell>
          <cell r="I1806">
            <v>4</v>
          </cell>
          <cell r="J1806" t="str">
            <v>DropWizSSS</v>
          </cell>
          <cell r="K1806" t="str">
            <v>attack</v>
          </cell>
          <cell r="L1806" t="str">
            <v>攻撃タイプ</v>
          </cell>
          <cell r="M1806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38" customWidth="1"/>
    <col min="2" max="16384" width="13" style="38"/>
  </cols>
  <sheetData>
    <row r="1" spans="1:13" x14ac:dyDescent="0.15">
      <c r="A1" s="38" t="s">
        <v>50</v>
      </c>
      <c r="B1" s="38" t="s">
        <v>51</v>
      </c>
    </row>
    <row r="2" spans="1:13" x14ac:dyDescent="0.15">
      <c r="A2" s="38" t="s">
        <v>52</v>
      </c>
      <c r="B2" s="38" t="s">
        <v>53</v>
      </c>
      <c r="C2" s="38" t="s">
        <v>54</v>
      </c>
      <c r="D2" s="38" t="s">
        <v>55</v>
      </c>
      <c r="E2" s="38" t="s">
        <v>56</v>
      </c>
      <c r="F2" s="38" t="s">
        <v>57</v>
      </c>
      <c r="G2" s="38" t="s">
        <v>58</v>
      </c>
      <c r="H2" s="38" t="s">
        <v>59</v>
      </c>
    </row>
    <row r="3" spans="1:13" x14ac:dyDescent="0.15">
      <c r="A3" s="38">
        <v>3</v>
      </c>
      <c r="B3" s="39" t="s">
        <v>60</v>
      </c>
      <c r="C3" s="39" t="s">
        <v>61</v>
      </c>
      <c r="D3" s="38">
        <v>0</v>
      </c>
      <c r="E3" s="39" t="s">
        <v>62</v>
      </c>
      <c r="F3" s="38">
        <v>0</v>
      </c>
      <c r="G3" s="38">
        <v>0</v>
      </c>
      <c r="H3" s="40">
        <v>0.5</v>
      </c>
    </row>
    <row r="4" spans="1:13" x14ac:dyDescent="0.15">
      <c r="A4" s="38">
        <v>4</v>
      </c>
      <c r="B4" s="39" t="s">
        <v>63</v>
      </c>
      <c r="C4" s="39" t="s">
        <v>64</v>
      </c>
      <c r="D4" s="39" t="s">
        <v>65</v>
      </c>
      <c r="E4" s="39" t="s">
        <v>66</v>
      </c>
      <c r="F4" s="39" t="s">
        <v>67</v>
      </c>
      <c r="G4" s="38">
        <v>0</v>
      </c>
      <c r="H4" s="40">
        <v>0.45</v>
      </c>
    </row>
    <row r="5" spans="1:13" x14ac:dyDescent="0.15">
      <c r="A5" s="38">
        <v>5</v>
      </c>
      <c r="B5" s="41">
        <v>0</v>
      </c>
      <c r="C5" s="39" t="s">
        <v>68</v>
      </c>
      <c r="D5" s="39" t="s">
        <v>69</v>
      </c>
      <c r="E5" s="39" t="s">
        <v>70</v>
      </c>
      <c r="F5" s="39" t="s">
        <v>71</v>
      </c>
      <c r="G5" s="39" t="s">
        <v>72</v>
      </c>
      <c r="H5" s="40">
        <v>0.05</v>
      </c>
    </row>
    <row r="6" spans="1:13" x14ac:dyDescent="0.15">
      <c r="B6" s="40" t="s">
        <v>73</v>
      </c>
      <c r="C6" s="40" t="s">
        <v>73</v>
      </c>
      <c r="D6" s="40" t="s">
        <v>74</v>
      </c>
      <c r="E6" s="40" t="s">
        <v>73</v>
      </c>
      <c r="F6" s="40" t="s">
        <v>73</v>
      </c>
      <c r="G6" s="42" t="s">
        <v>75</v>
      </c>
      <c r="H6" s="40">
        <v>1</v>
      </c>
    </row>
    <row r="7" spans="1:13" x14ac:dyDescent="0.15">
      <c r="B7" s="40"/>
      <c r="C7" s="40"/>
      <c r="D7" s="40"/>
      <c r="E7" s="40"/>
      <c r="F7" s="40"/>
      <c r="G7" s="42"/>
      <c r="H7" s="40"/>
    </row>
    <row r="8" spans="1:13" x14ac:dyDescent="0.15">
      <c r="A8" s="38" t="s">
        <v>76</v>
      </c>
      <c r="B8" s="40"/>
      <c r="C8" s="40"/>
      <c r="D8" s="40"/>
      <c r="E8" s="40"/>
      <c r="F8" s="40"/>
      <c r="G8" s="42"/>
      <c r="H8" s="40"/>
    </row>
    <row r="9" spans="1:13" x14ac:dyDescent="0.15">
      <c r="A9" s="38" t="s">
        <v>77</v>
      </c>
      <c r="B9" s="40"/>
      <c r="C9" s="40"/>
      <c r="D9" s="40"/>
      <c r="E9" s="40"/>
      <c r="F9" s="40"/>
      <c r="G9" s="42"/>
      <c r="H9" s="40"/>
    </row>
    <row r="10" spans="1:13" x14ac:dyDescent="0.15">
      <c r="A10" s="38" t="s">
        <v>78</v>
      </c>
      <c r="B10" s="40"/>
      <c r="C10" s="40"/>
      <c r="D10" s="40"/>
      <c r="E10" s="40"/>
      <c r="F10" s="40"/>
      <c r="G10" s="42"/>
      <c r="H10" s="40"/>
    </row>
    <row r="11" spans="1:13" x14ac:dyDescent="0.15">
      <c r="A11" s="38" t="s">
        <v>79</v>
      </c>
      <c r="B11" s="40"/>
      <c r="C11" s="40"/>
      <c r="D11" s="40"/>
      <c r="E11" s="40"/>
      <c r="F11" s="40"/>
      <c r="G11" s="42"/>
      <c r="H11" s="40"/>
    </row>
    <row r="12" spans="1:13" x14ac:dyDescent="0.15">
      <c r="A12" s="38" t="s">
        <v>72</v>
      </c>
      <c r="B12" s="40" t="s">
        <v>80</v>
      </c>
      <c r="C12" s="40" t="s">
        <v>81</v>
      </c>
      <c r="D12" s="40"/>
      <c r="E12" s="40"/>
      <c r="F12" s="40"/>
      <c r="G12" s="42"/>
      <c r="H12" s="40"/>
    </row>
    <row r="13" spans="1:13" x14ac:dyDescent="0.15">
      <c r="A13" s="38" t="s">
        <v>82</v>
      </c>
      <c r="B13" s="38" t="s">
        <v>83</v>
      </c>
      <c r="C13" s="38" t="s">
        <v>84</v>
      </c>
    </row>
    <row r="14" spans="1:13" x14ac:dyDescent="0.15">
      <c r="A14" s="38" t="s">
        <v>85</v>
      </c>
      <c r="B14" s="38" t="s">
        <v>80</v>
      </c>
      <c r="C14" s="41" t="s">
        <v>86</v>
      </c>
      <c r="E14" s="41"/>
      <c r="F14" s="41"/>
      <c r="M14" s="40"/>
    </row>
    <row r="15" spans="1:13" x14ac:dyDescent="0.15">
      <c r="A15" s="38" t="s">
        <v>62</v>
      </c>
      <c r="B15" s="40" t="s">
        <v>80</v>
      </c>
      <c r="C15" s="40" t="s">
        <v>87</v>
      </c>
      <c r="H15" s="43"/>
      <c r="M15" s="40"/>
    </row>
    <row r="16" spans="1:13" x14ac:dyDescent="0.15">
      <c r="A16" s="38" t="s">
        <v>66</v>
      </c>
      <c r="B16" s="40" t="s">
        <v>80</v>
      </c>
      <c r="C16" s="40" t="s">
        <v>88</v>
      </c>
      <c r="M16" s="40"/>
    </row>
    <row r="17" spans="1:13" x14ac:dyDescent="0.15">
      <c r="A17" s="38" t="s">
        <v>89</v>
      </c>
      <c r="B17" s="40" t="s">
        <v>80</v>
      </c>
      <c r="C17" s="40" t="s">
        <v>90</v>
      </c>
      <c r="M17" s="40"/>
    </row>
    <row r="18" spans="1:13" x14ac:dyDescent="0.15">
      <c r="B18" s="40"/>
      <c r="C18" s="40"/>
    </row>
    <row r="19" spans="1:13" x14ac:dyDescent="0.15">
      <c r="A19" s="38" t="s">
        <v>91</v>
      </c>
    </row>
    <row r="20" spans="1:13" x14ac:dyDescent="0.15">
      <c r="A20" s="38" t="s">
        <v>92</v>
      </c>
      <c r="B20" s="40"/>
      <c r="C20" s="40"/>
    </row>
    <row r="21" spans="1:13" x14ac:dyDescent="0.15">
      <c r="A21" s="38" t="s">
        <v>93</v>
      </c>
      <c r="B21" s="40" t="s">
        <v>94</v>
      </c>
      <c r="C21" s="40" t="s">
        <v>95</v>
      </c>
      <c r="D21" s="38" t="s">
        <v>96</v>
      </c>
    </row>
    <row r="22" spans="1:13" x14ac:dyDescent="0.15">
      <c r="A22" s="38" t="s">
        <v>97</v>
      </c>
      <c r="B22" s="40" t="s">
        <v>80</v>
      </c>
      <c r="C22" s="40" t="s">
        <v>98</v>
      </c>
      <c r="D22" s="38" t="s">
        <v>99</v>
      </c>
    </row>
    <row r="23" spans="1:13" x14ac:dyDescent="0.15">
      <c r="A23" s="38" t="s">
        <v>100</v>
      </c>
      <c r="B23" s="40" t="s">
        <v>80</v>
      </c>
      <c r="C23" s="38" t="s">
        <v>101</v>
      </c>
      <c r="D23" s="38" t="s">
        <v>102</v>
      </c>
    </row>
    <row r="24" spans="1:13" x14ac:dyDescent="0.15">
      <c r="A24" s="38" t="s">
        <v>103</v>
      </c>
      <c r="B24" s="40" t="s">
        <v>80</v>
      </c>
      <c r="C24" s="40" t="s">
        <v>104</v>
      </c>
      <c r="D24" s="38" t="s">
        <v>105</v>
      </c>
    </row>
    <row r="25" spans="1:13" x14ac:dyDescent="0.15">
      <c r="A25" s="38" t="s">
        <v>106</v>
      </c>
      <c r="B25" s="40" t="s">
        <v>80</v>
      </c>
      <c r="C25" s="40" t="s">
        <v>107</v>
      </c>
      <c r="D25" s="38" t="s">
        <v>108</v>
      </c>
    </row>
    <row r="26" spans="1:13" x14ac:dyDescent="0.15">
      <c r="A26" s="38" t="s">
        <v>109</v>
      </c>
      <c r="B26" s="40" t="s">
        <v>80</v>
      </c>
      <c r="C26" s="40" t="s">
        <v>110</v>
      </c>
      <c r="D26" s="38" t="s">
        <v>111</v>
      </c>
    </row>
    <row r="27" spans="1:13" x14ac:dyDescent="0.15">
      <c r="A27" s="38" t="s">
        <v>112</v>
      </c>
      <c r="B27" s="40" t="s">
        <v>80</v>
      </c>
      <c r="C27" s="40" t="s">
        <v>74</v>
      </c>
      <c r="D27" s="38" t="s">
        <v>113</v>
      </c>
      <c r="E27" s="38" t="s">
        <v>114</v>
      </c>
    </row>
    <row r="28" spans="1:13" x14ac:dyDescent="0.15">
      <c r="A28" s="38" t="s">
        <v>61</v>
      </c>
      <c r="B28" s="40" t="s">
        <v>80</v>
      </c>
      <c r="C28" s="40" t="s">
        <v>115</v>
      </c>
      <c r="E28" s="38" t="s">
        <v>116</v>
      </c>
    </row>
    <row r="29" spans="1:13" x14ac:dyDescent="0.15">
      <c r="A29" s="38" t="s">
        <v>64</v>
      </c>
      <c r="B29" s="40" t="s">
        <v>80</v>
      </c>
      <c r="C29" s="40" t="s">
        <v>117</v>
      </c>
    </row>
    <row r="30" spans="1:13" x14ac:dyDescent="0.15">
      <c r="B30" s="40"/>
    </row>
    <row r="31" spans="1:13" x14ac:dyDescent="0.15">
      <c r="A31" s="38" t="s">
        <v>118</v>
      </c>
    </row>
    <row r="32" spans="1:13" x14ac:dyDescent="0.15">
      <c r="A32" s="38" t="s">
        <v>119</v>
      </c>
      <c r="B32" s="40" t="s">
        <v>80</v>
      </c>
      <c r="C32" s="40" t="s">
        <v>120</v>
      </c>
    </row>
    <row r="33" spans="1:3" x14ac:dyDescent="0.15">
      <c r="A33" s="38" t="s">
        <v>64</v>
      </c>
      <c r="B33" s="40" t="s">
        <v>80</v>
      </c>
      <c r="C33" s="40" t="s">
        <v>121</v>
      </c>
    </row>
    <row r="34" spans="1:3" x14ac:dyDescent="0.15">
      <c r="A34" s="38" t="s">
        <v>61</v>
      </c>
      <c r="B34" s="40" t="s">
        <v>80</v>
      </c>
      <c r="C34" s="40" t="s">
        <v>122</v>
      </c>
    </row>
    <row r="35" spans="1:3" x14ac:dyDescent="0.15">
      <c r="A35" s="38" t="s">
        <v>60</v>
      </c>
      <c r="B35" s="40" t="s">
        <v>80</v>
      </c>
      <c r="C35" s="40" t="s">
        <v>123</v>
      </c>
    </row>
    <row r="36" spans="1:3" x14ac:dyDescent="0.15">
      <c r="A36" s="38" t="s">
        <v>63</v>
      </c>
      <c r="B36" s="40" t="s">
        <v>80</v>
      </c>
      <c r="C36" s="40" t="s">
        <v>124</v>
      </c>
    </row>
    <row r="37" spans="1:3" x14ac:dyDescent="0.15">
      <c r="A37" s="38" t="s">
        <v>69</v>
      </c>
      <c r="B37" s="40" t="s">
        <v>80</v>
      </c>
      <c r="C37" s="40" t="s">
        <v>125</v>
      </c>
    </row>
    <row r="38" spans="1:3" x14ac:dyDescent="0.15">
      <c r="A38" s="38" t="s">
        <v>65</v>
      </c>
      <c r="B38" s="40" t="s">
        <v>80</v>
      </c>
      <c r="C38" s="40" t="s">
        <v>126</v>
      </c>
    </row>
  </sheetData>
  <phoneticPr fontId="17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32" sqref="G32"/>
    </sheetView>
  </sheetViews>
  <sheetFormatPr baseColWidth="12" defaultRowHeight="14" x14ac:dyDescent="0.15"/>
  <sheetData>
    <row r="1" spans="1:1" x14ac:dyDescent="0.15">
      <c r="A1" t="s">
        <v>42</v>
      </c>
    </row>
    <row r="2" spans="1:1" x14ac:dyDescent="0.15">
      <c r="A2" t="s">
        <v>43</v>
      </c>
    </row>
    <row r="3" spans="1:1" x14ac:dyDescent="0.15">
      <c r="A3" t="s">
        <v>44</v>
      </c>
    </row>
    <row r="4" spans="1:1" x14ac:dyDescent="0.15">
      <c r="A4" t="s">
        <v>45</v>
      </c>
    </row>
  </sheetData>
  <phoneticPr fontId="1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tabSelected="1" workbookViewId="0"/>
  </sheetViews>
  <sheetFormatPr baseColWidth="12" defaultRowHeight="15" x14ac:dyDescent="0.15"/>
  <cols>
    <col min="1" max="1" width="13" style="15"/>
    <col min="2" max="2" width="14.796875" style="15" bestFit="1" customWidth="1"/>
    <col min="3" max="4" width="13" style="15"/>
    <col min="5" max="5" width="17.59765625" style="15" bestFit="1" customWidth="1"/>
    <col min="6" max="6" width="22.19921875" style="15" bestFit="1" customWidth="1"/>
    <col min="7" max="16384" width="13" style="15"/>
  </cols>
  <sheetData>
    <row r="1" spans="1:21" x14ac:dyDescent="0.15">
      <c r="A1" s="25" t="s">
        <v>37</v>
      </c>
      <c r="B1" s="13" t="s">
        <v>25</v>
      </c>
      <c r="C1" s="13" t="s">
        <v>26</v>
      </c>
      <c r="D1" s="13" t="s">
        <v>27</v>
      </c>
      <c r="E1" s="13" t="s">
        <v>28</v>
      </c>
      <c r="F1" s="13" t="s">
        <v>29</v>
      </c>
      <c r="G1" s="13" t="s">
        <v>30</v>
      </c>
      <c r="H1" s="13"/>
      <c r="I1" s="13"/>
      <c r="J1" s="13"/>
      <c r="K1" s="13"/>
      <c r="L1" s="14"/>
      <c r="M1" s="14"/>
      <c r="N1" s="14"/>
      <c r="O1" s="14"/>
    </row>
    <row r="2" spans="1:21" x14ac:dyDescent="0.15">
      <c r="A2" s="47" t="s">
        <v>143</v>
      </c>
      <c r="B2" s="37" t="s">
        <v>49</v>
      </c>
      <c r="C2" s="34" t="str">
        <f>RIGHT(F2,7)</f>
        <v>7226100</v>
      </c>
      <c r="D2" s="16" t="s">
        <v>31</v>
      </c>
      <c r="E2" s="14" t="str">
        <f t="shared" ref="E2:E6" si="0">B2&amp;C2&amp;D2</f>
        <v>gacha_select_tables_7226100.tmp</v>
      </c>
      <c r="F2" s="50" t="s">
        <v>145</v>
      </c>
      <c r="G2" s="33" t="s">
        <v>46</v>
      </c>
      <c r="H2" s="19" t="s">
        <v>0</v>
      </c>
      <c r="I2" s="19" t="s">
        <v>2</v>
      </c>
      <c r="J2" s="19" t="s">
        <v>3</v>
      </c>
      <c r="K2" s="19" t="s">
        <v>4</v>
      </c>
      <c r="L2" s="19" t="s">
        <v>5</v>
      </c>
      <c r="M2" s="19" t="s">
        <v>6</v>
      </c>
      <c r="N2" s="19" t="s">
        <v>7</v>
      </c>
      <c r="O2" s="19" t="s">
        <v>8</v>
      </c>
    </row>
    <row r="3" spans="1:21" x14ac:dyDescent="0.15">
      <c r="A3" s="44" t="s">
        <v>129</v>
      </c>
      <c r="B3" s="46" t="s">
        <v>131</v>
      </c>
      <c r="C3" s="34" t="str">
        <f>RIGHT(F3,7)</f>
        <v>7226100</v>
      </c>
      <c r="D3" s="16" t="s">
        <v>31</v>
      </c>
      <c r="E3" s="14" t="str">
        <f t="shared" ref="E3" si="1">B3&amp;C3&amp;D3</f>
        <v>gacha_settle_tables_7226100.tmp</v>
      </c>
      <c r="F3" s="50" t="s">
        <v>144</v>
      </c>
      <c r="G3" s="33" t="s">
        <v>46</v>
      </c>
      <c r="H3" s="19" t="s">
        <v>0</v>
      </c>
      <c r="I3" s="19" t="s">
        <v>2</v>
      </c>
      <c r="J3" s="19" t="s">
        <v>3</v>
      </c>
      <c r="K3" s="19" t="s">
        <v>4</v>
      </c>
      <c r="L3" s="19" t="s">
        <v>5</v>
      </c>
      <c r="M3" s="19" t="s">
        <v>6</v>
      </c>
      <c r="N3" s="19" t="s">
        <v>7</v>
      </c>
      <c r="O3" s="19" t="s">
        <v>8</v>
      </c>
    </row>
    <row r="4" spans="1:21" x14ac:dyDescent="0.15">
      <c r="A4" s="44" t="s">
        <v>129</v>
      </c>
      <c r="B4" s="24" t="s">
        <v>36</v>
      </c>
      <c r="C4" s="45" t="s">
        <v>130</v>
      </c>
      <c r="D4" s="16" t="s">
        <v>32</v>
      </c>
      <c r="E4" s="14" t="str">
        <f t="shared" si="0"/>
        <v>gacha_bonus_tables_hogehoge.tmp</v>
      </c>
      <c r="F4" s="16" t="s">
        <v>33</v>
      </c>
      <c r="G4" s="18" t="s">
        <v>9</v>
      </c>
      <c r="H4" s="20" t="s">
        <v>12</v>
      </c>
      <c r="I4" s="18" t="s">
        <v>10</v>
      </c>
      <c r="J4" s="17"/>
      <c r="K4" s="17"/>
      <c r="L4" s="17"/>
      <c r="M4" s="17"/>
      <c r="N4" s="17"/>
      <c r="O4" s="17"/>
    </row>
    <row r="5" spans="1:21" x14ac:dyDescent="0.15">
      <c r="A5" s="44" t="s">
        <v>129</v>
      </c>
      <c r="B5" s="16" t="s">
        <v>34</v>
      </c>
      <c r="C5" s="45" t="s">
        <v>130</v>
      </c>
      <c r="D5" s="16" t="s">
        <v>32</v>
      </c>
      <c r="E5" s="14" t="str">
        <f t="shared" si="0"/>
        <v>gifts_tmp_hogehoge.tmp</v>
      </c>
      <c r="F5" s="16" t="s">
        <v>33</v>
      </c>
      <c r="G5" s="20" t="s">
        <v>13</v>
      </c>
      <c r="H5" s="21" t="s">
        <v>21</v>
      </c>
      <c r="I5" s="20" t="s">
        <v>14</v>
      </c>
      <c r="J5" s="20" t="s">
        <v>15</v>
      </c>
      <c r="K5" s="20" t="s">
        <v>15</v>
      </c>
      <c r="L5" s="20" t="s">
        <v>16</v>
      </c>
      <c r="M5" s="20" t="s">
        <v>16</v>
      </c>
      <c r="N5" s="20" t="s">
        <v>16</v>
      </c>
      <c r="O5" s="35" t="s">
        <v>6</v>
      </c>
      <c r="P5" s="35" t="s">
        <v>8</v>
      </c>
      <c r="Q5" s="35" t="s">
        <v>5</v>
      </c>
      <c r="R5" s="35" t="s">
        <v>47</v>
      </c>
      <c r="S5" s="35" t="s">
        <v>7</v>
      </c>
      <c r="T5" s="35" t="s">
        <v>48</v>
      </c>
      <c r="U5" s="35" t="s">
        <v>4</v>
      </c>
    </row>
    <row r="6" spans="1:21" x14ac:dyDescent="0.15">
      <c r="A6" s="44" t="s">
        <v>129</v>
      </c>
      <c r="B6" s="16" t="s">
        <v>35</v>
      </c>
      <c r="C6" s="45" t="s">
        <v>130</v>
      </c>
      <c r="D6" s="16" t="s">
        <v>32</v>
      </c>
      <c r="E6" s="14" t="str">
        <f t="shared" si="0"/>
        <v>gifts_i18n_hogehoge.tmp</v>
      </c>
      <c r="F6" s="16" t="s">
        <v>33</v>
      </c>
      <c r="G6" s="20" t="s">
        <v>11</v>
      </c>
      <c r="H6" s="22" t="s">
        <v>17</v>
      </c>
      <c r="I6" s="22" t="s">
        <v>18</v>
      </c>
      <c r="J6" s="22" t="s">
        <v>19</v>
      </c>
      <c r="K6" s="22" t="s">
        <v>20</v>
      </c>
      <c r="L6" s="23"/>
      <c r="M6" s="20"/>
      <c r="N6" s="20"/>
      <c r="O6" s="16"/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80"/>
  <sheetViews>
    <sheetView showGridLines="0" zoomScale="75" zoomScaleNormal="75" zoomScalePageLayoutView="75" workbookViewId="0">
      <pane ySplit="1" topLeftCell="A50" activePane="bottomLeft" state="frozen"/>
      <selection activeCell="E6" sqref="E6"/>
      <selection pane="bottomLeft" activeCell="A75" sqref="A7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132</v>
      </c>
      <c r="B1" s="12" t="s">
        <v>1</v>
      </c>
      <c r="C1" s="3" t="s">
        <v>22</v>
      </c>
      <c r="D1" s="3" t="s">
        <v>133</v>
      </c>
      <c r="E1" s="3" t="s">
        <v>127</v>
      </c>
      <c r="F1" s="3" t="s">
        <v>128</v>
      </c>
      <c r="G1" s="3" t="s">
        <v>134</v>
      </c>
      <c r="H1" s="3" t="s">
        <v>135</v>
      </c>
      <c r="I1" s="3" t="s">
        <v>136</v>
      </c>
      <c r="J1" s="3" t="s">
        <v>137</v>
      </c>
      <c r="K1" s="3" t="s">
        <v>138</v>
      </c>
      <c r="L1" s="3" t="s">
        <v>139</v>
      </c>
      <c r="M1" s="3" t="s">
        <v>140</v>
      </c>
      <c r="N1" s="3" t="s">
        <v>38</v>
      </c>
      <c r="O1" s="12" t="s">
        <v>141</v>
      </c>
      <c r="P1" s="3" t="s">
        <v>40</v>
      </c>
      <c r="Q1" s="12" t="s">
        <v>142</v>
      </c>
      <c r="R1" s="26" t="s">
        <v>4</v>
      </c>
      <c r="S1" s="26" t="s">
        <v>5</v>
      </c>
      <c r="T1" s="26" t="s">
        <v>6</v>
      </c>
      <c r="U1" s="26" t="s">
        <v>7</v>
      </c>
      <c r="V1" s="26" t="s">
        <v>8</v>
      </c>
    </row>
    <row r="2" spans="1:22" ht="21" customHeight="1" x14ac:dyDescent="0.15">
      <c r="A2" s="2">
        <v>7226100</v>
      </c>
      <c r="B2" s="48">
        <v>321</v>
      </c>
      <c r="C2" s="7" t="str">
        <f t="shared" ref="C2:C7" si="0">D2&amp;J2&amp;E2&amp;F2&amp;G2</f>
        <v>PremiumSS5</v>
      </c>
      <c r="D2" s="7" t="str">
        <f t="shared" ref="D2:D45" si="1"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巌鉄の烈志士 近藤勇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hp</v>
      </c>
      <c r="M2" s="7" t="str">
        <f>VLOOKUP(B2,[1]characters!$A:$M,13,FALSE)</f>
        <v>human</v>
      </c>
      <c r="N2" s="7" t="str">
        <f>VLOOKUP(B2,[1]characters!$A:$G,7,FALSE)</f>
        <v>男性</v>
      </c>
      <c r="O2" s="31">
        <v>10</v>
      </c>
      <c r="P2" s="32">
        <f t="shared" ref="P2:P33" si="2">O2/SUM(O:O)</f>
        <v>1.3333333333333334E-2</v>
      </c>
      <c r="Q2" s="27">
        <v>1</v>
      </c>
      <c r="R2" s="27">
        <v>0</v>
      </c>
      <c r="S2" s="27">
        <v>0</v>
      </c>
      <c r="T2" s="27">
        <v>0</v>
      </c>
      <c r="U2" s="27">
        <v>0</v>
      </c>
      <c r="V2" s="27">
        <v>1</v>
      </c>
    </row>
    <row r="3" spans="1:22" ht="21" customHeight="1" x14ac:dyDescent="0.15">
      <c r="A3" s="2">
        <v>7226100</v>
      </c>
      <c r="B3" s="48">
        <v>323</v>
      </c>
      <c r="C3" s="7" t="str">
        <f t="shared" ref="C3" si="3">D3&amp;J3&amp;E3&amp;F3&amp;G3</f>
        <v>PremiumSS5</v>
      </c>
      <c r="D3" s="7" t="str">
        <f t="shared" ref="D3" si="4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流麗の愛志士 土方歳三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1">
        <v>10</v>
      </c>
      <c r="P3" s="32">
        <f t="shared" si="2"/>
        <v>1.3333333333333334E-2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27">
        <v>1</v>
      </c>
    </row>
    <row r="4" spans="1:22" ht="21" customHeight="1" x14ac:dyDescent="0.15">
      <c r="A4" s="2">
        <v>7226100</v>
      </c>
      <c r="B4" s="48">
        <v>325</v>
      </c>
      <c r="C4" s="7" t="str">
        <f t="shared" si="0"/>
        <v>PremiumSS5</v>
      </c>
      <c r="D4" s="7" t="str">
        <f t="shared" si="1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天賦の凛志士 沖田総司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31">
        <v>10</v>
      </c>
      <c r="P4" s="32">
        <f t="shared" si="2"/>
        <v>1.3333333333333334E-2</v>
      </c>
      <c r="Q4" s="27">
        <v>1</v>
      </c>
      <c r="R4" s="27">
        <v>0</v>
      </c>
      <c r="S4" s="27">
        <v>0</v>
      </c>
      <c r="T4" s="27">
        <v>0</v>
      </c>
      <c r="U4" s="27">
        <v>0</v>
      </c>
      <c r="V4" s="27">
        <v>1</v>
      </c>
    </row>
    <row r="5" spans="1:22" ht="21" customHeight="1" x14ac:dyDescent="0.15">
      <c r="A5" s="2">
        <v>7226100</v>
      </c>
      <c r="B5" s="48">
        <v>327</v>
      </c>
      <c r="C5" s="7" t="str">
        <f t="shared" ref="C5" si="5">D5&amp;J5&amp;E5&amp;F5&amp;G5</f>
        <v>PremiumSS5</v>
      </c>
      <c r="D5" s="7" t="str">
        <f t="shared" ref="D5" si="6">IF(OR(I5="PremiumSS",I5="PremiumSSw"),"PremiumSS",IF(I5="PremiumSSS",I5,IF(I5="PremiumW",I5,"Premium")))</f>
        <v>PremiumSS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千殺の妖志士 斎藤一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technical</v>
      </c>
      <c r="M5" s="7" t="str">
        <f>VLOOKUP(B5,[1]characters!$A:$M,13,FALSE)</f>
        <v>human</v>
      </c>
      <c r="N5" s="7" t="str">
        <f>VLOOKUP(B5,[1]characters!$A:$G,7,FALSE)</f>
        <v>女性</v>
      </c>
      <c r="O5" s="31">
        <v>10</v>
      </c>
      <c r="P5" s="32">
        <f t="shared" si="2"/>
        <v>1.3333333333333334E-2</v>
      </c>
      <c r="Q5" s="27">
        <v>1</v>
      </c>
      <c r="R5" s="27">
        <v>0</v>
      </c>
      <c r="S5" s="27">
        <v>0</v>
      </c>
      <c r="T5" s="27">
        <v>0</v>
      </c>
      <c r="U5" s="27">
        <v>0</v>
      </c>
      <c r="V5" s="27">
        <v>1</v>
      </c>
    </row>
    <row r="6" spans="1:22" ht="21" customHeight="1" x14ac:dyDescent="0.15">
      <c r="A6" s="2">
        <v>7226100</v>
      </c>
      <c r="B6" s="48">
        <v>384</v>
      </c>
      <c r="C6" s="7" t="str">
        <f t="shared" si="0"/>
        <v>PremiumSS5</v>
      </c>
      <c r="D6" s="7" t="str">
        <f t="shared" si="1"/>
        <v>PremiumSS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破国の呑龍 ヤマタノオロチ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green</v>
      </c>
      <c r="L6" s="7" t="str">
        <f>VLOOKUP(B6,[1]characters!$A:$K,11,FALSE)</f>
        <v>hp</v>
      </c>
      <c r="M6" s="7" t="str">
        <f>VLOOKUP(B6,[1]characters!$A:$M,13,FALSE)</f>
        <v>dragon</v>
      </c>
      <c r="N6" s="7" t="str">
        <f>VLOOKUP(B6,[1]characters!$A:$G,7,FALSE)</f>
        <v>女性</v>
      </c>
      <c r="O6" s="31">
        <v>10</v>
      </c>
      <c r="P6" s="32">
        <f t="shared" si="2"/>
        <v>1.3333333333333334E-2</v>
      </c>
      <c r="Q6" s="27">
        <v>1</v>
      </c>
      <c r="R6" s="27">
        <v>0</v>
      </c>
      <c r="S6" s="27">
        <v>0</v>
      </c>
      <c r="T6" s="27">
        <v>0</v>
      </c>
      <c r="U6" s="27">
        <v>0</v>
      </c>
      <c r="V6" s="27">
        <v>1</v>
      </c>
    </row>
    <row r="7" spans="1:22" ht="21" customHeight="1" x14ac:dyDescent="0.15">
      <c r="A7" s="2">
        <v>7226100</v>
      </c>
      <c r="B7" s="48">
        <v>386</v>
      </c>
      <c r="C7" s="7" t="str">
        <f t="shared" si="0"/>
        <v>PremiumSS5</v>
      </c>
      <c r="D7" s="7" t="str">
        <f t="shared" si="1"/>
        <v>PremiumSS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氾乱の海龍 リヴァイアサン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blue</v>
      </c>
      <c r="L7" s="7" t="str">
        <f>VLOOKUP(B7,[1]characters!$A:$K,11,FALSE)</f>
        <v>balance</v>
      </c>
      <c r="M7" s="7" t="str">
        <f>VLOOKUP(B7,[1]characters!$A:$M,13,FALSE)</f>
        <v>dragon</v>
      </c>
      <c r="N7" s="7" t="str">
        <f>VLOOKUP(B7,[1]characters!$A:$G,7,FALSE)</f>
        <v>女性</v>
      </c>
      <c r="O7" s="31">
        <v>10</v>
      </c>
      <c r="P7" s="32">
        <f t="shared" si="2"/>
        <v>1.3333333333333334E-2</v>
      </c>
      <c r="Q7" s="27">
        <v>1</v>
      </c>
      <c r="R7" s="27">
        <v>0</v>
      </c>
      <c r="S7" s="27">
        <v>0</v>
      </c>
      <c r="T7" s="27">
        <v>0</v>
      </c>
      <c r="U7" s="27">
        <v>0</v>
      </c>
      <c r="V7" s="27">
        <v>1</v>
      </c>
    </row>
    <row r="8" spans="1:22" ht="21" customHeight="1" x14ac:dyDescent="0.15">
      <c r="A8" s="2">
        <v>7226100</v>
      </c>
      <c r="B8" s="48">
        <v>391</v>
      </c>
      <c r="C8" s="7" t="str">
        <f t="shared" ref="C8:C9" si="7">D8&amp;J8&amp;E8&amp;F8&amp;G8</f>
        <v>PremiumSS5</v>
      </c>
      <c r="D8" s="7" t="str">
        <f t="shared" si="1"/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燕翼の旅人 親指姫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red</v>
      </c>
      <c r="L8" s="7" t="str">
        <f>VLOOKUP(B8,[1]characters!$A:$K,11,FALSE)</f>
        <v>heal</v>
      </c>
      <c r="M8" s="7" t="str">
        <f>VLOOKUP(B8,[1]characters!$A:$M,13,FALSE)</f>
        <v>human</v>
      </c>
      <c r="N8" s="7" t="str">
        <f>VLOOKUP(B8,[1]characters!$A:$G,7,FALSE)</f>
        <v>女性</v>
      </c>
      <c r="O8" s="31">
        <v>10</v>
      </c>
      <c r="P8" s="32">
        <f t="shared" si="2"/>
        <v>1.3333333333333334E-2</v>
      </c>
      <c r="Q8" s="27">
        <v>1</v>
      </c>
      <c r="R8" s="27">
        <v>0</v>
      </c>
      <c r="S8" s="27">
        <v>0</v>
      </c>
      <c r="T8" s="27">
        <v>0</v>
      </c>
      <c r="U8" s="27">
        <v>0</v>
      </c>
      <c r="V8" s="27">
        <v>1</v>
      </c>
    </row>
    <row r="9" spans="1:22" ht="21" customHeight="1" x14ac:dyDescent="0.15">
      <c r="A9" s="2">
        <v>7226100</v>
      </c>
      <c r="B9" s="48">
        <v>399</v>
      </c>
      <c r="C9" s="7" t="str">
        <f t="shared" si="7"/>
        <v>PremiumSS5</v>
      </c>
      <c r="D9" s="7" t="str">
        <f t="shared" si="1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信愛の兄妹 ヘンゼル＆グレーテル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balance</v>
      </c>
      <c r="M9" s="7" t="str">
        <f>VLOOKUP(B9,[1]characters!$A:$M,13,FALSE)</f>
        <v>human</v>
      </c>
      <c r="N9" s="7" t="str">
        <f>VLOOKUP(B9,[1]characters!$A:$G,7,FALSE)</f>
        <v>女性</v>
      </c>
      <c r="O9" s="31">
        <v>10</v>
      </c>
      <c r="P9" s="32">
        <f t="shared" si="2"/>
        <v>1.3333333333333334E-2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27">
        <v>1</v>
      </c>
    </row>
    <row r="10" spans="1:22" ht="21" customHeight="1" x14ac:dyDescent="0.15">
      <c r="A10" s="2">
        <v>7226100</v>
      </c>
      <c r="B10" s="48">
        <v>404</v>
      </c>
      <c r="C10" s="7" t="str">
        <f t="shared" ref="C10:C12" si="8">D10&amp;J10&amp;E10&amp;F10&amp;G10</f>
        <v>PremiumSS5</v>
      </c>
      <c r="D10" s="7" t="str">
        <f t="shared" si="1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空襲の神眼 八咫烏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green</v>
      </c>
      <c r="L10" s="7" t="str">
        <f>VLOOKUP(B10,[1]characters!$A:$K,11,FALSE)</f>
        <v>balance</v>
      </c>
      <c r="M10" s="7" t="str">
        <f>VLOOKUP(B10,[1]characters!$A:$M,13,FALSE)</f>
        <v>animal</v>
      </c>
      <c r="N10" s="7" t="str">
        <f>VLOOKUP(B10,[1]characters!$A:$G,7,FALSE)</f>
        <v>女性</v>
      </c>
      <c r="O10" s="31">
        <v>10</v>
      </c>
      <c r="P10" s="32">
        <f t="shared" si="2"/>
        <v>1.3333333333333334E-2</v>
      </c>
      <c r="Q10" s="27">
        <v>1</v>
      </c>
      <c r="R10" s="27">
        <v>0</v>
      </c>
      <c r="S10" s="27">
        <v>0</v>
      </c>
      <c r="T10" s="27">
        <v>0</v>
      </c>
      <c r="U10" s="27">
        <v>0</v>
      </c>
      <c r="V10" s="27">
        <v>1</v>
      </c>
    </row>
    <row r="11" spans="1:22" ht="21" customHeight="1" x14ac:dyDescent="0.15">
      <c r="A11" s="2">
        <v>7226100</v>
      </c>
      <c r="B11" s="48">
        <v>409</v>
      </c>
      <c r="C11" s="7" t="str">
        <f t="shared" ref="C11" si="9">D11&amp;J11&amp;E11&amp;F11&amp;G11</f>
        <v>PremiumSS5</v>
      </c>
      <c r="D11" s="7" t="str">
        <f t="shared" ref="D11" si="10">IF(OR(I11="PremiumSS",I11="PremiumSSw"),"PremiumSS",IF(I11="PremiumSSS",I11,IF(I11="PremiumW",I11,"Premium")))</f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天眼の皇貴魔 アスタロト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attack</v>
      </c>
      <c r="M11" s="7" t="str">
        <f>VLOOKUP(B11,[1]characters!$A:$M,13,FALSE)</f>
        <v>god</v>
      </c>
      <c r="N11" s="7" t="str">
        <f>VLOOKUP(B11,[1]characters!$A:$G,7,FALSE)</f>
        <v>男性</v>
      </c>
      <c r="O11" s="31">
        <v>10</v>
      </c>
      <c r="P11" s="32">
        <f t="shared" si="2"/>
        <v>1.3333333333333334E-2</v>
      </c>
      <c r="Q11" s="27">
        <v>1</v>
      </c>
      <c r="R11" s="27">
        <v>0</v>
      </c>
      <c r="S11" s="27">
        <v>0</v>
      </c>
      <c r="T11" s="27">
        <v>0</v>
      </c>
      <c r="U11" s="27">
        <v>0</v>
      </c>
      <c r="V11" s="27">
        <v>1</v>
      </c>
    </row>
    <row r="12" spans="1:22" ht="21" customHeight="1" x14ac:dyDescent="0.15">
      <c r="A12" s="2">
        <v>7226100</v>
      </c>
      <c r="B12" s="48">
        <v>435</v>
      </c>
      <c r="C12" s="7" t="str">
        <f t="shared" si="8"/>
        <v>PremiumSS5</v>
      </c>
      <c r="D12" s="7" t="str">
        <f t="shared" si="1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曝弾の密偵 D.R.T.H.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red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1">
        <v>10</v>
      </c>
      <c r="P12" s="32">
        <f t="shared" si="2"/>
        <v>1.3333333333333334E-2</v>
      </c>
      <c r="Q12" s="27">
        <v>1</v>
      </c>
      <c r="R12" s="27">
        <v>0</v>
      </c>
      <c r="S12" s="27">
        <v>0</v>
      </c>
      <c r="T12" s="27">
        <v>0</v>
      </c>
      <c r="U12" s="27">
        <v>0</v>
      </c>
      <c r="V12" s="27">
        <v>1</v>
      </c>
    </row>
    <row r="13" spans="1:22" ht="21" customHeight="1" x14ac:dyDescent="0.15">
      <c r="A13" s="2">
        <v>7226100</v>
      </c>
      <c r="B13" s="48">
        <v>443</v>
      </c>
      <c r="C13" s="7" t="str">
        <f t="shared" ref="C13" si="11">D13&amp;J13&amp;E13&amp;F13&amp;G13</f>
        <v>PremiumSS5</v>
      </c>
      <c r="D13" s="7" t="str">
        <f t="shared" ref="D13" si="12">IF(OR(I13="PremiumSS",I13="PremiumSSw"),"PremiumSS",IF(I13="PremiumSSS",I13,IF(I13="PremiumW",I13,"Premium")))</f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勇機結集 ブレイブリー・ライオン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hp</v>
      </c>
      <c r="M13" s="7" t="str">
        <f>VLOOKUP(B13,[1]characters!$A:$M,13,FALSE)</f>
        <v>animal</v>
      </c>
      <c r="N13" s="7" t="str">
        <f>VLOOKUP(B13,[1]characters!$A:$G,7,FALSE)</f>
        <v>不明</v>
      </c>
      <c r="O13" s="31">
        <v>10</v>
      </c>
      <c r="P13" s="32">
        <f t="shared" si="2"/>
        <v>1.3333333333333334E-2</v>
      </c>
      <c r="Q13" s="27">
        <v>1</v>
      </c>
      <c r="R13" s="27">
        <v>0</v>
      </c>
      <c r="S13" s="27">
        <v>0</v>
      </c>
      <c r="T13" s="27">
        <v>0</v>
      </c>
      <c r="U13" s="27">
        <v>0</v>
      </c>
      <c r="V13" s="27">
        <v>1</v>
      </c>
    </row>
    <row r="14" spans="1:22" ht="21" customHeight="1" x14ac:dyDescent="0.15">
      <c r="A14" s="2">
        <v>7226100</v>
      </c>
      <c r="B14" s="48">
        <v>466</v>
      </c>
      <c r="C14" s="7" t="str">
        <f t="shared" ref="C14:C15" si="13">D14&amp;J14&amp;E14&amp;F14&amp;G14</f>
        <v>PremiumSS5</v>
      </c>
      <c r="D14" s="7" t="str">
        <f t="shared" si="1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真断の勇覇 ランスロット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green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31">
        <v>10</v>
      </c>
      <c r="P14" s="32">
        <f t="shared" si="2"/>
        <v>1.3333333333333334E-2</v>
      </c>
      <c r="Q14" s="27">
        <v>1</v>
      </c>
      <c r="R14" s="27">
        <v>0</v>
      </c>
      <c r="S14" s="27">
        <v>0</v>
      </c>
      <c r="T14" s="27">
        <v>0</v>
      </c>
      <c r="U14" s="27">
        <v>0</v>
      </c>
      <c r="V14" s="27">
        <v>1</v>
      </c>
    </row>
    <row r="15" spans="1:22" ht="21" customHeight="1" x14ac:dyDescent="0.15">
      <c r="A15" s="2">
        <v>7226100</v>
      </c>
      <c r="B15" s="48">
        <v>468</v>
      </c>
      <c r="C15" s="7" t="str">
        <f t="shared" si="13"/>
        <v>PremiumSS5</v>
      </c>
      <c r="D15" s="7" t="str">
        <f t="shared" si="1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憎愛の尖鋒 モルドレッド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blue</v>
      </c>
      <c r="L15" s="7" t="str">
        <f>VLOOKUP(B15,[1]characters!$A:$K,11,FALSE)</f>
        <v>technical</v>
      </c>
      <c r="M15" s="7" t="str">
        <f>VLOOKUP(B15,[1]characters!$A:$M,13,FALSE)</f>
        <v>human</v>
      </c>
      <c r="N15" s="7" t="str">
        <f>VLOOKUP(B15,[1]characters!$A:$G,7,FALSE)</f>
        <v>女性</v>
      </c>
      <c r="O15" s="31">
        <v>10</v>
      </c>
      <c r="P15" s="32">
        <f t="shared" si="2"/>
        <v>1.3333333333333334E-2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27">
        <v>1</v>
      </c>
    </row>
    <row r="16" spans="1:22" ht="21" customHeight="1" x14ac:dyDescent="0.15">
      <c r="A16" s="2">
        <v>7226100</v>
      </c>
      <c r="B16" s="49">
        <v>475</v>
      </c>
      <c r="C16" s="7" t="str">
        <f t="shared" ref="C16:C18" si="14">D16&amp;J16&amp;E16&amp;F16&amp;G16</f>
        <v>PremiumSS5</v>
      </c>
      <c r="D16" s="7" t="str">
        <f t="shared" si="1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緋王 キング・ドライグ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attack</v>
      </c>
      <c r="M16" s="7" t="str">
        <f>VLOOKUP(B16,[1]characters!$A:$M,13,FALSE)</f>
        <v>dragon</v>
      </c>
      <c r="N16" s="7" t="str">
        <f>VLOOKUP(B16,[1]characters!$A:$G,7,FALSE)</f>
        <v>不明</v>
      </c>
      <c r="O16" s="31">
        <v>10</v>
      </c>
      <c r="P16" s="32">
        <f t="shared" si="2"/>
        <v>1.3333333333333334E-2</v>
      </c>
      <c r="Q16" s="27">
        <v>1</v>
      </c>
      <c r="R16" s="27">
        <v>0</v>
      </c>
      <c r="S16" s="27">
        <v>0</v>
      </c>
      <c r="T16" s="27">
        <v>0</v>
      </c>
      <c r="U16" s="27">
        <v>0</v>
      </c>
      <c r="V16" s="27">
        <v>1</v>
      </c>
    </row>
    <row r="17" spans="1:22" ht="21" customHeight="1" x14ac:dyDescent="0.15">
      <c r="A17" s="2">
        <v>7226100</v>
      </c>
      <c r="B17" s="49">
        <v>480</v>
      </c>
      <c r="C17" s="7" t="str">
        <f t="shared" ref="C17" si="15">D17&amp;J17&amp;E17&amp;F17&amp;G17</f>
        <v>PremiumSS5</v>
      </c>
      <c r="D17" s="7" t="str">
        <f t="shared" ref="D17" si="16">IF(OR(I17="PremiumSS",I17="PremiumSSw"),"PremiumSS",IF(I17="PremiumSSS",I17,IF(I17="PremiumW",I17,"Premium")))</f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夢幻の愚者フール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god</v>
      </c>
      <c r="N17" s="7" t="str">
        <f>VLOOKUP(B17,[1]characters!$A:$G,7,FALSE)</f>
        <v>男性</v>
      </c>
      <c r="O17" s="31">
        <v>10</v>
      </c>
      <c r="P17" s="32">
        <f t="shared" si="2"/>
        <v>1.3333333333333334E-2</v>
      </c>
      <c r="Q17" s="27">
        <v>1</v>
      </c>
      <c r="R17" s="27">
        <v>0</v>
      </c>
      <c r="S17" s="27">
        <v>0</v>
      </c>
      <c r="T17" s="27">
        <v>0</v>
      </c>
      <c r="U17" s="27">
        <v>0</v>
      </c>
      <c r="V17" s="27">
        <v>1</v>
      </c>
    </row>
    <row r="18" spans="1:22" ht="21" customHeight="1" x14ac:dyDescent="0.15">
      <c r="A18" s="2">
        <v>7226100</v>
      </c>
      <c r="B18" s="49">
        <v>493</v>
      </c>
      <c r="C18" s="7" t="str">
        <f t="shared" si="14"/>
        <v>PremiumSS5</v>
      </c>
      <c r="D18" s="7" t="str">
        <f t="shared" si="1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跋扈の機脚 ブートレグ・ペロー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hp</v>
      </c>
      <c r="M18" s="7" t="str">
        <f>VLOOKUP(B18,[1]characters!$A:$M,13,FALSE)</f>
        <v>animal</v>
      </c>
      <c r="N18" s="7" t="str">
        <f>VLOOKUP(B18,[1]characters!$A:$G,7,FALSE)</f>
        <v>不明</v>
      </c>
      <c r="O18" s="31">
        <v>10</v>
      </c>
      <c r="P18" s="32">
        <f t="shared" si="2"/>
        <v>1.3333333333333334E-2</v>
      </c>
      <c r="Q18" s="27">
        <v>1</v>
      </c>
      <c r="R18" s="27">
        <v>0</v>
      </c>
      <c r="S18" s="27">
        <v>0</v>
      </c>
      <c r="T18" s="27">
        <v>0</v>
      </c>
      <c r="U18" s="27">
        <v>0</v>
      </c>
      <c r="V18" s="27">
        <v>1</v>
      </c>
    </row>
    <row r="19" spans="1:22" ht="21" customHeight="1" x14ac:dyDescent="0.15">
      <c r="A19" s="2">
        <v>7226100</v>
      </c>
      <c r="B19" s="49">
        <v>495</v>
      </c>
      <c r="C19" s="7" t="str">
        <f t="shared" ref="C19:C20" si="17">D19&amp;J19&amp;E19&amp;F19&amp;G19</f>
        <v>PremiumSS5</v>
      </c>
      <c r="D19" s="7" t="str">
        <f t="shared" si="1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鼠災呼ぶ笛音 ハーメルン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technical</v>
      </c>
      <c r="M19" s="7" t="str">
        <f>VLOOKUP(B19,[1]characters!$A:$M,13,FALSE)</f>
        <v>human</v>
      </c>
      <c r="N19" s="7" t="str">
        <f>VLOOKUP(B19,[1]characters!$A:$G,7,FALSE)</f>
        <v>男性</v>
      </c>
      <c r="O19" s="31">
        <v>10</v>
      </c>
      <c r="P19" s="32">
        <f t="shared" si="2"/>
        <v>1.3333333333333334E-2</v>
      </c>
      <c r="Q19" s="27">
        <v>1</v>
      </c>
      <c r="R19" s="27">
        <v>0</v>
      </c>
      <c r="S19" s="27">
        <v>0</v>
      </c>
      <c r="T19" s="27">
        <v>0</v>
      </c>
      <c r="U19" s="27">
        <v>0</v>
      </c>
      <c r="V19" s="27">
        <v>1</v>
      </c>
    </row>
    <row r="20" spans="1:22" ht="21" customHeight="1" x14ac:dyDescent="0.15">
      <c r="A20" s="2">
        <v>7226100</v>
      </c>
      <c r="B20" s="49">
        <v>500</v>
      </c>
      <c r="C20" s="7" t="str">
        <f t="shared" si="17"/>
        <v>PremiumSS5</v>
      </c>
      <c r="D20" s="7" t="str">
        <f t="shared" si="1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脈動の禁髪 ラプンツェル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yellow</v>
      </c>
      <c r="L20" s="7" t="str">
        <f>VLOOKUP(B20,[1]characters!$A:$K,11,FALSE)</f>
        <v>balance</v>
      </c>
      <c r="M20" s="7" t="str">
        <f>VLOOKUP(B20,[1]characters!$A:$M,13,FALSE)</f>
        <v>human</v>
      </c>
      <c r="N20" s="7" t="str">
        <f>VLOOKUP(B20,[1]characters!$A:$G,7,FALSE)</f>
        <v>女性</v>
      </c>
      <c r="O20" s="31">
        <v>10</v>
      </c>
      <c r="P20" s="32">
        <f t="shared" si="2"/>
        <v>1.3333333333333334E-2</v>
      </c>
      <c r="Q20" s="27">
        <v>1</v>
      </c>
      <c r="R20" s="27">
        <v>0</v>
      </c>
      <c r="S20" s="27">
        <v>0</v>
      </c>
      <c r="T20" s="27">
        <v>0</v>
      </c>
      <c r="U20" s="27">
        <v>0</v>
      </c>
      <c r="V20" s="27">
        <v>1</v>
      </c>
    </row>
    <row r="21" spans="1:22" ht="21" customHeight="1" x14ac:dyDescent="0.15">
      <c r="A21" s="2">
        <v>7226100</v>
      </c>
      <c r="B21" s="49">
        <v>587</v>
      </c>
      <c r="C21" s="7" t="str">
        <f t="shared" ref="C21" si="18">D21&amp;J21&amp;E21&amp;F21&amp;G21</f>
        <v>PremiumSS5</v>
      </c>
      <c r="D21" s="7" t="str">
        <f t="shared" ref="D21" si="19">IF(OR(I21="PremiumSS",I21="PremiumSSw"),"PremiumSS",IF(I21="PremiumSSS",I21,IF(I21="PremiumW",I21,"Premium")))</f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原初の煉鋼巨刃 ユミル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red</v>
      </c>
      <c r="L21" s="7" t="str">
        <f>VLOOKUP(B21,[1]characters!$A:$K,11,FALSE)</f>
        <v>hp</v>
      </c>
      <c r="M21" s="7" t="str">
        <f>VLOOKUP(B21,[1]characters!$A:$M,13,FALSE)</f>
        <v>machine</v>
      </c>
      <c r="N21" s="7" t="str">
        <f>VLOOKUP(B21,[1]characters!$A:$G,7,FALSE)</f>
        <v>不明</v>
      </c>
      <c r="O21" s="31">
        <v>10</v>
      </c>
      <c r="P21" s="32">
        <f t="shared" si="2"/>
        <v>1.3333333333333334E-2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27">
        <v>1</v>
      </c>
    </row>
    <row r="22" spans="1:22" ht="21" customHeight="1" x14ac:dyDescent="0.15">
      <c r="A22" s="2">
        <v>7226100</v>
      </c>
      <c r="B22" s="49">
        <v>595</v>
      </c>
      <c r="C22" s="7" t="str">
        <f t="shared" ref="C22:C25" si="20">D22&amp;J22&amp;E22&amp;F22&amp;G22</f>
        <v>PremiumSS5</v>
      </c>
      <c r="D22" s="7" t="str">
        <f t="shared" si="1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光華なる神域 アルフヘイム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attack</v>
      </c>
      <c r="M22" s="7" t="str">
        <f>VLOOKUP(B22,[1]characters!$A:$M,13,FALSE)</f>
        <v>dragon</v>
      </c>
      <c r="N22" s="7" t="str">
        <f>VLOOKUP(B22,[1]characters!$A:$G,7,FALSE)</f>
        <v>不明</v>
      </c>
      <c r="O22" s="31">
        <v>10</v>
      </c>
      <c r="P22" s="32">
        <f t="shared" si="2"/>
        <v>1.3333333333333334E-2</v>
      </c>
      <c r="Q22" s="27">
        <v>1</v>
      </c>
      <c r="R22" s="27">
        <v>0</v>
      </c>
      <c r="S22" s="27">
        <v>0</v>
      </c>
      <c r="T22" s="27">
        <v>0</v>
      </c>
      <c r="U22" s="27">
        <v>0</v>
      </c>
      <c r="V22" s="27">
        <v>1</v>
      </c>
    </row>
    <row r="23" spans="1:22" ht="21" customHeight="1" x14ac:dyDescent="0.15">
      <c r="A23" s="2">
        <v>7226100</v>
      </c>
      <c r="B23" s="49">
        <v>603</v>
      </c>
      <c r="C23" s="7" t="str">
        <f t="shared" si="20"/>
        <v>PremiumSS5</v>
      </c>
      <c r="D23" s="7" t="str">
        <f t="shared" si="1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掌愛の豊穣女神 フレイヤ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heal</v>
      </c>
      <c r="M23" s="7" t="str">
        <f>VLOOKUP(B23,[1]characters!$A:$M,13,FALSE)</f>
        <v>animal</v>
      </c>
      <c r="N23" s="7" t="str">
        <f>VLOOKUP(B23,[1]characters!$A:$G,7,FALSE)</f>
        <v>女性</v>
      </c>
      <c r="O23" s="31">
        <v>10</v>
      </c>
      <c r="P23" s="32">
        <f t="shared" si="2"/>
        <v>1.3333333333333334E-2</v>
      </c>
      <c r="Q23" s="27">
        <v>1</v>
      </c>
      <c r="R23" s="27">
        <v>0</v>
      </c>
      <c r="S23" s="27">
        <v>0</v>
      </c>
      <c r="T23" s="27">
        <v>0</v>
      </c>
      <c r="U23" s="27">
        <v>0</v>
      </c>
      <c r="V23" s="27">
        <v>1</v>
      </c>
    </row>
    <row r="24" spans="1:22" ht="21" customHeight="1" x14ac:dyDescent="0.15">
      <c r="A24" s="2">
        <v>7226100</v>
      </c>
      <c r="B24" s="49">
        <v>659</v>
      </c>
      <c r="C24" s="7" t="str">
        <f t="shared" si="20"/>
        <v>PremiumSS5</v>
      </c>
      <c r="D24" s="7" t="str">
        <f t="shared" si="1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跳梁する化猫 クルミ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attack</v>
      </c>
      <c r="M24" s="7" t="str">
        <f>VLOOKUP(B24,[1]characters!$A:$M,13,FALSE)</f>
        <v>animal</v>
      </c>
      <c r="N24" s="7" t="str">
        <f>VLOOKUP(B24,[1]characters!$A:$G,7,FALSE)</f>
        <v>女性</v>
      </c>
      <c r="O24" s="31">
        <v>10</v>
      </c>
      <c r="P24" s="32">
        <f t="shared" si="2"/>
        <v>1.3333333333333334E-2</v>
      </c>
      <c r="Q24" s="27">
        <v>1</v>
      </c>
      <c r="R24" s="27">
        <v>0</v>
      </c>
      <c r="S24" s="27">
        <v>0</v>
      </c>
      <c r="T24" s="27">
        <v>0</v>
      </c>
      <c r="U24" s="27">
        <v>0</v>
      </c>
      <c r="V24" s="27">
        <v>1</v>
      </c>
    </row>
    <row r="25" spans="1:22" ht="21" customHeight="1" x14ac:dyDescent="0.15">
      <c r="A25" s="2">
        <v>7226100</v>
      </c>
      <c r="B25" s="49">
        <v>661</v>
      </c>
      <c r="C25" s="7" t="str">
        <f t="shared" si="20"/>
        <v>PremiumSS5</v>
      </c>
      <c r="D25" s="7" t="str">
        <f t="shared" si="1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疾風の天狗礫 フウガ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balance</v>
      </c>
      <c r="M25" s="7" t="str">
        <f>VLOOKUP(B25,[1]characters!$A:$M,13,FALSE)</f>
        <v>animal</v>
      </c>
      <c r="N25" s="7" t="str">
        <f>VLOOKUP(B25,[1]characters!$A:$G,7,FALSE)</f>
        <v>男性</v>
      </c>
      <c r="O25" s="31">
        <v>10</v>
      </c>
      <c r="P25" s="32">
        <f t="shared" si="2"/>
        <v>1.3333333333333334E-2</v>
      </c>
      <c r="Q25" s="27">
        <v>1</v>
      </c>
      <c r="R25" s="27">
        <v>0</v>
      </c>
      <c r="S25" s="27">
        <v>0</v>
      </c>
      <c r="T25" s="27">
        <v>0</v>
      </c>
      <c r="U25" s="27">
        <v>0</v>
      </c>
      <c r="V25" s="27">
        <v>1</v>
      </c>
    </row>
    <row r="26" spans="1:22" ht="21" customHeight="1" x14ac:dyDescent="0.15">
      <c r="A26" s="2">
        <v>7226100</v>
      </c>
      <c r="B26" s="49">
        <v>675</v>
      </c>
      <c r="C26" s="7" t="str">
        <f t="shared" ref="C26:C27" si="21">D26&amp;J26&amp;E26&amp;F26&amp;G26</f>
        <v>PremiumSS5</v>
      </c>
      <c r="D26" s="7" t="str">
        <f t="shared" si="1"/>
        <v>PremiumSS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芸楽の奔流 サラスヴァティ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blue</v>
      </c>
      <c r="L26" s="7" t="str">
        <f>VLOOKUP(B26,[1]characters!$A:$K,11,FALSE)</f>
        <v>balance</v>
      </c>
      <c r="M26" s="7" t="str">
        <f>VLOOKUP(B26,[1]characters!$A:$M,13,FALSE)</f>
        <v>god</v>
      </c>
      <c r="N26" s="7" t="str">
        <f>VLOOKUP(B26,[1]characters!$A:$G,7,FALSE)</f>
        <v>女性</v>
      </c>
      <c r="O26" s="31">
        <v>10</v>
      </c>
      <c r="P26" s="32">
        <f t="shared" si="2"/>
        <v>1.3333333333333334E-2</v>
      </c>
      <c r="Q26" s="27">
        <v>1</v>
      </c>
      <c r="R26" s="27">
        <v>0</v>
      </c>
      <c r="S26" s="27">
        <v>0</v>
      </c>
      <c r="T26" s="27">
        <v>0</v>
      </c>
      <c r="U26" s="27">
        <v>0</v>
      </c>
      <c r="V26" s="27">
        <v>1</v>
      </c>
    </row>
    <row r="27" spans="1:22" ht="21" customHeight="1" x14ac:dyDescent="0.15">
      <c r="A27" s="2">
        <v>7226100</v>
      </c>
      <c r="B27" s="49">
        <v>677</v>
      </c>
      <c r="C27" s="7" t="str">
        <f t="shared" si="21"/>
        <v>PremiumSS5</v>
      </c>
      <c r="D27" s="7" t="str">
        <f t="shared" si="1"/>
        <v>PremiumSS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武遊闊歩 ヴィシュヌ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yellow</v>
      </c>
      <c r="L27" s="7" t="str">
        <f>VLOOKUP(B27,[1]characters!$A:$K,11,FALSE)</f>
        <v>attack</v>
      </c>
      <c r="M27" s="7" t="str">
        <f>VLOOKUP(B27,[1]characters!$A:$M,13,FALSE)</f>
        <v>god</v>
      </c>
      <c r="N27" s="7" t="str">
        <f>VLOOKUP(B27,[1]characters!$A:$G,7,FALSE)</f>
        <v>女性</v>
      </c>
      <c r="O27" s="31">
        <v>10</v>
      </c>
      <c r="P27" s="32">
        <f t="shared" si="2"/>
        <v>1.3333333333333334E-2</v>
      </c>
      <c r="Q27" s="27">
        <v>1</v>
      </c>
      <c r="R27" s="27">
        <v>0</v>
      </c>
      <c r="S27" s="27">
        <v>0</v>
      </c>
      <c r="T27" s="27">
        <v>0</v>
      </c>
      <c r="U27" s="27">
        <v>0</v>
      </c>
      <c r="V27" s="27">
        <v>1</v>
      </c>
    </row>
    <row r="28" spans="1:22" ht="21" customHeight="1" x14ac:dyDescent="0.15">
      <c r="A28" s="2">
        <v>7226100</v>
      </c>
      <c r="B28" s="49">
        <v>732</v>
      </c>
      <c r="C28" s="7" t="str">
        <f t="shared" ref="C28:C29" si="22">D28&amp;J28&amp;E28&amp;F28&amp;G28</f>
        <v>PremiumSS5R5only</v>
      </c>
      <c r="D28" s="7" t="str">
        <f t="shared" si="1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上杉謙信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attack</v>
      </c>
      <c r="M28" s="7" t="str">
        <f>VLOOKUP(B28,[1]characters!$A:$M,13,FALSE)</f>
        <v>human</v>
      </c>
      <c r="N28" s="7" t="str">
        <f>VLOOKUP(B28,[1]characters!$A:$G,7,FALSE)</f>
        <v>女性</v>
      </c>
      <c r="O28" s="31">
        <v>10</v>
      </c>
      <c r="P28" s="32">
        <f t="shared" si="2"/>
        <v>1.3333333333333334E-2</v>
      </c>
      <c r="Q28" s="27">
        <v>1</v>
      </c>
      <c r="R28" s="27">
        <v>0</v>
      </c>
      <c r="S28" s="27">
        <v>0</v>
      </c>
      <c r="T28" s="27">
        <v>0</v>
      </c>
      <c r="U28" s="27">
        <v>0</v>
      </c>
      <c r="V28" s="27">
        <v>1</v>
      </c>
    </row>
    <row r="29" spans="1:22" ht="21" customHeight="1" x14ac:dyDescent="0.15">
      <c r="A29" s="2">
        <v>7226100</v>
      </c>
      <c r="B29" s="49">
        <v>734</v>
      </c>
      <c r="C29" s="7" t="str">
        <f t="shared" si="22"/>
        <v>PremiumSS5R5only</v>
      </c>
      <c r="D29" s="7" t="str">
        <f t="shared" si="1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伊達政宗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balance</v>
      </c>
      <c r="M29" s="7" t="str">
        <f>VLOOKUP(B29,[1]characters!$A:$M,13,FALSE)</f>
        <v>human</v>
      </c>
      <c r="N29" s="7" t="str">
        <f>VLOOKUP(B29,[1]characters!$A:$G,7,FALSE)</f>
        <v>男性</v>
      </c>
      <c r="O29" s="31">
        <v>10</v>
      </c>
      <c r="P29" s="32">
        <f t="shared" si="2"/>
        <v>1.3333333333333334E-2</v>
      </c>
      <c r="Q29" s="27">
        <v>1</v>
      </c>
      <c r="R29" s="27">
        <v>0</v>
      </c>
      <c r="S29" s="27">
        <v>0</v>
      </c>
      <c r="T29" s="27">
        <v>0</v>
      </c>
      <c r="U29" s="27">
        <v>0</v>
      </c>
      <c r="V29" s="27">
        <v>1</v>
      </c>
    </row>
    <row r="30" spans="1:22" ht="21" customHeight="1" x14ac:dyDescent="0.15">
      <c r="A30" s="2">
        <v>7226100</v>
      </c>
      <c r="B30" s="49">
        <v>742</v>
      </c>
      <c r="C30" s="7" t="str">
        <f t="shared" ref="C30" si="23">D30&amp;J30&amp;E30&amp;F30&amp;G30</f>
        <v>PremiumSS5R5only</v>
      </c>
      <c r="D30" s="7" t="str">
        <f t="shared" si="1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アポロン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attack</v>
      </c>
      <c r="M30" s="7" t="str">
        <f>VLOOKUP(B30,[1]characters!$A:$M,13,FALSE)</f>
        <v>god</v>
      </c>
      <c r="N30" s="7" t="str">
        <f>VLOOKUP(B30,[1]characters!$A:$G,7,FALSE)</f>
        <v>男性</v>
      </c>
      <c r="O30" s="31">
        <v>10</v>
      </c>
      <c r="P30" s="32">
        <f t="shared" si="2"/>
        <v>1.3333333333333334E-2</v>
      </c>
      <c r="Q30" s="27">
        <v>1</v>
      </c>
      <c r="R30" s="27">
        <v>0</v>
      </c>
      <c r="S30" s="27">
        <v>0</v>
      </c>
      <c r="T30" s="27">
        <v>0</v>
      </c>
      <c r="U30" s="27">
        <v>0</v>
      </c>
      <c r="V30" s="27">
        <v>1</v>
      </c>
    </row>
    <row r="31" spans="1:22" ht="21" customHeight="1" x14ac:dyDescent="0.15">
      <c r="A31" s="2">
        <v>7226100</v>
      </c>
      <c r="B31" s="49">
        <v>744</v>
      </c>
      <c r="C31" s="7" t="str">
        <f t="shared" ref="C31:C32" si="24">D31&amp;J31&amp;E31&amp;F31&amp;G31</f>
        <v>PremiumSS5R5only</v>
      </c>
      <c r="D31" s="7" t="str">
        <f t="shared" si="1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ヘルメス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男性</v>
      </c>
      <c r="O31" s="31">
        <v>10</v>
      </c>
      <c r="P31" s="32">
        <f t="shared" si="2"/>
        <v>1.3333333333333334E-2</v>
      </c>
      <c r="Q31" s="27">
        <v>1</v>
      </c>
      <c r="R31" s="27">
        <v>0</v>
      </c>
      <c r="S31" s="27">
        <v>0</v>
      </c>
      <c r="T31" s="27">
        <v>0</v>
      </c>
      <c r="U31" s="27">
        <v>0</v>
      </c>
      <c r="V31" s="27">
        <v>1</v>
      </c>
    </row>
    <row r="32" spans="1:22" ht="21" customHeight="1" x14ac:dyDescent="0.15">
      <c r="A32" s="2">
        <v>7226100</v>
      </c>
      <c r="B32" s="49">
        <v>771</v>
      </c>
      <c r="C32" s="7" t="str">
        <f t="shared" si="24"/>
        <v>PremiumSS5</v>
      </c>
      <c r="D32" s="7" t="str">
        <f t="shared" si="1"/>
        <v>PremiumSS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天織羽鶴 ハヅル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red</v>
      </c>
      <c r="L32" s="7" t="str">
        <f>VLOOKUP(B32,[1]characters!$A:$K,11,FALSE)</f>
        <v>balance</v>
      </c>
      <c r="M32" s="7" t="str">
        <f>VLOOKUP(B32,[1]characters!$A:$M,13,FALSE)</f>
        <v>animal</v>
      </c>
      <c r="N32" s="7" t="str">
        <f>VLOOKUP(B32,[1]characters!$A:$G,7,FALSE)</f>
        <v>女性</v>
      </c>
      <c r="O32" s="31">
        <v>10</v>
      </c>
      <c r="P32" s="32">
        <f t="shared" si="2"/>
        <v>1.3333333333333334E-2</v>
      </c>
      <c r="Q32" s="27">
        <v>1</v>
      </c>
      <c r="R32" s="27">
        <v>0</v>
      </c>
      <c r="S32" s="27">
        <v>0</v>
      </c>
      <c r="T32" s="27">
        <v>0</v>
      </c>
      <c r="U32" s="27">
        <v>0</v>
      </c>
      <c r="V32" s="27">
        <v>1</v>
      </c>
    </row>
    <row r="33" spans="1:22" ht="21" customHeight="1" x14ac:dyDescent="0.15">
      <c r="A33" s="2">
        <v>7226100</v>
      </c>
      <c r="B33" s="49">
        <v>773</v>
      </c>
      <c r="C33" s="7" t="str">
        <f t="shared" ref="C33:C35" si="25">D33&amp;J33&amp;E33&amp;F33&amp;G33</f>
        <v>PremiumSS5</v>
      </c>
      <c r="D33" s="7" t="str">
        <f t="shared" si="1"/>
        <v>PremiumSS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浮跳天兎 イナバ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green</v>
      </c>
      <c r="L33" s="7" t="str">
        <f>VLOOKUP(B33,[1]characters!$A:$K,11,FALSE)</f>
        <v>balance</v>
      </c>
      <c r="M33" s="7" t="str">
        <f>VLOOKUP(B33,[1]characters!$A:$M,13,FALSE)</f>
        <v>animal</v>
      </c>
      <c r="N33" s="7" t="str">
        <f>VLOOKUP(B33,[1]characters!$A:$G,7,FALSE)</f>
        <v>女性</v>
      </c>
      <c r="O33" s="31">
        <v>10</v>
      </c>
      <c r="P33" s="32">
        <f t="shared" si="2"/>
        <v>1.3333333333333334E-2</v>
      </c>
      <c r="Q33" s="27">
        <v>1</v>
      </c>
      <c r="R33" s="27">
        <v>0</v>
      </c>
      <c r="S33" s="27">
        <v>0</v>
      </c>
      <c r="T33" s="27">
        <v>0</v>
      </c>
      <c r="U33" s="27">
        <v>0</v>
      </c>
      <c r="V33" s="27">
        <v>1</v>
      </c>
    </row>
    <row r="34" spans="1:22" ht="21" customHeight="1" x14ac:dyDescent="0.15">
      <c r="A34" s="2">
        <v>7226100</v>
      </c>
      <c r="B34" s="49">
        <v>848</v>
      </c>
      <c r="C34" s="7" t="str">
        <f t="shared" si="25"/>
        <v>PremiumSS5R5only</v>
      </c>
      <c r="D34" s="7" t="str">
        <f t="shared" si="1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メタトロン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balance</v>
      </c>
      <c r="M34" s="7" t="str">
        <f>VLOOKUP(B34,[1]characters!$A:$M,13,FALSE)</f>
        <v>god</v>
      </c>
      <c r="N34" s="7" t="str">
        <f>VLOOKUP(B34,[1]characters!$A:$G,7,FALSE)</f>
        <v>男性</v>
      </c>
      <c r="O34" s="31">
        <v>10</v>
      </c>
      <c r="P34" s="32">
        <f t="shared" ref="P34:P65" si="26">O34/SUM(O:O)</f>
        <v>1.3333333333333334E-2</v>
      </c>
      <c r="Q34" s="27">
        <v>1</v>
      </c>
      <c r="R34" s="27">
        <v>0</v>
      </c>
      <c r="S34" s="27">
        <v>0</v>
      </c>
      <c r="T34" s="27">
        <v>0</v>
      </c>
      <c r="U34" s="27">
        <v>0</v>
      </c>
      <c r="V34" s="27">
        <v>1</v>
      </c>
    </row>
    <row r="35" spans="1:22" ht="21" customHeight="1" x14ac:dyDescent="0.15">
      <c r="A35" s="2">
        <v>7226100</v>
      </c>
      <c r="B35" s="49">
        <v>850</v>
      </c>
      <c r="C35" s="7" t="str">
        <f t="shared" si="25"/>
        <v>PremiumSS5R5only</v>
      </c>
      <c r="D35" s="7" t="str">
        <f t="shared" si="1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バアル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technical</v>
      </c>
      <c r="M35" s="7" t="str">
        <f>VLOOKUP(B35,[1]characters!$A:$M,13,FALSE)</f>
        <v>god</v>
      </c>
      <c r="N35" s="7" t="str">
        <f>VLOOKUP(B35,[1]characters!$A:$G,7,FALSE)</f>
        <v>男性</v>
      </c>
      <c r="O35" s="31">
        <v>10</v>
      </c>
      <c r="P35" s="32">
        <f t="shared" si="26"/>
        <v>1.3333333333333334E-2</v>
      </c>
      <c r="Q35" s="27">
        <v>1</v>
      </c>
      <c r="R35" s="27">
        <v>0</v>
      </c>
      <c r="S35" s="27">
        <v>0</v>
      </c>
      <c r="T35" s="27">
        <v>0</v>
      </c>
      <c r="U35" s="27">
        <v>0</v>
      </c>
      <c r="V35" s="27">
        <v>1</v>
      </c>
    </row>
    <row r="36" spans="1:22" ht="21" customHeight="1" x14ac:dyDescent="0.15">
      <c r="A36" s="2">
        <v>7226100</v>
      </c>
      <c r="B36" s="49">
        <v>866</v>
      </c>
      <c r="C36" s="7" t="str">
        <f t="shared" ref="C36:C37" si="27">D36&amp;J36&amp;E36&amp;F36&amp;G36</f>
        <v>PremiumSS5R5only</v>
      </c>
      <c r="D36" s="7" t="str">
        <f t="shared" si="1"/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無敗の司令姫 白雪姫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男性</v>
      </c>
      <c r="O36" s="31">
        <v>10</v>
      </c>
      <c r="P36" s="32">
        <f t="shared" si="26"/>
        <v>1.3333333333333334E-2</v>
      </c>
      <c r="Q36" s="27">
        <v>1</v>
      </c>
      <c r="R36" s="27">
        <v>0</v>
      </c>
      <c r="S36" s="27">
        <v>0</v>
      </c>
      <c r="T36" s="27">
        <v>0</v>
      </c>
      <c r="U36" s="27">
        <v>0</v>
      </c>
      <c r="V36" s="27">
        <v>1</v>
      </c>
    </row>
    <row r="37" spans="1:22" ht="21" customHeight="1" x14ac:dyDescent="0.15">
      <c r="A37" s="2">
        <v>7226100</v>
      </c>
      <c r="B37" s="49">
        <v>868</v>
      </c>
      <c r="C37" s="7" t="str">
        <f t="shared" si="27"/>
        <v>PremiumSS5R5only</v>
      </c>
      <c r="D37" s="7" t="str">
        <f t="shared" si="1"/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アラジンと殲滅機兵LAMP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hp</v>
      </c>
      <c r="M37" s="7" t="str">
        <f>VLOOKUP(B37,[1]characters!$A:$M,13,FALSE)</f>
        <v>human</v>
      </c>
      <c r="N37" s="7" t="str">
        <f>VLOOKUP(B37,[1]characters!$A:$G,7,FALSE)</f>
        <v>男性</v>
      </c>
      <c r="O37" s="31">
        <v>10</v>
      </c>
      <c r="P37" s="32">
        <f t="shared" si="26"/>
        <v>1.3333333333333334E-2</v>
      </c>
      <c r="Q37" s="27">
        <v>1</v>
      </c>
      <c r="R37" s="27">
        <v>0</v>
      </c>
      <c r="S37" s="27">
        <v>0</v>
      </c>
      <c r="T37" s="27">
        <v>0</v>
      </c>
      <c r="U37" s="27">
        <v>0</v>
      </c>
      <c r="V37" s="27">
        <v>1</v>
      </c>
    </row>
    <row r="38" spans="1:22" ht="21" customHeight="1" x14ac:dyDescent="0.15">
      <c r="A38" s="2">
        <v>7226100</v>
      </c>
      <c r="B38" s="49">
        <v>937</v>
      </c>
      <c r="C38" s="7" t="str">
        <f t="shared" ref="C38:C39" si="28">D38&amp;J38&amp;E38&amp;F38&amp;G38</f>
        <v>PremiumSS5R5only</v>
      </c>
      <c r="D38" s="7" t="str">
        <f t="shared" si="1"/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ナポレオン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balance</v>
      </c>
      <c r="M38" s="7" t="str">
        <f>VLOOKUP(B38,[1]characters!$A:$M,13,FALSE)</f>
        <v>human</v>
      </c>
      <c r="N38" s="7" t="str">
        <f>VLOOKUP(B38,[1]characters!$A:$G,7,FALSE)</f>
        <v>男性</v>
      </c>
      <c r="O38" s="31">
        <v>10</v>
      </c>
      <c r="P38" s="32">
        <f t="shared" si="26"/>
        <v>1.3333333333333334E-2</v>
      </c>
      <c r="Q38" s="27">
        <v>1</v>
      </c>
      <c r="R38" s="27">
        <v>0</v>
      </c>
      <c r="S38" s="27">
        <v>0</v>
      </c>
      <c r="T38" s="27">
        <v>0</v>
      </c>
      <c r="U38" s="27">
        <v>0</v>
      </c>
      <c r="V38" s="27">
        <v>1</v>
      </c>
    </row>
    <row r="39" spans="1:22" ht="21" customHeight="1" x14ac:dyDescent="0.15">
      <c r="A39" s="2">
        <v>7226100</v>
      </c>
      <c r="B39" s="49">
        <v>941</v>
      </c>
      <c r="C39" s="7" t="str">
        <f t="shared" si="28"/>
        <v>PremiumSS5R5only</v>
      </c>
      <c r="D39" s="7" t="str">
        <f t="shared" si="1"/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アントワネット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technical</v>
      </c>
      <c r="M39" s="7" t="str">
        <f>VLOOKUP(B39,[1]characters!$A:$M,13,FALSE)</f>
        <v>human</v>
      </c>
      <c r="N39" s="7" t="str">
        <f>VLOOKUP(B39,[1]characters!$A:$G,7,FALSE)</f>
        <v>男性</v>
      </c>
      <c r="O39" s="31">
        <v>10</v>
      </c>
      <c r="P39" s="32">
        <f t="shared" si="26"/>
        <v>1.3333333333333334E-2</v>
      </c>
      <c r="Q39" s="27">
        <v>1</v>
      </c>
      <c r="R39" s="27">
        <v>0</v>
      </c>
      <c r="S39" s="27">
        <v>0</v>
      </c>
      <c r="T39" s="27">
        <v>0</v>
      </c>
      <c r="U39" s="27">
        <v>0</v>
      </c>
      <c r="V39" s="27">
        <v>1</v>
      </c>
    </row>
    <row r="40" spans="1:22" ht="21" customHeight="1" x14ac:dyDescent="0.15">
      <c r="A40" s="2">
        <v>7226100</v>
      </c>
      <c r="B40" s="49">
        <v>943</v>
      </c>
      <c r="C40" s="7" t="str">
        <f t="shared" ref="C40:C42" si="29">D40&amp;J40&amp;E40&amp;F40&amp;G40</f>
        <v>PremiumSS5R5only</v>
      </c>
      <c r="D40" s="7" t="str">
        <f t="shared" si="1"/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サンソン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yellow</v>
      </c>
      <c r="L40" s="7" t="str">
        <f>VLOOKUP(B40,[1]characters!$A:$K,11,FALSE)</f>
        <v>attack</v>
      </c>
      <c r="M40" s="7" t="str">
        <f>VLOOKUP(B40,[1]characters!$A:$M,13,FALSE)</f>
        <v>human</v>
      </c>
      <c r="N40" s="7" t="str">
        <f>VLOOKUP(B40,[1]characters!$A:$G,7,FALSE)</f>
        <v>男性</v>
      </c>
      <c r="O40" s="31">
        <v>10</v>
      </c>
      <c r="P40" s="32">
        <f t="shared" si="26"/>
        <v>1.3333333333333334E-2</v>
      </c>
      <c r="Q40" s="27">
        <v>1</v>
      </c>
      <c r="R40" s="27">
        <v>0</v>
      </c>
      <c r="S40" s="27">
        <v>0</v>
      </c>
      <c r="T40" s="27">
        <v>0</v>
      </c>
      <c r="U40" s="27">
        <v>0</v>
      </c>
      <c r="V40" s="27">
        <v>1</v>
      </c>
    </row>
    <row r="41" spans="1:22" ht="21" customHeight="1" x14ac:dyDescent="0.15">
      <c r="A41" s="2">
        <v>7226100</v>
      </c>
      <c r="B41" s="49">
        <v>1012</v>
      </c>
      <c r="C41" s="7" t="str">
        <f t="shared" si="29"/>
        <v>PremiumSS5R5only</v>
      </c>
      <c r="D41" s="7" t="str">
        <f t="shared" si="1"/>
        <v>PremiumSS</v>
      </c>
      <c r="E41" s="7" t="str">
        <f>IF(COUNTIF('R6追加前'!A:A,B41)=0,IF(OR(I41="PremiumSS",I41="PremiumSSw"),"R5only","R3less"),"")</f>
        <v>R5only</v>
      </c>
      <c r="F41" s="7" t="str">
        <f>IF(COUNTIF('R6開放'!A:A,B41)&gt;0,"R6release","")</f>
        <v/>
      </c>
      <c r="G41" s="7"/>
      <c r="H41" s="7" t="str">
        <f>VLOOKUP(B41,[1]characters!$A:$C,3,FALSE)</f>
        <v>ラー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red</v>
      </c>
      <c r="L41" s="7" t="str">
        <f>VLOOKUP(B41,[1]characters!$A:$K,11,FALSE)</f>
        <v>balance</v>
      </c>
      <c r="M41" s="7" t="str">
        <f>VLOOKUP(B41,[1]characters!$A:$M,13,FALSE)</f>
        <v>god</v>
      </c>
      <c r="N41" s="7" t="str">
        <f>VLOOKUP(B41,[1]characters!$A:$G,7,FALSE)</f>
        <v>男性</v>
      </c>
      <c r="O41" s="31">
        <v>10</v>
      </c>
      <c r="P41" s="32">
        <f t="shared" si="26"/>
        <v>1.3333333333333334E-2</v>
      </c>
      <c r="Q41" s="27">
        <v>1</v>
      </c>
      <c r="R41" s="27">
        <v>0</v>
      </c>
      <c r="S41" s="27">
        <v>0</v>
      </c>
      <c r="T41" s="27">
        <v>0</v>
      </c>
      <c r="U41" s="27">
        <v>0</v>
      </c>
      <c r="V41" s="27">
        <v>1</v>
      </c>
    </row>
    <row r="42" spans="1:22" ht="21" customHeight="1" x14ac:dyDescent="0.15">
      <c r="A42" s="2">
        <v>7226100</v>
      </c>
      <c r="B42" s="49">
        <v>1014</v>
      </c>
      <c r="C42" s="7" t="str">
        <f t="shared" si="29"/>
        <v>PremiumSS5R5only</v>
      </c>
      <c r="D42" s="7" t="str">
        <f t="shared" si="1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イシス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green</v>
      </c>
      <c r="L42" s="7" t="str">
        <f>VLOOKUP(B42,[1]characters!$A:$K,11,FALSE)</f>
        <v>hp</v>
      </c>
      <c r="M42" s="7" t="str">
        <f>VLOOKUP(B42,[1]characters!$A:$M,13,FALSE)</f>
        <v>god</v>
      </c>
      <c r="N42" s="7" t="str">
        <f>VLOOKUP(B42,[1]characters!$A:$G,7,FALSE)</f>
        <v>男性</v>
      </c>
      <c r="O42" s="31">
        <v>10</v>
      </c>
      <c r="P42" s="32">
        <f t="shared" si="26"/>
        <v>1.3333333333333334E-2</v>
      </c>
      <c r="Q42" s="27">
        <v>1</v>
      </c>
      <c r="R42" s="27">
        <v>0</v>
      </c>
      <c r="S42" s="27">
        <v>0</v>
      </c>
      <c r="T42" s="27">
        <v>0</v>
      </c>
      <c r="U42" s="27">
        <v>0</v>
      </c>
      <c r="V42" s="27">
        <v>1</v>
      </c>
    </row>
    <row r="43" spans="1:22" ht="21" customHeight="1" x14ac:dyDescent="0.15">
      <c r="A43" s="2">
        <v>7226100</v>
      </c>
      <c r="B43" s="49">
        <v>1018</v>
      </c>
      <c r="C43" s="7" t="str">
        <f t="shared" ref="C43:C45" si="30">D43&amp;J43&amp;E43&amp;F43&amp;G43</f>
        <v>PremiumSS5R5only</v>
      </c>
      <c r="D43" s="7" t="str">
        <f t="shared" si="1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バステト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yellow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1">
        <v>10</v>
      </c>
      <c r="P43" s="32">
        <f t="shared" si="26"/>
        <v>1.3333333333333334E-2</v>
      </c>
      <c r="Q43" s="27">
        <v>1</v>
      </c>
      <c r="R43" s="27">
        <v>0</v>
      </c>
      <c r="S43" s="27">
        <v>0</v>
      </c>
      <c r="T43" s="27">
        <v>0</v>
      </c>
      <c r="U43" s="27">
        <v>0</v>
      </c>
      <c r="V43" s="27">
        <v>1</v>
      </c>
    </row>
    <row r="44" spans="1:22" ht="21" customHeight="1" x14ac:dyDescent="0.15">
      <c r="A44" s="2">
        <v>7226100</v>
      </c>
      <c r="B44" s="49">
        <v>1028</v>
      </c>
      <c r="C44" s="7" t="str">
        <f t="shared" si="30"/>
        <v>PremiumSS5R5only</v>
      </c>
      <c r="D44" s="7" t="str">
        <f t="shared" si="1"/>
        <v>PremiumSS</v>
      </c>
      <c r="E44" s="7" t="str">
        <f>IF(COUNTIF('R6追加前'!A:A,B44)=0,IF(OR(I44="PremiumSS",I44="PremiumSSw"),"R5only","R3less"),"")</f>
        <v>R5only</v>
      </c>
      <c r="F44" s="7" t="str">
        <f>IF(COUNTIF('R6開放'!A:A,B44)&gt;0,"R6release","")</f>
        <v/>
      </c>
      <c r="G44" s="7"/>
      <c r="H44" s="7" t="str">
        <f>VLOOKUP(B44,[1]characters!$A:$C,3,FALSE)</f>
        <v>牛若丸</v>
      </c>
      <c r="I44" s="7" t="str">
        <f>VLOOKUP(B44,[1]characters!$A:$J,10,FALSE)</f>
        <v>PremiumSS</v>
      </c>
      <c r="J44" s="7">
        <f>VLOOKUP(B44,[1]characters!$A:$I,9,FALSE)</f>
        <v>5</v>
      </c>
      <c r="K44" s="7" t="str">
        <f>VLOOKUP(B44,[1]characters!$A:$H,8,FALSE)</f>
        <v>green</v>
      </c>
      <c r="L44" s="7" t="str">
        <f>VLOOKUP(B44,[1]characters!$A:$K,11,FALSE)</f>
        <v>balance</v>
      </c>
      <c r="M44" s="7" t="str">
        <f>VLOOKUP(B44,[1]characters!$A:$M,13,FALSE)</f>
        <v>human</v>
      </c>
      <c r="N44" s="7" t="str">
        <f>VLOOKUP(B44,[1]characters!$A:$G,7,FALSE)</f>
        <v>男性</v>
      </c>
      <c r="O44" s="31">
        <v>10</v>
      </c>
      <c r="P44" s="32">
        <f t="shared" si="26"/>
        <v>1.3333333333333334E-2</v>
      </c>
      <c r="Q44" s="27">
        <v>1</v>
      </c>
      <c r="R44" s="27">
        <v>0</v>
      </c>
      <c r="S44" s="27">
        <v>0</v>
      </c>
      <c r="T44" s="27">
        <v>0</v>
      </c>
      <c r="U44" s="27">
        <v>0</v>
      </c>
      <c r="V44" s="27">
        <v>1</v>
      </c>
    </row>
    <row r="45" spans="1:22" ht="21" customHeight="1" x14ac:dyDescent="0.15">
      <c r="A45" s="2">
        <v>7226100</v>
      </c>
      <c r="B45" s="49">
        <v>1031</v>
      </c>
      <c r="C45" s="7" t="str">
        <f t="shared" si="30"/>
        <v>PremiumSS5R5only</v>
      </c>
      <c r="D45" s="7" t="str">
        <f t="shared" si="1"/>
        <v>PremiumSS</v>
      </c>
      <c r="E45" s="7" t="str">
        <f>IF(COUNTIF('R6追加前'!A:A,B45)=0,IF(OR(I45="PremiumSS",I45="PremiumSSw"),"R5only","R3less"),"")</f>
        <v>R5only</v>
      </c>
      <c r="F45" s="7" t="str">
        <f>IF(COUNTIF('R6開放'!A:A,B45)&gt;0,"R6release","")</f>
        <v/>
      </c>
      <c r="G45" s="7"/>
      <c r="H45" s="7" t="str">
        <f>VLOOKUP(B45,[1]characters!$A:$C,3,FALSE)</f>
        <v>紫式部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blue</v>
      </c>
      <c r="L45" s="7" t="str">
        <f>VLOOKUP(B45,[1]characters!$A:$K,11,FALSE)</f>
        <v>technical</v>
      </c>
      <c r="M45" s="7" t="str">
        <f>VLOOKUP(B45,[1]characters!$A:$M,13,FALSE)</f>
        <v>human</v>
      </c>
      <c r="N45" s="7" t="str">
        <f>VLOOKUP(B45,[1]characters!$A:$G,7,FALSE)</f>
        <v>男性</v>
      </c>
      <c r="O45" s="31">
        <v>10</v>
      </c>
      <c r="P45" s="32">
        <f t="shared" si="26"/>
        <v>1.3333333333333334E-2</v>
      </c>
      <c r="Q45" s="27">
        <v>1</v>
      </c>
      <c r="R45" s="27">
        <v>0</v>
      </c>
      <c r="S45" s="27">
        <v>0</v>
      </c>
      <c r="T45" s="27">
        <v>0</v>
      </c>
      <c r="U45" s="27">
        <v>0</v>
      </c>
      <c r="V45" s="27">
        <v>1</v>
      </c>
    </row>
    <row r="46" spans="1:22" ht="21" customHeight="1" x14ac:dyDescent="0.15">
      <c r="A46" s="2">
        <v>7226100</v>
      </c>
      <c r="B46" s="49">
        <v>1033</v>
      </c>
      <c r="C46" s="7" t="str">
        <f t="shared" ref="C46" si="31">D46&amp;J46&amp;E46&amp;F46&amp;G46</f>
        <v>PremiumSS5R5only</v>
      </c>
      <c r="D46" s="7" t="str">
        <f t="shared" ref="D46" si="32">IF(OR(I46="PremiumSS",I46="PremiumSSw"),"PremiumSS",IF(I46="PremiumSSS",I46,IF(I46="PremiumW",I46,"Premium")))</f>
        <v>PremiumSS</v>
      </c>
      <c r="E46" s="7" t="str">
        <f>IF(COUNTIF('R6追加前'!A:A,B46)=0,IF(OR(I46="PremiumSS",I46="PremiumSSw"),"R5only","R3less"),"")</f>
        <v>R5only</v>
      </c>
      <c r="F46" s="7" t="str">
        <f>IF(COUNTIF('R6開放'!A:A,B46)&gt;0,"R6release","")</f>
        <v/>
      </c>
      <c r="G46" s="7"/>
      <c r="H46" s="7" t="str">
        <f>VLOOKUP(B46,[1]characters!$A:$C,3,FALSE)</f>
        <v>清少納言</v>
      </c>
      <c r="I46" s="7" t="str">
        <f>VLOOKUP(B46,[1]characters!$A:$J,10,FALSE)</f>
        <v>PremiumSS</v>
      </c>
      <c r="J46" s="7">
        <f>VLOOKUP(B46,[1]characters!$A:$I,9,FALSE)</f>
        <v>5</v>
      </c>
      <c r="K46" s="7" t="str">
        <f>VLOOKUP(B46,[1]characters!$A:$H,8,FALSE)</f>
        <v>yellow</v>
      </c>
      <c r="L46" s="7" t="str">
        <f>VLOOKUP(B46,[1]characters!$A:$K,11,FALSE)</f>
        <v>heal</v>
      </c>
      <c r="M46" s="7" t="str">
        <f>VLOOKUP(B46,[1]characters!$A:$M,13,FALSE)</f>
        <v>human</v>
      </c>
      <c r="N46" s="7" t="str">
        <f>VLOOKUP(B46,[1]characters!$A:$G,7,FALSE)</f>
        <v>男性</v>
      </c>
      <c r="O46" s="31">
        <v>10</v>
      </c>
      <c r="P46" s="32">
        <f t="shared" si="26"/>
        <v>1.3333333333333334E-2</v>
      </c>
      <c r="Q46" s="27">
        <v>1</v>
      </c>
      <c r="R46" s="27">
        <v>0</v>
      </c>
      <c r="S46" s="27">
        <v>0</v>
      </c>
      <c r="T46" s="27">
        <v>0</v>
      </c>
      <c r="U46" s="27">
        <v>0</v>
      </c>
      <c r="V46" s="27">
        <v>1</v>
      </c>
    </row>
    <row r="47" spans="1:22" ht="21" customHeight="1" x14ac:dyDescent="0.15">
      <c r="A47" s="2">
        <v>7226100</v>
      </c>
      <c r="B47" s="49">
        <v>1069</v>
      </c>
      <c r="C47" s="7" t="str">
        <f t="shared" ref="C47" si="33">D47&amp;J47&amp;E47&amp;F47&amp;G47</f>
        <v>PremiumSS5R5only</v>
      </c>
      <c r="D47" s="7" t="str">
        <f t="shared" ref="D47" si="34">IF(OR(I47="PremiumSS",I47="PremiumSSw"),"PremiumSS",IF(I47="PremiumSSS",I47,IF(I47="PremiumW",I47,"Premium")))</f>
        <v>PremiumSS</v>
      </c>
      <c r="E47" s="7" t="str">
        <f>IF(COUNTIF('R6追加前'!A:A,B47)=0,IF(OR(I47="PremiumSS",I47="PremiumSSw"),"R5only","R3less"),"")</f>
        <v>R5only</v>
      </c>
      <c r="F47" s="7" t="str">
        <f>IF(COUNTIF('R6開放'!A:A,B47)&gt;0,"R6release","")</f>
        <v/>
      </c>
      <c r="G47" s="7"/>
      <c r="H47" s="7" t="str">
        <f>VLOOKUP(B47,[1]characters!$A:$C,3,FALSE)</f>
        <v>イシュタル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technical</v>
      </c>
      <c r="M47" s="7" t="str">
        <f>VLOOKUP(B47,[1]characters!$A:$M,13,FALSE)</f>
        <v>god</v>
      </c>
      <c r="N47" s="7" t="str">
        <f>VLOOKUP(B47,[1]characters!$A:$G,7,FALSE)</f>
        <v>男性</v>
      </c>
      <c r="O47" s="31">
        <v>10</v>
      </c>
      <c r="P47" s="32">
        <f t="shared" si="26"/>
        <v>1.3333333333333334E-2</v>
      </c>
      <c r="Q47" s="27">
        <v>1</v>
      </c>
      <c r="R47" s="27">
        <v>0</v>
      </c>
      <c r="S47" s="27">
        <v>0</v>
      </c>
      <c r="T47" s="27">
        <v>0</v>
      </c>
      <c r="U47" s="27">
        <v>0</v>
      </c>
      <c r="V47" s="27">
        <v>1</v>
      </c>
    </row>
    <row r="48" spans="1:22" ht="21" customHeight="1" x14ac:dyDescent="0.15">
      <c r="A48" s="2">
        <v>7226100</v>
      </c>
      <c r="B48" s="49">
        <v>1072</v>
      </c>
      <c r="C48" s="7" t="str">
        <f t="shared" ref="C48:C50" si="35">D48&amp;J48&amp;E48&amp;F48&amp;G48</f>
        <v>PremiumSS5R5only</v>
      </c>
      <c r="D48" s="7" t="str">
        <f t="shared" ref="D48:D50" si="36">IF(OR(I48="PremiumSS",I48="PremiumSSw"),"PremiumSS",IF(I48="PremiumSSS",I48,IF(I48="PremiumW",I48,"Premium")))</f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エンキドゥ</v>
      </c>
      <c r="I48" s="7" t="str">
        <f>VLOOKUP(B48,[1]characters!$A:$J,10,FALSE)</f>
        <v>PremiumSSw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human</v>
      </c>
      <c r="N48" s="7" t="str">
        <f>VLOOKUP(B48,[1]characters!$A:$G,7,FALSE)</f>
        <v>男性</v>
      </c>
      <c r="O48" s="31">
        <v>10</v>
      </c>
      <c r="P48" s="32">
        <f t="shared" si="26"/>
        <v>1.3333333333333334E-2</v>
      </c>
      <c r="Q48" s="27">
        <v>1</v>
      </c>
      <c r="R48" s="27">
        <v>0</v>
      </c>
      <c r="S48" s="27">
        <v>0</v>
      </c>
      <c r="T48" s="27">
        <v>0</v>
      </c>
      <c r="U48" s="27">
        <v>0</v>
      </c>
      <c r="V48" s="27">
        <v>1</v>
      </c>
    </row>
    <row r="49" spans="1:22" ht="21" customHeight="1" x14ac:dyDescent="0.15">
      <c r="A49" s="2">
        <v>7226100</v>
      </c>
      <c r="B49" s="49">
        <v>1074</v>
      </c>
      <c r="C49" s="7" t="str">
        <f t="shared" si="35"/>
        <v>PremiumSS5R5only</v>
      </c>
      <c r="D49" s="7" t="str">
        <f t="shared" si="36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マルドゥク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technical</v>
      </c>
      <c r="M49" s="7" t="str">
        <f>VLOOKUP(B49,[1]characters!$A:$M,13,FALSE)</f>
        <v>god</v>
      </c>
      <c r="N49" s="7" t="str">
        <f>VLOOKUP(B49,[1]characters!$A:$G,7,FALSE)</f>
        <v>男性</v>
      </c>
      <c r="O49" s="31">
        <v>10</v>
      </c>
      <c r="P49" s="32">
        <f t="shared" si="26"/>
        <v>1.3333333333333334E-2</v>
      </c>
      <c r="Q49" s="27">
        <v>1</v>
      </c>
      <c r="R49" s="27">
        <v>0</v>
      </c>
      <c r="S49" s="27">
        <v>0</v>
      </c>
      <c r="T49" s="27">
        <v>0</v>
      </c>
      <c r="U49" s="27">
        <v>0</v>
      </c>
      <c r="V49" s="27">
        <v>1</v>
      </c>
    </row>
    <row r="50" spans="1:22" ht="21" customHeight="1" x14ac:dyDescent="0.15">
      <c r="A50" s="2">
        <v>7226100</v>
      </c>
      <c r="B50" s="49">
        <v>1100</v>
      </c>
      <c r="C50" s="7" t="str">
        <f t="shared" si="35"/>
        <v>PremiumSS5R5only</v>
      </c>
      <c r="D50" s="7" t="str">
        <f t="shared" si="36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北斎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attack</v>
      </c>
      <c r="M50" s="7" t="str">
        <f>VLOOKUP(B50,[1]characters!$A:$M,13,FALSE)</f>
        <v>human</v>
      </c>
      <c r="N50" s="7" t="str">
        <f>VLOOKUP(B50,[1]characters!$A:$G,7,FALSE)</f>
        <v>不明</v>
      </c>
      <c r="O50" s="31">
        <v>10</v>
      </c>
      <c r="P50" s="32">
        <f t="shared" si="26"/>
        <v>1.3333333333333334E-2</v>
      </c>
      <c r="Q50" s="27">
        <v>1</v>
      </c>
      <c r="R50" s="27">
        <v>0</v>
      </c>
      <c r="S50" s="27">
        <v>0</v>
      </c>
      <c r="T50" s="27">
        <v>0</v>
      </c>
      <c r="U50" s="27">
        <v>0</v>
      </c>
      <c r="V50" s="27">
        <v>1</v>
      </c>
    </row>
    <row r="51" spans="1:22" ht="21" customHeight="1" x14ac:dyDescent="0.15">
      <c r="A51" s="2">
        <v>7226100</v>
      </c>
      <c r="B51" s="49">
        <v>1102</v>
      </c>
      <c r="C51" s="7" t="str">
        <f t="shared" ref="C51:C53" si="37">D51&amp;J51&amp;E51&amp;F51&amp;G51</f>
        <v>PremiumSS5R5only</v>
      </c>
      <c r="D51" s="7" t="str">
        <f t="shared" ref="D51:D53" si="38">IF(OR(I51="PremiumSS",I51="PremiumSSw"),"PremiumSS",IF(I51="PremiumSSS",I51,IF(I51="PremiumW",I51,"Premium")))</f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ドガ</v>
      </c>
      <c r="I51" s="7" t="str">
        <f>VLOOKUP(B51,[1]characters!$A:$J,10,FALSE)</f>
        <v>PremiumSSw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balance</v>
      </c>
      <c r="M51" s="7" t="str">
        <f>VLOOKUP(B51,[1]characters!$A:$M,13,FALSE)</f>
        <v>animal</v>
      </c>
      <c r="N51" s="7" t="str">
        <f>VLOOKUP(B51,[1]characters!$A:$G,7,FALSE)</f>
        <v>不明</v>
      </c>
      <c r="O51" s="31">
        <v>10</v>
      </c>
      <c r="P51" s="32">
        <f t="shared" si="26"/>
        <v>1.3333333333333334E-2</v>
      </c>
      <c r="Q51" s="27">
        <v>1</v>
      </c>
      <c r="R51" s="27">
        <v>0</v>
      </c>
      <c r="S51" s="27">
        <v>0</v>
      </c>
      <c r="T51" s="27">
        <v>0</v>
      </c>
      <c r="U51" s="27">
        <v>0</v>
      </c>
      <c r="V51" s="27">
        <v>1</v>
      </c>
    </row>
    <row r="52" spans="1:22" ht="21" customHeight="1" x14ac:dyDescent="0.15">
      <c r="A52" s="2">
        <v>7226100</v>
      </c>
      <c r="B52" s="49">
        <v>1106</v>
      </c>
      <c r="C52" s="7" t="str">
        <f t="shared" si="37"/>
        <v>PremiumSS5R5only</v>
      </c>
      <c r="D52" s="7" t="str">
        <f t="shared" si="38"/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ラファエロ</v>
      </c>
      <c r="I52" s="7" t="str">
        <f>VLOOKUP(B52,[1]characters!$A:$J,10,FALSE)</f>
        <v>PremiumSS</v>
      </c>
      <c r="J52" s="7">
        <f>VLOOKUP(B52,[1]characters!$A:$I,9,FALSE)</f>
        <v>5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human</v>
      </c>
      <c r="N52" s="7" t="str">
        <f>VLOOKUP(B52,[1]characters!$A:$G,7,FALSE)</f>
        <v>不明</v>
      </c>
      <c r="O52" s="31">
        <v>10</v>
      </c>
      <c r="P52" s="32">
        <f t="shared" si="26"/>
        <v>1.3333333333333334E-2</v>
      </c>
      <c r="Q52" s="27">
        <v>1</v>
      </c>
      <c r="R52" s="27">
        <v>0</v>
      </c>
      <c r="S52" s="27">
        <v>0</v>
      </c>
      <c r="T52" s="27">
        <v>0</v>
      </c>
      <c r="U52" s="27">
        <v>0</v>
      </c>
      <c r="V52" s="27">
        <v>1</v>
      </c>
    </row>
    <row r="53" spans="1:22" ht="21" customHeight="1" x14ac:dyDescent="0.15">
      <c r="A53" s="2">
        <v>7226100</v>
      </c>
      <c r="B53" s="49">
        <v>1137</v>
      </c>
      <c r="C53" s="7" t="str">
        <f t="shared" si="37"/>
        <v>PremiumSS5R5only</v>
      </c>
      <c r="D53" s="7" t="str">
        <f t="shared" si="38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諸葛亮</v>
      </c>
      <c r="I53" s="7" t="str">
        <f>VLOOKUP(B53,[1]characters!$A:$J,10,FALSE)</f>
        <v>PremiumSSw</v>
      </c>
      <c r="J53" s="7">
        <f>VLOOKUP(B53,[1]characters!$A:$I,9,FALSE)</f>
        <v>5</v>
      </c>
      <c r="K53" s="7" t="str">
        <f>VLOOKUP(B53,[1]characters!$A:$H,8,FALSE)</f>
        <v>red</v>
      </c>
      <c r="L53" s="7" t="str">
        <f>VLOOKUP(B53,[1]characters!$A:$K,11,FALSE)</f>
        <v>technical</v>
      </c>
      <c r="M53" s="7" t="str">
        <f>VLOOKUP(B53,[1]characters!$A:$M,13,FALSE)</f>
        <v>samurai</v>
      </c>
      <c r="N53" s="7" t="str">
        <f>VLOOKUP(B53,[1]characters!$A:$G,7,FALSE)</f>
        <v>不明</v>
      </c>
      <c r="O53" s="31">
        <v>10</v>
      </c>
      <c r="P53" s="32">
        <f t="shared" si="26"/>
        <v>1.3333333333333334E-2</v>
      </c>
      <c r="Q53" s="27">
        <v>1</v>
      </c>
      <c r="R53" s="27">
        <v>0</v>
      </c>
      <c r="S53" s="27">
        <v>0</v>
      </c>
      <c r="T53" s="27">
        <v>0</v>
      </c>
      <c r="U53" s="27">
        <v>0</v>
      </c>
      <c r="V53" s="27">
        <v>1</v>
      </c>
    </row>
    <row r="54" spans="1:22" ht="21" customHeight="1" x14ac:dyDescent="0.15">
      <c r="A54" s="2">
        <v>7226100</v>
      </c>
      <c r="B54" s="49">
        <v>1139</v>
      </c>
      <c r="C54" s="7" t="str">
        <f t="shared" ref="C54:C56" si="39">D54&amp;J54&amp;E54&amp;F54&amp;G54</f>
        <v>PremiumSS5R5only</v>
      </c>
      <c r="D54" s="7" t="str">
        <f t="shared" ref="D54:D56" si="40">IF(OR(I54="PremiumSS",I54="PremiumSSw"),"PremiumSS",IF(I54="PremiumSSS",I54,IF(I54="PremiumW",I54,"Premium")))</f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趙雲</v>
      </c>
      <c r="I54" s="7" t="str">
        <f>VLOOKUP(B54,[1]characters!$A:$J,10,FALSE)</f>
        <v>PremiumSS</v>
      </c>
      <c r="J54" s="7">
        <f>VLOOKUP(B54,[1]characters!$A:$I,9,FALSE)</f>
        <v>5</v>
      </c>
      <c r="K54" s="7" t="str">
        <f>VLOOKUP(B54,[1]characters!$A:$H,8,FALSE)</f>
        <v>green</v>
      </c>
      <c r="L54" s="7" t="str">
        <f>VLOOKUP(B54,[1]characters!$A:$K,11,FALSE)</f>
        <v>balance</v>
      </c>
      <c r="M54" s="7" t="str">
        <f>VLOOKUP(B54,[1]characters!$A:$M,13,FALSE)</f>
        <v>samurai</v>
      </c>
      <c r="N54" s="7" t="str">
        <f>VLOOKUP(B54,[1]characters!$A:$G,7,FALSE)</f>
        <v>不明</v>
      </c>
      <c r="O54" s="31">
        <v>10</v>
      </c>
      <c r="P54" s="32">
        <f t="shared" si="26"/>
        <v>1.3333333333333334E-2</v>
      </c>
      <c r="Q54" s="27">
        <v>1</v>
      </c>
      <c r="R54" s="27">
        <v>0</v>
      </c>
      <c r="S54" s="27">
        <v>0</v>
      </c>
      <c r="T54" s="27">
        <v>0</v>
      </c>
      <c r="U54" s="27">
        <v>0</v>
      </c>
      <c r="V54" s="27">
        <v>1</v>
      </c>
    </row>
    <row r="55" spans="1:22" ht="21" customHeight="1" x14ac:dyDescent="0.15">
      <c r="A55" s="2">
        <v>7226100</v>
      </c>
      <c r="B55" s="49">
        <v>1141</v>
      </c>
      <c r="C55" s="7" t="str">
        <f t="shared" si="39"/>
        <v>PremiumSS5R5only</v>
      </c>
      <c r="D55" s="7" t="str">
        <f t="shared" si="40"/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月英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blue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不明</v>
      </c>
      <c r="O55" s="31">
        <v>10</v>
      </c>
      <c r="P55" s="32">
        <f t="shared" si="26"/>
        <v>1.3333333333333334E-2</v>
      </c>
      <c r="Q55" s="27">
        <v>1</v>
      </c>
      <c r="R55" s="27">
        <v>0</v>
      </c>
      <c r="S55" s="27">
        <v>0</v>
      </c>
      <c r="T55" s="27">
        <v>0</v>
      </c>
      <c r="U55" s="27">
        <v>0</v>
      </c>
      <c r="V55" s="27">
        <v>1</v>
      </c>
    </row>
    <row r="56" spans="1:22" ht="21" customHeight="1" x14ac:dyDescent="0.15">
      <c r="A56" s="2">
        <v>7226100</v>
      </c>
      <c r="B56" s="49">
        <v>1153</v>
      </c>
      <c r="C56" s="7" t="str">
        <f t="shared" si="39"/>
        <v>PremiumSS5R5only</v>
      </c>
      <c r="D56" s="7" t="str">
        <f t="shared" si="40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ラクシュミー</v>
      </c>
      <c r="I56" s="7" t="str">
        <f>VLOOKUP(B56,[1]characters!$A:$J,10,FALSE)</f>
        <v>PremiumSSw</v>
      </c>
      <c r="J56" s="7">
        <f>VLOOKUP(B56,[1]characters!$A:$I,9,FALSE)</f>
        <v>5</v>
      </c>
      <c r="K56" s="7" t="str">
        <f>VLOOKUP(B56,[1]characters!$A:$H,8,FALSE)</f>
        <v>green</v>
      </c>
      <c r="L56" s="7" t="str">
        <f>VLOOKUP(B56,[1]characters!$A:$K,11,FALSE)</f>
        <v>hp</v>
      </c>
      <c r="M56" s="7" t="str">
        <f>VLOOKUP(B56,[1]characters!$A:$M,13,FALSE)</f>
        <v>god</v>
      </c>
      <c r="N56" s="7" t="str">
        <f>VLOOKUP(B56,[1]characters!$A:$G,7,FALSE)</f>
        <v>不明</v>
      </c>
      <c r="O56" s="31">
        <v>10</v>
      </c>
      <c r="P56" s="32">
        <f t="shared" si="26"/>
        <v>1.3333333333333334E-2</v>
      </c>
      <c r="Q56" s="27">
        <v>1</v>
      </c>
      <c r="R56" s="27">
        <v>0</v>
      </c>
      <c r="S56" s="27">
        <v>0</v>
      </c>
      <c r="T56" s="27">
        <v>0</v>
      </c>
      <c r="U56" s="27">
        <v>0</v>
      </c>
      <c r="V56" s="27">
        <v>1</v>
      </c>
    </row>
    <row r="57" spans="1:22" ht="21" customHeight="1" x14ac:dyDescent="0.15">
      <c r="A57" s="2">
        <v>7226100</v>
      </c>
      <c r="B57" s="49">
        <v>1155</v>
      </c>
      <c r="C57" s="7" t="str">
        <f t="shared" ref="C57:C61" si="41">D57&amp;J57&amp;E57&amp;F57&amp;G57</f>
        <v>PremiumSS5R5only</v>
      </c>
      <c r="D57" s="7" t="str">
        <f t="shared" ref="D57:D61" si="42">IF(OR(I57="PremiumSS",I57="PremiumSSw"),"PremiumSS",IF(I57="PremiumSSS",I57,IF(I57="PremiumW",I57,"Premium")))</f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ドゥルガー</v>
      </c>
      <c r="I57" s="7" t="str">
        <f>VLOOKUP(B57,[1]characters!$A:$J,10,FALSE)</f>
        <v>PremiumSS</v>
      </c>
      <c r="J57" s="7">
        <f>VLOOKUP(B57,[1]characters!$A:$I,9,FALSE)</f>
        <v>5</v>
      </c>
      <c r="K57" s="7" t="str">
        <f>VLOOKUP(B57,[1]characters!$A:$H,8,FALSE)</f>
        <v>blue</v>
      </c>
      <c r="L57" s="7" t="str">
        <f>VLOOKUP(B57,[1]characters!$A:$K,11,FALSE)</f>
        <v>balance</v>
      </c>
      <c r="M57" s="7" t="str">
        <f>VLOOKUP(B57,[1]characters!$A:$M,13,FALSE)</f>
        <v>god</v>
      </c>
      <c r="N57" s="7" t="str">
        <f>VLOOKUP(B57,[1]characters!$A:$G,7,FALSE)</f>
        <v>不明</v>
      </c>
      <c r="O57" s="31">
        <v>10</v>
      </c>
      <c r="P57" s="32">
        <f t="shared" si="26"/>
        <v>1.3333333333333334E-2</v>
      </c>
      <c r="Q57" s="27">
        <v>1</v>
      </c>
      <c r="R57" s="27">
        <v>0</v>
      </c>
      <c r="S57" s="27">
        <v>0</v>
      </c>
      <c r="T57" s="27">
        <v>0</v>
      </c>
      <c r="U57" s="27">
        <v>0</v>
      </c>
      <c r="V57" s="27">
        <v>1</v>
      </c>
    </row>
    <row r="58" spans="1:22" ht="21" customHeight="1" x14ac:dyDescent="0.15">
      <c r="A58" s="2">
        <v>7226100</v>
      </c>
      <c r="B58" s="49">
        <v>1157</v>
      </c>
      <c r="C58" s="7" t="str">
        <f t="shared" si="41"/>
        <v>PremiumSS5R5only</v>
      </c>
      <c r="D58" s="7" t="str">
        <f t="shared" si="42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インドラ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yellow</v>
      </c>
      <c r="L58" s="7" t="str">
        <f>VLOOKUP(B58,[1]characters!$A:$K,11,FALSE)</f>
        <v>attack</v>
      </c>
      <c r="M58" s="7" t="str">
        <f>VLOOKUP(B58,[1]characters!$A:$M,13,FALSE)</f>
        <v>god</v>
      </c>
      <c r="N58" s="7" t="str">
        <f>VLOOKUP(B58,[1]characters!$A:$G,7,FALSE)</f>
        <v>不明</v>
      </c>
      <c r="O58" s="31">
        <v>10</v>
      </c>
      <c r="P58" s="32">
        <f t="shared" si="26"/>
        <v>1.3333333333333334E-2</v>
      </c>
      <c r="Q58" s="27">
        <v>1</v>
      </c>
      <c r="R58" s="27">
        <v>0</v>
      </c>
      <c r="S58" s="27">
        <v>0</v>
      </c>
      <c r="T58" s="27">
        <v>0</v>
      </c>
      <c r="U58" s="27">
        <v>0</v>
      </c>
      <c r="V58" s="27">
        <v>1</v>
      </c>
    </row>
    <row r="59" spans="1:22" ht="21" customHeight="1" x14ac:dyDescent="0.15">
      <c r="A59" s="2">
        <v>7226100</v>
      </c>
      <c r="B59" s="49">
        <v>1208</v>
      </c>
      <c r="C59" s="7" t="str">
        <f t="shared" si="41"/>
        <v>PremiumSS5R5only</v>
      </c>
      <c r="D59" s="7" t="str">
        <f t="shared" si="42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ネメシス</v>
      </c>
      <c r="I59" s="7" t="str">
        <f>VLOOKUP(B59,[1]characters!$A:$J,10,FALSE)</f>
        <v>PremiumSS</v>
      </c>
      <c r="J59" s="7">
        <f>VLOOKUP(B59,[1]characters!$A:$I,9,FALSE)</f>
        <v>5</v>
      </c>
      <c r="K59" s="7" t="str">
        <f>VLOOKUP(B59,[1]characters!$A:$H,8,FALSE)</f>
        <v>red</v>
      </c>
      <c r="L59" s="7" t="str">
        <f>VLOOKUP(B59,[1]characters!$A:$K,11,FALSE)</f>
        <v>hp</v>
      </c>
      <c r="M59" s="7" t="str">
        <f>VLOOKUP(B59,[1]characters!$A:$M,13,FALSE)</f>
        <v>god</v>
      </c>
      <c r="N59" s="7">
        <f>VLOOKUP(B59,[1]characters!$A:$G,7,FALSE)</f>
        <v>0</v>
      </c>
      <c r="O59" s="31">
        <v>10</v>
      </c>
      <c r="P59" s="32">
        <f t="shared" si="26"/>
        <v>1.3333333333333334E-2</v>
      </c>
      <c r="Q59" s="27">
        <v>1</v>
      </c>
      <c r="R59" s="27">
        <v>0</v>
      </c>
      <c r="S59" s="27">
        <v>0</v>
      </c>
      <c r="T59" s="27">
        <v>0</v>
      </c>
      <c r="U59" s="27">
        <v>0</v>
      </c>
      <c r="V59" s="27">
        <v>1</v>
      </c>
    </row>
    <row r="60" spans="1:22" ht="21" customHeight="1" x14ac:dyDescent="0.15">
      <c r="A60" s="2">
        <v>7226100</v>
      </c>
      <c r="B60" s="49">
        <v>1212</v>
      </c>
      <c r="C60" s="7" t="str">
        <f t="shared" si="41"/>
        <v>PremiumSS5R5only</v>
      </c>
      <c r="D60" s="7" t="str">
        <f t="shared" si="42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クロノス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>
        <f>VLOOKUP(B60,[1]characters!$A:$G,7,FALSE)</f>
        <v>0</v>
      </c>
      <c r="O60" s="31">
        <v>10</v>
      </c>
      <c r="P60" s="32">
        <f t="shared" si="26"/>
        <v>1.3333333333333334E-2</v>
      </c>
      <c r="Q60" s="27">
        <v>1</v>
      </c>
      <c r="R60" s="27">
        <v>0</v>
      </c>
      <c r="S60" s="27">
        <v>0</v>
      </c>
      <c r="T60" s="27">
        <v>0</v>
      </c>
      <c r="U60" s="27">
        <v>0</v>
      </c>
      <c r="V60" s="27">
        <v>1</v>
      </c>
    </row>
    <row r="61" spans="1:22" ht="21" customHeight="1" x14ac:dyDescent="0.15">
      <c r="A61" s="2">
        <v>7226100</v>
      </c>
      <c r="B61" s="49">
        <v>1214</v>
      </c>
      <c r="C61" s="7" t="str">
        <f t="shared" si="41"/>
        <v>PremiumSS5R5only</v>
      </c>
      <c r="D61" s="7" t="str">
        <f t="shared" si="42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アルテミス</v>
      </c>
      <c r="I61" s="7" t="str">
        <f>VLOOKUP(B61,[1]characters!$A:$J,10,FALSE)</f>
        <v>PremiumSSw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balance</v>
      </c>
      <c r="M61" s="7" t="str">
        <f>VLOOKUP(B61,[1]characters!$A:$M,13,FALSE)</f>
        <v>god</v>
      </c>
      <c r="N61" s="7">
        <f>VLOOKUP(B61,[1]characters!$A:$G,7,FALSE)</f>
        <v>0</v>
      </c>
      <c r="O61" s="31">
        <v>10</v>
      </c>
      <c r="P61" s="32">
        <f t="shared" si="26"/>
        <v>1.3333333333333334E-2</v>
      </c>
      <c r="Q61" s="27">
        <v>1</v>
      </c>
      <c r="R61" s="27">
        <v>0</v>
      </c>
      <c r="S61" s="27">
        <v>0</v>
      </c>
      <c r="T61" s="27">
        <v>0</v>
      </c>
      <c r="U61" s="27">
        <v>0</v>
      </c>
      <c r="V61" s="27">
        <v>1</v>
      </c>
    </row>
    <row r="62" spans="1:22" ht="21" customHeight="1" x14ac:dyDescent="0.15">
      <c r="A62" s="2">
        <v>7226100</v>
      </c>
      <c r="B62" s="49">
        <v>1226</v>
      </c>
      <c r="C62" s="7" t="str">
        <f t="shared" ref="C62:C64" si="43">D62&amp;J62&amp;E62&amp;F62&amp;G62</f>
        <v>PremiumSS5R5only</v>
      </c>
      <c r="D62" s="7" t="str">
        <f t="shared" ref="D62:D64" si="44">IF(OR(I62="PremiumSS",I62="PremiumSSw"),"PremiumSS",IF(I62="PremiumSSS",I62,IF(I62="PremiumW",I62,"Premium")))</f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トルストイ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green</v>
      </c>
      <c r="L62" s="7" t="str">
        <f>VLOOKUP(B62,[1]characters!$A:$K,11,FALSE)</f>
        <v>attack</v>
      </c>
      <c r="M62" s="7" t="str">
        <f>VLOOKUP(B62,[1]characters!$A:$M,13,FALSE)</f>
        <v>human</v>
      </c>
      <c r="N62" s="7">
        <f>VLOOKUP(B62,[1]characters!$A:$G,7,FALSE)</f>
        <v>0</v>
      </c>
      <c r="O62" s="31">
        <v>10</v>
      </c>
      <c r="P62" s="32">
        <f t="shared" si="26"/>
        <v>1.3333333333333334E-2</v>
      </c>
      <c r="Q62" s="27">
        <v>1</v>
      </c>
      <c r="R62" s="27">
        <v>0</v>
      </c>
      <c r="S62" s="27">
        <v>0</v>
      </c>
      <c r="T62" s="27">
        <v>0</v>
      </c>
      <c r="U62" s="27">
        <v>0</v>
      </c>
      <c r="V62" s="27">
        <v>1</v>
      </c>
    </row>
    <row r="63" spans="1:22" ht="21" customHeight="1" x14ac:dyDescent="0.15">
      <c r="A63" s="2">
        <v>7226100</v>
      </c>
      <c r="B63" s="49">
        <v>1228</v>
      </c>
      <c r="C63" s="7" t="str">
        <f t="shared" si="43"/>
        <v>PremiumSS5R5only</v>
      </c>
      <c r="D63" s="7" t="str">
        <f t="shared" si="44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芥川龍之介</v>
      </c>
      <c r="I63" s="7" t="str">
        <f>VLOOKUP(B63,[1]characters!$A:$J,10,FALSE)</f>
        <v>PremiumSSw</v>
      </c>
      <c r="J63" s="7">
        <f>VLOOKUP(B63,[1]characters!$A:$I,9,FALSE)</f>
        <v>5</v>
      </c>
      <c r="K63" s="7" t="str">
        <f>VLOOKUP(B63,[1]characters!$A:$H,8,FALSE)</f>
        <v>blue</v>
      </c>
      <c r="L63" s="7" t="str">
        <f>VLOOKUP(B63,[1]characters!$A:$K,11,FALSE)</f>
        <v>attack</v>
      </c>
      <c r="M63" s="7" t="str">
        <f>VLOOKUP(B63,[1]characters!$A:$M,13,FALSE)</f>
        <v>human</v>
      </c>
      <c r="N63" s="7">
        <f>VLOOKUP(B63,[1]characters!$A:$G,7,FALSE)</f>
        <v>0</v>
      </c>
      <c r="O63" s="31">
        <v>10</v>
      </c>
      <c r="P63" s="32">
        <f t="shared" si="26"/>
        <v>1.3333333333333334E-2</v>
      </c>
      <c r="Q63" s="27">
        <v>1</v>
      </c>
      <c r="R63" s="27">
        <v>0</v>
      </c>
      <c r="S63" s="27">
        <v>0</v>
      </c>
      <c r="T63" s="27">
        <v>0</v>
      </c>
      <c r="U63" s="27">
        <v>0</v>
      </c>
      <c r="V63" s="27">
        <v>1</v>
      </c>
    </row>
    <row r="64" spans="1:22" ht="21" customHeight="1" x14ac:dyDescent="0.15">
      <c r="A64" s="2">
        <v>7226100</v>
      </c>
      <c r="B64" s="49">
        <v>1230</v>
      </c>
      <c r="C64" s="7" t="str">
        <f t="shared" si="43"/>
        <v>PremiumSS5R5only</v>
      </c>
      <c r="D64" s="7" t="str">
        <f t="shared" si="44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夏目漱石</v>
      </c>
      <c r="I64" s="7" t="str">
        <f>VLOOKUP(B64,[1]characters!$A:$J,10,FALSE)</f>
        <v>PremiumSS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heal</v>
      </c>
      <c r="M64" s="7" t="str">
        <f>VLOOKUP(B64,[1]characters!$A:$M,13,FALSE)</f>
        <v>animal</v>
      </c>
      <c r="N64" s="7">
        <f>VLOOKUP(B64,[1]characters!$A:$G,7,FALSE)</f>
        <v>0</v>
      </c>
      <c r="O64" s="31">
        <v>10</v>
      </c>
      <c r="P64" s="32">
        <f t="shared" si="26"/>
        <v>1.3333333333333334E-2</v>
      </c>
      <c r="Q64" s="27">
        <v>1</v>
      </c>
      <c r="R64" s="27">
        <v>0</v>
      </c>
      <c r="S64" s="27">
        <v>0</v>
      </c>
      <c r="T64" s="27">
        <v>0</v>
      </c>
      <c r="U64" s="27">
        <v>0</v>
      </c>
      <c r="V64" s="27">
        <v>1</v>
      </c>
    </row>
    <row r="65" spans="1:22" ht="21" customHeight="1" x14ac:dyDescent="0.15">
      <c r="A65" s="2">
        <v>7226100</v>
      </c>
      <c r="B65" s="49">
        <v>1244</v>
      </c>
      <c r="C65" s="7" t="str">
        <f t="shared" ref="C65:C67" si="45">D65&amp;J65&amp;E65&amp;F65&amp;G65</f>
        <v>PremiumSS5R5only</v>
      </c>
      <c r="D65" s="7" t="str">
        <f t="shared" ref="D65:D67" si="46">IF(OR(I65="PremiumSS",I65="PremiumSSw"),"PremiumSS",IF(I65="PremiumSSS",I65,IF(I65="PremiumW",I65,"Premium")))</f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猿飛佐助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red</v>
      </c>
      <c r="L65" s="7" t="str">
        <f>VLOOKUP(B65,[1]characters!$A:$K,11,FALSE)</f>
        <v>attack</v>
      </c>
      <c r="M65" s="7" t="str">
        <f>VLOOKUP(B65,[1]characters!$A:$M,13,FALSE)</f>
        <v>human</v>
      </c>
      <c r="N65" s="7">
        <f>VLOOKUP(B65,[1]characters!$A:$G,7,FALSE)</f>
        <v>0</v>
      </c>
      <c r="O65" s="31">
        <v>10</v>
      </c>
      <c r="P65" s="32">
        <f t="shared" si="26"/>
        <v>1.3333333333333334E-2</v>
      </c>
      <c r="Q65" s="27">
        <v>1</v>
      </c>
      <c r="R65" s="27">
        <v>0</v>
      </c>
      <c r="S65" s="27">
        <v>0</v>
      </c>
      <c r="T65" s="27">
        <v>0</v>
      </c>
      <c r="U65" s="27">
        <v>0</v>
      </c>
      <c r="V65" s="27">
        <v>1</v>
      </c>
    </row>
    <row r="66" spans="1:22" ht="21" customHeight="1" x14ac:dyDescent="0.15">
      <c r="A66" s="2">
        <v>7226100</v>
      </c>
      <c r="B66" s="49">
        <v>1246</v>
      </c>
      <c r="C66" s="7" t="str">
        <f t="shared" si="45"/>
        <v>PremiumSS5R5only</v>
      </c>
      <c r="D66" s="7" t="str">
        <f t="shared" si="46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望月千代女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green</v>
      </c>
      <c r="L66" s="7" t="str">
        <f>VLOOKUP(B66,[1]characters!$A:$K,11,FALSE)</f>
        <v>heal</v>
      </c>
      <c r="M66" s="7" t="str">
        <f>VLOOKUP(B66,[1]characters!$A:$M,13,FALSE)</f>
        <v>human</v>
      </c>
      <c r="N66" s="7">
        <f>VLOOKUP(B66,[1]characters!$A:$G,7,FALSE)</f>
        <v>0</v>
      </c>
      <c r="O66" s="31">
        <v>10</v>
      </c>
      <c r="P66" s="32">
        <f t="shared" ref="P66:P70" si="47">O66/SUM(O:O)</f>
        <v>1.3333333333333334E-2</v>
      </c>
      <c r="Q66" s="27">
        <v>1</v>
      </c>
      <c r="R66" s="27">
        <v>0</v>
      </c>
      <c r="S66" s="27">
        <v>0</v>
      </c>
      <c r="T66" s="27">
        <v>0</v>
      </c>
      <c r="U66" s="27">
        <v>0</v>
      </c>
      <c r="V66" s="27">
        <v>1</v>
      </c>
    </row>
    <row r="67" spans="1:22" ht="21" customHeight="1" x14ac:dyDescent="0.15">
      <c r="A67" s="2">
        <v>7226100</v>
      </c>
      <c r="B67" s="49">
        <v>1250</v>
      </c>
      <c r="C67" s="7" t="str">
        <f t="shared" si="45"/>
        <v>PremiumSS5R5only</v>
      </c>
      <c r="D67" s="7" t="str">
        <f t="shared" si="46"/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真田幸村</v>
      </c>
      <c r="I67" s="7" t="str">
        <f>VLOOKUP(B67,[1]characters!$A:$J,10,FALSE)</f>
        <v>PremiumSSw</v>
      </c>
      <c r="J67" s="7">
        <f>VLOOKUP(B67,[1]characters!$A:$I,9,FALSE)</f>
        <v>5</v>
      </c>
      <c r="K67" s="7" t="str">
        <f>VLOOKUP(B67,[1]characters!$A:$H,8,FALSE)</f>
        <v>yellow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>
        <f>VLOOKUP(B67,[1]characters!$A:$G,7,FALSE)</f>
        <v>0</v>
      </c>
      <c r="O67" s="31">
        <v>10</v>
      </c>
      <c r="P67" s="32">
        <f t="shared" si="47"/>
        <v>1.3333333333333334E-2</v>
      </c>
      <c r="Q67" s="27">
        <v>1</v>
      </c>
      <c r="R67" s="27">
        <v>0</v>
      </c>
      <c r="S67" s="27">
        <v>0</v>
      </c>
      <c r="T67" s="27">
        <v>0</v>
      </c>
      <c r="U67" s="27">
        <v>0</v>
      </c>
      <c r="V67" s="27">
        <v>1</v>
      </c>
    </row>
    <row r="68" spans="1:22" ht="21" customHeight="1" x14ac:dyDescent="0.15">
      <c r="A68" s="2">
        <v>7226100</v>
      </c>
      <c r="B68" s="49">
        <v>1260</v>
      </c>
      <c r="C68" s="7" t="str">
        <f t="shared" ref="C68:C70" si="48">D68&amp;J68&amp;E68&amp;F68&amp;G68</f>
        <v>PremiumSS5R5only</v>
      </c>
      <c r="D68" s="7" t="str">
        <f t="shared" ref="D68:D70" si="49">IF(OR(I68="PremiumSS",I68="PremiumSSw"),"PremiumSS",IF(I68="PremiumSSS",I68,IF(I68="PremiumW",I68,"Premium")))</f>
        <v>PremiumSS</v>
      </c>
      <c r="E68" s="7" t="str">
        <f>IF(COUNTIF('R6追加前'!A:A,B68)=0,IF(OR(I68="PremiumSS",I68="PremiumSSw"),"R5only","R3less"),"")</f>
        <v>R5only</v>
      </c>
      <c r="F68" s="7" t="str">
        <f>IF(COUNTIF('R6開放'!A:A,B68)&gt;0,"R6release","")</f>
        <v/>
      </c>
      <c r="G68" s="7"/>
      <c r="H68" s="7" t="str">
        <f>VLOOKUP(B68,[1]characters!$A:$C,3,FALSE)</f>
        <v>トール</v>
      </c>
      <c r="I68" s="7" t="str">
        <f>VLOOKUP(B68,[1]characters!$A:$J,10,FALSE)</f>
        <v>PremiumSS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god</v>
      </c>
      <c r="N68" s="7">
        <f>VLOOKUP(B68,[1]characters!$A:$G,7,FALSE)</f>
        <v>0</v>
      </c>
      <c r="O68" s="31">
        <v>10</v>
      </c>
      <c r="P68" s="32">
        <f t="shared" si="47"/>
        <v>1.3333333333333334E-2</v>
      </c>
      <c r="Q68" s="27">
        <v>1</v>
      </c>
      <c r="R68" s="27">
        <v>0</v>
      </c>
      <c r="S68" s="27">
        <v>0</v>
      </c>
      <c r="T68" s="27">
        <v>0</v>
      </c>
      <c r="U68" s="27">
        <v>0</v>
      </c>
      <c r="V68" s="27">
        <v>1</v>
      </c>
    </row>
    <row r="69" spans="1:22" ht="21" customHeight="1" x14ac:dyDescent="0.15">
      <c r="A69" s="2">
        <v>7226100</v>
      </c>
      <c r="B69" s="49">
        <v>1262</v>
      </c>
      <c r="C69" s="7" t="str">
        <f t="shared" si="48"/>
        <v>PremiumSS5R5only</v>
      </c>
      <c r="D69" s="7" t="str">
        <f t="shared" si="49"/>
        <v>PremiumSS</v>
      </c>
      <c r="E69" s="7" t="str">
        <f>IF(COUNTIF('R6追加前'!A:A,B69)=0,IF(OR(I69="PremiumSS",I69="PremiumSSw"),"R5only","R3less"),"")</f>
        <v>R5only</v>
      </c>
      <c r="F69" s="7" t="str">
        <f>IF(COUNTIF('R6開放'!A:A,B69)&gt;0,"R6release","")</f>
        <v/>
      </c>
      <c r="G69" s="7"/>
      <c r="H69" s="7" t="str">
        <f>VLOOKUP(B69,[1]characters!$A:$C,3,FALSE)</f>
        <v>イズン</v>
      </c>
      <c r="I69" s="7" t="str">
        <f>VLOOKUP(B69,[1]characters!$A:$J,10,FALSE)</f>
        <v>PremiumSSw</v>
      </c>
      <c r="J69" s="7">
        <f>VLOOKUP(B69,[1]characters!$A:$I,9,FALSE)</f>
        <v>5</v>
      </c>
      <c r="K69" s="7" t="str">
        <f>VLOOKUP(B69,[1]characters!$A:$H,8,FALSE)</f>
        <v>green</v>
      </c>
      <c r="L69" s="7" t="str">
        <f>VLOOKUP(B69,[1]characters!$A:$K,11,FALSE)</f>
        <v>heal</v>
      </c>
      <c r="M69" s="7" t="str">
        <f>VLOOKUP(B69,[1]characters!$A:$M,13,FALSE)</f>
        <v>god</v>
      </c>
      <c r="N69" s="7">
        <f>VLOOKUP(B69,[1]characters!$A:$G,7,FALSE)</f>
        <v>0</v>
      </c>
      <c r="O69" s="31">
        <v>10</v>
      </c>
      <c r="P69" s="32">
        <f t="shared" si="47"/>
        <v>1.3333333333333334E-2</v>
      </c>
      <c r="Q69" s="27">
        <v>1</v>
      </c>
      <c r="R69" s="27">
        <v>0</v>
      </c>
      <c r="S69" s="27">
        <v>0</v>
      </c>
      <c r="T69" s="27">
        <v>0</v>
      </c>
      <c r="U69" s="27">
        <v>0</v>
      </c>
      <c r="V69" s="27">
        <v>1</v>
      </c>
    </row>
    <row r="70" spans="1:22" ht="21" customHeight="1" x14ac:dyDescent="0.15">
      <c r="A70" s="2">
        <v>7226100</v>
      </c>
      <c r="B70" s="49">
        <v>1264</v>
      </c>
      <c r="C70" s="7" t="str">
        <f t="shared" si="48"/>
        <v>PremiumSS5R5only</v>
      </c>
      <c r="D70" s="7" t="str">
        <f t="shared" si="49"/>
        <v>PremiumSS</v>
      </c>
      <c r="E70" s="7" t="str">
        <f>IF(COUNTIF('R6追加前'!A:A,B70)=0,IF(OR(I70="PremiumSS",I70="PremiumSSw"),"R5only","R3less"),"")</f>
        <v>R5only</v>
      </c>
      <c r="F70" s="7" t="str">
        <f>IF(COUNTIF('R6開放'!A:A,B70)&gt;0,"R6release","")</f>
        <v/>
      </c>
      <c r="G70" s="7"/>
      <c r="H70" s="7" t="str">
        <f>VLOOKUP(B70,[1]characters!$A:$C,3,FALSE)</f>
        <v>ウルズ</v>
      </c>
      <c r="I70" s="7" t="str">
        <f>VLOOKUP(B70,[1]characters!$A:$J,10,FALSE)</f>
        <v>PremiumSS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heal</v>
      </c>
      <c r="M70" s="7" t="str">
        <f>VLOOKUP(B70,[1]characters!$A:$M,13,FALSE)</f>
        <v>god</v>
      </c>
      <c r="N70" s="7">
        <f>VLOOKUP(B70,[1]characters!$A:$G,7,FALSE)</f>
        <v>0</v>
      </c>
      <c r="O70" s="31">
        <v>10</v>
      </c>
      <c r="P70" s="32">
        <f t="shared" si="47"/>
        <v>1.3333333333333334E-2</v>
      </c>
      <c r="Q70" s="27">
        <v>1</v>
      </c>
      <c r="R70" s="27">
        <v>0</v>
      </c>
      <c r="S70" s="27">
        <v>0</v>
      </c>
      <c r="T70" s="27">
        <v>0</v>
      </c>
      <c r="U70" s="27">
        <v>0</v>
      </c>
      <c r="V70" s="27">
        <v>1</v>
      </c>
    </row>
    <row r="71" spans="1:22" ht="21" customHeight="1" x14ac:dyDescent="0.15">
      <c r="A71" s="2">
        <v>7226100</v>
      </c>
      <c r="B71" s="49">
        <v>1332</v>
      </c>
      <c r="C71" s="7" t="str">
        <f t="shared" ref="C71:C73" si="50">D71&amp;J71&amp;E71&amp;F71&amp;G71</f>
        <v>PremiumSS5R5only</v>
      </c>
      <c r="D71" s="7" t="str">
        <f t="shared" ref="D71:D73" si="51">IF(OR(I71="PremiumSS",I71="PremiumSSw"),"PremiumSS",IF(I71="PremiumSSS",I71,IF(I71="PremiumW",I71,"Premium")))</f>
        <v>PremiumSS</v>
      </c>
      <c r="E71" s="7" t="str">
        <f>IF(COUNTIF('R6追加前'!A:A,B71)=0,IF(OR(I71="PremiumSS",I71="PremiumSSw"),"R5only","R3less"),"")</f>
        <v>R5only</v>
      </c>
      <c r="F71" s="7" t="str">
        <f>IF(COUNTIF('R6開放'!A:A,B71)&gt;0,"R6release","")</f>
        <v/>
      </c>
      <c r="G71" s="7"/>
      <c r="H71" s="7" t="str">
        <f>VLOOKUP(B71,[1]characters!$A:$C,3,FALSE)</f>
        <v>クシナダヒメ</v>
      </c>
      <c r="I71" s="7" t="str">
        <f>VLOOKUP(B71,[1]characters!$A:$J,10,FALSE)</f>
        <v>PremiumSSw</v>
      </c>
      <c r="J71" s="7">
        <f>VLOOKUP(B71,[1]characters!$A:$I,9,FALSE)</f>
        <v>5</v>
      </c>
      <c r="K71" s="7" t="str">
        <f>VLOOKUP(B71,[1]characters!$A:$H,8,FALSE)</f>
        <v>red</v>
      </c>
      <c r="L71" s="7" t="str">
        <f>VLOOKUP(B71,[1]characters!$A:$K,11,FALSE)</f>
        <v>hp</v>
      </c>
      <c r="M71" s="7" t="str">
        <f>VLOOKUP(B71,[1]characters!$A:$M,13,FALSE)</f>
        <v>god</v>
      </c>
      <c r="N71" s="7">
        <f>VLOOKUP(B71,[1]characters!$A:$G,7,FALSE)</f>
        <v>0</v>
      </c>
      <c r="O71" s="31">
        <v>10</v>
      </c>
      <c r="P71" s="32">
        <f t="shared" ref="P71:P73" si="52">O71/SUM(O:O)</f>
        <v>1.3333333333333334E-2</v>
      </c>
      <c r="Q71" s="27">
        <v>1</v>
      </c>
      <c r="R71" s="27">
        <v>0</v>
      </c>
      <c r="S71" s="27">
        <v>0</v>
      </c>
      <c r="T71" s="27">
        <v>0</v>
      </c>
      <c r="U71" s="27">
        <v>0</v>
      </c>
      <c r="V71" s="27">
        <v>1</v>
      </c>
    </row>
    <row r="72" spans="1:22" ht="21" customHeight="1" x14ac:dyDescent="0.15">
      <c r="A72" s="2">
        <v>7226100</v>
      </c>
      <c r="B72" s="49">
        <v>1336</v>
      </c>
      <c r="C72" s="7" t="str">
        <f t="shared" si="50"/>
        <v>PremiumSS5R5only</v>
      </c>
      <c r="D72" s="7" t="str">
        <f t="shared" si="51"/>
        <v>PremiumSS</v>
      </c>
      <c r="E72" s="7" t="str">
        <f>IF(COUNTIF('R6追加前'!A:A,B72)=0,IF(OR(I72="PremiumSS",I72="PremiumSSw"),"R5only","R3less"),"")</f>
        <v>R5only</v>
      </c>
      <c r="F72" s="7" t="str">
        <f>IF(COUNTIF('R6開放'!A:A,B72)&gt;0,"R6release","")</f>
        <v/>
      </c>
      <c r="G72" s="7"/>
      <c r="H72" s="7" t="str">
        <f>VLOOKUP(B72,[1]characters!$A:$C,3,FALSE)</f>
        <v>イザナギ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blue</v>
      </c>
      <c r="L72" s="7" t="str">
        <f>VLOOKUP(B72,[1]characters!$A:$K,11,FALSE)</f>
        <v>technical</v>
      </c>
      <c r="M72" s="7" t="str">
        <f>VLOOKUP(B72,[1]characters!$A:$M,13,FALSE)</f>
        <v>god</v>
      </c>
      <c r="N72" s="7">
        <f>VLOOKUP(B72,[1]characters!$A:$G,7,FALSE)</f>
        <v>0</v>
      </c>
      <c r="O72" s="31">
        <v>10</v>
      </c>
      <c r="P72" s="32">
        <f t="shared" si="52"/>
        <v>1.3333333333333334E-2</v>
      </c>
      <c r="Q72" s="27">
        <v>1</v>
      </c>
      <c r="R72" s="27">
        <v>0</v>
      </c>
      <c r="S72" s="27">
        <v>0</v>
      </c>
      <c r="T72" s="27">
        <v>0</v>
      </c>
      <c r="U72" s="27">
        <v>0</v>
      </c>
      <c r="V72" s="27">
        <v>1</v>
      </c>
    </row>
    <row r="73" spans="1:22" ht="21" customHeight="1" x14ac:dyDescent="0.15">
      <c r="A73" s="2">
        <v>7226100</v>
      </c>
      <c r="B73" s="49">
        <v>1338</v>
      </c>
      <c r="C73" s="7" t="str">
        <f t="shared" si="50"/>
        <v>PremiumSS5R5only</v>
      </c>
      <c r="D73" s="7" t="str">
        <f t="shared" si="51"/>
        <v>PremiumSS</v>
      </c>
      <c r="E73" s="7" t="str">
        <f>IF(COUNTIF('R6追加前'!A:A,B73)=0,IF(OR(I73="PremiumSS",I73="PremiumSSw"),"R5only","R3less"),"")</f>
        <v>R5only</v>
      </c>
      <c r="F73" s="7" t="str">
        <f>IF(COUNTIF('R6開放'!A:A,B73)&gt;0,"R6release","")</f>
        <v/>
      </c>
      <c r="G73" s="7"/>
      <c r="H73" s="7" t="str">
        <f>VLOOKUP(B73,[1]characters!$A:$C,3,FALSE)</f>
        <v>アメノウズメ</v>
      </c>
      <c r="I73" s="7" t="str">
        <f>VLOOKUP(B73,[1]characters!$A:$J,10,FALSE)</f>
        <v>PremiumSS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attack</v>
      </c>
      <c r="M73" s="7" t="str">
        <f>VLOOKUP(B73,[1]characters!$A:$M,13,FALSE)</f>
        <v>god</v>
      </c>
      <c r="N73" s="7">
        <f>VLOOKUP(B73,[1]characters!$A:$G,7,FALSE)</f>
        <v>0</v>
      </c>
      <c r="O73" s="31">
        <v>10</v>
      </c>
      <c r="P73" s="32">
        <f t="shared" si="52"/>
        <v>1.3333333333333334E-2</v>
      </c>
      <c r="Q73" s="27">
        <v>1</v>
      </c>
      <c r="R73" s="27">
        <v>0</v>
      </c>
      <c r="S73" s="27">
        <v>0</v>
      </c>
      <c r="T73" s="27">
        <v>0</v>
      </c>
      <c r="U73" s="27">
        <v>0</v>
      </c>
      <c r="V73" s="27">
        <v>1</v>
      </c>
    </row>
    <row r="74" spans="1:22" ht="21" customHeight="1" x14ac:dyDescent="0.15">
      <c r="A74" s="2">
        <v>7226100</v>
      </c>
      <c r="B74" s="5">
        <v>1383</v>
      </c>
      <c r="C74" s="7" t="str">
        <f t="shared" ref="C74" si="53">D74&amp;J74&amp;E74&amp;F74&amp;G74</f>
        <v>PremiumSS5R5only</v>
      </c>
      <c r="D74" s="7" t="str">
        <f t="shared" ref="D74" si="54">IF(OR(I74="PremiumSS",I74="PremiumSSw"),"PremiumSS",IF(I74="PremiumSSS",I74,IF(I74="PremiumW",I74,"Premium")))</f>
        <v>PremiumSS</v>
      </c>
      <c r="E74" s="7" t="str">
        <f>IF(COUNTIF('R6追加前'!A:A,B74)=0,IF(OR(I74="PremiumSS",I74="PremiumSSw"),"R5only","R3less"),"")</f>
        <v>R5only</v>
      </c>
      <c r="F74" s="7" t="str">
        <f>IF(COUNTIF('R6開放'!A:A,B74)&gt;0,"R6release","")</f>
        <v/>
      </c>
      <c r="G74" s="7"/>
      <c r="H74" s="7" t="str">
        <f>VLOOKUP(B74,[1]characters!$A:$C,3,FALSE)</f>
        <v>シンドバッド</v>
      </c>
      <c r="I74" s="7" t="str">
        <f>VLOOKUP(B74,[1]characters!$A:$J,10,FALSE)</f>
        <v>PremiumSS</v>
      </c>
      <c r="J74" s="7">
        <f>VLOOKUP(B74,[1]characters!$A:$I,9,FALSE)</f>
        <v>5</v>
      </c>
      <c r="K74" s="7" t="str">
        <f>VLOOKUP(B74,[1]characters!$A:$H,8,FALSE)</f>
        <v>green</v>
      </c>
      <c r="L74" s="7" t="str">
        <f>VLOOKUP(B74,[1]characters!$A:$K,11,FALSE)</f>
        <v>technical</v>
      </c>
      <c r="M74" s="7" t="str">
        <f>VLOOKUP(B74,[1]characters!$A:$M,13,FALSE)</f>
        <v>hero</v>
      </c>
      <c r="N74" s="7">
        <f>VLOOKUP(B74,[1]characters!$A:$G,7,FALSE)</f>
        <v>0</v>
      </c>
      <c r="O74" s="31">
        <v>10</v>
      </c>
      <c r="P74" s="32">
        <f t="shared" ref="P74" si="55">O74/SUM(O:O)</f>
        <v>1.3333333333333334E-2</v>
      </c>
      <c r="Q74" s="27">
        <v>1</v>
      </c>
      <c r="R74" s="27">
        <v>0</v>
      </c>
      <c r="S74" s="27">
        <v>0</v>
      </c>
      <c r="T74" s="27">
        <v>0</v>
      </c>
      <c r="U74" s="27">
        <v>0</v>
      </c>
      <c r="V74" s="27">
        <v>1</v>
      </c>
    </row>
    <row r="75" spans="1:22" ht="21" customHeight="1" x14ac:dyDescent="0.15">
      <c r="A75" s="2">
        <v>7226100</v>
      </c>
      <c r="B75" s="5">
        <v>1385</v>
      </c>
      <c r="C75" s="7" t="str">
        <f t="shared" ref="C75:C76" si="56">D75&amp;J75&amp;E75&amp;F75&amp;G75</f>
        <v>PremiumSS5R5only</v>
      </c>
      <c r="D75" s="7" t="str">
        <f t="shared" ref="D75:D76" si="57">IF(OR(I75="PremiumSS",I75="PremiumSSw"),"PremiumSS",IF(I75="PremiumSSS",I75,IF(I75="PremiumW",I75,"Premium")))</f>
        <v>PremiumSS</v>
      </c>
      <c r="E75" s="7" t="str">
        <f>IF(COUNTIF('R6追加前'!A:A,B75)=0,IF(OR(I75="PremiumSS",I75="PremiumSSw"),"R5only","R3less"),"")</f>
        <v>R5only</v>
      </c>
      <c r="F75" s="7" t="str">
        <f>IF(COUNTIF('R6開放'!A:A,B75)&gt;0,"R6release","")</f>
        <v/>
      </c>
      <c r="G75" s="7"/>
      <c r="H75" s="7" t="str">
        <f>VLOOKUP(B75,[1]characters!$A:$C,3,FALSE)</f>
        <v>いばら姫</v>
      </c>
      <c r="I75" s="7" t="str">
        <f>VLOOKUP(B75,[1]characters!$A:$J,10,FALSE)</f>
        <v>PremiumSSw</v>
      </c>
      <c r="J75" s="7">
        <f>VLOOKUP(B75,[1]characters!$A:$I,9,FALSE)</f>
        <v>5</v>
      </c>
      <c r="K75" s="7" t="str">
        <f>VLOOKUP(B75,[1]characters!$A:$H,8,FALSE)</f>
        <v>blue</v>
      </c>
      <c r="L75" s="7" t="str">
        <f>VLOOKUP(B75,[1]characters!$A:$K,11,FALSE)</f>
        <v>attack</v>
      </c>
      <c r="M75" s="7" t="str">
        <f>VLOOKUP(B75,[1]characters!$A:$M,13,FALSE)</f>
        <v>fantasy</v>
      </c>
      <c r="N75" s="7">
        <f>VLOOKUP(B75,[1]characters!$A:$G,7,FALSE)</f>
        <v>0</v>
      </c>
      <c r="O75" s="31">
        <v>10</v>
      </c>
      <c r="P75" s="32">
        <f t="shared" ref="P75:P76" si="58">O75/SUM(O:O)</f>
        <v>1.3333333333333334E-2</v>
      </c>
      <c r="Q75" s="27">
        <v>1</v>
      </c>
      <c r="R75" s="27">
        <v>0</v>
      </c>
      <c r="S75" s="27">
        <v>0</v>
      </c>
      <c r="T75" s="27">
        <v>0</v>
      </c>
      <c r="U75" s="27">
        <v>0</v>
      </c>
      <c r="V75" s="27">
        <v>1</v>
      </c>
    </row>
    <row r="76" spans="1:22" ht="21" customHeight="1" x14ac:dyDescent="0.15">
      <c r="A76" s="2">
        <v>7226100</v>
      </c>
      <c r="B76" s="5">
        <v>1387</v>
      </c>
      <c r="C76" s="7" t="str">
        <f t="shared" si="56"/>
        <v>PremiumSS5R5only</v>
      </c>
      <c r="D76" s="7" t="str">
        <f t="shared" si="57"/>
        <v>PremiumSS</v>
      </c>
      <c r="E76" s="7" t="str">
        <f>IF(COUNTIF('R6追加前'!A:A,B76)=0,IF(OR(I76="PremiumSS",I76="PremiumSSw"),"R5only","R3less"),"")</f>
        <v>R5only</v>
      </c>
      <c r="F76" s="7" t="str">
        <f>IF(COUNTIF('R6開放'!A:A,B76)&gt;0,"R6release","")</f>
        <v/>
      </c>
      <c r="G76" s="7"/>
      <c r="H76" s="7" t="str">
        <f>VLOOKUP(B76,[1]characters!$A:$C,3,FALSE)</f>
        <v>ダルタニャン</v>
      </c>
      <c r="I76" s="7" t="str">
        <f>VLOOKUP(B76,[1]characters!$A:$J,10,FALSE)</f>
        <v>PremiumSS</v>
      </c>
      <c r="J76" s="7">
        <f>VLOOKUP(B76,[1]characters!$A:$I,9,FALSE)</f>
        <v>5</v>
      </c>
      <c r="K76" s="7" t="str">
        <f>VLOOKUP(B76,[1]characters!$A:$H,8,FALSE)</f>
        <v>yellow</v>
      </c>
      <c r="L76" s="7" t="str">
        <f>VLOOKUP(B76,[1]characters!$A:$K,11,FALSE)</f>
        <v>attack</v>
      </c>
      <c r="M76" s="7" t="str">
        <f>VLOOKUP(B76,[1]characters!$A:$M,13,FALSE)</f>
        <v>hero</v>
      </c>
      <c r="N76" s="7">
        <f>VLOOKUP(B76,[1]characters!$A:$G,7,FALSE)</f>
        <v>0</v>
      </c>
      <c r="O76" s="31">
        <v>10</v>
      </c>
      <c r="P76" s="32">
        <f t="shared" si="58"/>
        <v>1.3333333333333334E-2</v>
      </c>
      <c r="Q76" s="27">
        <v>1</v>
      </c>
      <c r="R76" s="27">
        <v>0</v>
      </c>
      <c r="S76" s="27">
        <v>0</v>
      </c>
      <c r="T76" s="27">
        <v>0</v>
      </c>
      <c r="U76" s="27">
        <v>0</v>
      </c>
      <c r="V76" s="27">
        <v>1</v>
      </c>
    </row>
    <row r="77" spans="1:22" ht="21" customHeight="1" x14ac:dyDescent="0.15">
      <c r="K77" s="1"/>
    </row>
    <row r="78" spans="1:22" ht="21" customHeight="1" x14ac:dyDescent="0.15">
      <c r="K78" s="1"/>
    </row>
    <row r="79" spans="1:22" ht="21" customHeight="1" x14ac:dyDescent="0.15">
      <c r="K79" s="1"/>
    </row>
    <row r="80" spans="1:22" ht="21" customHeight="1" x14ac:dyDescent="0.15">
      <c r="K80" s="1"/>
    </row>
    <row r="81" spans="11:11" ht="21" customHeight="1" x14ac:dyDescent="0.15">
      <c r="K81" s="1"/>
    </row>
    <row r="82" spans="11:11" ht="21" customHeight="1" x14ac:dyDescent="0.15">
      <c r="K82" s="1"/>
    </row>
    <row r="83" spans="11:11" ht="21" customHeight="1" x14ac:dyDescent="0.15">
      <c r="K83" s="1"/>
    </row>
    <row r="84" spans="11:11" ht="21" customHeight="1" x14ac:dyDescent="0.15">
      <c r="K84" s="1"/>
    </row>
    <row r="85" spans="11:11" ht="21" customHeight="1" x14ac:dyDescent="0.15">
      <c r="K85" s="1"/>
    </row>
    <row r="86" spans="11:11" ht="21" customHeight="1" x14ac:dyDescent="0.15">
      <c r="K86" s="1"/>
    </row>
    <row r="87" spans="11:11" ht="21" customHeight="1" x14ac:dyDescent="0.15">
      <c r="K87" s="1"/>
    </row>
    <row r="88" spans="11:11" ht="21" customHeight="1" x14ac:dyDescent="0.15">
      <c r="K88" s="1"/>
    </row>
    <row r="89" spans="11:11" ht="21" customHeight="1" x14ac:dyDescent="0.15">
      <c r="K89" s="1"/>
    </row>
    <row r="90" spans="11:11" ht="21" customHeight="1" x14ac:dyDescent="0.15">
      <c r="K90" s="1"/>
    </row>
    <row r="91" spans="11:11" ht="21" customHeight="1" x14ac:dyDescent="0.15">
      <c r="K91" s="1"/>
    </row>
    <row r="92" spans="11:11" ht="21" customHeight="1" x14ac:dyDescent="0.15">
      <c r="K92" s="1"/>
    </row>
    <row r="93" spans="11:11" ht="21" customHeight="1" x14ac:dyDescent="0.15">
      <c r="K93" s="1"/>
    </row>
    <row r="94" spans="11:11" ht="21" customHeight="1" x14ac:dyDescent="0.15">
      <c r="K94" s="1"/>
    </row>
    <row r="95" spans="11:11" ht="21" customHeight="1" x14ac:dyDescent="0.15">
      <c r="K95" s="1"/>
    </row>
    <row r="96" spans="11:11" ht="21" customHeight="1" x14ac:dyDescent="0.15">
      <c r="K96" s="1"/>
    </row>
    <row r="97" spans="11:11" ht="21" customHeight="1" x14ac:dyDescent="0.15">
      <c r="K97" s="1"/>
    </row>
    <row r="98" spans="11:11" ht="21" customHeight="1" x14ac:dyDescent="0.15">
      <c r="K98" s="1"/>
    </row>
    <row r="99" spans="11:11" ht="21" customHeight="1" x14ac:dyDescent="0.15">
      <c r="K99" s="1"/>
    </row>
    <row r="100" spans="11:11" ht="21" customHeight="1" x14ac:dyDescent="0.15">
      <c r="K100" s="1"/>
    </row>
    <row r="101" spans="11:11" ht="21" customHeight="1" x14ac:dyDescent="0.15">
      <c r="K101" s="1"/>
    </row>
    <row r="102" spans="11:11" ht="21" customHeight="1" x14ac:dyDescent="0.15">
      <c r="K102" s="1"/>
    </row>
    <row r="103" spans="11:11" ht="21" customHeight="1" x14ac:dyDescent="0.15">
      <c r="K103" s="1"/>
    </row>
    <row r="104" spans="11:11" ht="21" customHeight="1" x14ac:dyDescent="0.15">
      <c r="K104" s="1"/>
    </row>
    <row r="105" spans="11:11" ht="21" customHeight="1" x14ac:dyDescent="0.15">
      <c r="K105" s="1"/>
    </row>
    <row r="106" spans="11:11" ht="21" customHeight="1" x14ac:dyDescent="0.15">
      <c r="K106" s="1"/>
    </row>
    <row r="107" spans="11:11" ht="21" customHeight="1" x14ac:dyDescent="0.15">
      <c r="K107" s="1"/>
    </row>
    <row r="108" spans="11:11" ht="21" customHeight="1" x14ac:dyDescent="0.15">
      <c r="K108" s="1"/>
    </row>
    <row r="109" spans="11:11" ht="21" customHeight="1" x14ac:dyDescent="0.15">
      <c r="K109" s="1"/>
    </row>
    <row r="110" spans="11:11" ht="21" customHeight="1" x14ac:dyDescent="0.15">
      <c r="K110" s="1"/>
    </row>
    <row r="111" spans="11:11" ht="21" customHeight="1" x14ac:dyDescent="0.15">
      <c r="K111" s="1"/>
    </row>
    <row r="112" spans="11:11" ht="21" customHeight="1" x14ac:dyDescent="0.15">
      <c r="K112" s="1"/>
    </row>
    <row r="113" spans="11:11" ht="21" customHeight="1" x14ac:dyDescent="0.15">
      <c r="K113" s="1"/>
    </row>
    <row r="114" spans="11:11" ht="21" customHeight="1" x14ac:dyDescent="0.15">
      <c r="K114" s="1"/>
    </row>
    <row r="115" spans="11:11" ht="21" customHeight="1" x14ac:dyDescent="0.15">
      <c r="K115" s="1"/>
    </row>
    <row r="116" spans="11:11" ht="21" customHeight="1" x14ac:dyDescent="0.15">
      <c r="K116" s="1"/>
    </row>
    <row r="117" spans="11:11" ht="21" customHeight="1" x14ac:dyDescent="0.15">
      <c r="K117" s="1"/>
    </row>
    <row r="118" spans="11:11" ht="21" customHeight="1" x14ac:dyDescent="0.15">
      <c r="K118" s="1"/>
    </row>
    <row r="119" spans="11:11" ht="21" customHeight="1" x14ac:dyDescent="0.15">
      <c r="K119" s="1"/>
    </row>
    <row r="120" spans="11:11" ht="21" customHeight="1" x14ac:dyDescent="0.15">
      <c r="K120" s="1"/>
    </row>
    <row r="121" spans="11:11" ht="21" customHeight="1" x14ac:dyDescent="0.15">
      <c r="K121" s="1"/>
    </row>
    <row r="122" spans="11:11" ht="21" customHeight="1" x14ac:dyDescent="0.15">
      <c r="K122" s="1"/>
    </row>
    <row r="123" spans="11:11" ht="21" customHeight="1" x14ac:dyDescent="0.15">
      <c r="K123" s="1"/>
    </row>
    <row r="124" spans="11:11" ht="21" customHeight="1" x14ac:dyDescent="0.15">
      <c r="K124" s="1"/>
    </row>
    <row r="125" spans="11:11" ht="21" customHeight="1" x14ac:dyDescent="0.15">
      <c r="K125" s="1"/>
    </row>
    <row r="126" spans="11:11" ht="21" customHeight="1" x14ac:dyDescent="0.15">
      <c r="K126" s="1"/>
    </row>
    <row r="127" spans="11:11" ht="21" customHeight="1" x14ac:dyDescent="0.15">
      <c r="K127" s="1"/>
    </row>
    <row r="128" spans="11:11" ht="21" customHeight="1" x14ac:dyDescent="0.15">
      <c r="K128" s="1"/>
    </row>
    <row r="129" spans="11:11" ht="21" customHeight="1" x14ac:dyDescent="0.15">
      <c r="K129" s="1"/>
    </row>
    <row r="130" spans="11:11" ht="21" customHeight="1" x14ac:dyDescent="0.15">
      <c r="K130" s="1"/>
    </row>
    <row r="131" spans="11:11" ht="21" customHeight="1" x14ac:dyDescent="0.15">
      <c r="K131" s="1"/>
    </row>
    <row r="132" spans="11:11" ht="21" customHeight="1" x14ac:dyDescent="0.15">
      <c r="K132" s="1"/>
    </row>
    <row r="133" spans="11:11" ht="21" customHeight="1" x14ac:dyDescent="0.15">
      <c r="K133" s="1"/>
    </row>
    <row r="134" spans="11:11" ht="21" customHeight="1" x14ac:dyDescent="0.15">
      <c r="K134" s="1"/>
    </row>
    <row r="135" spans="11:11" ht="21" customHeight="1" x14ac:dyDescent="0.15">
      <c r="K135" s="1"/>
    </row>
    <row r="136" spans="11:11" ht="21" customHeight="1" x14ac:dyDescent="0.15">
      <c r="K136" s="1"/>
    </row>
    <row r="137" spans="11:11" ht="21" customHeight="1" x14ac:dyDescent="0.15">
      <c r="K137" s="1"/>
    </row>
    <row r="138" spans="11:11" ht="21" customHeight="1" x14ac:dyDescent="0.15">
      <c r="K138" s="1"/>
    </row>
    <row r="139" spans="11:11" ht="21" customHeight="1" x14ac:dyDescent="0.15">
      <c r="K139" s="1"/>
    </row>
    <row r="140" spans="11:11" ht="21" customHeight="1" x14ac:dyDescent="0.15">
      <c r="K140" s="1"/>
    </row>
    <row r="141" spans="11:11" ht="21" customHeight="1" x14ac:dyDescent="0.15">
      <c r="K141" s="1"/>
    </row>
    <row r="142" spans="11:11" ht="21" customHeight="1" x14ac:dyDescent="0.15">
      <c r="K142" s="1"/>
    </row>
    <row r="143" spans="11:11" ht="21" customHeight="1" x14ac:dyDescent="0.15">
      <c r="K143" s="1"/>
    </row>
    <row r="144" spans="11:11" ht="21" customHeight="1" x14ac:dyDescent="0.15">
      <c r="K144" s="1"/>
    </row>
    <row r="145" spans="11:11" ht="21" customHeight="1" x14ac:dyDescent="0.15">
      <c r="K145" s="1"/>
    </row>
    <row r="146" spans="11:11" ht="21" customHeight="1" x14ac:dyDescent="0.15">
      <c r="K146" s="1"/>
    </row>
    <row r="147" spans="11:11" ht="21" customHeight="1" x14ac:dyDescent="0.15">
      <c r="K147" s="1"/>
    </row>
    <row r="148" spans="11:11" ht="21" customHeight="1" x14ac:dyDescent="0.15">
      <c r="K148" s="1"/>
    </row>
    <row r="149" spans="11:11" ht="21" customHeight="1" x14ac:dyDescent="0.15">
      <c r="K149" s="1"/>
    </row>
    <row r="150" spans="11:11" ht="21" customHeight="1" x14ac:dyDescent="0.15">
      <c r="K150" s="1"/>
    </row>
    <row r="151" spans="11:11" ht="21" customHeight="1" x14ac:dyDescent="0.15">
      <c r="K151" s="1"/>
    </row>
    <row r="152" spans="11:11" ht="21" customHeight="1" x14ac:dyDescent="0.15">
      <c r="K152" s="1"/>
    </row>
    <row r="153" spans="11:11" ht="21" customHeight="1" x14ac:dyDescent="0.15">
      <c r="K153" s="1"/>
    </row>
    <row r="154" spans="11:11" ht="21" customHeight="1" x14ac:dyDescent="0.15">
      <c r="K154" s="1"/>
    </row>
    <row r="155" spans="11:11" ht="21" customHeight="1" x14ac:dyDescent="0.15">
      <c r="K155" s="1"/>
    </row>
    <row r="156" spans="11:11" ht="21" customHeight="1" x14ac:dyDescent="0.15">
      <c r="K156" s="1"/>
    </row>
    <row r="157" spans="11:11" ht="21" customHeight="1" x14ac:dyDescent="0.15">
      <c r="K157" s="1"/>
    </row>
    <row r="158" spans="11:11" ht="21" customHeight="1" x14ac:dyDescent="0.15">
      <c r="K158" s="1"/>
    </row>
    <row r="159" spans="11:11" ht="21" customHeight="1" x14ac:dyDescent="0.15">
      <c r="K159" s="1"/>
    </row>
    <row r="160" spans="11:11" ht="21" customHeight="1" x14ac:dyDescent="0.15">
      <c r="K160" s="1"/>
    </row>
    <row r="161" spans="11:11" ht="21" customHeight="1" x14ac:dyDescent="0.15">
      <c r="K161" s="1"/>
    </row>
    <row r="162" spans="11:11" ht="21" customHeight="1" x14ac:dyDescent="0.15">
      <c r="K162" s="1"/>
    </row>
    <row r="163" spans="11:11" ht="21" customHeight="1" x14ac:dyDescent="0.15">
      <c r="K163" s="1"/>
    </row>
    <row r="164" spans="11:11" ht="21" customHeight="1" x14ac:dyDescent="0.15">
      <c r="K164" s="1"/>
    </row>
    <row r="165" spans="11:11" ht="21" customHeight="1" x14ac:dyDescent="0.15">
      <c r="K165" s="1"/>
    </row>
    <row r="166" spans="11:11" ht="21" customHeight="1" x14ac:dyDescent="0.15">
      <c r="K166" s="1"/>
    </row>
    <row r="167" spans="11:11" ht="21" customHeight="1" x14ac:dyDescent="0.15">
      <c r="K167" s="1"/>
    </row>
    <row r="168" spans="11:11" ht="21" customHeight="1" x14ac:dyDescent="0.15">
      <c r="K168" s="1"/>
    </row>
    <row r="169" spans="11:11" ht="21" customHeight="1" x14ac:dyDescent="0.15">
      <c r="K169" s="1"/>
    </row>
    <row r="170" spans="11:11" ht="21" customHeight="1" x14ac:dyDescent="0.15">
      <c r="K170" s="1"/>
    </row>
    <row r="171" spans="11:11" ht="21" customHeight="1" x14ac:dyDescent="0.15">
      <c r="K171" s="1"/>
    </row>
    <row r="172" spans="11:11" ht="21" customHeight="1" x14ac:dyDescent="0.15">
      <c r="K172" s="1"/>
    </row>
    <row r="173" spans="11:11" ht="21" customHeight="1" x14ac:dyDescent="0.15">
      <c r="K173" s="1"/>
    </row>
    <row r="174" spans="11:11" ht="21" customHeight="1" x14ac:dyDescent="0.15">
      <c r="K174" s="1"/>
    </row>
    <row r="175" spans="11:11" ht="21" customHeight="1" x14ac:dyDescent="0.15">
      <c r="K175" s="1"/>
    </row>
    <row r="176" spans="11:11" ht="21" customHeight="1" x14ac:dyDescent="0.15">
      <c r="K176" s="1"/>
    </row>
    <row r="177" spans="11:11" ht="21" customHeight="1" x14ac:dyDescent="0.15">
      <c r="K177" s="1"/>
    </row>
    <row r="178" spans="11:11" ht="21" customHeight="1" x14ac:dyDescent="0.15">
      <c r="K178" s="1"/>
    </row>
    <row r="179" spans="11:11" ht="21" customHeight="1" x14ac:dyDescent="0.15">
      <c r="K179" s="1"/>
    </row>
    <row r="180" spans="11:11" ht="21" customHeight="1" x14ac:dyDescent="0.15">
      <c r="K180" s="1"/>
    </row>
    <row r="181" spans="11:11" ht="21" customHeight="1" x14ac:dyDescent="0.15">
      <c r="K181" s="1"/>
    </row>
    <row r="182" spans="11:11" ht="21" customHeight="1" x14ac:dyDescent="0.15">
      <c r="K182" s="1"/>
    </row>
    <row r="183" spans="11:11" ht="21" customHeight="1" x14ac:dyDescent="0.15">
      <c r="K183" s="1"/>
    </row>
    <row r="184" spans="11:11" ht="21" customHeight="1" x14ac:dyDescent="0.15">
      <c r="K184" s="1"/>
    </row>
    <row r="185" spans="11:11" ht="21" customHeight="1" x14ac:dyDescent="0.15">
      <c r="K185" s="1"/>
    </row>
    <row r="186" spans="11:11" ht="21" customHeight="1" x14ac:dyDescent="0.15">
      <c r="K186" s="1"/>
    </row>
    <row r="187" spans="11:11" ht="21" customHeight="1" x14ac:dyDescent="0.15">
      <c r="K187" s="1"/>
    </row>
    <row r="188" spans="11:11" ht="21" customHeight="1" x14ac:dyDescent="0.15">
      <c r="K188" s="1"/>
    </row>
    <row r="189" spans="11:11" ht="21" customHeight="1" x14ac:dyDescent="0.15">
      <c r="K189" s="1"/>
    </row>
    <row r="190" spans="11:11" ht="21" customHeight="1" x14ac:dyDescent="0.15">
      <c r="K190" s="1"/>
    </row>
    <row r="191" spans="11:11" ht="21" customHeight="1" x14ac:dyDescent="0.15">
      <c r="K191" s="1"/>
    </row>
    <row r="192" spans="11:11" ht="21" customHeight="1" x14ac:dyDescent="0.15">
      <c r="K192" s="1"/>
    </row>
    <row r="193" spans="11:11" ht="21" customHeight="1" x14ac:dyDescent="0.15">
      <c r="K193" s="1"/>
    </row>
    <row r="194" spans="11:11" ht="21" customHeight="1" x14ac:dyDescent="0.15">
      <c r="K194" s="1"/>
    </row>
    <row r="195" spans="11:11" ht="21" customHeight="1" x14ac:dyDescent="0.15">
      <c r="K195" s="1"/>
    </row>
    <row r="196" spans="11:11" ht="21" customHeight="1" x14ac:dyDescent="0.15">
      <c r="K196" s="1"/>
    </row>
    <row r="197" spans="11:11" ht="21" customHeight="1" x14ac:dyDescent="0.15">
      <c r="K197" s="1"/>
    </row>
    <row r="198" spans="11:11" ht="21" customHeight="1" x14ac:dyDescent="0.15">
      <c r="K198" s="1"/>
    </row>
    <row r="199" spans="11:11" ht="21" customHeight="1" x14ac:dyDescent="0.15">
      <c r="K199" s="1"/>
    </row>
    <row r="200" spans="11:11" ht="21" customHeight="1" x14ac:dyDescent="0.15">
      <c r="K200" s="1"/>
    </row>
    <row r="201" spans="11:11" ht="21" customHeight="1" x14ac:dyDescent="0.15">
      <c r="K201" s="1"/>
    </row>
    <row r="202" spans="11:11" ht="21" customHeight="1" x14ac:dyDescent="0.15">
      <c r="K202" s="1"/>
    </row>
    <row r="203" spans="11:11" ht="21" customHeight="1" x14ac:dyDescent="0.15">
      <c r="K203" s="1"/>
    </row>
    <row r="204" spans="11:11" ht="21" customHeight="1" x14ac:dyDescent="0.15">
      <c r="K204" s="1"/>
    </row>
    <row r="205" spans="11:11" ht="21" customHeight="1" x14ac:dyDescent="0.15">
      <c r="K205" s="1"/>
    </row>
    <row r="206" spans="11:11" ht="21" customHeight="1" x14ac:dyDescent="0.15">
      <c r="K206" s="1"/>
    </row>
    <row r="207" spans="11:11" ht="21" customHeight="1" x14ac:dyDescent="0.15">
      <c r="K207" s="1"/>
    </row>
    <row r="208" spans="11:11" ht="21" customHeight="1" x14ac:dyDescent="0.15">
      <c r="K208" s="1"/>
    </row>
    <row r="209" spans="11:11" ht="21" customHeight="1" x14ac:dyDescent="0.15">
      <c r="K209" s="1"/>
    </row>
    <row r="210" spans="11:11" ht="21" customHeight="1" x14ac:dyDescent="0.15">
      <c r="K210" s="1"/>
    </row>
    <row r="211" spans="11:11" ht="21" customHeight="1" x14ac:dyDescent="0.15">
      <c r="K211" s="1"/>
    </row>
    <row r="212" spans="11:11" ht="21" customHeight="1" x14ac:dyDescent="0.15">
      <c r="K212" s="1"/>
    </row>
    <row r="213" spans="11:11" ht="21" customHeight="1" x14ac:dyDescent="0.15">
      <c r="K213" s="1"/>
    </row>
    <row r="214" spans="11:11" ht="21" customHeight="1" x14ac:dyDescent="0.15">
      <c r="K214" s="1"/>
    </row>
    <row r="215" spans="11:11" ht="21" customHeight="1" x14ac:dyDescent="0.15">
      <c r="K215" s="1"/>
    </row>
    <row r="216" spans="11:11" ht="21" customHeight="1" x14ac:dyDescent="0.15">
      <c r="K216" s="1"/>
    </row>
    <row r="217" spans="11:11" ht="21" customHeight="1" x14ac:dyDescent="0.15">
      <c r="K217" s="1"/>
    </row>
    <row r="218" spans="11:11" ht="21" customHeight="1" x14ac:dyDescent="0.15">
      <c r="K218" s="1"/>
    </row>
    <row r="219" spans="11:11" ht="21" customHeight="1" x14ac:dyDescent="0.15">
      <c r="K219" s="1"/>
    </row>
    <row r="220" spans="11:11" ht="21" customHeight="1" x14ac:dyDescent="0.15">
      <c r="K220" s="1"/>
    </row>
    <row r="221" spans="11:11" ht="21" customHeight="1" x14ac:dyDescent="0.15">
      <c r="K221" s="1"/>
    </row>
    <row r="222" spans="11:11" ht="21" customHeight="1" x14ac:dyDescent="0.15">
      <c r="K222" s="1"/>
    </row>
    <row r="223" spans="11:11" ht="21" customHeight="1" x14ac:dyDescent="0.15">
      <c r="K223" s="1"/>
    </row>
    <row r="224" spans="11:11" ht="21" customHeight="1" x14ac:dyDescent="0.15">
      <c r="K224" s="1"/>
    </row>
    <row r="225" spans="11:11" ht="21" customHeight="1" x14ac:dyDescent="0.15">
      <c r="K225" s="1"/>
    </row>
    <row r="226" spans="11:11" ht="21" customHeight="1" x14ac:dyDescent="0.15">
      <c r="K226" s="1"/>
    </row>
    <row r="227" spans="11:11" ht="21" customHeight="1" x14ac:dyDescent="0.15">
      <c r="K227" s="1"/>
    </row>
    <row r="228" spans="11:11" ht="21" customHeight="1" x14ac:dyDescent="0.15">
      <c r="K228" s="1"/>
    </row>
    <row r="229" spans="11:11" ht="21" customHeight="1" x14ac:dyDescent="0.15">
      <c r="K229" s="1"/>
    </row>
    <row r="230" spans="11:11" ht="21" customHeight="1" x14ac:dyDescent="0.15">
      <c r="K230" s="1"/>
    </row>
    <row r="231" spans="11:11" ht="21" customHeight="1" x14ac:dyDescent="0.15">
      <c r="K231" s="1"/>
    </row>
    <row r="232" spans="11:11" ht="21" customHeight="1" x14ac:dyDescent="0.15">
      <c r="K232" s="1"/>
    </row>
    <row r="233" spans="11:11" ht="21" customHeight="1" x14ac:dyDescent="0.15">
      <c r="K233" s="1"/>
    </row>
    <row r="234" spans="11:11" ht="21" customHeight="1" x14ac:dyDescent="0.15">
      <c r="K234" s="1"/>
    </row>
    <row r="235" spans="11:11" ht="21" customHeight="1" x14ac:dyDescent="0.15">
      <c r="K235" s="1"/>
    </row>
    <row r="236" spans="11:11" ht="21" customHeight="1" x14ac:dyDescent="0.15">
      <c r="K236" s="1"/>
    </row>
    <row r="237" spans="11:11" ht="21" customHeight="1" x14ac:dyDescent="0.15">
      <c r="K237" s="1"/>
    </row>
    <row r="238" spans="11:11" ht="21" customHeight="1" x14ac:dyDescent="0.15">
      <c r="K238" s="1"/>
    </row>
    <row r="239" spans="11:11" ht="21" customHeight="1" x14ac:dyDescent="0.15">
      <c r="K239" s="1"/>
    </row>
    <row r="240" spans="11:11" ht="21" customHeight="1" x14ac:dyDescent="0.15">
      <c r="K240" s="1"/>
    </row>
    <row r="241" spans="11:11" ht="21" customHeight="1" x14ac:dyDescent="0.15">
      <c r="K241" s="1"/>
    </row>
    <row r="242" spans="11:11" ht="21" customHeight="1" x14ac:dyDescent="0.15">
      <c r="K242" s="1"/>
    </row>
    <row r="243" spans="11:11" ht="21" customHeight="1" x14ac:dyDescent="0.15">
      <c r="K243" s="1"/>
    </row>
    <row r="244" spans="11:11" ht="21" customHeight="1" x14ac:dyDescent="0.15">
      <c r="K244" s="1"/>
    </row>
    <row r="245" spans="11:11" ht="21" customHeight="1" x14ac:dyDescent="0.15">
      <c r="K245" s="1"/>
    </row>
    <row r="246" spans="11:11" ht="21" customHeight="1" x14ac:dyDescent="0.15">
      <c r="K246" s="1"/>
    </row>
    <row r="247" spans="11:11" ht="21" customHeight="1" x14ac:dyDescent="0.15">
      <c r="K247" s="1"/>
    </row>
    <row r="248" spans="11:11" ht="21" customHeight="1" x14ac:dyDescent="0.15">
      <c r="K248" s="1"/>
    </row>
    <row r="249" spans="11:11" ht="21" customHeight="1" x14ac:dyDescent="0.15">
      <c r="K249" s="1"/>
    </row>
    <row r="250" spans="11:11" ht="21" customHeight="1" x14ac:dyDescent="0.15">
      <c r="K250" s="1"/>
    </row>
    <row r="251" spans="11:11" ht="21" customHeight="1" x14ac:dyDescent="0.15">
      <c r="K251" s="1"/>
    </row>
    <row r="252" spans="11:11" ht="21" customHeight="1" x14ac:dyDescent="0.15">
      <c r="K252" s="1"/>
    </row>
    <row r="253" spans="11:11" ht="21" customHeight="1" x14ac:dyDescent="0.15">
      <c r="K253" s="1"/>
    </row>
    <row r="254" spans="11:11" ht="21" customHeight="1" x14ac:dyDescent="0.15">
      <c r="K254" s="1"/>
    </row>
    <row r="255" spans="11:11" ht="21" customHeight="1" x14ac:dyDescent="0.15">
      <c r="K255" s="1"/>
    </row>
    <row r="256" spans="11:11" ht="21" customHeight="1" x14ac:dyDescent="0.15">
      <c r="K256" s="1"/>
    </row>
    <row r="257" spans="11:11" ht="21" customHeight="1" x14ac:dyDescent="0.15">
      <c r="K257" s="1"/>
    </row>
    <row r="258" spans="11:11" ht="21" customHeight="1" x14ac:dyDescent="0.15">
      <c r="K258" s="1"/>
    </row>
    <row r="259" spans="11:11" ht="21" customHeight="1" x14ac:dyDescent="0.15">
      <c r="K259" s="1"/>
    </row>
    <row r="260" spans="11:11" ht="21" customHeight="1" x14ac:dyDescent="0.15">
      <c r="K260" s="1"/>
    </row>
    <row r="261" spans="11:11" ht="21" customHeight="1" x14ac:dyDescent="0.15">
      <c r="K261" s="1"/>
    </row>
    <row r="262" spans="11:11" ht="21" customHeight="1" x14ac:dyDescent="0.15">
      <c r="K262" s="1"/>
    </row>
    <row r="263" spans="11:11" ht="21" customHeight="1" x14ac:dyDescent="0.15">
      <c r="K263" s="1"/>
    </row>
    <row r="264" spans="11:11" ht="21" customHeight="1" x14ac:dyDescent="0.15">
      <c r="K264" s="1"/>
    </row>
    <row r="265" spans="11:11" ht="21" customHeight="1" x14ac:dyDescent="0.15">
      <c r="K265" s="1"/>
    </row>
    <row r="266" spans="11:11" ht="21" customHeight="1" x14ac:dyDescent="0.15">
      <c r="K266" s="1"/>
    </row>
    <row r="267" spans="11:11" ht="21" customHeight="1" x14ac:dyDescent="0.15">
      <c r="K267" s="1"/>
    </row>
    <row r="268" spans="11:11" ht="21" customHeight="1" x14ac:dyDescent="0.15">
      <c r="K268" s="1"/>
    </row>
    <row r="269" spans="11:11" ht="21" customHeight="1" x14ac:dyDescent="0.15">
      <c r="K269" s="1"/>
    </row>
    <row r="270" spans="11:11" ht="21" customHeight="1" x14ac:dyDescent="0.15">
      <c r="K270" s="1"/>
    </row>
    <row r="271" spans="11:11" ht="21" customHeight="1" x14ac:dyDescent="0.15">
      <c r="K271" s="1"/>
    </row>
    <row r="272" spans="11:11" ht="21" customHeight="1" x14ac:dyDescent="0.15">
      <c r="K272" s="1"/>
    </row>
    <row r="273" spans="11:11" ht="21" customHeight="1" x14ac:dyDescent="0.15">
      <c r="K273" s="1"/>
    </row>
    <row r="274" spans="11:11" ht="21" customHeight="1" x14ac:dyDescent="0.15">
      <c r="K274" s="1"/>
    </row>
    <row r="275" spans="11:11" ht="21" customHeight="1" x14ac:dyDescent="0.15">
      <c r="K275" s="1"/>
    </row>
    <row r="276" spans="11:11" ht="21" customHeight="1" x14ac:dyDescent="0.15">
      <c r="K276" s="1"/>
    </row>
    <row r="277" spans="11:11" ht="21" customHeight="1" x14ac:dyDescent="0.15">
      <c r="K277" s="1"/>
    </row>
    <row r="278" spans="11:11" ht="21" customHeight="1" x14ac:dyDescent="0.15">
      <c r="K278" s="1"/>
    </row>
    <row r="279" spans="11:11" ht="21" customHeight="1" x14ac:dyDescent="0.15">
      <c r="K279" s="1"/>
    </row>
    <row r="280" spans="11:11" ht="21" customHeight="1" x14ac:dyDescent="0.15">
      <c r="K280" s="1"/>
    </row>
  </sheetData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2" t="s">
        <v>23</v>
      </c>
      <c r="B1" s="3" t="s">
        <v>24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36">
        <v>668</v>
      </c>
      <c r="B246" s="7" t="str">
        <f>VLOOKUP(A246,[1]characters!$A:$C,3,FALSE)</f>
        <v>アグニ</v>
      </c>
    </row>
    <row r="247" spans="1:2" x14ac:dyDescent="0.15">
      <c r="A247" s="36">
        <v>669</v>
      </c>
      <c r="B247" s="7" t="str">
        <f>VLOOKUP(A247,[1]characters!$A:$C,3,FALSE)</f>
        <v>天地の仲界 アグニ</v>
      </c>
    </row>
    <row r="248" spans="1:2" x14ac:dyDescent="0.15">
      <c r="A248" s="36">
        <v>670</v>
      </c>
      <c r="B248" s="7" t="str">
        <f>VLOOKUP(A248,[1]characters!$A:$C,3,FALSE)</f>
        <v>陽天の噴煙 アグニ</v>
      </c>
    </row>
    <row r="249" spans="1:2" x14ac:dyDescent="0.15">
      <c r="A249" s="36">
        <v>671</v>
      </c>
      <c r="B249" s="7" t="str">
        <f>VLOOKUP(A249,[1]characters!$A:$C,3,FALSE)</f>
        <v>ハヌマーン</v>
      </c>
    </row>
    <row r="250" spans="1:2" x14ac:dyDescent="0.15">
      <c r="A250" s="36">
        <v>672</v>
      </c>
      <c r="B250" s="7" t="str">
        <f>VLOOKUP(A250,[1]characters!$A:$C,3,FALSE)</f>
        <v>西遊韋駄天 ハヌマーン</v>
      </c>
    </row>
    <row r="251" spans="1:2" x14ac:dyDescent="0.15">
      <c r="A251" s="36">
        <v>673</v>
      </c>
      <c r="B251" s="7" t="str">
        <f>VLOOKUP(A251,[1]characters!$A:$C,3,FALSE)</f>
        <v>変幻自在の猿王 ハヌマーン</v>
      </c>
    </row>
    <row r="252" spans="1:2" x14ac:dyDescent="0.15">
      <c r="A252" s="36">
        <v>674</v>
      </c>
      <c r="B252" s="7" t="str">
        <f>VLOOKUP(A252,[1]characters!$A:$C,3,FALSE)</f>
        <v>サラスヴァティ</v>
      </c>
    </row>
    <row r="253" spans="1:2" x14ac:dyDescent="0.15">
      <c r="A253" s="36">
        <v>675</v>
      </c>
      <c r="B253" s="7" t="str">
        <f>VLOOKUP(A253,[1]characters!$A:$C,3,FALSE)</f>
        <v>芸楽の奔流 サラスヴァティ</v>
      </c>
    </row>
    <row r="254" spans="1:2" x14ac:dyDescent="0.15">
      <c r="A254" s="36">
        <v>676</v>
      </c>
      <c r="B254" s="7" t="str">
        <f>VLOOKUP(A254,[1]characters!$A:$C,3,FALSE)</f>
        <v>ヴィシュヌ</v>
      </c>
    </row>
    <row r="255" spans="1:2" x14ac:dyDescent="0.15">
      <c r="A255" s="36">
        <v>677</v>
      </c>
      <c r="B255" s="7" t="str">
        <f>VLOOKUP(A255,[1]characters!$A:$C,3,FALSE)</f>
        <v>武遊闊歩 ヴィシュヌ</v>
      </c>
    </row>
    <row r="256" spans="1:2" x14ac:dyDescent="0.15">
      <c r="A256" s="36">
        <v>770</v>
      </c>
      <c r="B256" s="7" t="str">
        <f>VLOOKUP(A256,[1]characters!$A:$C,3,FALSE)</f>
        <v>ハヅル</v>
      </c>
    </row>
    <row r="257" spans="1:2" x14ac:dyDescent="0.15">
      <c r="A257" s="36">
        <v>771</v>
      </c>
      <c r="B257" s="7" t="str">
        <f>VLOOKUP(A257,[1]characters!$A:$C,3,FALSE)</f>
        <v>天織羽鶴 ハヅル</v>
      </c>
    </row>
    <row r="258" spans="1:2" x14ac:dyDescent="0.15">
      <c r="A258" s="36">
        <v>772</v>
      </c>
      <c r="B258" s="7" t="str">
        <f>VLOOKUP(A258,[1]characters!$A:$C,3,FALSE)</f>
        <v>イナバ</v>
      </c>
    </row>
    <row r="259" spans="1:2" x14ac:dyDescent="0.15">
      <c r="A259" s="36">
        <v>773</v>
      </c>
      <c r="B259" s="7" t="str">
        <f>VLOOKUP(A259,[1]characters!$A:$C,3,FALSE)</f>
        <v>浮跳天兎 イナバ</v>
      </c>
    </row>
    <row r="260" spans="1:2" x14ac:dyDescent="0.15">
      <c r="A260" s="36">
        <v>774</v>
      </c>
      <c r="B260" s="7" t="str">
        <f>VLOOKUP(A260,[1]characters!$A:$C,3,FALSE)</f>
        <v>ミズチ</v>
      </c>
    </row>
    <row r="261" spans="1:2" x14ac:dyDescent="0.15">
      <c r="A261" s="36">
        <v>775</v>
      </c>
      <c r="B261" s="7" t="str">
        <f>VLOOKUP(A261,[1]characters!$A:$C,3,FALSE)</f>
        <v>水底霊竜 ミズチ</v>
      </c>
    </row>
    <row r="262" spans="1:2" x14ac:dyDescent="0.15">
      <c r="A262" s="36">
        <v>776</v>
      </c>
      <c r="B262" s="7" t="str">
        <f>VLOOKUP(A262,[1]characters!$A:$C,3,FALSE)</f>
        <v>水竜底主 ミズチ</v>
      </c>
    </row>
    <row r="263" spans="1:2" x14ac:dyDescent="0.15">
      <c r="A263" s="36">
        <v>777</v>
      </c>
      <c r="B263" s="7" t="str">
        <f>VLOOKUP(A263,[1]characters!$A:$C,3,FALSE)</f>
        <v>ガメック</v>
      </c>
    </row>
    <row r="264" spans="1:2" x14ac:dyDescent="0.15">
      <c r="A264" s="36">
        <v>778</v>
      </c>
      <c r="B264" s="7" t="str">
        <f>VLOOKUP(A264,[1]characters!$A:$C,3,FALSE)</f>
        <v>一亀懸明 ガメック</v>
      </c>
    </row>
    <row r="265" spans="1:2" x14ac:dyDescent="0.15">
      <c r="A265" s="36">
        <v>779</v>
      </c>
      <c r="B265" s="7" t="str">
        <f>VLOOKUP(A265,[1]characters!$A:$C,3,FALSE)</f>
        <v>頑堅咬亀 ガメック</v>
      </c>
    </row>
    <row r="266" spans="1:2" x14ac:dyDescent="0.15">
      <c r="A266" s="36">
        <v>779</v>
      </c>
      <c r="B266" s="7" t="str">
        <f>VLOOKUP(A266,[1]characters!$A:$C,3,FALSE)</f>
        <v>頑堅咬亀 ガメック</v>
      </c>
    </row>
  </sheetData>
  <phoneticPr fontId="17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0" t="s">
        <v>39</v>
      </c>
      <c r="B1" s="30"/>
    </row>
    <row r="2" spans="1:2" x14ac:dyDescent="0.15">
      <c r="A2" s="28" t="s">
        <v>1</v>
      </c>
      <c r="B2" s="29" t="s">
        <v>41</v>
      </c>
    </row>
    <row r="3" spans="1:2" x14ac:dyDescent="0.15">
      <c r="A3" s="6">
        <v>166</v>
      </c>
      <c r="B3" s="29" t="str">
        <f>VLOOKUP(A3,[1]characters!$A:$C,3,FALSE)</f>
        <v>ベリアル</v>
      </c>
    </row>
    <row r="4" spans="1:2" x14ac:dyDescent="0.15">
      <c r="A4" s="6">
        <v>167</v>
      </c>
      <c r="B4" s="29" t="str">
        <f>VLOOKUP(A4,[1]characters!$A:$C,3,FALSE)</f>
        <v>逆徒 ベリアル</v>
      </c>
    </row>
    <row r="5" spans="1:2" x14ac:dyDescent="0.15">
      <c r="A5" s="6">
        <v>168</v>
      </c>
      <c r="B5" s="29" t="str">
        <f>VLOOKUP(A5,[1]characters!$A:$C,3,FALSE)</f>
        <v>猛進の大逆者 ベリアル</v>
      </c>
    </row>
    <row r="6" spans="1:2" x14ac:dyDescent="0.15">
      <c r="A6" s="28">
        <v>169</v>
      </c>
      <c r="B6" s="29" t="str">
        <f>VLOOKUP(A6,[1]characters!$A:$C,3,FALSE)</f>
        <v>オセ</v>
      </c>
    </row>
    <row r="7" spans="1:2" x14ac:dyDescent="0.15">
      <c r="A7" s="28">
        <v>170</v>
      </c>
      <c r="B7" s="29" t="str">
        <f>VLOOKUP(A7,[1]characters!$A:$C,3,FALSE)</f>
        <v>識徒 オセ</v>
      </c>
    </row>
    <row r="8" spans="1:2" x14ac:dyDescent="0.15">
      <c r="A8" s="28">
        <v>171</v>
      </c>
      <c r="B8" s="29" t="str">
        <f>VLOOKUP(A8,[1]characters!$A:$C,3,FALSE)</f>
        <v>精解の預知者 オセ</v>
      </c>
    </row>
    <row r="9" spans="1:2" x14ac:dyDescent="0.15">
      <c r="A9" s="28">
        <v>172</v>
      </c>
      <c r="B9" s="29" t="str">
        <f>VLOOKUP(A9,[1]characters!$A:$C,3,FALSE)</f>
        <v>フォルネウス</v>
      </c>
    </row>
    <row r="10" spans="1:2" x14ac:dyDescent="0.15">
      <c r="A10" s="28">
        <v>173</v>
      </c>
      <c r="B10" s="29" t="str">
        <f>VLOOKUP(A10,[1]characters!$A:$C,3,FALSE)</f>
        <v>公爵 フォルネウス</v>
      </c>
    </row>
    <row r="11" spans="1:2" x14ac:dyDescent="0.15">
      <c r="A11" s="28">
        <v>174</v>
      </c>
      <c r="B11" s="29" t="str">
        <f>VLOOKUP(A11,[1]characters!$A:$C,3,FALSE)</f>
        <v>偽愛の大公爵 フォルネウス</v>
      </c>
    </row>
    <row r="12" spans="1:2" x14ac:dyDescent="0.15">
      <c r="A12" s="28">
        <v>235</v>
      </c>
      <c r="B12" s="29" t="str">
        <f>VLOOKUP(A12,[1]characters!$A:$C,3,FALSE)</f>
        <v>イザナミ</v>
      </c>
    </row>
    <row r="13" spans="1:2" x14ac:dyDescent="0.15">
      <c r="A13" s="28">
        <v>236</v>
      </c>
      <c r="B13" s="29" t="str">
        <f>VLOOKUP(A13,[1]characters!$A:$C,3,FALSE)</f>
        <v>神産 イザナミ</v>
      </c>
    </row>
    <row r="14" spans="1:2" x14ac:dyDescent="0.15">
      <c r="A14" s="28">
        <v>237</v>
      </c>
      <c r="B14" s="29" t="str">
        <f>VLOOKUP(A14,[1]characters!$A:$C,3,FALSE)</f>
        <v>森羅万象の神母 イザナミ</v>
      </c>
    </row>
  </sheetData>
  <phoneticPr fontId="1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確率の考え方</vt:lpstr>
      <vt:lpstr>Sheet1</vt:lpstr>
      <vt:lpstr>output</vt:lpstr>
      <vt:lpstr>tables_7226100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2017-05-01T07:56:45Z</dcterms:modified>
</cp:coreProperties>
</file>