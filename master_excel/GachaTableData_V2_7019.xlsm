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tables_settle_7019100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tables_settle_7019100!$A$1:$V$134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31" l="1"/>
  <c r="D3" i="131"/>
  <c r="O3" i="131"/>
  <c r="I4" i="131"/>
  <c r="D4" i="131"/>
  <c r="O4" i="131"/>
  <c r="I5" i="131"/>
  <c r="D5" i="131"/>
  <c r="O5" i="131"/>
  <c r="I6" i="131"/>
  <c r="D6" i="131"/>
  <c r="O6" i="131"/>
  <c r="I7" i="131"/>
  <c r="D7" i="131"/>
  <c r="O7" i="131"/>
  <c r="I8" i="131"/>
  <c r="D8" i="131"/>
  <c r="O8" i="131"/>
  <c r="I9" i="131"/>
  <c r="D9" i="131"/>
  <c r="O9" i="131"/>
  <c r="I10" i="131"/>
  <c r="D10" i="131"/>
  <c r="O10" i="131"/>
  <c r="I11" i="131"/>
  <c r="D11" i="131"/>
  <c r="O11" i="131"/>
  <c r="I12" i="131"/>
  <c r="D12" i="131"/>
  <c r="O12" i="131"/>
  <c r="I13" i="131"/>
  <c r="D13" i="131"/>
  <c r="O13" i="131"/>
  <c r="I14" i="131"/>
  <c r="D14" i="131"/>
  <c r="O14" i="131"/>
  <c r="I15" i="131"/>
  <c r="D15" i="131"/>
  <c r="O15" i="131"/>
  <c r="I16" i="131"/>
  <c r="D16" i="131"/>
  <c r="O16" i="131"/>
  <c r="I17" i="131"/>
  <c r="D17" i="131"/>
  <c r="O17" i="131"/>
  <c r="I18" i="131"/>
  <c r="D18" i="131"/>
  <c r="O18" i="131"/>
  <c r="I19" i="131"/>
  <c r="D19" i="131"/>
  <c r="O19" i="131"/>
  <c r="I20" i="131"/>
  <c r="D20" i="131"/>
  <c r="O20" i="131"/>
  <c r="I21" i="131"/>
  <c r="D21" i="131"/>
  <c r="O21" i="131"/>
  <c r="I22" i="131"/>
  <c r="D22" i="131"/>
  <c r="O22" i="131"/>
  <c r="I23" i="131"/>
  <c r="D23" i="131"/>
  <c r="O23" i="131"/>
  <c r="I24" i="131"/>
  <c r="D24" i="131"/>
  <c r="O24" i="131"/>
  <c r="I25" i="131"/>
  <c r="D25" i="131"/>
  <c r="O25" i="131"/>
  <c r="I26" i="131"/>
  <c r="D26" i="131"/>
  <c r="O26" i="131"/>
  <c r="I27" i="131"/>
  <c r="D27" i="131"/>
  <c r="O27" i="131"/>
  <c r="I28" i="131"/>
  <c r="D28" i="131"/>
  <c r="O28" i="131"/>
  <c r="I29" i="131"/>
  <c r="D29" i="131"/>
  <c r="O29" i="131"/>
  <c r="I30" i="131"/>
  <c r="D30" i="131"/>
  <c r="O30" i="131"/>
  <c r="I31" i="131"/>
  <c r="D31" i="131"/>
  <c r="O31" i="131"/>
  <c r="I32" i="131"/>
  <c r="D32" i="131"/>
  <c r="O32" i="131"/>
  <c r="I33" i="131"/>
  <c r="D33" i="131"/>
  <c r="O33" i="131"/>
  <c r="I34" i="131"/>
  <c r="D34" i="131"/>
  <c r="O34" i="131"/>
  <c r="I35" i="131"/>
  <c r="D35" i="131"/>
  <c r="O35" i="131"/>
  <c r="I36" i="131"/>
  <c r="D36" i="131"/>
  <c r="O36" i="131"/>
  <c r="I37" i="131"/>
  <c r="D37" i="131"/>
  <c r="O37" i="131"/>
  <c r="I38" i="131"/>
  <c r="D38" i="131"/>
  <c r="O38" i="131"/>
  <c r="I39" i="131"/>
  <c r="D39" i="131"/>
  <c r="O39" i="131"/>
  <c r="I40" i="131"/>
  <c r="D40" i="131"/>
  <c r="O40" i="131"/>
  <c r="I41" i="131"/>
  <c r="D41" i="131"/>
  <c r="O41" i="131"/>
  <c r="I42" i="131"/>
  <c r="D42" i="131"/>
  <c r="O42" i="131"/>
  <c r="I43" i="131"/>
  <c r="D43" i="131"/>
  <c r="O43" i="131"/>
  <c r="I44" i="131"/>
  <c r="D44" i="131"/>
  <c r="O44" i="131"/>
  <c r="I45" i="131"/>
  <c r="D45" i="131"/>
  <c r="O45" i="131"/>
  <c r="I46" i="131"/>
  <c r="D46" i="131"/>
  <c r="O46" i="131"/>
  <c r="I47" i="131"/>
  <c r="D47" i="131"/>
  <c r="O47" i="131"/>
  <c r="I48" i="131"/>
  <c r="D48" i="131"/>
  <c r="O48" i="131"/>
  <c r="I49" i="131"/>
  <c r="D49" i="131"/>
  <c r="O49" i="131"/>
  <c r="I50" i="131"/>
  <c r="D50" i="131"/>
  <c r="O50" i="131"/>
  <c r="I51" i="131"/>
  <c r="D51" i="131"/>
  <c r="O51" i="131"/>
  <c r="I52" i="131"/>
  <c r="D52" i="131"/>
  <c r="O52" i="131"/>
  <c r="I53" i="131"/>
  <c r="D53" i="131"/>
  <c r="O53" i="131"/>
  <c r="I54" i="131"/>
  <c r="D54" i="131"/>
  <c r="O54" i="131"/>
  <c r="I55" i="131"/>
  <c r="D55" i="131"/>
  <c r="O55" i="131"/>
  <c r="I56" i="131"/>
  <c r="D56" i="131"/>
  <c r="O56" i="131"/>
  <c r="I57" i="131"/>
  <c r="D57" i="131"/>
  <c r="O57" i="131"/>
  <c r="I58" i="131"/>
  <c r="D58" i="131"/>
  <c r="O58" i="131"/>
  <c r="I59" i="131"/>
  <c r="D59" i="131"/>
  <c r="O59" i="131"/>
  <c r="I60" i="131"/>
  <c r="D60" i="131"/>
  <c r="O60" i="131"/>
  <c r="I61" i="131"/>
  <c r="D61" i="131"/>
  <c r="O61" i="131"/>
  <c r="I62" i="131"/>
  <c r="D62" i="131"/>
  <c r="O62" i="131"/>
  <c r="I63" i="131"/>
  <c r="D63" i="131"/>
  <c r="O63" i="131"/>
  <c r="I64" i="131"/>
  <c r="D64" i="131"/>
  <c r="O64" i="131"/>
  <c r="I65" i="131"/>
  <c r="D65" i="131"/>
  <c r="O65" i="131"/>
  <c r="I66" i="131"/>
  <c r="J66" i="131"/>
  <c r="D66" i="131"/>
  <c r="O66" i="131"/>
  <c r="I67" i="131"/>
  <c r="J67" i="131"/>
  <c r="D67" i="131"/>
  <c r="O67" i="131"/>
  <c r="I68" i="131"/>
  <c r="J68" i="131"/>
  <c r="D68" i="131"/>
  <c r="O68" i="131"/>
  <c r="I69" i="131"/>
  <c r="J69" i="131"/>
  <c r="D69" i="131"/>
  <c r="O69" i="131"/>
  <c r="I70" i="131"/>
  <c r="J70" i="131"/>
  <c r="D70" i="131"/>
  <c r="O70" i="131"/>
  <c r="I71" i="131"/>
  <c r="J71" i="131"/>
  <c r="D71" i="131"/>
  <c r="O71" i="131"/>
  <c r="I72" i="131"/>
  <c r="D72" i="131"/>
  <c r="O72" i="131"/>
  <c r="I73" i="131"/>
  <c r="D73" i="131"/>
  <c r="O73" i="131"/>
  <c r="I74" i="131"/>
  <c r="D74" i="131"/>
  <c r="O74" i="131"/>
  <c r="I75" i="131"/>
  <c r="D75" i="131"/>
  <c r="O75" i="131"/>
  <c r="I76" i="131"/>
  <c r="D76" i="131"/>
  <c r="O76" i="131"/>
  <c r="I77" i="131"/>
  <c r="D77" i="131"/>
  <c r="O77" i="131"/>
  <c r="I78" i="131"/>
  <c r="D78" i="131"/>
  <c r="O78" i="131"/>
  <c r="I79" i="131"/>
  <c r="D79" i="131"/>
  <c r="O79" i="131"/>
  <c r="I80" i="131"/>
  <c r="D80" i="131"/>
  <c r="O80" i="131"/>
  <c r="I81" i="131"/>
  <c r="D81" i="131"/>
  <c r="O81" i="131"/>
  <c r="I82" i="131"/>
  <c r="D82" i="131"/>
  <c r="O82" i="131"/>
  <c r="I83" i="131"/>
  <c r="D83" i="131"/>
  <c r="O83" i="131"/>
  <c r="I84" i="131"/>
  <c r="D84" i="131"/>
  <c r="O84" i="131"/>
  <c r="I85" i="131"/>
  <c r="D85" i="131"/>
  <c r="O85" i="131"/>
  <c r="I86" i="131"/>
  <c r="D86" i="131"/>
  <c r="O86" i="131"/>
  <c r="I87" i="131"/>
  <c r="D87" i="131"/>
  <c r="O87" i="131"/>
  <c r="I88" i="131"/>
  <c r="D88" i="131"/>
  <c r="O88" i="131"/>
  <c r="I89" i="131"/>
  <c r="D89" i="131"/>
  <c r="O89" i="131"/>
  <c r="I90" i="131"/>
  <c r="D90" i="131"/>
  <c r="O90" i="131"/>
  <c r="I91" i="131"/>
  <c r="D91" i="131"/>
  <c r="O91" i="131"/>
  <c r="I92" i="131"/>
  <c r="D92" i="131"/>
  <c r="O92" i="131"/>
  <c r="I93" i="131"/>
  <c r="D93" i="131"/>
  <c r="O93" i="131"/>
  <c r="I94" i="131"/>
  <c r="D94" i="131"/>
  <c r="O94" i="131"/>
  <c r="I95" i="131"/>
  <c r="D95" i="131"/>
  <c r="O95" i="131"/>
  <c r="I96" i="131"/>
  <c r="D96" i="131"/>
  <c r="O96" i="131"/>
  <c r="I97" i="131"/>
  <c r="D97" i="131"/>
  <c r="O97" i="131"/>
  <c r="I98" i="131"/>
  <c r="D98" i="131"/>
  <c r="O98" i="131"/>
  <c r="I99" i="131"/>
  <c r="D99" i="131"/>
  <c r="O99" i="131"/>
  <c r="I100" i="131"/>
  <c r="D100" i="131"/>
  <c r="O100" i="131"/>
  <c r="I101" i="131"/>
  <c r="D101" i="131"/>
  <c r="O101" i="131"/>
  <c r="I102" i="131"/>
  <c r="D102" i="131"/>
  <c r="O102" i="131"/>
  <c r="I103" i="131"/>
  <c r="D103" i="131"/>
  <c r="O103" i="131"/>
  <c r="I104" i="131"/>
  <c r="D104" i="131"/>
  <c r="O104" i="131"/>
  <c r="I105" i="131"/>
  <c r="D105" i="131"/>
  <c r="O105" i="131"/>
  <c r="I106" i="131"/>
  <c r="D106" i="131"/>
  <c r="O106" i="131"/>
  <c r="I107" i="131"/>
  <c r="D107" i="131"/>
  <c r="O107" i="131"/>
  <c r="I108" i="131"/>
  <c r="D108" i="131"/>
  <c r="O108" i="131"/>
  <c r="I109" i="131"/>
  <c r="D109" i="131"/>
  <c r="O109" i="131"/>
  <c r="I110" i="131"/>
  <c r="D110" i="131"/>
  <c r="O110" i="131"/>
  <c r="I111" i="131"/>
  <c r="D111" i="131"/>
  <c r="O111" i="131"/>
  <c r="I112" i="131"/>
  <c r="D112" i="131"/>
  <c r="O112" i="131"/>
  <c r="I113" i="131"/>
  <c r="D113" i="131"/>
  <c r="O113" i="131"/>
  <c r="I114" i="131"/>
  <c r="D114" i="131"/>
  <c r="O114" i="131"/>
  <c r="I115" i="131"/>
  <c r="D115" i="131"/>
  <c r="O115" i="131"/>
  <c r="I116" i="131"/>
  <c r="D116" i="131"/>
  <c r="O116" i="131"/>
  <c r="I117" i="131"/>
  <c r="D117" i="131"/>
  <c r="O117" i="131"/>
  <c r="I118" i="131"/>
  <c r="D118" i="131"/>
  <c r="O118" i="131"/>
  <c r="I119" i="131"/>
  <c r="D119" i="131"/>
  <c r="O119" i="131"/>
  <c r="I120" i="131"/>
  <c r="D120" i="131"/>
  <c r="O120" i="131"/>
  <c r="I121" i="131"/>
  <c r="D121" i="131"/>
  <c r="O121" i="131"/>
  <c r="I122" i="131"/>
  <c r="D122" i="131"/>
  <c r="O122" i="131"/>
  <c r="I123" i="131"/>
  <c r="D123" i="131"/>
  <c r="O123" i="131"/>
  <c r="I124" i="131"/>
  <c r="D124" i="131"/>
  <c r="O124" i="131"/>
  <c r="I125" i="131"/>
  <c r="D125" i="131"/>
  <c r="O125" i="131"/>
  <c r="I126" i="131"/>
  <c r="D126" i="131"/>
  <c r="O126" i="131"/>
  <c r="I127" i="131"/>
  <c r="D127" i="131"/>
  <c r="O127" i="131"/>
  <c r="I128" i="131"/>
  <c r="D128" i="131"/>
  <c r="O128" i="131"/>
  <c r="I129" i="131"/>
  <c r="D129" i="131"/>
  <c r="O129" i="131"/>
  <c r="I130" i="131"/>
  <c r="D130" i="131"/>
  <c r="O130" i="131"/>
  <c r="I131" i="131"/>
  <c r="D131" i="131"/>
  <c r="O131" i="131"/>
  <c r="I132" i="131"/>
  <c r="D132" i="131"/>
  <c r="O132" i="131"/>
  <c r="I133" i="131"/>
  <c r="D133" i="131"/>
  <c r="O133" i="131"/>
  <c r="I134" i="131"/>
  <c r="D134" i="131"/>
  <c r="O134" i="131"/>
  <c r="I135" i="131"/>
  <c r="D135" i="131"/>
  <c r="O135" i="131"/>
  <c r="I136" i="131"/>
  <c r="D136" i="131"/>
  <c r="O136" i="131"/>
  <c r="I137" i="131"/>
  <c r="D137" i="131"/>
  <c r="O137" i="131"/>
  <c r="I138" i="131"/>
  <c r="D138" i="131"/>
  <c r="O138" i="131"/>
  <c r="I139" i="131"/>
  <c r="D139" i="131"/>
  <c r="O139" i="131"/>
  <c r="I140" i="131"/>
  <c r="D140" i="131"/>
  <c r="O140" i="131"/>
  <c r="I141" i="131"/>
  <c r="D141" i="131"/>
  <c r="O141" i="131"/>
  <c r="I142" i="131"/>
  <c r="D142" i="131"/>
  <c r="O142" i="131"/>
  <c r="I143" i="131"/>
  <c r="D143" i="131"/>
  <c r="O143" i="131"/>
  <c r="I2" i="131"/>
  <c r="D2" i="131"/>
  <c r="O2" i="131"/>
  <c r="E144" i="131"/>
  <c r="E145" i="131"/>
  <c r="E146" i="131"/>
  <c r="F144" i="131"/>
  <c r="F145" i="131"/>
  <c r="F146" i="131"/>
  <c r="J140" i="131"/>
  <c r="E140" i="131"/>
  <c r="F140" i="131"/>
  <c r="C140" i="131"/>
  <c r="H140" i="131"/>
  <c r="K140" i="131"/>
  <c r="L140" i="131"/>
  <c r="M140" i="131"/>
  <c r="N140" i="131"/>
  <c r="P140" i="131"/>
  <c r="J141" i="131"/>
  <c r="E141" i="131"/>
  <c r="F141" i="131"/>
  <c r="C141" i="131"/>
  <c r="H141" i="131"/>
  <c r="K141" i="131"/>
  <c r="L141" i="131"/>
  <c r="M141" i="131"/>
  <c r="N141" i="131"/>
  <c r="P141" i="131"/>
  <c r="J142" i="131"/>
  <c r="E142" i="131"/>
  <c r="F142" i="131"/>
  <c r="C142" i="131"/>
  <c r="H142" i="131"/>
  <c r="K142" i="131"/>
  <c r="L142" i="131"/>
  <c r="M142" i="131"/>
  <c r="N142" i="131"/>
  <c r="P142" i="131"/>
  <c r="J143" i="131"/>
  <c r="E143" i="131"/>
  <c r="F143" i="131"/>
  <c r="C143" i="131"/>
  <c r="H143" i="131"/>
  <c r="K143" i="131"/>
  <c r="L143" i="131"/>
  <c r="M143" i="131"/>
  <c r="N143" i="131"/>
  <c r="P143" i="131"/>
  <c r="J2" i="131"/>
  <c r="E2" i="131"/>
  <c r="F2" i="131"/>
  <c r="C2" i="131"/>
  <c r="J139" i="131"/>
  <c r="E139" i="131"/>
  <c r="F139" i="131"/>
  <c r="C139" i="131"/>
  <c r="J138" i="131"/>
  <c r="E138" i="131"/>
  <c r="F138" i="131"/>
  <c r="C138" i="131"/>
  <c r="J137" i="131"/>
  <c r="E137" i="131"/>
  <c r="F137" i="131"/>
  <c r="C137" i="131"/>
  <c r="J136" i="131"/>
  <c r="E136" i="131"/>
  <c r="F136" i="131"/>
  <c r="C136" i="131"/>
  <c r="J135" i="131"/>
  <c r="E135" i="131"/>
  <c r="F135" i="131"/>
  <c r="C135" i="131"/>
  <c r="J134" i="131"/>
  <c r="E134" i="131"/>
  <c r="F134" i="131"/>
  <c r="C134" i="131"/>
  <c r="J133" i="131"/>
  <c r="E133" i="131"/>
  <c r="F133" i="131"/>
  <c r="C133" i="131"/>
  <c r="J132" i="131"/>
  <c r="E132" i="131"/>
  <c r="F132" i="131"/>
  <c r="C132" i="131"/>
  <c r="J131" i="131"/>
  <c r="E131" i="131"/>
  <c r="F131" i="131"/>
  <c r="C131" i="131"/>
  <c r="J130" i="131"/>
  <c r="E130" i="131"/>
  <c r="F130" i="131"/>
  <c r="C130" i="131"/>
  <c r="J129" i="131"/>
  <c r="E129" i="131"/>
  <c r="F129" i="131"/>
  <c r="C129" i="131"/>
  <c r="J128" i="131"/>
  <c r="E128" i="131"/>
  <c r="F128" i="131"/>
  <c r="C128" i="131"/>
  <c r="J127" i="131"/>
  <c r="E127" i="131"/>
  <c r="F127" i="131"/>
  <c r="C127" i="131"/>
  <c r="J126" i="131"/>
  <c r="E126" i="131"/>
  <c r="F126" i="131"/>
  <c r="C126" i="131"/>
  <c r="J125" i="131"/>
  <c r="E125" i="131"/>
  <c r="F125" i="131"/>
  <c r="C125" i="131"/>
  <c r="J124" i="131"/>
  <c r="E124" i="131"/>
  <c r="F124" i="131"/>
  <c r="C124" i="131"/>
  <c r="J123" i="131"/>
  <c r="E123" i="131"/>
  <c r="F123" i="131"/>
  <c r="C123" i="131"/>
  <c r="J122" i="131"/>
  <c r="E122" i="131"/>
  <c r="F122" i="131"/>
  <c r="C122" i="131"/>
  <c r="J121" i="131"/>
  <c r="E121" i="131"/>
  <c r="F121" i="131"/>
  <c r="C121" i="131"/>
  <c r="J120" i="131"/>
  <c r="E120" i="131"/>
  <c r="F120" i="131"/>
  <c r="C120" i="131"/>
  <c r="J119" i="131"/>
  <c r="E119" i="131"/>
  <c r="F119" i="131"/>
  <c r="C119" i="131"/>
  <c r="J118" i="131"/>
  <c r="E118" i="131"/>
  <c r="F118" i="131"/>
  <c r="C118" i="131"/>
  <c r="J117" i="131"/>
  <c r="E117" i="131"/>
  <c r="F117" i="131"/>
  <c r="C117" i="131"/>
  <c r="J116" i="131"/>
  <c r="E116" i="131"/>
  <c r="F116" i="131"/>
  <c r="C116" i="131"/>
  <c r="J115" i="131"/>
  <c r="E115" i="131"/>
  <c r="F115" i="131"/>
  <c r="C115" i="131"/>
  <c r="J114" i="131"/>
  <c r="E114" i="131"/>
  <c r="F114" i="131"/>
  <c r="C114" i="131"/>
  <c r="J113" i="131"/>
  <c r="E113" i="131"/>
  <c r="F113" i="131"/>
  <c r="C113" i="131"/>
  <c r="J112" i="131"/>
  <c r="E112" i="131"/>
  <c r="F112" i="131"/>
  <c r="C112" i="131"/>
  <c r="J111" i="131"/>
  <c r="E111" i="131"/>
  <c r="F111" i="131"/>
  <c r="C111" i="131"/>
  <c r="J110" i="131"/>
  <c r="E110" i="131"/>
  <c r="F110" i="131"/>
  <c r="C110" i="131"/>
  <c r="J109" i="131"/>
  <c r="E109" i="131"/>
  <c r="F109" i="131"/>
  <c r="C109" i="131"/>
  <c r="J108" i="131"/>
  <c r="E108" i="131"/>
  <c r="F108" i="131"/>
  <c r="C108" i="131"/>
  <c r="J107" i="131"/>
  <c r="E107" i="131"/>
  <c r="F107" i="131"/>
  <c r="C107" i="131"/>
  <c r="J106" i="131"/>
  <c r="E106" i="131"/>
  <c r="F106" i="131"/>
  <c r="C106" i="131"/>
  <c r="J105" i="131"/>
  <c r="E105" i="131"/>
  <c r="F105" i="131"/>
  <c r="C105" i="131"/>
  <c r="J104" i="131"/>
  <c r="E104" i="131"/>
  <c r="F104" i="131"/>
  <c r="C104" i="131"/>
  <c r="J103" i="131"/>
  <c r="E103" i="131"/>
  <c r="F103" i="131"/>
  <c r="C103" i="131"/>
  <c r="J102" i="131"/>
  <c r="E102" i="131"/>
  <c r="F102" i="131"/>
  <c r="C102" i="131"/>
  <c r="J101" i="131"/>
  <c r="E101" i="131"/>
  <c r="F101" i="131"/>
  <c r="C101" i="131"/>
  <c r="J100" i="131"/>
  <c r="E100" i="131"/>
  <c r="F100" i="131"/>
  <c r="C100" i="131"/>
  <c r="J99" i="131"/>
  <c r="E99" i="131"/>
  <c r="F99" i="131"/>
  <c r="C99" i="131"/>
  <c r="J98" i="131"/>
  <c r="E98" i="131"/>
  <c r="F98" i="131"/>
  <c r="C98" i="131"/>
  <c r="J97" i="131"/>
  <c r="E97" i="131"/>
  <c r="F97" i="131"/>
  <c r="C97" i="131"/>
  <c r="J96" i="131"/>
  <c r="E96" i="131"/>
  <c r="F96" i="131"/>
  <c r="C96" i="131"/>
  <c r="J95" i="131"/>
  <c r="E95" i="131"/>
  <c r="F95" i="131"/>
  <c r="C95" i="131"/>
  <c r="J94" i="131"/>
  <c r="E94" i="131"/>
  <c r="F94" i="131"/>
  <c r="C94" i="131"/>
  <c r="J93" i="131"/>
  <c r="E93" i="131"/>
  <c r="F93" i="131"/>
  <c r="C93" i="131"/>
  <c r="J92" i="131"/>
  <c r="E92" i="131"/>
  <c r="F92" i="131"/>
  <c r="C92" i="131"/>
  <c r="J91" i="131"/>
  <c r="E91" i="131"/>
  <c r="F91" i="131"/>
  <c r="C91" i="131"/>
  <c r="J90" i="131"/>
  <c r="E90" i="131"/>
  <c r="F90" i="131"/>
  <c r="C90" i="131"/>
  <c r="J89" i="131"/>
  <c r="E89" i="131"/>
  <c r="F89" i="131"/>
  <c r="C89" i="131"/>
  <c r="J88" i="131"/>
  <c r="E88" i="131"/>
  <c r="F88" i="131"/>
  <c r="C88" i="131"/>
  <c r="J87" i="131"/>
  <c r="E87" i="131"/>
  <c r="F87" i="131"/>
  <c r="C87" i="131"/>
  <c r="J86" i="131"/>
  <c r="E86" i="131"/>
  <c r="F86" i="131"/>
  <c r="C86" i="131"/>
  <c r="J85" i="131"/>
  <c r="E85" i="131"/>
  <c r="F85" i="131"/>
  <c r="C85" i="131"/>
  <c r="J84" i="131"/>
  <c r="E84" i="131"/>
  <c r="F84" i="131"/>
  <c r="C84" i="131"/>
  <c r="J83" i="131"/>
  <c r="E83" i="131"/>
  <c r="F83" i="131"/>
  <c r="C83" i="131"/>
  <c r="J82" i="131"/>
  <c r="E82" i="131"/>
  <c r="F82" i="131"/>
  <c r="C82" i="131"/>
  <c r="J81" i="131"/>
  <c r="E81" i="131"/>
  <c r="F81" i="131"/>
  <c r="C81" i="131"/>
  <c r="J80" i="131"/>
  <c r="E80" i="131"/>
  <c r="F80" i="131"/>
  <c r="C80" i="131"/>
  <c r="J79" i="131"/>
  <c r="E79" i="131"/>
  <c r="F79" i="131"/>
  <c r="C79" i="131"/>
  <c r="J78" i="131"/>
  <c r="E78" i="131"/>
  <c r="F78" i="131"/>
  <c r="C78" i="131"/>
  <c r="J77" i="131"/>
  <c r="E77" i="131"/>
  <c r="F77" i="131"/>
  <c r="C77" i="131"/>
  <c r="J76" i="131"/>
  <c r="E76" i="131"/>
  <c r="F76" i="131"/>
  <c r="C76" i="131"/>
  <c r="J75" i="131"/>
  <c r="E75" i="131"/>
  <c r="F75" i="131"/>
  <c r="C75" i="131"/>
  <c r="J74" i="131"/>
  <c r="E74" i="131"/>
  <c r="F74" i="131"/>
  <c r="C74" i="131"/>
  <c r="J73" i="131"/>
  <c r="E73" i="131"/>
  <c r="F73" i="131"/>
  <c r="C73" i="131"/>
  <c r="J72" i="131"/>
  <c r="E72" i="131"/>
  <c r="F72" i="131"/>
  <c r="C72" i="131"/>
  <c r="E71" i="131"/>
  <c r="F71" i="131"/>
  <c r="C71" i="131"/>
  <c r="E70" i="131"/>
  <c r="F70" i="131"/>
  <c r="C70" i="131"/>
  <c r="E69" i="131"/>
  <c r="F69" i="131"/>
  <c r="C69" i="131"/>
  <c r="E68" i="131"/>
  <c r="F68" i="131"/>
  <c r="C68" i="131"/>
  <c r="E67" i="131"/>
  <c r="F67" i="131"/>
  <c r="C67" i="131"/>
  <c r="E66" i="131"/>
  <c r="F66" i="131"/>
  <c r="C66" i="131"/>
  <c r="J65" i="131"/>
  <c r="E65" i="131"/>
  <c r="F65" i="131"/>
  <c r="C65" i="131"/>
  <c r="J64" i="131"/>
  <c r="E64" i="131"/>
  <c r="F64" i="131"/>
  <c r="C64" i="131"/>
  <c r="J63" i="131"/>
  <c r="E63" i="131"/>
  <c r="F63" i="131"/>
  <c r="C63" i="131"/>
  <c r="J62" i="131"/>
  <c r="E62" i="131"/>
  <c r="F62" i="131"/>
  <c r="C62" i="131"/>
  <c r="J61" i="131"/>
  <c r="E61" i="131"/>
  <c r="F61" i="131"/>
  <c r="C61" i="131"/>
  <c r="J60" i="131"/>
  <c r="E60" i="131"/>
  <c r="F60" i="131"/>
  <c r="C60" i="131"/>
  <c r="J59" i="131"/>
  <c r="E59" i="131"/>
  <c r="F59" i="131"/>
  <c r="C59" i="131"/>
  <c r="J58" i="131"/>
  <c r="E58" i="131"/>
  <c r="F58" i="131"/>
  <c r="C58" i="131"/>
  <c r="J57" i="131"/>
  <c r="E57" i="131"/>
  <c r="F57" i="131"/>
  <c r="C57" i="131"/>
  <c r="J56" i="131"/>
  <c r="E56" i="131"/>
  <c r="F56" i="131"/>
  <c r="C56" i="131"/>
  <c r="J55" i="131"/>
  <c r="E55" i="131"/>
  <c r="F55" i="131"/>
  <c r="C55" i="131"/>
  <c r="J54" i="131"/>
  <c r="E54" i="131"/>
  <c r="F54" i="131"/>
  <c r="C54" i="131"/>
  <c r="J53" i="131"/>
  <c r="E53" i="131"/>
  <c r="F53" i="131"/>
  <c r="C53" i="131"/>
  <c r="J52" i="131"/>
  <c r="E52" i="131"/>
  <c r="F52" i="131"/>
  <c r="C52" i="131"/>
  <c r="J51" i="131"/>
  <c r="E51" i="131"/>
  <c r="F51" i="131"/>
  <c r="C51" i="131"/>
  <c r="J50" i="131"/>
  <c r="E50" i="131"/>
  <c r="F50" i="131"/>
  <c r="C50" i="131"/>
  <c r="J49" i="131"/>
  <c r="E49" i="131"/>
  <c r="F49" i="131"/>
  <c r="C49" i="131"/>
  <c r="J48" i="131"/>
  <c r="E48" i="131"/>
  <c r="F48" i="131"/>
  <c r="C48" i="131"/>
  <c r="J47" i="131"/>
  <c r="E47" i="131"/>
  <c r="F47" i="131"/>
  <c r="C47" i="131"/>
  <c r="J46" i="131"/>
  <c r="E46" i="131"/>
  <c r="F46" i="131"/>
  <c r="C46" i="131"/>
  <c r="J45" i="131"/>
  <c r="E45" i="131"/>
  <c r="F45" i="131"/>
  <c r="C45" i="131"/>
  <c r="J44" i="131"/>
  <c r="E44" i="131"/>
  <c r="F44" i="131"/>
  <c r="C44" i="131"/>
  <c r="J43" i="131"/>
  <c r="E43" i="131"/>
  <c r="F43" i="131"/>
  <c r="C43" i="131"/>
  <c r="J42" i="131"/>
  <c r="E42" i="131"/>
  <c r="F42" i="131"/>
  <c r="C42" i="131"/>
  <c r="J41" i="131"/>
  <c r="E41" i="131"/>
  <c r="F41" i="131"/>
  <c r="C41" i="131"/>
  <c r="J40" i="131"/>
  <c r="E40" i="131"/>
  <c r="F40" i="131"/>
  <c r="C40" i="131"/>
  <c r="J39" i="131"/>
  <c r="E39" i="131"/>
  <c r="F39" i="131"/>
  <c r="C39" i="131"/>
  <c r="J38" i="131"/>
  <c r="E38" i="131"/>
  <c r="F38" i="131"/>
  <c r="C38" i="131"/>
  <c r="J37" i="131"/>
  <c r="E37" i="131"/>
  <c r="F37" i="131"/>
  <c r="C37" i="131"/>
  <c r="J36" i="131"/>
  <c r="E36" i="131"/>
  <c r="F36" i="131"/>
  <c r="C36" i="131"/>
  <c r="J35" i="131"/>
  <c r="E35" i="131"/>
  <c r="F35" i="131"/>
  <c r="C35" i="131"/>
  <c r="J34" i="131"/>
  <c r="E34" i="131"/>
  <c r="F34" i="131"/>
  <c r="C34" i="131"/>
  <c r="J33" i="131"/>
  <c r="E33" i="131"/>
  <c r="F33" i="131"/>
  <c r="C33" i="131"/>
  <c r="J32" i="131"/>
  <c r="E32" i="131"/>
  <c r="F32" i="131"/>
  <c r="C32" i="131"/>
  <c r="J31" i="131"/>
  <c r="E31" i="131"/>
  <c r="F31" i="131"/>
  <c r="C31" i="131"/>
  <c r="J30" i="131"/>
  <c r="E30" i="131"/>
  <c r="F30" i="131"/>
  <c r="C30" i="131"/>
  <c r="J29" i="131"/>
  <c r="E29" i="131"/>
  <c r="F29" i="131"/>
  <c r="C29" i="131"/>
  <c r="J28" i="131"/>
  <c r="E28" i="131"/>
  <c r="F28" i="131"/>
  <c r="C28" i="131"/>
  <c r="J27" i="131"/>
  <c r="E27" i="131"/>
  <c r="F27" i="131"/>
  <c r="C27" i="131"/>
  <c r="J26" i="131"/>
  <c r="E26" i="131"/>
  <c r="F26" i="131"/>
  <c r="C26" i="131"/>
  <c r="J25" i="131"/>
  <c r="E25" i="131"/>
  <c r="F25" i="131"/>
  <c r="C25" i="131"/>
  <c r="J24" i="131"/>
  <c r="E24" i="131"/>
  <c r="F24" i="131"/>
  <c r="C24" i="131"/>
  <c r="J23" i="131"/>
  <c r="E23" i="131"/>
  <c r="F23" i="131"/>
  <c r="C23" i="131"/>
  <c r="J22" i="131"/>
  <c r="E22" i="131"/>
  <c r="F22" i="131"/>
  <c r="C22" i="131"/>
  <c r="J21" i="131"/>
  <c r="E21" i="131"/>
  <c r="F21" i="131"/>
  <c r="C21" i="131"/>
  <c r="J20" i="131"/>
  <c r="E20" i="131"/>
  <c r="F20" i="131"/>
  <c r="C20" i="131"/>
  <c r="J19" i="131"/>
  <c r="E19" i="131"/>
  <c r="F19" i="131"/>
  <c r="C19" i="131"/>
  <c r="J18" i="131"/>
  <c r="E18" i="131"/>
  <c r="F18" i="131"/>
  <c r="C18" i="131"/>
  <c r="J17" i="131"/>
  <c r="E17" i="131"/>
  <c r="F17" i="131"/>
  <c r="C17" i="131"/>
  <c r="J16" i="131"/>
  <c r="E16" i="131"/>
  <c r="F16" i="131"/>
  <c r="C16" i="131"/>
  <c r="J15" i="131"/>
  <c r="E15" i="131"/>
  <c r="F15" i="131"/>
  <c r="C15" i="131"/>
  <c r="J14" i="131"/>
  <c r="E14" i="131"/>
  <c r="F14" i="131"/>
  <c r="C14" i="131"/>
  <c r="J13" i="131"/>
  <c r="E13" i="131"/>
  <c r="F13" i="131"/>
  <c r="C13" i="131"/>
  <c r="J12" i="131"/>
  <c r="E12" i="131"/>
  <c r="F12" i="131"/>
  <c r="C12" i="131"/>
  <c r="J11" i="131"/>
  <c r="E11" i="131"/>
  <c r="F11" i="131"/>
  <c r="C11" i="131"/>
  <c r="J10" i="131"/>
  <c r="E10" i="131"/>
  <c r="F10" i="131"/>
  <c r="C10" i="131"/>
  <c r="J9" i="131"/>
  <c r="E9" i="131"/>
  <c r="F9" i="131"/>
  <c r="C9" i="131"/>
  <c r="J8" i="131"/>
  <c r="E8" i="131"/>
  <c r="F8" i="131"/>
  <c r="C8" i="131"/>
  <c r="J7" i="131"/>
  <c r="E7" i="131"/>
  <c r="F7" i="131"/>
  <c r="C7" i="131"/>
  <c r="J6" i="131"/>
  <c r="E6" i="131"/>
  <c r="F6" i="131"/>
  <c r="C6" i="131"/>
  <c r="J5" i="131"/>
  <c r="E5" i="131"/>
  <c r="F5" i="131"/>
  <c r="C5" i="131"/>
  <c r="J4" i="131"/>
  <c r="E4" i="131"/>
  <c r="F4" i="131"/>
  <c r="C4" i="131"/>
  <c r="J3" i="131"/>
  <c r="E3" i="131"/>
  <c r="F3" i="131"/>
  <c r="C3" i="131"/>
  <c r="P138" i="131"/>
  <c r="P139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15" i="131"/>
  <c r="P16" i="131"/>
  <c r="P17" i="131"/>
  <c r="P18" i="131"/>
  <c r="P19" i="131"/>
  <c r="P20" i="131"/>
  <c r="P21" i="131"/>
  <c r="P22" i="131"/>
  <c r="P23" i="131"/>
  <c r="P24" i="131"/>
  <c r="P25" i="131"/>
  <c r="P26" i="131"/>
  <c r="P27" i="131"/>
  <c r="P28" i="131"/>
  <c r="P29" i="131"/>
  <c r="P30" i="131"/>
  <c r="P31" i="131"/>
  <c r="P32" i="131"/>
  <c r="P33" i="131"/>
  <c r="P34" i="131"/>
  <c r="P35" i="131"/>
  <c r="P36" i="131"/>
  <c r="P37" i="131"/>
  <c r="P38" i="131"/>
  <c r="P39" i="131"/>
  <c r="P40" i="131"/>
  <c r="P41" i="131"/>
  <c r="P42" i="131"/>
  <c r="P43" i="131"/>
  <c r="P44" i="131"/>
  <c r="P45" i="131"/>
  <c r="P46" i="131"/>
  <c r="P47" i="131"/>
  <c r="P48" i="131"/>
  <c r="P49" i="131"/>
  <c r="P50" i="131"/>
  <c r="P51" i="131"/>
  <c r="P52" i="131"/>
  <c r="P53" i="131"/>
  <c r="P54" i="131"/>
  <c r="P55" i="131"/>
  <c r="P56" i="131"/>
  <c r="P57" i="131"/>
  <c r="P58" i="131"/>
  <c r="P59" i="131"/>
  <c r="P60" i="131"/>
  <c r="P61" i="131"/>
  <c r="P62" i="131"/>
  <c r="P63" i="131"/>
  <c r="P64" i="131"/>
  <c r="P65" i="131"/>
  <c r="P66" i="131"/>
  <c r="P67" i="131"/>
  <c r="P68" i="131"/>
  <c r="P69" i="131"/>
  <c r="P70" i="131"/>
  <c r="P71" i="131"/>
  <c r="P72" i="131"/>
  <c r="P73" i="131"/>
  <c r="P74" i="131"/>
  <c r="P75" i="131"/>
  <c r="P76" i="131"/>
  <c r="P77" i="131"/>
  <c r="P78" i="131"/>
  <c r="P79" i="131"/>
  <c r="P80" i="131"/>
  <c r="P81" i="131"/>
  <c r="P82" i="131"/>
  <c r="P83" i="131"/>
  <c r="P84" i="131"/>
  <c r="P85" i="131"/>
  <c r="P86" i="131"/>
  <c r="P87" i="131"/>
  <c r="P88" i="131"/>
  <c r="P89" i="131"/>
  <c r="P90" i="131"/>
  <c r="P91" i="131"/>
  <c r="P92" i="131"/>
  <c r="P93" i="131"/>
  <c r="P94" i="131"/>
  <c r="P95" i="131"/>
  <c r="P96" i="131"/>
  <c r="P97" i="131"/>
  <c r="P98" i="131"/>
  <c r="P99" i="131"/>
  <c r="P100" i="131"/>
  <c r="P101" i="131"/>
  <c r="P102" i="131"/>
  <c r="P103" i="131"/>
  <c r="P104" i="131"/>
  <c r="P105" i="131"/>
  <c r="P106" i="131"/>
  <c r="P107" i="131"/>
  <c r="P108" i="131"/>
  <c r="P109" i="131"/>
  <c r="P110" i="131"/>
  <c r="P111" i="131"/>
  <c r="P112" i="131"/>
  <c r="P113" i="131"/>
  <c r="P114" i="131"/>
  <c r="P115" i="131"/>
  <c r="P116" i="131"/>
  <c r="P117" i="131"/>
  <c r="P118" i="131"/>
  <c r="P119" i="131"/>
  <c r="P120" i="131"/>
  <c r="P121" i="131"/>
  <c r="P122" i="131"/>
  <c r="P123" i="131"/>
  <c r="P124" i="131"/>
  <c r="P125" i="131"/>
  <c r="P126" i="131"/>
  <c r="P127" i="131"/>
  <c r="P128" i="131"/>
  <c r="P129" i="131"/>
  <c r="P130" i="131"/>
  <c r="P131" i="131"/>
  <c r="P132" i="131"/>
  <c r="P133" i="131"/>
  <c r="P134" i="131"/>
  <c r="P135" i="131"/>
  <c r="P136" i="131"/>
  <c r="P137" i="131"/>
  <c r="N139" i="131"/>
  <c r="M139" i="131"/>
  <c r="L139" i="131"/>
  <c r="K139" i="131"/>
  <c r="H139" i="131"/>
  <c r="N138" i="131"/>
  <c r="M138" i="131"/>
  <c r="L138" i="131"/>
  <c r="K138" i="131"/>
  <c r="H138" i="131"/>
  <c r="N137" i="131"/>
  <c r="M137" i="131"/>
  <c r="L137" i="131"/>
  <c r="K137" i="131"/>
  <c r="H137" i="131"/>
  <c r="N136" i="131"/>
  <c r="M136" i="131"/>
  <c r="L136" i="131"/>
  <c r="K136" i="131"/>
  <c r="H136" i="131"/>
  <c r="N135" i="131"/>
  <c r="M135" i="131"/>
  <c r="L135" i="131"/>
  <c r="K135" i="131"/>
  <c r="H135" i="131"/>
  <c r="N134" i="131"/>
  <c r="M134" i="131"/>
  <c r="L134" i="131"/>
  <c r="K134" i="131"/>
  <c r="H134" i="131"/>
  <c r="N133" i="131"/>
  <c r="M133" i="131"/>
  <c r="L133" i="131"/>
  <c r="K133" i="131"/>
  <c r="H133" i="131"/>
  <c r="N132" i="131"/>
  <c r="M132" i="131"/>
  <c r="L132" i="131"/>
  <c r="K132" i="131"/>
  <c r="H132" i="131"/>
  <c r="N131" i="131"/>
  <c r="M131" i="131"/>
  <c r="L131" i="131"/>
  <c r="K131" i="131"/>
  <c r="H131" i="131"/>
  <c r="N130" i="131"/>
  <c r="M130" i="131"/>
  <c r="L130" i="131"/>
  <c r="K130" i="131"/>
  <c r="H130" i="131"/>
  <c r="N129" i="131"/>
  <c r="M129" i="131"/>
  <c r="L129" i="131"/>
  <c r="K129" i="131"/>
  <c r="H129" i="131"/>
  <c r="N128" i="131"/>
  <c r="M128" i="131"/>
  <c r="L128" i="131"/>
  <c r="K128" i="131"/>
  <c r="H128" i="131"/>
  <c r="N127" i="131"/>
  <c r="M127" i="131"/>
  <c r="L127" i="131"/>
  <c r="K127" i="131"/>
  <c r="H127" i="131"/>
  <c r="N126" i="131"/>
  <c r="M126" i="131"/>
  <c r="L126" i="131"/>
  <c r="K126" i="131"/>
  <c r="H126" i="131"/>
  <c r="N125" i="131"/>
  <c r="M125" i="131"/>
  <c r="L125" i="131"/>
  <c r="K125" i="131"/>
  <c r="H125" i="131"/>
  <c r="N124" i="131"/>
  <c r="M124" i="131"/>
  <c r="L124" i="131"/>
  <c r="K124" i="131"/>
  <c r="H124" i="131"/>
  <c r="N123" i="131"/>
  <c r="M123" i="131"/>
  <c r="L123" i="131"/>
  <c r="K123" i="131"/>
  <c r="H123" i="131"/>
  <c r="N122" i="131"/>
  <c r="M122" i="131"/>
  <c r="L122" i="131"/>
  <c r="K122" i="131"/>
  <c r="H122" i="131"/>
  <c r="N121" i="131"/>
  <c r="M121" i="131"/>
  <c r="L121" i="131"/>
  <c r="K121" i="131"/>
  <c r="H121" i="131"/>
  <c r="N120" i="131"/>
  <c r="M120" i="131"/>
  <c r="L120" i="131"/>
  <c r="K120" i="131"/>
  <c r="H120" i="131"/>
  <c r="N119" i="131"/>
  <c r="M119" i="131"/>
  <c r="L119" i="131"/>
  <c r="K119" i="131"/>
  <c r="H119" i="131"/>
  <c r="N118" i="131"/>
  <c r="M118" i="131"/>
  <c r="L118" i="131"/>
  <c r="K118" i="131"/>
  <c r="H118" i="131"/>
  <c r="N117" i="131"/>
  <c r="M117" i="131"/>
  <c r="L117" i="131"/>
  <c r="K117" i="131"/>
  <c r="H117" i="131"/>
  <c r="N116" i="131"/>
  <c r="M116" i="131"/>
  <c r="L116" i="131"/>
  <c r="K116" i="131"/>
  <c r="H116" i="131"/>
  <c r="N115" i="131"/>
  <c r="M115" i="131"/>
  <c r="L115" i="131"/>
  <c r="K115" i="131"/>
  <c r="H115" i="131"/>
  <c r="N114" i="131"/>
  <c r="M114" i="131"/>
  <c r="L114" i="131"/>
  <c r="K114" i="131"/>
  <c r="H114" i="131"/>
  <c r="N113" i="131"/>
  <c r="M113" i="131"/>
  <c r="L113" i="131"/>
  <c r="K113" i="131"/>
  <c r="H113" i="131"/>
  <c r="N112" i="131"/>
  <c r="M112" i="131"/>
  <c r="L112" i="131"/>
  <c r="K112" i="131"/>
  <c r="H112" i="131"/>
  <c r="N111" i="131"/>
  <c r="M111" i="131"/>
  <c r="L111" i="131"/>
  <c r="K111" i="131"/>
  <c r="H111" i="131"/>
  <c r="N110" i="131"/>
  <c r="M110" i="131"/>
  <c r="L110" i="131"/>
  <c r="K110" i="131"/>
  <c r="H110" i="131"/>
  <c r="N109" i="131"/>
  <c r="M109" i="131"/>
  <c r="L109" i="131"/>
  <c r="K109" i="131"/>
  <c r="H109" i="131"/>
  <c r="N108" i="131"/>
  <c r="M108" i="131"/>
  <c r="L108" i="131"/>
  <c r="K108" i="131"/>
  <c r="H108" i="131"/>
  <c r="N107" i="131"/>
  <c r="M107" i="131"/>
  <c r="L107" i="131"/>
  <c r="K107" i="131"/>
  <c r="H107" i="131"/>
  <c r="N106" i="131"/>
  <c r="M106" i="131"/>
  <c r="L106" i="131"/>
  <c r="K106" i="131"/>
  <c r="H106" i="131"/>
  <c r="N105" i="131"/>
  <c r="M105" i="131"/>
  <c r="L105" i="131"/>
  <c r="K105" i="131"/>
  <c r="H105" i="131"/>
  <c r="N104" i="131"/>
  <c r="M104" i="131"/>
  <c r="L104" i="131"/>
  <c r="K104" i="131"/>
  <c r="H104" i="131"/>
  <c r="N103" i="131"/>
  <c r="M103" i="131"/>
  <c r="L103" i="131"/>
  <c r="K103" i="131"/>
  <c r="H103" i="131"/>
  <c r="N102" i="131"/>
  <c r="M102" i="131"/>
  <c r="L102" i="131"/>
  <c r="K102" i="131"/>
  <c r="H102" i="131"/>
  <c r="N101" i="131"/>
  <c r="M101" i="131"/>
  <c r="L101" i="131"/>
  <c r="K101" i="131"/>
  <c r="H101" i="131"/>
  <c r="N100" i="131"/>
  <c r="M100" i="131"/>
  <c r="L100" i="131"/>
  <c r="K100" i="131"/>
  <c r="H100" i="131"/>
  <c r="N99" i="131"/>
  <c r="M99" i="131"/>
  <c r="L99" i="131"/>
  <c r="K99" i="131"/>
  <c r="H99" i="131"/>
  <c r="N98" i="131"/>
  <c r="M98" i="131"/>
  <c r="L98" i="131"/>
  <c r="K98" i="131"/>
  <c r="H98" i="131"/>
  <c r="N97" i="131"/>
  <c r="M97" i="131"/>
  <c r="L97" i="131"/>
  <c r="K97" i="131"/>
  <c r="H97" i="131"/>
  <c r="N96" i="131"/>
  <c r="M96" i="131"/>
  <c r="L96" i="131"/>
  <c r="K96" i="131"/>
  <c r="H96" i="131"/>
  <c r="N95" i="131"/>
  <c r="M95" i="131"/>
  <c r="L95" i="131"/>
  <c r="K95" i="131"/>
  <c r="H95" i="131"/>
  <c r="N94" i="131"/>
  <c r="M94" i="131"/>
  <c r="L94" i="131"/>
  <c r="K94" i="131"/>
  <c r="H94" i="131"/>
  <c r="N93" i="131"/>
  <c r="M93" i="131"/>
  <c r="L93" i="131"/>
  <c r="K93" i="131"/>
  <c r="H93" i="131"/>
  <c r="N92" i="131"/>
  <c r="M92" i="131"/>
  <c r="L92" i="131"/>
  <c r="K92" i="131"/>
  <c r="H92" i="131"/>
  <c r="N91" i="131"/>
  <c r="M91" i="131"/>
  <c r="L91" i="131"/>
  <c r="K91" i="131"/>
  <c r="H91" i="131"/>
  <c r="N90" i="131"/>
  <c r="M90" i="131"/>
  <c r="L90" i="131"/>
  <c r="K90" i="131"/>
  <c r="H90" i="131"/>
  <c r="N89" i="131"/>
  <c r="M89" i="131"/>
  <c r="L89" i="131"/>
  <c r="K89" i="131"/>
  <c r="H89" i="131"/>
  <c r="N88" i="131"/>
  <c r="M88" i="131"/>
  <c r="L88" i="131"/>
  <c r="K88" i="131"/>
  <c r="H88" i="131"/>
  <c r="N87" i="131"/>
  <c r="M87" i="131"/>
  <c r="L87" i="131"/>
  <c r="K87" i="131"/>
  <c r="H87" i="131"/>
  <c r="N86" i="131"/>
  <c r="M86" i="131"/>
  <c r="L86" i="131"/>
  <c r="K86" i="131"/>
  <c r="H86" i="131"/>
  <c r="N85" i="131"/>
  <c r="M85" i="131"/>
  <c r="L85" i="131"/>
  <c r="K85" i="131"/>
  <c r="H85" i="131"/>
  <c r="N84" i="131"/>
  <c r="M84" i="131"/>
  <c r="L84" i="131"/>
  <c r="K84" i="131"/>
  <c r="H84" i="131"/>
  <c r="N83" i="131"/>
  <c r="M83" i="131"/>
  <c r="L83" i="131"/>
  <c r="K83" i="131"/>
  <c r="H83" i="131"/>
  <c r="N82" i="131"/>
  <c r="M82" i="131"/>
  <c r="L82" i="131"/>
  <c r="K82" i="131"/>
  <c r="H82" i="131"/>
  <c r="N81" i="131"/>
  <c r="M81" i="131"/>
  <c r="L81" i="131"/>
  <c r="K81" i="131"/>
  <c r="H81" i="131"/>
  <c r="N80" i="131"/>
  <c r="M80" i="131"/>
  <c r="L80" i="131"/>
  <c r="K80" i="131"/>
  <c r="H80" i="131"/>
  <c r="N79" i="131"/>
  <c r="M79" i="131"/>
  <c r="L79" i="131"/>
  <c r="K79" i="131"/>
  <c r="H79" i="131"/>
  <c r="N78" i="131"/>
  <c r="M78" i="131"/>
  <c r="L78" i="131"/>
  <c r="K78" i="131"/>
  <c r="H78" i="131"/>
  <c r="N77" i="131"/>
  <c r="M77" i="131"/>
  <c r="L77" i="131"/>
  <c r="K77" i="131"/>
  <c r="H77" i="131"/>
  <c r="N76" i="131"/>
  <c r="M76" i="131"/>
  <c r="L76" i="131"/>
  <c r="K76" i="131"/>
  <c r="H76" i="131"/>
  <c r="N75" i="131"/>
  <c r="M75" i="131"/>
  <c r="L75" i="131"/>
  <c r="K75" i="131"/>
  <c r="H75" i="131"/>
  <c r="N74" i="131"/>
  <c r="M74" i="131"/>
  <c r="L74" i="131"/>
  <c r="K74" i="131"/>
  <c r="H74" i="131"/>
  <c r="N73" i="131"/>
  <c r="M73" i="131"/>
  <c r="L73" i="131"/>
  <c r="K73" i="131"/>
  <c r="H73" i="131"/>
  <c r="N72" i="131"/>
  <c r="M72" i="131"/>
  <c r="L72" i="131"/>
  <c r="K72" i="131"/>
  <c r="H72" i="131"/>
  <c r="N71" i="131"/>
  <c r="M71" i="131"/>
  <c r="L71" i="131"/>
  <c r="K71" i="131"/>
  <c r="H71" i="131"/>
  <c r="N70" i="131"/>
  <c r="M70" i="131"/>
  <c r="L70" i="131"/>
  <c r="K70" i="131"/>
  <c r="H70" i="131"/>
  <c r="N69" i="131"/>
  <c r="M69" i="131"/>
  <c r="L69" i="131"/>
  <c r="K69" i="131"/>
  <c r="H69" i="131"/>
  <c r="N68" i="131"/>
  <c r="M68" i="131"/>
  <c r="L68" i="131"/>
  <c r="K68" i="131"/>
  <c r="H68" i="131"/>
  <c r="N67" i="131"/>
  <c r="M67" i="131"/>
  <c r="L67" i="131"/>
  <c r="K67" i="131"/>
  <c r="H67" i="131"/>
  <c r="N66" i="131"/>
  <c r="M66" i="131"/>
  <c r="L66" i="131"/>
  <c r="K66" i="131"/>
  <c r="H66" i="131"/>
  <c r="N65" i="131"/>
  <c r="M65" i="131"/>
  <c r="L65" i="131"/>
  <c r="K65" i="131"/>
  <c r="H65" i="131"/>
  <c r="N64" i="131"/>
  <c r="M64" i="131"/>
  <c r="L64" i="131"/>
  <c r="K64" i="131"/>
  <c r="H64" i="131"/>
  <c r="N63" i="131"/>
  <c r="M63" i="131"/>
  <c r="L63" i="131"/>
  <c r="K63" i="131"/>
  <c r="H63" i="131"/>
  <c r="N62" i="131"/>
  <c r="M62" i="131"/>
  <c r="L62" i="131"/>
  <c r="K62" i="131"/>
  <c r="H62" i="131"/>
  <c r="N61" i="131"/>
  <c r="M61" i="131"/>
  <c r="L61" i="131"/>
  <c r="K61" i="131"/>
  <c r="H61" i="131"/>
  <c r="N60" i="131"/>
  <c r="M60" i="131"/>
  <c r="L60" i="131"/>
  <c r="K60" i="131"/>
  <c r="H60" i="131"/>
  <c r="N59" i="131"/>
  <c r="M59" i="131"/>
  <c r="L59" i="131"/>
  <c r="K59" i="131"/>
  <c r="H59" i="131"/>
  <c r="N58" i="131"/>
  <c r="M58" i="131"/>
  <c r="L58" i="131"/>
  <c r="K58" i="131"/>
  <c r="H58" i="131"/>
  <c r="N57" i="131"/>
  <c r="M57" i="131"/>
  <c r="L57" i="131"/>
  <c r="K57" i="131"/>
  <c r="H57" i="131"/>
  <c r="N56" i="131"/>
  <c r="M56" i="131"/>
  <c r="L56" i="131"/>
  <c r="K56" i="131"/>
  <c r="H56" i="131"/>
  <c r="N55" i="131"/>
  <c r="M55" i="131"/>
  <c r="L55" i="131"/>
  <c r="K55" i="131"/>
  <c r="H55" i="131"/>
  <c r="N54" i="131"/>
  <c r="M54" i="131"/>
  <c r="L54" i="131"/>
  <c r="K54" i="131"/>
  <c r="H54" i="131"/>
  <c r="N53" i="131"/>
  <c r="M53" i="131"/>
  <c r="L53" i="131"/>
  <c r="K53" i="131"/>
  <c r="H53" i="131"/>
  <c r="N52" i="131"/>
  <c r="M52" i="131"/>
  <c r="L52" i="131"/>
  <c r="K52" i="131"/>
  <c r="H52" i="131"/>
  <c r="N51" i="131"/>
  <c r="M51" i="131"/>
  <c r="L51" i="131"/>
  <c r="K51" i="131"/>
  <c r="H51" i="131"/>
  <c r="N50" i="131"/>
  <c r="M50" i="131"/>
  <c r="L50" i="131"/>
  <c r="K50" i="131"/>
  <c r="H50" i="131"/>
  <c r="N49" i="131"/>
  <c r="M49" i="131"/>
  <c r="L49" i="131"/>
  <c r="K49" i="131"/>
  <c r="H49" i="131"/>
  <c r="N48" i="131"/>
  <c r="M48" i="131"/>
  <c r="L48" i="131"/>
  <c r="K48" i="131"/>
  <c r="H48" i="131"/>
  <c r="N47" i="131"/>
  <c r="M47" i="131"/>
  <c r="L47" i="131"/>
  <c r="K47" i="131"/>
  <c r="H47" i="131"/>
  <c r="N46" i="131"/>
  <c r="M46" i="131"/>
  <c r="L46" i="131"/>
  <c r="K46" i="131"/>
  <c r="H46" i="131"/>
  <c r="N45" i="131"/>
  <c r="M45" i="131"/>
  <c r="L45" i="131"/>
  <c r="K45" i="131"/>
  <c r="H45" i="131"/>
  <c r="N44" i="131"/>
  <c r="M44" i="131"/>
  <c r="L44" i="131"/>
  <c r="K44" i="131"/>
  <c r="H44" i="131"/>
  <c r="N43" i="131"/>
  <c r="M43" i="131"/>
  <c r="L43" i="131"/>
  <c r="K43" i="131"/>
  <c r="H43" i="131"/>
  <c r="N42" i="131"/>
  <c r="M42" i="131"/>
  <c r="L42" i="131"/>
  <c r="K42" i="131"/>
  <c r="H42" i="131"/>
  <c r="N41" i="131"/>
  <c r="M41" i="131"/>
  <c r="L41" i="131"/>
  <c r="K41" i="131"/>
  <c r="H41" i="131"/>
  <c r="N40" i="131"/>
  <c r="M40" i="131"/>
  <c r="L40" i="131"/>
  <c r="K40" i="131"/>
  <c r="H40" i="131"/>
  <c r="N39" i="131"/>
  <c r="M39" i="131"/>
  <c r="L39" i="131"/>
  <c r="K39" i="131"/>
  <c r="H39" i="131"/>
  <c r="N38" i="131"/>
  <c r="M38" i="131"/>
  <c r="L38" i="131"/>
  <c r="K38" i="131"/>
  <c r="H38" i="131"/>
  <c r="N37" i="131"/>
  <c r="M37" i="131"/>
  <c r="L37" i="131"/>
  <c r="K37" i="131"/>
  <c r="H37" i="131"/>
  <c r="N36" i="131"/>
  <c r="M36" i="131"/>
  <c r="L36" i="131"/>
  <c r="K36" i="131"/>
  <c r="H36" i="131"/>
  <c r="N35" i="131"/>
  <c r="M35" i="131"/>
  <c r="L35" i="131"/>
  <c r="K35" i="131"/>
  <c r="H35" i="131"/>
  <c r="N34" i="131"/>
  <c r="M34" i="131"/>
  <c r="L34" i="131"/>
  <c r="K34" i="131"/>
  <c r="H34" i="131"/>
  <c r="N33" i="131"/>
  <c r="M33" i="131"/>
  <c r="L33" i="131"/>
  <c r="K33" i="131"/>
  <c r="H33" i="131"/>
  <c r="N32" i="131"/>
  <c r="M32" i="131"/>
  <c r="L32" i="131"/>
  <c r="K32" i="131"/>
  <c r="H32" i="131"/>
  <c r="N31" i="131"/>
  <c r="M31" i="131"/>
  <c r="L31" i="131"/>
  <c r="K31" i="131"/>
  <c r="H31" i="131"/>
  <c r="N30" i="131"/>
  <c r="M30" i="131"/>
  <c r="L30" i="131"/>
  <c r="K30" i="131"/>
  <c r="H30" i="131"/>
  <c r="N29" i="131"/>
  <c r="M29" i="131"/>
  <c r="L29" i="131"/>
  <c r="K29" i="131"/>
  <c r="H29" i="131"/>
  <c r="N28" i="131"/>
  <c r="M28" i="131"/>
  <c r="L28" i="131"/>
  <c r="K28" i="131"/>
  <c r="H28" i="131"/>
  <c r="N27" i="131"/>
  <c r="M27" i="131"/>
  <c r="L27" i="131"/>
  <c r="K27" i="131"/>
  <c r="H27" i="131"/>
  <c r="N26" i="131"/>
  <c r="M26" i="131"/>
  <c r="L26" i="131"/>
  <c r="K26" i="131"/>
  <c r="H26" i="131"/>
  <c r="N25" i="131"/>
  <c r="M25" i="131"/>
  <c r="L25" i="131"/>
  <c r="K25" i="131"/>
  <c r="H25" i="131"/>
  <c r="N24" i="131"/>
  <c r="M24" i="131"/>
  <c r="L24" i="131"/>
  <c r="K24" i="131"/>
  <c r="H24" i="131"/>
  <c r="N23" i="131"/>
  <c r="M23" i="131"/>
  <c r="L23" i="131"/>
  <c r="K23" i="131"/>
  <c r="H23" i="131"/>
  <c r="N22" i="131"/>
  <c r="M22" i="131"/>
  <c r="L22" i="131"/>
  <c r="K22" i="131"/>
  <c r="H22" i="131"/>
  <c r="N21" i="131"/>
  <c r="M21" i="131"/>
  <c r="L21" i="131"/>
  <c r="K21" i="131"/>
  <c r="H21" i="131"/>
  <c r="N20" i="131"/>
  <c r="M20" i="131"/>
  <c r="L20" i="131"/>
  <c r="K20" i="131"/>
  <c r="H20" i="131"/>
  <c r="N19" i="131"/>
  <c r="M19" i="131"/>
  <c r="L19" i="131"/>
  <c r="K19" i="131"/>
  <c r="H19" i="131"/>
  <c r="N18" i="131"/>
  <c r="M18" i="131"/>
  <c r="L18" i="131"/>
  <c r="K18" i="131"/>
  <c r="H18" i="131"/>
  <c r="N17" i="131"/>
  <c r="M17" i="131"/>
  <c r="L17" i="131"/>
  <c r="K17" i="131"/>
  <c r="H17" i="131"/>
  <c r="N16" i="131"/>
  <c r="M16" i="131"/>
  <c r="L16" i="131"/>
  <c r="K16" i="131"/>
  <c r="H16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<sst xmlns="http://schemas.openxmlformats.org/spreadsheetml/2006/main" count="213" uniqueCount="148">
  <si>
    <t>character_id</t>
  </si>
  <si>
    <t>character_id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</si>
  <si>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</si>
  <si>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</si>
  <si>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</si>
  <si>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</si>
  <si>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</si>
  <si>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</si>
  <si>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</si>
  <si>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</si>
  <si>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</si>
  <si>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</si>
  <si>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</si>
  <si>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</si>
  <si>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</si>
  <si>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</si>
  <si>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</si>
  <si>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</si>
  <si>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</si>
  <si>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</si>
  <si>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</si>
  <si>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</si>
  <si>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</si>
  <si>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</si>
  <si>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</si>
  <si>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</si>
  <si>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</si>
  <si>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</si>
  <si>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</si>
  <si>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</si>
  <si>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</si>
  <si>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</si>
  <si>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</si>
  <si>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</si>
  <si>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</si>
  <si>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</si>
  <si>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</si>
  <si>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</si>
  <si>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</si>
  <si>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</si>
  <si>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</si>
  <si>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</si>
  <si>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</si>
  <si>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</si>
  <si>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</si>
  <si>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</si>
  <si>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</si>
  <si>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skill_level</t>
  </si>
  <si>
    <t>level</t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</si>
  <si>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</si>
  <si>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</si>
  <si>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</si>
  <si>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</si>
  <si>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</si>
  <si>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</si>
  <si>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</si>
  <si>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</si>
  <si>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</si>
  <si>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</si>
  <si>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</si>
  <si>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</si>
  <si>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</si>
  <si>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</si>
  <si>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</si>
  <si>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</si>
  <si>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</si>
  <si>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</si>
  <si>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</si>
  <si>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</si>
  <si>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</si>
  <si>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</si>
  <si>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</si>
  <si>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</si>
  <si>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</si>
  <si>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</si>
  <si>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</si>
  <si>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</si>
  <si>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</si>
  <si>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</si>
  <si>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</si>
  <si>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</si>
  <si>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</si>
  <si>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</si>
  <si>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</si>
  <si>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</si>
  <si>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</si>
  <si>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</si>
  <si>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</si>
  <si>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</si>
  <si>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</si>
  <si>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</si>
  <si>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</si>
  <si>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</si>
  <si>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</si>
  <si>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</si>
  <si>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</si>
  <si>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</si>
  <si>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</si>
  <si>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</si>
  <si>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</si>
  <si>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</si>
  <si>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</si>
  <si>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</si>
  <si>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</si>
  <si>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</si>
  <si>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</si>
  <si>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</si>
  <si>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</si>
  <si>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</si>
  <si>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</si>
  <si>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</si>
  <si>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</si>
  <si>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</si>
  <si>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</si>
  <si>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</si>
  <si>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</si>
  <si>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</si>
  <si>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</si>
  <si>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</si>
  <si>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</si>
  <si>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</si>
  <si>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</si>
  <si>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</si>
  <si>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</si>
  <si>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</si>
  <si>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</si>
  <si>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</si>
  <si>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</si>
  <si>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</si>
  <si>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skip</t>
    <phoneticPr fontId="19"/>
  </si>
  <si>
    <t>hogehoge</t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</si>
  <si>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</si>
  <si>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</si>
  <si>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</si>
  <si>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</si>
  <si>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character_id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</si>
  <si>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</si>
  <si>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</si>
  <si>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</si>
  <si>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</si>
  <si>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</si>
  <si>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</si>
  <si>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</si>
  <si>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</si>
  <si>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</si>
  <si>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</si>
  <si>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</si>
  <si>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tables_settle_7019100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</si>
</sst>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60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23" fillId="23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0" fontId="6" fillId="0" borderId="1" xfId="3036" applyFont="1" applyBorder="1"/>
    <xf numFmtId="0" fontId="6" fillId="0" borderId="1" xfId="2978" applyFont="1" applyBorder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0" fontId="3" fillId="0" borderId="1" xfId="3036" applyFont="1" applyBorder="1"/>
    <xf numFmtId="0" fontId="24" fillId="0" borderId="0" xfId="2" applyFont="1" applyFill="1" applyBorder="1" applyAlignment="1">
      <alignment vertical="center"/>
    </xf>
    <xf numFmtId="0" fontId="2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51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2" applyFont="1" applyBorder="1" applyAlignment="1">
      <alignment vertical="center"/>
    </xf>
    <xf numFmtId="0" fontId="2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飛衛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human</v>
          </cell>
        </row>
        <row r="1427">
          <cell r="A1427">
            <v>8036</v>
          </cell>
          <cell r="B1427" t="str">
            <v>ja</v>
          </cell>
          <cell r="C1427" t="str">
            <v>レア６飛衛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6</v>
          </cell>
          <cell r="J1427" t="str">
            <v>PremiumSS</v>
          </cell>
          <cell r="K1427" t="str">
            <v>heal</v>
          </cell>
          <cell r="L1427" t="str">
            <v>回復タイプ</v>
          </cell>
          <cell r="M1427" t="str">
            <v>human</v>
          </cell>
        </row>
        <row r="1428">
          <cell r="A1428">
            <v>8037</v>
          </cell>
          <cell r="B1428" t="str">
            <v>ja</v>
          </cell>
          <cell r="C1428" t="str">
            <v>紀昌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8038</v>
          </cell>
          <cell r="B1429" t="str">
            <v>ja</v>
          </cell>
          <cell r="C1429" t="str">
            <v>レア６紀昌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red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hp</v>
          </cell>
          <cell r="L1430" t="str">
            <v>体力タイプ</v>
          </cell>
          <cell r="M1430" t="str">
            <v>god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hp</v>
          </cell>
          <cell r="L1431" t="str">
            <v>体力タイプ</v>
          </cell>
          <cell r="M1431" t="str">
            <v>god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god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0" customWidth="1"/>
    <col min="2" max="16384" width="13" style="40"/>
  </cols>
  <sheetData>
    <row r="1" spans="1:13" x14ac:dyDescent="0.15">
      <c r="A1" s="40" t="s">
        <v>50</v>
      </c>
      <c r="B1" s="40" t="s">
        <v>51</v>
      </c>
    </row>
    <row r="2" spans="1:13" x14ac:dyDescent="0.15">
      <c r="A2" s="40" t="s">
        <v>52</v>
      </c>
      <c r="B2" s="40" t="s">
        <v>53</v>
      </c>
      <c r="C2" s="40" t="s">
        <v>54</v>
      </c>
      <c r="D2" s="40" t="s">
        <v>55</v>
      </c>
      <c r="E2" s="40" t="s">
        <v>56</v>
      </c>
      <c r="F2" s="40" t="s">
        <v>57</v>
      </c>
      <c r="G2" s="40" t="s">
        <v>58</v>
      </c>
      <c r="H2" s="40" t="s">
        <v>59</v>
      </c>
    </row>
    <row r="3" spans="1:13" x14ac:dyDescent="0.15">
      <c r="A3" s="40">
        <v>3</v>
      </c>
      <c r="B3" s="41" t="s">
        <v>60</v>
      </c>
      <c r="C3" s="41" t="s">
        <v>61</v>
      </c>
      <c r="D3" s="40">
        <v>0</v>
      </c>
      <c r="E3" s="41" t="s">
        <v>62</v>
      </c>
      <c r="F3" s="40">
        <v>0</v>
      </c>
      <c r="G3" s="40">
        <v>0</v>
      </c>
      <c r="H3" s="42">
        <v>0.5</v>
      </c>
    </row>
    <row r="4" spans="1:13" x14ac:dyDescent="0.15">
      <c r="A4" s="40">
        <v>4</v>
      </c>
      <c r="B4" s="41" t="s">
        <v>63</v>
      </c>
      <c r="C4" s="41" t="s">
        <v>64</v>
      </c>
      <c r="D4" s="41" t="s">
        <v>65</v>
      </c>
      <c r="E4" s="41" t="s">
        <v>66</v>
      </c>
      <c r="F4" s="41" t="s">
        <v>67</v>
      </c>
      <c r="G4" s="40">
        <v>0</v>
      </c>
      <c r="H4" s="42">
        <v>0.45</v>
      </c>
    </row>
    <row r="5" spans="1:13" x14ac:dyDescent="0.15">
      <c r="A5" s="40">
        <v>5</v>
      </c>
      <c r="B5" s="43">
        <v>0</v>
      </c>
      <c r="C5" s="41" t="s">
        <v>68</v>
      </c>
      <c r="D5" s="41" t="s">
        <v>69</v>
      </c>
      <c r="E5" s="41" t="s">
        <v>70</v>
      </c>
      <c r="F5" s="41" t="s">
        <v>71</v>
      </c>
      <c r="G5" s="41" t="s">
        <v>72</v>
      </c>
      <c r="H5" s="42">
        <v>0.05</v>
      </c>
    </row>
    <row r="6" spans="1:13" x14ac:dyDescent="0.15">
      <c r="B6" s="42" t="s">
        <v>73</v>
      </c>
      <c r="C6" s="42" t="s">
        <v>73</v>
      </c>
      <c r="D6" s="42" t="s">
        <v>74</v>
      </c>
      <c r="E6" s="42" t="s">
        <v>73</v>
      </c>
      <c r="F6" s="42" t="s">
        <v>73</v>
      </c>
      <c r="G6" s="44" t="s">
        <v>75</v>
      </c>
      <c r="H6" s="42">
        <v>1</v>
      </c>
    </row>
    <row r="7" spans="1:13" x14ac:dyDescent="0.15">
      <c r="B7" s="42"/>
      <c r="C7" s="42"/>
      <c r="D7" s="42"/>
      <c r="E7" s="42"/>
      <c r="F7" s="42"/>
      <c r="G7" s="44"/>
      <c r="H7" s="42"/>
    </row>
    <row r="8" spans="1:13" x14ac:dyDescent="0.15">
      <c r="A8" s="40" t="s">
        <v>76</v>
      </c>
      <c r="B8" s="42"/>
      <c r="C8" s="42"/>
      <c r="D8" s="42"/>
      <c r="E8" s="42"/>
      <c r="F8" s="42"/>
      <c r="G8" s="44"/>
      <c r="H8" s="42"/>
    </row>
    <row r="9" spans="1:13" x14ac:dyDescent="0.15">
      <c r="A9" s="40" t="s">
        <v>77</v>
      </c>
      <c r="B9" s="42"/>
      <c r="C9" s="42"/>
      <c r="D9" s="42"/>
      <c r="E9" s="42"/>
      <c r="F9" s="42"/>
      <c r="G9" s="44"/>
      <c r="H9" s="42"/>
    </row>
    <row r="10" spans="1:13" x14ac:dyDescent="0.15">
      <c r="A10" s="40" t="s">
        <v>78</v>
      </c>
      <c r="B10" s="42"/>
      <c r="C10" s="42"/>
      <c r="D10" s="42"/>
      <c r="E10" s="42"/>
      <c r="F10" s="42"/>
      <c r="G10" s="44"/>
      <c r="H10" s="42"/>
    </row>
    <row r="11" spans="1:13" x14ac:dyDescent="0.15">
      <c r="A11" s="40" t="s">
        <v>79</v>
      </c>
      <c r="B11" s="42"/>
      <c r="C11" s="42"/>
      <c r="D11" s="42"/>
      <c r="E11" s="42"/>
      <c r="F11" s="42"/>
      <c r="G11" s="44"/>
      <c r="H11" s="42"/>
    </row>
    <row r="12" spans="1:13" x14ac:dyDescent="0.15">
      <c r="A12" s="40" t="s">
        <v>72</v>
      </c>
      <c r="B12" s="42" t="s">
        <v>80</v>
      </c>
      <c r="C12" s="42" t="s">
        <v>81</v>
      </c>
      <c r="D12" s="42"/>
      <c r="E12" s="42"/>
      <c r="F12" s="42"/>
      <c r="G12" s="44"/>
      <c r="H12" s="42"/>
    </row>
    <row r="13" spans="1:13" x14ac:dyDescent="0.15">
      <c r="A13" s="40" t="s">
        <v>82</v>
      </c>
      <c r="B13" s="40" t="s">
        <v>83</v>
      </c>
      <c r="C13" s="40" t="s">
        <v>84</v>
      </c>
    </row>
    <row r="14" spans="1:13" x14ac:dyDescent="0.15">
      <c r="A14" s="40" t="s">
        <v>85</v>
      </c>
      <c r="B14" s="40" t="s">
        <v>80</v>
      </c>
      <c r="C14" s="43" t="s">
        <v>86</v>
      </c>
      <c r="E14" s="43"/>
      <c r="F14" s="43"/>
      <c r="M14" s="42"/>
    </row>
    <row r="15" spans="1:13" x14ac:dyDescent="0.15">
      <c r="A15" s="40" t="s">
        <v>62</v>
      </c>
      <c r="B15" s="42" t="s">
        <v>80</v>
      </c>
      <c r="C15" s="42" t="s">
        <v>87</v>
      </c>
      <c r="H15" s="45"/>
      <c r="M15" s="42"/>
    </row>
    <row r="16" spans="1:13" x14ac:dyDescent="0.15">
      <c r="A16" s="40" t="s">
        <v>66</v>
      </c>
      <c r="B16" s="42" t="s">
        <v>80</v>
      </c>
      <c r="C16" s="42" t="s">
        <v>88</v>
      </c>
      <c r="M16" s="42"/>
    </row>
    <row r="17" spans="1:13" x14ac:dyDescent="0.15">
      <c r="A17" s="40" t="s">
        <v>89</v>
      </c>
      <c r="B17" s="42" t="s">
        <v>80</v>
      </c>
      <c r="C17" s="42" t="s">
        <v>90</v>
      </c>
      <c r="M17" s="42"/>
    </row>
    <row r="18" spans="1:13" x14ac:dyDescent="0.15">
      <c r="B18" s="42"/>
      <c r="C18" s="42"/>
    </row>
    <row r="19" spans="1:13" x14ac:dyDescent="0.15">
      <c r="A19" s="40" t="s">
        <v>91</v>
      </c>
    </row>
    <row r="20" spans="1:13" x14ac:dyDescent="0.15">
      <c r="A20" s="40" t="s">
        <v>92</v>
      </c>
      <c r="B20" s="42"/>
      <c r="C20" s="42"/>
    </row>
    <row r="21" spans="1:13" x14ac:dyDescent="0.15">
      <c r="A21" s="40" t="s">
        <v>93</v>
      </c>
      <c r="B21" s="42" t="s">
        <v>94</v>
      </c>
      <c r="C21" s="42" t="s">
        <v>95</v>
      </c>
      <c r="D21" s="40" t="s">
        <v>96</v>
      </c>
    </row>
    <row r="22" spans="1:13" x14ac:dyDescent="0.15">
      <c r="A22" s="40" t="s">
        <v>97</v>
      </c>
      <c r="B22" s="42" t="s">
        <v>80</v>
      </c>
      <c r="C22" s="42" t="s">
        <v>98</v>
      </c>
      <c r="D22" s="40" t="s">
        <v>99</v>
      </c>
    </row>
    <row r="23" spans="1:13" x14ac:dyDescent="0.15">
      <c r="A23" s="40" t="s">
        <v>100</v>
      </c>
      <c r="B23" s="42" t="s">
        <v>80</v>
      </c>
      <c r="C23" s="40" t="s">
        <v>101</v>
      </c>
      <c r="D23" s="40" t="s">
        <v>102</v>
      </c>
    </row>
    <row r="24" spans="1:13" x14ac:dyDescent="0.15">
      <c r="A24" s="40" t="s">
        <v>103</v>
      </c>
      <c r="B24" s="42" t="s">
        <v>80</v>
      </c>
      <c r="C24" s="42" t="s">
        <v>104</v>
      </c>
      <c r="D24" s="40" t="s">
        <v>105</v>
      </c>
    </row>
    <row r="25" spans="1:13" x14ac:dyDescent="0.15">
      <c r="A25" s="40" t="s">
        <v>106</v>
      </c>
      <c r="B25" s="42" t="s">
        <v>80</v>
      </c>
      <c r="C25" s="42" t="s">
        <v>107</v>
      </c>
      <c r="D25" s="40" t="s">
        <v>108</v>
      </c>
    </row>
    <row r="26" spans="1:13" x14ac:dyDescent="0.15">
      <c r="A26" s="40" t="s">
        <v>109</v>
      </c>
      <c r="B26" s="42" t="s">
        <v>80</v>
      </c>
      <c r="C26" s="42" t="s">
        <v>110</v>
      </c>
      <c r="D26" s="40" t="s">
        <v>111</v>
      </c>
    </row>
    <row r="27" spans="1:13" x14ac:dyDescent="0.15">
      <c r="A27" s="40" t="s">
        <v>112</v>
      </c>
      <c r="B27" s="42" t="s">
        <v>80</v>
      </c>
      <c r="C27" s="42" t="s">
        <v>74</v>
      </c>
      <c r="D27" s="40" t="s">
        <v>113</v>
      </c>
      <c r="E27" s="40" t="s">
        <v>114</v>
      </c>
    </row>
    <row r="28" spans="1:13" x14ac:dyDescent="0.15">
      <c r="A28" s="40" t="s">
        <v>61</v>
      </c>
      <c r="B28" s="42" t="s">
        <v>80</v>
      </c>
      <c r="C28" s="42" t="s">
        <v>115</v>
      </c>
      <c r="E28" s="40" t="s">
        <v>116</v>
      </c>
    </row>
    <row r="29" spans="1:13" x14ac:dyDescent="0.15">
      <c r="A29" s="40" t="s">
        <v>64</v>
      </c>
      <c r="B29" s="42" t="s">
        <v>80</v>
      </c>
      <c r="C29" s="42" t="s">
        <v>117</v>
      </c>
    </row>
    <row r="30" spans="1:13" x14ac:dyDescent="0.15">
      <c r="B30" s="42"/>
    </row>
    <row r="31" spans="1:13" x14ac:dyDescent="0.15">
      <c r="A31" s="40" t="s">
        <v>118</v>
      </c>
    </row>
    <row r="32" spans="1:13" x14ac:dyDescent="0.15">
      <c r="A32" s="40" t="s">
        <v>119</v>
      </c>
      <c r="B32" s="42" t="s">
        <v>80</v>
      </c>
      <c r="C32" s="42" t="s">
        <v>120</v>
      </c>
    </row>
    <row r="33" spans="1:3" x14ac:dyDescent="0.15">
      <c r="A33" s="40" t="s">
        <v>64</v>
      </c>
      <c r="B33" s="42" t="s">
        <v>80</v>
      </c>
      <c r="C33" s="42" t="s">
        <v>121</v>
      </c>
    </row>
    <row r="34" spans="1:3" x14ac:dyDescent="0.15">
      <c r="A34" s="40" t="s">
        <v>61</v>
      </c>
      <c r="B34" s="42" t="s">
        <v>80</v>
      </c>
      <c r="C34" s="42" t="s">
        <v>122</v>
      </c>
    </row>
    <row r="35" spans="1:3" x14ac:dyDescent="0.15">
      <c r="A35" s="40" t="s">
        <v>60</v>
      </c>
      <c r="B35" s="42" t="s">
        <v>80</v>
      </c>
      <c r="C35" s="42" t="s">
        <v>123</v>
      </c>
    </row>
    <row r="36" spans="1:3" x14ac:dyDescent="0.15">
      <c r="A36" s="40" t="s">
        <v>63</v>
      </c>
      <c r="B36" s="42" t="s">
        <v>80</v>
      </c>
      <c r="C36" s="42" t="s">
        <v>124</v>
      </c>
    </row>
    <row r="37" spans="1:3" x14ac:dyDescent="0.15">
      <c r="A37" s="40" t="s">
        <v>69</v>
      </c>
      <c r="B37" s="42" t="s">
        <v>80</v>
      </c>
      <c r="C37" s="42" t="s">
        <v>125</v>
      </c>
    </row>
    <row r="38" spans="1:3" x14ac:dyDescent="0.15">
      <c r="A38" s="40" t="s">
        <v>65</v>
      </c>
      <c r="B38" s="42" t="s">
        <v>80</v>
      </c>
      <c r="C38" s="42" t="s">
        <v>126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3" sqref="F3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37</v>
      </c>
      <c r="B1" s="15" t="s">
        <v>25</v>
      </c>
      <c r="C1" s="15" t="s">
        <v>26</v>
      </c>
      <c r="D1" s="15" t="s">
        <v>27</v>
      </c>
      <c r="E1" s="15" t="s">
        <v>28</v>
      </c>
      <c r="F1" s="15" t="s">
        <v>29</v>
      </c>
      <c r="G1" s="15" t="s">
        <v>30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49" t="s">
        <v>132</v>
      </c>
      <c r="B2" s="39" t="s">
        <v>49</v>
      </c>
      <c r="C2" s="36" t="str">
        <f>RIGHT(F2,6)</f>
        <v>337010</v>
      </c>
      <c r="D2" s="18" t="s">
        <v>31</v>
      </c>
      <c r="E2" s="16" t="str">
        <f t="shared" ref="E2:E6" si="0">B2&amp;C2&amp;D2</f>
        <v>gacha_select_tables_337010.tmp</v>
      </c>
      <c r="F2" s="48" t="s">
        <v>131</v>
      </c>
      <c r="G2" s="35" t="s">
        <v>46</v>
      </c>
      <c r="H2" s="21" t="s">
        <v>0</v>
      </c>
      <c r="I2" s="21" t="s">
        <v>2</v>
      </c>
      <c r="J2" s="21" t="s">
        <v>3</v>
      </c>
      <c r="K2" s="21" t="s">
        <v>4</v>
      </c>
      <c r="L2" s="21" t="s">
        <v>5</v>
      </c>
      <c r="M2" s="21" t="s">
        <v>6</v>
      </c>
      <c r="N2" s="21" t="s">
        <v>7</v>
      </c>
      <c r="O2" s="21" t="s">
        <v>8</v>
      </c>
    </row>
    <row r="3" spans="1:21" x14ac:dyDescent="0.15">
      <c r="A3" s="51" t="s">
        <v>146</v>
      </c>
      <c r="B3" s="50" t="s">
        <v>133</v>
      </c>
      <c r="C3" s="36" t="str">
        <f>RIGHT(F3,7)</f>
        <v>7019100</v>
      </c>
      <c r="D3" s="18" t="s">
        <v>31</v>
      </c>
      <c r="E3" s="16" t="str">
        <f t="shared" ref="E3" si="1">B3&amp;C3&amp;D3</f>
        <v>gacha_settle_tables_7019100.tmp</v>
      </c>
      <c r="F3" s="59" t="s">
        <v>147</v>
      </c>
      <c r="G3" s="35" t="s">
        <v>46</v>
      </c>
      <c r="H3" s="21" t="s">
        <v>0</v>
      </c>
      <c r="I3" s="21" t="s">
        <v>2</v>
      </c>
      <c r="J3" s="21" t="s">
        <v>3</v>
      </c>
      <c r="K3" s="21" t="s">
        <v>4</v>
      </c>
      <c r="L3" s="21" t="s">
        <v>5</v>
      </c>
      <c r="M3" s="21" t="s">
        <v>6</v>
      </c>
      <c r="N3" s="21" t="s">
        <v>7</v>
      </c>
      <c r="O3" s="21" t="s">
        <v>8</v>
      </c>
    </row>
    <row r="4" spans="1:21" x14ac:dyDescent="0.15">
      <c r="A4" s="46" t="s">
        <v>129</v>
      </c>
      <c r="B4" s="26" t="s">
        <v>36</v>
      </c>
      <c r="C4" s="47" t="s">
        <v>130</v>
      </c>
      <c r="D4" s="18" t="s">
        <v>32</v>
      </c>
      <c r="E4" s="16" t="str">
        <f t="shared" si="0"/>
        <v>gacha_bonus_tables_hogehoge.tmp</v>
      </c>
      <c r="F4" s="18" t="s">
        <v>33</v>
      </c>
      <c r="G4" s="20" t="s">
        <v>9</v>
      </c>
      <c r="H4" s="22" t="s">
        <v>12</v>
      </c>
      <c r="I4" s="20" t="s">
        <v>10</v>
      </c>
      <c r="J4" s="19"/>
      <c r="K4" s="19"/>
      <c r="L4" s="19"/>
      <c r="M4" s="19"/>
      <c r="N4" s="19"/>
      <c r="O4" s="19"/>
    </row>
    <row r="5" spans="1:21" x14ac:dyDescent="0.15">
      <c r="A5" s="46" t="s">
        <v>129</v>
      </c>
      <c r="B5" s="18" t="s">
        <v>34</v>
      </c>
      <c r="C5" s="47" t="s">
        <v>130</v>
      </c>
      <c r="D5" s="18" t="s">
        <v>32</v>
      </c>
      <c r="E5" s="16" t="str">
        <f t="shared" si="0"/>
        <v>gifts_tmp_hogehoge.tmp</v>
      </c>
      <c r="F5" s="18" t="s">
        <v>33</v>
      </c>
      <c r="G5" s="22" t="s">
        <v>13</v>
      </c>
      <c r="H5" s="23" t="s">
        <v>21</v>
      </c>
      <c r="I5" s="22" t="s">
        <v>14</v>
      </c>
      <c r="J5" s="22" t="s">
        <v>15</v>
      </c>
      <c r="K5" s="22" t="s">
        <v>15</v>
      </c>
      <c r="L5" s="22" t="s">
        <v>16</v>
      </c>
      <c r="M5" s="22" t="s">
        <v>16</v>
      </c>
      <c r="N5" s="22" t="s">
        <v>16</v>
      </c>
      <c r="O5" s="37" t="s">
        <v>6</v>
      </c>
      <c r="P5" s="37" t="s">
        <v>8</v>
      </c>
      <c r="Q5" s="37" t="s">
        <v>5</v>
      </c>
      <c r="R5" s="37" t="s">
        <v>47</v>
      </c>
      <c r="S5" s="37" t="s">
        <v>7</v>
      </c>
      <c r="T5" s="37" t="s">
        <v>48</v>
      </c>
      <c r="U5" s="37" t="s">
        <v>4</v>
      </c>
    </row>
    <row r="6" spans="1:21" x14ac:dyDescent="0.15">
      <c r="A6" s="46" t="s">
        <v>129</v>
      </c>
      <c r="B6" s="18" t="s">
        <v>35</v>
      </c>
      <c r="C6" s="47" t="s">
        <v>130</v>
      </c>
      <c r="D6" s="18" t="s">
        <v>32</v>
      </c>
      <c r="E6" s="16" t="str">
        <f t="shared" si="0"/>
        <v>gifts_i18n_hogehoge.tmp</v>
      </c>
      <c r="F6" s="18" t="s">
        <v>33</v>
      </c>
      <c r="G6" s="22" t="s">
        <v>11</v>
      </c>
      <c r="H6" s="24" t="s">
        <v>17</v>
      </c>
      <c r="I6" s="24" t="s">
        <v>18</v>
      </c>
      <c r="J6" s="24" t="s">
        <v>19</v>
      </c>
      <c r="K6" s="24" t="s">
        <v>20</v>
      </c>
      <c r="L6" s="25"/>
      <c r="M6" s="22"/>
      <c r="N6" s="22"/>
      <c r="O6" s="18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335"/>
  <sheetViews>
    <sheetView showGridLines="0" tabSelected="1" zoomScale="75" zoomScaleNormal="75" zoomScalePageLayoutView="75" workbookViewId="0">
      <pane ySplit="1" topLeftCell="A95" activePane="bottomLeft" state="frozen"/>
      <selection activeCell="E6" sqref="E6"/>
      <selection pane="bottomLeft" activeCell="A2" sqref="A2:A1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58"/>
    <col min="37" max="16384" width="13" style="1"/>
  </cols>
  <sheetData>
    <row r="1" spans="1:22" ht="21" customHeight="1" x14ac:dyDescent="0.15">
      <c r="A1" s="13" t="s">
        <v>134</v>
      </c>
      <c r="B1" s="14" t="s">
        <v>135</v>
      </c>
      <c r="C1" s="3" t="s">
        <v>22</v>
      </c>
      <c r="D1" s="3" t="s">
        <v>136</v>
      </c>
      <c r="E1" s="3" t="s">
        <v>127</v>
      </c>
      <c r="F1" s="3" t="s">
        <v>128</v>
      </c>
      <c r="G1" s="3" t="s">
        <v>137</v>
      </c>
      <c r="H1" s="3" t="s">
        <v>138</v>
      </c>
      <c r="I1" s="3" t="s">
        <v>139</v>
      </c>
      <c r="J1" s="3" t="s">
        <v>140</v>
      </c>
      <c r="K1" s="3" t="s">
        <v>141</v>
      </c>
      <c r="L1" s="3" t="s">
        <v>142</v>
      </c>
      <c r="M1" s="3" t="s">
        <v>143</v>
      </c>
      <c r="N1" s="3" t="s">
        <v>38</v>
      </c>
      <c r="O1" s="14" t="s">
        <v>144</v>
      </c>
      <c r="P1" s="3" t="s">
        <v>40</v>
      </c>
      <c r="Q1" s="14" t="s">
        <v>145</v>
      </c>
      <c r="R1" s="28" t="s">
        <v>4</v>
      </c>
      <c r="S1" s="28" t="s">
        <v>5</v>
      </c>
      <c r="T1" s="28" t="s">
        <v>6</v>
      </c>
      <c r="U1" s="28" t="s">
        <v>7</v>
      </c>
      <c r="V1" s="28" t="s">
        <v>8</v>
      </c>
    </row>
    <row r="2" spans="1:22" ht="21" customHeight="1" x14ac:dyDescent="0.15">
      <c r="A2" s="2">
        <v>7019100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33">
        <f>IF(D2="Premium",1197,79)</f>
        <v>1197</v>
      </c>
      <c r="P2" s="34">
        <f t="shared" ref="P2:P65" si="1">O2/SUM(O:O)</f>
        <v>1.2025316455696202E-2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>
        <v>7019100</v>
      </c>
      <c r="B3" s="6">
        <v>171</v>
      </c>
      <c r="C3" s="7" t="str">
        <f t="shared" si="0"/>
        <v>Premium5R6release</v>
      </c>
      <c r="D3" s="7" t="str">
        <f t="shared" ref="D3:D66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33">
        <f t="shared" ref="O3:O66" si="3">IF(D3="Premium",1197,79)</f>
        <v>1197</v>
      </c>
      <c r="P3" s="34">
        <f t="shared" si="1"/>
        <v>1.2025316455696202E-2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>
        <v>7019100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33">
        <f t="shared" si="3"/>
        <v>1197</v>
      </c>
      <c r="P4" s="34">
        <f t="shared" si="1"/>
        <v>1.2025316455696202E-2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>
        <v>7019100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33">
        <f t="shared" si="3"/>
        <v>1197</v>
      </c>
      <c r="P5" s="34">
        <f t="shared" si="1"/>
        <v>1.2025316455696202E-2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>
        <v>7019100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33">
        <f t="shared" si="3"/>
        <v>1197</v>
      </c>
      <c r="P6" s="34">
        <f t="shared" si="1"/>
        <v>1.2025316455696202E-2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>
        <v>7019100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33">
        <f t="shared" si="3"/>
        <v>1197</v>
      </c>
      <c r="P7" s="34">
        <f t="shared" si="1"/>
        <v>1.2025316455696202E-2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>
        <v>7019100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33">
        <f t="shared" si="3"/>
        <v>1197</v>
      </c>
      <c r="P8" s="34">
        <f t="shared" si="1"/>
        <v>1.2025316455696202E-2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>
        <v>7019100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33">
        <f t="shared" si="3"/>
        <v>1197</v>
      </c>
      <c r="P9" s="34">
        <f t="shared" si="1"/>
        <v>1.2025316455696202E-2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>
        <v>7019100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3">
        <f t="shared" si="3"/>
        <v>1197</v>
      </c>
      <c r="P10" s="34">
        <f t="shared" si="1"/>
        <v>1.2025316455696202E-2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>
        <v>7019100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3">
        <f t="shared" si="3"/>
        <v>1197</v>
      </c>
      <c r="P11" s="34">
        <f t="shared" si="1"/>
        <v>1.2025316455696202E-2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>
        <v>7019100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3">
        <f t="shared" si="3"/>
        <v>1197</v>
      </c>
      <c r="P12" s="34">
        <f t="shared" si="1"/>
        <v>1.2025316455696202E-2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>
        <v>7019100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33">
        <f t="shared" si="3"/>
        <v>1197</v>
      </c>
      <c r="P13" s="34">
        <f t="shared" si="1"/>
        <v>1.2025316455696202E-2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>
        <v>7019100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33">
        <f t="shared" si="3"/>
        <v>1197</v>
      </c>
      <c r="P14" s="34">
        <f t="shared" si="1"/>
        <v>1.2025316455696202E-2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>
        <v>7019100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33">
        <f t="shared" si="3"/>
        <v>1197</v>
      </c>
      <c r="P15" s="34">
        <f t="shared" si="1"/>
        <v>1.2025316455696202E-2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>
        <v>7019100</v>
      </c>
      <c r="B16" s="6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33">
        <f t="shared" si="3"/>
        <v>1197</v>
      </c>
      <c r="P16" s="34">
        <f t="shared" si="1"/>
        <v>1.2025316455696202E-2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36" ht="21" customHeight="1" x14ac:dyDescent="0.15">
      <c r="A17" s="2">
        <v>7019100</v>
      </c>
      <c r="B17" s="6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33">
        <f t="shared" si="3"/>
        <v>1197</v>
      </c>
      <c r="P17" s="34">
        <f t="shared" si="1"/>
        <v>1.2025316455696202E-2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36" ht="21" customHeight="1" x14ac:dyDescent="0.15">
      <c r="A18" s="2">
        <v>7019100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33">
        <f t="shared" si="3"/>
        <v>1197</v>
      </c>
      <c r="P18" s="34">
        <f t="shared" si="1"/>
        <v>1.2025316455696202E-2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36" s="12" customFormat="1" ht="21" customHeight="1" thickBot="1" x14ac:dyDescent="0.2">
      <c r="A19" s="2">
        <v>7019100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33">
        <f t="shared" si="3"/>
        <v>1197</v>
      </c>
      <c r="P19" s="34">
        <f t="shared" si="1"/>
        <v>1.2025316455696202E-2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" customHeight="1" x14ac:dyDescent="0.15">
      <c r="A20" s="2">
        <v>7019100</v>
      </c>
      <c r="B20" s="6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33">
        <f t="shared" si="3"/>
        <v>1197</v>
      </c>
      <c r="P20" s="34">
        <f t="shared" si="1"/>
        <v>1.2025316455696202E-2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36" ht="21" customHeight="1" x14ac:dyDescent="0.15">
      <c r="A21" s="2">
        <v>7019100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33">
        <f t="shared" si="3"/>
        <v>1197</v>
      </c>
      <c r="P21" s="34">
        <f t="shared" si="1"/>
        <v>1.2025316455696202E-2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36" ht="21" customHeight="1" x14ac:dyDescent="0.15">
      <c r="A22" s="2">
        <v>7019100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33">
        <f t="shared" si="3"/>
        <v>1197</v>
      </c>
      <c r="P22" s="34">
        <f t="shared" si="1"/>
        <v>1.2025316455696202E-2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36" ht="21" customHeight="1" x14ac:dyDescent="0.15">
      <c r="A23" s="2">
        <v>7019100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33">
        <f t="shared" si="3"/>
        <v>1197</v>
      </c>
      <c r="P23" s="34">
        <f t="shared" si="1"/>
        <v>1.2025316455696202E-2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36" ht="21" customHeight="1" x14ac:dyDescent="0.15">
      <c r="A24" s="2">
        <v>7019100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33">
        <f t="shared" si="3"/>
        <v>1197</v>
      </c>
      <c r="P24" s="34">
        <f t="shared" si="1"/>
        <v>1.2025316455696202E-2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36" ht="21" customHeight="1" x14ac:dyDescent="0.15">
      <c r="A25" s="2">
        <v>7019100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33">
        <f t="shared" si="3"/>
        <v>1197</v>
      </c>
      <c r="P25" s="34">
        <f t="shared" si="1"/>
        <v>1.2025316455696202E-2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36" ht="21" customHeight="1" x14ac:dyDescent="0.15">
      <c r="A26" s="2">
        <v>7019100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33">
        <f t="shared" si="3"/>
        <v>1197</v>
      </c>
      <c r="P26" s="34">
        <f t="shared" si="1"/>
        <v>1.2025316455696202E-2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36" ht="21" customHeight="1" x14ac:dyDescent="0.15">
      <c r="A27" s="2">
        <v>7019100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33">
        <f t="shared" si="3"/>
        <v>1197</v>
      </c>
      <c r="P27" s="34">
        <f t="shared" si="1"/>
        <v>1.2025316455696202E-2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36" ht="21" customHeight="1" x14ac:dyDescent="0.15">
      <c r="A28" s="2">
        <v>7019100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33">
        <f t="shared" si="3"/>
        <v>1197</v>
      </c>
      <c r="P28" s="34">
        <f t="shared" si="1"/>
        <v>1.2025316455696202E-2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36" ht="21" customHeight="1" x14ac:dyDescent="0.15">
      <c r="A29" s="2">
        <v>7019100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33">
        <f t="shared" si="3"/>
        <v>1197</v>
      </c>
      <c r="P29" s="34">
        <f t="shared" si="1"/>
        <v>1.2025316455696202E-2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36" ht="21" customHeight="1" x14ac:dyDescent="0.15">
      <c r="A30" s="2">
        <v>7019100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33">
        <f t="shared" si="3"/>
        <v>1197</v>
      </c>
      <c r="P30" s="34">
        <f t="shared" si="1"/>
        <v>1.2025316455696202E-2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36" ht="21" customHeight="1" x14ac:dyDescent="0.15">
      <c r="A31" s="2">
        <v>7019100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33">
        <f t="shared" si="3"/>
        <v>1197</v>
      </c>
      <c r="P31" s="34">
        <f t="shared" si="1"/>
        <v>1.2025316455696202E-2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36" ht="21" customHeight="1" x14ac:dyDescent="0.15">
      <c r="A32" s="2">
        <v>7019100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33">
        <f t="shared" si="3"/>
        <v>1197</v>
      </c>
      <c r="P32" s="34">
        <f t="shared" si="1"/>
        <v>1.2025316455696202E-2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>
        <v>7019100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33">
        <f t="shared" si="3"/>
        <v>1197</v>
      </c>
      <c r="P33" s="34">
        <f t="shared" si="1"/>
        <v>1.2025316455696202E-2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>
        <v>7019100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33">
        <f t="shared" si="3"/>
        <v>79</v>
      </c>
      <c r="P34" s="34">
        <f t="shared" si="1"/>
        <v>7.9365079365079365E-4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>
        <v>7019100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33">
        <f t="shared" si="3"/>
        <v>79</v>
      </c>
      <c r="P35" s="34">
        <f t="shared" si="1"/>
        <v>7.9365079365079365E-4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>
        <v>7019100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3">
        <f t="shared" si="3"/>
        <v>79</v>
      </c>
      <c r="P36" s="34">
        <f t="shared" si="1"/>
        <v>7.9365079365079365E-4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>
        <v>7019100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33">
        <f t="shared" si="3"/>
        <v>79</v>
      </c>
      <c r="P37" s="34">
        <f t="shared" si="1"/>
        <v>7.9365079365079365E-4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>
        <v>7019100</v>
      </c>
      <c r="B38" s="6">
        <v>382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33">
        <f t="shared" si="3"/>
        <v>1197</v>
      </c>
      <c r="P38" s="34">
        <f t="shared" si="1"/>
        <v>1.2025316455696202E-2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>
        <v>7019100</v>
      </c>
      <c r="B39" s="6">
        <v>384</v>
      </c>
      <c r="C39" s="7" t="str">
        <f t="shared" si="0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33">
        <f t="shared" si="3"/>
        <v>79</v>
      </c>
      <c r="P39" s="34">
        <f t="shared" si="1"/>
        <v>7.9365079365079365E-4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>
        <v>7019100</v>
      </c>
      <c r="B40" s="6">
        <v>386</v>
      </c>
      <c r="C40" s="7" t="str">
        <f t="shared" si="0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33">
        <f t="shared" si="3"/>
        <v>79</v>
      </c>
      <c r="P40" s="34">
        <f t="shared" si="1"/>
        <v>7.9365079365079365E-4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>
        <v>7019100</v>
      </c>
      <c r="B41" s="6">
        <v>389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33">
        <f t="shared" si="3"/>
        <v>1197</v>
      </c>
      <c r="P41" s="34">
        <f t="shared" si="1"/>
        <v>1.2025316455696202E-2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>
        <v>7019100</v>
      </c>
      <c r="B42" s="6">
        <v>391</v>
      </c>
      <c r="C42" s="7" t="str">
        <f t="shared" si="0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33">
        <f t="shared" si="3"/>
        <v>79</v>
      </c>
      <c r="P42" s="34">
        <f t="shared" si="1"/>
        <v>7.9365079365079365E-4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>
        <v>7019100</v>
      </c>
      <c r="B43" s="6">
        <v>394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33">
        <f t="shared" si="3"/>
        <v>1197</v>
      </c>
      <c r="P43" s="34">
        <f t="shared" si="1"/>
        <v>1.2025316455696202E-2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>
        <v>7019100</v>
      </c>
      <c r="B44" s="6">
        <v>397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33">
        <f t="shared" si="3"/>
        <v>1197</v>
      </c>
      <c r="P44" s="34">
        <f t="shared" si="1"/>
        <v>1.2025316455696202E-2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>
        <v>7019100</v>
      </c>
      <c r="B45" s="6">
        <v>399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33">
        <f t="shared" si="3"/>
        <v>79</v>
      </c>
      <c r="P45" s="34">
        <f t="shared" si="1"/>
        <v>7.9365079365079365E-4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>
        <v>7019100</v>
      </c>
      <c r="B46" s="6">
        <v>402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33">
        <f t="shared" si="3"/>
        <v>1197</v>
      </c>
      <c r="P46" s="34">
        <f t="shared" si="1"/>
        <v>1.2025316455696202E-2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>
        <v>7019100</v>
      </c>
      <c r="B47" s="6">
        <v>404</v>
      </c>
      <c r="C47" s="7" t="str">
        <f t="shared" si="0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33">
        <f t="shared" si="3"/>
        <v>79</v>
      </c>
      <c r="P47" s="34">
        <f t="shared" si="1"/>
        <v>7.9365079365079365E-4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>
        <v>7019100</v>
      </c>
      <c r="B48" s="6">
        <v>407</v>
      </c>
      <c r="C48" s="7" t="str">
        <f t="shared" si="0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33">
        <f t="shared" si="3"/>
        <v>1197</v>
      </c>
      <c r="P48" s="34">
        <f t="shared" si="1"/>
        <v>1.2025316455696202E-2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>
        <v>7019100</v>
      </c>
      <c r="B49" s="6">
        <v>409</v>
      </c>
      <c r="C49" s="7" t="str">
        <f t="shared" si="0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33">
        <f t="shared" si="3"/>
        <v>79</v>
      </c>
      <c r="P49" s="34">
        <f t="shared" si="1"/>
        <v>7.9365079365079365E-4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>
        <v>7019100</v>
      </c>
      <c r="B50" s="6">
        <v>435</v>
      </c>
      <c r="C50" s="7" t="str">
        <f t="shared" si="0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33">
        <f t="shared" si="3"/>
        <v>79</v>
      </c>
      <c r="P50" s="34">
        <f t="shared" si="1"/>
        <v>7.9365079365079365E-4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>
        <v>7019100</v>
      </c>
      <c r="B51" s="6">
        <v>438</v>
      </c>
      <c r="C51" s="7" t="str">
        <f t="shared" si="0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33">
        <f t="shared" si="3"/>
        <v>1197</v>
      </c>
      <c r="P51" s="34">
        <f t="shared" si="1"/>
        <v>1.2025316455696202E-2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>
        <v>7019100</v>
      </c>
      <c r="B52" s="6">
        <v>441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33">
        <f t="shared" si="3"/>
        <v>1197</v>
      </c>
      <c r="P52" s="34">
        <f t="shared" si="1"/>
        <v>1.2025316455696202E-2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>
        <v>7019100</v>
      </c>
      <c r="B53" s="6">
        <v>443</v>
      </c>
      <c r="C53" s="7" t="str">
        <f t="shared" si="0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33">
        <f t="shared" si="3"/>
        <v>79</v>
      </c>
      <c r="P53" s="34">
        <f t="shared" si="1"/>
        <v>7.9365079365079365E-4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>
        <v>7019100</v>
      </c>
      <c r="B54" s="6">
        <v>464</v>
      </c>
      <c r="C54" s="7" t="str">
        <f t="shared" si="0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33">
        <f t="shared" si="3"/>
        <v>1197</v>
      </c>
      <c r="P54" s="34">
        <f t="shared" si="1"/>
        <v>1.2025316455696202E-2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>
        <v>7019100</v>
      </c>
      <c r="B55" s="6">
        <v>466</v>
      </c>
      <c r="C55" s="7" t="str">
        <f t="shared" si="0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33">
        <f t="shared" si="3"/>
        <v>79</v>
      </c>
      <c r="P55" s="34">
        <f t="shared" si="1"/>
        <v>7.9365079365079365E-4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>
        <v>7019100</v>
      </c>
      <c r="B56" s="6">
        <v>468</v>
      </c>
      <c r="C56" s="7" t="str">
        <f t="shared" si="0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33">
        <f t="shared" si="3"/>
        <v>79</v>
      </c>
      <c r="P56" s="34">
        <f t="shared" si="1"/>
        <v>7.9365079365079365E-4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>
        <v>7019100</v>
      </c>
      <c r="B57" s="6">
        <v>471</v>
      </c>
      <c r="C57" s="7" t="str">
        <f t="shared" si="0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33">
        <f t="shared" si="3"/>
        <v>1197</v>
      </c>
      <c r="P57" s="34">
        <f t="shared" si="1"/>
        <v>1.2025316455696202E-2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>
        <v>7019100</v>
      </c>
      <c r="B58" s="6">
        <v>475</v>
      </c>
      <c r="C58" s="7" t="str">
        <f t="shared" si="0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33">
        <f t="shared" si="3"/>
        <v>79</v>
      </c>
      <c r="P58" s="34">
        <f t="shared" si="1"/>
        <v>7.9365079365079365E-4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>
        <v>7019100</v>
      </c>
      <c r="B59" s="6">
        <v>478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33">
        <f t="shared" si="3"/>
        <v>1197</v>
      </c>
      <c r="P59" s="34">
        <f t="shared" si="1"/>
        <v>1.2025316455696202E-2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>
        <v>7019100</v>
      </c>
      <c r="B60" s="6">
        <v>480</v>
      </c>
      <c r="C60" s="7" t="str">
        <f t="shared" si="0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33">
        <f t="shared" si="3"/>
        <v>79</v>
      </c>
      <c r="P60" s="34">
        <f t="shared" si="1"/>
        <v>7.9365079365079365E-4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>
        <v>7019100</v>
      </c>
      <c r="B61" s="6">
        <v>483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33">
        <f t="shared" si="3"/>
        <v>1197</v>
      </c>
      <c r="P61" s="34">
        <f t="shared" si="1"/>
        <v>1.2025316455696202E-2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>
        <v>7019100</v>
      </c>
      <c r="B62" s="8">
        <v>493</v>
      </c>
      <c r="C62" s="7" t="str">
        <f t="shared" si="0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33">
        <f t="shared" si="3"/>
        <v>79</v>
      </c>
      <c r="P62" s="34">
        <f t="shared" si="1"/>
        <v>7.9365079365079365E-4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>
        <v>7019100</v>
      </c>
      <c r="B63" s="8">
        <v>495</v>
      </c>
      <c r="C63" s="7" t="str">
        <f t="shared" si="0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33">
        <f t="shared" si="3"/>
        <v>79</v>
      </c>
      <c r="P63" s="34">
        <f t="shared" si="1"/>
        <v>7.9365079365079365E-4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>
        <v>7019100</v>
      </c>
      <c r="B64" s="8">
        <v>498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33">
        <f t="shared" si="3"/>
        <v>1197</v>
      </c>
      <c r="P64" s="34">
        <f t="shared" si="1"/>
        <v>1.2025316455696202E-2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36" ht="21" customHeight="1" x14ac:dyDescent="0.15">
      <c r="A65" s="2">
        <v>7019100</v>
      </c>
      <c r="B65" s="8">
        <v>500</v>
      </c>
      <c r="C65" s="7" t="str">
        <f t="shared" si="0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33">
        <f t="shared" si="3"/>
        <v>79</v>
      </c>
      <c r="P65" s="34">
        <f t="shared" si="1"/>
        <v>7.9365079365079365E-4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36" s="9" customFormat="1" ht="21" customHeight="1" thickBot="1" x14ac:dyDescent="0.2">
      <c r="A66" s="2">
        <v>7019100</v>
      </c>
      <c r="B66" s="6">
        <v>560</v>
      </c>
      <c r="C66" s="7" t="str">
        <f t="shared" ref="C66:C129" si="4">D66&amp;J66&amp;E66&amp;F66&amp;G66</f>
        <v>premium5R3less</v>
      </c>
      <c r="D66" s="7" t="str">
        <f t="shared" si="2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33">
        <f t="shared" si="3"/>
        <v>1197</v>
      </c>
      <c r="P66" s="34">
        <f t="shared" ref="P66:P129" si="5">O66/SUM(O:O)</f>
        <v>1.2025316455696202E-2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" customHeight="1" x14ac:dyDescent="0.15">
      <c r="A67" s="2">
        <v>7019100</v>
      </c>
      <c r="B67" s="6">
        <v>561</v>
      </c>
      <c r="C67" s="7" t="str">
        <f t="shared" si="4"/>
        <v>premium5R3less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33">
        <f t="shared" ref="O67:O130" si="7">IF(D67="Premium",1197,79)</f>
        <v>1197</v>
      </c>
      <c r="P67" s="34">
        <f t="shared" si="5"/>
        <v>1.2025316455696202E-2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36" ht="21" customHeight="1" x14ac:dyDescent="0.15">
      <c r="A68" s="2">
        <v>7019100</v>
      </c>
      <c r="B68" s="6">
        <v>562</v>
      </c>
      <c r="C68" s="7" t="str">
        <f t="shared" si="4"/>
        <v>premium5R3less</v>
      </c>
      <c r="D68" s="7" t="str">
        <f t="shared" si="6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33">
        <f t="shared" si="7"/>
        <v>1197</v>
      </c>
      <c r="P68" s="34">
        <f t="shared" si="5"/>
        <v>1.2025316455696202E-2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36" ht="21" customHeight="1" x14ac:dyDescent="0.15">
      <c r="A69" s="2">
        <v>7019100</v>
      </c>
      <c r="B69" s="6">
        <v>563</v>
      </c>
      <c r="C69" s="7" t="str">
        <f t="shared" si="4"/>
        <v>premium5R3less</v>
      </c>
      <c r="D69" s="7" t="str">
        <f t="shared" si="6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33">
        <f t="shared" si="7"/>
        <v>1197</v>
      </c>
      <c r="P69" s="34">
        <f t="shared" si="5"/>
        <v>1.2025316455696202E-2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36" ht="21" customHeight="1" x14ac:dyDescent="0.15">
      <c r="A70" s="2">
        <v>7019100</v>
      </c>
      <c r="B70" s="6">
        <v>566</v>
      </c>
      <c r="C70" s="7" t="str">
        <f t="shared" si="4"/>
        <v>premium5R3less</v>
      </c>
      <c r="D70" s="7" t="str">
        <f t="shared" si="6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33">
        <f t="shared" si="7"/>
        <v>1197</v>
      </c>
      <c r="P70" s="34">
        <f t="shared" si="5"/>
        <v>1.2025316455696202E-2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36" ht="21" customHeight="1" x14ac:dyDescent="0.15">
      <c r="A71" s="2">
        <v>7019100</v>
      </c>
      <c r="B71" s="6">
        <v>567</v>
      </c>
      <c r="C71" s="7" t="str">
        <f t="shared" si="4"/>
        <v>premium5R3less</v>
      </c>
      <c r="D71" s="7" t="str">
        <f t="shared" si="6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33">
        <f t="shared" si="7"/>
        <v>1197</v>
      </c>
      <c r="P71" s="34">
        <f t="shared" si="5"/>
        <v>1.2025316455696202E-2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36" ht="21" customHeight="1" x14ac:dyDescent="0.15">
      <c r="A72" s="2">
        <v>7019100</v>
      </c>
      <c r="B72" s="6">
        <v>587</v>
      </c>
      <c r="C72" s="7" t="str">
        <f t="shared" si="4"/>
        <v>PremiumSS5</v>
      </c>
      <c r="D72" s="7" t="str">
        <f t="shared" si="6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33">
        <f t="shared" si="7"/>
        <v>79</v>
      </c>
      <c r="P72" s="34">
        <f t="shared" si="5"/>
        <v>7.9365079365079365E-4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36" ht="21" customHeight="1" x14ac:dyDescent="0.15">
      <c r="A73" s="2">
        <v>7019100</v>
      </c>
      <c r="B73" s="6">
        <v>590</v>
      </c>
      <c r="C73" s="7" t="str">
        <f t="shared" si="4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33">
        <f t="shared" si="7"/>
        <v>1197</v>
      </c>
      <c r="P73" s="34">
        <f t="shared" si="5"/>
        <v>1.2025316455696202E-2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36" ht="21" customHeight="1" x14ac:dyDescent="0.15">
      <c r="A74" s="2">
        <v>7019100</v>
      </c>
      <c r="B74" s="6">
        <v>593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33">
        <f t="shared" si="7"/>
        <v>1197</v>
      </c>
      <c r="P74" s="34">
        <f t="shared" si="5"/>
        <v>1.2025316455696202E-2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36" ht="21" customHeight="1" x14ac:dyDescent="0.15">
      <c r="A75" s="2">
        <v>7019100</v>
      </c>
      <c r="B75" s="6">
        <v>595</v>
      </c>
      <c r="C75" s="7" t="str">
        <f t="shared" si="4"/>
        <v>PremiumSS5</v>
      </c>
      <c r="D75" s="7" t="str">
        <f t="shared" si="6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33">
        <f t="shared" si="7"/>
        <v>79</v>
      </c>
      <c r="P75" s="34">
        <f t="shared" si="5"/>
        <v>7.9365079365079365E-4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36" ht="21" customHeight="1" x14ac:dyDescent="0.15">
      <c r="A76" s="2">
        <v>7019100</v>
      </c>
      <c r="B76" s="6">
        <v>598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3">
        <f t="shared" si="7"/>
        <v>1197</v>
      </c>
      <c r="P76" s="34">
        <f t="shared" si="5"/>
        <v>1.2025316455696202E-2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36" ht="21" customHeight="1" x14ac:dyDescent="0.15">
      <c r="A77" s="2">
        <v>7019100</v>
      </c>
      <c r="B77" s="5">
        <v>601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33">
        <f t="shared" si="7"/>
        <v>1197</v>
      </c>
      <c r="P77" s="34">
        <f t="shared" si="5"/>
        <v>1.2025316455696202E-2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36" ht="21" customHeight="1" x14ac:dyDescent="0.15">
      <c r="A78" s="2">
        <v>7019100</v>
      </c>
      <c r="B78" s="5">
        <v>603</v>
      </c>
      <c r="C78" s="7" t="str">
        <f t="shared" si="4"/>
        <v>PremiumSS5</v>
      </c>
      <c r="D78" s="7" t="str">
        <f t="shared" si="6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33">
        <f t="shared" si="7"/>
        <v>79</v>
      </c>
      <c r="P78" s="34">
        <f t="shared" si="5"/>
        <v>7.9365079365079365E-4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36" ht="21" customHeight="1" x14ac:dyDescent="0.15">
      <c r="A79" s="2">
        <v>7019100</v>
      </c>
      <c r="B79" s="5">
        <v>606</v>
      </c>
      <c r="C79" s="7" t="str">
        <f t="shared" si="4"/>
        <v>Premium5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33">
        <f t="shared" si="7"/>
        <v>1197</v>
      </c>
      <c r="P79" s="34">
        <f t="shared" si="5"/>
        <v>1.2025316455696202E-2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36" ht="21" customHeight="1" x14ac:dyDescent="0.15">
      <c r="A80" s="2">
        <v>7019100</v>
      </c>
      <c r="B80" s="5">
        <v>659</v>
      </c>
      <c r="C80" s="7" t="str">
        <f t="shared" si="4"/>
        <v>PremiumSS5</v>
      </c>
      <c r="D80" s="7" t="str">
        <f t="shared" si="6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33">
        <f t="shared" si="7"/>
        <v>79</v>
      </c>
      <c r="P80" s="34">
        <f t="shared" si="5"/>
        <v>7.9365079365079365E-4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>
        <v>7019100</v>
      </c>
      <c r="B81" s="5">
        <v>661</v>
      </c>
      <c r="C81" s="7" t="str">
        <f t="shared" si="4"/>
        <v>PremiumSS5</v>
      </c>
      <c r="D81" s="7" t="str">
        <f t="shared" si="6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33">
        <f t="shared" si="7"/>
        <v>79</v>
      </c>
      <c r="P81" s="34">
        <f t="shared" si="5"/>
        <v>7.9365079365079365E-4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>
        <v>7019100</v>
      </c>
      <c r="B82" s="5">
        <v>664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33">
        <f t="shared" si="7"/>
        <v>1197</v>
      </c>
      <c r="P82" s="34">
        <f t="shared" si="5"/>
        <v>1.2025316455696202E-2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>
        <v>7019100</v>
      </c>
      <c r="B83" s="5">
        <v>667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33">
        <f t="shared" si="7"/>
        <v>1197</v>
      </c>
      <c r="P83" s="34">
        <f t="shared" si="5"/>
        <v>1.2025316455696202E-2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>
        <v>7019100</v>
      </c>
      <c r="B84" s="5">
        <v>670</v>
      </c>
      <c r="C84" s="7" t="str">
        <f t="shared" si="4"/>
        <v>Premium5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33">
        <f t="shared" si="7"/>
        <v>1197</v>
      </c>
      <c r="P84" s="34">
        <f t="shared" si="5"/>
        <v>1.2025316455696202E-2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>
        <v>7019100</v>
      </c>
      <c r="B85" s="5">
        <v>673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33">
        <f t="shared" si="7"/>
        <v>1197</v>
      </c>
      <c r="P85" s="34">
        <f t="shared" si="5"/>
        <v>1.2025316455696202E-2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>
        <v>7019100</v>
      </c>
      <c r="B86" s="5">
        <v>675</v>
      </c>
      <c r="C86" s="7" t="str">
        <f t="shared" si="4"/>
        <v>PremiumSS5</v>
      </c>
      <c r="D86" s="7" t="str">
        <f t="shared" si="6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33">
        <f t="shared" si="7"/>
        <v>79</v>
      </c>
      <c r="P86" s="34">
        <f t="shared" si="5"/>
        <v>7.9365079365079365E-4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>
        <v>7019100</v>
      </c>
      <c r="B87" s="5">
        <v>677</v>
      </c>
      <c r="C87" s="7" t="str">
        <f t="shared" si="4"/>
        <v>PremiumSS5</v>
      </c>
      <c r="D87" s="7" t="str">
        <f t="shared" si="6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33">
        <f t="shared" si="7"/>
        <v>79</v>
      </c>
      <c r="P87" s="34">
        <f t="shared" si="5"/>
        <v>7.9365079365079365E-4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>
        <v>7019100</v>
      </c>
      <c r="B88" s="5">
        <v>729</v>
      </c>
      <c r="C88" s="7" t="str">
        <f t="shared" si="4"/>
        <v>Premium5R3less</v>
      </c>
      <c r="D88" s="7" t="str">
        <f t="shared" si="6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33">
        <f t="shared" si="7"/>
        <v>1197</v>
      </c>
      <c r="P88" s="34">
        <f t="shared" si="5"/>
        <v>1.2025316455696202E-2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>
        <v>7019100</v>
      </c>
      <c r="B89" s="5">
        <v>731</v>
      </c>
      <c r="C89" s="7" t="str">
        <f t="shared" si="4"/>
        <v>Premium5R3less</v>
      </c>
      <c r="D89" s="7" t="str">
        <f t="shared" si="6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33">
        <f t="shared" si="7"/>
        <v>1197</v>
      </c>
      <c r="P89" s="34">
        <f t="shared" si="5"/>
        <v>1.2025316455696202E-2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>
        <v>7019100</v>
      </c>
      <c r="B90" s="5">
        <v>732</v>
      </c>
      <c r="C90" s="7" t="str">
        <f t="shared" si="4"/>
        <v>PremiumSS5R5only</v>
      </c>
      <c r="D90" s="7" t="str">
        <f t="shared" si="6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33">
        <f t="shared" si="7"/>
        <v>79</v>
      </c>
      <c r="P90" s="34">
        <f t="shared" si="5"/>
        <v>7.9365079365079365E-4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>
        <v>7019100</v>
      </c>
      <c r="B91" s="5">
        <v>734</v>
      </c>
      <c r="C91" s="7" t="str">
        <f t="shared" si="4"/>
        <v>PremiumSS5R5only</v>
      </c>
      <c r="D91" s="7" t="str">
        <f t="shared" si="6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33">
        <f t="shared" si="7"/>
        <v>79</v>
      </c>
      <c r="P91" s="34">
        <f t="shared" si="5"/>
        <v>7.9365079365079365E-4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>
        <v>7019100</v>
      </c>
      <c r="B92" s="5">
        <v>742</v>
      </c>
      <c r="C92" s="7" t="str">
        <f t="shared" si="4"/>
        <v>PremiumSS5R5only</v>
      </c>
      <c r="D92" s="7" t="str">
        <f t="shared" si="6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33">
        <f t="shared" si="7"/>
        <v>79</v>
      </c>
      <c r="P92" s="34">
        <f t="shared" si="5"/>
        <v>7.9365079365079365E-4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>
        <v>7019100</v>
      </c>
      <c r="B93" s="5">
        <v>744</v>
      </c>
      <c r="C93" s="7" t="str">
        <f t="shared" si="4"/>
        <v>PremiumSS5R5only</v>
      </c>
      <c r="D93" s="7" t="str">
        <f t="shared" si="6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33">
        <f t="shared" si="7"/>
        <v>79</v>
      </c>
      <c r="P93" s="34">
        <f t="shared" si="5"/>
        <v>7.9365079365079365E-4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>
        <v>7019100</v>
      </c>
      <c r="B94" s="5">
        <v>747</v>
      </c>
      <c r="C94" s="7" t="str">
        <f t="shared" si="4"/>
        <v>Premium5R3less</v>
      </c>
      <c r="D94" s="7" t="str">
        <f t="shared" si="6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33">
        <f t="shared" si="7"/>
        <v>1197</v>
      </c>
      <c r="P94" s="34">
        <f t="shared" si="5"/>
        <v>1.2025316455696202E-2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>
        <v>7019100</v>
      </c>
      <c r="B95" s="5">
        <v>749</v>
      </c>
      <c r="C95" s="7" t="str">
        <f t="shared" si="4"/>
        <v>Premium5R3less</v>
      </c>
      <c r="D95" s="7" t="str">
        <f t="shared" si="6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33">
        <f t="shared" si="7"/>
        <v>1197</v>
      </c>
      <c r="P95" s="34">
        <f t="shared" si="5"/>
        <v>1.2025316455696202E-2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>
        <v>7019100</v>
      </c>
      <c r="B96" s="5">
        <v>771</v>
      </c>
      <c r="C96" s="7" t="str">
        <f t="shared" si="4"/>
        <v>PremiumSS5</v>
      </c>
      <c r="D96" s="7" t="str">
        <f t="shared" si="6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33">
        <f t="shared" si="7"/>
        <v>79</v>
      </c>
      <c r="P96" s="34">
        <f t="shared" si="5"/>
        <v>7.9365079365079365E-4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>
        <v>7019100</v>
      </c>
      <c r="B97" s="5">
        <v>773</v>
      </c>
      <c r="C97" s="7" t="str">
        <f t="shared" si="4"/>
        <v>PremiumSS5</v>
      </c>
      <c r="D97" s="7" t="str">
        <f t="shared" si="6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33">
        <f t="shared" si="7"/>
        <v>79</v>
      </c>
      <c r="P97" s="34">
        <f t="shared" si="5"/>
        <v>7.9365079365079365E-4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>
        <v>7019100</v>
      </c>
      <c r="B98" s="5">
        <v>776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33">
        <f t="shared" si="7"/>
        <v>1197</v>
      </c>
      <c r="P98" s="34">
        <f t="shared" si="5"/>
        <v>1.2025316455696202E-2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>
        <v>7019100</v>
      </c>
      <c r="B99" s="5">
        <v>779</v>
      </c>
      <c r="C99" s="7" t="str">
        <f t="shared" si="4"/>
        <v>Premium5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33">
        <f t="shared" si="7"/>
        <v>1197</v>
      </c>
      <c r="P99" s="34">
        <f t="shared" si="5"/>
        <v>1.2025316455696202E-2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>
        <v>7019100</v>
      </c>
      <c r="B100" s="5">
        <v>848</v>
      </c>
      <c r="C100" s="7" t="str">
        <f t="shared" si="4"/>
        <v>PremiumSS5R5only</v>
      </c>
      <c r="D100" s="7" t="str">
        <f t="shared" si="6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33">
        <f t="shared" si="7"/>
        <v>79</v>
      </c>
      <c r="P100" s="34">
        <f t="shared" si="5"/>
        <v>7.9365079365079365E-4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>
        <v>7019100</v>
      </c>
      <c r="B101" s="5">
        <v>850</v>
      </c>
      <c r="C101" s="7" t="str">
        <f t="shared" si="4"/>
        <v>PremiumSS5R5only</v>
      </c>
      <c r="D101" s="7" t="str">
        <f t="shared" si="6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33">
        <f t="shared" si="7"/>
        <v>79</v>
      </c>
      <c r="P101" s="34">
        <f t="shared" si="5"/>
        <v>7.9365079365079365E-4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>
        <v>7019100</v>
      </c>
      <c r="B102" s="5">
        <v>853</v>
      </c>
      <c r="C102" s="7" t="str">
        <f t="shared" si="4"/>
        <v>Premium5R3less</v>
      </c>
      <c r="D102" s="7" t="str">
        <f t="shared" si="6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3">
        <f t="shared" si="7"/>
        <v>1197</v>
      </c>
      <c r="P102" s="34">
        <f t="shared" si="5"/>
        <v>1.2025316455696202E-2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>
        <v>7019100</v>
      </c>
      <c r="B103" s="5">
        <v>855</v>
      </c>
      <c r="C103" s="7" t="str">
        <f t="shared" si="4"/>
        <v>Premium5R3less</v>
      </c>
      <c r="D103" s="7" t="str">
        <f t="shared" si="6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33">
        <f t="shared" si="7"/>
        <v>1197</v>
      </c>
      <c r="P103" s="34">
        <f t="shared" si="5"/>
        <v>1.2025316455696202E-2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>
        <v>7019100</v>
      </c>
      <c r="B104" s="5">
        <v>863</v>
      </c>
      <c r="C104" s="7" t="str">
        <f t="shared" si="4"/>
        <v>Premium5R3less</v>
      </c>
      <c r="D104" s="7" t="str">
        <f t="shared" si="6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33">
        <f t="shared" si="7"/>
        <v>1197</v>
      </c>
      <c r="P104" s="34">
        <f t="shared" si="5"/>
        <v>1.2025316455696202E-2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>
        <v>7019100</v>
      </c>
      <c r="B105" s="5">
        <v>865</v>
      </c>
      <c r="C105" s="7" t="str">
        <f t="shared" si="4"/>
        <v>Premium5R3less</v>
      </c>
      <c r="D105" s="7" t="str">
        <f t="shared" si="6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33">
        <f t="shared" si="7"/>
        <v>1197</v>
      </c>
      <c r="P105" s="34">
        <f t="shared" si="5"/>
        <v>1.2025316455696202E-2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>
        <v>7019100</v>
      </c>
      <c r="B106" s="5">
        <v>866</v>
      </c>
      <c r="C106" s="7" t="str">
        <f t="shared" si="4"/>
        <v>PremiumSS5R5only</v>
      </c>
      <c r="D106" s="7" t="str">
        <f t="shared" si="6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33">
        <f t="shared" si="7"/>
        <v>79</v>
      </c>
      <c r="P106" s="34">
        <f t="shared" si="5"/>
        <v>7.9365079365079365E-4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>
        <v>7019100</v>
      </c>
      <c r="B107" s="5">
        <v>868</v>
      </c>
      <c r="C107" s="7" t="str">
        <f t="shared" si="4"/>
        <v>PremiumSS5R5only</v>
      </c>
      <c r="D107" s="7" t="str">
        <f t="shared" si="6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33">
        <f t="shared" si="7"/>
        <v>79</v>
      </c>
      <c r="P107" s="34">
        <f t="shared" si="5"/>
        <v>7.9365079365079365E-4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>
        <v>7019100</v>
      </c>
      <c r="B108" s="5">
        <v>937</v>
      </c>
      <c r="C108" s="7" t="str">
        <f t="shared" si="4"/>
        <v>PremiumSS5R5only</v>
      </c>
      <c r="D108" s="7" t="str">
        <f t="shared" si="6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33">
        <f t="shared" si="7"/>
        <v>79</v>
      </c>
      <c r="P108" s="34">
        <f t="shared" si="5"/>
        <v>7.9365079365079365E-4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>
        <v>7019100</v>
      </c>
      <c r="B109" s="5">
        <v>940</v>
      </c>
      <c r="C109" s="7" t="str">
        <f t="shared" si="4"/>
        <v>Premium5R3less</v>
      </c>
      <c r="D109" s="7" t="str">
        <f t="shared" si="6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33">
        <f t="shared" si="7"/>
        <v>1197</v>
      </c>
      <c r="P109" s="34">
        <f t="shared" si="5"/>
        <v>1.2025316455696202E-2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>
        <v>7019100</v>
      </c>
      <c r="B110" s="5">
        <v>941</v>
      </c>
      <c r="C110" s="7" t="str">
        <f t="shared" si="4"/>
        <v>PremiumSS5R5only</v>
      </c>
      <c r="D110" s="7" t="str">
        <f t="shared" si="6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33">
        <f t="shared" si="7"/>
        <v>79</v>
      </c>
      <c r="P110" s="34">
        <f t="shared" si="5"/>
        <v>7.9365079365079365E-4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>
        <v>7019100</v>
      </c>
      <c r="B111" s="5">
        <v>943</v>
      </c>
      <c r="C111" s="7" t="str">
        <f t="shared" si="4"/>
        <v>PremiumSS5R5only</v>
      </c>
      <c r="D111" s="7" t="str">
        <f t="shared" si="6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33">
        <f t="shared" si="7"/>
        <v>79</v>
      </c>
      <c r="P111" s="34">
        <f t="shared" si="5"/>
        <v>7.9365079365079365E-4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>
        <v>7019100</v>
      </c>
      <c r="B112" s="5">
        <v>1012</v>
      </c>
      <c r="C112" s="7" t="str">
        <f t="shared" si="4"/>
        <v>PremiumSS5R5only</v>
      </c>
      <c r="D112" s="7" t="str">
        <f t="shared" si="6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33">
        <f t="shared" si="7"/>
        <v>79</v>
      </c>
      <c r="P112" s="34">
        <f t="shared" si="5"/>
        <v>7.9365079365079365E-4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>
        <v>7019100</v>
      </c>
      <c r="B113" s="5">
        <v>1014</v>
      </c>
      <c r="C113" s="7" t="str">
        <f t="shared" si="4"/>
        <v>PremiumSS5R5only</v>
      </c>
      <c r="D113" s="7" t="str">
        <f t="shared" si="6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33">
        <f t="shared" si="7"/>
        <v>79</v>
      </c>
      <c r="P113" s="34">
        <f t="shared" si="5"/>
        <v>7.9365079365079365E-4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>
        <v>7019100</v>
      </c>
      <c r="B114" s="5">
        <v>1017</v>
      </c>
      <c r="C114" s="7" t="str">
        <f t="shared" si="4"/>
        <v>Premium5R3less</v>
      </c>
      <c r="D114" s="7" t="str">
        <f t="shared" si="6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33">
        <f t="shared" si="7"/>
        <v>1197</v>
      </c>
      <c r="P114" s="34">
        <f t="shared" si="5"/>
        <v>1.2025316455696202E-2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>
        <v>7019100</v>
      </c>
      <c r="B115" s="5">
        <v>1018</v>
      </c>
      <c r="C115" s="7" t="str">
        <f t="shared" si="4"/>
        <v>PremiumSS5R5only</v>
      </c>
      <c r="D115" s="7" t="str">
        <f t="shared" si="6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33">
        <f t="shared" si="7"/>
        <v>79</v>
      </c>
      <c r="P115" s="34">
        <f t="shared" si="5"/>
        <v>7.9365079365079365E-4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>
        <v>7019100</v>
      </c>
      <c r="B116" s="5">
        <v>1027</v>
      </c>
      <c r="C116" s="7" t="str">
        <f t="shared" si="4"/>
        <v>Premium5R3less</v>
      </c>
      <c r="D116" s="7" t="str">
        <f t="shared" si="6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33">
        <f t="shared" si="7"/>
        <v>1197</v>
      </c>
      <c r="P116" s="34">
        <f t="shared" si="5"/>
        <v>1.2025316455696202E-2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>
        <v>7019100</v>
      </c>
      <c r="B117" s="5">
        <v>1028</v>
      </c>
      <c r="C117" s="7" t="str">
        <f t="shared" si="4"/>
        <v>PremiumSS5R5only</v>
      </c>
      <c r="D117" s="7" t="str">
        <f t="shared" si="6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33">
        <f t="shared" si="7"/>
        <v>79</v>
      </c>
      <c r="P117" s="34">
        <f t="shared" si="5"/>
        <v>7.9365079365079365E-4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>
        <v>7019100</v>
      </c>
      <c r="B118" s="5">
        <v>1031</v>
      </c>
      <c r="C118" s="7" t="str">
        <f t="shared" si="4"/>
        <v>PremiumSS5R5only</v>
      </c>
      <c r="D118" s="7" t="str">
        <f t="shared" si="6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33">
        <f t="shared" si="7"/>
        <v>79</v>
      </c>
      <c r="P118" s="34">
        <f t="shared" si="5"/>
        <v>7.9365079365079365E-4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>
        <v>7019100</v>
      </c>
      <c r="B119" s="5">
        <v>1033</v>
      </c>
      <c r="C119" s="7" t="str">
        <f t="shared" si="4"/>
        <v>PremiumSS5R5only</v>
      </c>
      <c r="D119" s="7" t="str">
        <f t="shared" si="6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33">
        <f t="shared" si="7"/>
        <v>79</v>
      </c>
      <c r="P119" s="34">
        <f t="shared" si="5"/>
        <v>7.9365079365079365E-4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>
        <v>7019100</v>
      </c>
      <c r="B120" s="5">
        <v>1068</v>
      </c>
      <c r="C120" s="7" t="str">
        <f t="shared" si="4"/>
        <v>Premium5R3less</v>
      </c>
      <c r="D120" s="7" t="str">
        <f t="shared" si="6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33">
        <f t="shared" si="7"/>
        <v>1197</v>
      </c>
      <c r="P120" s="34">
        <f t="shared" si="5"/>
        <v>1.2025316455696202E-2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>
        <v>7019100</v>
      </c>
      <c r="B121" s="5">
        <v>1069</v>
      </c>
      <c r="C121" s="7" t="str">
        <f t="shared" si="4"/>
        <v>PremiumSS5R5only</v>
      </c>
      <c r="D121" s="7" t="str">
        <f t="shared" si="6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33">
        <f t="shared" si="7"/>
        <v>79</v>
      </c>
      <c r="P121" s="34">
        <f t="shared" si="5"/>
        <v>7.9365079365079365E-4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>
        <v>7019100</v>
      </c>
      <c r="B122" s="5">
        <v>1072</v>
      </c>
      <c r="C122" s="7" t="str">
        <f t="shared" si="4"/>
        <v>PremiumSS5R5only</v>
      </c>
      <c r="D122" s="7" t="str">
        <f t="shared" si="6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33">
        <f t="shared" si="7"/>
        <v>79</v>
      </c>
      <c r="P122" s="34">
        <f t="shared" si="5"/>
        <v>7.9365079365079365E-4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>
        <v>7019100</v>
      </c>
      <c r="B123" s="5">
        <v>1074</v>
      </c>
      <c r="C123" s="7" t="str">
        <f t="shared" si="4"/>
        <v>PremiumSS5R5only</v>
      </c>
      <c r="D123" s="7" t="str">
        <f t="shared" si="6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33">
        <f t="shared" si="7"/>
        <v>79</v>
      </c>
      <c r="P123" s="34">
        <f t="shared" si="5"/>
        <v>7.9365079365079365E-4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>
        <v>7019100</v>
      </c>
      <c r="B124" s="5">
        <v>1100</v>
      </c>
      <c r="C124" s="7" t="str">
        <f t="shared" si="4"/>
        <v>PremiumSS5R5only</v>
      </c>
      <c r="D124" s="7" t="str">
        <f t="shared" si="6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33">
        <f t="shared" si="7"/>
        <v>79</v>
      </c>
      <c r="P124" s="34">
        <f t="shared" si="5"/>
        <v>7.9365079365079365E-4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>
        <v>7019100</v>
      </c>
      <c r="B125" s="6">
        <v>1102</v>
      </c>
      <c r="C125" s="7" t="str">
        <f t="shared" si="4"/>
        <v>PremiumSS5R5only</v>
      </c>
      <c r="D125" s="7" t="str">
        <f t="shared" si="6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33">
        <f t="shared" si="7"/>
        <v>79</v>
      </c>
      <c r="P125" s="34">
        <f t="shared" si="5"/>
        <v>7.9365079365079365E-4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>
        <v>7019100</v>
      </c>
      <c r="B126" s="6">
        <v>1105</v>
      </c>
      <c r="C126" s="7" t="str">
        <f t="shared" si="4"/>
        <v>Premium5R3less</v>
      </c>
      <c r="D126" s="7" t="str">
        <f t="shared" si="6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33">
        <f t="shared" si="7"/>
        <v>1197</v>
      </c>
      <c r="P126" s="34">
        <f t="shared" si="5"/>
        <v>1.2025316455696202E-2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>
        <v>7019100</v>
      </c>
      <c r="B127" s="6">
        <v>1106</v>
      </c>
      <c r="C127" s="7" t="str">
        <f t="shared" si="4"/>
        <v>PremiumSS5R5only</v>
      </c>
      <c r="D127" s="7" t="str">
        <f t="shared" si="6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33">
        <f t="shared" si="7"/>
        <v>79</v>
      </c>
      <c r="P127" s="34">
        <f t="shared" si="5"/>
        <v>7.9365079365079365E-4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>
        <v>7019100</v>
      </c>
      <c r="B128" s="6">
        <v>1137</v>
      </c>
      <c r="C128" s="7" t="str">
        <f t="shared" si="4"/>
        <v>PremiumSS5R5only</v>
      </c>
      <c r="D128" s="7" t="str">
        <f t="shared" si="6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33">
        <f t="shared" si="7"/>
        <v>79</v>
      </c>
      <c r="P128" s="34">
        <f t="shared" si="5"/>
        <v>7.9365079365079365E-4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36" ht="21" customHeight="1" x14ac:dyDescent="0.15">
      <c r="A129" s="2">
        <v>7019100</v>
      </c>
      <c r="B129" s="6">
        <v>1139</v>
      </c>
      <c r="C129" s="7" t="str">
        <f t="shared" si="4"/>
        <v>PremiumSS5R5only</v>
      </c>
      <c r="D129" s="7" t="str">
        <f t="shared" si="6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33">
        <f t="shared" si="7"/>
        <v>79</v>
      </c>
      <c r="P129" s="34">
        <f t="shared" si="5"/>
        <v>7.9365079365079365E-4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36" ht="21" customHeight="1" x14ac:dyDescent="0.15">
      <c r="A130" s="2">
        <v>7019100</v>
      </c>
      <c r="B130" s="6">
        <v>1141</v>
      </c>
      <c r="C130" s="7" t="str">
        <f t="shared" ref="C130:C139" si="8">D130&amp;J130&amp;E130&amp;F130&amp;G130</f>
        <v>PremiumSS5R5only</v>
      </c>
      <c r="D130" s="7" t="str">
        <f t="shared" si="6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33">
        <f t="shared" si="7"/>
        <v>79</v>
      </c>
      <c r="P130" s="34">
        <f t="shared" ref="P130:P139" si="9">O130/SUM(O:O)</f>
        <v>7.9365079365079365E-4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36" ht="21" customHeight="1" x14ac:dyDescent="0.15">
      <c r="A131" s="2">
        <v>7019100</v>
      </c>
      <c r="B131" s="6">
        <v>1144</v>
      </c>
      <c r="C131" s="7" t="str">
        <f t="shared" si="8"/>
        <v>Premium5R3less</v>
      </c>
      <c r="D131" s="7" t="str">
        <f t="shared" ref="D131:D139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33">
        <f t="shared" ref="O131:O143" si="11">IF(D131="Premium",1197,79)</f>
        <v>1197</v>
      </c>
      <c r="P131" s="34">
        <f t="shared" si="9"/>
        <v>1.2025316455696202E-2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36" ht="21" customHeight="1" x14ac:dyDescent="0.15">
      <c r="A132" s="2">
        <v>7019100</v>
      </c>
      <c r="B132" s="6">
        <v>1152</v>
      </c>
      <c r="C132" s="7" t="str">
        <f t="shared" si="8"/>
        <v>Premium5R3less</v>
      </c>
      <c r="D132" s="7" t="str">
        <f t="shared" si="10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33">
        <f t="shared" si="11"/>
        <v>1197</v>
      </c>
      <c r="P132" s="34">
        <f t="shared" si="9"/>
        <v>1.2025316455696202E-2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36" ht="21" customHeight="1" x14ac:dyDescent="0.15">
      <c r="A133" s="2">
        <v>7019100</v>
      </c>
      <c r="B133" s="6">
        <v>1153</v>
      </c>
      <c r="C133" s="7" t="str">
        <f t="shared" si="8"/>
        <v>PremiumSS5R5only</v>
      </c>
      <c r="D133" s="7" t="str">
        <f t="shared" si="10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33">
        <f t="shared" si="11"/>
        <v>79</v>
      </c>
      <c r="P133" s="34">
        <f t="shared" si="9"/>
        <v>7.9365079365079365E-4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36" ht="21" customHeight="1" x14ac:dyDescent="0.15">
      <c r="A134" s="2">
        <v>7019100</v>
      </c>
      <c r="B134" s="6">
        <v>1155</v>
      </c>
      <c r="C134" s="7" t="str">
        <f t="shared" si="8"/>
        <v>PremiumSS5R5only</v>
      </c>
      <c r="D134" s="7" t="str">
        <f t="shared" si="10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33">
        <f t="shared" si="11"/>
        <v>79</v>
      </c>
      <c r="P134" s="34">
        <f t="shared" si="9"/>
        <v>7.9365079365079365E-4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36" ht="21" customHeight="1" x14ac:dyDescent="0.15">
      <c r="A135" s="2">
        <v>7019100</v>
      </c>
      <c r="B135" s="6">
        <v>1157</v>
      </c>
      <c r="C135" s="7" t="str">
        <f t="shared" si="8"/>
        <v>PremiumSS5R5only</v>
      </c>
      <c r="D135" s="7" t="str">
        <f t="shared" si="10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33">
        <f t="shared" si="11"/>
        <v>79</v>
      </c>
      <c r="P135" s="34">
        <f t="shared" si="9"/>
        <v>7.9365079365079365E-4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36" ht="21" customHeight="1" x14ac:dyDescent="0.15">
      <c r="A136" s="2">
        <v>7019100</v>
      </c>
      <c r="B136" s="8">
        <v>1214</v>
      </c>
      <c r="C136" s="7" t="str">
        <f t="shared" si="8"/>
        <v>PremiumSS5R5only</v>
      </c>
      <c r="D136" s="7" t="str">
        <f t="shared" si="10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33">
        <f t="shared" si="11"/>
        <v>79</v>
      </c>
      <c r="P136" s="34">
        <f t="shared" si="9"/>
        <v>7.9365079365079365E-4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36" ht="21" customHeight="1" x14ac:dyDescent="0.15">
      <c r="A137" s="2">
        <v>7019100</v>
      </c>
      <c r="B137" s="8">
        <v>1212</v>
      </c>
      <c r="C137" s="7" t="str">
        <f t="shared" si="8"/>
        <v>PremiumSS5R5only</v>
      </c>
      <c r="D137" s="7" t="str">
        <f t="shared" si="10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33">
        <f t="shared" si="11"/>
        <v>79</v>
      </c>
      <c r="P137" s="34">
        <f t="shared" si="9"/>
        <v>7.9365079365079365E-4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36" ht="21" customHeight="1" x14ac:dyDescent="0.15">
      <c r="A138" s="2">
        <v>7019100</v>
      </c>
      <c r="B138" s="6">
        <v>1208</v>
      </c>
      <c r="C138" s="7" t="str">
        <f t="shared" si="8"/>
        <v>PremiumSS5R5only</v>
      </c>
      <c r="D138" s="7" t="str">
        <f t="shared" si="10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33">
        <f t="shared" si="11"/>
        <v>79</v>
      </c>
      <c r="P138" s="34">
        <f t="shared" si="9"/>
        <v>7.9365079365079365E-4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36" ht="21" customHeight="1" x14ac:dyDescent="0.15">
      <c r="A139" s="2">
        <v>7019100</v>
      </c>
      <c r="B139" s="6">
        <v>1211</v>
      </c>
      <c r="C139" s="7" t="str">
        <f t="shared" si="8"/>
        <v>Premium5R3less</v>
      </c>
      <c r="D139" s="7" t="str">
        <f t="shared" si="10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33">
        <f t="shared" si="11"/>
        <v>1197</v>
      </c>
      <c r="P139" s="34">
        <f t="shared" si="9"/>
        <v>1.2025316455696202E-2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36" ht="21" customHeight="1" x14ac:dyDescent="0.15">
      <c r="A140" s="2">
        <v>7019100</v>
      </c>
      <c r="B140" s="53">
        <v>1225</v>
      </c>
      <c r="C140" s="7" t="str">
        <f t="shared" ref="C140:C143" si="12">D140&amp;J140&amp;E140&amp;F140&amp;G140</f>
        <v>Premium5R3less</v>
      </c>
      <c r="D140" s="7" t="str">
        <f t="shared" ref="D140:D143" si="13">IF(OR(I140="PremiumSS",I140="PremiumSSw"),"PremiumSS",IF(I140="PremiumSSS",I140,IF(I140="PremiumW",IF(J140=5,"premium",I140),"Premium")))</f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33">
        <f t="shared" si="11"/>
        <v>1197</v>
      </c>
      <c r="P140" s="34">
        <f t="shared" ref="P140:P143" si="14">O140/SUM(O:O)</f>
        <v>1.2025316455696202E-2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36" ht="21" customHeight="1" x14ac:dyDescent="0.15">
      <c r="A141" s="2">
        <v>7019100</v>
      </c>
      <c r="B141" s="53">
        <v>1226</v>
      </c>
      <c r="C141" s="7" t="str">
        <f t="shared" si="12"/>
        <v>PremiumSS5R5only</v>
      </c>
      <c r="D141" s="7" t="str">
        <f t="shared" si="13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33">
        <f t="shared" si="11"/>
        <v>79</v>
      </c>
      <c r="P141" s="34">
        <f t="shared" si="14"/>
        <v>7.9365079365079365E-4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36" ht="21" customHeight="1" x14ac:dyDescent="0.15">
      <c r="A142" s="2">
        <v>7019100</v>
      </c>
      <c r="B142" s="53">
        <v>1228</v>
      </c>
      <c r="C142" s="7" t="str">
        <f t="shared" si="12"/>
        <v>PremiumSS5R5only</v>
      </c>
      <c r="D142" s="7" t="str">
        <f t="shared" si="13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33">
        <f t="shared" si="11"/>
        <v>79</v>
      </c>
      <c r="P142" s="34">
        <f t="shared" si="14"/>
        <v>7.9365079365079365E-4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36" s="12" customFormat="1" ht="21" customHeight="1" thickBot="1" x14ac:dyDescent="0.2">
      <c r="A143" s="2">
        <v>7019100</v>
      </c>
      <c r="B143" s="53">
        <v>1230</v>
      </c>
      <c r="C143" s="7" t="str">
        <f t="shared" si="12"/>
        <v>PremiumSS5R5only</v>
      </c>
      <c r="D143" s="7" t="str">
        <f t="shared" si="13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33">
        <f t="shared" si="11"/>
        <v>79</v>
      </c>
      <c r="P143" s="34">
        <f t="shared" si="14"/>
        <v>7.9365079365079365E-4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" customHeight="1" x14ac:dyDescent="0.15">
      <c r="A144" s="52"/>
      <c r="B144" s="53"/>
      <c r="C144" s="52"/>
      <c r="D144" s="52"/>
      <c r="E144" s="52">
        <f>COUNTIF(D:D,"Premium")</f>
        <v>79</v>
      </c>
      <c r="F144" s="52">
        <f>E146*0.95/E144</f>
        <v>1197</v>
      </c>
      <c r="G144" s="52"/>
      <c r="H144" s="52"/>
      <c r="I144" s="52"/>
      <c r="J144" s="52"/>
      <c r="K144" s="52"/>
      <c r="L144" s="52"/>
      <c r="M144" s="52"/>
      <c r="N144" s="52"/>
      <c r="O144" s="54"/>
      <c r="P144" s="55"/>
      <c r="Q144" s="56"/>
      <c r="R144" s="56"/>
      <c r="S144" s="56"/>
      <c r="T144" s="56"/>
      <c r="U144" s="56"/>
      <c r="V144" s="56"/>
    </row>
    <row r="145" spans="1:22" ht="21" customHeight="1" x14ac:dyDescent="0.15">
      <c r="A145" s="52"/>
      <c r="B145" s="53"/>
      <c r="C145" s="52"/>
      <c r="D145" s="52"/>
      <c r="E145" s="52">
        <f>COUNTIF(D:D,"PremiumSS")</f>
        <v>63</v>
      </c>
      <c r="F145" s="52">
        <f>E146*0.05/E145</f>
        <v>79</v>
      </c>
      <c r="G145" s="52"/>
      <c r="H145" s="52"/>
      <c r="I145" s="52"/>
      <c r="J145" s="52"/>
      <c r="K145" s="52"/>
      <c r="L145" s="52"/>
      <c r="M145" s="52"/>
      <c r="N145" s="52"/>
      <c r="O145" s="54"/>
      <c r="P145" s="55"/>
      <c r="Q145" s="56"/>
      <c r="R145" s="56"/>
      <c r="S145" s="56"/>
      <c r="T145" s="56"/>
      <c r="U145" s="56"/>
      <c r="V145" s="56"/>
    </row>
    <row r="146" spans="1:22" ht="21" customHeight="1" x14ac:dyDescent="0.15">
      <c r="A146" s="52"/>
      <c r="B146" s="53"/>
      <c r="C146" s="52"/>
      <c r="D146" s="52"/>
      <c r="E146" s="52">
        <f>E144*E145*20</f>
        <v>99540</v>
      </c>
      <c r="F146" s="52">
        <f>GCD(F144,F145)</f>
        <v>1</v>
      </c>
      <c r="G146" s="52"/>
      <c r="H146" s="52"/>
      <c r="I146" s="52"/>
      <c r="J146" s="52"/>
      <c r="K146" s="52"/>
      <c r="L146" s="52"/>
      <c r="M146" s="52"/>
      <c r="N146" s="52"/>
      <c r="O146" s="54"/>
      <c r="P146" s="55"/>
      <c r="Q146" s="56"/>
      <c r="R146" s="56"/>
      <c r="S146" s="56"/>
      <c r="T146" s="56"/>
      <c r="U146" s="56"/>
      <c r="V146" s="56"/>
    </row>
    <row r="147" spans="1:22" ht="21" customHeight="1" x14ac:dyDescent="0.15">
      <c r="A147" s="52"/>
      <c r="B147" s="53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4"/>
      <c r="P147" s="55"/>
      <c r="Q147" s="56"/>
      <c r="R147" s="56"/>
      <c r="S147" s="56"/>
      <c r="T147" s="56"/>
      <c r="U147" s="56"/>
      <c r="V147" s="56"/>
    </row>
    <row r="148" spans="1:22" ht="21" customHeight="1" x14ac:dyDescent="0.15">
      <c r="A148" s="52"/>
      <c r="B148" s="53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4"/>
      <c r="P148" s="55"/>
      <c r="Q148" s="56"/>
      <c r="R148" s="56"/>
      <c r="S148" s="56"/>
      <c r="T148" s="56"/>
      <c r="U148" s="56"/>
      <c r="V148" s="56"/>
    </row>
    <row r="149" spans="1:22" ht="21" customHeight="1" x14ac:dyDescent="0.15">
      <c r="A149" s="52"/>
      <c r="B149" s="53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4"/>
      <c r="P149" s="55"/>
      <c r="Q149" s="56"/>
      <c r="R149" s="56"/>
      <c r="S149" s="56"/>
      <c r="T149" s="56"/>
      <c r="U149" s="56"/>
      <c r="V149" s="56"/>
    </row>
    <row r="150" spans="1:22" ht="21" customHeight="1" x14ac:dyDescent="0.15">
      <c r="A150" s="52"/>
      <c r="B150" s="53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4"/>
      <c r="P150" s="55"/>
      <c r="Q150" s="56"/>
      <c r="R150" s="56"/>
      <c r="S150" s="56"/>
      <c r="T150" s="56"/>
      <c r="U150" s="56"/>
      <c r="V150" s="56"/>
    </row>
    <row r="151" spans="1:22" ht="21" customHeight="1" x14ac:dyDescent="0.15">
      <c r="A151" s="52"/>
      <c r="B151" s="53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4"/>
      <c r="P151" s="55"/>
      <c r="Q151" s="56"/>
      <c r="R151" s="56"/>
      <c r="S151" s="56"/>
      <c r="T151" s="56"/>
      <c r="U151" s="56"/>
      <c r="V151" s="56"/>
    </row>
    <row r="152" spans="1:22" ht="21" customHeight="1" x14ac:dyDescent="0.15">
      <c r="A152" s="52"/>
      <c r="B152" s="53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4"/>
      <c r="P152" s="55"/>
      <c r="Q152" s="56"/>
      <c r="R152" s="56"/>
      <c r="S152" s="56"/>
      <c r="T152" s="56"/>
      <c r="U152" s="56"/>
      <c r="V152" s="56"/>
    </row>
    <row r="153" spans="1:22" ht="21" customHeight="1" x14ac:dyDescent="0.15">
      <c r="A153" s="52"/>
      <c r="B153" s="53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4"/>
      <c r="P153" s="55"/>
      <c r="Q153" s="56"/>
      <c r="R153" s="56"/>
      <c r="S153" s="56"/>
      <c r="T153" s="56"/>
      <c r="U153" s="56"/>
      <c r="V153" s="56"/>
    </row>
    <row r="154" spans="1:22" ht="21" customHeight="1" x14ac:dyDescent="0.15">
      <c r="A154" s="52"/>
      <c r="B154" s="53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4"/>
      <c r="P154" s="55"/>
      <c r="Q154" s="56"/>
      <c r="R154" s="56"/>
      <c r="S154" s="56"/>
      <c r="T154" s="56"/>
      <c r="U154" s="56"/>
      <c r="V154" s="56"/>
    </row>
    <row r="155" spans="1:22" ht="21" customHeight="1" x14ac:dyDescent="0.15">
      <c r="A155" s="52"/>
      <c r="B155" s="53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4"/>
      <c r="P155" s="55"/>
      <c r="Q155" s="56"/>
      <c r="R155" s="56"/>
      <c r="S155" s="56"/>
      <c r="T155" s="56"/>
      <c r="U155" s="56"/>
      <c r="V155" s="56"/>
    </row>
    <row r="156" spans="1:22" ht="21" customHeight="1" x14ac:dyDescent="0.15">
      <c r="A156" s="52"/>
      <c r="B156" s="53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4"/>
      <c r="P156" s="55"/>
      <c r="Q156" s="56"/>
      <c r="R156" s="56"/>
      <c r="S156" s="56"/>
      <c r="T156" s="56"/>
      <c r="U156" s="56"/>
      <c r="V156" s="56"/>
    </row>
    <row r="157" spans="1:22" ht="21" customHeight="1" x14ac:dyDescent="0.15">
      <c r="A157" s="52"/>
      <c r="B157" s="53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4"/>
      <c r="P157" s="55"/>
      <c r="Q157" s="56"/>
      <c r="R157" s="56"/>
      <c r="S157" s="56"/>
      <c r="T157" s="56"/>
      <c r="U157" s="56"/>
      <c r="V157" s="56"/>
    </row>
    <row r="158" spans="1:22" ht="21" customHeight="1" x14ac:dyDescent="0.15">
      <c r="A158" s="52"/>
      <c r="B158" s="53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4"/>
      <c r="P158" s="55"/>
      <c r="Q158" s="56"/>
      <c r="R158" s="56"/>
      <c r="S158" s="56"/>
      <c r="T158" s="56"/>
      <c r="U158" s="56"/>
      <c r="V158" s="56"/>
    </row>
    <row r="159" spans="1:22" ht="21" customHeight="1" x14ac:dyDescent="0.15">
      <c r="A159" s="52"/>
      <c r="B159" s="53"/>
      <c r="C159" s="52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4"/>
      <c r="P159" s="55"/>
      <c r="Q159" s="56"/>
      <c r="R159" s="56"/>
      <c r="S159" s="56"/>
      <c r="T159" s="56"/>
      <c r="U159" s="56"/>
      <c r="V159" s="56"/>
    </row>
    <row r="160" spans="1:22" ht="21" customHeight="1" x14ac:dyDescent="0.15">
      <c r="A160" s="52"/>
      <c r="B160" s="53"/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4"/>
      <c r="P160" s="55"/>
      <c r="Q160" s="56"/>
      <c r="R160" s="56"/>
      <c r="S160" s="56"/>
      <c r="T160" s="56"/>
      <c r="U160" s="56"/>
      <c r="V160" s="56"/>
    </row>
    <row r="161" spans="1:22" ht="21" customHeight="1" x14ac:dyDescent="0.15">
      <c r="A161" s="52"/>
      <c r="B161" s="53"/>
      <c r="C161" s="52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4"/>
      <c r="P161" s="55"/>
      <c r="Q161" s="56"/>
      <c r="R161" s="56"/>
      <c r="S161" s="56"/>
      <c r="T161" s="56"/>
      <c r="U161" s="56"/>
      <c r="V161" s="56"/>
    </row>
    <row r="162" spans="1:22" ht="21" customHeight="1" x14ac:dyDescent="0.15">
      <c r="A162" s="52"/>
      <c r="B162" s="53"/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4"/>
      <c r="P162" s="55"/>
      <c r="Q162" s="56"/>
      <c r="R162" s="56"/>
      <c r="S162" s="56"/>
      <c r="T162" s="56"/>
      <c r="U162" s="56"/>
      <c r="V162" s="56"/>
    </row>
    <row r="163" spans="1:22" ht="21" customHeight="1" x14ac:dyDescent="0.15">
      <c r="A163" s="52"/>
      <c r="B163" s="53"/>
      <c r="C163" s="52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4"/>
      <c r="P163" s="55"/>
      <c r="Q163" s="56"/>
      <c r="R163" s="56"/>
      <c r="S163" s="56"/>
      <c r="T163" s="56"/>
      <c r="U163" s="56"/>
      <c r="V163" s="56"/>
    </row>
    <row r="164" spans="1:22" ht="21" customHeight="1" x14ac:dyDescent="0.15">
      <c r="A164" s="52"/>
      <c r="B164" s="53"/>
      <c r="C164" s="52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4"/>
      <c r="P164" s="55"/>
      <c r="Q164" s="56"/>
      <c r="R164" s="56"/>
      <c r="S164" s="56"/>
      <c r="T164" s="56"/>
      <c r="U164" s="56"/>
      <c r="V164" s="56"/>
    </row>
    <row r="165" spans="1:22" ht="21" customHeight="1" x14ac:dyDescent="0.15">
      <c r="A165" s="52"/>
      <c r="B165" s="53"/>
      <c r="C165" s="52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4"/>
      <c r="P165" s="55"/>
      <c r="Q165" s="56"/>
      <c r="R165" s="56"/>
      <c r="S165" s="56"/>
      <c r="T165" s="56"/>
      <c r="U165" s="56"/>
      <c r="V165" s="56"/>
    </row>
    <row r="166" spans="1:22" ht="21" customHeight="1" x14ac:dyDescent="0.15">
      <c r="A166" s="52"/>
      <c r="B166" s="53"/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4"/>
      <c r="P166" s="55"/>
      <c r="Q166" s="56"/>
      <c r="R166" s="56"/>
      <c r="S166" s="56"/>
      <c r="T166" s="56"/>
      <c r="U166" s="56"/>
      <c r="V166" s="56"/>
    </row>
    <row r="167" spans="1:22" ht="21" customHeight="1" x14ac:dyDescent="0.15">
      <c r="A167" s="52"/>
      <c r="B167" s="53"/>
      <c r="C167" s="52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4"/>
      <c r="P167" s="55"/>
      <c r="Q167" s="56"/>
      <c r="R167" s="56"/>
      <c r="S167" s="56"/>
      <c r="T167" s="56"/>
      <c r="U167" s="56"/>
      <c r="V167" s="56"/>
    </row>
    <row r="168" spans="1:22" ht="21" customHeight="1" x14ac:dyDescent="0.15">
      <c r="A168" s="52"/>
      <c r="B168" s="53"/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4"/>
      <c r="P168" s="55"/>
      <c r="Q168" s="56"/>
      <c r="R168" s="56"/>
      <c r="S168" s="56"/>
      <c r="T168" s="56"/>
      <c r="U168" s="56"/>
      <c r="V168" s="56"/>
    </row>
    <row r="169" spans="1:22" ht="21" customHeight="1" x14ac:dyDescent="0.15">
      <c r="A169" s="52"/>
      <c r="B169" s="53"/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4"/>
      <c r="P169" s="55"/>
      <c r="Q169" s="56"/>
      <c r="R169" s="56"/>
      <c r="S169" s="56"/>
      <c r="T169" s="56"/>
      <c r="U169" s="56"/>
      <c r="V169" s="56"/>
    </row>
    <row r="170" spans="1:22" ht="21" customHeight="1" x14ac:dyDescent="0.15">
      <c r="A170" s="52"/>
      <c r="B170" s="53"/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4"/>
      <c r="P170" s="55"/>
      <c r="Q170" s="56"/>
      <c r="R170" s="56"/>
      <c r="S170" s="56"/>
      <c r="T170" s="56"/>
      <c r="U170" s="56"/>
      <c r="V170" s="56"/>
    </row>
    <row r="171" spans="1:22" ht="21" customHeight="1" x14ac:dyDescent="0.15">
      <c r="A171" s="52"/>
      <c r="B171" s="53"/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4"/>
      <c r="P171" s="55"/>
      <c r="Q171" s="56"/>
      <c r="R171" s="56"/>
      <c r="S171" s="56"/>
      <c r="T171" s="56"/>
      <c r="U171" s="56"/>
      <c r="V171" s="56"/>
    </row>
    <row r="172" spans="1:22" ht="21" customHeight="1" x14ac:dyDescent="0.15">
      <c r="A172" s="52"/>
      <c r="B172" s="53"/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4"/>
      <c r="P172" s="55"/>
      <c r="Q172" s="56"/>
      <c r="R172" s="56"/>
      <c r="S172" s="56"/>
      <c r="T172" s="56"/>
      <c r="U172" s="56"/>
      <c r="V172" s="56"/>
    </row>
    <row r="173" spans="1:22" ht="21" customHeight="1" x14ac:dyDescent="0.15">
      <c r="A173" s="52"/>
      <c r="B173" s="53"/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4"/>
      <c r="P173" s="55"/>
      <c r="Q173" s="56"/>
      <c r="R173" s="56"/>
      <c r="S173" s="56"/>
      <c r="T173" s="56"/>
      <c r="U173" s="56"/>
      <c r="V173" s="56"/>
    </row>
    <row r="174" spans="1:22" ht="21" customHeight="1" x14ac:dyDescent="0.15">
      <c r="A174" s="52"/>
      <c r="B174" s="53"/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4"/>
      <c r="P174" s="55"/>
      <c r="Q174" s="56"/>
      <c r="R174" s="56"/>
      <c r="S174" s="56"/>
      <c r="T174" s="56"/>
      <c r="U174" s="56"/>
      <c r="V174" s="56"/>
    </row>
    <row r="175" spans="1:22" ht="21" customHeight="1" x14ac:dyDescent="0.15">
      <c r="A175" s="52"/>
      <c r="B175" s="53"/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4"/>
      <c r="P175" s="55"/>
      <c r="Q175" s="56"/>
      <c r="R175" s="56"/>
      <c r="S175" s="56"/>
      <c r="T175" s="56"/>
      <c r="U175" s="56"/>
      <c r="V175" s="56"/>
    </row>
    <row r="176" spans="1:22" ht="21" customHeight="1" x14ac:dyDescent="0.15">
      <c r="A176" s="52"/>
      <c r="B176" s="53"/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4"/>
      <c r="P176" s="55"/>
      <c r="Q176" s="56"/>
      <c r="R176" s="56"/>
      <c r="S176" s="56"/>
      <c r="T176" s="56"/>
      <c r="U176" s="56"/>
      <c r="V176" s="56"/>
    </row>
    <row r="177" spans="1:36" ht="21" customHeight="1" x14ac:dyDescent="0.15">
      <c r="A177" s="52"/>
      <c r="B177" s="53"/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4"/>
      <c r="P177" s="55"/>
      <c r="Q177" s="56"/>
      <c r="R177" s="56"/>
      <c r="S177" s="56"/>
      <c r="T177" s="56"/>
      <c r="U177" s="56"/>
      <c r="V177" s="56"/>
    </row>
    <row r="178" spans="1:36" ht="21" customHeight="1" x14ac:dyDescent="0.15">
      <c r="A178" s="52"/>
      <c r="B178" s="53"/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4"/>
      <c r="P178" s="55"/>
      <c r="Q178" s="56"/>
      <c r="R178" s="56"/>
      <c r="S178" s="56"/>
      <c r="T178" s="56"/>
      <c r="U178" s="56"/>
      <c r="V178" s="56"/>
    </row>
    <row r="179" spans="1:36" ht="21" customHeight="1" x14ac:dyDescent="0.15">
      <c r="A179" s="52"/>
      <c r="B179" s="53"/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4"/>
      <c r="P179" s="55"/>
      <c r="Q179" s="56"/>
      <c r="R179" s="56"/>
      <c r="S179" s="56"/>
      <c r="T179" s="56"/>
      <c r="U179" s="56"/>
      <c r="V179" s="56"/>
    </row>
    <row r="180" spans="1:36" ht="21" customHeight="1" x14ac:dyDescent="0.15">
      <c r="A180" s="52"/>
      <c r="B180" s="53"/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4"/>
      <c r="P180" s="55"/>
      <c r="Q180" s="56"/>
      <c r="R180" s="56"/>
      <c r="S180" s="56"/>
      <c r="T180" s="56"/>
      <c r="U180" s="56"/>
      <c r="V180" s="56"/>
    </row>
    <row r="181" spans="1:36" ht="21" customHeight="1" x14ac:dyDescent="0.15">
      <c r="A181" s="52"/>
      <c r="B181" s="53"/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4"/>
      <c r="P181" s="55"/>
      <c r="Q181" s="56"/>
      <c r="R181" s="56"/>
      <c r="S181" s="56"/>
      <c r="T181" s="56"/>
      <c r="U181" s="56"/>
      <c r="V181" s="56"/>
    </row>
    <row r="182" spans="1:36" ht="21" customHeight="1" x14ac:dyDescent="0.15">
      <c r="A182" s="52"/>
      <c r="B182" s="53"/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4"/>
      <c r="P182" s="55"/>
      <c r="Q182" s="56"/>
      <c r="R182" s="56"/>
      <c r="S182" s="56"/>
      <c r="T182" s="56"/>
      <c r="U182" s="56"/>
      <c r="V182" s="56"/>
    </row>
    <row r="183" spans="1:36" ht="21" customHeight="1" x14ac:dyDescent="0.15">
      <c r="A183" s="52"/>
      <c r="B183" s="53"/>
      <c r="C183" s="52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4"/>
      <c r="P183" s="55"/>
      <c r="Q183" s="56"/>
      <c r="R183" s="56"/>
      <c r="S183" s="56"/>
      <c r="T183" s="56"/>
      <c r="U183" s="56"/>
      <c r="V183" s="56"/>
    </row>
    <row r="184" spans="1:36" ht="21" customHeight="1" x14ac:dyDescent="0.15">
      <c r="A184" s="52"/>
      <c r="B184" s="53"/>
      <c r="C184" s="52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4"/>
      <c r="P184" s="55"/>
      <c r="Q184" s="56"/>
      <c r="R184" s="56"/>
      <c r="S184" s="56"/>
      <c r="T184" s="56"/>
      <c r="U184" s="56"/>
      <c r="V184" s="56"/>
    </row>
    <row r="185" spans="1:36" ht="21" customHeight="1" x14ac:dyDescent="0.15">
      <c r="A185" s="52"/>
      <c r="B185" s="53"/>
      <c r="C185" s="52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4"/>
      <c r="P185" s="55"/>
      <c r="Q185" s="56"/>
      <c r="R185" s="56"/>
      <c r="S185" s="56"/>
      <c r="T185" s="56"/>
      <c r="U185" s="56"/>
      <c r="V185" s="56"/>
    </row>
    <row r="186" spans="1:36" ht="21" customHeight="1" x14ac:dyDescent="0.15">
      <c r="A186" s="52"/>
      <c r="B186" s="57"/>
      <c r="C186" s="52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4"/>
      <c r="P186" s="55"/>
      <c r="Q186" s="56"/>
      <c r="R186" s="56"/>
      <c r="S186" s="56"/>
      <c r="T186" s="56"/>
      <c r="U186" s="56"/>
      <c r="V186" s="56"/>
    </row>
    <row r="187" spans="1:36" ht="21" customHeight="1" x14ac:dyDescent="0.15">
      <c r="A187" s="52"/>
      <c r="B187" s="57"/>
      <c r="C187" s="52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4"/>
      <c r="P187" s="55"/>
      <c r="Q187" s="56"/>
      <c r="R187" s="56"/>
      <c r="S187" s="56"/>
      <c r="T187" s="56"/>
      <c r="U187" s="56"/>
      <c r="V187" s="56"/>
    </row>
    <row r="188" spans="1:36" ht="21" customHeight="1" x14ac:dyDescent="0.15">
      <c r="A188" s="52"/>
      <c r="B188" s="57"/>
      <c r="C188" s="52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4"/>
      <c r="P188" s="55"/>
      <c r="Q188" s="56"/>
      <c r="R188" s="56"/>
      <c r="S188" s="56"/>
      <c r="T188" s="56"/>
      <c r="U188" s="56"/>
      <c r="V188" s="56"/>
    </row>
    <row r="189" spans="1:36" ht="21" customHeight="1" x14ac:dyDescent="0.15">
      <c r="A189" s="52"/>
      <c r="B189" s="57"/>
      <c r="C189" s="52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4"/>
      <c r="P189" s="55"/>
      <c r="Q189" s="56"/>
      <c r="R189" s="56"/>
      <c r="S189" s="56"/>
      <c r="T189" s="56"/>
      <c r="U189" s="56"/>
      <c r="V189" s="56"/>
    </row>
    <row r="190" spans="1:36" s="9" customFormat="1" ht="21" customHeight="1" thickBot="1" x14ac:dyDescent="0.2">
      <c r="A190" s="52"/>
      <c r="B190" s="53"/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4"/>
      <c r="P190" s="55"/>
      <c r="Q190" s="56"/>
      <c r="R190" s="56"/>
      <c r="S190" s="56"/>
      <c r="T190" s="56"/>
      <c r="U190" s="56"/>
      <c r="V190" s="56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</row>
    <row r="191" spans="1:36" ht="21" customHeight="1" x14ac:dyDescent="0.15">
      <c r="A191" s="52"/>
      <c r="B191" s="53"/>
      <c r="C191" s="52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4"/>
      <c r="P191" s="55"/>
      <c r="Q191" s="56"/>
      <c r="R191" s="56"/>
      <c r="S191" s="56"/>
      <c r="T191" s="56"/>
      <c r="U191" s="56"/>
      <c r="V191" s="56"/>
    </row>
    <row r="192" spans="1:36" ht="21" customHeight="1" x14ac:dyDescent="0.15">
      <c r="A192" s="52"/>
      <c r="B192" s="53"/>
      <c r="C192" s="52"/>
      <c r="D192" s="52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4"/>
      <c r="P192" s="55"/>
      <c r="Q192" s="56"/>
      <c r="R192" s="56"/>
      <c r="S192" s="56"/>
      <c r="T192" s="56"/>
      <c r="U192" s="56"/>
      <c r="V192" s="56"/>
    </row>
    <row r="193" spans="1:22" ht="21" customHeight="1" x14ac:dyDescent="0.15">
      <c r="A193" s="52"/>
      <c r="B193" s="53"/>
      <c r="C193" s="52"/>
      <c r="D193" s="52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4"/>
      <c r="P193" s="55"/>
      <c r="Q193" s="56"/>
      <c r="R193" s="56"/>
      <c r="S193" s="56"/>
      <c r="T193" s="56"/>
      <c r="U193" s="56"/>
      <c r="V193" s="56"/>
    </row>
    <row r="194" spans="1:22" ht="21" customHeight="1" x14ac:dyDescent="0.15">
      <c r="A194" s="52"/>
      <c r="B194" s="53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4"/>
      <c r="P194" s="55"/>
      <c r="Q194" s="56"/>
      <c r="R194" s="56"/>
      <c r="S194" s="56"/>
      <c r="T194" s="56"/>
      <c r="U194" s="56"/>
      <c r="V194" s="56"/>
    </row>
    <row r="195" spans="1:22" ht="21" customHeight="1" x14ac:dyDescent="0.15">
      <c r="A195" s="52"/>
      <c r="B195" s="53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4"/>
      <c r="P195" s="55"/>
      <c r="Q195" s="56"/>
      <c r="R195" s="56"/>
      <c r="S195" s="56"/>
      <c r="T195" s="56"/>
      <c r="U195" s="56"/>
      <c r="V195" s="56"/>
    </row>
    <row r="196" spans="1:22" ht="21" customHeight="1" x14ac:dyDescent="0.15">
      <c r="A196" s="52"/>
      <c r="B196" s="53"/>
      <c r="C196" s="52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4"/>
      <c r="P196" s="55"/>
      <c r="Q196" s="56"/>
      <c r="R196" s="56"/>
      <c r="S196" s="56"/>
      <c r="T196" s="56"/>
      <c r="U196" s="56"/>
      <c r="V196" s="56"/>
    </row>
    <row r="197" spans="1:22" ht="21" customHeight="1" x14ac:dyDescent="0.15">
      <c r="A197" s="52"/>
      <c r="B197" s="53"/>
      <c r="C197" s="52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4"/>
      <c r="P197" s="55"/>
      <c r="Q197" s="56"/>
      <c r="R197" s="56"/>
      <c r="S197" s="56"/>
      <c r="T197" s="56"/>
      <c r="U197" s="56"/>
      <c r="V197" s="56"/>
    </row>
    <row r="198" spans="1:22" ht="21" customHeight="1" x14ac:dyDescent="0.15">
      <c r="A198" s="52"/>
      <c r="B198" s="53"/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4"/>
      <c r="P198" s="55"/>
      <c r="Q198" s="56"/>
      <c r="R198" s="56"/>
      <c r="S198" s="56"/>
      <c r="T198" s="56"/>
      <c r="U198" s="56"/>
      <c r="V198" s="56"/>
    </row>
    <row r="199" spans="1:22" ht="21" customHeight="1" x14ac:dyDescent="0.15">
      <c r="A199" s="52"/>
      <c r="B199" s="53"/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4"/>
      <c r="P199" s="55"/>
      <c r="Q199" s="56"/>
      <c r="R199" s="56"/>
      <c r="S199" s="56"/>
      <c r="T199" s="56"/>
      <c r="U199" s="56"/>
      <c r="V199" s="56"/>
    </row>
    <row r="200" spans="1:22" ht="21" customHeight="1" x14ac:dyDescent="0.15">
      <c r="A200" s="52"/>
      <c r="B200" s="53"/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4"/>
      <c r="P200" s="55"/>
      <c r="Q200" s="56"/>
      <c r="R200" s="56"/>
      <c r="S200" s="56"/>
      <c r="T200" s="56"/>
      <c r="U200" s="56"/>
      <c r="V200" s="56"/>
    </row>
    <row r="201" spans="1:22" ht="21" customHeight="1" x14ac:dyDescent="0.15">
      <c r="A201" s="52"/>
      <c r="B201" s="53"/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4"/>
      <c r="P201" s="55"/>
      <c r="Q201" s="56"/>
      <c r="R201" s="56"/>
      <c r="S201" s="56"/>
      <c r="T201" s="56"/>
      <c r="U201" s="56"/>
      <c r="V201" s="56"/>
    </row>
    <row r="202" spans="1:22" ht="21" customHeight="1" x14ac:dyDescent="0.15">
      <c r="A202" s="52"/>
      <c r="B202" s="53"/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4"/>
      <c r="P202" s="55"/>
      <c r="Q202" s="56"/>
      <c r="R202" s="56"/>
      <c r="S202" s="56"/>
      <c r="T202" s="56"/>
      <c r="U202" s="56"/>
      <c r="V202" s="56"/>
    </row>
    <row r="203" spans="1:22" ht="21" customHeight="1" x14ac:dyDescent="0.15">
      <c r="A203" s="52"/>
      <c r="B203" s="53"/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4"/>
      <c r="P203" s="55"/>
      <c r="Q203" s="56"/>
      <c r="R203" s="56"/>
      <c r="S203" s="56"/>
      <c r="T203" s="56"/>
      <c r="U203" s="56"/>
      <c r="V203" s="56"/>
    </row>
    <row r="204" spans="1:22" ht="21" customHeight="1" x14ac:dyDescent="0.15">
      <c r="A204" s="52"/>
      <c r="B204" s="53"/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4"/>
      <c r="P204" s="55"/>
      <c r="Q204" s="56"/>
      <c r="R204" s="56"/>
      <c r="S204" s="56"/>
      <c r="T204" s="56"/>
      <c r="U204" s="56"/>
      <c r="V204" s="56"/>
    </row>
    <row r="205" spans="1:22" ht="21" customHeight="1" x14ac:dyDescent="0.15">
      <c r="A205" s="52"/>
      <c r="B205" s="53"/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4"/>
      <c r="P205" s="55"/>
      <c r="Q205" s="56"/>
      <c r="R205" s="56"/>
      <c r="S205" s="56"/>
      <c r="T205" s="56"/>
      <c r="U205" s="56"/>
      <c r="V205" s="56"/>
    </row>
    <row r="206" spans="1:22" ht="21" customHeight="1" x14ac:dyDescent="0.15">
      <c r="A206" s="52"/>
      <c r="B206" s="53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4"/>
      <c r="P206" s="55"/>
      <c r="Q206" s="56"/>
      <c r="R206" s="56"/>
      <c r="S206" s="56"/>
      <c r="T206" s="56"/>
      <c r="U206" s="56"/>
      <c r="V206" s="56"/>
    </row>
    <row r="207" spans="1:22" ht="21" customHeight="1" x14ac:dyDescent="0.15">
      <c r="A207" s="52"/>
      <c r="B207" s="53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4"/>
      <c r="P207" s="55"/>
      <c r="Q207" s="56"/>
      <c r="R207" s="56"/>
      <c r="S207" s="56"/>
      <c r="T207" s="56"/>
      <c r="U207" s="56"/>
      <c r="V207" s="56"/>
    </row>
    <row r="208" spans="1:22" ht="21" customHeight="1" x14ac:dyDescent="0.15">
      <c r="A208" s="52"/>
      <c r="B208" s="53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4"/>
      <c r="P208" s="55"/>
      <c r="Q208" s="56"/>
      <c r="R208" s="56"/>
      <c r="S208" s="56"/>
      <c r="T208" s="56"/>
      <c r="U208" s="56"/>
      <c r="V208" s="56"/>
    </row>
    <row r="209" spans="1:22" ht="21" customHeight="1" x14ac:dyDescent="0.15">
      <c r="A209" s="52"/>
      <c r="B209" s="53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4"/>
      <c r="P209" s="55"/>
      <c r="Q209" s="56"/>
      <c r="R209" s="56"/>
      <c r="S209" s="56"/>
      <c r="T209" s="56"/>
      <c r="U209" s="56"/>
      <c r="V209" s="56"/>
    </row>
    <row r="210" spans="1:22" ht="21" customHeight="1" x14ac:dyDescent="0.15">
      <c r="A210" s="52"/>
      <c r="B210" s="53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4"/>
      <c r="P210" s="55"/>
      <c r="Q210" s="56"/>
      <c r="R210" s="56"/>
      <c r="S210" s="56"/>
      <c r="T210" s="56"/>
      <c r="U210" s="56"/>
      <c r="V210" s="56"/>
    </row>
    <row r="211" spans="1:22" ht="21" customHeight="1" x14ac:dyDescent="0.15">
      <c r="A211" s="52"/>
      <c r="B211" s="53"/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4"/>
      <c r="P211" s="55"/>
      <c r="Q211" s="56"/>
      <c r="R211" s="56"/>
      <c r="S211" s="56"/>
      <c r="T211" s="56"/>
      <c r="U211" s="56"/>
      <c r="V211" s="56"/>
    </row>
    <row r="212" spans="1:22" ht="21" customHeight="1" x14ac:dyDescent="0.15">
      <c r="A212" s="52"/>
      <c r="B212" s="53"/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4"/>
      <c r="P212" s="55"/>
      <c r="Q212" s="56"/>
      <c r="R212" s="56"/>
      <c r="S212" s="56"/>
      <c r="T212" s="56"/>
      <c r="U212" s="56"/>
      <c r="V212" s="56"/>
    </row>
    <row r="213" spans="1:22" ht="21" customHeight="1" x14ac:dyDescent="0.15">
      <c r="A213" s="52"/>
      <c r="B213" s="53"/>
      <c r="C213" s="52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4"/>
      <c r="P213" s="55"/>
      <c r="Q213" s="56"/>
      <c r="R213" s="56"/>
      <c r="S213" s="56"/>
      <c r="T213" s="56"/>
      <c r="U213" s="56"/>
      <c r="V213" s="56"/>
    </row>
    <row r="214" spans="1:22" ht="21" customHeight="1" x14ac:dyDescent="0.15">
      <c r="A214" s="52"/>
      <c r="B214" s="53"/>
      <c r="C214" s="52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4"/>
      <c r="P214" s="55"/>
      <c r="Q214" s="56"/>
      <c r="R214" s="56"/>
      <c r="S214" s="56"/>
      <c r="T214" s="56"/>
      <c r="U214" s="56"/>
      <c r="V214" s="56"/>
    </row>
    <row r="215" spans="1:22" ht="21" customHeight="1" x14ac:dyDescent="0.15">
      <c r="A215" s="52"/>
      <c r="B215" s="53"/>
      <c r="C215" s="52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4"/>
      <c r="P215" s="55"/>
      <c r="Q215" s="56"/>
      <c r="R215" s="56"/>
      <c r="S215" s="56"/>
      <c r="T215" s="56"/>
      <c r="U215" s="56"/>
      <c r="V215" s="56"/>
    </row>
    <row r="216" spans="1:22" ht="21" customHeight="1" x14ac:dyDescent="0.15">
      <c r="A216" s="52"/>
      <c r="B216" s="53"/>
      <c r="C216" s="52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4"/>
      <c r="P216" s="55"/>
      <c r="Q216" s="56"/>
      <c r="R216" s="56"/>
      <c r="S216" s="56"/>
      <c r="T216" s="56"/>
      <c r="U216" s="56"/>
      <c r="V216" s="56"/>
    </row>
    <row r="217" spans="1:22" ht="21" customHeight="1" x14ac:dyDescent="0.15">
      <c r="A217" s="52"/>
      <c r="B217" s="53"/>
      <c r="C217" s="52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4"/>
      <c r="P217" s="55"/>
      <c r="Q217" s="56"/>
      <c r="R217" s="56"/>
      <c r="S217" s="56"/>
      <c r="T217" s="56"/>
      <c r="U217" s="56"/>
      <c r="V217" s="56"/>
    </row>
    <row r="218" spans="1:22" ht="21" customHeight="1" x14ac:dyDescent="0.15">
      <c r="A218" s="52"/>
      <c r="B218" s="53"/>
      <c r="C218" s="52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4"/>
      <c r="P218" s="55"/>
      <c r="Q218" s="56"/>
      <c r="R218" s="56"/>
      <c r="S218" s="56"/>
      <c r="T218" s="56"/>
      <c r="U218" s="56"/>
      <c r="V218" s="56"/>
    </row>
    <row r="219" spans="1:22" ht="21" customHeight="1" x14ac:dyDescent="0.15">
      <c r="A219" s="52"/>
      <c r="B219" s="53"/>
      <c r="C219" s="52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4"/>
      <c r="P219" s="55"/>
      <c r="Q219" s="56"/>
      <c r="R219" s="56"/>
      <c r="S219" s="56"/>
      <c r="T219" s="56"/>
      <c r="U219" s="56"/>
      <c r="V219" s="56"/>
    </row>
    <row r="220" spans="1:22" ht="21" customHeight="1" x14ac:dyDescent="0.15">
      <c r="A220" s="52"/>
      <c r="B220" s="53"/>
      <c r="C220" s="52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4"/>
      <c r="P220" s="55"/>
      <c r="Q220" s="56"/>
      <c r="R220" s="56"/>
      <c r="S220" s="56"/>
      <c r="T220" s="56"/>
      <c r="U220" s="56"/>
      <c r="V220" s="56"/>
    </row>
    <row r="221" spans="1:22" ht="21" customHeight="1" x14ac:dyDescent="0.15">
      <c r="A221" s="52"/>
      <c r="B221" s="53"/>
      <c r="C221" s="52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4"/>
      <c r="P221" s="55"/>
      <c r="Q221" s="56"/>
      <c r="R221" s="56"/>
      <c r="S221" s="56"/>
      <c r="T221" s="56"/>
      <c r="U221" s="56"/>
      <c r="V221" s="56"/>
    </row>
    <row r="222" spans="1:22" ht="21" customHeight="1" x14ac:dyDescent="0.15">
      <c r="A222" s="52"/>
      <c r="B222" s="53"/>
      <c r="C222" s="52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4"/>
      <c r="P222" s="55"/>
      <c r="Q222" s="56"/>
      <c r="R222" s="56"/>
      <c r="S222" s="56"/>
      <c r="T222" s="56"/>
      <c r="U222" s="56"/>
      <c r="V222" s="56"/>
    </row>
    <row r="223" spans="1:22" ht="21" customHeight="1" x14ac:dyDescent="0.15">
      <c r="A223" s="52"/>
      <c r="B223" s="53"/>
      <c r="C223" s="52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4"/>
      <c r="P223" s="55"/>
      <c r="Q223" s="56"/>
      <c r="R223" s="56"/>
      <c r="S223" s="56"/>
      <c r="T223" s="56"/>
      <c r="U223" s="56"/>
      <c r="V223" s="56"/>
    </row>
    <row r="224" spans="1:22" ht="21" customHeight="1" x14ac:dyDescent="0.15">
      <c r="A224" s="52"/>
      <c r="B224" s="53"/>
      <c r="C224" s="52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4"/>
      <c r="P224" s="55"/>
      <c r="Q224" s="56"/>
      <c r="R224" s="56"/>
      <c r="S224" s="56"/>
      <c r="T224" s="56"/>
      <c r="U224" s="56"/>
      <c r="V224" s="56"/>
    </row>
    <row r="225" spans="1:22" ht="21" customHeight="1" x14ac:dyDescent="0.15">
      <c r="A225" s="52"/>
      <c r="B225" s="53"/>
      <c r="C225" s="52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4"/>
      <c r="P225" s="55"/>
      <c r="Q225" s="56"/>
      <c r="R225" s="56"/>
      <c r="S225" s="56"/>
      <c r="T225" s="56"/>
      <c r="U225" s="56"/>
      <c r="V225" s="56"/>
    </row>
    <row r="226" spans="1:22" ht="21" customHeight="1" x14ac:dyDescent="0.15">
      <c r="A226" s="52"/>
      <c r="B226" s="53"/>
      <c r="C226" s="52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4"/>
      <c r="P226" s="55"/>
      <c r="Q226" s="56"/>
      <c r="R226" s="56"/>
      <c r="S226" s="56"/>
      <c r="T226" s="56"/>
      <c r="U226" s="56"/>
      <c r="V226" s="56"/>
    </row>
    <row r="227" spans="1:22" ht="21" customHeight="1" x14ac:dyDescent="0.15">
      <c r="A227" s="52"/>
      <c r="B227" s="53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4"/>
      <c r="P227" s="55"/>
      <c r="Q227" s="56"/>
      <c r="R227" s="56"/>
      <c r="S227" s="56"/>
      <c r="T227" s="56"/>
      <c r="U227" s="56"/>
      <c r="V227" s="56"/>
    </row>
    <row r="228" spans="1:22" ht="21" customHeight="1" x14ac:dyDescent="0.15">
      <c r="A228" s="52"/>
      <c r="B228" s="53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4"/>
      <c r="P228" s="55"/>
      <c r="Q228" s="56"/>
      <c r="R228" s="56"/>
      <c r="S228" s="56"/>
      <c r="T228" s="56"/>
      <c r="U228" s="56"/>
      <c r="V228" s="56"/>
    </row>
    <row r="229" spans="1:22" ht="21" customHeight="1" x14ac:dyDescent="0.15">
      <c r="A229" s="52"/>
      <c r="B229" s="53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4"/>
      <c r="P229" s="55"/>
      <c r="Q229" s="56"/>
      <c r="R229" s="56"/>
      <c r="S229" s="56"/>
      <c r="T229" s="56"/>
      <c r="U229" s="56"/>
      <c r="V229" s="56"/>
    </row>
    <row r="230" spans="1:22" ht="21" customHeight="1" x14ac:dyDescent="0.15">
      <c r="A230" s="52"/>
      <c r="B230" s="53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4"/>
      <c r="P230" s="55"/>
      <c r="Q230" s="56"/>
      <c r="R230" s="56"/>
      <c r="S230" s="56"/>
      <c r="T230" s="56"/>
      <c r="U230" s="56"/>
      <c r="V230" s="56"/>
    </row>
    <row r="231" spans="1:22" ht="21" customHeight="1" x14ac:dyDescent="0.15">
      <c r="A231" s="52"/>
      <c r="B231" s="53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4"/>
      <c r="P231" s="55"/>
      <c r="Q231" s="56"/>
      <c r="R231" s="56"/>
      <c r="S231" s="56"/>
      <c r="T231" s="56"/>
      <c r="U231" s="56"/>
      <c r="V231" s="56"/>
    </row>
    <row r="232" spans="1:22" ht="21" customHeight="1" x14ac:dyDescent="0.15">
      <c r="A232" s="52"/>
      <c r="B232" s="53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4"/>
      <c r="P232" s="55"/>
      <c r="Q232" s="56"/>
      <c r="R232" s="56"/>
      <c r="S232" s="56"/>
      <c r="T232" s="56"/>
      <c r="U232" s="56"/>
      <c r="V232" s="56"/>
    </row>
    <row r="233" spans="1:22" ht="21" customHeight="1" x14ac:dyDescent="0.15">
      <c r="A233" s="52"/>
      <c r="B233" s="53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4"/>
      <c r="P233" s="55"/>
      <c r="Q233" s="56"/>
      <c r="R233" s="56"/>
      <c r="S233" s="56"/>
      <c r="T233" s="56"/>
      <c r="U233" s="56"/>
      <c r="V233" s="56"/>
    </row>
    <row r="234" spans="1:22" ht="21" customHeight="1" x14ac:dyDescent="0.15">
      <c r="A234" s="52"/>
      <c r="B234" s="53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4"/>
      <c r="P234" s="55"/>
      <c r="Q234" s="56"/>
      <c r="R234" s="56"/>
      <c r="S234" s="56"/>
      <c r="T234" s="56"/>
      <c r="U234" s="56"/>
      <c r="V234" s="56"/>
    </row>
    <row r="235" spans="1:22" ht="21" customHeight="1" x14ac:dyDescent="0.15">
      <c r="A235" s="52"/>
      <c r="B235" s="53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4"/>
      <c r="P235" s="55"/>
      <c r="Q235" s="56"/>
      <c r="R235" s="56"/>
      <c r="S235" s="56"/>
      <c r="T235" s="56"/>
      <c r="U235" s="56"/>
      <c r="V235" s="56"/>
    </row>
    <row r="236" spans="1:22" ht="21" customHeight="1" x14ac:dyDescent="0.15">
      <c r="A236" s="52"/>
      <c r="B236" s="53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4"/>
      <c r="P236" s="55"/>
      <c r="Q236" s="56"/>
      <c r="R236" s="56"/>
      <c r="S236" s="56"/>
      <c r="T236" s="56"/>
      <c r="U236" s="56"/>
      <c r="V236" s="56"/>
    </row>
    <row r="237" spans="1:22" ht="21" customHeight="1" x14ac:dyDescent="0.15">
      <c r="A237" s="52"/>
      <c r="B237" s="53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4"/>
      <c r="P237" s="55"/>
      <c r="Q237" s="56"/>
      <c r="R237" s="56"/>
      <c r="S237" s="56"/>
      <c r="T237" s="56"/>
      <c r="U237" s="56"/>
      <c r="V237" s="56"/>
    </row>
    <row r="238" spans="1:22" ht="21" customHeight="1" x14ac:dyDescent="0.15">
      <c r="A238" s="52"/>
      <c r="B238" s="53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4"/>
      <c r="P238" s="55"/>
      <c r="Q238" s="56"/>
      <c r="R238" s="56"/>
      <c r="S238" s="56"/>
      <c r="T238" s="56"/>
      <c r="U238" s="56"/>
      <c r="V238" s="56"/>
    </row>
    <row r="239" spans="1:22" ht="21" customHeight="1" x14ac:dyDescent="0.15">
      <c r="A239" s="52"/>
      <c r="B239" s="53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4"/>
      <c r="P239" s="55"/>
      <c r="Q239" s="56"/>
      <c r="R239" s="56"/>
      <c r="S239" s="56"/>
      <c r="T239" s="56"/>
      <c r="U239" s="56"/>
      <c r="V239" s="56"/>
    </row>
    <row r="240" spans="1:22" ht="21" customHeight="1" x14ac:dyDescent="0.15">
      <c r="A240" s="52"/>
      <c r="B240" s="53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4"/>
      <c r="P240" s="55"/>
      <c r="Q240" s="56"/>
      <c r="R240" s="56"/>
      <c r="S240" s="56"/>
      <c r="T240" s="56"/>
      <c r="U240" s="56"/>
      <c r="V240" s="56"/>
    </row>
    <row r="241" spans="1:22" ht="21" customHeight="1" x14ac:dyDescent="0.15">
      <c r="A241" s="52"/>
      <c r="B241" s="53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4"/>
      <c r="P241" s="55"/>
      <c r="Q241" s="56"/>
      <c r="R241" s="56"/>
      <c r="S241" s="56"/>
      <c r="T241" s="56"/>
      <c r="U241" s="56"/>
      <c r="V241" s="56"/>
    </row>
    <row r="242" spans="1:22" ht="21" customHeight="1" x14ac:dyDescent="0.15">
      <c r="A242" s="52"/>
      <c r="B242" s="53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4"/>
      <c r="P242" s="55"/>
      <c r="Q242" s="56"/>
      <c r="R242" s="56"/>
      <c r="S242" s="56"/>
      <c r="T242" s="56"/>
      <c r="U242" s="56"/>
      <c r="V242" s="56"/>
    </row>
    <row r="243" spans="1:22" ht="21" customHeight="1" x14ac:dyDescent="0.15">
      <c r="A243" s="52"/>
      <c r="B243" s="53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4"/>
      <c r="P243" s="55"/>
      <c r="Q243" s="56"/>
      <c r="R243" s="56"/>
      <c r="S243" s="56"/>
      <c r="T243" s="56"/>
      <c r="U243" s="56"/>
      <c r="V243" s="56"/>
    </row>
    <row r="244" spans="1:22" ht="21" customHeight="1" x14ac:dyDescent="0.15">
      <c r="A244" s="52"/>
      <c r="B244" s="53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4"/>
      <c r="P244" s="55"/>
      <c r="Q244" s="56"/>
      <c r="R244" s="56"/>
      <c r="S244" s="56"/>
      <c r="T244" s="56"/>
      <c r="U244" s="56"/>
      <c r="V244" s="56"/>
    </row>
    <row r="245" spans="1:22" ht="21" customHeight="1" x14ac:dyDescent="0.15">
      <c r="A245" s="52"/>
      <c r="B245" s="53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4"/>
      <c r="P245" s="55"/>
      <c r="Q245" s="56"/>
      <c r="R245" s="56"/>
      <c r="S245" s="56"/>
      <c r="T245" s="56"/>
      <c r="U245" s="56"/>
      <c r="V245" s="56"/>
    </row>
    <row r="246" spans="1:22" ht="21" customHeight="1" x14ac:dyDescent="0.15">
      <c r="A246" s="52"/>
      <c r="B246" s="53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4"/>
      <c r="P246" s="55"/>
      <c r="Q246" s="56"/>
      <c r="R246" s="56"/>
      <c r="S246" s="56"/>
      <c r="T246" s="56"/>
      <c r="U246" s="56"/>
      <c r="V246" s="56"/>
    </row>
    <row r="247" spans="1:22" ht="21" customHeight="1" x14ac:dyDescent="0.15">
      <c r="A247" s="52"/>
      <c r="B247" s="53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4"/>
      <c r="P247" s="55"/>
      <c r="Q247" s="56"/>
      <c r="R247" s="56"/>
      <c r="S247" s="56"/>
      <c r="T247" s="56"/>
      <c r="U247" s="56"/>
      <c r="V247" s="56"/>
    </row>
    <row r="248" spans="1:22" ht="21" customHeight="1" x14ac:dyDescent="0.15">
      <c r="A248" s="52"/>
      <c r="B248" s="53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4"/>
      <c r="P248" s="55"/>
      <c r="Q248" s="56"/>
      <c r="R248" s="56"/>
      <c r="S248" s="56"/>
      <c r="T248" s="56"/>
      <c r="U248" s="56"/>
      <c r="V248" s="56"/>
    </row>
    <row r="249" spans="1:22" ht="21" customHeight="1" x14ac:dyDescent="0.15">
      <c r="A249" s="52"/>
      <c r="B249" s="53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4"/>
      <c r="P249" s="55"/>
      <c r="Q249" s="56"/>
      <c r="R249" s="56"/>
      <c r="S249" s="56"/>
      <c r="T249" s="56"/>
      <c r="U249" s="56"/>
      <c r="V249" s="56"/>
    </row>
    <row r="250" spans="1:22" ht="21" customHeight="1" x14ac:dyDescent="0.15">
      <c r="A250" s="52"/>
      <c r="B250" s="53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4"/>
      <c r="P250" s="55"/>
      <c r="Q250" s="56"/>
      <c r="R250" s="56"/>
      <c r="S250" s="56"/>
      <c r="T250" s="56"/>
      <c r="U250" s="56"/>
      <c r="V250" s="56"/>
    </row>
    <row r="251" spans="1:22" ht="21" customHeight="1" x14ac:dyDescent="0.15">
      <c r="A251" s="52"/>
      <c r="B251" s="53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4"/>
      <c r="P251" s="55"/>
      <c r="Q251" s="56"/>
      <c r="R251" s="56"/>
      <c r="S251" s="56"/>
      <c r="T251" s="56"/>
      <c r="U251" s="56"/>
      <c r="V251" s="56"/>
    </row>
    <row r="252" spans="1:22" ht="21" customHeight="1" x14ac:dyDescent="0.15">
      <c r="A252" s="52"/>
      <c r="B252" s="53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4"/>
      <c r="P252" s="55"/>
      <c r="Q252" s="56"/>
      <c r="R252" s="56"/>
      <c r="S252" s="56"/>
      <c r="T252" s="56"/>
      <c r="U252" s="56"/>
      <c r="V252" s="56"/>
    </row>
    <row r="253" spans="1:22" ht="21" customHeight="1" x14ac:dyDescent="0.15">
      <c r="A253" s="52"/>
      <c r="B253" s="53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4"/>
      <c r="P253" s="55"/>
      <c r="Q253" s="56"/>
      <c r="R253" s="56"/>
      <c r="S253" s="56"/>
      <c r="T253" s="56"/>
      <c r="U253" s="56"/>
      <c r="V253" s="56"/>
    </row>
    <row r="254" spans="1:22" ht="21" customHeight="1" x14ac:dyDescent="0.15">
      <c r="A254" s="52"/>
      <c r="B254" s="53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4"/>
      <c r="P254" s="55"/>
      <c r="Q254" s="56"/>
      <c r="R254" s="56"/>
      <c r="S254" s="56"/>
      <c r="T254" s="56"/>
      <c r="U254" s="56"/>
      <c r="V254" s="56"/>
    </row>
    <row r="255" spans="1:22" ht="21" customHeight="1" x14ac:dyDescent="0.15">
      <c r="A255" s="52"/>
      <c r="B255" s="53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4"/>
      <c r="P255" s="55"/>
      <c r="Q255" s="56"/>
      <c r="R255" s="56"/>
      <c r="S255" s="56"/>
      <c r="T255" s="56"/>
      <c r="U255" s="56"/>
      <c r="V255" s="56"/>
    </row>
    <row r="256" spans="1:22" ht="21" customHeight="1" x14ac:dyDescent="0.15">
      <c r="A256" s="52"/>
      <c r="B256" s="53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4"/>
      <c r="P256" s="55"/>
      <c r="Q256" s="56"/>
      <c r="R256" s="56"/>
      <c r="S256" s="56"/>
      <c r="T256" s="56"/>
      <c r="U256" s="56"/>
      <c r="V256" s="56"/>
    </row>
    <row r="257" spans="1:22" ht="21" customHeight="1" x14ac:dyDescent="0.15">
      <c r="A257" s="52"/>
      <c r="B257" s="53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4"/>
      <c r="P257" s="55"/>
      <c r="Q257" s="56"/>
      <c r="R257" s="56"/>
      <c r="S257" s="56"/>
      <c r="T257" s="56"/>
      <c r="U257" s="56"/>
      <c r="V257" s="56"/>
    </row>
    <row r="258" spans="1:22" ht="21" customHeight="1" x14ac:dyDescent="0.15">
      <c r="A258" s="52"/>
      <c r="B258" s="53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4"/>
      <c r="P258" s="55"/>
      <c r="Q258" s="56"/>
      <c r="R258" s="56"/>
      <c r="S258" s="56"/>
      <c r="T258" s="56"/>
      <c r="U258" s="56"/>
      <c r="V258" s="56"/>
    </row>
    <row r="259" spans="1:22" ht="21" customHeight="1" x14ac:dyDescent="0.15">
      <c r="A259" s="52"/>
      <c r="B259" s="53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4"/>
      <c r="P259" s="55"/>
      <c r="Q259" s="56"/>
      <c r="R259" s="56"/>
      <c r="S259" s="56"/>
      <c r="T259" s="56"/>
      <c r="U259" s="56"/>
      <c r="V259" s="56"/>
    </row>
    <row r="260" spans="1:22" ht="21" customHeight="1" x14ac:dyDescent="0.15">
      <c r="A260" s="52"/>
      <c r="B260" s="53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4"/>
      <c r="P260" s="55"/>
      <c r="Q260" s="56"/>
      <c r="R260" s="56"/>
      <c r="S260" s="56"/>
      <c r="T260" s="56"/>
      <c r="U260" s="56"/>
      <c r="V260" s="56"/>
    </row>
    <row r="261" spans="1:22" ht="21" customHeight="1" x14ac:dyDescent="0.15">
      <c r="A261" s="52"/>
      <c r="B261" s="53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4"/>
      <c r="P261" s="55"/>
      <c r="Q261" s="56"/>
      <c r="R261" s="56"/>
      <c r="S261" s="56"/>
      <c r="T261" s="56"/>
      <c r="U261" s="56"/>
      <c r="V261" s="56"/>
    </row>
    <row r="262" spans="1:22" ht="21" customHeight="1" x14ac:dyDescent="0.15">
      <c r="A262" s="52"/>
      <c r="B262" s="53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4"/>
      <c r="P262" s="55"/>
      <c r="Q262" s="56"/>
      <c r="R262" s="56"/>
      <c r="S262" s="56"/>
      <c r="T262" s="56"/>
      <c r="U262" s="56"/>
      <c r="V262" s="56"/>
    </row>
    <row r="263" spans="1:22" ht="21" customHeight="1" x14ac:dyDescent="0.15">
      <c r="A263" s="52"/>
      <c r="B263" s="53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4"/>
      <c r="P263" s="55"/>
      <c r="Q263" s="56"/>
      <c r="R263" s="56"/>
      <c r="S263" s="56"/>
      <c r="T263" s="56"/>
      <c r="U263" s="56"/>
      <c r="V263" s="56"/>
    </row>
    <row r="264" spans="1:22" ht="21" customHeight="1" x14ac:dyDescent="0.15">
      <c r="A264" s="52"/>
      <c r="B264" s="53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4"/>
      <c r="P264" s="55"/>
      <c r="Q264" s="56"/>
      <c r="R264" s="56"/>
      <c r="S264" s="56"/>
      <c r="T264" s="56"/>
      <c r="U264" s="56"/>
      <c r="V264" s="56"/>
    </row>
    <row r="265" spans="1:22" ht="21" customHeight="1" x14ac:dyDescent="0.15">
      <c r="A265" s="52"/>
      <c r="B265" s="53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4"/>
      <c r="P265" s="55"/>
      <c r="Q265" s="56"/>
      <c r="R265" s="56"/>
      <c r="S265" s="56"/>
      <c r="T265" s="56"/>
      <c r="U265" s="56"/>
      <c r="V265" s="56"/>
    </row>
    <row r="266" spans="1:22" ht="21" customHeight="1" x14ac:dyDescent="0.15">
      <c r="A266" s="52"/>
      <c r="B266" s="53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4"/>
      <c r="P266" s="55"/>
      <c r="Q266" s="56"/>
      <c r="R266" s="56"/>
      <c r="S266" s="56"/>
      <c r="T266" s="56"/>
      <c r="U266" s="56"/>
      <c r="V266" s="56"/>
    </row>
    <row r="267" spans="1:22" ht="21" customHeight="1" x14ac:dyDescent="0.15">
      <c r="A267" s="52"/>
      <c r="B267" s="53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4"/>
      <c r="P267" s="55"/>
      <c r="Q267" s="56"/>
      <c r="R267" s="56"/>
      <c r="S267" s="56"/>
      <c r="T267" s="56"/>
      <c r="U267" s="56"/>
      <c r="V267" s="56"/>
    </row>
    <row r="268" spans="1:22" ht="21" customHeight="1" x14ac:dyDescent="0.15">
      <c r="A268" s="52"/>
      <c r="B268" s="53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4"/>
      <c r="P268" s="55"/>
      <c r="Q268" s="56"/>
      <c r="R268" s="56"/>
      <c r="S268" s="56"/>
      <c r="T268" s="56"/>
      <c r="U268" s="56"/>
      <c r="V268" s="56"/>
    </row>
    <row r="269" spans="1:22" ht="21" customHeight="1" x14ac:dyDescent="0.15">
      <c r="A269" s="52"/>
      <c r="B269" s="53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4"/>
      <c r="P269" s="55"/>
      <c r="Q269" s="56"/>
      <c r="R269" s="56"/>
      <c r="S269" s="56"/>
      <c r="T269" s="56"/>
      <c r="U269" s="56"/>
      <c r="V269" s="56"/>
    </row>
    <row r="270" spans="1:22" ht="21" customHeight="1" x14ac:dyDescent="0.15">
      <c r="A270" s="52"/>
      <c r="B270" s="53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4"/>
      <c r="P270" s="55"/>
      <c r="Q270" s="56"/>
      <c r="R270" s="56"/>
      <c r="S270" s="56"/>
      <c r="T270" s="56"/>
      <c r="U270" s="56"/>
      <c r="V270" s="56"/>
    </row>
    <row r="271" spans="1:22" ht="21" customHeight="1" x14ac:dyDescent="0.15">
      <c r="A271" s="52"/>
      <c r="B271" s="53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4"/>
      <c r="P271" s="55"/>
      <c r="Q271" s="56"/>
      <c r="R271" s="56"/>
      <c r="S271" s="56"/>
      <c r="T271" s="56"/>
      <c r="U271" s="56"/>
      <c r="V271" s="56"/>
    </row>
    <row r="272" spans="1:22" ht="21" customHeight="1" x14ac:dyDescent="0.15">
      <c r="A272" s="52"/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4"/>
      <c r="P272" s="55"/>
      <c r="Q272" s="56"/>
      <c r="R272" s="56"/>
      <c r="S272" s="56"/>
      <c r="T272" s="56"/>
      <c r="U272" s="56"/>
      <c r="V272" s="56"/>
    </row>
    <row r="273" spans="1:22" ht="21" customHeight="1" x14ac:dyDescent="0.15">
      <c r="A273" s="52"/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4"/>
      <c r="P273" s="55"/>
      <c r="Q273" s="56"/>
      <c r="R273" s="56"/>
      <c r="S273" s="56"/>
      <c r="T273" s="56"/>
      <c r="U273" s="56"/>
      <c r="V273" s="56"/>
    </row>
    <row r="274" spans="1:22" ht="21" customHeight="1" x14ac:dyDescent="0.15">
      <c r="A274" s="52"/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4"/>
      <c r="P274" s="55"/>
      <c r="Q274" s="56"/>
      <c r="R274" s="56"/>
      <c r="S274" s="56"/>
      <c r="T274" s="56"/>
      <c r="U274" s="56"/>
      <c r="V274" s="56"/>
    </row>
    <row r="275" spans="1:22" ht="21" customHeight="1" x14ac:dyDescent="0.15">
      <c r="A275" s="52"/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4"/>
      <c r="P275" s="55"/>
      <c r="Q275" s="56"/>
      <c r="R275" s="56"/>
      <c r="S275" s="56"/>
      <c r="T275" s="56"/>
      <c r="U275" s="56"/>
      <c r="V275" s="56"/>
    </row>
    <row r="276" spans="1:22" ht="21" customHeight="1" x14ac:dyDescent="0.15">
      <c r="A276" s="52"/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4"/>
      <c r="P276" s="55"/>
      <c r="Q276" s="56"/>
      <c r="R276" s="56"/>
      <c r="S276" s="56"/>
      <c r="T276" s="56"/>
      <c r="U276" s="56"/>
      <c r="V276" s="56"/>
    </row>
    <row r="277" spans="1:22" ht="21" customHeight="1" x14ac:dyDescent="0.15">
      <c r="A277" s="52"/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4"/>
      <c r="P277" s="55"/>
      <c r="Q277" s="56"/>
      <c r="R277" s="56"/>
      <c r="S277" s="56"/>
      <c r="T277" s="56"/>
      <c r="U277" s="56"/>
      <c r="V277" s="56"/>
    </row>
    <row r="278" spans="1:22" ht="21" customHeight="1" x14ac:dyDescent="0.15">
      <c r="A278" s="52"/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4"/>
      <c r="P278" s="55"/>
      <c r="Q278" s="56"/>
      <c r="R278" s="56"/>
      <c r="S278" s="56"/>
      <c r="T278" s="56"/>
      <c r="U278" s="56"/>
      <c r="V278" s="56"/>
    </row>
    <row r="279" spans="1:22" ht="21" customHeight="1" x14ac:dyDescent="0.15">
      <c r="A279" s="52"/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4"/>
      <c r="P279" s="55"/>
      <c r="Q279" s="56"/>
      <c r="R279" s="56"/>
      <c r="S279" s="56"/>
      <c r="T279" s="56"/>
      <c r="U279" s="56"/>
      <c r="V279" s="56"/>
    </row>
    <row r="280" spans="1:22" ht="21" customHeight="1" x14ac:dyDescent="0.15">
      <c r="A280" s="52"/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4"/>
      <c r="P280" s="55"/>
      <c r="Q280" s="56"/>
      <c r="R280" s="56"/>
      <c r="S280" s="56"/>
      <c r="T280" s="56"/>
      <c r="U280" s="56"/>
      <c r="V280" s="56"/>
    </row>
    <row r="281" spans="1:22" ht="21" customHeight="1" x14ac:dyDescent="0.15">
      <c r="A281" s="52"/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4"/>
      <c r="P281" s="55"/>
      <c r="Q281" s="56"/>
      <c r="R281" s="56"/>
      <c r="S281" s="56"/>
      <c r="T281" s="56"/>
      <c r="U281" s="56"/>
      <c r="V281" s="56"/>
    </row>
    <row r="282" spans="1:22" ht="21" customHeight="1" x14ac:dyDescent="0.15">
      <c r="A282" s="52"/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4"/>
      <c r="P282" s="55"/>
      <c r="Q282" s="56"/>
      <c r="R282" s="56"/>
      <c r="S282" s="56"/>
      <c r="T282" s="56"/>
      <c r="U282" s="56"/>
      <c r="V282" s="56"/>
    </row>
    <row r="283" spans="1:22" ht="21" customHeight="1" x14ac:dyDescent="0.15">
      <c r="A283" s="52"/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4"/>
      <c r="P283" s="55"/>
      <c r="Q283" s="56"/>
      <c r="R283" s="56"/>
      <c r="S283" s="56"/>
      <c r="T283" s="56"/>
      <c r="U283" s="56"/>
      <c r="V283" s="56"/>
    </row>
    <row r="284" spans="1:22" ht="21" customHeight="1" x14ac:dyDescent="0.15">
      <c r="A284" s="52"/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4"/>
      <c r="P284" s="55"/>
      <c r="Q284" s="56"/>
      <c r="R284" s="56"/>
      <c r="S284" s="56"/>
      <c r="T284" s="56"/>
      <c r="U284" s="56"/>
      <c r="V284" s="56"/>
    </row>
    <row r="285" spans="1:22" ht="21" customHeight="1" x14ac:dyDescent="0.15">
      <c r="A285" s="52"/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4"/>
      <c r="P285" s="55"/>
      <c r="Q285" s="56"/>
      <c r="R285" s="56"/>
      <c r="S285" s="56"/>
      <c r="T285" s="56"/>
      <c r="U285" s="56"/>
      <c r="V285" s="56"/>
    </row>
    <row r="286" spans="1:22" ht="21" customHeight="1" x14ac:dyDescent="0.15">
      <c r="A286" s="52"/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4"/>
      <c r="P286" s="55"/>
      <c r="Q286" s="56"/>
      <c r="R286" s="56"/>
      <c r="S286" s="56"/>
      <c r="T286" s="56"/>
      <c r="U286" s="56"/>
      <c r="V286" s="56"/>
    </row>
    <row r="287" spans="1:22" ht="21" customHeight="1" x14ac:dyDescent="0.15">
      <c r="A287" s="52"/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4"/>
      <c r="P287" s="55"/>
      <c r="Q287" s="56"/>
      <c r="R287" s="56"/>
      <c r="S287" s="56"/>
      <c r="T287" s="56"/>
      <c r="U287" s="56"/>
      <c r="V287" s="56"/>
    </row>
    <row r="288" spans="1:22" ht="21" customHeight="1" x14ac:dyDescent="0.15">
      <c r="A288" s="52"/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4"/>
      <c r="P288" s="55"/>
      <c r="Q288" s="56"/>
      <c r="R288" s="56"/>
      <c r="S288" s="56"/>
      <c r="T288" s="56"/>
      <c r="U288" s="56"/>
      <c r="V288" s="56"/>
    </row>
    <row r="289" spans="1:22" ht="21" customHeight="1" x14ac:dyDescent="0.15">
      <c r="A289" s="52"/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4"/>
      <c r="P289" s="55"/>
      <c r="Q289" s="56"/>
      <c r="R289" s="56"/>
      <c r="S289" s="56"/>
      <c r="T289" s="56"/>
      <c r="U289" s="56"/>
      <c r="V289" s="56"/>
    </row>
    <row r="290" spans="1:22" ht="21" customHeight="1" x14ac:dyDescent="0.15">
      <c r="A290" s="52"/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4"/>
      <c r="P290" s="55"/>
      <c r="Q290" s="56"/>
      <c r="R290" s="56"/>
      <c r="S290" s="56"/>
      <c r="T290" s="56"/>
      <c r="U290" s="56"/>
      <c r="V290" s="56"/>
    </row>
    <row r="291" spans="1:22" ht="21" customHeight="1" x14ac:dyDescent="0.15">
      <c r="A291" s="52"/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4"/>
      <c r="P291" s="55"/>
      <c r="Q291" s="56"/>
      <c r="R291" s="56"/>
      <c r="S291" s="56"/>
      <c r="T291" s="56"/>
      <c r="U291" s="56"/>
      <c r="V291" s="56"/>
    </row>
    <row r="292" spans="1:22" ht="21" customHeight="1" x14ac:dyDescent="0.15">
      <c r="A292" s="52"/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4"/>
      <c r="P292" s="55"/>
      <c r="Q292" s="56"/>
      <c r="R292" s="56"/>
      <c r="S292" s="56"/>
      <c r="T292" s="56"/>
      <c r="U292" s="56"/>
      <c r="V292" s="56"/>
    </row>
    <row r="293" spans="1:22" ht="21" customHeight="1" x14ac:dyDescent="0.15">
      <c r="A293" s="52"/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4"/>
      <c r="P293" s="55"/>
      <c r="Q293" s="56"/>
      <c r="R293" s="56"/>
      <c r="S293" s="56"/>
      <c r="T293" s="56"/>
      <c r="U293" s="56"/>
      <c r="V293" s="56"/>
    </row>
    <row r="294" spans="1:22" ht="21" customHeight="1" x14ac:dyDescent="0.15">
      <c r="A294" s="52"/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4"/>
      <c r="P294" s="55"/>
      <c r="Q294" s="56"/>
      <c r="R294" s="56"/>
      <c r="S294" s="56"/>
      <c r="T294" s="56"/>
      <c r="U294" s="56"/>
      <c r="V294" s="56"/>
    </row>
    <row r="295" spans="1:22" ht="21" customHeight="1" x14ac:dyDescent="0.15">
      <c r="A295" s="52"/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4"/>
      <c r="P295" s="55"/>
      <c r="Q295" s="56"/>
      <c r="R295" s="56"/>
      <c r="S295" s="56"/>
      <c r="T295" s="56"/>
      <c r="U295" s="56"/>
      <c r="V295" s="56"/>
    </row>
    <row r="296" spans="1:22" ht="21" customHeight="1" x14ac:dyDescent="0.15">
      <c r="A296" s="52"/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4"/>
      <c r="P296" s="55"/>
      <c r="Q296" s="56"/>
      <c r="R296" s="56"/>
      <c r="S296" s="56"/>
      <c r="T296" s="56"/>
      <c r="U296" s="56"/>
      <c r="V296" s="56"/>
    </row>
    <row r="297" spans="1:22" ht="21" customHeight="1" x14ac:dyDescent="0.15">
      <c r="A297" s="52"/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4"/>
      <c r="P297" s="55"/>
      <c r="Q297" s="56"/>
      <c r="R297" s="56"/>
      <c r="S297" s="56"/>
      <c r="T297" s="56"/>
      <c r="U297" s="56"/>
      <c r="V297" s="56"/>
    </row>
    <row r="298" spans="1:22" ht="21" customHeight="1" x14ac:dyDescent="0.15">
      <c r="A298" s="52"/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4"/>
      <c r="P298" s="55"/>
      <c r="Q298" s="56"/>
      <c r="R298" s="56"/>
      <c r="S298" s="56"/>
      <c r="T298" s="56"/>
      <c r="U298" s="56"/>
      <c r="V298" s="56"/>
    </row>
    <row r="299" spans="1:22" ht="21" customHeight="1" x14ac:dyDescent="0.15">
      <c r="A299" s="52"/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4"/>
      <c r="P299" s="55"/>
      <c r="Q299" s="56"/>
      <c r="R299" s="56"/>
      <c r="S299" s="56"/>
      <c r="T299" s="56"/>
      <c r="U299" s="56"/>
      <c r="V299" s="56"/>
    </row>
    <row r="300" spans="1:22" ht="21" customHeight="1" x14ac:dyDescent="0.15">
      <c r="A300" s="52"/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4"/>
      <c r="P300" s="55"/>
      <c r="Q300" s="56"/>
      <c r="R300" s="56"/>
      <c r="S300" s="56"/>
      <c r="T300" s="56"/>
      <c r="U300" s="56"/>
      <c r="V300" s="56"/>
    </row>
    <row r="301" spans="1:22" ht="21" customHeight="1" x14ac:dyDescent="0.15">
      <c r="A301" s="52"/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4"/>
      <c r="P301" s="55"/>
      <c r="Q301" s="56"/>
      <c r="R301" s="56"/>
      <c r="S301" s="56"/>
      <c r="T301" s="56"/>
      <c r="U301" s="56"/>
      <c r="V301" s="56"/>
    </row>
    <row r="302" spans="1:22" ht="21" customHeight="1" x14ac:dyDescent="0.15">
      <c r="A302" s="52"/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4"/>
      <c r="P302" s="55"/>
      <c r="Q302" s="56"/>
      <c r="R302" s="56"/>
      <c r="S302" s="56"/>
      <c r="T302" s="56"/>
      <c r="U302" s="56"/>
      <c r="V302" s="56"/>
    </row>
    <row r="303" spans="1:22" ht="21" customHeight="1" x14ac:dyDescent="0.15">
      <c r="A303" s="52"/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4"/>
      <c r="P303" s="55"/>
      <c r="Q303" s="56"/>
      <c r="R303" s="56"/>
      <c r="S303" s="56"/>
      <c r="T303" s="56"/>
      <c r="U303" s="56"/>
      <c r="V303" s="56"/>
    </row>
    <row r="304" spans="1:22" ht="21" customHeight="1" x14ac:dyDescent="0.15">
      <c r="A304" s="52"/>
      <c r="B304" s="52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4"/>
      <c r="P304" s="55"/>
      <c r="Q304" s="56"/>
      <c r="R304" s="56"/>
      <c r="S304" s="56"/>
      <c r="T304" s="56"/>
      <c r="U304" s="56"/>
      <c r="V304" s="56"/>
    </row>
    <row r="305" spans="1:22" ht="21" customHeight="1" x14ac:dyDescent="0.15">
      <c r="A305" s="52"/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4"/>
      <c r="P305" s="55"/>
      <c r="Q305" s="56"/>
      <c r="R305" s="56"/>
      <c r="S305" s="56"/>
      <c r="T305" s="56"/>
      <c r="U305" s="56"/>
      <c r="V305" s="56"/>
    </row>
    <row r="306" spans="1:22" ht="21" customHeight="1" x14ac:dyDescent="0.15">
      <c r="A306" s="52"/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4"/>
      <c r="P306" s="55"/>
      <c r="Q306" s="56"/>
      <c r="R306" s="56"/>
      <c r="S306" s="56"/>
      <c r="T306" s="56"/>
      <c r="U306" s="56"/>
      <c r="V306" s="56"/>
    </row>
    <row r="307" spans="1:22" ht="21" customHeight="1" x14ac:dyDescent="0.15">
      <c r="A307" s="52"/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4"/>
      <c r="P307" s="55"/>
      <c r="Q307" s="56"/>
      <c r="R307" s="56"/>
      <c r="S307" s="56"/>
      <c r="T307" s="56"/>
      <c r="U307" s="56"/>
      <c r="V307" s="56"/>
    </row>
    <row r="308" spans="1:22" ht="21" customHeight="1" x14ac:dyDescent="0.15">
      <c r="A308" s="52"/>
      <c r="B308" s="52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4"/>
      <c r="P308" s="55"/>
      <c r="Q308" s="56"/>
      <c r="R308" s="56"/>
      <c r="S308" s="56"/>
      <c r="T308" s="56"/>
      <c r="U308" s="56"/>
      <c r="V308" s="56"/>
    </row>
    <row r="309" spans="1:22" ht="21" customHeight="1" x14ac:dyDescent="0.15">
      <c r="A309" s="52"/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4"/>
      <c r="P309" s="55"/>
      <c r="Q309" s="56"/>
      <c r="R309" s="56"/>
      <c r="S309" s="56"/>
      <c r="T309" s="56"/>
      <c r="U309" s="56"/>
      <c r="V309" s="56"/>
    </row>
    <row r="310" spans="1:22" ht="21" customHeight="1" x14ac:dyDescent="0.15">
      <c r="A310" s="52"/>
      <c r="B310" s="52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4"/>
      <c r="P310" s="55"/>
      <c r="Q310" s="56"/>
      <c r="R310" s="56"/>
      <c r="S310" s="56"/>
      <c r="T310" s="56"/>
      <c r="U310" s="56"/>
      <c r="V310" s="56"/>
    </row>
    <row r="311" spans="1:22" ht="21" customHeight="1" x14ac:dyDescent="0.15">
      <c r="A311" s="52"/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4"/>
      <c r="P311" s="55"/>
      <c r="Q311" s="56"/>
      <c r="R311" s="56"/>
      <c r="S311" s="56"/>
      <c r="T311" s="56"/>
      <c r="U311" s="56"/>
      <c r="V311" s="56"/>
    </row>
    <row r="312" spans="1:22" ht="21" customHeight="1" x14ac:dyDescent="0.15">
      <c r="A312" s="52"/>
      <c r="B312" s="52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4"/>
      <c r="P312" s="55"/>
      <c r="Q312" s="56"/>
      <c r="R312" s="56"/>
      <c r="S312" s="56"/>
      <c r="T312" s="56"/>
      <c r="U312" s="56"/>
      <c r="V312" s="56"/>
    </row>
    <row r="313" spans="1:22" ht="21" customHeight="1" x14ac:dyDescent="0.15">
      <c r="A313" s="52"/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4"/>
      <c r="P313" s="55"/>
      <c r="Q313" s="56"/>
      <c r="R313" s="56"/>
      <c r="S313" s="56"/>
      <c r="T313" s="56"/>
      <c r="U313" s="56"/>
      <c r="V313" s="56"/>
    </row>
    <row r="314" spans="1:22" ht="21" customHeight="1" x14ac:dyDescent="0.15">
      <c r="A314" s="52"/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4"/>
      <c r="P314" s="55"/>
      <c r="Q314" s="56"/>
      <c r="R314" s="56"/>
      <c r="S314" s="56"/>
      <c r="T314" s="56"/>
      <c r="U314" s="56"/>
      <c r="V314" s="56"/>
    </row>
    <row r="315" spans="1:22" ht="21" customHeight="1" x14ac:dyDescent="0.15">
      <c r="A315" s="52"/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4"/>
      <c r="P315" s="55"/>
      <c r="Q315" s="56"/>
      <c r="R315" s="56"/>
      <c r="S315" s="56"/>
      <c r="T315" s="56"/>
      <c r="U315" s="56"/>
      <c r="V315" s="56"/>
    </row>
    <row r="316" spans="1:22" ht="21" customHeight="1" x14ac:dyDescent="0.15">
      <c r="A316" s="52"/>
      <c r="B316" s="52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4"/>
      <c r="P316" s="55"/>
      <c r="Q316" s="56"/>
      <c r="R316" s="56"/>
      <c r="S316" s="56"/>
      <c r="T316" s="56"/>
      <c r="U316" s="56"/>
      <c r="V316" s="56"/>
    </row>
    <row r="317" spans="1:22" ht="21" customHeight="1" x14ac:dyDescent="0.15">
      <c r="A317" s="52"/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4"/>
      <c r="P317" s="55"/>
      <c r="Q317" s="56"/>
      <c r="R317" s="56"/>
      <c r="S317" s="56"/>
      <c r="T317" s="56"/>
      <c r="U317" s="56"/>
      <c r="V317" s="56"/>
    </row>
    <row r="318" spans="1:22" ht="21" customHeight="1" x14ac:dyDescent="0.15">
      <c r="A318" s="52"/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4"/>
      <c r="P318" s="55"/>
      <c r="Q318" s="56"/>
      <c r="R318" s="56"/>
      <c r="S318" s="56"/>
      <c r="T318" s="56"/>
      <c r="U318" s="56"/>
      <c r="V318" s="56"/>
    </row>
    <row r="319" spans="1:22" ht="21" customHeight="1" x14ac:dyDescent="0.15">
      <c r="A319" s="52"/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4"/>
      <c r="P319" s="55"/>
      <c r="Q319" s="56"/>
      <c r="R319" s="56"/>
      <c r="S319" s="56"/>
      <c r="T319" s="56"/>
      <c r="U319" s="56"/>
      <c r="V319" s="56"/>
    </row>
    <row r="320" spans="1:22" ht="21" customHeight="1" x14ac:dyDescent="0.15">
      <c r="A320" s="52"/>
      <c r="B320" s="52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4"/>
      <c r="P320" s="55"/>
      <c r="Q320" s="56"/>
      <c r="R320" s="56"/>
      <c r="S320" s="56"/>
      <c r="T320" s="56"/>
      <c r="U320" s="56"/>
      <c r="V320" s="56"/>
    </row>
    <row r="321" spans="1:22" ht="21" customHeight="1" x14ac:dyDescent="0.15">
      <c r="A321" s="52"/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4"/>
      <c r="P321" s="55"/>
      <c r="Q321" s="56"/>
      <c r="R321" s="56"/>
      <c r="S321" s="56"/>
      <c r="T321" s="56"/>
      <c r="U321" s="56"/>
      <c r="V321" s="56"/>
    </row>
    <row r="322" spans="1:22" ht="21" customHeight="1" x14ac:dyDescent="0.15">
      <c r="A322" s="52"/>
      <c r="B322" s="52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4"/>
      <c r="P322" s="55"/>
      <c r="Q322" s="56"/>
      <c r="R322" s="56"/>
      <c r="S322" s="56"/>
      <c r="T322" s="56"/>
      <c r="U322" s="56"/>
      <c r="V322" s="56"/>
    </row>
    <row r="323" spans="1:22" ht="21" customHeight="1" x14ac:dyDescent="0.15">
      <c r="A323" s="52"/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4"/>
      <c r="P323" s="55"/>
      <c r="Q323" s="56"/>
      <c r="R323" s="56"/>
      <c r="S323" s="56"/>
      <c r="T323" s="56"/>
      <c r="U323" s="56"/>
      <c r="V323" s="56"/>
    </row>
    <row r="324" spans="1:22" ht="21" customHeight="1" x14ac:dyDescent="0.15">
      <c r="A324" s="52"/>
      <c r="B324" s="52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4"/>
      <c r="P324" s="55"/>
      <c r="Q324" s="56"/>
      <c r="R324" s="56"/>
      <c r="S324" s="56"/>
      <c r="T324" s="56"/>
      <c r="U324" s="56"/>
      <c r="V324" s="56"/>
    </row>
    <row r="325" spans="1:22" ht="21" customHeight="1" x14ac:dyDescent="0.15">
      <c r="A325" s="52"/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4"/>
      <c r="P325" s="55"/>
      <c r="Q325" s="56"/>
      <c r="R325" s="56"/>
      <c r="S325" s="56"/>
      <c r="T325" s="56"/>
      <c r="U325" s="56"/>
      <c r="V325" s="56"/>
    </row>
    <row r="326" spans="1:22" ht="21" customHeight="1" x14ac:dyDescent="0.15">
      <c r="A326" s="52"/>
      <c r="B326" s="52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4"/>
      <c r="P326" s="55"/>
      <c r="Q326" s="56"/>
      <c r="R326" s="56"/>
      <c r="S326" s="56"/>
      <c r="T326" s="56"/>
      <c r="U326" s="56"/>
      <c r="V326" s="56"/>
    </row>
    <row r="327" spans="1:22" ht="21" customHeight="1" x14ac:dyDescent="0.15">
      <c r="A327" s="52"/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4"/>
      <c r="P327" s="55"/>
      <c r="Q327" s="56"/>
      <c r="R327" s="56"/>
      <c r="S327" s="56"/>
      <c r="T327" s="56"/>
      <c r="U327" s="56"/>
      <c r="V327" s="56"/>
    </row>
    <row r="328" spans="1:22" ht="21" customHeight="1" x14ac:dyDescent="0.15">
      <c r="A328" s="52"/>
      <c r="B328" s="52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4"/>
      <c r="P328" s="55"/>
      <c r="Q328" s="56"/>
      <c r="R328" s="56"/>
      <c r="S328" s="56"/>
      <c r="T328" s="56"/>
      <c r="U328" s="56"/>
      <c r="V328" s="56"/>
    </row>
    <row r="329" spans="1:22" ht="21" customHeight="1" x14ac:dyDescent="0.15">
      <c r="A329" s="52"/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4"/>
      <c r="P329" s="55"/>
      <c r="Q329" s="56"/>
      <c r="R329" s="56"/>
      <c r="S329" s="56"/>
      <c r="T329" s="56"/>
      <c r="U329" s="56"/>
      <c r="V329" s="56"/>
    </row>
    <row r="330" spans="1:22" ht="21" customHeight="1" x14ac:dyDescent="0.15">
      <c r="A330" s="52"/>
      <c r="B330" s="52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4"/>
      <c r="P330" s="55"/>
      <c r="Q330" s="56"/>
      <c r="R330" s="56"/>
      <c r="S330" s="56"/>
      <c r="T330" s="56"/>
      <c r="U330" s="56"/>
      <c r="V330" s="56"/>
    </row>
    <row r="331" spans="1:22" ht="21" customHeight="1" x14ac:dyDescent="0.15">
      <c r="A331" s="52"/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4"/>
      <c r="P331" s="55"/>
      <c r="Q331" s="56"/>
      <c r="R331" s="56"/>
      <c r="S331" s="56"/>
      <c r="T331" s="56"/>
      <c r="U331" s="56"/>
      <c r="V331" s="56"/>
    </row>
    <row r="332" spans="1:22" ht="21" customHeight="1" x14ac:dyDescent="0.15">
      <c r="A332" s="52"/>
      <c r="B332" s="52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4"/>
      <c r="P332" s="55"/>
      <c r="Q332" s="56"/>
      <c r="R332" s="56"/>
      <c r="S332" s="56"/>
      <c r="T332" s="56"/>
      <c r="U332" s="56"/>
      <c r="V332" s="56"/>
    </row>
    <row r="333" spans="1:22" ht="21" customHeight="1" x14ac:dyDescent="0.15">
      <c r="A333" s="52"/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4"/>
      <c r="P333" s="55"/>
      <c r="Q333" s="56"/>
      <c r="R333" s="56"/>
      <c r="S333" s="56"/>
      <c r="T333" s="56"/>
      <c r="U333" s="56"/>
      <c r="V333" s="56"/>
    </row>
    <row r="334" spans="1:22" ht="21" customHeight="1" x14ac:dyDescent="0.15">
      <c r="A334" s="52"/>
      <c r="B334" s="52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4"/>
      <c r="P334" s="55"/>
      <c r="Q334" s="56"/>
      <c r="R334" s="56"/>
      <c r="S334" s="56"/>
      <c r="T334" s="56"/>
      <c r="U334" s="56"/>
      <c r="V334" s="56"/>
    </row>
    <row r="335" spans="1:22" ht="21" customHeight="1" x14ac:dyDescent="0.15">
      <c r="A335" s="52"/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4"/>
      <c r="P335" s="55"/>
      <c r="Q335" s="56"/>
      <c r="R335" s="56"/>
      <c r="S335" s="56"/>
      <c r="T335" s="56"/>
      <c r="U335" s="56"/>
      <c r="V335" s="56"/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8">
        <v>668</v>
      </c>
      <c r="B246" s="7" t="str">
        <f>VLOOKUP(A246,[1]characters!$A:$C,3,FALSE)</f>
        <v>アグニ</v>
      </c>
    </row>
    <row r="247" spans="1:2" x14ac:dyDescent="0.15">
      <c r="A247" s="38">
        <v>669</v>
      </c>
      <c r="B247" s="7" t="str">
        <f>VLOOKUP(A247,[1]characters!$A:$C,3,FALSE)</f>
        <v>天地の仲界 アグニ</v>
      </c>
    </row>
    <row r="248" spans="1:2" x14ac:dyDescent="0.15">
      <c r="A248" s="38">
        <v>670</v>
      </c>
      <c r="B248" s="7" t="str">
        <f>VLOOKUP(A248,[1]characters!$A:$C,3,FALSE)</f>
        <v>陽天の噴煙 アグニ</v>
      </c>
    </row>
    <row r="249" spans="1:2" x14ac:dyDescent="0.15">
      <c r="A249" s="38">
        <v>671</v>
      </c>
      <c r="B249" s="7" t="str">
        <f>VLOOKUP(A249,[1]characters!$A:$C,3,FALSE)</f>
        <v>ハヌマーン</v>
      </c>
    </row>
    <row r="250" spans="1:2" x14ac:dyDescent="0.15">
      <c r="A250" s="38">
        <v>672</v>
      </c>
      <c r="B250" s="7" t="str">
        <f>VLOOKUP(A250,[1]characters!$A:$C,3,FALSE)</f>
        <v>西遊韋駄天 ハヌマーン</v>
      </c>
    </row>
    <row r="251" spans="1:2" x14ac:dyDescent="0.15">
      <c r="A251" s="38">
        <v>673</v>
      </c>
      <c r="B251" s="7" t="str">
        <f>VLOOKUP(A251,[1]characters!$A:$C,3,FALSE)</f>
        <v>変幻自在の猿王 ハヌマーン</v>
      </c>
    </row>
    <row r="252" spans="1:2" x14ac:dyDescent="0.15">
      <c r="A252" s="38">
        <v>674</v>
      </c>
      <c r="B252" s="7" t="str">
        <f>VLOOKUP(A252,[1]characters!$A:$C,3,FALSE)</f>
        <v>サラスヴァティ</v>
      </c>
    </row>
    <row r="253" spans="1:2" x14ac:dyDescent="0.15">
      <c r="A253" s="38">
        <v>675</v>
      </c>
      <c r="B253" s="7" t="str">
        <f>VLOOKUP(A253,[1]characters!$A:$C,3,FALSE)</f>
        <v>芸楽の奔流 サラスヴァティ</v>
      </c>
    </row>
    <row r="254" spans="1:2" x14ac:dyDescent="0.15">
      <c r="A254" s="38">
        <v>676</v>
      </c>
      <c r="B254" s="7" t="str">
        <f>VLOOKUP(A254,[1]characters!$A:$C,3,FALSE)</f>
        <v>ヴィシュヌ</v>
      </c>
    </row>
    <row r="255" spans="1:2" x14ac:dyDescent="0.15">
      <c r="A255" s="38">
        <v>677</v>
      </c>
      <c r="B255" s="7" t="str">
        <f>VLOOKUP(A255,[1]characters!$A:$C,3,FALSE)</f>
        <v>武遊闊歩 ヴィシュヌ</v>
      </c>
    </row>
    <row r="256" spans="1:2" x14ac:dyDescent="0.15">
      <c r="A256" s="38">
        <v>770</v>
      </c>
      <c r="B256" s="7" t="str">
        <f>VLOOKUP(A256,[1]characters!$A:$C,3,FALSE)</f>
        <v>ハヅル</v>
      </c>
    </row>
    <row r="257" spans="1:2" x14ac:dyDescent="0.15">
      <c r="A257" s="38">
        <v>771</v>
      </c>
      <c r="B257" s="7" t="str">
        <f>VLOOKUP(A257,[1]characters!$A:$C,3,FALSE)</f>
        <v>天織羽鶴 ハヅル</v>
      </c>
    </row>
    <row r="258" spans="1:2" x14ac:dyDescent="0.15">
      <c r="A258" s="38">
        <v>772</v>
      </c>
      <c r="B258" s="7" t="str">
        <f>VLOOKUP(A258,[1]characters!$A:$C,3,FALSE)</f>
        <v>イナバ</v>
      </c>
    </row>
    <row r="259" spans="1:2" x14ac:dyDescent="0.15">
      <c r="A259" s="38">
        <v>773</v>
      </c>
      <c r="B259" s="7" t="str">
        <f>VLOOKUP(A259,[1]characters!$A:$C,3,FALSE)</f>
        <v>浮跳天兎 イナバ</v>
      </c>
    </row>
    <row r="260" spans="1:2" x14ac:dyDescent="0.15">
      <c r="A260" s="38">
        <v>774</v>
      </c>
      <c r="B260" s="7" t="str">
        <f>VLOOKUP(A260,[1]characters!$A:$C,3,FALSE)</f>
        <v>ミズチ</v>
      </c>
    </row>
    <row r="261" spans="1:2" x14ac:dyDescent="0.15">
      <c r="A261" s="38">
        <v>775</v>
      </c>
      <c r="B261" s="7" t="str">
        <f>VLOOKUP(A261,[1]characters!$A:$C,3,FALSE)</f>
        <v>水底霊竜 ミズチ</v>
      </c>
    </row>
    <row r="262" spans="1:2" x14ac:dyDescent="0.15">
      <c r="A262" s="38">
        <v>776</v>
      </c>
      <c r="B262" s="7" t="str">
        <f>VLOOKUP(A262,[1]characters!$A:$C,3,FALSE)</f>
        <v>水竜底主 ミズチ</v>
      </c>
    </row>
    <row r="263" spans="1:2" x14ac:dyDescent="0.15">
      <c r="A263" s="38">
        <v>777</v>
      </c>
      <c r="B263" s="7" t="str">
        <f>VLOOKUP(A263,[1]characters!$A:$C,3,FALSE)</f>
        <v>ガメック</v>
      </c>
    </row>
    <row r="264" spans="1:2" x14ac:dyDescent="0.15">
      <c r="A264" s="38">
        <v>778</v>
      </c>
      <c r="B264" s="7" t="str">
        <f>VLOOKUP(A264,[1]characters!$A:$C,3,FALSE)</f>
        <v>一亀懸明 ガメック</v>
      </c>
    </row>
    <row r="265" spans="1:2" x14ac:dyDescent="0.15">
      <c r="A265" s="38">
        <v>779</v>
      </c>
      <c r="B265" s="7" t="str">
        <f>VLOOKUP(A265,[1]characters!$A:$C,3,FALSE)</f>
        <v>頑堅咬亀 ガメック</v>
      </c>
    </row>
    <row r="266" spans="1:2" x14ac:dyDescent="0.15">
      <c r="A266" s="38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2" t="s">
        <v>39</v>
      </c>
      <c r="B1" s="32"/>
    </row>
    <row r="2" spans="1:2" x14ac:dyDescent="0.15">
      <c r="A2" s="30" t="s">
        <v>1</v>
      </c>
      <c r="B2" s="31" t="s">
        <v>41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30">
        <v>169</v>
      </c>
      <c r="B6" s="31" t="str">
        <f>VLOOKUP(A6,[1]characters!$A:$C,3,FALSE)</f>
        <v>オセ</v>
      </c>
    </row>
    <row r="7" spans="1:2" x14ac:dyDescent="0.15">
      <c r="A7" s="30">
        <v>170</v>
      </c>
      <c r="B7" s="31" t="str">
        <f>VLOOKUP(A7,[1]characters!$A:$C,3,FALSE)</f>
        <v>識徒 オセ</v>
      </c>
    </row>
    <row r="8" spans="1:2" x14ac:dyDescent="0.15">
      <c r="A8" s="30">
        <v>171</v>
      </c>
      <c r="B8" s="31" t="str">
        <f>VLOOKUP(A8,[1]characters!$A:$C,3,FALSE)</f>
        <v>精解の預知者 オセ</v>
      </c>
    </row>
    <row r="9" spans="1:2" x14ac:dyDescent="0.15">
      <c r="A9" s="30">
        <v>172</v>
      </c>
      <c r="B9" s="31" t="str">
        <f>VLOOKUP(A9,[1]characters!$A:$C,3,FALSE)</f>
        <v>フォルネウス</v>
      </c>
    </row>
    <row r="10" spans="1:2" x14ac:dyDescent="0.15">
      <c r="A10" s="30">
        <v>173</v>
      </c>
      <c r="B10" s="31" t="str">
        <f>VLOOKUP(A10,[1]characters!$A:$C,3,FALSE)</f>
        <v>公爵 フォルネウス</v>
      </c>
    </row>
    <row r="11" spans="1:2" x14ac:dyDescent="0.15">
      <c r="A11" s="30">
        <v>174</v>
      </c>
      <c r="B11" s="31" t="str">
        <f>VLOOKUP(A11,[1]characters!$A:$C,3,FALSE)</f>
        <v>偽愛の大公爵 フォルネウス</v>
      </c>
    </row>
    <row r="12" spans="1:2" x14ac:dyDescent="0.15">
      <c r="A12" s="30">
        <v>235</v>
      </c>
      <c r="B12" s="31" t="str">
        <f>VLOOKUP(A12,[1]characters!$A:$C,3,FALSE)</f>
        <v>イザナミ</v>
      </c>
    </row>
    <row r="13" spans="1:2" x14ac:dyDescent="0.15">
      <c r="A13" s="30">
        <v>236</v>
      </c>
      <c r="B13" s="31" t="str">
        <f>VLOOKUP(A13,[1]characters!$A:$C,3,FALSE)</f>
        <v>神産 イザナミ</v>
      </c>
    </row>
    <row r="14" spans="1:2" x14ac:dyDescent="0.15">
      <c r="A14" s="30">
        <v>237</v>
      </c>
      <c r="B14" s="31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tables_settle_7019100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2016-11-16T05:43:52Z</dcterms:modified>
</cp:coreProperties>
</file>