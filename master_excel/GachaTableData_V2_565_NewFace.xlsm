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rinotakuya/BULL_data/master_excel/"/>
    </mc:Choice>
  </mc:AlternateContent>
  <bookViews>
    <workbookView xWindow="0" yWindow="460" windowWidth="28800" windowHeight="15940" tabRatio="943" activeTab="7"/>
  </bookViews>
  <sheets>
    <sheet name="確率の考え方" sheetId="110" r:id="rId1"/>
    <sheet name="Sheet1" sheetId="107" r:id="rId2"/>
    <sheet name="output" sheetId="103" r:id="rId3"/>
    <sheet name="input_565010" sheetId="157" r:id="rId4"/>
    <sheet name="tables_565010" sheetId="158" r:id="rId5"/>
    <sheet name="input_565100" sheetId="153" r:id="rId6"/>
    <sheet name="tables_565100" sheetId="154" r:id="rId7"/>
    <sheet name="tables_settle_565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tables_565010!$A$1:$V$350</definedName>
    <definedName name="_xlnm._FilterDatabase" localSheetId="6" hidden="1">tables_565100!$A$1:$V$294</definedName>
    <definedName name="_xlnm._FilterDatabase" localSheetId="7" hidden="1">tables_settle_565105!$A$1:$V$1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60" i="154" l="1"/>
  <c r="D360" i="154"/>
  <c r="J360" i="154"/>
  <c r="E360" i="154"/>
  <c r="F360" i="154"/>
  <c r="C360" i="154"/>
  <c r="A2" i="153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I356" i="154"/>
  <c r="D356" i="154"/>
  <c r="J356" i="154"/>
  <c r="E356" i="154"/>
  <c r="F356" i="154"/>
  <c r="C356" i="154"/>
  <c r="I357" i="154"/>
  <c r="D357" i="154"/>
  <c r="J357" i="154"/>
  <c r="E357" i="154"/>
  <c r="F357" i="154"/>
  <c r="C357" i="154"/>
  <c r="I358" i="154"/>
  <c r="D358" i="154"/>
  <c r="J358" i="154"/>
  <c r="E358" i="154"/>
  <c r="F358" i="154"/>
  <c r="C358" i="154"/>
  <c r="I359" i="154"/>
  <c r="D359" i="154"/>
  <c r="J359" i="154"/>
  <c r="E359" i="154"/>
  <c r="F359" i="154"/>
  <c r="C359" i="154"/>
  <c r="F5" i="153"/>
  <c r="F6" i="153"/>
  <c r="A3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3" i="153"/>
  <c r="E6" i="153"/>
  <c r="B23" i="153"/>
  <c r="G23" i="153"/>
  <c r="H23" i="153"/>
  <c r="R7" i="153"/>
  <c r="O360" i="154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B22" i="153"/>
  <c r="E25" i="153"/>
  <c r="B25" i="153"/>
  <c r="E5" i="153"/>
  <c r="E27" i="153"/>
  <c r="B27" i="153"/>
  <c r="C22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E29" i="153"/>
  <c r="B29" i="153"/>
  <c r="C23" i="153"/>
  <c r="C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R3" i="153"/>
  <c r="O356" i="154"/>
  <c r="R4" i="153"/>
  <c r="O357" i="154"/>
  <c r="R5" i="153"/>
  <c r="O358" i="154"/>
  <c r="R6" i="153"/>
  <c r="O359" i="154"/>
  <c r="P360" i="154"/>
  <c r="N360" i="154"/>
  <c r="M360" i="154"/>
  <c r="L360" i="154"/>
  <c r="K360" i="154"/>
  <c r="H360" i="154"/>
  <c r="A360" i="154"/>
  <c r="P359" i="154"/>
  <c r="N359" i="154"/>
  <c r="M359" i="154"/>
  <c r="L359" i="154"/>
  <c r="K359" i="154"/>
  <c r="H359" i="154"/>
  <c r="A359" i="154"/>
  <c r="P358" i="154"/>
  <c r="N358" i="154"/>
  <c r="M358" i="154"/>
  <c r="L358" i="154"/>
  <c r="K358" i="154"/>
  <c r="H358" i="154"/>
  <c r="A358" i="154"/>
  <c r="P357" i="154"/>
  <c r="N357" i="154"/>
  <c r="M357" i="154"/>
  <c r="L357" i="154"/>
  <c r="K357" i="154"/>
  <c r="H357" i="154"/>
  <c r="A357" i="154"/>
  <c r="P356" i="154"/>
  <c r="N356" i="154"/>
  <c r="M356" i="154"/>
  <c r="L356" i="154"/>
  <c r="K356" i="154"/>
  <c r="H356" i="154"/>
  <c r="A356" i="154"/>
  <c r="B5" i="157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57" i="158"/>
  <c r="D357" i="158"/>
  <c r="J357" i="158"/>
  <c r="E357" i="158"/>
  <c r="F357" i="158"/>
  <c r="C357" i="158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F5" i="157"/>
  <c r="F6" i="157"/>
  <c r="A36" i="157"/>
  <c r="R7" i="157"/>
  <c r="A2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E6" i="157"/>
  <c r="B23" i="157"/>
  <c r="G23" i="157"/>
  <c r="H23" i="157"/>
  <c r="O360" i="158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B22" i="157"/>
  <c r="E25" i="157"/>
  <c r="B25" i="157"/>
  <c r="E5" i="157"/>
  <c r="E27" i="157"/>
  <c r="B27" i="157"/>
  <c r="C22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E29" i="157"/>
  <c r="B29" i="157"/>
  <c r="C23" i="157"/>
  <c r="C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R3" i="157"/>
  <c r="O351" i="158"/>
  <c r="R4" i="157"/>
  <c r="O352" i="158"/>
  <c r="R5" i="157"/>
  <c r="O353" i="158"/>
  <c r="R6" i="157"/>
  <c r="O354" i="158"/>
  <c r="O355" i="158"/>
  <c r="O356" i="158"/>
  <c r="O357" i="158"/>
  <c r="O358" i="158"/>
  <c r="O359" i="158"/>
  <c r="P360" i="158"/>
  <c r="N360" i="158"/>
  <c r="M360" i="158"/>
  <c r="L360" i="158"/>
  <c r="K360" i="158"/>
  <c r="H360" i="158"/>
  <c r="A360" i="158"/>
  <c r="P359" i="158"/>
  <c r="N359" i="158"/>
  <c r="M359" i="158"/>
  <c r="L359" i="158"/>
  <c r="K359" i="158"/>
  <c r="H359" i="158"/>
  <c r="A359" i="158"/>
  <c r="P358" i="158"/>
  <c r="N358" i="158"/>
  <c r="M358" i="158"/>
  <c r="L358" i="158"/>
  <c r="K358" i="158"/>
  <c r="H358" i="158"/>
  <c r="A358" i="158"/>
  <c r="P357" i="158"/>
  <c r="N357" i="158"/>
  <c r="M357" i="158"/>
  <c r="L357" i="158"/>
  <c r="K357" i="158"/>
  <c r="H357" i="158"/>
  <c r="A357" i="158"/>
  <c r="P356" i="158"/>
  <c r="N356" i="158"/>
  <c r="M356" i="158"/>
  <c r="L356" i="158"/>
  <c r="K356" i="158"/>
  <c r="H356" i="158"/>
  <c r="A356" i="158"/>
  <c r="I4" i="159"/>
  <c r="D4" i="159"/>
  <c r="J4" i="159"/>
  <c r="E4" i="159"/>
  <c r="F4" i="159"/>
  <c r="C4" i="159"/>
  <c r="H4" i="159"/>
  <c r="K4" i="159"/>
  <c r="L4" i="159"/>
  <c r="M4" i="159"/>
  <c r="N4" i="159"/>
  <c r="P4" i="159"/>
  <c r="H351" i="154"/>
  <c r="K351" i="154"/>
  <c r="L351" i="154"/>
  <c r="M351" i="154"/>
  <c r="N351" i="154"/>
  <c r="B10" i="153"/>
  <c r="B6" i="153"/>
  <c r="B30" i="153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A355" i="154"/>
  <c r="A354" i="154"/>
  <c r="A353" i="154"/>
  <c r="A352" i="154"/>
  <c r="A351" i="154"/>
  <c r="B10" i="157"/>
  <c r="B30" i="157"/>
  <c r="P355" i="158"/>
  <c r="N355" i="158"/>
  <c r="M355" i="158"/>
  <c r="L355" i="158"/>
  <c r="K355" i="158"/>
  <c r="H355" i="158"/>
  <c r="A355" i="158"/>
  <c r="A351" i="158"/>
  <c r="A352" i="158"/>
  <c r="A353" i="158"/>
  <c r="A354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A346" i="154"/>
  <c r="H346" i="154"/>
  <c r="K346" i="154"/>
  <c r="L346" i="154"/>
  <c r="M346" i="154"/>
  <c r="N346" i="154"/>
  <c r="A347" i="154"/>
  <c r="H347" i="154"/>
  <c r="K347" i="154"/>
  <c r="L347" i="154"/>
  <c r="M347" i="154"/>
  <c r="N347" i="154"/>
  <c r="A348" i="154"/>
  <c r="H348" i="154"/>
  <c r="K348" i="154"/>
  <c r="L348" i="154"/>
  <c r="M348" i="154"/>
  <c r="N348" i="154"/>
  <c r="A349" i="154"/>
  <c r="H349" i="154"/>
  <c r="K349" i="154"/>
  <c r="L349" i="154"/>
  <c r="M349" i="154"/>
  <c r="N349" i="154"/>
  <c r="A350" i="154"/>
  <c r="H350" i="154"/>
  <c r="K350" i="154"/>
  <c r="L350" i="154"/>
  <c r="M350" i="154"/>
  <c r="N350" i="154"/>
  <c r="A345" i="154"/>
  <c r="A350" i="158"/>
  <c r="H350" i="158"/>
  <c r="K350" i="158"/>
  <c r="L350" i="158"/>
  <c r="M350" i="158"/>
  <c r="N350" i="158"/>
  <c r="A349" i="158"/>
  <c r="H349" i="158"/>
  <c r="K349" i="158"/>
  <c r="L349" i="158"/>
  <c r="M349" i="158"/>
  <c r="N349" i="158"/>
  <c r="A346" i="158"/>
  <c r="H346" i="158"/>
  <c r="K346" i="158"/>
  <c r="L346" i="158"/>
  <c r="M346" i="158"/>
  <c r="N346" i="158"/>
  <c r="A347" i="158"/>
  <c r="H347" i="158"/>
  <c r="K347" i="158"/>
  <c r="L347" i="158"/>
  <c r="M347" i="158"/>
  <c r="N347" i="158"/>
  <c r="A348" i="158"/>
  <c r="H348" i="158"/>
  <c r="K348" i="158"/>
  <c r="L348" i="158"/>
  <c r="M348" i="158"/>
  <c r="N348" i="158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A341" i="154"/>
  <c r="A342" i="154"/>
  <c r="A343" i="154"/>
  <c r="A344" i="154"/>
  <c r="H341" i="158"/>
  <c r="K341" i="158"/>
  <c r="L341" i="158"/>
  <c r="M341" i="158"/>
  <c r="N341" i="158"/>
  <c r="H342" i="158"/>
  <c r="K342" i="158"/>
  <c r="L342" i="158"/>
  <c r="M342" i="158"/>
  <c r="N342" i="158"/>
  <c r="H343" i="158"/>
  <c r="K343" i="158"/>
  <c r="L343" i="158"/>
  <c r="M343" i="158"/>
  <c r="N343" i="158"/>
  <c r="H344" i="158"/>
  <c r="K344" i="158"/>
  <c r="L344" i="158"/>
  <c r="M344" i="158"/>
  <c r="N344" i="158"/>
  <c r="H345" i="158"/>
  <c r="K345" i="158"/>
  <c r="L345" i="158"/>
  <c r="M345" i="158"/>
  <c r="N345" i="158"/>
  <c r="A341" i="158"/>
  <c r="A342" i="158"/>
  <c r="A343" i="158"/>
  <c r="A344" i="158"/>
  <c r="A345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C19" i="157"/>
  <c r="C20" i="157"/>
  <c r="C21" i="157"/>
  <c r="C24" i="157"/>
  <c r="C25" i="157"/>
  <c r="C26" i="157"/>
  <c r="C27" i="157"/>
  <c r="C28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I3" i="159"/>
  <c r="D3" i="159"/>
  <c r="E3" i="159"/>
  <c r="I2" i="159"/>
  <c r="E2" i="159"/>
  <c r="D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1" i="157"/>
  <c r="B42" i="157"/>
  <c r="B43" i="157"/>
  <c r="B45" i="157"/>
  <c r="B46" i="157"/>
  <c r="F40" i="157"/>
  <c r="G40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C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5" i="153"/>
  <c r="B46" i="153"/>
  <c r="F40" i="153"/>
  <c r="G40" i="153"/>
  <c r="C19" i="153"/>
  <c r="C20" i="153"/>
  <c r="C21" i="153"/>
  <c r="C24" i="153"/>
  <c r="C25" i="153"/>
  <c r="C26" i="153"/>
  <c r="C27" i="153"/>
  <c r="C28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41" i="153"/>
  <c r="D18" i="157"/>
  <c r="F18" i="157"/>
  <c r="I18" i="157"/>
  <c r="J18" i="157"/>
  <c r="D21" i="157"/>
  <c r="F21" i="157"/>
  <c r="I21" i="157"/>
  <c r="J21" i="157"/>
  <c r="D22" i="157"/>
  <c r="F22" i="157"/>
  <c r="I22" i="157"/>
  <c r="J22" i="157"/>
  <c r="D23" i="157"/>
  <c r="F23" i="157"/>
  <c r="I23" i="157"/>
  <c r="J23" i="157"/>
  <c r="B32" i="157"/>
  <c r="D32" i="157"/>
  <c r="F45" i="157"/>
  <c r="F46" i="157"/>
  <c r="B44" i="157"/>
  <c r="B47" i="157"/>
  <c r="C40" i="157"/>
  <c r="C41" i="157"/>
  <c r="C42" i="157"/>
  <c r="C43" i="157"/>
  <c r="C44" i="157"/>
  <c r="C45" i="157"/>
  <c r="C46" i="157"/>
  <c r="C47" i="157"/>
  <c r="F47" i="157"/>
  <c r="F41" i="157"/>
  <c r="G41" i="157"/>
  <c r="F42" i="157"/>
  <c r="G42" i="157"/>
  <c r="F49" i="157"/>
  <c r="F48" i="157"/>
  <c r="F41" i="153"/>
  <c r="G41" i="153"/>
  <c r="P314" i="154"/>
  <c r="P317" i="154"/>
  <c r="P321" i="154"/>
  <c r="P328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5" i="154"/>
  <c r="P316" i="154"/>
  <c r="P318" i="154"/>
  <c r="P319" i="154"/>
  <c r="P320" i="154"/>
  <c r="P322" i="154"/>
  <c r="P323" i="154"/>
  <c r="P324" i="154"/>
  <c r="P325" i="154"/>
  <c r="P326" i="154"/>
  <c r="P327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F49" i="153"/>
  <c r="F42" i="153"/>
  <c r="G42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B32" i="153"/>
  <c r="D32" i="153"/>
  <c r="F45" i="153"/>
  <c r="F46" i="153"/>
  <c r="B44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<sst xmlns="http://schemas.openxmlformats.org/spreadsheetml/2006/main" count="535" uniqueCount="256">
  <si>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</si>
  <si>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</si>
  <si>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</si>
  <si>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</si>
  <si>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</si>
  <si>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</si>
  <si>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</si>
  <si>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</si>
  <si>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</si>
  <si>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</si>
  <si>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</si>
  <si>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</si>
  <si>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</si>
  <si>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</si>
  <si>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</si>
  <si>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</si>
  <si>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</si>
  <si>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</si>
  <si>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</si>
  <si>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</si>
  <si>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</si>
  <si>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</si>
  <si>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</si>
  <si>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</si>
  <si>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</si>
  <si>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</si>
  <si>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</si>
  <si>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</si>
  <si>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</si>
  <si>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</si>
  <si>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</si>
  <si>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</si>
  <si>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</si>
  <si>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</si>
  <si>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</si>
  <si>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</si>
  <si>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</si>
  <si>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</si>
  <si>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</si>
  <si>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</si>
  <si>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</si>
  <si>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</si>
  <si>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</si>
  <si>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</si>
  <si>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</si>
  <si>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</si>
  <si>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</si>
  <si>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</si>
  <si>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</si>
  <si>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</si>
  <si>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</si>
  <si>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</si>
  <si>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</si>
  <si>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</si>
  <si>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</si>
  <si>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</si>
  <si>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</si>
  <si>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</si>
  <si>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</si>
  <si>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</si>
  <si>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</si>
  <si>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</si>
  <si>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</si>
  <si>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</si>
  <si>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</si>
  <si>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</si>
  <si>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</si>
  <si>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</si>
  <si>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</si>
  <si>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</si>
  <si>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</si>
  <si>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</si>
  <si>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</si>
  <si>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</si>
  <si>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</si>
  <si>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</si>
  <si>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</si>
  <si>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</si>
  <si>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</si>
  <si>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</si>
  <si>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</si>
  <si>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</si>
  <si>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</si>
  <si>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</si>
  <si>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</si>
  <si>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</si>
  <si>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</si>
  <si>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</si>
  <si>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</si>
  <si>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</si>
  <si>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</si>
  <si>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</si>
  <si>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</si>
  <si>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</si>
  <si>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</si>
  <si>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</si>
  <si>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</si>
  <si>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</si>
  <si>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</si>
  <si>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</si>
  <si>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</si>
  <si>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</si>
  <si>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</si>
  <si>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</si>
  <si>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</si>
  <si>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</si>
  <si>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</si>
  <si>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</si>
  <si>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</si>
  <si>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</si>
  <si>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</si>
  <si>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</si>
  <si>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</si>
  <si>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</si>
  <si>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</si>
  <si>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</si>
  <si>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</si>
  <si>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</si>
  <si>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</si>
  <si>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</si>
  <si>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</si>
  <si>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</si>
  <si>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</si>
  <si>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</si>
  <si>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</si>
  <si>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</si>
  <si>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</si>
  <si>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</si>
  <si>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</si>
  <si>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</si>
  <si>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</si>
  <si>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</si>
  <si>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</si>
  <si>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</si>
  <si>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</si>
  <si>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</si>
  <si>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</si>
  <si>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</si>
  <si>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</si>
  <si>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</si>
  <si>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</si>
  <si>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</si>
  <si>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</si>
  <si>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</si>
  <si>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</si>
  <si>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</si>
  <si>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</si>
  <si>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</si>
  <si>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</si>
  <si>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</si>
  <si>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</si>
  <si>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</si>
  <si>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</si>
  <si>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</si>
  <si>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</si>
  <si>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</si>
  <si>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</si>
  <si>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</si>
  <si>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</si>
  <si>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</si>
  <si>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</si>
  <si>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</si>
  <si>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</si>
  <si>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</si>
  <si>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</si>
  <si>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</si>
  <si>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</si>
  <si>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</si>
  <si>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</si>
  <si>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</si>
  <si>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</si>
  <si>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</si>
  <si>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</si>
  <si>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</si>
  <si>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</si>
  <si>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</si>
  <si>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</si>
  <si>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</si>
  <si>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</si>
  <si>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</si>
  <si>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</si>
  <si>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</si>
  <si>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</si>
  <si>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</si>
  <si>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</si>
  <si>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</si>
  <si>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</si>
  <si>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</si>
  <si>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</si>
  <si>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</si>
  <si>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</si>
  <si>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</si>
  <si>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</si>
  <si>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</si>
  <si>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</si>
  <si>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</si>
  <si>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</si>
  <si>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</si>
  <si>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</si>
  <si>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</si>
  <si>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</si>
  <si>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</si>
  <si>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</si>
  <si>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</si>
  <si>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</si>
  <si>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</si>
  <si>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</si>
  <si>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</si>
  <si>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</si>
  <si>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</si>
  <si>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</si>
  <si>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</si>
  <si>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</si>
  <si>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</si>
  <si>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</si>
  <si>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</si>
  <si>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</si>
  <si>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</si>
  <si>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</si>
  <si>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</si>
  <si>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</si>
  <si>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</si>
  <si>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</si>
  <si>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</si>
  <si>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</si>
  <si>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</si>
  <si>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</si>
  <si>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</si>
  <si>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</si>
  <si>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</si>
  <si>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</si>
  <si>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</si>
  <si>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</si>
  <si>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</si>
  <si>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</si>
  <si>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</si>
  <si>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</si>
  <si>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</si>
  <si>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</si>
  <si>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</si>
  <si>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</si>
  <si>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</si>
  <si>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</si>
  <si>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</si>
  <si>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</si>
  <si>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</si>
  <si>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</si>
  <si>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</si>
  <si>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</si>
  <si>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</si>
  <si>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</si>
  <si>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</si>
  <si>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</si>
  <si>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tables_565100</t>
    <phoneticPr fontId="21"/>
  </si>
  <si>
    <t>tables_565010</t>
    <phoneticPr fontId="21"/>
  </si>
  <si>
    <t>tables_settle_565105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</si>
</sst>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9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0" fillId="0" borderId="0" xfId="0" applyFill="1" applyBorder="1"/>
    <xf numFmtId="177" fontId="0" fillId="0" borderId="0" xfId="3575" applyNumberFormat="1" applyFont="1" applyFill="1" applyBorder="1"/>
    <xf numFmtId="0" fontId="53" fillId="0" borderId="0" xfId="0" applyFont="1" applyFill="1" applyBorder="1" applyAlignment="1">
      <alignment vertical="center"/>
    </xf>
    <xf numFmtId="0" fontId="53" fillId="3" borderId="14" xfId="0" applyFont="1" applyFill="1" applyBorder="1" applyAlignment="1">
      <alignment vertical="center"/>
    </xf>
    <xf numFmtId="0" fontId="26" fillId="4" borderId="0" xfId="2" applyFont="1" applyFill="1" applyAlignment="1">
      <alignment vertical="center"/>
    </xf>
    <xf numFmtId="0" fontId="26" fillId="4" borderId="14" xfId="2" applyFont="1" applyFill="1" applyBorder="1" applyAlignment="1">
      <alignment vertical="center"/>
    </xf>
    <xf numFmtId="0" fontId="0" fillId="4" borderId="1" xfId="0" applyFill="1" applyBorder="1"/>
    <xf numFmtId="177" fontId="0" fillId="4" borderId="1" xfId="3575" applyNumberFormat="1" applyFont="1" applyFill="1" applyBorder="1"/>
    <xf numFmtId="0" fontId="53" fillId="4" borderId="1" xfId="0" applyFont="1" applyFill="1" applyBorder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1399</v>
          </cell>
          <cell r="B1390" t="str">
            <v>ja</v>
          </cell>
          <cell r="C1390" t="str">
            <v>ラヴァーズ</v>
          </cell>
          <cell r="H1390" t="str">
            <v>green</v>
          </cell>
          <cell r="I1390">
            <v>5</v>
          </cell>
          <cell r="J1390" t="str">
            <v>PremiumSSS</v>
          </cell>
          <cell r="K1390" t="str">
            <v>attack</v>
          </cell>
          <cell r="L1390" t="str">
            <v>攻撃タイプ</v>
          </cell>
          <cell r="M1390" t="str">
            <v>god</v>
          </cell>
        </row>
        <row r="1391">
          <cell r="A1391">
            <v>1400</v>
          </cell>
          <cell r="B1391" t="str">
            <v>ja</v>
          </cell>
          <cell r="C1391" t="str">
            <v>奏愛する虜籠 ラヴァーズ</v>
          </cell>
          <cell r="H1391" t="str">
            <v>green</v>
          </cell>
          <cell r="I1391">
            <v>6</v>
          </cell>
          <cell r="J1391" t="str">
            <v>PremiumSSS</v>
          </cell>
          <cell r="K1391" t="str">
            <v>attack</v>
          </cell>
          <cell r="L1391" t="str">
            <v>攻撃タイプ</v>
          </cell>
          <cell r="M1391" t="str">
            <v>god</v>
          </cell>
        </row>
        <row r="1392">
          <cell r="A1392">
            <v>1401</v>
          </cell>
          <cell r="B1392" t="str">
            <v>ja</v>
          </cell>
          <cell r="C1392" t="str">
            <v>レムリア</v>
          </cell>
          <cell r="H1392" t="str">
            <v>yellow</v>
          </cell>
          <cell r="I1392">
            <v>5</v>
          </cell>
          <cell r="J1392" t="str">
            <v>PremiumSSw</v>
          </cell>
          <cell r="K1392" t="str">
            <v>hp</v>
          </cell>
          <cell r="L1392" t="str">
            <v>体力タイプ</v>
          </cell>
          <cell r="M1392" t="str">
            <v>hero</v>
          </cell>
        </row>
        <row r="1393">
          <cell r="A1393">
            <v>1402</v>
          </cell>
          <cell r="B1393" t="str">
            <v>ja</v>
          </cell>
          <cell r="C1393" t="str">
            <v>縞彩の豊嬢 レムリア</v>
          </cell>
          <cell r="H1393" t="str">
            <v>yellow</v>
          </cell>
          <cell r="I1393">
            <v>6</v>
          </cell>
          <cell r="J1393" t="str">
            <v>PremiumSSw</v>
          </cell>
          <cell r="K1393" t="str">
            <v>hp</v>
          </cell>
          <cell r="L1393" t="str">
            <v>体力タイプ</v>
          </cell>
          <cell r="M1393" t="str">
            <v>hero</v>
          </cell>
        </row>
        <row r="1394">
          <cell r="A1394">
            <v>1403</v>
          </cell>
          <cell r="B1394" t="str">
            <v>ja</v>
          </cell>
          <cell r="C1394" t="str">
            <v>炎帝の守護獣神 朱雀</v>
          </cell>
          <cell r="H1394" t="str">
            <v>red</v>
          </cell>
          <cell r="I1394">
            <v>6</v>
          </cell>
          <cell r="J1394" t="str">
            <v>Drop2N</v>
          </cell>
          <cell r="K1394" t="str">
            <v>heal</v>
          </cell>
          <cell r="L1394" t="str">
            <v>回復タイプ</v>
          </cell>
          <cell r="M1394" t="str">
            <v>animal</v>
          </cell>
        </row>
        <row r="1395">
          <cell r="A1395">
            <v>1404</v>
          </cell>
          <cell r="B1395" t="str">
            <v>ja</v>
          </cell>
          <cell r="C1395" t="str">
            <v>玄帝の守護獣神 玄武</v>
          </cell>
          <cell r="H1395" t="str">
            <v>green</v>
          </cell>
          <cell r="I1395">
            <v>6</v>
          </cell>
          <cell r="J1395" t="str">
            <v>Drop2N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1405</v>
          </cell>
          <cell r="B1396" t="str">
            <v>ja</v>
          </cell>
          <cell r="C1396" t="str">
            <v>蒼帝の守護獣神 青龍</v>
          </cell>
          <cell r="H1396" t="str">
            <v>blue</v>
          </cell>
          <cell r="I1396">
            <v>6</v>
          </cell>
          <cell r="J1396" t="str">
            <v>Drop2N</v>
          </cell>
          <cell r="K1396" t="str">
            <v>balance</v>
          </cell>
          <cell r="L1396" t="str">
            <v>バランスタイプ</v>
          </cell>
          <cell r="M1396" t="str">
            <v>dragon</v>
          </cell>
        </row>
        <row r="1397">
          <cell r="A1397">
            <v>1406</v>
          </cell>
          <cell r="B1397" t="str">
            <v>ja</v>
          </cell>
          <cell r="C1397" t="str">
            <v>白帝の守護獣神 白虎</v>
          </cell>
          <cell r="H1397" t="str">
            <v>yellow</v>
          </cell>
          <cell r="I1397">
            <v>6</v>
          </cell>
          <cell r="J1397" t="str">
            <v>Drop2N</v>
          </cell>
          <cell r="K1397" t="str">
            <v>attack</v>
          </cell>
          <cell r="L1397" t="str">
            <v>攻撃タイプ</v>
          </cell>
          <cell r="M1397" t="str">
            <v>animal</v>
          </cell>
        </row>
        <row r="1398">
          <cell r="A1398">
            <v>1407</v>
          </cell>
          <cell r="B1398" t="str">
            <v>ja</v>
          </cell>
          <cell r="C1398" t="str">
            <v>グリム・ザ・ダンディ</v>
          </cell>
          <cell r="H1398" t="str">
            <v>yellow</v>
          </cell>
          <cell r="I1398">
            <v>5</v>
          </cell>
          <cell r="J1398" t="str">
            <v>DropWizS</v>
          </cell>
          <cell r="K1398" t="str">
            <v>balance</v>
          </cell>
          <cell r="L1398" t="str">
            <v>バランスタイプ</v>
          </cell>
          <cell r="M1398" t="str">
            <v>human</v>
          </cell>
        </row>
        <row r="1399">
          <cell r="A1399">
            <v>1408</v>
          </cell>
          <cell r="B1399" t="str">
            <v>ja</v>
          </cell>
          <cell r="C1399" t="str">
            <v>爽愛の求魂 グリム・ザ・ダンディ</v>
          </cell>
          <cell r="H1399" t="str">
            <v>yellow</v>
          </cell>
          <cell r="I1399">
            <v>6</v>
          </cell>
          <cell r="J1399" t="str">
            <v>DropWizS</v>
          </cell>
          <cell r="K1399" t="str">
            <v>balance</v>
          </cell>
          <cell r="L1399" t="str">
            <v>バランスタイプ</v>
          </cell>
          <cell r="M1399" t="str">
            <v>human</v>
          </cell>
        </row>
        <row r="1400">
          <cell r="A1400">
            <v>1409</v>
          </cell>
          <cell r="B1400" t="str">
            <v>ja</v>
          </cell>
          <cell r="C1400" t="str">
            <v>マシロ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heal</v>
          </cell>
          <cell r="L1400" t="str">
            <v>回復タイプ</v>
          </cell>
          <cell r="M1400" t="str">
            <v>human</v>
          </cell>
        </row>
        <row r="1401">
          <cell r="A1401">
            <v>1410</v>
          </cell>
          <cell r="B1401" t="str">
            <v>ja</v>
          </cell>
          <cell r="C1401" t="str">
            <v>浮遊する白恋 マシロ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heal</v>
          </cell>
          <cell r="L1401" t="str">
            <v>回復タイプ</v>
          </cell>
          <cell r="M1401" t="str">
            <v>human</v>
          </cell>
        </row>
        <row r="1402">
          <cell r="A1402">
            <v>1411</v>
          </cell>
          <cell r="B1402" t="str">
            <v>ja</v>
          </cell>
          <cell r="C1402" t="str">
            <v>ピーターパン・イノセンス</v>
          </cell>
          <cell r="H1402" t="str">
            <v>blue</v>
          </cell>
          <cell r="I1402">
            <v>5</v>
          </cell>
          <cell r="J1402" t="str">
            <v>PremiumS</v>
          </cell>
          <cell r="K1402" t="str">
            <v>attack</v>
          </cell>
          <cell r="L1402" t="str">
            <v>攻撃タイプ</v>
          </cell>
          <cell r="M1402" t="str">
            <v>human</v>
          </cell>
        </row>
        <row r="1403">
          <cell r="A1403">
            <v>1412</v>
          </cell>
          <cell r="B1403" t="str">
            <v>ja</v>
          </cell>
          <cell r="C1403" t="str">
            <v>アレス・パッション</v>
          </cell>
          <cell r="H1403" t="str">
            <v>yellow</v>
          </cell>
          <cell r="I1403">
            <v>5</v>
          </cell>
          <cell r="J1403" t="str">
            <v>PremiumS</v>
          </cell>
          <cell r="K1403" t="str">
            <v>attack</v>
          </cell>
          <cell r="L1403" t="str">
            <v>攻撃タイプ</v>
          </cell>
          <cell r="M1403" t="str">
            <v>god</v>
          </cell>
        </row>
        <row r="1404">
          <cell r="A1404">
            <v>1413</v>
          </cell>
          <cell r="B1404" t="str">
            <v>ja</v>
          </cell>
          <cell r="C1404" t="str">
            <v>クリムト・ペリューシド</v>
          </cell>
          <cell r="H1404" t="str">
            <v>green</v>
          </cell>
          <cell r="I1404">
            <v>5</v>
          </cell>
          <cell r="J1404" t="str">
            <v>PremiumS</v>
          </cell>
          <cell r="K1404" t="str">
            <v>technical</v>
          </cell>
          <cell r="L1404" t="str">
            <v>テクニカルタイプ</v>
          </cell>
          <cell r="M1404" t="str">
            <v>human</v>
          </cell>
        </row>
        <row r="1405">
          <cell r="A1405">
            <v>1414</v>
          </cell>
          <cell r="B1405" t="str">
            <v>ja</v>
          </cell>
          <cell r="C1405" t="str">
            <v>炎のミリオンダック 7</v>
          </cell>
          <cell r="D1405" t="str">
            <v>未定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red</v>
          </cell>
          <cell r="I1405">
            <v>6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1415</v>
          </cell>
          <cell r="B1406" t="str">
            <v>ja</v>
          </cell>
          <cell r="C1406" t="str">
            <v>森のミリオンダック 7</v>
          </cell>
          <cell r="D1406" t="str">
            <v>未定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green</v>
          </cell>
          <cell r="I1406">
            <v>6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</row>
        <row r="1407">
          <cell r="A1407">
            <v>1416</v>
          </cell>
          <cell r="B1407" t="str">
            <v>ja</v>
          </cell>
          <cell r="C1407" t="str">
            <v>水のミリオンダック 7</v>
          </cell>
          <cell r="D1407" t="str">
            <v>未定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6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</row>
        <row r="1408">
          <cell r="A1408">
            <v>1417</v>
          </cell>
          <cell r="B1408" t="str">
            <v>ja</v>
          </cell>
          <cell r="C1408" t="str">
            <v>雷のミリオンダック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1418</v>
          </cell>
          <cell r="B1409" t="str">
            <v>ja</v>
          </cell>
          <cell r="C1409" t="str">
            <v>擬潜送侵型メリッサ2.0</v>
          </cell>
          <cell r="H1409" t="str">
            <v>red</v>
          </cell>
          <cell r="I1409">
            <v>5</v>
          </cell>
          <cell r="J1409" t="str">
            <v>DropWizS</v>
          </cell>
          <cell r="K1409" t="str">
            <v>technical</v>
          </cell>
          <cell r="L1409" t="str">
            <v>テクニカルタイプ</v>
          </cell>
          <cell r="M1409" t="str">
            <v>unknown</v>
          </cell>
        </row>
        <row r="1410">
          <cell r="A1410">
            <v>1419</v>
          </cell>
          <cell r="B1410" t="str">
            <v>ja</v>
          </cell>
          <cell r="C1410" t="str">
            <v>感潜する侵感 メリッサ</v>
          </cell>
          <cell r="H1410" t="str">
            <v>red</v>
          </cell>
          <cell r="I1410">
            <v>6</v>
          </cell>
          <cell r="J1410" t="str">
            <v>DropWizS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1420</v>
          </cell>
          <cell r="B1411" t="str">
            <v>ja</v>
          </cell>
          <cell r="C1411" t="str">
            <v>脆侵増殖型G・モリス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1421</v>
          </cell>
          <cell r="B1412" t="str">
            <v>ja</v>
          </cell>
          <cell r="C1412" t="str">
            <v>拡勢する偽増 モリス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1422</v>
          </cell>
          <cell r="B1413" t="str">
            <v>ja</v>
          </cell>
          <cell r="C1413" t="str">
            <v>解錠放散性ニムダE</v>
          </cell>
          <cell r="H1413" t="str">
            <v>yellow</v>
          </cell>
          <cell r="I1413">
            <v>5</v>
          </cell>
          <cell r="J1413" t="str">
            <v>DropWizS</v>
          </cell>
          <cell r="K1413" t="str">
            <v>hp</v>
          </cell>
          <cell r="L1413" t="str">
            <v>体力タイプ</v>
          </cell>
          <cell r="M1413" t="str">
            <v>unknown</v>
          </cell>
        </row>
        <row r="1414">
          <cell r="A1414">
            <v>1423</v>
          </cell>
          <cell r="B1414" t="str">
            <v>ja</v>
          </cell>
          <cell r="C1414" t="str">
            <v>電播する環染 ニムダ</v>
          </cell>
          <cell r="H1414" t="str">
            <v>yellow</v>
          </cell>
          <cell r="I1414">
            <v>6</v>
          </cell>
          <cell r="J1414" t="str">
            <v>DropWizS</v>
          </cell>
          <cell r="K1414" t="str">
            <v>hp</v>
          </cell>
          <cell r="L1414" t="str">
            <v>体力タイプ</v>
          </cell>
          <cell r="M1414" t="str">
            <v>unknown</v>
          </cell>
        </row>
        <row r="1415">
          <cell r="A1415">
            <v>1424</v>
          </cell>
          <cell r="B1415" t="str">
            <v>ja</v>
          </cell>
          <cell r="C1415" t="str">
            <v>波打際の宴麗 フロイト</v>
          </cell>
          <cell r="H1415" t="str">
            <v>blue</v>
          </cell>
          <cell r="I1415">
            <v>6</v>
          </cell>
          <cell r="J1415" t="str">
            <v>PremiumSSS</v>
          </cell>
          <cell r="K1415" t="str">
            <v>balance</v>
          </cell>
          <cell r="L1415" t="str">
            <v>バランスタイプ</v>
          </cell>
          <cell r="M1415" t="str">
            <v>academia</v>
          </cell>
        </row>
        <row r="1416">
          <cell r="A1416">
            <v>1425</v>
          </cell>
          <cell r="B1416" t="str">
            <v>ja</v>
          </cell>
          <cell r="C1416" t="str">
            <v>ヴォルタ</v>
          </cell>
          <cell r="D1416" t="str">
            <v>未定</v>
          </cell>
          <cell r="E1416" t="str">
            <v>アリス</v>
          </cell>
          <cell r="F1416" t="str">
            <v>世界観</v>
          </cell>
          <cell r="G1416" t="str">
            <v>不明</v>
          </cell>
          <cell r="H1416" t="str">
            <v>red</v>
          </cell>
          <cell r="I1416">
            <v>5</v>
          </cell>
          <cell r="J1416" t="str">
            <v>PremiumSSS</v>
          </cell>
          <cell r="K1416" t="str">
            <v>attack</v>
          </cell>
          <cell r="L1416" t="str">
            <v>攻撃タイプ</v>
          </cell>
          <cell r="M1416" t="str">
            <v>academia</v>
          </cell>
        </row>
        <row r="1417">
          <cell r="A1417">
            <v>1426</v>
          </cell>
          <cell r="B1417" t="str">
            <v>ja</v>
          </cell>
          <cell r="C1417" t="str">
            <v>灼々たる電花 ヴォルタ</v>
          </cell>
          <cell r="D1417" t="str">
            <v>未定</v>
          </cell>
          <cell r="E1417" t="str">
            <v>アリス</v>
          </cell>
          <cell r="F1417" t="str">
            <v>世界観</v>
          </cell>
          <cell r="G1417" t="str">
            <v>不明</v>
          </cell>
          <cell r="H1417" t="str">
            <v>red</v>
          </cell>
          <cell r="I1417">
            <v>6</v>
          </cell>
          <cell r="J1417" t="str">
            <v>PremiumSSS</v>
          </cell>
          <cell r="K1417" t="str">
            <v>attack</v>
          </cell>
          <cell r="L1417" t="str">
            <v>攻撃タイプ</v>
          </cell>
          <cell r="M1417" t="str">
            <v>academia</v>
          </cell>
        </row>
        <row r="1418">
          <cell r="A1418">
            <v>1427</v>
          </cell>
          <cell r="B1418" t="str">
            <v>ja</v>
          </cell>
          <cell r="C1418" t="str">
            <v>プラトー</v>
          </cell>
          <cell r="D1418" t="str">
            <v>未定</v>
          </cell>
          <cell r="E1418" t="str">
            <v>アリス</v>
          </cell>
          <cell r="F1418" t="str">
            <v>世界観</v>
          </cell>
          <cell r="G1418" t="str">
            <v>不明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technical</v>
          </cell>
          <cell r="L1418" t="str">
            <v>テクニカルタイプ</v>
          </cell>
          <cell r="M1418" t="str">
            <v>academia</v>
          </cell>
        </row>
        <row r="1419">
          <cell r="A1419">
            <v>1428</v>
          </cell>
          <cell r="B1419" t="str">
            <v>ja</v>
          </cell>
          <cell r="C1419" t="str">
            <v>幻影の泡沫 プラトー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green</v>
          </cell>
          <cell r="I1419">
            <v>6</v>
          </cell>
          <cell r="J1419" t="str">
            <v>PremiumSSS</v>
          </cell>
          <cell r="K1419" t="str">
            <v>technical</v>
          </cell>
          <cell r="L1419" t="str">
            <v>テクニカルタイプ</v>
          </cell>
          <cell r="M1419" t="str">
            <v>academia</v>
          </cell>
        </row>
        <row r="1420">
          <cell r="A1420">
            <v>1431</v>
          </cell>
          <cell r="B1420" t="str">
            <v>ja</v>
          </cell>
          <cell r="C1420" t="str">
            <v>センコ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god</v>
          </cell>
        </row>
        <row r="1421">
          <cell r="A1421">
            <v>1432</v>
          </cell>
          <cell r="B1421" t="str">
            <v>ja</v>
          </cell>
          <cell r="C1421" t="str">
            <v>華宴の千年狐 センコ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yellow</v>
          </cell>
          <cell r="I1421">
            <v>6</v>
          </cell>
          <cell r="J1421" t="str">
            <v>PremiumSS</v>
          </cell>
          <cell r="K1421" t="str">
            <v>hp</v>
          </cell>
          <cell r="L1421" t="str">
            <v>体力タイプ</v>
          </cell>
          <cell r="M1421" t="str">
            <v>god</v>
          </cell>
        </row>
        <row r="1422">
          <cell r="A1422">
            <v>1433</v>
          </cell>
          <cell r="B1422" t="str">
            <v>ja</v>
          </cell>
          <cell r="C1422" t="str">
            <v>超越の果実</v>
          </cell>
          <cell r="D1422" t="str">
            <v>スキル進化素材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yellow</v>
          </cell>
          <cell r="I1422">
            <v>3</v>
          </cell>
          <cell r="J1422" t="str">
            <v>Material</v>
          </cell>
          <cell r="K1422" t="str">
            <v>limitbreak</v>
          </cell>
          <cell r="L1422" t="str">
            <v>限界突破素材</v>
          </cell>
          <cell r="M1422" t="str">
            <v>unknown</v>
          </cell>
        </row>
        <row r="1423">
          <cell r="A1423">
            <v>1434</v>
          </cell>
          <cell r="B1423" t="str">
            <v>ja</v>
          </cell>
          <cell r="C1423" t="str">
            <v>メガ超越の果実</v>
          </cell>
          <cell r="D1423" t="str">
            <v>スキル進化素材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4</v>
          </cell>
          <cell r="J1423" t="str">
            <v>Material</v>
          </cell>
          <cell r="K1423" t="str">
            <v>limitbreak</v>
          </cell>
          <cell r="L1423" t="str">
            <v>限界突破素材</v>
          </cell>
          <cell r="M1423" t="str">
            <v>unknown</v>
          </cell>
        </row>
        <row r="1424">
          <cell r="A1424">
            <v>1435</v>
          </cell>
          <cell r="B1424" t="str">
            <v>ja</v>
          </cell>
          <cell r="C1424" t="str">
            <v>ギガ超越の果実</v>
          </cell>
          <cell r="D1424" t="str">
            <v>スキル進化素材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5</v>
          </cell>
          <cell r="J1424" t="str">
            <v>Material</v>
          </cell>
          <cell r="K1424" t="str">
            <v>limitbreak</v>
          </cell>
          <cell r="L1424" t="str">
            <v>限界突破素材</v>
          </cell>
          <cell r="M1424" t="str">
            <v>unknown</v>
          </cell>
        </row>
        <row r="1425">
          <cell r="A1425">
            <v>1452</v>
          </cell>
          <cell r="B1425" t="str">
            <v>ja</v>
          </cell>
          <cell r="C1425" t="str">
            <v>メルセンヌ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5</v>
          </cell>
          <cell r="J1425" t="str">
            <v>PremiumSSS</v>
          </cell>
          <cell r="K1425" t="str">
            <v>hp</v>
          </cell>
          <cell r="L1425" t="str">
            <v>体力タイプ</v>
          </cell>
          <cell r="M1425" t="str">
            <v>academia</v>
          </cell>
        </row>
        <row r="1426">
          <cell r="A1426">
            <v>1453</v>
          </cell>
          <cell r="B1426" t="str">
            <v>ja</v>
          </cell>
          <cell r="C1426" t="str">
            <v>数解の自鳴琴 メルセンヌ</v>
          </cell>
          <cell r="D1426" t="str">
            <v>未定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6</v>
          </cell>
          <cell r="J1426" t="str">
            <v>PremiumSSS</v>
          </cell>
          <cell r="K1426" t="str">
            <v>hp</v>
          </cell>
          <cell r="L1426" t="str">
            <v>体力タイプ</v>
          </cell>
          <cell r="M1426" t="str">
            <v>academia</v>
          </cell>
        </row>
        <row r="1427">
          <cell r="A1427">
            <v>1454</v>
          </cell>
          <cell r="B1427" t="str">
            <v>ja</v>
          </cell>
          <cell r="C1427" t="str">
            <v>ストレングス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red</v>
          </cell>
          <cell r="I1427">
            <v>5</v>
          </cell>
          <cell r="J1427" t="str">
            <v>PremiumSSS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1455</v>
          </cell>
          <cell r="B1428" t="str">
            <v>ja</v>
          </cell>
          <cell r="C1428" t="str">
            <v>豪毅なる征獣師 ストレングス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red</v>
          </cell>
          <cell r="I1428">
            <v>6</v>
          </cell>
          <cell r="J1428" t="str">
            <v>PremiumSSS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1456</v>
          </cell>
          <cell r="B1429" t="str">
            <v>ja</v>
          </cell>
          <cell r="C1429" t="str">
            <v>ネセバル</v>
          </cell>
          <cell r="H1429" t="str">
            <v>blue</v>
          </cell>
          <cell r="I1429">
            <v>5</v>
          </cell>
          <cell r="J1429" t="str">
            <v>PremiumSSw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1457</v>
          </cell>
          <cell r="B1430" t="str">
            <v>ja</v>
          </cell>
          <cell r="C1430" t="str">
            <v>碧影の聖跡 ネセバル</v>
          </cell>
          <cell r="H1430" t="str">
            <v>blue</v>
          </cell>
          <cell r="I1430">
            <v>6</v>
          </cell>
          <cell r="J1430" t="str">
            <v>PremiumSSw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1458</v>
          </cell>
          <cell r="B1431" t="str">
            <v>ja</v>
          </cell>
          <cell r="C1431" t="str">
            <v>diamond01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attack</v>
          </cell>
          <cell r="L1431" t="str">
            <v>攻撃タイプ</v>
          </cell>
          <cell r="M1431" t="str">
            <v>human</v>
          </cell>
        </row>
        <row r="1432">
          <cell r="A1432">
            <v>1459</v>
          </cell>
          <cell r="B1432" t="str">
            <v>ja</v>
          </cell>
          <cell r="C1432" t="str">
            <v>diamond02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1460</v>
          </cell>
          <cell r="B1433" t="str">
            <v>ja</v>
          </cell>
          <cell r="C1433" t="str">
            <v>opal01</v>
          </cell>
          <cell r="H1433" t="str">
            <v>blue</v>
          </cell>
          <cell r="I1433">
            <v>4</v>
          </cell>
          <cell r="J1433" t="str">
            <v>PremiumS</v>
          </cell>
          <cell r="K1433" t="str">
            <v>balance</v>
          </cell>
          <cell r="L1433" t="str">
            <v>バランスタイプ</v>
          </cell>
          <cell r="M1433" t="str">
            <v>human</v>
          </cell>
        </row>
        <row r="1434">
          <cell r="A1434">
            <v>1461</v>
          </cell>
          <cell r="B1434" t="str">
            <v>ja</v>
          </cell>
          <cell r="C1434" t="str">
            <v>opal02</v>
          </cell>
          <cell r="H1434" t="str">
            <v>blue</v>
          </cell>
          <cell r="I1434">
            <v>5</v>
          </cell>
          <cell r="J1434" t="str">
            <v>PremiumS</v>
          </cell>
          <cell r="K1434" t="str">
            <v>balance</v>
          </cell>
          <cell r="L1434" t="str">
            <v>バランスタイプ</v>
          </cell>
          <cell r="M1434" t="str">
            <v>human</v>
          </cell>
        </row>
        <row r="1435">
          <cell r="A1435">
            <v>1462</v>
          </cell>
          <cell r="B1435" t="str">
            <v>ja</v>
          </cell>
          <cell r="C1435" t="str">
            <v>ruby01</v>
          </cell>
          <cell r="H1435" t="str">
            <v>yellow</v>
          </cell>
          <cell r="I1435">
            <v>5</v>
          </cell>
          <cell r="J1435" t="str">
            <v>PremiumSS</v>
          </cell>
          <cell r="K1435" t="str">
            <v>technical</v>
          </cell>
          <cell r="L1435" t="str">
            <v>テクニカルタイプ</v>
          </cell>
          <cell r="M1435" t="str">
            <v>human</v>
          </cell>
        </row>
        <row r="1436">
          <cell r="A1436">
            <v>1463</v>
          </cell>
          <cell r="B1436" t="str">
            <v>ja</v>
          </cell>
          <cell r="C1436" t="str">
            <v>ruby02</v>
          </cell>
          <cell r="H1436" t="str">
            <v>yellow</v>
          </cell>
          <cell r="I1436">
            <v>6</v>
          </cell>
          <cell r="J1436" t="str">
            <v>PremiumSS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1464</v>
          </cell>
          <cell r="B1437" t="str">
            <v>ja</v>
          </cell>
          <cell r="C1437" t="str">
            <v>garnet01</v>
          </cell>
          <cell r="H1437" t="str">
            <v>yellow</v>
          </cell>
          <cell r="I1437">
            <v>5</v>
          </cell>
          <cell r="J1437" t="str">
            <v>PremiumSS</v>
          </cell>
          <cell r="K1437" t="str">
            <v>hp</v>
          </cell>
          <cell r="L1437" t="str">
            <v>体力タイプ</v>
          </cell>
          <cell r="M1437" t="str">
            <v>human</v>
          </cell>
        </row>
        <row r="1438">
          <cell r="A1438">
            <v>1465</v>
          </cell>
          <cell r="B1438" t="str">
            <v>ja</v>
          </cell>
          <cell r="C1438" t="str">
            <v>garnet02</v>
          </cell>
          <cell r="H1438" t="str">
            <v>yellow</v>
          </cell>
          <cell r="I1438">
            <v>6</v>
          </cell>
          <cell r="J1438" t="str">
            <v>PremiumSS</v>
          </cell>
          <cell r="K1438" t="str">
            <v>hp</v>
          </cell>
          <cell r="L1438" t="str">
            <v>体力タイプ</v>
          </cell>
          <cell r="M1438" t="str">
            <v>human</v>
          </cell>
        </row>
        <row r="1439">
          <cell r="A1439">
            <v>1466</v>
          </cell>
          <cell r="B1439" t="str">
            <v>ja</v>
          </cell>
          <cell r="C1439" t="str">
            <v>sapphire01</v>
          </cell>
          <cell r="H1439" t="str">
            <v>blue</v>
          </cell>
          <cell r="I1439">
            <v>5</v>
          </cell>
          <cell r="J1439" t="str">
            <v>DropWizS</v>
          </cell>
          <cell r="K1439" t="str">
            <v>attack</v>
          </cell>
          <cell r="L1439" t="str">
            <v>攻撃タイプ</v>
          </cell>
          <cell r="M1439" t="str">
            <v>human</v>
          </cell>
        </row>
        <row r="1440">
          <cell r="A1440">
            <v>1467</v>
          </cell>
          <cell r="B1440" t="str">
            <v>ja</v>
          </cell>
          <cell r="C1440" t="str">
            <v>sapphire02</v>
          </cell>
          <cell r="H1440" t="str">
            <v>blue</v>
          </cell>
          <cell r="I1440">
            <v>6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1468</v>
          </cell>
          <cell r="B1441" t="str">
            <v>ja</v>
          </cell>
          <cell r="C1441" t="str">
            <v>emerald01</v>
          </cell>
          <cell r="H1441" t="str">
            <v>green</v>
          </cell>
          <cell r="I1441">
            <v>5</v>
          </cell>
          <cell r="J1441" t="str">
            <v>Drop2N</v>
          </cell>
          <cell r="K1441" t="str">
            <v>attack</v>
          </cell>
          <cell r="L1441" t="str">
            <v>攻撃タイプ</v>
          </cell>
          <cell r="M1441" t="str">
            <v>unknown</v>
          </cell>
        </row>
        <row r="1442">
          <cell r="A1442">
            <v>1469</v>
          </cell>
          <cell r="B1442" t="str">
            <v>ja</v>
          </cell>
          <cell r="C1442" t="str">
            <v>aquamarine01</v>
          </cell>
          <cell r="H1442" t="str">
            <v>yellow</v>
          </cell>
          <cell r="I1442">
            <v>5</v>
          </cell>
          <cell r="J1442" t="str">
            <v>Drop2N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1470</v>
          </cell>
          <cell r="B1443" t="str">
            <v>ja</v>
          </cell>
          <cell r="C1443" t="str">
            <v>amethyst01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1471</v>
          </cell>
          <cell r="B1444" t="str">
            <v>ja</v>
          </cell>
          <cell r="C1444" t="str">
            <v>エイプリルアーサー</v>
          </cell>
          <cell r="H1444" t="str">
            <v>red</v>
          </cell>
          <cell r="I1444">
            <v>6</v>
          </cell>
          <cell r="J1444" t="str">
            <v>DropWizS</v>
          </cell>
          <cell r="K1444" t="str">
            <v>balance</v>
          </cell>
          <cell r="L1444" t="str">
            <v>バランスタイプ</v>
          </cell>
          <cell r="M1444" t="str">
            <v>unknown</v>
          </cell>
        </row>
        <row r="1445">
          <cell r="A1445">
            <v>1488</v>
          </cell>
          <cell r="B1445" t="str">
            <v>ja</v>
          </cell>
          <cell r="C1445" t="str">
            <v>バクR5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green</v>
          </cell>
          <cell r="I1445">
            <v>5</v>
          </cell>
          <cell r="J1445" t="str">
            <v>PremiumSSS</v>
          </cell>
          <cell r="K1445" t="str">
            <v>attack</v>
          </cell>
          <cell r="L1445" t="str">
            <v>攻撃タイプ</v>
          </cell>
          <cell r="M1445" t="str">
            <v>academia</v>
          </cell>
        </row>
        <row r="1446">
          <cell r="A1446">
            <v>1489</v>
          </cell>
          <cell r="B1446" t="str">
            <v>ja</v>
          </cell>
          <cell r="C1446" t="str">
            <v>バクR6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6</v>
          </cell>
          <cell r="J1446" t="str">
            <v>PremiumSSS</v>
          </cell>
          <cell r="K1446" t="str">
            <v>attack</v>
          </cell>
          <cell r="L1446" t="str">
            <v>攻撃タイプ</v>
          </cell>
          <cell r="M1446" t="str">
            <v>academia</v>
          </cell>
        </row>
        <row r="1447">
          <cell r="A1447">
            <v>1490</v>
          </cell>
          <cell r="B1447" t="str">
            <v>ja</v>
          </cell>
          <cell r="C1447" t="str">
            <v>パラケルススR5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5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academia</v>
          </cell>
        </row>
        <row r="1448">
          <cell r="A1448">
            <v>1491</v>
          </cell>
          <cell r="B1448" t="str">
            <v>ja</v>
          </cell>
          <cell r="C1448" t="str">
            <v>パラケルススR6</v>
          </cell>
          <cell r="D1448" t="str">
            <v>未定</v>
          </cell>
          <cell r="E1448" t="str">
            <v>アリス</v>
          </cell>
          <cell r="F1448" t="str">
            <v>世界観</v>
          </cell>
          <cell r="G1448" t="str">
            <v>不明</v>
          </cell>
          <cell r="H1448" t="str">
            <v>red</v>
          </cell>
          <cell r="I1448">
            <v>6</v>
          </cell>
          <cell r="J1448" t="str">
            <v>PremiumSSS</v>
          </cell>
          <cell r="K1448" t="str">
            <v>balance</v>
          </cell>
          <cell r="L1448" t="str">
            <v>バランスタイプ</v>
          </cell>
          <cell r="M1448" t="str">
            <v>academia</v>
          </cell>
        </row>
        <row r="1449">
          <cell r="A1449">
            <v>1495</v>
          </cell>
          <cell r="B1449" t="str">
            <v>ja</v>
          </cell>
          <cell r="C1449" t="str">
            <v>桜乱の武奏術 牛若丸</v>
          </cell>
          <cell r="D1449" t="str">
            <v>未定</v>
          </cell>
          <cell r="E1449" t="str">
            <v>アリス</v>
          </cell>
          <cell r="F1449" t="str">
            <v>世界観</v>
          </cell>
          <cell r="G1449" t="str">
            <v>不明</v>
          </cell>
          <cell r="H1449" t="str">
            <v>yellow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samurai</v>
          </cell>
        </row>
        <row r="1450">
          <cell r="A1450">
            <v>1496</v>
          </cell>
          <cell r="B1450" t="str">
            <v>ja</v>
          </cell>
          <cell r="C1450" t="str">
            <v>晴眼桜花一文字 沖田総司</v>
          </cell>
          <cell r="D1450" t="str">
            <v>未定</v>
          </cell>
          <cell r="E1450" t="str">
            <v>アリス</v>
          </cell>
          <cell r="F1450" t="str">
            <v>世界観</v>
          </cell>
          <cell r="G1450" t="str">
            <v>不明</v>
          </cell>
          <cell r="H1450" t="str">
            <v>green</v>
          </cell>
          <cell r="I1450">
            <v>6</v>
          </cell>
          <cell r="J1450" t="str">
            <v>PremiumSS</v>
          </cell>
          <cell r="K1450" t="str">
            <v>hp</v>
          </cell>
          <cell r="L1450" t="str">
            <v>体力タイプ</v>
          </cell>
          <cell r="M1450" t="str">
            <v>samurai</v>
          </cell>
        </row>
        <row r="1451">
          <cell r="A1451">
            <v>1497</v>
          </cell>
          <cell r="B1451" t="str">
            <v>ja</v>
          </cell>
          <cell r="C1451" t="str">
            <v>ヨシノ</v>
          </cell>
          <cell r="H1451" t="str">
            <v>blue</v>
          </cell>
          <cell r="I1451">
            <v>5</v>
          </cell>
          <cell r="J1451" t="str">
            <v>DropWizS</v>
          </cell>
          <cell r="K1451" t="str">
            <v>heal</v>
          </cell>
          <cell r="L1451" t="str">
            <v>回復タイプ</v>
          </cell>
          <cell r="M1451" t="str">
            <v>fantasy</v>
          </cell>
        </row>
        <row r="1452">
          <cell r="A1452">
            <v>1498</v>
          </cell>
          <cell r="B1452" t="str">
            <v>ja</v>
          </cell>
          <cell r="C1452" t="str">
            <v>咲誇る夢見草 ヨシノ</v>
          </cell>
          <cell r="H1452" t="str">
            <v>blue</v>
          </cell>
          <cell r="I1452">
            <v>6</v>
          </cell>
          <cell r="J1452" t="str">
            <v>DropWizS</v>
          </cell>
          <cell r="K1452" t="str">
            <v>heal</v>
          </cell>
          <cell r="L1452" t="str">
            <v>回復タイプ</v>
          </cell>
          <cell r="M1452" t="str">
            <v>fantasy</v>
          </cell>
        </row>
        <row r="1453">
          <cell r="A1453">
            <v>1499</v>
          </cell>
          <cell r="B1453" t="str">
            <v>ja</v>
          </cell>
          <cell r="C1453" t="str">
            <v>コノハナサクヤ</v>
          </cell>
          <cell r="D1453" t="str">
            <v>未定</v>
          </cell>
          <cell r="E1453" t="str">
            <v>アリス</v>
          </cell>
          <cell r="F1453" t="str">
            <v>世界観</v>
          </cell>
          <cell r="G1453" t="str">
            <v>不明</v>
          </cell>
          <cell r="H1453" t="str">
            <v>yellow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1500</v>
          </cell>
          <cell r="B1454" t="str">
            <v>ja</v>
          </cell>
          <cell r="C1454" t="str">
            <v>櫻歌する開華 コノハナサクヤ</v>
          </cell>
          <cell r="D1454" t="str">
            <v>未定</v>
          </cell>
          <cell r="E1454" t="str">
            <v>アリス</v>
          </cell>
          <cell r="F1454" t="str">
            <v>世界観</v>
          </cell>
          <cell r="G1454" t="str">
            <v>不明</v>
          </cell>
          <cell r="H1454" t="str">
            <v>yellow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1501</v>
          </cell>
          <cell r="B1455" t="str">
            <v>ja</v>
          </cell>
          <cell r="C1455" t="str">
            <v>晴舞台の桜舞 ドガ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balance</v>
          </cell>
          <cell r="L1455" t="str">
            <v>バランスタイプ</v>
          </cell>
          <cell r="M1455" t="str">
            <v>animal</v>
          </cell>
        </row>
        <row r="1456">
          <cell r="A1456">
            <v>1502</v>
          </cell>
          <cell r="B1456" t="str">
            <v>ja</v>
          </cell>
          <cell r="C1456" t="str">
            <v>打咲かす桜花灯 トリスタン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human</v>
          </cell>
        </row>
        <row r="1457">
          <cell r="A1457">
            <v>1503</v>
          </cell>
          <cell r="B1457" t="str">
            <v>ja</v>
          </cell>
          <cell r="C1457" t="str">
            <v>春纏う蛇撫子 ヨルムンガンド</v>
          </cell>
          <cell r="H1457" t="str">
            <v>yellow</v>
          </cell>
          <cell r="I1457">
            <v>5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dragon</v>
          </cell>
        </row>
        <row r="1458">
          <cell r="A1458">
            <v>1504</v>
          </cell>
          <cell r="B1458" t="str">
            <v>ja</v>
          </cell>
          <cell r="C1458" t="str">
            <v>ネコ</v>
          </cell>
          <cell r="H1458" t="str">
            <v>red</v>
          </cell>
          <cell r="I1458">
            <v>1</v>
          </cell>
          <cell r="J1458" t="str">
            <v>Drop1T</v>
          </cell>
          <cell r="K1458" t="str">
            <v>balance</v>
          </cell>
          <cell r="L1458" t="str">
            <v>バランスタイプ</v>
          </cell>
          <cell r="M1458" t="str">
            <v>unknown</v>
          </cell>
        </row>
        <row r="1459">
          <cell r="A1459">
            <v>1505</v>
          </cell>
          <cell r="B1459" t="str">
            <v>ja</v>
          </cell>
          <cell r="C1459" t="str">
            <v>タンクネコ</v>
          </cell>
          <cell r="H1459" t="str">
            <v>green</v>
          </cell>
          <cell r="I1459">
            <v>1</v>
          </cell>
          <cell r="J1459" t="str">
            <v>Drop1T</v>
          </cell>
          <cell r="K1459" t="str">
            <v>hp</v>
          </cell>
          <cell r="L1459" t="str">
            <v>体力タイプ</v>
          </cell>
          <cell r="M1459" t="str">
            <v>unknown</v>
          </cell>
        </row>
        <row r="1460">
          <cell r="A1460">
            <v>1506</v>
          </cell>
          <cell r="B1460" t="str">
            <v>ja</v>
          </cell>
          <cell r="C1460" t="str">
            <v>バトルネコ</v>
          </cell>
          <cell r="H1460" t="str">
            <v>yellow</v>
          </cell>
          <cell r="I1460">
            <v>2</v>
          </cell>
          <cell r="J1460" t="str">
            <v>Drop1S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1507</v>
          </cell>
          <cell r="B1461" t="str">
            <v>ja</v>
          </cell>
          <cell r="C1461" t="str">
            <v>キモネコ</v>
          </cell>
          <cell r="H1461" t="str">
            <v>blue</v>
          </cell>
          <cell r="I1461">
            <v>3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1508</v>
          </cell>
          <cell r="B1462" t="str">
            <v>ja</v>
          </cell>
          <cell r="C1462" t="str">
            <v>ネコノトリ</v>
          </cell>
          <cell r="H1462" t="str">
            <v>red</v>
          </cell>
          <cell r="I1462">
            <v>4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1509</v>
          </cell>
          <cell r="B1463" t="str">
            <v>ja</v>
          </cell>
          <cell r="C1463" t="str">
            <v>巨神ネコ</v>
          </cell>
          <cell r="H1463" t="str">
            <v>green</v>
          </cell>
          <cell r="I1463">
            <v>5</v>
          </cell>
          <cell r="J1463" t="str">
            <v>Drop2N</v>
          </cell>
          <cell r="K1463" t="str">
            <v>hp</v>
          </cell>
          <cell r="L1463" t="str">
            <v>体力タイプ</v>
          </cell>
          <cell r="M1463" t="str">
            <v>god</v>
          </cell>
        </row>
        <row r="1464">
          <cell r="A1464">
            <v>1510</v>
          </cell>
          <cell r="B1464" t="str">
            <v>ja</v>
          </cell>
          <cell r="C1464" t="str">
            <v>ネコヴァルキリー</v>
          </cell>
          <cell r="H1464" t="str">
            <v>yellow</v>
          </cell>
          <cell r="I1464">
            <v>4</v>
          </cell>
          <cell r="J1464" t="str">
            <v>DropWizS</v>
          </cell>
          <cell r="K1464" t="str">
            <v>balance</v>
          </cell>
          <cell r="L1464" t="str">
            <v>バランスタイプ</v>
          </cell>
          <cell r="M1464" t="str">
            <v>god</v>
          </cell>
        </row>
        <row r="1465">
          <cell r="A1465">
            <v>1511</v>
          </cell>
          <cell r="B1465" t="str">
            <v>ja</v>
          </cell>
          <cell r="C1465" t="str">
            <v>ネコヴァルキリー･真</v>
          </cell>
          <cell r="H1465" t="str">
            <v>yellow</v>
          </cell>
          <cell r="I1465">
            <v>5</v>
          </cell>
          <cell r="J1465" t="str">
            <v>DropWizS</v>
          </cell>
          <cell r="K1465" t="str">
            <v>balance</v>
          </cell>
          <cell r="L1465" t="str">
            <v>バランスタイプ</v>
          </cell>
          <cell r="M1465" t="str">
            <v>god</v>
          </cell>
        </row>
        <row r="1466">
          <cell r="A1466">
            <v>1512</v>
          </cell>
          <cell r="B1466" t="str">
            <v>ja</v>
          </cell>
          <cell r="C1466" t="str">
            <v>ネコヴァルキリー･聖</v>
          </cell>
          <cell r="H1466" t="str">
            <v>yellow</v>
          </cell>
          <cell r="I1466">
            <v>6</v>
          </cell>
          <cell r="J1466" t="str">
            <v>DropWizS</v>
          </cell>
          <cell r="K1466" t="str">
            <v>balance</v>
          </cell>
          <cell r="L1466" t="str">
            <v>バランスタイプ</v>
          </cell>
          <cell r="M1466" t="str">
            <v>god</v>
          </cell>
        </row>
        <row r="1467">
          <cell r="A1467">
            <v>1513</v>
          </cell>
          <cell r="B1467" t="str">
            <v>ja</v>
          </cell>
          <cell r="C1467" t="str">
            <v>金ネコ</v>
          </cell>
          <cell r="H1467" t="str">
            <v>yellow</v>
          </cell>
          <cell r="I1467">
            <v>4</v>
          </cell>
          <cell r="J1467" t="str">
            <v>Material</v>
          </cell>
          <cell r="K1467" t="str">
            <v>coin</v>
          </cell>
          <cell r="L1467" t="str">
            <v>コインタイプ</v>
          </cell>
          <cell r="M1467" t="str">
            <v>unknown</v>
          </cell>
        </row>
        <row r="1468">
          <cell r="A1468">
            <v>1514</v>
          </cell>
          <cell r="B1468" t="str">
            <v>ja</v>
          </cell>
          <cell r="C1468" t="str">
            <v>金ネコビルダー</v>
          </cell>
          <cell r="H1468" t="str">
            <v>yellow</v>
          </cell>
          <cell r="I1468">
            <v>5</v>
          </cell>
          <cell r="J1468" t="str">
            <v>Material</v>
          </cell>
          <cell r="K1468" t="str">
            <v>coin</v>
          </cell>
          <cell r="L1468" t="str">
            <v>コインタイプ</v>
          </cell>
          <cell r="M1468" t="str">
            <v>unknown</v>
          </cell>
        </row>
        <row r="1469">
          <cell r="A1469">
            <v>1515</v>
          </cell>
          <cell r="B1469" t="str">
            <v>ja</v>
          </cell>
          <cell r="C1469" t="str">
            <v>赤メタルネコ</v>
          </cell>
          <cell r="H1469" t="str">
            <v>red</v>
          </cell>
          <cell r="I1469">
            <v>4</v>
          </cell>
          <cell r="J1469" t="str">
            <v>Material</v>
          </cell>
          <cell r="K1469" t="str">
            <v>exp</v>
          </cell>
          <cell r="L1469" t="str">
            <v>強化素材タイプ</v>
          </cell>
          <cell r="M1469" t="str">
            <v>unknown</v>
          </cell>
        </row>
        <row r="1470">
          <cell r="A1470">
            <v>1516</v>
          </cell>
          <cell r="B1470" t="str">
            <v>ja</v>
          </cell>
          <cell r="C1470" t="str">
            <v>赤メタルネコビルダー</v>
          </cell>
          <cell r="H1470" t="str">
            <v>red</v>
          </cell>
          <cell r="I1470">
            <v>5</v>
          </cell>
          <cell r="J1470" t="str">
            <v>Material</v>
          </cell>
          <cell r="K1470" t="str">
            <v>exp</v>
          </cell>
          <cell r="L1470" t="str">
            <v>強化素材タイプ</v>
          </cell>
          <cell r="M1470" t="str">
            <v>unknown</v>
          </cell>
        </row>
        <row r="1471">
          <cell r="A1471">
            <v>1517</v>
          </cell>
          <cell r="B1471" t="str">
            <v>ja</v>
          </cell>
          <cell r="C1471" t="str">
            <v>青メタルネコ</v>
          </cell>
          <cell r="H1471" t="str">
            <v>blue</v>
          </cell>
          <cell r="I1471">
            <v>4</v>
          </cell>
          <cell r="J1471" t="str">
            <v>Material</v>
          </cell>
          <cell r="K1471" t="str">
            <v>exp</v>
          </cell>
          <cell r="L1471" t="str">
            <v>強化素材タイプ</v>
          </cell>
          <cell r="M1471" t="str">
            <v>unknown</v>
          </cell>
        </row>
        <row r="1472">
          <cell r="A1472">
            <v>1518</v>
          </cell>
          <cell r="B1472" t="str">
            <v>ja</v>
          </cell>
          <cell r="C1472" t="str">
            <v>青メタルネコビルダー</v>
          </cell>
          <cell r="H1472" t="str">
            <v>blue</v>
          </cell>
          <cell r="I1472">
            <v>5</v>
          </cell>
          <cell r="J1472" t="str">
            <v>Material</v>
          </cell>
          <cell r="K1472" t="str">
            <v>exp</v>
          </cell>
          <cell r="L1472" t="str">
            <v>強化素材タイプ</v>
          </cell>
          <cell r="M1472" t="str">
            <v>unknown</v>
          </cell>
        </row>
        <row r="1473">
          <cell r="A1473">
            <v>1519</v>
          </cell>
          <cell r="B1473" t="str">
            <v>ja</v>
          </cell>
          <cell r="C1473" t="str">
            <v>緑メタルネコ</v>
          </cell>
          <cell r="H1473" t="str">
            <v>green</v>
          </cell>
          <cell r="I1473">
            <v>4</v>
          </cell>
          <cell r="J1473" t="str">
            <v>Material</v>
          </cell>
          <cell r="K1473" t="str">
            <v>exp</v>
          </cell>
          <cell r="L1473" t="str">
            <v>強化素材タイプ</v>
          </cell>
          <cell r="M1473" t="str">
            <v>unknown</v>
          </cell>
        </row>
        <row r="1474">
          <cell r="A1474">
            <v>1520</v>
          </cell>
          <cell r="B1474" t="str">
            <v>ja</v>
          </cell>
          <cell r="C1474" t="str">
            <v>緑メタルネコビルダー</v>
          </cell>
          <cell r="H1474" t="str">
            <v>green</v>
          </cell>
          <cell r="I1474">
            <v>5</v>
          </cell>
          <cell r="J1474" t="str">
            <v>Material</v>
          </cell>
          <cell r="K1474" t="str">
            <v>exp</v>
          </cell>
          <cell r="L1474" t="str">
            <v>強化素材タイプ</v>
          </cell>
          <cell r="M1474" t="str">
            <v>unknown</v>
          </cell>
        </row>
        <row r="1475">
          <cell r="A1475">
            <v>1521</v>
          </cell>
          <cell r="B1475" t="str">
            <v>ja</v>
          </cell>
          <cell r="C1475" t="str">
            <v>黄メタルネコ</v>
          </cell>
          <cell r="H1475" t="str">
            <v>yellow</v>
          </cell>
          <cell r="I1475">
            <v>4</v>
          </cell>
          <cell r="J1475" t="str">
            <v>Material</v>
          </cell>
          <cell r="K1475" t="str">
            <v>exp</v>
          </cell>
          <cell r="L1475" t="str">
            <v>強化素材タイプ</v>
          </cell>
          <cell r="M1475" t="str">
            <v>unknown</v>
          </cell>
        </row>
        <row r="1476">
          <cell r="A1476">
            <v>1522</v>
          </cell>
          <cell r="B1476" t="str">
            <v>ja</v>
          </cell>
          <cell r="C1476" t="str">
            <v>黄メタルネコビルダー</v>
          </cell>
          <cell r="H1476" t="str">
            <v>yellow</v>
          </cell>
          <cell r="I1476">
            <v>5</v>
          </cell>
          <cell r="J1476" t="str">
            <v>Material</v>
          </cell>
          <cell r="K1476" t="str">
            <v>exp</v>
          </cell>
          <cell r="L1476" t="str">
            <v>強化素材タイプ</v>
          </cell>
          <cell r="M1476" t="str">
            <v>unknown</v>
          </cell>
        </row>
        <row r="1477">
          <cell r="A1477">
            <v>1523</v>
          </cell>
          <cell r="B1477" t="str">
            <v>ja</v>
          </cell>
          <cell r="C1477" t="str">
            <v>ネコムート</v>
          </cell>
          <cell r="H1477" t="str">
            <v>blue</v>
          </cell>
          <cell r="I1477">
            <v>5</v>
          </cell>
          <cell r="J1477" t="str">
            <v>DropWizS</v>
          </cell>
          <cell r="K1477" t="str">
            <v>technical</v>
          </cell>
          <cell r="L1477" t="str">
            <v>テクニカルタイプ</v>
          </cell>
          <cell r="M1477" t="str">
            <v>animal</v>
          </cell>
        </row>
        <row r="1478">
          <cell r="A1478">
            <v>1524</v>
          </cell>
          <cell r="B1478" t="str">
            <v>ja</v>
          </cell>
          <cell r="C1478" t="str">
            <v>狂乱のネコムート</v>
          </cell>
          <cell r="H1478" t="str">
            <v>blue</v>
          </cell>
          <cell r="I1478">
            <v>6</v>
          </cell>
          <cell r="J1478" t="str">
            <v>DropWizS</v>
          </cell>
          <cell r="K1478" t="str">
            <v>technical</v>
          </cell>
          <cell r="L1478" t="str">
            <v>テクニカルタイプ</v>
          </cell>
          <cell r="M1478" t="str">
            <v>animal</v>
          </cell>
        </row>
        <row r="1479">
          <cell r="A1479">
            <v>1525</v>
          </cell>
          <cell r="B1479" t="str">
            <v>ja</v>
          </cell>
          <cell r="C1479" t="str">
            <v>狂乱のネコ</v>
          </cell>
          <cell r="H1479" t="str">
            <v>red</v>
          </cell>
          <cell r="I1479">
            <v>5</v>
          </cell>
          <cell r="J1479" t="str">
            <v>DropWizSS</v>
          </cell>
          <cell r="K1479" t="str">
            <v>attack</v>
          </cell>
          <cell r="L1479" t="str">
            <v>攻撃タイプ</v>
          </cell>
          <cell r="M1479" t="str">
            <v>animal</v>
          </cell>
        </row>
        <row r="1480">
          <cell r="A1480">
            <v>1526</v>
          </cell>
          <cell r="B1480" t="str">
            <v>ja</v>
          </cell>
          <cell r="C1480" t="str">
            <v>狂乱のネコビルダー</v>
          </cell>
          <cell r="H1480" t="str">
            <v>red</v>
          </cell>
          <cell r="I1480">
            <v>6</v>
          </cell>
          <cell r="J1480" t="str">
            <v>DropWizSS</v>
          </cell>
          <cell r="K1480" t="str">
            <v>attack</v>
          </cell>
          <cell r="L1480" t="str">
            <v>攻撃タイプ</v>
          </cell>
          <cell r="M1480" t="str">
            <v>animal</v>
          </cell>
        </row>
        <row r="1481">
          <cell r="A1481">
            <v>1527</v>
          </cell>
          <cell r="B1481" t="str">
            <v>ja</v>
          </cell>
          <cell r="C1481" t="str">
            <v>ネコ魔剣士</v>
          </cell>
          <cell r="H1481" t="str">
            <v>red</v>
          </cell>
          <cell r="I1481">
            <v>4</v>
          </cell>
          <cell r="J1481" t="str">
            <v>PremiumS</v>
          </cell>
          <cell r="K1481" t="str">
            <v>attack</v>
          </cell>
          <cell r="L1481" t="str">
            <v>攻撃タイプ</v>
          </cell>
          <cell r="M1481" t="str">
            <v>animal</v>
          </cell>
        </row>
        <row r="1482">
          <cell r="A1482">
            <v>1528</v>
          </cell>
          <cell r="B1482" t="str">
            <v>ja</v>
          </cell>
          <cell r="C1482" t="str">
            <v>双剣ネコ魔剣士</v>
          </cell>
          <cell r="H1482" t="str">
            <v>red</v>
          </cell>
          <cell r="I1482">
            <v>5</v>
          </cell>
          <cell r="J1482" t="str">
            <v>PremiumS</v>
          </cell>
          <cell r="K1482" t="str">
            <v>attack</v>
          </cell>
          <cell r="L1482" t="str">
            <v>攻撃タイプ</v>
          </cell>
          <cell r="M1482" t="str">
            <v>animal</v>
          </cell>
        </row>
        <row r="1483">
          <cell r="A1483">
            <v>1529</v>
          </cell>
          <cell r="B1483" t="str">
            <v>ja</v>
          </cell>
          <cell r="C1483" t="str">
            <v>ねこ海賊</v>
          </cell>
          <cell r="H1483" t="str">
            <v>blue</v>
          </cell>
          <cell r="I1483">
            <v>4</v>
          </cell>
          <cell r="J1483" t="str">
            <v>PremiumS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1530</v>
          </cell>
          <cell r="B1484" t="str">
            <v>ja</v>
          </cell>
          <cell r="C1484" t="str">
            <v>ニャーコック船長</v>
          </cell>
          <cell r="H1484" t="str">
            <v>blue</v>
          </cell>
          <cell r="I1484">
            <v>5</v>
          </cell>
          <cell r="J1484" t="str">
            <v>PremiumS</v>
          </cell>
          <cell r="K1484" t="str">
            <v>balance</v>
          </cell>
          <cell r="L1484" t="str">
            <v>バランスタイプ</v>
          </cell>
          <cell r="M1484" t="str">
            <v>unknown</v>
          </cell>
        </row>
        <row r="1485">
          <cell r="A1485">
            <v>1531</v>
          </cell>
          <cell r="B1485" t="str">
            <v>ja</v>
          </cell>
          <cell r="C1485" t="str">
            <v>ねこジュラ</v>
          </cell>
          <cell r="H1485" t="str">
            <v>green</v>
          </cell>
          <cell r="I1485">
            <v>4</v>
          </cell>
          <cell r="J1485" t="str">
            <v>PremiumS</v>
          </cell>
          <cell r="K1485" t="str">
            <v>technical</v>
          </cell>
          <cell r="L1485" t="str">
            <v>テクニカルタイプ</v>
          </cell>
          <cell r="M1485" t="str">
            <v>animal</v>
          </cell>
        </row>
        <row r="1486">
          <cell r="A1486">
            <v>1532</v>
          </cell>
          <cell r="B1486" t="str">
            <v>ja</v>
          </cell>
          <cell r="C1486" t="str">
            <v>ねこジュラシッター</v>
          </cell>
          <cell r="H1486" t="str">
            <v>green</v>
          </cell>
          <cell r="I1486">
            <v>5</v>
          </cell>
          <cell r="J1486" t="str">
            <v>PremiumS</v>
          </cell>
          <cell r="K1486" t="str">
            <v>technical</v>
          </cell>
          <cell r="L1486" t="str">
            <v>テクニカルタイプ</v>
          </cell>
          <cell r="M1486" t="str">
            <v>animal</v>
          </cell>
        </row>
        <row r="1487">
          <cell r="A1487">
            <v>1533</v>
          </cell>
          <cell r="B1487" t="str">
            <v>ja</v>
          </cell>
          <cell r="C1487" t="str">
            <v>ネコエステ</v>
          </cell>
          <cell r="H1487" t="str">
            <v>yellow</v>
          </cell>
          <cell r="I1487">
            <v>4</v>
          </cell>
          <cell r="J1487" t="str">
            <v>PremiumS</v>
          </cell>
          <cell r="K1487" t="str">
            <v>attack</v>
          </cell>
          <cell r="L1487" t="str">
            <v>攻撃タイプ</v>
          </cell>
          <cell r="M1487" t="str">
            <v>animal</v>
          </cell>
        </row>
        <row r="1488">
          <cell r="A1488">
            <v>1534</v>
          </cell>
          <cell r="B1488" t="str">
            <v>ja</v>
          </cell>
          <cell r="C1488" t="str">
            <v>ネコジェンヌ</v>
          </cell>
          <cell r="H1488" t="str">
            <v>yellow</v>
          </cell>
          <cell r="I1488">
            <v>5</v>
          </cell>
          <cell r="J1488" t="str">
            <v>PremiumS</v>
          </cell>
          <cell r="K1488" t="str">
            <v>attack</v>
          </cell>
          <cell r="L1488" t="str">
            <v>攻撃タイプ</v>
          </cell>
          <cell r="M1488" t="str">
            <v>animal</v>
          </cell>
        </row>
        <row r="1489">
          <cell r="A1489">
            <v>1535</v>
          </cell>
          <cell r="B1489" t="str">
            <v>ja</v>
          </cell>
          <cell r="C1489" t="str">
            <v>ねこナース</v>
          </cell>
          <cell r="H1489" t="str">
            <v>red</v>
          </cell>
          <cell r="I1489">
            <v>5</v>
          </cell>
          <cell r="J1489" t="str">
            <v>PremiumSS</v>
          </cell>
          <cell r="K1489" t="str">
            <v>technical</v>
          </cell>
          <cell r="L1489" t="str">
            <v>テクニカルタイプ</v>
          </cell>
          <cell r="M1489" t="str">
            <v>god</v>
          </cell>
        </row>
        <row r="1490">
          <cell r="A1490">
            <v>1536</v>
          </cell>
          <cell r="B1490" t="str">
            <v>ja</v>
          </cell>
          <cell r="C1490" t="str">
            <v>ハートフルねこナース</v>
          </cell>
          <cell r="H1490" t="str">
            <v>red</v>
          </cell>
          <cell r="I1490">
            <v>6</v>
          </cell>
          <cell r="J1490" t="str">
            <v>PremiumSS</v>
          </cell>
          <cell r="K1490" t="str">
            <v>technical</v>
          </cell>
          <cell r="L1490" t="str">
            <v>テクニカルタイプ</v>
          </cell>
          <cell r="M1490" t="str">
            <v>god</v>
          </cell>
        </row>
        <row r="1491">
          <cell r="A1491">
            <v>1537</v>
          </cell>
          <cell r="B1491" t="str">
            <v>ja</v>
          </cell>
          <cell r="C1491" t="str">
            <v>キャットマンダディ</v>
          </cell>
          <cell r="H1491" t="str">
            <v>blue</v>
          </cell>
          <cell r="I1491">
            <v>5</v>
          </cell>
          <cell r="J1491" t="str">
            <v>PremiumSSS</v>
          </cell>
          <cell r="K1491" t="str">
            <v>attack</v>
          </cell>
          <cell r="L1491" t="str">
            <v>攻撃タイプ</v>
          </cell>
          <cell r="M1491" t="str">
            <v>unknown</v>
          </cell>
        </row>
        <row r="1492">
          <cell r="A1492">
            <v>1538</v>
          </cell>
          <cell r="B1492" t="str">
            <v>ja</v>
          </cell>
          <cell r="C1492" t="str">
            <v>キャットマンダーク</v>
          </cell>
          <cell r="H1492" t="str">
            <v>blue</v>
          </cell>
          <cell r="I1492">
            <v>6</v>
          </cell>
          <cell r="J1492" t="str">
            <v>PremiumSSS</v>
          </cell>
          <cell r="K1492" t="str">
            <v>attack</v>
          </cell>
          <cell r="L1492" t="str">
            <v>攻撃タイプ</v>
          </cell>
          <cell r="M1492" t="str">
            <v>unknown</v>
          </cell>
        </row>
        <row r="1493">
          <cell r="A1493">
            <v>1539</v>
          </cell>
          <cell r="B1493" t="str">
            <v>ja</v>
          </cell>
          <cell r="C1493" t="str">
            <v>雷神のサンディア</v>
          </cell>
          <cell r="H1493" t="str">
            <v>yellow</v>
          </cell>
          <cell r="I1493">
            <v>5</v>
          </cell>
          <cell r="J1493" t="str">
            <v>PremiumSS</v>
          </cell>
          <cell r="K1493" t="str">
            <v>attack</v>
          </cell>
          <cell r="L1493" t="str">
            <v>攻撃タイプ</v>
          </cell>
          <cell r="M1493" t="str">
            <v>god</v>
          </cell>
        </row>
        <row r="1494">
          <cell r="A1494">
            <v>1540</v>
          </cell>
          <cell r="B1494" t="str">
            <v>ja</v>
          </cell>
          <cell r="C1494" t="str">
            <v>雷神のサンディアβ</v>
          </cell>
          <cell r="H1494" t="str">
            <v>yellow</v>
          </cell>
          <cell r="I1494">
            <v>6</v>
          </cell>
          <cell r="J1494" t="str">
            <v>PremiumSS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1541</v>
          </cell>
          <cell r="B1495" t="str">
            <v>ja</v>
          </cell>
          <cell r="C1495" t="str">
            <v>美女神アフロディーテ</v>
          </cell>
          <cell r="H1495" t="str">
            <v>red</v>
          </cell>
          <cell r="I1495">
            <v>5</v>
          </cell>
          <cell r="J1495" t="str">
            <v>PremiumSSS</v>
          </cell>
          <cell r="K1495" t="str">
            <v>technical</v>
          </cell>
          <cell r="L1495" t="str">
            <v>テクニカルタイプ</v>
          </cell>
          <cell r="M1495" t="str">
            <v>god</v>
          </cell>
        </row>
        <row r="1496">
          <cell r="A1496">
            <v>1542</v>
          </cell>
          <cell r="B1496" t="str">
            <v>ja</v>
          </cell>
          <cell r="C1496" t="str">
            <v>メガロディーテ</v>
          </cell>
          <cell r="H1496" t="str">
            <v>red</v>
          </cell>
          <cell r="I1496">
            <v>6</v>
          </cell>
          <cell r="J1496" t="str">
            <v>PremiumSSS</v>
          </cell>
          <cell r="K1496" t="str">
            <v>technical</v>
          </cell>
          <cell r="L1496" t="str">
            <v>テクニカルタイプ</v>
          </cell>
          <cell r="M1496" t="str">
            <v>god</v>
          </cell>
        </row>
        <row r="1497">
          <cell r="A1497">
            <v>1543</v>
          </cell>
          <cell r="B1497" t="str">
            <v>ja</v>
          </cell>
          <cell r="C1497" t="str">
            <v>ツルの恩返し</v>
          </cell>
          <cell r="H1497" t="str">
            <v>red</v>
          </cell>
          <cell r="I1497">
            <v>5</v>
          </cell>
          <cell r="J1497" t="str">
            <v>PremiumSS</v>
          </cell>
          <cell r="K1497" t="str">
            <v>balance</v>
          </cell>
          <cell r="L1497" t="str">
            <v>バランスタイプ</v>
          </cell>
          <cell r="M1497" t="str">
            <v>hero</v>
          </cell>
        </row>
        <row r="1498">
          <cell r="A1498">
            <v>1544</v>
          </cell>
          <cell r="B1498" t="str">
            <v>ja</v>
          </cell>
          <cell r="C1498" t="str">
            <v>銀河戦士コスモ</v>
          </cell>
          <cell r="H1498" t="str">
            <v>red</v>
          </cell>
          <cell r="I1498">
            <v>6</v>
          </cell>
          <cell r="J1498" t="str">
            <v>PremiumSS</v>
          </cell>
          <cell r="K1498" t="str">
            <v>balance</v>
          </cell>
          <cell r="L1498" t="str">
            <v>バランスタイプ</v>
          </cell>
          <cell r="M1498" t="str">
            <v>hero</v>
          </cell>
        </row>
        <row r="1499">
          <cell r="A1499">
            <v>1545</v>
          </cell>
          <cell r="B1499" t="str">
            <v>ja</v>
          </cell>
          <cell r="C1499" t="str">
            <v>ネコルガ</v>
          </cell>
          <cell r="H1499" t="str">
            <v>green</v>
          </cell>
          <cell r="I1499">
            <v>5</v>
          </cell>
          <cell r="J1499" t="str">
            <v>PremiumSS</v>
          </cell>
          <cell r="K1499" t="str">
            <v>hp</v>
          </cell>
          <cell r="L1499" t="str">
            <v>体力タイプ</v>
          </cell>
          <cell r="M1499" t="str">
            <v>unknown</v>
          </cell>
        </row>
        <row r="1500">
          <cell r="A1500">
            <v>1546</v>
          </cell>
          <cell r="B1500" t="str">
            <v>ja</v>
          </cell>
          <cell r="C1500" t="str">
            <v>ケサランパサラン</v>
          </cell>
          <cell r="H1500" t="str">
            <v>green</v>
          </cell>
          <cell r="I1500">
            <v>6</v>
          </cell>
          <cell r="J1500" t="str">
            <v>PremiumSS</v>
          </cell>
          <cell r="K1500" t="str">
            <v>hp</v>
          </cell>
          <cell r="L1500" t="str">
            <v>体力タイプ</v>
          </cell>
          <cell r="M1500" t="str">
            <v>unknown</v>
          </cell>
        </row>
        <row r="1501">
          <cell r="A1501">
            <v>1547</v>
          </cell>
          <cell r="B1501" t="str">
            <v>ja</v>
          </cell>
          <cell r="C1501" t="str">
            <v>ネコフラワー</v>
          </cell>
          <cell r="H1501" t="str">
            <v>green</v>
          </cell>
          <cell r="I1501">
            <v>4</v>
          </cell>
          <cell r="J1501" t="str">
            <v>Drop2N</v>
          </cell>
          <cell r="K1501" t="str">
            <v>hp</v>
          </cell>
          <cell r="L1501" t="str">
            <v>体力タイプ</v>
          </cell>
          <cell r="M1501" t="str">
            <v>animal</v>
          </cell>
        </row>
        <row r="1502">
          <cell r="A1502">
            <v>1548</v>
          </cell>
          <cell r="B1502" t="str">
            <v>ja</v>
          </cell>
          <cell r="C1502" t="str">
            <v>にゃんこ扇風</v>
          </cell>
          <cell r="H1502" t="str">
            <v>green</v>
          </cell>
          <cell r="I1502">
            <v>5</v>
          </cell>
          <cell r="J1502" t="str">
            <v>Drop2N</v>
          </cell>
          <cell r="K1502" t="str">
            <v>hp</v>
          </cell>
          <cell r="L1502" t="str">
            <v>体力タイプ</v>
          </cell>
          <cell r="M1502" t="str">
            <v>animal</v>
          </cell>
        </row>
        <row r="1503">
          <cell r="A1503">
            <v>1549</v>
          </cell>
          <cell r="B1503" t="str">
            <v>ja</v>
          </cell>
          <cell r="C1503" t="str">
            <v>ネコリンゴ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1550</v>
          </cell>
          <cell r="B1504" t="str">
            <v>ja</v>
          </cell>
          <cell r="C1504" t="str">
            <v>カオルくん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balance</v>
          </cell>
          <cell r="L1504" t="str">
            <v>バランスタイプ</v>
          </cell>
          <cell r="M1504" t="str">
            <v>unknown</v>
          </cell>
        </row>
        <row r="1505">
          <cell r="A1505">
            <v>1551</v>
          </cell>
          <cell r="B1505" t="str">
            <v>ja</v>
          </cell>
          <cell r="C1505" t="str">
            <v>Leo01</v>
          </cell>
          <cell r="H1505" t="str">
            <v>red</v>
          </cell>
          <cell r="I1505">
            <v>5</v>
          </cell>
          <cell r="J1505" t="str">
            <v>DropWizS</v>
          </cell>
          <cell r="K1505" t="str">
            <v>balance</v>
          </cell>
          <cell r="L1505" t="str">
            <v>バランスタイプ</v>
          </cell>
          <cell r="M1505" t="str">
            <v>human</v>
          </cell>
        </row>
        <row r="1506">
          <cell r="A1506">
            <v>1552</v>
          </cell>
          <cell r="B1506" t="str">
            <v>ja</v>
          </cell>
          <cell r="C1506" t="str">
            <v>Leo02</v>
          </cell>
          <cell r="H1506" t="str">
            <v>red</v>
          </cell>
          <cell r="I1506">
            <v>6</v>
          </cell>
          <cell r="J1506" t="str">
            <v>DropWizS</v>
          </cell>
          <cell r="K1506" t="str">
            <v>balance</v>
          </cell>
          <cell r="L1506" t="str">
            <v>バランスタイプ</v>
          </cell>
          <cell r="M1506" t="str">
            <v>human</v>
          </cell>
        </row>
        <row r="1507">
          <cell r="A1507">
            <v>1553</v>
          </cell>
          <cell r="B1507" t="str">
            <v>ja</v>
          </cell>
          <cell r="C1507" t="str">
            <v>Andromeda01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human</v>
          </cell>
        </row>
        <row r="1508">
          <cell r="A1508">
            <v>1554</v>
          </cell>
          <cell r="B1508" t="str">
            <v>ja</v>
          </cell>
          <cell r="C1508" t="str">
            <v>Andromeda02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human</v>
          </cell>
        </row>
        <row r="1509">
          <cell r="A1509">
            <v>1555</v>
          </cell>
          <cell r="B1509" t="str">
            <v>ja</v>
          </cell>
          <cell r="C1509" t="str">
            <v>Taurus01</v>
          </cell>
          <cell r="H1509" t="str">
            <v>blue</v>
          </cell>
          <cell r="I1509">
            <v>5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human</v>
          </cell>
        </row>
        <row r="1510">
          <cell r="A1510">
            <v>1556</v>
          </cell>
          <cell r="B1510" t="str">
            <v>ja</v>
          </cell>
          <cell r="C1510" t="str">
            <v>Capricornus01</v>
          </cell>
          <cell r="H1510" t="str">
            <v>green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human</v>
          </cell>
        </row>
        <row r="1511">
          <cell r="A1511">
            <v>1557</v>
          </cell>
          <cell r="B1511" t="str">
            <v>ja</v>
          </cell>
          <cell r="C1511" t="str">
            <v>Capricornus02</v>
          </cell>
          <cell r="H1511" t="str">
            <v>green</v>
          </cell>
          <cell r="I1511">
            <v>6</v>
          </cell>
          <cell r="J1511" t="str">
            <v>DropWizS</v>
          </cell>
          <cell r="K1511" t="str">
            <v>balance</v>
          </cell>
          <cell r="L1511" t="str">
            <v>バランスタイプ</v>
          </cell>
          <cell r="M1511" t="str">
            <v>human</v>
          </cell>
        </row>
        <row r="1512">
          <cell r="A1512">
            <v>1558</v>
          </cell>
          <cell r="B1512" t="str">
            <v>ja</v>
          </cell>
          <cell r="C1512" t="str">
            <v>Aries01</v>
          </cell>
          <cell r="H1512" t="str">
            <v>blue</v>
          </cell>
          <cell r="I1512">
            <v>5</v>
          </cell>
          <cell r="J1512" t="str">
            <v>DropWizS</v>
          </cell>
          <cell r="K1512" t="str">
            <v>balance</v>
          </cell>
          <cell r="L1512" t="str">
            <v>バランスタイプ</v>
          </cell>
          <cell r="M1512" t="str">
            <v>human</v>
          </cell>
        </row>
        <row r="1513">
          <cell r="A1513">
            <v>1559</v>
          </cell>
          <cell r="B1513" t="str">
            <v>ja</v>
          </cell>
          <cell r="C1513" t="str">
            <v>Aries02</v>
          </cell>
          <cell r="H1513" t="str">
            <v>blue</v>
          </cell>
          <cell r="I1513">
            <v>6</v>
          </cell>
          <cell r="J1513" t="str">
            <v>DropWizS</v>
          </cell>
          <cell r="K1513" t="str">
            <v>balance</v>
          </cell>
          <cell r="L1513" t="str">
            <v>バランスタイプ</v>
          </cell>
          <cell r="M1513" t="str">
            <v>human</v>
          </cell>
        </row>
        <row r="1514">
          <cell r="A1514">
            <v>1560</v>
          </cell>
          <cell r="B1514" t="str">
            <v>ja</v>
          </cell>
          <cell r="C1514" t="str">
            <v>Pisces01</v>
          </cell>
          <cell r="H1514" t="str">
            <v>red</v>
          </cell>
          <cell r="I1514">
            <v>5</v>
          </cell>
          <cell r="J1514" t="str">
            <v>DropWizS</v>
          </cell>
          <cell r="K1514" t="str">
            <v>balance</v>
          </cell>
          <cell r="L1514" t="str">
            <v>バランスタイプ</v>
          </cell>
          <cell r="M1514" t="str">
            <v>human</v>
          </cell>
        </row>
        <row r="1515">
          <cell r="A1515">
            <v>1561</v>
          </cell>
          <cell r="B1515" t="str">
            <v>ja</v>
          </cell>
          <cell r="C1515" t="str">
            <v>Sagittarius01</v>
          </cell>
          <cell r="H1515" t="str">
            <v>yellow</v>
          </cell>
          <cell r="I1515">
            <v>5</v>
          </cell>
          <cell r="J1515" t="str">
            <v>DropWizS</v>
          </cell>
          <cell r="K1515" t="str">
            <v>balance</v>
          </cell>
          <cell r="L1515" t="str">
            <v>バランスタイプ</v>
          </cell>
          <cell r="M1515" t="str">
            <v>human</v>
          </cell>
        </row>
        <row r="1516">
          <cell r="A1516">
            <v>1562</v>
          </cell>
          <cell r="B1516" t="str">
            <v>ja</v>
          </cell>
          <cell r="C1516" t="str">
            <v>Sagittarius02</v>
          </cell>
          <cell r="H1516" t="str">
            <v>yellow</v>
          </cell>
          <cell r="I1516">
            <v>6</v>
          </cell>
          <cell r="J1516" t="str">
            <v>DropWizS</v>
          </cell>
          <cell r="K1516" t="str">
            <v>balance</v>
          </cell>
          <cell r="L1516" t="str">
            <v>バランスタイプ</v>
          </cell>
          <cell r="M1516" t="str">
            <v>human</v>
          </cell>
        </row>
        <row r="1517">
          <cell r="A1517">
            <v>1563</v>
          </cell>
          <cell r="B1517" t="str">
            <v>ja</v>
          </cell>
          <cell r="C1517" t="str">
            <v>Cassiopeia01</v>
          </cell>
          <cell r="H1517" t="str">
            <v>blue</v>
          </cell>
          <cell r="I1517">
            <v>5</v>
          </cell>
          <cell r="J1517" t="str">
            <v>DropWizS</v>
          </cell>
          <cell r="K1517" t="str">
            <v>balance</v>
          </cell>
          <cell r="L1517" t="str">
            <v>バランスタイプ</v>
          </cell>
          <cell r="M1517" t="str">
            <v>human</v>
          </cell>
        </row>
        <row r="1518">
          <cell r="A1518">
            <v>1564</v>
          </cell>
          <cell r="B1518" t="str">
            <v>ja</v>
          </cell>
          <cell r="C1518" t="str">
            <v>Cassiopeia02</v>
          </cell>
          <cell r="H1518" t="str">
            <v>blue</v>
          </cell>
          <cell r="I1518">
            <v>6</v>
          </cell>
          <cell r="J1518" t="str">
            <v>DropWizS</v>
          </cell>
          <cell r="K1518" t="str">
            <v>balance</v>
          </cell>
          <cell r="L1518" t="str">
            <v>バランスタイプ</v>
          </cell>
          <cell r="M1518" t="str">
            <v>human</v>
          </cell>
        </row>
        <row r="1519">
          <cell r="A1519">
            <v>1565</v>
          </cell>
          <cell r="B1519" t="str">
            <v>ja</v>
          </cell>
          <cell r="C1519" t="str">
            <v>Aquila01</v>
          </cell>
          <cell r="H1519" t="str">
            <v>green</v>
          </cell>
          <cell r="I1519">
            <v>5</v>
          </cell>
          <cell r="J1519" t="str">
            <v>DropWizS</v>
          </cell>
          <cell r="K1519" t="str">
            <v>balance</v>
          </cell>
          <cell r="L1519" t="str">
            <v>バランスタイプ</v>
          </cell>
          <cell r="M1519" t="str">
            <v>human</v>
          </cell>
        </row>
        <row r="1520">
          <cell r="A1520">
            <v>1566</v>
          </cell>
          <cell r="B1520" t="str">
            <v>ja</v>
          </cell>
          <cell r="C1520" t="str">
            <v>Phoenix01</v>
          </cell>
          <cell r="H1520" t="str">
            <v>red</v>
          </cell>
          <cell r="I1520">
            <v>5</v>
          </cell>
          <cell r="J1520" t="str">
            <v>DropWizS</v>
          </cell>
          <cell r="K1520" t="str">
            <v>balance</v>
          </cell>
          <cell r="L1520" t="str">
            <v>バランスタイプ</v>
          </cell>
          <cell r="M1520" t="str">
            <v>human</v>
          </cell>
        </row>
        <row r="1521">
          <cell r="A1521">
            <v>1567</v>
          </cell>
          <cell r="B1521" t="str">
            <v>ja</v>
          </cell>
          <cell r="C1521" t="str">
            <v>Phoenix02</v>
          </cell>
          <cell r="H1521" t="str">
            <v>red</v>
          </cell>
          <cell r="I1521">
            <v>6</v>
          </cell>
          <cell r="J1521" t="str">
            <v>DropWizS</v>
          </cell>
          <cell r="K1521" t="str">
            <v>balance</v>
          </cell>
          <cell r="L1521" t="str">
            <v>バランスタイプ</v>
          </cell>
          <cell r="M1521" t="str">
            <v>human</v>
          </cell>
        </row>
        <row r="1522">
          <cell r="A1522">
            <v>1568</v>
          </cell>
          <cell r="B1522" t="str">
            <v>ja</v>
          </cell>
          <cell r="C1522" t="str">
            <v>Orion01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human</v>
          </cell>
        </row>
        <row r="1523">
          <cell r="A1523">
            <v>1569</v>
          </cell>
          <cell r="B1523" t="str">
            <v>ja</v>
          </cell>
          <cell r="C1523" t="str">
            <v>Orion02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human</v>
          </cell>
        </row>
        <row r="1524">
          <cell r="A1524">
            <v>1570</v>
          </cell>
          <cell r="B1524" t="str">
            <v>ja</v>
          </cell>
          <cell r="C1524" t="str">
            <v>Centaurus01</v>
          </cell>
          <cell r="H1524" t="str">
            <v>yellow</v>
          </cell>
          <cell r="I1524">
            <v>5</v>
          </cell>
          <cell r="J1524" t="str">
            <v>DropWizS</v>
          </cell>
          <cell r="K1524" t="str">
            <v>balance</v>
          </cell>
          <cell r="L1524" t="str">
            <v>バランスタイプ</v>
          </cell>
          <cell r="M1524" t="str">
            <v>human</v>
          </cell>
        </row>
        <row r="1525">
          <cell r="A1525">
            <v>1571</v>
          </cell>
          <cell r="B1525" t="str">
            <v>ja</v>
          </cell>
          <cell r="C1525" t="str">
            <v>Lupus01</v>
          </cell>
          <cell r="H1525" t="str">
            <v>red</v>
          </cell>
          <cell r="I1525">
            <v>5</v>
          </cell>
          <cell r="J1525" t="str">
            <v>DropWizS</v>
          </cell>
          <cell r="K1525" t="str">
            <v>balance</v>
          </cell>
          <cell r="L1525" t="str">
            <v>バランスタイプ</v>
          </cell>
          <cell r="M1525" t="str">
            <v>human</v>
          </cell>
        </row>
        <row r="1526">
          <cell r="A1526">
            <v>1572</v>
          </cell>
          <cell r="B1526" t="str">
            <v>ja</v>
          </cell>
          <cell r="C1526" t="str">
            <v>Lupus02</v>
          </cell>
          <cell r="H1526" t="str">
            <v>red</v>
          </cell>
          <cell r="I1526">
            <v>6</v>
          </cell>
          <cell r="J1526" t="str">
            <v>DropWizS</v>
          </cell>
          <cell r="K1526" t="str">
            <v>balance</v>
          </cell>
          <cell r="L1526" t="str">
            <v>バランスタイプ</v>
          </cell>
          <cell r="M1526" t="str">
            <v>human</v>
          </cell>
        </row>
        <row r="1527">
          <cell r="A1527">
            <v>1573</v>
          </cell>
          <cell r="B1527" t="str">
            <v>ja</v>
          </cell>
          <cell r="C1527" t="str">
            <v>Scorpius01</v>
          </cell>
          <cell r="H1527" t="str">
            <v>green</v>
          </cell>
          <cell r="I1527">
            <v>5</v>
          </cell>
          <cell r="J1527" t="str">
            <v>DropWizS</v>
          </cell>
          <cell r="K1527" t="str">
            <v>balance</v>
          </cell>
          <cell r="L1527" t="str">
            <v>バランスタイプ</v>
          </cell>
          <cell r="M1527" t="str">
            <v>human</v>
          </cell>
        </row>
        <row r="1528">
          <cell r="A1528">
            <v>1574</v>
          </cell>
          <cell r="B1528" t="str">
            <v>ja</v>
          </cell>
          <cell r="C1528" t="str">
            <v>Cancer01</v>
          </cell>
          <cell r="H1528" t="str">
            <v>yellow</v>
          </cell>
          <cell r="I1528">
            <v>5</v>
          </cell>
          <cell r="J1528" t="str">
            <v>DropWizS</v>
          </cell>
          <cell r="K1528" t="str">
            <v>balance</v>
          </cell>
          <cell r="L1528" t="str">
            <v>バランスタイプ</v>
          </cell>
          <cell r="M1528" t="str">
            <v>human</v>
          </cell>
        </row>
        <row r="1529">
          <cell r="A1529">
            <v>1575</v>
          </cell>
          <cell r="B1529" t="str">
            <v>ja</v>
          </cell>
          <cell r="C1529" t="str">
            <v>Aquarius01</v>
          </cell>
          <cell r="H1529" t="str">
            <v>blue</v>
          </cell>
          <cell r="I1529">
            <v>5</v>
          </cell>
          <cell r="J1529" t="str">
            <v>DropWizS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1576</v>
          </cell>
          <cell r="B1530" t="str">
            <v>ja</v>
          </cell>
          <cell r="C1530" t="str">
            <v>Aquarius02</v>
          </cell>
          <cell r="H1530" t="str">
            <v>blue</v>
          </cell>
          <cell r="I1530">
            <v>6</v>
          </cell>
          <cell r="J1530" t="str">
            <v>DropWizS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1577</v>
          </cell>
          <cell r="B1531" t="str">
            <v>ja</v>
          </cell>
          <cell r="C1531" t="str">
            <v>Perseus01</v>
          </cell>
          <cell r="H1531" t="str">
            <v>yellow</v>
          </cell>
          <cell r="I1531">
            <v>4</v>
          </cell>
          <cell r="J1531" t="str">
            <v>DropWizS</v>
          </cell>
          <cell r="K1531" t="str">
            <v>balance</v>
          </cell>
          <cell r="L1531" t="str">
            <v>バランスタイプ</v>
          </cell>
          <cell r="M1531" t="str">
            <v>human</v>
          </cell>
        </row>
        <row r="1532">
          <cell r="A1532">
            <v>1578</v>
          </cell>
          <cell r="B1532" t="str">
            <v>ja</v>
          </cell>
          <cell r="C1532" t="str">
            <v>Hydra01</v>
          </cell>
          <cell r="H1532" t="str">
            <v>red</v>
          </cell>
          <cell r="I1532">
            <v>4</v>
          </cell>
          <cell r="J1532" t="str">
            <v>DropWizS</v>
          </cell>
          <cell r="K1532" t="str">
            <v>balance</v>
          </cell>
          <cell r="L1532" t="str">
            <v>バランスタイプ</v>
          </cell>
          <cell r="M1532" t="str">
            <v>human</v>
          </cell>
        </row>
        <row r="1533">
          <cell r="A1533">
            <v>1579</v>
          </cell>
          <cell r="B1533" t="str">
            <v>ja</v>
          </cell>
          <cell r="C1533" t="str">
            <v>Lyra01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balance</v>
          </cell>
          <cell r="L1533" t="str">
            <v>バランスタイプ</v>
          </cell>
          <cell r="M1533" t="str">
            <v>human</v>
          </cell>
        </row>
        <row r="1534">
          <cell r="A1534">
            <v>1580</v>
          </cell>
          <cell r="B1534" t="str">
            <v>ja</v>
          </cell>
          <cell r="C1534" t="str">
            <v>Lyra02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1581</v>
          </cell>
          <cell r="B1535" t="str">
            <v>ja</v>
          </cell>
          <cell r="C1535" t="str">
            <v>Gemini01</v>
          </cell>
          <cell r="H1535" t="str">
            <v>red</v>
          </cell>
          <cell r="I1535">
            <v>5</v>
          </cell>
          <cell r="J1535" t="str">
            <v>DropWizS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1582</v>
          </cell>
          <cell r="B1536" t="str">
            <v>ja</v>
          </cell>
          <cell r="C1536" t="str">
            <v>Gemini02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balance</v>
          </cell>
          <cell r="L1536" t="str">
            <v>バランスタイプ</v>
          </cell>
          <cell r="M1536" t="str">
            <v>human</v>
          </cell>
        </row>
        <row r="1537">
          <cell r="A1537">
            <v>1583</v>
          </cell>
          <cell r="B1537" t="str">
            <v>ja</v>
          </cell>
          <cell r="C1537" t="str">
            <v>Corvus01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human</v>
          </cell>
        </row>
        <row r="1538">
          <cell r="A1538">
            <v>1584</v>
          </cell>
          <cell r="B1538" t="str">
            <v>ja</v>
          </cell>
          <cell r="C1538" t="str">
            <v>Sirius01</v>
          </cell>
          <cell r="H1538" t="str">
            <v>yellow</v>
          </cell>
          <cell r="I1538">
            <v>4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human</v>
          </cell>
        </row>
        <row r="1539">
          <cell r="A1539">
            <v>1585</v>
          </cell>
          <cell r="B1539" t="str">
            <v>ja</v>
          </cell>
          <cell r="C1539" t="str">
            <v>Sirius02</v>
          </cell>
          <cell r="H1539" t="str">
            <v>yellow</v>
          </cell>
          <cell r="I1539">
            <v>5</v>
          </cell>
          <cell r="J1539" t="str">
            <v>DropWizS</v>
          </cell>
          <cell r="K1539" t="str">
            <v>balance</v>
          </cell>
          <cell r="L1539" t="str">
            <v>バランスタイプ</v>
          </cell>
          <cell r="M1539" t="str">
            <v>human</v>
          </cell>
        </row>
        <row r="1540">
          <cell r="A1540">
            <v>1586</v>
          </cell>
          <cell r="B1540" t="str">
            <v>ja</v>
          </cell>
          <cell r="C1540" t="str">
            <v>Sirius03</v>
          </cell>
          <cell r="H1540" t="str">
            <v>yellow</v>
          </cell>
          <cell r="I1540">
            <v>6</v>
          </cell>
          <cell r="J1540" t="str">
            <v>DropWizS</v>
          </cell>
          <cell r="K1540" t="str">
            <v>balance</v>
          </cell>
          <cell r="L1540" t="str">
            <v>バランスタイプ</v>
          </cell>
          <cell r="M1540" t="str">
            <v>human</v>
          </cell>
        </row>
        <row r="1541">
          <cell r="A1541">
            <v>1587</v>
          </cell>
          <cell r="B1541" t="str">
            <v>ja</v>
          </cell>
          <cell r="C1541" t="str">
            <v>Virgo01</v>
          </cell>
          <cell r="H1541" t="str">
            <v>green</v>
          </cell>
          <cell r="I1541">
            <v>5</v>
          </cell>
          <cell r="J1541" t="str">
            <v>DropWizS</v>
          </cell>
          <cell r="K1541" t="str">
            <v>balance</v>
          </cell>
          <cell r="L1541" t="str">
            <v>バランスタイプ</v>
          </cell>
          <cell r="M1541" t="str">
            <v>human</v>
          </cell>
        </row>
        <row r="1542">
          <cell r="A1542">
            <v>1588</v>
          </cell>
          <cell r="B1542" t="str">
            <v>ja</v>
          </cell>
          <cell r="C1542" t="str">
            <v>Virgo02</v>
          </cell>
          <cell r="H1542" t="str">
            <v>green</v>
          </cell>
          <cell r="I1542">
            <v>6</v>
          </cell>
          <cell r="J1542" t="str">
            <v>DropWizS</v>
          </cell>
          <cell r="K1542" t="str">
            <v>balance</v>
          </cell>
          <cell r="L1542" t="str">
            <v>バランスタイプ</v>
          </cell>
          <cell r="M1542" t="str">
            <v>human</v>
          </cell>
        </row>
        <row r="1543">
          <cell r="A1543">
            <v>1613</v>
          </cell>
          <cell r="B1543" t="str">
            <v>ja</v>
          </cell>
          <cell r="C1543" t="str">
            <v>ヤクモR5</v>
          </cell>
          <cell r="D1543" t="str">
            <v>未定</v>
          </cell>
          <cell r="E1543" t="str">
            <v>アリス</v>
          </cell>
          <cell r="F1543" t="str">
            <v>世界観</v>
          </cell>
          <cell r="G1543" t="str">
            <v>不明</v>
          </cell>
          <cell r="H1543" t="str">
            <v>red</v>
          </cell>
          <cell r="I1543">
            <v>5</v>
          </cell>
          <cell r="J1543" t="str">
            <v>PremiumSSS</v>
          </cell>
          <cell r="K1543" t="str">
            <v>hp</v>
          </cell>
          <cell r="L1543" t="str">
            <v>体力タイプ</v>
          </cell>
          <cell r="M1543" t="str">
            <v>academia</v>
          </cell>
        </row>
        <row r="1544">
          <cell r="A1544">
            <v>1614</v>
          </cell>
          <cell r="B1544" t="str">
            <v>ja</v>
          </cell>
          <cell r="C1544" t="str">
            <v>ヤクモR6</v>
          </cell>
          <cell r="D1544" t="str">
            <v>未定</v>
          </cell>
          <cell r="E1544" t="str">
            <v>アリス</v>
          </cell>
          <cell r="F1544" t="str">
            <v>世界観</v>
          </cell>
          <cell r="G1544" t="str">
            <v>不明</v>
          </cell>
          <cell r="H1544" t="str">
            <v>red</v>
          </cell>
          <cell r="I1544">
            <v>6</v>
          </cell>
          <cell r="J1544" t="str">
            <v>PremiumSSS</v>
          </cell>
          <cell r="K1544" t="str">
            <v>hp</v>
          </cell>
          <cell r="L1544" t="str">
            <v>体力タイプ</v>
          </cell>
          <cell r="M1544" t="str">
            <v>academia</v>
          </cell>
        </row>
        <row r="1545">
          <cell r="A1545">
            <v>5001</v>
          </cell>
          <cell r="B1545" t="str">
            <v>ja</v>
          </cell>
          <cell r="C1545" t="str">
            <v>ガルーダ</v>
          </cell>
          <cell r="D1545" t="str">
            <v>ノーマルクエスト</v>
          </cell>
          <cell r="E1545" t="str">
            <v>QoH</v>
          </cell>
          <cell r="F1545" t="str">
            <v>世界観</v>
          </cell>
          <cell r="G1545" t="str">
            <v>不明</v>
          </cell>
          <cell r="H1545" t="str">
            <v>red</v>
          </cell>
          <cell r="I1545">
            <v>5</v>
          </cell>
          <cell r="J1545" t="str">
            <v>PremiumSSw</v>
          </cell>
          <cell r="K1545" t="str">
            <v>attack</v>
          </cell>
          <cell r="L1545" t="str">
            <v>攻撃タイプ</v>
          </cell>
          <cell r="M1545" t="str">
            <v>god</v>
          </cell>
        </row>
        <row r="1546">
          <cell r="A1546">
            <v>5002</v>
          </cell>
          <cell r="B1546" t="str">
            <v>ja</v>
          </cell>
          <cell r="C1546" t="str">
            <v>ガルーダ★６</v>
          </cell>
          <cell r="D1546" t="str">
            <v>ノーマルクエスト</v>
          </cell>
          <cell r="E1546" t="str">
            <v>アバター</v>
          </cell>
          <cell r="F1546" t="str">
            <v>世界観</v>
          </cell>
          <cell r="G1546" t="str">
            <v>男性</v>
          </cell>
          <cell r="H1546" t="str">
            <v>red</v>
          </cell>
          <cell r="I1546">
            <v>6</v>
          </cell>
          <cell r="J1546" t="str">
            <v>PremiumSSw</v>
          </cell>
          <cell r="K1546" t="str">
            <v>attack</v>
          </cell>
          <cell r="L1546" t="str">
            <v>攻撃タイプ</v>
          </cell>
          <cell r="M1546" t="str">
            <v>god</v>
          </cell>
        </row>
        <row r="1547">
          <cell r="A1547">
            <v>5003</v>
          </cell>
          <cell r="B1547" t="str">
            <v>ja</v>
          </cell>
          <cell r="C1547" t="str">
            <v>ナーガ</v>
          </cell>
          <cell r="D1547" t="str">
            <v>リンクガチャ:4神</v>
          </cell>
          <cell r="E1547" t="str">
            <v>守護神</v>
          </cell>
          <cell r="F1547" t="str">
            <v>格好いい</v>
          </cell>
          <cell r="G1547" t="str">
            <v>不明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technical</v>
          </cell>
          <cell r="L1547" t="str">
            <v>テクニカルタイプ</v>
          </cell>
          <cell r="M1547" t="str">
            <v>animal</v>
          </cell>
        </row>
        <row r="1548">
          <cell r="A1548">
            <v>5004</v>
          </cell>
          <cell r="B1548" t="str">
            <v>ja</v>
          </cell>
          <cell r="C1548" t="str">
            <v>ナーガ★６</v>
          </cell>
          <cell r="D1548" t="str">
            <v>ノーマルクエスト</v>
          </cell>
          <cell r="E1548" t="str">
            <v>アバター</v>
          </cell>
          <cell r="F1548" t="str">
            <v>世界観</v>
          </cell>
          <cell r="G1548" t="str">
            <v>不明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technical</v>
          </cell>
          <cell r="L1548" t="str">
            <v>テクニカルタイプ</v>
          </cell>
          <cell r="M1548" t="str">
            <v>animal</v>
          </cell>
        </row>
        <row r="1549">
          <cell r="A1549">
            <v>5005</v>
          </cell>
          <cell r="B1549" t="str">
            <v>ja</v>
          </cell>
          <cell r="C1549" t="str">
            <v>カーミラ</v>
          </cell>
          <cell r="D1549" t="str">
            <v>ノーマルクエスト</v>
          </cell>
          <cell r="E1549" t="str">
            <v>QoH</v>
          </cell>
          <cell r="F1549" t="str">
            <v>世界観</v>
          </cell>
          <cell r="G1549" t="str">
            <v>不明</v>
          </cell>
          <cell r="H1549" t="str">
            <v>green</v>
          </cell>
          <cell r="I1549">
            <v>5</v>
          </cell>
          <cell r="J1549" t="str">
            <v>PremiumSSw</v>
          </cell>
          <cell r="K1549" t="str">
            <v>balance</v>
          </cell>
          <cell r="L1549" t="str">
            <v>バランスタイプ</v>
          </cell>
          <cell r="M1549" t="str">
            <v>demon</v>
          </cell>
        </row>
        <row r="1550">
          <cell r="A1550">
            <v>5006</v>
          </cell>
          <cell r="B1550" t="str">
            <v>ja</v>
          </cell>
          <cell r="C1550" t="str">
            <v>カーミラ★６</v>
          </cell>
          <cell r="D1550" t="str">
            <v>ノーマルクエスト</v>
          </cell>
          <cell r="E1550" t="str">
            <v>アバター</v>
          </cell>
          <cell r="F1550" t="str">
            <v>世界観</v>
          </cell>
          <cell r="G1550" t="str">
            <v>男性</v>
          </cell>
          <cell r="H1550" t="str">
            <v>green</v>
          </cell>
          <cell r="I1550">
            <v>6</v>
          </cell>
          <cell r="J1550" t="str">
            <v>PremiumSSw</v>
          </cell>
          <cell r="K1550" t="str">
            <v>balance</v>
          </cell>
          <cell r="L1550" t="str">
            <v>バランスタイプ</v>
          </cell>
          <cell r="M1550" t="str">
            <v>demon</v>
          </cell>
        </row>
        <row r="1551">
          <cell r="A1551">
            <v>5007</v>
          </cell>
          <cell r="B1551" t="str">
            <v>ja</v>
          </cell>
          <cell r="C1551" t="str">
            <v>ヘルシング</v>
          </cell>
          <cell r="D1551" t="str">
            <v>リンクガチャ:4神</v>
          </cell>
          <cell r="E1551" t="str">
            <v>守護神</v>
          </cell>
          <cell r="F1551" t="str">
            <v>格好いい</v>
          </cell>
          <cell r="G1551" t="str">
            <v>不明</v>
          </cell>
          <cell r="H1551" t="str">
            <v>yellow</v>
          </cell>
          <cell r="I1551">
            <v>5</v>
          </cell>
          <cell r="J1551" t="str">
            <v>DropWizS</v>
          </cell>
          <cell r="K1551" t="str">
            <v>technical</v>
          </cell>
          <cell r="L1551" t="str">
            <v>テクニカルタイプ</v>
          </cell>
          <cell r="M1551" t="str">
            <v>human</v>
          </cell>
        </row>
        <row r="1552">
          <cell r="A1552">
            <v>5008</v>
          </cell>
          <cell r="B1552" t="str">
            <v>ja</v>
          </cell>
          <cell r="C1552" t="str">
            <v>ヘルシング★６</v>
          </cell>
          <cell r="D1552" t="str">
            <v>ノーマルクエスト</v>
          </cell>
          <cell r="E1552" t="str">
            <v>アバター</v>
          </cell>
          <cell r="F1552" t="str">
            <v>世界観</v>
          </cell>
          <cell r="G1552" t="str">
            <v>不明</v>
          </cell>
          <cell r="H1552" t="str">
            <v>yellow</v>
          </cell>
          <cell r="I1552">
            <v>6</v>
          </cell>
          <cell r="J1552" t="str">
            <v>DropWizS</v>
          </cell>
          <cell r="K1552" t="str">
            <v>technical</v>
          </cell>
          <cell r="L1552" t="str">
            <v>テクニカルタイプ</v>
          </cell>
          <cell r="M1552" t="str">
            <v>human</v>
          </cell>
        </row>
        <row r="1553">
          <cell r="A1553">
            <v>6001</v>
          </cell>
          <cell r="B1553" t="str">
            <v>ja</v>
          </cell>
          <cell r="C1553" t="str">
            <v>ジェリー</v>
          </cell>
          <cell r="D1553" t="str">
            <v>ノーマルクエスト</v>
          </cell>
          <cell r="E1553" t="str">
            <v>QoH</v>
          </cell>
          <cell r="F1553" t="str">
            <v>世界観</v>
          </cell>
          <cell r="G1553" t="str">
            <v>不明</v>
          </cell>
          <cell r="H1553" t="str">
            <v>red</v>
          </cell>
          <cell r="I1553">
            <v>1</v>
          </cell>
          <cell r="J1553" t="str">
            <v>Drop1T</v>
          </cell>
          <cell r="K1553" t="str">
            <v>ra</v>
          </cell>
          <cell r="L1553" t="str">
            <v>ラグランジュチャレンジ</v>
          </cell>
          <cell r="M1553" t="str">
            <v>unknown</v>
          </cell>
        </row>
        <row r="1554">
          <cell r="A1554">
            <v>6002</v>
          </cell>
          <cell r="B1554" t="str">
            <v>ja</v>
          </cell>
          <cell r="C1554" t="str">
            <v>ヨシタカ</v>
          </cell>
          <cell r="D1554" t="str">
            <v>ノーマルクエスト</v>
          </cell>
          <cell r="E1554" t="str">
            <v>アバター</v>
          </cell>
          <cell r="F1554" t="str">
            <v>世界観</v>
          </cell>
          <cell r="G1554" t="str">
            <v>男性</v>
          </cell>
          <cell r="H1554" t="str">
            <v>red</v>
          </cell>
          <cell r="I1554">
            <v>2</v>
          </cell>
          <cell r="J1554" t="str">
            <v>Drop1N</v>
          </cell>
          <cell r="K1554" t="str">
            <v>ra</v>
          </cell>
          <cell r="L1554" t="str">
            <v>ラグランジュチャレンジ</v>
          </cell>
          <cell r="M1554" t="str">
            <v>human</v>
          </cell>
        </row>
        <row r="1555">
          <cell r="A1555">
            <v>6003</v>
          </cell>
          <cell r="B1555" t="str">
            <v>ja</v>
          </cell>
          <cell r="C1555" t="str">
            <v>朱雀</v>
          </cell>
          <cell r="D1555" t="str">
            <v>リンクガチャ:4神</v>
          </cell>
          <cell r="E1555" t="str">
            <v>守護神</v>
          </cell>
          <cell r="F1555" t="str">
            <v>格好いい</v>
          </cell>
          <cell r="G1555" t="str">
            <v>不明</v>
          </cell>
          <cell r="H1555" t="str">
            <v>red</v>
          </cell>
          <cell r="I1555">
            <v>3</v>
          </cell>
          <cell r="J1555" t="str">
            <v>Drop2N</v>
          </cell>
          <cell r="K1555" t="str">
            <v>ra</v>
          </cell>
          <cell r="L1555" t="str">
            <v>ラグランジュチャレンジ</v>
          </cell>
          <cell r="M1555" t="str">
            <v>animal</v>
          </cell>
        </row>
        <row r="1556">
          <cell r="A1556">
            <v>6004</v>
          </cell>
          <cell r="B1556" t="str">
            <v>ja</v>
          </cell>
          <cell r="C1556" t="str">
            <v>ブレット</v>
          </cell>
          <cell r="D1556" t="str">
            <v>ノーマルクエスト</v>
          </cell>
          <cell r="E1556" t="str">
            <v>アバター</v>
          </cell>
          <cell r="F1556" t="str">
            <v>世界観</v>
          </cell>
          <cell r="G1556" t="str">
            <v>不明</v>
          </cell>
          <cell r="H1556" t="str">
            <v>red</v>
          </cell>
          <cell r="I1556">
            <v>1</v>
          </cell>
          <cell r="J1556" t="str">
            <v>Drop1W</v>
          </cell>
          <cell r="K1556" t="str">
            <v>ra</v>
          </cell>
          <cell r="L1556" t="str">
            <v>ラグランジュチャレンジ</v>
          </cell>
          <cell r="M1556" t="str">
            <v>animal</v>
          </cell>
        </row>
        <row r="1557">
          <cell r="A1557">
            <v>6005</v>
          </cell>
          <cell r="B1557" t="str">
            <v>ja</v>
          </cell>
          <cell r="C1557" t="str">
            <v>孤神 テティス</v>
          </cell>
          <cell r="D1557" t="str">
            <v>初期ガチャ</v>
          </cell>
          <cell r="E1557" t="str">
            <v>管理者</v>
          </cell>
          <cell r="F1557" t="str">
            <v>美しい</v>
          </cell>
          <cell r="G1557" t="str">
            <v>女性</v>
          </cell>
          <cell r="H1557" t="str">
            <v>blue</v>
          </cell>
          <cell r="I1557">
            <v>4</v>
          </cell>
          <cell r="J1557" t="str">
            <v>PremiumN</v>
          </cell>
          <cell r="K1557" t="str">
            <v>ra</v>
          </cell>
          <cell r="L1557" t="str">
            <v>ラグランジュチャレンジ</v>
          </cell>
          <cell r="M1557" t="str">
            <v>god</v>
          </cell>
        </row>
        <row r="1558">
          <cell r="A1558">
            <v>6006</v>
          </cell>
          <cell r="B1558" t="str">
            <v>ja</v>
          </cell>
          <cell r="C1558" t="str">
            <v>海底の孤高神 テティス</v>
          </cell>
          <cell r="D1558" t="str">
            <v>初期ガチャ</v>
          </cell>
          <cell r="E1558" t="str">
            <v>管理者</v>
          </cell>
          <cell r="F1558" t="str">
            <v>美しい</v>
          </cell>
          <cell r="G1558" t="str">
            <v>女性</v>
          </cell>
          <cell r="H1558" t="str">
            <v>blue</v>
          </cell>
          <cell r="I1558">
            <v>5</v>
          </cell>
          <cell r="J1558" t="str">
            <v>PremiumN</v>
          </cell>
          <cell r="K1558" t="str">
            <v>ra</v>
          </cell>
          <cell r="L1558" t="str">
            <v>ラグランジュチャレンジ</v>
          </cell>
          <cell r="M1558" t="str">
            <v>god</v>
          </cell>
        </row>
        <row r="1559">
          <cell r="A1559">
            <v>6007</v>
          </cell>
          <cell r="B1559" t="str">
            <v>ja</v>
          </cell>
          <cell r="C1559" t="str">
            <v>番犬 ケルベロス</v>
          </cell>
          <cell r="D1559" t="str">
            <v>初期ガチャ</v>
          </cell>
          <cell r="E1559" t="str">
            <v>破界者</v>
          </cell>
          <cell r="F1559" t="str">
            <v>可愛い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PremiumN</v>
          </cell>
          <cell r="K1559" t="str">
            <v>ra</v>
          </cell>
          <cell r="L1559" t="str">
            <v>ラグランジュチャレンジ</v>
          </cell>
          <cell r="M1559" t="str">
            <v>animal</v>
          </cell>
        </row>
        <row r="1560">
          <cell r="A1560">
            <v>6008</v>
          </cell>
          <cell r="B1560" t="str">
            <v>ja</v>
          </cell>
          <cell r="C1560" t="str">
            <v>焔神 プロメテウス</v>
          </cell>
          <cell r="D1560" t="str">
            <v>初期ガチャ</v>
          </cell>
          <cell r="E1560" t="str">
            <v>管理者</v>
          </cell>
          <cell r="F1560" t="str">
            <v>格好いい</v>
          </cell>
          <cell r="G1560" t="str">
            <v>男性</v>
          </cell>
          <cell r="H1560" t="str">
            <v>red</v>
          </cell>
          <cell r="I1560">
            <v>4</v>
          </cell>
          <cell r="J1560" t="str">
            <v>PremiumN</v>
          </cell>
          <cell r="K1560" t="str">
            <v>ra</v>
          </cell>
          <cell r="L1560" t="str">
            <v>ラグランジュチャレンジ</v>
          </cell>
          <cell r="M1560" t="str">
            <v>god</v>
          </cell>
        </row>
        <row r="1561">
          <cell r="A1561">
            <v>6009</v>
          </cell>
          <cell r="B1561" t="str">
            <v>ja</v>
          </cell>
          <cell r="C1561" t="str">
            <v>超越自我 ラグランジュ</v>
          </cell>
          <cell r="D1561" t="str">
            <v>ガチャ:フィーバーフェス02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red</v>
          </cell>
          <cell r="I1561">
            <v>5</v>
          </cell>
          <cell r="J1561" t="str">
            <v>PremiumSSS</v>
          </cell>
          <cell r="K1561" t="str">
            <v>ra</v>
          </cell>
          <cell r="L1561" t="str">
            <v>ラグランジュチャレンジ</v>
          </cell>
          <cell r="M1561" t="str">
            <v>human</v>
          </cell>
        </row>
        <row r="1562">
          <cell r="A1562">
            <v>6010</v>
          </cell>
          <cell r="B1562" t="str">
            <v>ja</v>
          </cell>
          <cell r="C1562" t="str">
            <v>超越凌駕 ラグランジュ</v>
          </cell>
          <cell r="D1562" t="str">
            <v>ガチャ:フィーバーフェス02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red</v>
          </cell>
          <cell r="I1562">
            <v>6</v>
          </cell>
          <cell r="J1562" t="str">
            <v>PremiumSSS</v>
          </cell>
          <cell r="K1562" t="str">
            <v>ra</v>
          </cell>
          <cell r="L1562" t="str">
            <v>ラグランジュチャレンジ</v>
          </cell>
          <cell r="M1562" t="str">
            <v>human</v>
          </cell>
        </row>
        <row r="1563">
          <cell r="A1563">
            <v>6011</v>
          </cell>
          <cell r="B1563" t="str">
            <v>ja</v>
          </cell>
          <cell r="C1563" t="str">
            <v>パトドッグリーダー ポチ</v>
          </cell>
          <cell r="D1563" t="str">
            <v>ガチャ:フィーバーフェス02</v>
          </cell>
          <cell r="E1563" t="str">
            <v>執行者</v>
          </cell>
          <cell r="F1563" t="str">
            <v>格好いい</v>
          </cell>
          <cell r="G1563" t="str">
            <v>男性</v>
          </cell>
          <cell r="H1563" t="str">
            <v>blue</v>
          </cell>
          <cell r="I1563">
            <v>2</v>
          </cell>
          <cell r="J1563" t="str">
            <v>Drop1T</v>
          </cell>
          <cell r="K1563" t="str">
            <v>ra002</v>
          </cell>
          <cell r="L1563" t="str">
            <v>ユークリッドチャレンジ</v>
          </cell>
          <cell r="M1563" t="str">
            <v>unknown</v>
          </cell>
        </row>
        <row r="1564">
          <cell r="A1564">
            <v>6012</v>
          </cell>
          <cell r="B1564" t="str">
            <v>ja</v>
          </cell>
          <cell r="C1564" t="str">
            <v>ミミ</v>
          </cell>
          <cell r="D1564" t="str">
            <v>ガチャ:フィーバーフェス02</v>
          </cell>
          <cell r="E1564" t="str">
            <v>執行者</v>
          </cell>
          <cell r="F1564" t="str">
            <v>格好いい</v>
          </cell>
          <cell r="G1564" t="str">
            <v>男性</v>
          </cell>
          <cell r="H1564" t="str">
            <v>yellow</v>
          </cell>
          <cell r="I1564">
            <v>1</v>
          </cell>
          <cell r="J1564" t="str">
            <v>Drop1W</v>
          </cell>
          <cell r="K1564" t="str">
            <v>ra002</v>
          </cell>
          <cell r="L1564" t="str">
            <v>ユークリッドチャレンジ</v>
          </cell>
          <cell r="M1564" t="str">
            <v>animal</v>
          </cell>
        </row>
        <row r="1565">
          <cell r="A1565">
            <v>6013</v>
          </cell>
          <cell r="B1565" t="str">
            <v>ja</v>
          </cell>
          <cell r="C1565" t="str">
            <v>護衛機人 スケアクロウ</v>
          </cell>
          <cell r="D1565" t="str">
            <v>ガチャ:フィーバーフェス02</v>
          </cell>
          <cell r="E1565" t="str">
            <v>執行者</v>
          </cell>
          <cell r="F1565" t="str">
            <v>格好いい</v>
          </cell>
          <cell r="G1565" t="str">
            <v>男性</v>
          </cell>
          <cell r="H1565" t="str">
            <v>blue</v>
          </cell>
          <cell r="I1565">
            <v>2</v>
          </cell>
          <cell r="J1565" t="str">
            <v>Drop1N</v>
          </cell>
          <cell r="K1565" t="str">
            <v>ra002</v>
          </cell>
          <cell r="L1565" t="str">
            <v>ユークリッドチャレンジ</v>
          </cell>
          <cell r="M1565" t="str">
            <v>machine</v>
          </cell>
        </row>
        <row r="1566">
          <cell r="A1566">
            <v>6014</v>
          </cell>
          <cell r="B1566" t="str">
            <v>ja</v>
          </cell>
          <cell r="C1566" t="str">
            <v>月下の人狼 ローレンス</v>
          </cell>
          <cell r="D1566" t="str">
            <v>ガチャ:フィーバーフェス02</v>
          </cell>
          <cell r="E1566" t="str">
            <v>執行者</v>
          </cell>
          <cell r="F1566" t="str">
            <v>格好いい</v>
          </cell>
          <cell r="G1566" t="str">
            <v>男性</v>
          </cell>
          <cell r="H1566" t="str">
            <v>blue</v>
          </cell>
          <cell r="I1566">
            <v>4</v>
          </cell>
          <cell r="J1566" t="str">
            <v>PremiumW</v>
          </cell>
          <cell r="K1566" t="str">
            <v>ra002</v>
          </cell>
          <cell r="L1566" t="str">
            <v>ユークリッドチャレンジ</v>
          </cell>
          <cell r="M1566" t="str">
            <v>animal</v>
          </cell>
        </row>
        <row r="1567">
          <cell r="A1567">
            <v>6015</v>
          </cell>
          <cell r="B1567" t="str">
            <v>ja</v>
          </cell>
          <cell r="C1567" t="str">
            <v>フレイヤ</v>
          </cell>
          <cell r="D1567" t="str">
            <v>ガチャ:フィーバーフェス02</v>
          </cell>
          <cell r="E1567" t="str">
            <v>執行者</v>
          </cell>
          <cell r="F1567" t="str">
            <v>格好いい</v>
          </cell>
          <cell r="G1567" t="str">
            <v>男性</v>
          </cell>
          <cell r="H1567" t="str">
            <v>blue</v>
          </cell>
          <cell r="I1567">
            <v>4</v>
          </cell>
          <cell r="J1567" t="str">
            <v>PremiumSS</v>
          </cell>
          <cell r="K1567" t="str">
            <v>ra002</v>
          </cell>
          <cell r="L1567" t="str">
            <v>ユークリッドチャレンジ</v>
          </cell>
          <cell r="M1567" t="str">
            <v>animal</v>
          </cell>
        </row>
        <row r="1568">
          <cell r="A1568">
            <v>6016</v>
          </cell>
          <cell r="B1568" t="str">
            <v>ja</v>
          </cell>
          <cell r="C1568" t="str">
            <v>根原論理 ユークリッド</v>
          </cell>
          <cell r="D1568" t="str">
            <v>ガチャ:フィーバーフェス02</v>
          </cell>
          <cell r="E1568" t="str">
            <v>執行者</v>
          </cell>
          <cell r="F1568" t="str">
            <v>格好いい</v>
          </cell>
          <cell r="G1568" t="str">
            <v>男性</v>
          </cell>
          <cell r="H1568" t="str">
            <v>blue</v>
          </cell>
          <cell r="I1568">
            <v>5</v>
          </cell>
          <cell r="J1568" t="str">
            <v>PremiumSSS</v>
          </cell>
          <cell r="K1568" t="str">
            <v>ra002</v>
          </cell>
          <cell r="L1568" t="str">
            <v>ユークリッドチャレンジ</v>
          </cell>
          <cell r="M1568" t="str">
            <v>human</v>
          </cell>
        </row>
        <row r="1569">
          <cell r="A1569">
            <v>6017</v>
          </cell>
          <cell r="B1569" t="str">
            <v>ja</v>
          </cell>
          <cell r="C1569" t="str">
            <v>不朽の極論 ユークリッド</v>
          </cell>
          <cell r="D1569" t="str">
            <v>ガチャ:フィーバーフェス02</v>
          </cell>
          <cell r="E1569" t="str">
            <v>執行者</v>
          </cell>
          <cell r="F1569" t="str">
            <v>格好いい</v>
          </cell>
          <cell r="G1569" t="str">
            <v>男性</v>
          </cell>
          <cell r="H1569" t="str">
            <v>blue</v>
          </cell>
          <cell r="I1569">
            <v>6</v>
          </cell>
          <cell r="J1569" t="str">
            <v>PremiumSSS</v>
          </cell>
          <cell r="K1569" t="str">
            <v>ra002</v>
          </cell>
          <cell r="L1569" t="str">
            <v>ユークリッドチャレンジ</v>
          </cell>
          <cell r="M1569" t="str">
            <v>human</v>
          </cell>
        </row>
        <row r="1570">
          <cell r="A1570">
            <v>6018</v>
          </cell>
          <cell r="B1570" t="str">
            <v>ja</v>
          </cell>
          <cell r="C1570" t="str">
            <v>ハヅル</v>
          </cell>
          <cell r="D1570" t="str">
            <v>ガチャ:フィーバーフェス02</v>
          </cell>
          <cell r="E1570" t="str">
            <v>執行者</v>
          </cell>
          <cell r="F1570" t="str">
            <v>格好いい</v>
          </cell>
          <cell r="G1570" t="str">
            <v>男性</v>
          </cell>
          <cell r="H1570" t="str">
            <v>red</v>
          </cell>
          <cell r="I1570">
            <v>4</v>
          </cell>
          <cell r="J1570" t="str">
            <v>PremiumSS</v>
          </cell>
          <cell r="K1570" t="str">
            <v>ra002</v>
          </cell>
          <cell r="L1570" t="str">
            <v>ユークリッドチャレンジ</v>
          </cell>
          <cell r="M1570" t="str">
            <v>animal</v>
          </cell>
        </row>
        <row r="1571">
          <cell r="A1571">
            <v>6019</v>
          </cell>
          <cell r="B1571" t="str">
            <v>ja</v>
          </cell>
          <cell r="C1571" t="str">
            <v>天織羽鶴 ハヅル</v>
          </cell>
          <cell r="D1571" t="str">
            <v>ガチャ:フィーバーフェス02</v>
          </cell>
          <cell r="E1571" t="str">
            <v>執行者</v>
          </cell>
          <cell r="F1571" t="str">
            <v>格好いい</v>
          </cell>
          <cell r="G1571" t="str">
            <v>男性</v>
          </cell>
          <cell r="H1571" t="str">
            <v>red</v>
          </cell>
          <cell r="I1571">
            <v>5</v>
          </cell>
          <cell r="J1571" t="str">
            <v>PremiumSS</v>
          </cell>
          <cell r="K1571" t="str">
            <v>ra002</v>
          </cell>
          <cell r="L1571" t="str">
            <v>ユークリッドチャレンジ</v>
          </cell>
          <cell r="M1571" t="str">
            <v>animal</v>
          </cell>
        </row>
        <row r="1572">
          <cell r="A1572">
            <v>6020</v>
          </cell>
          <cell r="B1572" t="str">
            <v>ja</v>
          </cell>
          <cell r="C1572" t="str">
            <v>ミズチ</v>
          </cell>
          <cell r="D1572" t="str">
            <v>ガチャ:フィーバーフェス02</v>
          </cell>
          <cell r="E1572" t="str">
            <v>執行者</v>
          </cell>
          <cell r="F1572" t="str">
            <v>格好いい</v>
          </cell>
          <cell r="G1572" t="str">
            <v>男性</v>
          </cell>
          <cell r="H1572" t="str">
            <v>blue</v>
          </cell>
          <cell r="I1572">
            <v>4</v>
          </cell>
          <cell r="J1572" t="str">
            <v>PremiumS</v>
          </cell>
          <cell r="K1572" t="str">
            <v>ra002</v>
          </cell>
          <cell r="L1572" t="str">
            <v>ユークリッドチャレンジ</v>
          </cell>
          <cell r="M1572" t="str">
            <v>dragon</v>
          </cell>
        </row>
        <row r="1573">
          <cell r="A1573">
            <v>8001</v>
          </cell>
          <cell r="B1573" t="str">
            <v>ja</v>
          </cell>
          <cell r="C1573" t="str">
            <v>媽祖</v>
          </cell>
          <cell r="D1573" t="str">
            <v>イベント:ミクコラボ01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god</v>
          </cell>
        </row>
        <row r="1574">
          <cell r="A1574">
            <v>8002</v>
          </cell>
          <cell r="B1574" t="str">
            <v>ja</v>
          </cell>
          <cell r="C1574" t="str">
            <v>宣導する天海妃 媽祖</v>
          </cell>
          <cell r="D1574" t="str">
            <v>イベント:ミクコラボ01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god</v>
          </cell>
        </row>
        <row r="1575">
          <cell r="A1575">
            <v>8003</v>
          </cell>
          <cell r="B1575" t="str">
            <v>ja</v>
          </cell>
          <cell r="C1575" t="str">
            <v>蛟龍</v>
          </cell>
          <cell r="D1575" t="str">
            <v>イベント:ミクコラボ01</v>
          </cell>
          <cell r="E1575" t="str">
            <v>執行者</v>
          </cell>
          <cell r="F1575" t="str">
            <v>格好いい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8004</v>
          </cell>
          <cell r="B1576" t="str">
            <v>ja</v>
          </cell>
          <cell r="C1576" t="str">
            <v>呼嵐の蒼棲龍 蛟龍</v>
          </cell>
          <cell r="D1576" t="str">
            <v>イベント:ミクコラボ01</v>
          </cell>
          <cell r="E1576" t="str">
            <v>執行者</v>
          </cell>
          <cell r="F1576" t="str">
            <v>格好いい</v>
          </cell>
          <cell r="G1576" t="str">
            <v>不明</v>
          </cell>
          <cell r="H1576" t="str">
            <v>blue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8005</v>
          </cell>
          <cell r="B1577" t="str">
            <v>ja</v>
          </cell>
          <cell r="C1577" t="str">
            <v>三蔵法師</v>
          </cell>
          <cell r="D1577" t="str">
            <v>イベント:ミクコラボ01</v>
          </cell>
          <cell r="E1577" t="str">
            <v>執行者</v>
          </cell>
          <cell r="F1577" t="str">
            <v>格好いい</v>
          </cell>
          <cell r="G1577" t="str">
            <v>不明</v>
          </cell>
          <cell r="H1577" t="str">
            <v>blue</v>
          </cell>
          <cell r="I1577">
            <v>5</v>
          </cell>
          <cell r="J1577" t="str">
            <v>PremiumSS</v>
          </cell>
          <cell r="K1577" t="str">
            <v>balance</v>
          </cell>
          <cell r="L1577" t="str">
            <v>バランスタイプ</v>
          </cell>
          <cell r="M1577" t="str">
            <v>human</v>
          </cell>
        </row>
        <row r="1578">
          <cell r="A1578">
            <v>8006</v>
          </cell>
          <cell r="B1578" t="str">
            <v>ja</v>
          </cell>
          <cell r="C1578" t="str">
            <v>慈戒の呪封使 三蔵法師</v>
          </cell>
          <cell r="D1578" t="str">
            <v>イベント:ミクコラボ01</v>
          </cell>
          <cell r="E1578" t="str">
            <v>執行者</v>
          </cell>
          <cell r="F1578" t="str">
            <v>格好いい</v>
          </cell>
          <cell r="G1578" t="str">
            <v>不明</v>
          </cell>
          <cell r="H1578" t="str">
            <v>blue</v>
          </cell>
          <cell r="I1578">
            <v>6</v>
          </cell>
          <cell r="J1578" t="str">
            <v>PremiumSS</v>
          </cell>
          <cell r="K1578" t="str">
            <v>balance</v>
          </cell>
          <cell r="L1578" t="str">
            <v>バランスタイプ</v>
          </cell>
          <cell r="M1578" t="str">
            <v>human</v>
          </cell>
        </row>
        <row r="1579">
          <cell r="A1579">
            <v>8007</v>
          </cell>
          <cell r="B1579" t="str">
            <v>ja</v>
          </cell>
          <cell r="C1579" t="str">
            <v>孫悟空</v>
          </cell>
          <cell r="D1579" t="str">
            <v>イベント:ミクコラボ01</v>
          </cell>
          <cell r="E1579" t="str">
            <v>執行者</v>
          </cell>
          <cell r="F1579" t="str">
            <v>格好いい</v>
          </cell>
          <cell r="G1579" t="str">
            <v>不明</v>
          </cell>
          <cell r="H1579" t="str">
            <v>red</v>
          </cell>
          <cell r="I1579">
            <v>5</v>
          </cell>
          <cell r="J1579" t="str">
            <v>DropWizS</v>
          </cell>
          <cell r="K1579" t="str">
            <v>attack</v>
          </cell>
          <cell r="L1579" t="str">
            <v>攻撃タイプ</v>
          </cell>
          <cell r="M1579" t="str">
            <v>animal</v>
          </cell>
        </row>
        <row r="1580">
          <cell r="A1580">
            <v>8008</v>
          </cell>
          <cell r="B1580" t="str">
            <v>ja</v>
          </cell>
          <cell r="C1580" t="str">
            <v>花果の天猿仙人 孫悟空</v>
          </cell>
          <cell r="D1580" t="str">
            <v>イベント:ミクコラボ01</v>
          </cell>
          <cell r="E1580" t="str">
            <v>執行者</v>
          </cell>
          <cell r="F1580" t="str">
            <v>格好いい</v>
          </cell>
          <cell r="G1580" t="str">
            <v>不明</v>
          </cell>
          <cell r="H1580" t="str">
            <v>red</v>
          </cell>
          <cell r="I1580">
            <v>6</v>
          </cell>
          <cell r="J1580" t="str">
            <v>DropWizS</v>
          </cell>
          <cell r="K1580" t="str">
            <v>attack</v>
          </cell>
          <cell r="L1580" t="str">
            <v>攻撃タイプ</v>
          </cell>
          <cell r="M1580" t="str">
            <v>animal</v>
          </cell>
        </row>
        <row r="1581">
          <cell r="A1581">
            <v>8009</v>
          </cell>
          <cell r="B1581" t="str">
            <v>ja</v>
          </cell>
          <cell r="C1581" t="str">
            <v>西王娘娘</v>
          </cell>
          <cell r="D1581" t="str">
            <v>イベント:ミクコラボ01</v>
          </cell>
          <cell r="E1581" t="str">
            <v>執行者</v>
          </cell>
          <cell r="F1581" t="str">
            <v>格好いい</v>
          </cell>
          <cell r="G1581" t="str">
            <v>不明</v>
          </cell>
          <cell r="H1581" t="str">
            <v>green</v>
          </cell>
          <cell r="I1581">
            <v>5</v>
          </cell>
          <cell r="J1581" t="str">
            <v>PremiumSS</v>
          </cell>
          <cell r="K1581" t="str">
            <v>attack</v>
          </cell>
          <cell r="L1581" t="str">
            <v>攻撃タイプ</v>
          </cell>
          <cell r="M1581" t="str">
            <v>god</v>
          </cell>
        </row>
        <row r="1582">
          <cell r="A1582">
            <v>8010</v>
          </cell>
          <cell r="B1582" t="str">
            <v>ja</v>
          </cell>
          <cell r="C1582" t="str">
            <v>極楽瑶池の聖母 西王娘娘</v>
          </cell>
          <cell r="D1582" t="str">
            <v>イベント:ミクコラボ01</v>
          </cell>
          <cell r="E1582" t="str">
            <v>執行者</v>
          </cell>
          <cell r="F1582" t="str">
            <v>格好いい</v>
          </cell>
          <cell r="G1582" t="str">
            <v>不明</v>
          </cell>
          <cell r="H1582" t="str">
            <v>green</v>
          </cell>
          <cell r="I1582">
            <v>6</v>
          </cell>
          <cell r="J1582" t="str">
            <v>PremiumSS</v>
          </cell>
          <cell r="K1582" t="str">
            <v>attack</v>
          </cell>
          <cell r="L1582" t="str">
            <v>攻撃タイプ</v>
          </cell>
          <cell r="M1582" t="str">
            <v>god</v>
          </cell>
        </row>
        <row r="1583">
          <cell r="A1583">
            <v>8011</v>
          </cell>
          <cell r="B1583" t="str">
            <v>ja</v>
          </cell>
          <cell r="C1583" t="str">
            <v>月下老人</v>
          </cell>
          <cell r="D1583" t="str">
            <v>イベント:ミクコラボ01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yellow</v>
          </cell>
          <cell r="I1583">
            <v>5</v>
          </cell>
          <cell r="J1583" t="str">
            <v>DropWizS</v>
          </cell>
          <cell r="K1583" t="str">
            <v>balance</v>
          </cell>
          <cell r="L1583" t="str">
            <v>バランスタイプ</v>
          </cell>
          <cell r="M1583" t="str">
            <v>god</v>
          </cell>
        </row>
        <row r="1584">
          <cell r="A1584">
            <v>8012</v>
          </cell>
          <cell r="B1584" t="str">
            <v>ja</v>
          </cell>
          <cell r="C1584" t="str">
            <v>破戀斬る縁剣 月下老人</v>
          </cell>
          <cell r="D1584" t="str">
            <v>イベント:ミクコラボ01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yellow</v>
          </cell>
          <cell r="I1584">
            <v>6</v>
          </cell>
          <cell r="J1584" t="str">
            <v>DropWizS</v>
          </cell>
          <cell r="K1584" t="str">
            <v>balance</v>
          </cell>
          <cell r="L1584" t="str">
            <v>バランスタイプ</v>
          </cell>
          <cell r="M1584" t="str">
            <v>god</v>
          </cell>
        </row>
        <row r="1585">
          <cell r="A1585">
            <v>8013</v>
          </cell>
          <cell r="B1585" t="str">
            <v>ja</v>
          </cell>
          <cell r="C1585" t="str">
            <v>初音ミクV3</v>
          </cell>
          <cell r="D1585" t="str">
            <v>初音ミクV3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yellow</v>
          </cell>
          <cell r="I1585">
            <v>4</v>
          </cell>
          <cell r="J1585" t="str">
            <v>DropWizS</v>
          </cell>
          <cell r="K1585" t="str">
            <v>balance</v>
          </cell>
          <cell r="L1585" t="str">
            <v>バランスタイプ</v>
          </cell>
          <cell r="M1585" t="str">
            <v>unknown</v>
          </cell>
        </row>
        <row r="1586">
          <cell r="A1586">
            <v>8014</v>
          </cell>
          <cell r="B1586" t="str">
            <v>ja</v>
          </cell>
          <cell r="C1586" t="str">
            <v>初音ミクV3</v>
          </cell>
          <cell r="D1586" t="str">
            <v>初音ミクV3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yellow</v>
          </cell>
          <cell r="I1586">
            <v>5</v>
          </cell>
          <cell r="J1586" t="str">
            <v>DropWizS</v>
          </cell>
          <cell r="K1586" t="str">
            <v>balance</v>
          </cell>
          <cell r="L1586" t="str">
            <v>バランスタイプ</v>
          </cell>
          <cell r="M1586" t="str">
            <v>unknown</v>
          </cell>
        </row>
        <row r="1587">
          <cell r="A1587">
            <v>8015</v>
          </cell>
          <cell r="B1587" t="str">
            <v>ja</v>
          </cell>
          <cell r="C1587" t="str">
            <v>初音ミク・アペンド</v>
          </cell>
          <cell r="D1587" t="str">
            <v>初音ミク・アペンド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green</v>
          </cell>
          <cell r="I1587">
            <v>4</v>
          </cell>
          <cell r="J1587" t="str">
            <v>PremiumSSS</v>
          </cell>
          <cell r="K1587" t="str">
            <v>technical</v>
          </cell>
          <cell r="L1587" t="str">
            <v>テクニカルタイプ</v>
          </cell>
          <cell r="M1587" t="str">
            <v>unknown</v>
          </cell>
        </row>
        <row r="1588">
          <cell r="A1588">
            <v>8016</v>
          </cell>
          <cell r="B1588" t="str">
            <v>ja</v>
          </cell>
          <cell r="C1588" t="str">
            <v>初音ミク・アペンド</v>
          </cell>
          <cell r="D1588" t="str">
            <v>初音ミク・アペンド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green</v>
          </cell>
          <cell r="I1588">
            <v>5</v>
          </cell>
          <cell r="J1588" t="str">
            <v>PremiumSSS</v>
          </cell>
          <cell r="K1588" t="str">
            <v>technical</v>
          </cell>
          <cell r="L1588" t="str">
            <v>テクニカルタイプ</v>
          </cell>
          <cell r="M1588" t="str">
            <v>unknown</v>
          </cell>
        </row>
        <row r="1589">
          <cell r="A1589">
            <v>8017</v>
          </cell>
          <cell r="B1589" t="str">
            <v>ja</v>
          </cell>
          <cell r="C1589" t="str">
            <v>初音ミク</v>
          </cell>
          <cell r="D1589" t="str">
            <v>初音ミク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green</v>
          </cell>
          <cell r="I1589">
            <v>4</v>
          </cell>
          <cell r="J1589" t="str">
            <v>PremiumSSS</v>
          </cell>
          <cell r="K1589" t="str">
            <v>balance</v>
          </cell>
          <cell r="L1589" t="str">
            <v>バランスタイプ</v>
          </cell>
          <cell r="M1589" t="str">
            <v>unknown</v>
          </cell>
        </row>
        <row r="1590">
          <cell r="A1590">
            <v>8018</v>
          </cell>
          <cell r="B1590" t="str">
            <v>ja</v>
          </cell>
          <cell r="C1590" t="str">
            <v>初音ミク</v>
          </cell>
          <cell r="D1590" t="str">
            <v>初音ミク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green</v>
          </cell>
          <cell r="I1590">
            <v>5</v>
          </cell>
          <cell r="J1590" t="str">
            <v>PremiumSSS</v>
          </cell>
          <cell r="K1590" t="str">
            <v>balance</v>
          </cell>
          <cell r="L1590" t="str">
            <v>バランスタイプ</v>
          </cell>
          <cell r="M1590" t="str">
            <v>unknown</v>
          </cell>
        </row>
        <row r="1591">
          <cell r="A1591">
            <v>8019</v>
          </cell>
          <cell r="B1591" t="str">
            <v>ja</v>
          </cell>
          <cell r="C1591" t="str">
            <v>鏡音リン</v>
          </cell>
          <cell r="D1591" t="str">
            <v>鏡音リン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yellow</v>
          </cell>
          <cell r="I1591">
            <v>4</v>
          </cell>
          <cell r="J1591" t="str">
            <v>PremiumSS</v>
          </cell>
          <cell r="K1591" t="str">
            <v>balance</v>
          </cell>
          <cell r="L1591" t="str">
            <v>バランスタイプ</v>
          </cell>
          <cell r="M1591" t="str">
            <v>unknown</v>
          </cell>
        </row>
        <row r="1592">
          <cell r="A1592">
            <v>8020</v>
          </cell>
          <cell r="B1592" t="str">
            <v>ja</v>
          </cell>
          <cell r="C1592" t="str">
            <v>鏡音リン</v>
          </cell>
          <cell r="D1592" t="str">
            <v>鏡音リン</v>
          </cell>
          <cell r="E1592" t="str">
            <v>執行者</v>
          </cell>
          <cell r="F1592" t="str">
            <v>格好いい</v>
          </cell>
          <cell r="G1592" t="str">
            <v>男性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balance</v>
          </cell>
          <cell r="L1592" t="str">
            <v>バランスタイプ</v>
          </cell>
          <cell r="M1592" t="str">
            <v>unknown</v>
          </cell>
        </row>
        <row r="1593">
          <cell r="A1593">
            <v>8021</v>
          </cell>
          <cell r="B1593" t="str">
            <v>ja</v>
          </cell>
          <cell r="C1593" t="str">
            <v>鏡音レン</v>
          </cell>
          <cell r="D1593" t="str">
            <v>鏡音レン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4</v>
          </cell>
          <cell r="J1593" t="str">
            <v>PremiumSS</v>
          </cell>
          <cell r="K1593" t="str">
            <v>heal</v>
          </cell>
          <cell r="L1593" t="str">
            <v>回復タイプ</v>
          </cell>
          <cell r="M1593" t="str">
            <v>unknown</v>
          </cell>
        </row>
        <row r="1594">
          <cell r="A1594">
            <v>8022</v>
          </cell>
          <cell r="B1594" t="str">
            <v>ja</v>
          </cell>
          <cell r="C1594" t="str">
            <v>鏡音レン</v>
          </cell>
          <cell r="D1594" t="str">
            <v>鏡音レン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yellow</v>
          </cell>
          <cell r="I1594">
            <v>5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unknown</v>
          </cell>
        </row>
        <row r="1595">
          <cell r="A1595">
            <v>8023</v>
          </cell>
          <cell r="B1595" t="str">
            <v>ja</v>
          </cell>
          <cell r="C1595" t="str">
            <v>巡音ルカ</v>
          </cell>
          <cell r="D1595" t="str">
            <v>巡音ルカ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red</v>
          </cell>
          <cell r="I1595">
            <v>3</v>
          </cell>
          <cell r="J1595" t="str">
            <v>PremiumS</v>
          </cell>
          <cell r="K1595" t="str">
            <v>attack</v>
          </cell>
          <cell r="L1595" t="str">
            <v>攻撃タイプ</v>
          </cell>
          <cell r="M1595" t="str">
            <v>unknown</v>
          </cell>
        </row>
        <row r="1596">
          <cell r="A1596">
            <v>8024</v>
          </cell>
          <cell r="B1596" t="str">
            <v>ja</v>
          </cell>
          <cell r="C1596" t="str">
            <v>巡音ルカ</v>
          </cell>
          <cell r="D1596" t="str">
            <v>巡音ルカ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red</v>
          </cell>
          <cell r="I1596">
            <v>4</v>
          </cell>
          <cell r="J1596" t="str">
            <v>PremiumS</v>
          </cell>
          <cell r="K1596" t="str">
            <v>attack</v>
          </cell>
          <cell r="L1596" t="str">
            <v>攻撃タイプ</v>
          </cell>
          <cell r="M1596" t="str">
            <v>unknown</v>
          </cell>
        </row>
        <row r="1597">
          <cell r="A1597">
            <v>8025</v>
          </cell>
          <cell r="B1597" t="str">
            <v>ja</v>
          </cell>
          <cell r="C1597" t="str">
            <v>MEIKO</v>
          </cell>
          <cell r="D1597" t="str">
            <v>MEIKO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red</v>
          </cell>
          <cell r="I1597">
            <v>3</v>
          </cell>
          <cell r="J1597" t="str">
            <v>PremiumS</v>
          </cell>
          <cell r="K1597" t="str">
            <v>hp</v>
          </cell>
          <cell r="L1597" t="str">
            <v>体力タイプ</v>
          </cell>
          <cell r="M1597" t="str">
            <v>unknown</v>
          </cell>
        </row>
        <row r="1598">
          <cell r="A1598">
            <v>8026</v>
          </cell>
          <cell r="B1598" t="str">
            <v>ja</v>
          </cell>
          <cell r="C1598" t="str">
            <v>MEIKO</v>
          </cell>
          <cell r="D1598" t="str">
            <v>MEIKO</v>
          </cell>
          <cell r="E1598" t="str">
            <v>執行者</v>
          </cell>
          <cell r="F1598" t="str">
            <v>格好いい</v>
          </cell>
          <cell r="G1598" t="str">
            <v>男性</v>
          </cell>
          <cell r="H1598" t="str">
            <v>red</v>
          </cell>
          <cell r="I1598">
            <v>4</v>
          </cell>
          <cell r="J1598" t="str">
            <v>PremiumS</v>
          </cell>
          <cell r="K1598" t="str">
            <v>hp</v>
          </cell>
          <cell r="L1598" t="str">
            <v>体力タイプ</v>
          </cell>
          <cell r="M1598" t="str">
            <v>unknown</v>
          </cell>
        </row>
        <row r="1599">
          <cell r="A1599">
            <v>8027</v>
          </cell>
          <cell r="B1599" t="str">
            <v>ja</v>
          </cell>
          <cell r="C1599" t="str">
            <v>KAITO</v>
          </cell>
          <cell r="D1599" t="str">
            <v>KAITO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blue</v>
          </cell>
          <cell r="I1599">
            <v>3</v>
          </cell>
          <cell r="J1599" t="str">
            <v>PremiumS</v>
          </cell>
          <cell r="K1599" t="str">
            <v>technical</v>
          </cell>
          <cell r="L1599" t="str">
            <v>テクニカルタイプ</v>
          </cell>
          <cell r="M1599" t="str">
            <v>unknown</v>
          </cell>
        </row>
        <row r="1600">
          <cell r="A1600">
            <v>8028</v>
          </cell>
          <cell r="B1600" t="str">
            <v>ja</v>
          </cell>
          <cell r="C1600" t="str">
            <v>KAITO</v>
          </cell>
          <cell r="D1600" t="str">
            <v>KAITO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blue</v>
          </cell>
          <cell r="I1600">
            <v>4</v>
          </cell>
          <cell r="J1600" t="str">
            <v>PremiumS</v>
          </cell>
          <cell r="K1600" t="str">
            <v>technical</v>
          </cell>
          <cell r="L1600" t="str">
            <v>テクニカルタイプ</v>
          </cell>
          <cell r="M1600" t="str">
            <v>unknown</v>
          </cell>
        </row>
        <row r="1601">
          <cell r="A1601">
            <v>8029</v>
          </cell>
          <cell r="B1601" t="str">
            <v>ja</v>
          </cell>
          <cell r="C1601" t="str">
            <v>Expoミク</v>
          </cell>
          <cell r="D1601" t="str">
            <v>Expoミク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blue</v>
          </cell>
          <cell r="I1601">
            <v>4</v>
          </cell>
          <cell r="J1601" t="str">
            <v>Drop2N</v>
          </cell>
          <cell r="K1601" t="str">
            <v>heal</v>
          </cell>
          <cell r="L1601" t="str">
            <v>回復タイプ</v>
          </cell>
          <cell r="M1601" t="str">
            <v>unknown</v>
          </cell>
        </row>
        <row r="1602">
          <cell r="A1602">
            <v>8030</v>
          </cell>
          <cell r="B1602" t="str">
            <v>ja</v>
          </cell>
          <cell r="C1602" t="str">
            <v>Expoミク</v>
          </cell>
          <cell r="D1602" t="str">
            <v>Expoミク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blue</v>
          </cell>
          <cell r="I1602">
            <v>5</v>
          </cell>
          <cell r="J1602" t="str">
            <v>Drop2N</v>
          </cell>
          <cell r="K1602" t="str">
            <v>heal</v>
          </cell>
          <cell r="L1602" t="str">
            <v>回復タイプ</v>
          </cell>
          <cell r="M1602" t="str">
            <v>unknown</v>
          </cell>
        </row>
        <row r="1603">
          <cell r="A1603">
            <v>8031</v>
          </cell>
          <cell r="B1603" t="str">
            <v>ja</v>
          </cell>
          <cell r="C1603" t="str">
            <v>閻羅王</v>
          </cell>
          <cell r="D1603" t="str">
            <v>Expoミク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5</v>
          </cell>
          <cell r="J1603" t="str">
            <v>PremiumSS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8032</v>
          </cell>
          <cell r="B1604" t="str">
            <v>ja</v>
          </cell>
          <cell r="C1604" t="str">
            <v>六道輪廻の絶獄 閻羅王</v>
          </cell>
          <cell r="D1604" t="str">
            <v>Expoミク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red</v>
          </cell>
          <cell r="I1604">
            <v>6</v>
          </cell>
          <cell r="J1604" t="str">
            <v>PremiumSS</v>
          </cell>
          <cell r="K1604" t="str">
            <v>balance</v>
          </cell>
          <cell r="L1604" t="str">
            <v>バランスタイプ</v>
          </cell>
          <cell r="M1604" t="str">
            <v>god</v>
          </cell>
        </row>
        <row r="1605">
          <cell r="A1605">
            <v>8033</v>
          </cell>
          <cell r="B1605" t="str">
            <v>ja</v>
          </cell>
          <cell r="C1605" t="str">
            <v>牛頭馬面</v>
          </cell>
          <cell r="D1605" t="str">
            <v>Expoミク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green</v>
          </cell>
          <cell r="I1605">
            <v>5</v>
          </cell>
          <cell r="J1605" t="str">
            <v>DropWizS</v>
          </cell>
          <cell r="K1605" t="str">
            <v>attack</v>
          </cell>
          <cell r="L1605" t="str">
            <v>攻撃タイプ</v>
          </cell>
          <cell r="M1605" t="str">
            <v>god</v>
          </cell>
        </row>
        <row r="1606">
          <cell r="A1606">
            <v>8034</v>
          </cell>
          <cell r="B1606" t="str">
            <v>ja</v>
          </cell>
          <cell r="C1606" t="str">
            <v>冥府狩る魂使 牛頭馬面</v>
          </cell>
          <cell r="D1606" t="str">
            <v>Expoミク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6</v>
          </cell>
          <cell r="J1606" t="str">
            <v>DropWizS</v>
          </cell>
          <cell r="K1606" t="str">
            <v>attack</v>
          </cell>
          <cell r="L1606" t="str">
            <v>攻撃タイプ</v>
          </cell>
          <cell r="M1606" t="str">
            <v>god</v>
          </cell>
        </row>
        <row r="1607">
          <cell r="A1607">
            <v>8035</v>
          </cell>
          <cell r="B1607" t="str">
            <v>ja</v>
          </cell>
          <cell r="C1607" t="str">
            <v>飛衛</v>
          </cell>
          <cell r="D1607" t="str">
            <v>Expoミク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blue</v>
          </cell>
          <cell r="I1607">
            <v>5</v>
          </cell>
          <cell r="J1607" t="str">
            <v>PremiumSS</v>
          </cell>
          <cell r="K1607" t="str">
            <v>heal</v>
          </cell>
          <cell r="L1607" t="str">
            <v>回復タイプ</v>
          </cell>
          <cell r="M1607" t="str">
            <v>human</v>
          </cell>
        </row>
        <row r="1608">
          <cell r="A1608">
            <v>8036</v>
          </cell>
          <cell r="B1608" t="str">
            <v>ja</v>
          </cell>
          <cell r="C1608" t="str">
            <v>レア６飛衛</v>
          </cell>
          <cell r="D1608" t="str">
            <v>Expoミク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blue</v>
          </cell>
          <cell r="I1608">
            <v>6</v>
          </cell>
          <cell r="J1608" t="str">
            <v>PremiumSS</v>
          </cell>
          <cell r="K1608" t="str">
            <v>heal</v>
          </cell>
          <cell r="L1608" t="str">
            <v>回復タイプ</v>
          </cell>
          <cell r="M1608" t="str">
            <v>human</v>
          </cell>
        </row>
        <row r="1609">
          <cell r="A1609">
            <v>8037</v>
          </cell>
          <cell r="B1609" t="str">
            <v>ja</v>
          </cell>
          <cell r="C1609" t="str">
            <v>紀昌</v>
          </cell>
          <cell r="D1609" t="str">
            <v>Expoミク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red</v>
          </cell>
          <cell r="I1609">
            <v>5</v>
          </cell>
          <cell r="J1609" t="str">
            <v>DropWizS</v>
          </cell>
          <cell r="K1609" t="str">
            <v>attack</v>
          </cell>
          <cell r="L1609" t="str">
            <v>攻撃タイプ</v>
          </cell>
          <cell r="M1609" t="str">
            <v>human</v>
          </cell>
        </row>
        <row r="1610">
          <cell r="A1610">
            <v>8038</v>
          </cell>
          <cell r="B1610" t="str">
            <v>ja</v>
          </cell>
          <cell r="C1610" t="str">
            <v>レア６紀昌</v>
          </cell>
          <cell r="D1610" t="str">
            <v>Expoミク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red</v>
          </cell>
          <cell r="I1610">
            <v>6</v>
          </cell>
          <cell r="J1610" t="str">
            <v>DropWizS</v>
          </cell>
          <cell r="K1610" t="str">
            <v>attack</v>
          </cell>
          <cell r="L1610" t="str">
            <v>攻撃タイプ</v>
          </cell>
          <cell r="M1610" t="str">
            <v>human</v>
          </cell>
        </row>
        <row r="1611">
          <cell r="A1611">
            <v>8039</v>
          </cell>
          <cell r="B1611" t="str">
            <v>ja</v>
          </cell>
          <cell r="C1611" t="str">
            <v>何仙姑</v>
          </cell>
          <cell r="D1611" t="str">
            <v>Expoミク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yellow</v>
          </cell>
          <cell r="I1611">
            <v>5</v>
          </cell>
          <cell r="J1611" t="str">
            <v>PremiumSSw</v>
          </cell>
          <cell r="K1611" t="str">
            <v>hp</v>
          </cell>
          <cell r="L1611" t="str">
            <v>体力タイプ</v>
          </cell>
          <cell r="M1611" t="str">
            <v>god</v>
          </cell>
        </row>
        <row r="1612">
          <cell r="A1612">
            <v>8040</v>
          </cell>
          <cell r="B1612" t="str">
            <v>ja</v>
          </cell>
          <cell r="C1612" t="str">
            <v>レア６何仙姑</v>
          </cell>
          <cell r="D1612" t="str">
            <v>Expoミク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6</v>
          </cell>
          <cell r="J1612" t="str">
            <v>PremiumSSw</v>
          </cell>
          <cell r="K1612" t="str">
            <v>hp</v>
          </cell>
          <cell r="L1612" t="str">
            <v>体力タイプ</v>
          </cell>
          <cell r="M1612" t="str">
            <v>god</v>
          </cell>
        </row>
        <row r="1613">
          <cell r="A1613">
            <v>8041</v>
          </cell>
          <cell r="B1613" t="str">
            <v>ja</v>
          </cell>
          <cell r="C1613" t="str">
            <v>藍采和</v>
          </cell>
          <cell r="D1613" t="str">
            <v>Expoミク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blue</v>
          </cell>
          <cell r="I1613">
            <v>5</v>
          </cell>
          <cell r="J1613" t="str">
            <v>DropWizS</v>
          </cell>
          <cell r="K1613" t="str">
            <v>balance</v>
          </cell>
          <cell r="L1613" t="str">
            <v>バランスタイプ</v>
          </cell>
          <cell r="M1613" t="str">
            <v>god</v>
          </cell>
        </row>
        <row r="1614">
          <cell r="A1614">
            <v>8042</v>
          </cell>
          <cell r="B1614" t="str">
            <v>ja</v>
          </cell>
          <cell r="C1614" t="str">
            <v>レア６藍采和</v>
          </cell>
          <cell r="D1614" t="str">
            <v>Expoミク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blue</v>
          </cell>
          <cell r="I1614">
            <v>6</v>
          </cell>
          <cell r="J1614" t="str">
            <v>DropWizS</v>
          </cell>
          <cell r="K1614" t="str">
            <v>balance</v>
          </cell>
          <cell r="L1614" t="str">
            <v>バランスタイプ</v>
          </cell>
          <cell r="M1614" t="str">
            <v>god</v>
          </cell>
        </row>
        <row r="1615">
          <cell r="A1615">
            <v>8043</v>
          </cell>
          <cell r="B1615" t="str">
            <v>ja</v>
          </cell>
          <cell r="C1615" t="str">
            <v>サンリオキャラ大集合+アザゼル</v>
          </cell>
          <cell r="D1615" t="str">
            <v>サンリオキャラ大集合+アザゼル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green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ss</v>
          </cell>
        </row>
        <row r="1616">
          <cell r="A1616">
            <v>8044</v>
          </cell>
          <cell r="B1616" t="str">
            <v>ja</v>
          </cell>
          <cell r="C1616" t="str">
            <v>サンリオキャラ大集合+アザゼル</v>
          </cell>
          <cell r="D1616" t="str">
            <v>サンリオキャラ大集合+アザゼル</v>
          </cell>
          <cell r="E1616" t="str">
            <v>執行者</v>
          </cell>
          <cell r="F1616" t="str">
            <v>格好いい</v>
          </cell>
          <cell r="G1616" t="str">
            <v>女性</v>
          </cell>
          <cell r="H1616" t="str">
            <v>green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ss</v>
          </cell>
        </row>
        <row r="1617">
          <cell r="A1617">
            <v>8045</v>
          </cell>
          <cell r="B1617" t="str">
            <v>ja</v>
          </cell>
          <cell r="C1617" t="str">
            <v>ニムダ_サンリオキャラ混じり</v>
          </cell>
          <cell r="D1617" t="str">
            <v>ニムダ_サンリオキャラ混じり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yellow</v>
          </cell>
          <cell r="I1617">
            <v>4</v>
          </cell>
          <cell r="J1617" t="str">
            <v>Drop2N</v>
          </cell>
          <cell r="K1617" t="str">
            <v>technical</v>
          </cell>
          <cell r="L1617" t="str">
            <v>テクニカルタイプ</v>
          </cell>
          <cell r="M1617" t="str">
            <v>ss</v>
          </cell>
        </row>
        <row r="1618">
          <cell r="A1618">
            <v>8046</v>
          </cell>
          <cell r="B1618" t="str">
            <v>ja</v>
          </cell>
          <cell r="C1618" t="str">
            <v>ニムダ_サンリオキャラ混じり</v>
          </cell>
          <cell r="D1618" t="str">
            <v>ニムダ_サンリオキャラ混じり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yellow</v>
          </cell>
          <cell r="I1618">
            <v>5</v>
          </cell>
          <cell r="J1618" t="str">
            <v>Drop2N</v>
          </cell>
          <cell r="K1618" t="str">
            <v>technical</v>
          </cell>
          <cell r="L1618" t="str">
            <v>テクニカルタイプ</v>
          </cell>
          <cell r="M1618" t="str">
            <v>ss</v>
          </cell>
        </row>
        <row r="1619">
          <cell r="A1619">
            <v>8047</v>
          </cell>
          <cell r="B1619" t="str">
            <v>ja</v>
          </cell>
          <cell r="C1619" t="str">
            <v>ハローキティ</v>
          </cell>
          <cell r="D1619" t="str">
            <v>ハローキティ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red</v>
          </cell>
          <cell r="I1619">
            <v>4</v>
          </cell>
          <cell r="J1619" t="str">
            <v>Drop2N</v>
          </cell>
          <cell r="K1619" t="str">
            <v>balance</v>
          </cell>
          <cell r="L1619" t="str">
            <v>バランスタイプ</v>
          </cell>
          <cell r="M1619" t="str">
            <v>ss</v>
          </cell>
        </row>
        <row r="1620">
          <cell r="A1620">
            <v>8048</v>
          </cell>
          <cell r="B1620" t="str">
            <v>ja</v>
          </cell>
          <cell r="C1620" t="str">
            <v>ハローキティ</v>
          </cell>
          <cell r="D1620" t="str">
            <v>ハローキティ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red</v>
          </cell>
          <cell r="I1620">
            <v>5</v>
          </cell>
          <cell r="J1620" t="str">
            <v>Drop2N</v>
          </cell>
          <cell r="K1620" t="str">
            <v>balance</v>
          </cell>
          <cell r="L1620" t="str">
            <v>バランスタイプ</v>
          </cell>
          <cell r="M1620" t="str">
            <v>ss</v>
          </cell>
        </row>
        <row r="1621">
          <cell r="A1621">
            <v>8049</v>
          </cell>
          <cell r="B1621" t="str">
            <v>ja</v>
          </cell>
          <cell r="C1621" t="str">
            <v>KIRIMIちゃん</v>
          </cell>
          <cell r="D1621" t="str">
            <v>KIRIMIちゃん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red</v>
          </cell>
          <cell r="I1621">
            <v>4</v>
          </cell>
          <cell r="J1621" t="str">
            <v>Drop2N</v>
          </cell>
          <cell r="K1621" t="str">
            <v>hp</v>
          </cell>
          <cell r="L1621" t="str">
            <v>体力タイプ</v>
          </cell>
          <cell r="M1621" t="str">
            <v>ss</v>
          </cell>
        </row>
        <row r="1622">
          <cell r="A1622">
            <v>8050</v>
          </cell>
          <cell r="B1622" t="str">
            <v>ja</v>
          </cell>
          <cell r="C1622" t="str">
            <v>KIRIMIちゃん</v>
          </cell>
          <cell r="D1622" t="str">
            <v>KIRIMIちゃん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Drop2N</v>
          </cell>
          <cell r="K1622" t="str">
            <v>hp</v>
          </cell>
          <cell r="L1622" t="str">
            <v>体力タイプ</v>
          </cell>
          <cell r="M1622" t="str">
            <v>ss</v>
          </cell>
        </row>
        <row r="1623">
          <cell r="A1623">
            <v>8051</v>
          </cell>
          <cell r="B1623" t="str">
            <v>ja</v>
          </cell>
          <cell r="C1623" t="str">
            <v>ハローキティのリボン</v>
          </cell>
          <cell r="D1623" t="str">
            <v>ハローキティのリボン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5</v>
          </cell>
          <cell r="J1623" t="str">
            <v>Drop2N</v>
          </cell>
          <cell r="K1623" t="str">
            <v>evolution</v>
          </cell>
          <cell r="L1623" t="str">
            <v>覚醒素材タイプ</v>
          </cell>
          <cell r="M1623" t="str">
            <v>ss</v>
          </cell>
        </row>
        <row r="1624">
          <cell r="A1624">
            <v>8052</v>
          </cell>
          <cell r="B1624" t="str">
            <v>ja</v>
          </cell>
          <cell r="C1624" t="str">
            <v>ママの作ったアップルパイ</v>
          </cell>
          <cell r="D1624" t="str">
            <v>ママの作ったアップルパイ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red</v>
          </cell>
          <cell r="I1624">
            <v>4</v>
          </cell>
          <cell r="J1624" t="str">
            <v>Drop2N</v>
          </cell>
          <cell r="K1624" t="str">
            <v>evolution</v>
          </cell>
          <cell r="L1624" t="str">
            <v>覚醒素材タイプ</v>
          </cell>
          <cell r="M1624" t="str">
            <v>ss</v>
          </cell>
        </row>
        <row r="1625">
          <cell r="A1625">
            <v>8053</v>
          </cell>
          <cell r="B1625" t="str">
            <v>ja</v>
          </cell>
          <cell r="C1625" t="str">
            <v>D.R.T.H__キティコスプレ</v>
          </cell>
          <cell r="D1625" t="str">
            <v>D.R.T.H__キティコスプレ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red</v>
          </cell>
          <cell r="I1625">
            <v>5</v>
          </cell>
          <cell r="J1625" t="str">
            <v>PremiumSS</v>
          </cell>
          <cell r="K1625" t="str">
            <v>balance</v>
          </cell>
          <cell r="L1625" t="str">
            <v>バランスタイプ</v>
          </cell>
          <cell r="M1625" t="str">
            <v>ss</v>
          </cell>
        </row>
        <row r="1626">
          <cell r="A1626">
            <v>8054</v>
          </cell>
          <cell r="B1626" t="str">
            <v>ja</v>
          </cell>
          <cell r="C1626" t="str">
            <v>D.R.T.H__キティコスプレ</v>
          </cell>
          <cell r="D1626" t="str">
            <v>D.R.T.H__キティコスプレ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red</v>
          </cell>
          <cell r="I1626">
            <v>6</v>
          </cell>
          <cell r="J1626" t="str">
            <v>PremiumSS</v>
          </cell>
          <cell r="K1626" t="str">
            <v>balance</v>
          </cell>
          <cell r="L1626" t="str">
            <v>バランスタイプ</v>
          </cell>
          <cell r="M1626" t="str">
            <v>ss</v>
          </cell>
        </row>
        <row r="1627">
          <cell r="A1627">
            <v>8055</v>
          </cell>
          <cell r="B1627" t="str">
            <v>ja</v>
          </cell>
          <cell r="C1627" t="str">
            <v>マイメロディ</v>
          </cell>
          <cell r="D1627" t="str">
            <v>マイメロディ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PremiumS</v>
          </cell>
          <cell r="K1627" t="str">
            <v>attack</v>
          </cell>
          <cell r="L1627" t="str">
            <v>攻撃タイプ</v>
          </cell>
          <cell r="M1627" t="str">
            <v>ss</v>
          </cell>
        </row>
        <row r="1628">
          <cell r="A1628">
            <v>8056</v>
          </cell>
          <cell r="B1628" t="str">
            <v>ja</v>
          </cell>
          <cell r="C1628" t="str">
            <v>マイメロディ</v>
          </cell>
          <cell r="D1628" t="str">
            <v>マイメロディ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PremiumS</v>
          </cell>
          <cell r="K1628" t="str">
            <v>attack</v>
          </cell>
          <cell r="L1628" t="str">
            <v>攻撃タイプ</v>
          </cell>
          <cell r="M1628" t="str">
            <v>ss</v>
          </cell>
        </row>
        <row r="1629">
          <cell r="A1629">
            <v>8057</v>
          </cell>
          <cell r="B1629" t="str">
            <v>ja</v>
          </cell>
          <cell r="C1629" t="str">
            <v>ニーベルゲン_シナモロールコスプレ</v>
          </cell>
          <cell r="D1629" t="str">
            <v>ニーベルゲン_シナモロールコスプレ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4</v>
          </cell>
          <cell r="J1629" t="str">
            <v>PremiumS</v>
          </cell>
          <cell r="K1629" t="str">
            <v>balance</v>
          </cell>
          <cell r="L1629" t="str">
            <v>バランスタイプ</v>
          </cell>
          <cell r="M1629" t="str">
            <v>ss</v>
          </cell>
        </row>
        <row r="1630">
          <cell r="A1630">
            <v>8058</v>
          </cell>
          <cell r="B1630" t="str">
            <v>ja</v>
          </cell>
          <cell r="C1630" t="str">
            <v>ニーベルゲン_シナモロールコスプレ</v>
          </cell>
          <cell r="D1630" t="str">
            <v>ニーベルゲン_シナモロールコスプレ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5</v>
          </cell>
          <cell r="J1630" t="str">
            <v>PremiumS</v>
          </cell>
          <cell r="K1630" t="str">
            <v>balance</v>
          </cell>
          <cell r="L1630" t="str">
            <v>バランスタイプ</v>
          </cell>
          <cell r="M1630" t="str">
            <v>ss</v>
          </cell>
        </row>
        <row r="1631">
          <cell r="A1631">
            <v>8059</v>
          </cell>
          <cell r="B1631" t="str">
            <v>ja</v>
          </cell>
          <cell r="C1631" t="str">
            <v>カカシ_マイメロディコスプレ</v>
          </cell>
          <cell r="D1631" t="str">
            <v>カカシ_マイメロディコスプレ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4</v>
          </cell>
          <cell r="J1631" t="str">
            <v>PremiumS</v>
          </cell>
          <cell r="K1631" t="str">
            <v>technical</v>
          </cell>
          <cell r="L1631" t="str">
            <v>テクニカルタイプ</v>
          </cell>
          <cell r="M1631" t="str">
            <v>ss</v>
          </cell>
        </row>
        <row r="1632">
          <cell r="A1632">
            <v>8060</v>
          </cell>
          <cell r="B1632" t="str">
            <v>ja</v>
          </cell>
          <cell r="C1632" t="str">
            <v>カカシ_マイメロディコスプレ</v>
          </cell>
          <cell r="D1632" t="str">
            <v>カカシ_マイメロディコスプレ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green</v>
          </cell>
          <cell r="I1632">
            <v>5</v>
          </cell>
          <cell r="J1632" t="str">
            <v>PremiumS</v>
          </cell>
          <cell r="K1632" t="str">
            <v>technical</v>
          </cell>
          <cell r="L1632" t="str">
            <v>テクニカルタイプ</v>
          </cell>
          <cell r="M1632" t="str">
            <v>ss</v>
          </cell>
        </row>
        <row r="1633">
          <cell r="A1633">
            <v>8061</v>
          </cell>
          <cell r="B1633" t="str">
            <v>ja</v>
          </cell>
          <cell r="C1633" t="str">
            <v>ケロケロけろっぴ</v>
          </cell>
          <cell r="D1633" t="str">
            <v>ケロケロけろっぴ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green</v>
          </cell>
          <cell r="I1633">
            <v>3</v>
          </cell>
          <cell r="J1633" t="str">
            <v>PremiumS</v>
          </cell>
          <cell r="K1633" t="str">
            <v>balance</v>
          </cell>
          <cell r="L1633" t="str">
            <v>バランスタイプ</v>
          </cell>
          <cell r="M1633" t="str">
            <v>ss</v>
          </cell>
        </row>
        <row r="1634">
          <cell r="A1634">
            <v>8062</v>
          </cell>
          <cell r="B1634" t="str">
            <v>ja</v>
          </cell>
          <cell r="C1634" t="str">
            <v>ケロケロけろっぴ</v>
          </cell>
          <cell r="D1634" t="str">
            <v>ケロケロけろっぴ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4</v>
          </cell>
          <cell r="J1634" t="str">
            <v>PremiumS</v>
          </cell>
          <cell r="K1634" t="str">
            <v>balance</v>
          </cell>
          <cell r="L1634" t="str">
            <v>バランスタイプ</v>
          </cell>
          <cell r="M1634" t="str">
            <v>ss</v>
          </cell>
        </row>
        <row r="1635">
          <cell r="A1635">
            <v>8063</v>
          </cell>
          <cell r="B1635" t="str">
            <v>ja</v>
          </cell>
          <cell r="C1635" t="str">
            <v>モルドレッド_ポムポムプリンコスプレ</v>
          </cell>
          <cell r="D1635" t="str">
            <v>モルドレッド_ポムポムプリンコスプレ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blue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ss</v>
          </cell>
        </row>
        <row r="1636">
          <cell r="A1636">
            <v>8064</v>
          </cell>
          <cell r="B1636" t="str">
            <v>ja</v>
          </cell>
          <cell r="C1636" t="str">
            <v>モルドレッド_ポムポムプリンコスプレ</v>
          </cell>
          <cell r="D1636" t="str">
            <v>モルドレッド_ポムポムプリンコスプレ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blue</v>
          </cell>
          <cell r="I1636">
            <v>6</v>
          </cell>
          <cell r="J1636" t="str">
            <v>PremiumSS</v>
          </cell>
          <cell r="K1636" t="str">
            <v>heal</v>
          </cell>
          <cell r="L1636" t="str">
            <v>回復タイプ</v>
          </cell>
          <cell r="M1636" t="str">
            <v>ss</v>
          </cell>
        </row>
        <row r="1637">
          <cell r="A1637">
            <v>8065</v>
          </cell>
          <cell r="B1637" t="str">
            <v>ja</v>
          </cell>
          <cell r="C1637" t="str">
            <v>クロミ</v>
          </cell>
          <cell r="D1637" t="str">
            <v>クロミ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blue</v>
          </cell>
          <cell r="I1637">
            <v>3</v>
          </cell>
          <cell r="J1637" t="str">
            <v>PremiumS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8066</v>
          </cell>
          <cell r="B1638" t="str">
            <v>ja</v>
          </cell>
          <cell r="C1638" t="str">
            <v>クロミ</v>
          </cell>
          <cell r="D1638" t="str">
            <v>クロミ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blue</v>
          </cell>
          <cell r="I1638">
            <v>4</v>
          </cell>
          <cell r="J1638" t="str">
            <v>PremiumS</v>
          </cell>
          <cell r="K1638" t="str">
            <v>technical</v>
          </cell>
          <cell r="L1638" t="str">
            <v>テクニカルタイプ</v>
          </cell>
          <cell r="M1638" t="str">
            <v>ss</v>
          </cell>
        </row>
        <row r="1639">
          <cell r="A1639">
            <v>8067</v>
          </cell>
          <cell r="B1639" t="str">
            <v>ja</v>
          </cell>
          <cell r="C1639" t="str">
            <v>バッドばつ丸</v>
          </cell>
          <cell r="D1639" t="str">
            <v>バッドばつ丸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blue</v>
          </cell>
          <cell r="I1639">
            <v>3</v>
          </cell>
          <cell r="J1639" t="str">
            <v>PremiumS</v>
          </cell>
          <cell r="K1639" t="str">
            <v>attack</v>
          </cell>
          <cell r="L1639" t="str">
            <v>攻撃タイプ</v>
          </cell>
          <cell r="M1639" t="str">
            <v>ss</v>
          </cell>
        </row>
        <row r="1640">
          <cell r="A1640">
            <v>8068</v>
          </cell>
          <cell r="B1640" t="str">
            <v>ja</v>
          </cell>
          <cell r="C1640" t="str">
            <v>バッドばつ丸</v>
          </cell>
          <cell r="D1640" t="str">
            <v>バッドばつ丸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attack</v>
          </cell>
          <cell r="L1640" t="str">
            <v>攻撃タイプ</v>
          </cell>
          <cell r="M1640" t="str">
            <v>ss</v>
          </cell>
        </row>
        <row r="1641">
          <cell r="A1641">
            <v>8069</v>
          </cell>
          <cell r="B1641" t="str">
            <v>ja</v>
          </cell>
          <cell r="C1641" t="str">
            <v>シナモロール</v>
          </cell>
          <cell r="D1641" t="str">
            <v>シナモロール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4</v>
          </cell>
          <cell r="J1641" t="str">
            <v>PremiumS</v>
          </cell>
          <cell r="K1641" t="str">
            <v>heal</v>
          </cell>
          <cell r="L1641" t="str">
            <v>回復タイプ</v>
          </cell>
          <cell r="M1641" t="str">
            <v>ss</v>
          </cell>
        </row>
        <row r="1642">
          <cell r="A1642">
            <v>8070</v>
          </cell>
          <cell r="B1642" t="str">
            <v>ja</v>
          </cell>
          <cell r="C1642" t="str">
            <v>シナモロール</v>
          </cell>
          <cell r="D1642" t="str">
            <v>シナモロール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5</v>
          </cell>
          <cell r="J1642" t="str">
            <v>PremiumS</v>
          </cell>
          <cell r="K1642" t="str">
            <v>heal</v>
          </cell>
          <cell r="L1642" t="str">
            <v>回復タイプ</v>
          </cell>
          <cell r="M1642" t="str">
            <v>ss</v>
          </cell>
        </row>
        <row r="1643">
          <cell r="A1643">
            <v>8071</v>
          </cell>
          <cell r="B1643" t="str">
            <v>ja</v>
          </cell>
          <cell r="C1643" t="str">
            <v>ポムポムプリン</v>
          </cell>
          <cell r="D1643" t="str">
            <v>ポムポムプリン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yellow</v>
          </cell>
          <cell r="I1643">
            <v>3</v>
          </cell>
          <cell r="J1643" t="str">
            <v>PremiumS</v>
          </cell>
          <cell r="K1643" t="str">
            <v>hp</v>
          </cell>
          <cell r="L1643" t="str">
            <v>体力タイプ</v>
          </cell>
          <cell r="M1643" t="str">
            <v>ss</v>
          </cell>
        </row>
        <row r="1644">
          <cell r="A1644">
            <v>8072</v>
          </cell>
          <cell r="B1644" t="str">
            <v>ja</v>
          </cell>
          <cell r="C1644" t="str">
            <v>ポムポムプリン</v>
          </cell>
          <cell r="D1644" t="str">
            <v>ポムポムプリン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yellow</v>
          </cell>
          <cell r="I1644">
            <v>4</v>
          </cell>
          <cell r="J1644" t="str">
            <v>PremiumS</v>
          </cell>
          <cell r="K1644" t="str">
            <v>hp</v>
          </cell>
          <cell r="L1644" t="str">
            <v>体力タイプ</v>
          </cell>
          <cell r="M1644" t="str">
            <v>ss</v>
          </cell>
        </row>
        <row r="1645">
          <cell r="A1645">
            <v>8073</v>
          </cell>
          <cell r="B1645" t="str">
            <v>ja</v>
          </cell>
          <cell r="C1645" t="str">
            <v>星海祈る天光妃 媽祖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yellow</v>
          </cell>
          <cell r="I1645">
            <v>6</v>
          </cell>
          <cell r="J1645" t="str">
            <v>PremiumSS</v>
          </cell>
          <cell r="K1645" t="str">
            <v>attack</v>
          </cell>
          <cell r="L1645" t="str">
            <v>攻撃タイプ</v>
          </cell>
          <cell r="M1645" t="str">
            <v>human</v>
          </cell>
        </row>
        <row r="1646">
          <cell r="A1646">
            <v>8074</v>
          </cell>
          <cell r="B1646" t="str">
            <v>ja</v>
          </cell>
          <cell r="C1646" t="str">
            <v>海戀の絶龍姫 蛟龍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blue</v>
          </cell>
          <cell r="I1646">
            <v>6</v>
          </cell>
          <cell r="J1646" t="str">
            <v>DropWizS</v>
          </cell>
          <cell r="K1646" t="str">
            <v>hp</v>
          </cell>
          <cell r="L1646" t="str">
            <v>体力タイプ</v>
          </cell>
          <cell r="M1646" t="str">
            <v>dragon</v>
          </cell>
        </row>
        <row r="1647">
          <cell r="A1647">
            <v>8075</v>
          </cell>
          <cell r="B1647" t="str">
            <v>ja</v>
          </cell>
          <cell r="C1647" t="str">
            <v>三蔵法師_超覚醒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blue</v>
          </cell>
          <cell r="I1647">
            <v>6</v>
          </cell>
          <cell r="J1647" t="str">
            <v>PremiumSS</v>
          </cell>
          <cell r="K1647" t="str">
            <v>balance</v>
          </cell>
          <cell r="L1647" t="str">
            <v>バランスタイプ</v>
          </cell>
          <cell r="M1647" t="str">
            <v>god</v>
          </cell>
        </row>
        <row r="1648">
          <cell r="A1648">
            <v>8076</v>
          </cell>
          <cell r="B1648" t="str">
            <v>ja</v>
          </cell>
          <cell r="C1648" t="str">
            <v>孫悟空_超覚醒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unknown</v>
          </cell>
        </row>
        <row r="1649">
          <cell r="A1649">
            <v>8077</v>
          </cell>
          <cell r="B1649" t="str">
            <v>ja</v>
          </cell>
          <cell r="C1649" t="str">
            <v>鄭成功</v>
          </cell>
          <cell r="D1649" t="str">
            <v>ポムポムプリン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human</v>
          </cell>
        </row>
        <row r="1650">
          <cell r="A1650">
            <v>8078</v>
          </cell>
          <cell r="B1650" t="str">
            <v>ja</v>
          </cell>
          <cell r="C1650" t="str">
            <v>レア６鄭成功</v>
          </cell>
          <cell r="D1650" t="str">
            <v>ポムポムプリン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8079</v>
          </cell>
          <cell r="B1651" t="str">
            <v>ja</v>
          </cell>
          <cell r="C1651" t="str">
            <v>赤鬼</v>
          </cell>
          <cell r="D1651" t="str">
            <v>ポムポムプリン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5</v>
          </cell>
          <cell r="J1651" t="str">
            <v>DropWizS</v>
          </cell>
          <cell r="K1651" t="str">
            <v>hp</v>
          </cell>
          <cell r="L1651" t="str">
            <v>体力タイプ</v>
          </cell>
          <cell r="M1651" t="str">
            <v>dragon</v>
          </cell>
        </row>
        <row r="1652">
          <cell r="A1652">
            <v>8080</v>
          </cell>
          <cell r="B1652" t="str">
            <v>ja</v>
          </cell>
          <cell r="C1652" t="str">
            <v>レア６赤鬼</v>
          </cell>
          <cell r="D1652" t="str">
            <v>ポムポムプリン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6</v>
          </cell>
          <cell r="J1652" t="str">
            <v>DropWizS</v>
          </cell>
          <cell r="K1652" t="str">
            <v>hp</v>
          </cell>
          <cell r="L1652" t="str">
            <v>体力タイプ</v>
          </cell>
          <cell r="M1652" t="str">
            <v>dragon</v>
          </cell>
        </row>
        <row r="1653">
          <cell r="A1653">
            <v>8081</v>
          </cell>
          <cell r="B1653" t="str">
            <v>ja</v>
          </cell>
          <cell r="C1653" t="str">
            <v>関羽</v>
          </cell>
          <cell r="H1653" t="str">
            <v>green</v>
          </cell>
          <cell r="I1653">
            <v>5</v>
          </cell>
          <cell r="J1653" t="str">
            <v>PremiumSSS</v>
          </cell>
          <cell r="K1653" t="str">
            <v>balance</v>
          </cell>
          <cell r="L1653" t="str">
            <v>バランスタイプ</v>
          </cell>
          <cell r="M1653" t="str">
            <v>samurai</v>
          </cell>
        </row>
        <row r="1654">
          <cell r="A1654">
            <v>8082</v>
          </cell>
          <cell r="B1654" t="str">
            <v>ja</v>
          </cell>
          <cell r="C1654" t="str">
            <v>★６関羽</v>
          </cell>
          <cell r="H1654" t="str">
            <v>green</v>
          </cell>
          <cell r="I1654">
            <v>6</v>
          </cell>
          <cell r="J1654" t="str">
            <v>PremiumSSS</v>
          </cell>
          <cell r="K1654" t="str">
            <v>balance</v>
          </cell>
          <cell r="L1654" t="str">
            <v>バランスタイプ</v>
          </cell>
          <cell r="M1654" t="str">
            <v>samurai</v>
          </cell>
        </row>
        <row r="1655">
          <cell r="A1655">
            <v>8083</v>
          </cell>
          <cell r="B1655" t="str">
            <v>ja</v>
          </cell>
          <cell r="C1655" t="str">
            <v>曹操</v>
          </cell>
          <cell r="H1655" t="str">
            <v>yellow</v>
          </cell>
          <cell r="I1655">
            <v>5</v>
          </cell>
          <cell r="J1655" t="str">
            <v>DropWizSS</v>
          </cell>
          <cell r="K1655" t="str">
            <v>technical</v>
          </cell>
          <cell r="L1655" t="str">
            <v>テクニカルタイプ</v>
          </cell>
          <cell r="M1655" t="str">
            <v>samurai</v>
          </cell>
        </row>
        <row r="1656">
          <cell r="A1656">
            <v>8084</v>
          </cell>
          <cell r="B1656" t="str">
            <v>ja</v>
          </cell>
          <cell r="C1656" t="str">
            <v>★６曹操</v>
          </cell>
          <cell r="H1656" t="str">
            <v>yellow</v>
          </cell>
          <cell r="I1656">
            <v>6</v>
          </cell>
          <cell r="J1656" t="str">
            <v>DropWizSS</v>
          </cell>
          <cell r="K1656" t="str">
            <v>technical</v>
          </cell>
          <cell r="L1656" t="str">
            <v>テクニカルタイプ</v>
          </cell>
          <cell r="M1656" t="str">
            <v>samurai</v>
          </cell>
        </row>
        <row r="1657">
          <cell r="A1657">
            <v>8085</v>
          </cell>
          <cell r="B1657" t="str">
            <v>ja</v>
          </cell>
          <cell r="C1657" t="str">
            <v>西王娘娘_超覚醒</v>
          </cell>
          <cell r="H1657" t="str">
            <v>yellow</v>
          </cell>
          <cell r="I1657">
            <v>6</v>
          </cell>
          <cell r="J1657" t="str">
            <v>PremiumSS</v>
          </cell>
          <cell r="K1657" t="str">
            <v>attack</v>
          </cell>
          <cell r="L1657" t="str">
            <v>攻撃タイプ</v>
          </cell>
          <cell r="M1657" t="str">
            <v>god</v>
          </cell>
        </row>
        <row r="1658">
          <cell r="A1658">
            <v>8086</v>
          </cell>
          <cell r="B1658" t="str">
            <v>ja</v>
          </cell>
          <cell r="C1658" t="str">
            <v>月下老人_超覚醒</v>
          </cell>
          <cell r="H1658" t="str">
            <v>yellow</v>
          </cell>
          <cell r="I1658">
            <v>6</v>
          </cell>
          <cell r="J1658" t="str">
            <v>DropWizS</v>
          </cell>
          <cell r="K1658" t="str">
            <v>attack</v>
          </cell>
          <cell r="L1658" t="str">
            <v>攻撃タイプ</v>
          </cell>
          <cell r="M1658" t="str">
            <v>god</v>
          </cell>
        </row>
        <row r="1659">
          <cell r="A1659">
            <v>8087</v>
          </cell>
          <cell r="B1659" t="str">
            <v>ja</v>
          </cell>
          <cell r="C1659" t="str">
            <v>財神</v>
          </cell>
          <cell r="H1659" t="str">
            <v>red</v>
          </cell>
          <cell r="I1659">
            <v>5</v>
          </cell>
          <cell r="J1659" t="str">
            <v>PremiumSSS</v>
          </cell>
          <cell r="K1659" t="str">
            <v>technical</v>
          </cell>
          <cell r="L1659" t="str">
            <v>テクニカルタイプ</v>
          </cell>
          <cell r="M1659" t="str">
            <v>god</v>
          </cell>
        </row>
        <row r="1660">
          <cell r="A1660">
            <v>8088</v>
          </cell>
          <cell r="B1660" t="str">
            <v>ja</v>
          </cell>
          <cell r="C1660" t="str">
            <v>★６財神</v>
          </cell>
          <cell r="H1660" t="str">
            <v>red</v>
          </cell>
          <cell r="I1660">
            <v>6</v>
          </cell>
          <cell r="J1660" t="str">
            <v>PremiumSSS</v>
          </cell>
          <cell r="K1660" t="str">
            <v>technical</v>
          </cell>
          <cell r="L1660" t="str">
            <v>テクニカルタイプ</v>
          </cell>
          <cell r="M1660" t="str">
            <v>god</v>
          </cell>
        </row>
        <row r="1661">
          <cell r="A1661">
            <v>8089</v>
          </cell>
          <cell r="B1661" t="str">
            <v>ja</v>
          </cell>
          <cell r="C1661" t="str">
            <v>年獣</v>
          </cell>
          <cell r="H1661" t="str">
            <v>green</v>
          </cell>
          <cell r="I1661">
            <v>5</v>
          </cell>
          <cell r="J1661" t="str">
            <v>DropWizS</v>
          </cell>
          <cell r="K1661" t="str">
            <v>attack</v>
          </cell>
          <cell r="L1661" t="str">
            <v>攻撃タイプ</v>
          </cell>
          <cell r="M1661" t="str">
            <v>animal</v>
          </cell>
        </row>
        <row r="1662">
          <cell r="A1662">
            <v>8090</v>
          </cell>
          <cell r="B1662" t="str">
            <v>ja</v>
          </cell>
          <cell r="C1662" t="str">
            <v>★６年獣</v>
          </cell>
          <cell r="H1662" t="str">
            <v>green</v>
          </cell>
          <cell r="I1662">
            <v>6</v>
          </cell>
          <cell r="J1662" t="str">
            <v>DropWizS</v>
          </cell>
          <cell r="K1662" t="str">
            <v>attack</v>
          </cell>
          <cell r="L1662" t="str">
            <v>攻撃タイプ</v>
          </cell>
          <cell r="M1662" t="str">
            <v>animal</v>
          </cell>
        </row>
        <row r="1663">
          <cell r="A1663">
            <v>8095</v>
          </cell>
          <cell r="B1663" t="str">
            <v>ja</v>
          </cell>
          <cell r="C1663" t="str">
            <v>バハムートダック赤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6</v>
          </cell>
          <cell r="J1663" t="str">
            <v>Material</v>
          </cell>
          <cell r="K1663" t="str">
            <v>exp</v>
          </cell>
          <cell r="L1663" t="str">
            <v>強化素材タイプ</v>
          </cell>
          <cell r="M1663" t="str">
            <v>unknown</v>
          </cell>
        </row>
        <row r="1664">
          <cell r="A1664">
            <v>8096</v>
          </cell>
          <cell r="B1664" t="str">
            <v>ja</v>
          </cell>
          <cell r="C1664" t="str">
            <v>バハムートダック緑</v>
          </cell>
          <cell r="D1664" t="str">
            <v>ポムポムプリン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green</v>
          </cell>
          <cell r="I1664">
            <v>6</v>
          </cell>
          <cell r="J1664" t="str">
            <v>Material</v>
          </cell>
          <cell r="K1664" t="str">
            <v>exp</v>
          </cell>
          <cell r="L1664" t="str">
            <v>強化素材タイプ</v>
          </cell>
          <cell r="M1664" t="str">
            <v>unknown</v>
          </cell>
        </row>
        <row r="1665">
          <cell r="A1665">
            <v>8097</v>
          </cell>
          <cell r="B1665" t="str">
            <v>ja</v>
          </cell>
          <cell r="C1665" t="str">
            <v>バハムートダック青</v>
          </cell>
          <cell r="D1665" t="str">
            <v>ポムポムプリン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Material</v>
          </cell>
          <cell r="K1665" t="str">
            <v>exp</v>
          </cell>
          <cell r="L1665" t="str">
            <v>強化素材タイプ</v>
          </cell>
          <cell r="M1665" t="str">
            <v>unknown</v>
          </cell>
        </row>
        <row r="1666">
          <cell r="A1666">
            <v>8098</v>
          </cell>
          <cell r="B1666" t="str">
            <v>ja</v>
          </cell>
          <cell r="C1666" t="str">
            <v>バハムートダック黄</v>
          </cell>
          <cell r="D1666" t="str">
            <v>ポムポムプリン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yellow</v>
          </cell>
          <cell r="I1666">
            <v>6</v>
          </cell>
          <cell r="J1666" t="str">
            <v>Material</v>
          </cell>
          <cell r="K1666" t="str">
            <v>exp</v>
          </cell>
          <cell r="L1666" t="str">
            <v>強化素材タイプ</v>
          </cell>
          <cell r="M1666" t="str">
            <v>unknown</v>
          </cell>
        </row>
        <row r="1667">
          <cell r="A1667">
            <v>8099</v>
          </cell>
          <cell r="B1667" t="str">
            <v>ja</v>
          </cell>
          <cell r="C1667" t="str">
            <v>韓湘子</v>
          </cell>
          <cell r="D1667" t="str">
            <v>ポムポムプリン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green</v>
          </cell>
          <cell r="I1667">
            <v>5</v>
          </cell>
          <cell r="J1667" t="str">
            <v>PremiumSSw</v>
          </cell>
          <cell r="K1667" t="str">
            <v>balance</v>
          </cell>
          <cell r="L1667" t="str">
            <v>バランスタイプ</v>
          </cell>
          <cell r="M1667" t="str">
            <v>god</v>
          </cell>
        </row>
        <row r="1668">
          <cell r="A1668">
            <v>8100</v>
          </cell>
          <cell r="B1668" t="str">
            <v>ja</v>
          </cell>
          <cell r="C1668" t="str">
            <v>韓湘子★６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green</v>
          </cell>
          <cell r="I1668">
            <v>6</v>
          </cell>
          <cell r="J1668" t="str">
            <v>PremiumSSw</v>
          </cell>
          <cell r="K1668" t="str">
            <v>balance</v>
          </cell>
          <cell r="L1668" t="str">
            <v>バランスタイプ</v>
          </cell>
          <cell r="M1668" t="str">
            <v>god</v>
          </cell>
        </row>
        <row r="1669">
          <cell r="A1669">
            <v>8101</v>
          </cell>
          <cell r="B1669" t="str">
            <v>ja</v>
          </cell>
          <cell r="C1669" t="str">
            <v>張果老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yellow</v>
          </cell>
          <cell r="I1669">
            <v>5</v>
          </cell>
          <cell r="J1669" t="str">
            <v>DropWizS</v>
          </cell>
          <cell r="K1669" t="str">
            <v>attack</v>
          </cell>
          <cell r="L1669" t="str">
            <v>攻撃タイプ</v>
          </cell>
          <cell r="M1669" t="str">
            <v>god</v>
          </cell>
        </row>
        <row r="1670">
          <cell r="A1670">
            <v>8102</v>
          </cell>
          <cell r="B1670" t="str">
            <v>ja</v>
          </cell>
          <cell r="C1670" t="str">
            <v>張果老★６</v>
          </cell>
          <cell r="D1670" t="str">
            <v>各属性相性良3・黄・R455</v>
          </cell>
          <cell r="E1670" t="str">
            <v>執行者</v>
          </cell>
          <cell r="F1670" t="str">
            <v>格好いい</v>
          </cell>
          <cell r="G1670" t="str">
            <v>男性</v>
          </cell>
          <cell r="H1670" t="str">
            <v>yellow</v>
          </cell>
          <cell r="I1670">
            <v>6</v>
          </cell>
          <cell r="J1670" t="str">
            <v>DropWizS</v>
          </cell>
          <cell r="K1670" t="str">
            <v>attack</v>
          </cell>
          <cell r="L1670" t="str">
            <v>攻撃タイプ</v>
          </cell>
          <cell r="M1670" t="str">
            <v>god</v>
          </cell>
        </row>
        <row r="1671">
          <cell r="A1671">
            <v>8103</v>
          </cell>
          <cell r="B1671" t="str">
            <v>ja</v>
          </cell>
          <cell r="C1671" t="str">
            <v>李鐵拐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PremiumSSw</v>
          </cell>
          <cell r="K1671" t="str">
            <v>technical</v>
          </cell>
          <cell r="L1671" t="str">
            <v>テクニカルタイプ</v>
          </cell>
          <cell r="M1671" t="str">
            <v>god</v>
          </cell>
        </row>
        <row r="1672">
          <cell r="A1672">
            <v>8104</v>
          </cell>
          <cell r="B1672" t="str">
            <v>ja</v>
          </cell>
          <cell r="C1672" t="str">
            <v>李鐵拐★６</v>
          </cell>
          <cell r="D1672" t="str">
            <v>各属性相性良3・黄・R455</v>
          </cell>
          <cell r="E1672" t="str">
            <v>執行者</v>
          </cell>
          <cell r="F1672" t="str">
            <v>格好いい</v>
          </cell>
          <cell r="G1672" t="str">
            <v>男性</v>
          </cell>
          <cell r="H1672" t="str">
            <v>red</v>
          </cell>
          <cell r="I1672">
            <v>6</v>
          </cell>
          <cell r="J1672" t="str">
            <v>PremiumSSw</v>
          </cell>
          <cell r="K1672" t="str">
            <v>technical</v>
          </cell>
          <cell r="L1672" t="str">
            <v>テクニカルタイプ</v>
          </cell>
          <cell r="M1672" t="str">
            <v>god</v>
          </cell>
        </row>
        <row r="1673">
          <cell r="A1673">
            <v>8105</v>
          </cell>
          <cell r="B1673" t="str">
            <v>ja</v>
          </cell>
          <cell r="C1673" t="str">
            <v>曹國舅</v>
          </cell>
          <cell r="D1673" t="str">
            <v>ポムポムプリン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hp</v>
          </cell>
          <cell r="L1673" t="str">
            <v>体力タイプ</v>
          </cell>
          <cell r="M1673" t="str">
            <v>god</v>
          </cell>
        </row>
        <row r="1674">
          <cell r="A1674">
            <v>8106</v>
          </cell>
          <cell r="B1674" t="str">
            <v>ja</v>
          </cell>
          <cell r="C1674" t="str">
            <v>曹國舅★６</v>
          </cell>
          <cell r="D1674" t="str">
            <v>各属性相性良3・黄・R455</v>
          </cell>
          <cell r="E1674" t="str">
            <v>執行者</v>
          </cell>
          <cell r="F1674" t="str">
            <v>格好いい</v>
          </cell>
          <cell r="G1674" t="str">
            <v>男性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hp</v>
          </cell>
          <cell r="L1674" t="str">
            <v>体力タイプ</v>
          </cell>
          <cell r="M1674" t="str">
            <v>god</v>
          </cell>
        </row>
        <row r="1675">
          <cell r="A1675">
            <v>9001</v>
          </cell>
          <cell r="B1675" t="str">
            <v>ja</v>
          </cell>
          <cell r="C1675" t="str">
            <v>春香</v>
          </cell>
          <cell r="D1675" t="str">
            <v>ポムポムプリン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red</v>
          </cell>
          <cell r="I1675">
            <v>5</v>
          </cell>
          <cell r="J1675" t="str">
            <v>PremiumSSw</v>
          </cell>
          <cell r="K1675" t="str">
            <v>attack</v>
          </cell>
          <cell r="L1675" t="str">
            <v>攻撃タイプ</v>
          </cell>
          <cell r="M1675" t="str">
            <v>human</v>
          </cell>
        </row>
        <row r="1676">
          <cell r="A1676">
            <v>9002</v>
          </cell>
          <cell r="B1676" t="str">
            <v>ja</v>
          </cell>
          <cell r="C1676" t="str">
            <v>春香★６</v>
          </cell>
          <cell r="D1676" t="str">
            <v>ポムポムプリン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red</v>
          </cell>
          <cell r="I1676">
            <v>6</v>
          </cell>
          <cell r="J1676" t="str">
            <v>PremiumSSw</v>
          </cell>
          <cell r="K1676" t="str">
            <v>attack</v>
          </cell>
          <cell r="L1676" t="str">
            <v>攻撃タイプ</v>
          </cell>
          <cell r="M1676" t="str">
            <v>human</v>
          </cell>
        </row>
        <row r="1677">
          <cell r="A1677">
            <v>9003</v>
          </cell>
          <cell r="B1677" t="str">
            <v>ja</v>
          </cell>
          <cell r="C1677" t="str">
            <v>夢龍</v>
          </cell>
          <cell r="D1677" t="str">
            <v>ポムポムプリン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green</v>
          </cell>
          <cell r="I1677">
            <v>5</v>
          </cell>
          <cell r="J1677" t="str">
            <v>DropWizS</v>
          </cell>
          <cell r="K1677" t="str">
            <v>heal</v>
          </cell>
          <cell r="L1677" t="str">
            <v>回復タイプ</v>
          </cell>
          <cell r="M1677" t="str">
            <v>dragon</v>
          </cell>
        </row>
        <row r="1678">
          <cell r="A1678">
            <v>9004</v>
          </cell>
          <cell r="B1678" t="str">
            <v>ja</v>
          </cell>
          <cell r="C1678" t="str">
            <v>夢龍★６</v>
          </cell>
          <cell r="D1678" t="str">
            <v>各属性相性良3・黄・R455</v>
          </cell>
          <cell r="E1678" t="str">
            <v>執行者</v>
          </cell>
          <cell r="F1678" t="str">
            <v>格好いい</v>
          </cell>
          <cell r="G1678" t="str">
            <v>男性</v>
          </cell>
          <cell r="H1678" t="str">
            <v>green</v>
          </cell>
          <cell r="I1678">
            <v>6</v>
          </cell>
          <cell r="J1678" t="str">
            <v>DropWizS</v>
          </cell>
          <cell r="K1678" t="str">
            <v>heal</v>
          </cell>
          <cell r="L1678" t="str">
            <v>回復タイプ</v>
          </cell>
          <cell r="M1678" t="str">
            <v>dragon</v>
          </cell>
        </row>
        <row r="1679">
          <cell r="A1679">
            <v>9005</v>
          </cell>
          <cell r="B1679" t="str">
            <v>ja</v>
          </cell>
          <cell r="C1679" t="str">
            <v>降臨</v>
          </cell>
          <cell r="D1679" t="str">
            <v>ポムポムプリン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demon</v>
          </cell>
        </row>
        <row r="1680">
          <cell r="A1680">
            <v>9006</v>
          </cell>
          <cell r="B1680" t="str">
            <v>ja</v>
          </cell>
          <cell r="C1680" t="str">
            <v>降臨★６</v>
          </cell>
          <cell r="D1680" t="str">
            <v>ポムポムプリン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demon</v>
          </cell>
        </row>
        <row r="1681">
          <cell r="A1681">
            <v>9007</v>
          </cell>
          <cell r="B1681" t="str">
            <v>ja</v>
          </cell>
          <cell r="C1681" t="str">
            <v>田禹治</v>
          </cell>
          <cell r="D1681" t="str">
            <v>ポムポムプリン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red</v>
          </cell>
          <cell r="I1681">
            <v>5</v>
          </cell>
          <cell r="J1681" t="str">
            <v>DropWizS</v>
          </cell>
          <cell r="K1681" t="str">
            <v>technical</v>
          </cell>
          <cell r="L1681" t="str">
            <v>テクニカルタイプ</v>
          </cell>
          <cell r="M1681" t="str">
            <v>hero</v>
          </cell>
        </row>
        <row r="1682">
          <cell r="A1682">
            <v>9008</v>
          </cell>
          <cell r="B1682" t="str">
            <v>ja</v>
          </cell>
          <cell r="C1682" t="str">
            <v>田禹治★６</v>
          </cell>
          <cell r="D1682" t="str">
            <v>各属性相性良3・黄・R455</v>
          </cell>
          <cell r="E1682" t="str">
            <v>執行者</v>
          </cell>
          <cell r="F1682" t="str">
            <v>格好いい</v>
          </cell>
          <cell r="G1682" t="str">
            <v>男性</v>
          </cell>
          <cell r="H1682" t="str">
            <v>red</v>
          </cell>
          <cell r="I1682">
            <v>6</v>
          </cell>
          <cell r="J1682" t="str">
            <v>DropWizS</v>
          </cell>
          <cell r="K1682" t="str">
            <v>technical</v>
          </cell>
          <cell r="L1682" t="str">
            <v>テクニカルタイプ</v>
          </cell>
          <cell r="M1682" t="str">
            <v>hero</v>
          </cell>
        </row>
        <row r="1683">
          <cell r="A1683">
            <v>10001</v>
          </cell>
          <cell r="B1683" t="str">
            <v>ja</v>
          </cell>
          <cell r="C1683" t="str">
            <v>テストユニット01</v>
          </cell>
          <cell r="H1683" t="str">
            <v>yellow</v>
          </cell>
          <cell r="I1683">
            <v>6</v>
          </cell>
          <cell r="J1683" t="str">
            <v>DropWizS</v>
          </cell>
          <cell r="K1683" t="str">
            <v>heal</v>
          </cell>
          <cell r="L1683" t="str">
            <v>回復タイプ</v>
          </cell>
          <cell r="M1683" t="str">
            <v>human</v>
          </cell>
        </row>
        <row r="1684">
          <cell r="A1684">
            <v>10002</v>
          </cell>
          <cell r="B1684" t="str">
            <v>ja</v>
          </cell>
          <cell r="C1684" t="str">
            <v>テストユニット02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technical</v>
          </cell>
          <cell r="L1684" t="str">
            <v>テクニカルタイプ</v>
          </cell>
          <cell r="M1684" t="str">
            <v>animal</v>
          </cell>
        </row>
        <row r="1685">
          <cell r="A1685">
            <v>10003</v>
          </cell>
          <cell r="B1685" t="str">
            <v>ja</v>
          </cell>
          <cell r="C1685" t="str">
            <v>テストユニット03</v>
          </cell>
          <cell r="H1685" t="str">
            <v>red</v>
          </cell>
          <cell r="I1685">
            <v>5</v>
          </cell>
          <cell r="J1685" t="str">
            <v>PremiumSSS</v>
          </cell>
          <cell r="K1685" t="str">
            <v>technical</v>
          </cell>
          <cell r="L1685" t="str">
            <v>テクニカルタイプ</v>
          </cell>
          <cell r="M1685" t="str">
            <v>academia</v>
          </cell>
        </row>
        <row r="1686">
          <cell r="A1686">
            <v>10004</v>
          </cell>
          <cell r="B1686" t="str">
            <v>ja</v>
          </cell>
          <cell r="C1686" t="str">
            <v>テストユニット04</v>
          </cell>
          <cell r="H1686" t="str">
            <v>red</v>
          </cell>
          <cell r="I1686">
            <v>6</v>
          </cell>
          <cell r="J1686" t="str">
            <v>PremiumSSS</v>
          </cell>
          <cell r="K1686" t="str">
            <v>technical</v>
          </cell>
          <cell r="L1686" t="str">
            <v>テクニカルタイプ</v>
          </cell>
          <cell r="M1686" t="str">
            <v>academia</v>
          </cell>
        </row>
        <row r="1687">
          <cell r="A1687">
            <v>10005</v>
          </cell>
          <cell r="B1687" t="str">
            <v>ja</v>
          </cell>
          <cell r="C1687" t="str">
            <v>テストユニット05</v>
          </cell>
          <cell r="H1687" t="str">
            <v>yellow</v>
          </cell>
          <cell r="I1687">
            <v>6</v>
          </cell>
          <cell r="J1687" t="str">
            <v>PremiumSS</v>
          </cell>
          <cell r="K1687" t="str">
            <v>technical</v>
          </cell>
          <cell r="L1687" t="str">
            <v>テクニカルタイプ</v>
          </cell>
          <cell r="M1687" t="str">
            <v>human</v>
          </cell>
        </row>
        <row r="1688">
          <cell r="A1688">
            <v>10006</v>
          </cell>
          <cell r="B1688" t="str">
            <v>ja</v>
          </cell>
          <cell r="C1688" t="str">
            <v>テストユニット06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attack</v>
          </cell>
          <cell r="L1688" t="str">
            <v>攻撃タイプ</v>
          </cell>
          <cell r="M1688" t="str">
            <v>animal</v>
          </cell>
        </row>
        <row r="1689">
          <cell r="A1689">
            <v>10007</v>
          </cell>
          <cell r="B1689" t="str">
            <v>ja</v>
          </cell>
          <cell r="C1689" t="str">
            <v>テストユニット07</v>
          </cell>
          <cell r="H1689" t="str">
            <v>yellow</v>
          </cell>
          <cell r="I1689">
            <v>5</v>
          </cell>
          <cell r="J1689" t="str">
            <v>PremiumSSS</v>
          </cell>
          <cell r="K1689" t="str">
            <v>technical</v>
          </cell>
          <cell r="L1689" t="str">
            <v>テクニカルタイプ</v>
          </cell>
          <cell r="M1689" t="str">
            <v>machine</v>
          </cell>
        </row>
        <row r="1690">
          <cell r="A1690">
            <v>10008</v>
          </cell>
          <cell r="B1690" t="str">
            <v>ja</v>
          </cell>
          <cell r="C1690" t="str">
            <v>テストユニット08</v>
          </cell>
          <cell r="H1690" t="str">
            <v>yellow</v>
          </cell>
          <cell r="I1690">
            <v>6</v>
          </cell>
          <cell r="J1690" t="str">
            <v>PremiumSSS</v>
          </cell>
          <cell r="K1690" t="str">
            <v>technical</v>
          </cell>
          <cell r="L1690" t="str">
            <v>テクニカルタイプ</v>
          </cell>
          <cell r="M1690" t="str">
            <v>machine</v>
          </cell>
        </row>
        <row r="1691">
          <cell r="A1691">
            <v>10009</v>
          </cell>
          <cell r="B1691" t="str">
            <v>ja</v>
          </cell>
          <cell r="C1691" t="str">
            <v>青テスト01</v>
          </cell>
          <cell r="H1691" t="str">
            <v>blue</v>
          </cell>
          <cell r="I1691">
            <v>6</v>
          </cell>
          <cell r="J1691" t="str">
            <v>DropWizS</v>
          </cell>
          <cell r="K1691" t="str">
            <v>heal</v>
          </cell>
          <cell r="L1691" t="str">
            <v>回復タイプ</v>
          </cell>
          <cell r="M1691" t="str">
            <v>human</v>
          </cell>
        </row>
        <row r="1692">
          <cell r="A1692">
            <v>10010</v>
          </cell>
          <cell r="B1692" t="str">
            <v>ja</v>
          </cell>
          <cell r="C1692" t="str">
            <v>赤テスト01</v>
          </cell>
          <cell r="H1692" t="str">
            <v>red</v>
          </cell>
          <cell r="I1692">
            <v>6</v>
          </cell>
          <cell r="J1692" t="str">
            <v>PremiumSSS</v>
          </cell>
          <cell r="K1692" t="str">
            <v>technical</v>
          </cell>
          <cell r="L1692" t="str">
            <v>テクニカルタイプ</v>
          </cell>
          <cell r="M1692" t="str">
            <v>human</v>
          </cell>
        </row>
        <row r="1693">
          <cell r="A1693">
            <v>10011</v>
          </cell>
          <cell r="B1693" t="str">
            <v>ja</v>
          </cell>
          <cell r="C1693" t="str">
            <v>テストユニット11</v>
          </cell>
          <cell r="H1693" t="str">
            <v>yellow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human</v>
          </cell>
        </row>
        <row r="1694">
          <cell r="A1694">
            <v>10012</v>
          </cell>
          <cell r="B1694" t="str">
            <v>ja</v>
          </cell>
          <cell r="C1694" t="str">
            <v>テストユニット12</v>
          </cell>
          <cell r="H1694" t="str">
            <v>yellow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human</v>
          </cell>
        </row>
        <row r="1695">
          <cell r="A1695">
            <v>10013</v>
          </cell>
          <cell r="B1695" t="str">
            <v>ja</v>
          </cell>
          <cell r="C1695" t="str">
            <v>テストユニット13</v>
          </cell>
          <cell r="H1695" t="str">
            <v>yellow</v>
          </cell>
          <cell r="I1695">
            <v>5</v>
          </cell>
          <cell r="J1695" t="str">
            <v>PremiumSSw</v>
          </cell>
          <cell r="K1695" t="str">
            <v>hp</v>
          </cell>
          <cell r="L1695" t="str">
            <v>体力タイプ</v>
          </cell>
          <cell r="M1695" t="str">
            <v>dragon</v>
          </cell>
        </row>
        <row r="1696">
          <cell r="A1696">
            <v>10014</v>
          </cell>
          <cell r="B1696" t="str">
            <v>ja</v>
          </cell>
          <cell r="C1696" t="str">
            <v>テストユニット14</v>
          </cell>
          <cell r="H1696" t="str">
            <v>yellow</v>
          </cell>
          <cell r="I1696">
            <v>6</v>
          </cell>
          <cell r="J1696" t="str">
            <v>PremiumSSw</v>
          </cell>
          <cell r="K1696" t="str">
            <v>hp</v>
          </cell>
          <cell r="L1696" t="str">
            <v>体力タイプ</v>
          </cell>
          <cell r="M1696" t="str">
            <v>dragon</v>
          </cell>
        </row>
        <row r="1697">
          <cell r="A1697">
            <v>10015</v>
          </cell>
          <cell r="B1697" t="str">
            <v>ja</v>
          </cell>
          <cell r="C1697" t="str">
            <v>テストユニット15</v>
          </cell>
          <cell r="H1697" t="str">
            <v>green</v>
          </cell>
          <cell r="I1697">
            <v>5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human</v>
          </cell>
        </row>
        <row r="1698">
          <cell r="A1698">
            <v>10016</v>
          </cell>
          <cell r="B1698" t="str">
            <v>ja</v>
          </cell>
          <cell r="C1698" t="str">
            <v>テストユニット16</v>
          </cell>
          <cell r="H1698" t="str">
            <v>green</v>
          </cell>
          <cell r="I1698">
            <v>6</v>
          </cell>
          <cell r="J1698" t="str">
            <v>DropWizS</v>
          </cell>
          <cell r="K1698" t="str">
            <v>heal</v>
          </cell>
          <cell r="L1698" t="str">
            <v>回復タイプ</v>
          </cell>
          <cell r="M1698" t="str">
            <v>human</v>
          </cell>
        </row>
        <row r="1699">
          <cell r="A1699">
            <v>10017</v>
          </cell>
          <cell r="B1699" t="str">
            <v>ja</v>
          </cell>
          <cell r="C1699" t="str">
            <v>テストユニット17</v>
          </cell>
          <cell r="H1699" t="str">
            <v>red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10018</v>
          </cell>
          <cell r="B1700" t="str">
            <v>ja</v>
          </cell>
          <cell r="C1700" t="str">
            <v>テストユニット18</v>
          </cell>
          <cell r="H1700" t="str">
            <v>blue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10019</v>
          </cell>
          <cell r="B1701" t="str">
            <v>ja</v>
          </cell>
          <cell r="C1701" t="str">
            <v>テストユニット19</v>
          </cell>
          <cell r="H1701" t="str">
            <v>green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10020</v>
          </cell>
          <cell r="B1702" t="str">
            <v>ja</v>
          </cell>
          <cell r="C1702" t="str">
            <v>テストユニット20</v>
          </cell>
          <cell r="H1702" t="str">
            <v>yellow</v>
          </cell>
          <cell r="I1702">
            <v>6</v>
          </cell>
          <cell r="J1702" t="str">
            <v>PremiumSS</v>
          </cell>
          <cell r="K1702" t="str">
            <v>balance</v>
          </cell>
          <cell r="L1702" t="str">
            <v>バランスタイプ</v>
          </cell>
          <cell r="M1702" t="str">
            <v>unknown</v>
          </cell>
        </row>
        <row r="1703">
          <cell r="A1703">
            <v>10021</v>
          </cell>
          <cell r="B1703" t="str">
            <v>ja</v>
          </cell>
          <cell r="C1703" t="str">
            <v>テストユニット21</v>
          </cell>
          <cell r="H1703" t="str">
            <v>blue</v>
          </cell>
          <cell r="I1703">
            <v>5</v>
          </cell>
          <cell r="J1703" t="str">
            <v>PremiumSSw</v>
          </cell>
          <cell r="K1703" t="str">
            <v>hp</v>
          </cell>
          <cell r="L1703" t="str">
            <v>体力タイプ</v>
          </cell>
          <cell r="M1703" t="str">
            <v>demon</v>
          </cell>
        </row>
        <row r="1704">
          <cell r="A1704">
            <v>10022</v>
          </cell>
          <cell r="B1704" t="str">
            <v>ja</v>
          </cell>
          <cell r="C1704" t="str">
            <v>テストユニット22</v>
          </cell>
          <cell r="H1704" t="str">
            <v>blue</v>
          </cell>
          <cell r="I1704">
            <v>6</v>
          </cell>
          <cell r="J1704" t="str">
            <v>PremiumSSw</v>
          </cell>
          <cell r="K1704" t="str">
            <v>hp</v>
          </cell>
          <cell r="L1704" t="str">
            <v>体力タイプ</v>
          </cell>
          <cell r="M1704" t="str">
            <v>demon</v>
          </cell>
        </row>
        <row r="1705">
          <cell r="A1705">
            <v>10023</v>
          </cell>
          <cell r="B1705" t="str">
            <v>ja</v>
          </cell>
          <cell r="C1705" t="str">
            <v>テストユニット23</v>
          </cell>
          <cell r="H1705" t="str">
            <v>green</v>
          </cell>
          <cell r="I1705">
            <v>5</v>
          </cell>
          <cell r="J1705" t="str">
            <v>PremiumSSw</v>
          </cell>
          <cell r="K1705" t="str">
            <v>heal</v>
          </cell>
          <cell r="L1705" t="str">
            <v>回復タイプ</v>
          </cell>
          <cell r="M1705" t="str">
            <v>dragon</v>
          </cell>
        </row>
        <row r="1706">
          <cell r="A1706">
            <v>10024</v>
          </cell>
          <cell r="B1706" t="str">
            <v>ja</v>
          </cell>
          <cell r="C1706" t="str">
            <v>テストユニット24</v>
          </cell>
          <cell r="H1706" t="str">
            <v>green</v>
          </cell>
          <cell r="I1706">
            <v>6</v>
          </cell>
          <cell r="J1706" t="str">
            <v>PremiumSSw</v>
          </cell>
          <cell r="K1706" t="str">
            <v>heal</v>
          </cell>
          <cell r="L1706" t="str">
            <v>回復タイプ</v>
          </cell>
          <cell r="M1706" t="str">
            <v>dragon</v>
          </cell>
        </row>
        <row r="1707">
          <cell r="A1707">
            <v>10025</v>
          </cell>
          <cell r="B1707" t="str">
            <v>ja</v>
          </cell>
          <cell r="C1707" t="str">
            <v>テストユニット25</v>
          </cell>
          <cell r="H1707" t="str">
            <v>red</v>
          </cell>
          <cell r="I1707">
            <v>5</v>
          </cell>
          <cell r="J1707" t="str">
            <v>PremiumSSw</v>
          </cell>
          <cell r="K1707" t="str">
            <v>hp</v>
          </cell>
          <cell r="L1707" t="str">
            <v>体力タイプ</v>
          </cell>
          <cell r="M1707" t="str">
            <v>dragon</v>
          </cell>
        </row>
        <row r="1708">
          <cell r="A1708">
            <v>10026</v>
          </cell>
          <cell r="B1708" t="str">
            <v>ja</v>
          </cell>
          <cell r="C1708" t="str">
            <v>テストユニット26</v>
          </cell>
          <cell r="H1708" t="str">
            <v>red</v>
          </cell>
          <cell r="I1708">
            <v>6</v>
          </cell>
          <cell r="J1708" t="str">
            <v>PremiumSSw</v>
          </cell>
          <cell r="K1708" t="str">
            <v>hp</v>
          </cell>
          <cell r="L1708" t="str">
            <v>体力タイプ</v>
          </cell>
          <cell r="M1708" t="str">
            <v>dragon</v>
          </cell>
        </row>
        <row r="1709">
          <cell r="A1709">
            <v>10027</v>
          </cell>
          <cell r="B1709" t="str">
            <v>ja</v>
          </cell>
          <cell r="C1709" t="str">
            <v>テストユニット27</v>
          </cell>
          <cell r="H1709" t="str">
            <v>green</v>
          </cell>
          <cell r="I1709">
            <v>6</v>
          </cell>
          <cell r="J1709" t="str">
            <v>PremiumSS</v>
          </cell>
          <cell r="K1709" t="str">
            <v>balance</v>
          </cell>
          <cell r="L1709" t="str">
            <v>バランスタイプ</v>
          </cell>
          <cell r="M1709" t="str">
            <v>unknown</v>
          </cell>
        </row>
        <row r="1710">
          <cell r="A1710">
            <v>10028</v>
          </cell>
          <cell r="B1710" t="str">
            <v>ja</v>
          </cell>
          <cell r="C1710" t="str">
            <v>テストユニット28</v>
          </cell>
          <cell r="H1710" t="str">
            <v>yellow</v>
          </cell>
          <cell r="I1710">
            <v>6</v>
          </cell>
          <cell r="J1710" t="str">
            <v>PremiumSS</v>
          </cell>
          <cell r="K1710" t="str">
            <v>balance</v>
          </cell>
          <cell r="L1710" t="str">
            <v>バランスタイプ</v>
          </cell>
          <cell r="M1710" t="str">
            <v>unknown</v>
          </cell>
        </row>
        <row r="1711">
          <cell r="A1711">
            <v>10029</v>
          </cell>
          <cell r="B1711" t="str">
            <v>ja</v>
          </cell>
          <cell r="C1711" t="str">
            <v>テストユニット29</v>
          </cell>
          <cell r="H1711" t="str">
            <v>red</v>
          </cell>
          <cell r="I1711">
            <v>6</v>
          </cell>
          <cell r="J1711" t="str">
            <v>PremiumSS</v>
          </cell>
          <cell r="K1711" t="str">
            <v>balance</v>
          </cell>
          <cell r="L1711" t="str">
            <v>バランスタイプ</v>
          </cell>
          <cell r="M1711" t="str">
            <v>unknown</v>
          </cell>
        </row>
        <row r="1712">
          <cell r="A1712">
            <v>10030</v>
          </cell>
          <cell r="B1712" t="str">
            <v>ja</v>
          </cell>
          <cell r="C1712" t="str">
            <v>テストユニット30</v>
          </cell>
          <cell r="H1712" t="str">
            <v>blue</v>
          </cell>
          <cell r="I1712">
            <v>6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unknown</v>
          </cell>
        </row>
        <row r="1713">
          <cell r="A1713">
            <v>10031</v>
          </cell>
          <cell r="B1713" t="str">
            <v>ja</v>
          </cell>
          <cell r="C1713" t="str">
            <v>テストユニット31</v>
          </cell>
          <cell r="H1713" t="str">
            <v>green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unknown</v>
          </cell>
        </row>
        <row r="1714">
          <cell r="A1714">
            <v>10032</v>
          </cell>
          <cell r="B1714" t="str">
            <v>ja</v>
          </cell>
          <cell r="C1714" t="str">
            <v>テストユニット32</v>
          </cell>
          <cell r="H1714" t="str">
            <v>yellow</v>
          </cell>
          <cell r="I1714">
            <v>6</v>
          </cell>
          <cell r="J1714" t="str">
            <v>PremiumSS</v>
          </cell>
          <cell r="K1714" t="str">
            <v>balance</v>
          </cell>
          <cell r="L1714" t="str">
            <v>バランスタイプ</v>
          </cell>
          <cell r="M1714" t="str">
            <v>unknown</v>
          </cell>
        </row>
        <row r="1715">
          <cell r="A1715">
            <v>10033</v>
          </cell>
          <cell r="B1715" t="str">
            <v>ja</v>
          </cell>
          <cell r="C1715" t="str">
            <v>テストユニット33</v>
          </cell>
          <cell r="H1715" t="str">
            <v>red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unknown</v>
          </cell>
        </row>
        <row r="1716">
          <cell r="A1716">
            <v>10034</v>
          </cell>
          <cell r="B1716" t="str">
            <v>ja</v>
          </cell>
          <cell r="C1716" t="str">
            <v>テストユニット34</v>
          </cell>
          <cell r="H1716" t="str">
            <v>blue</v>
          </cell>
          <cell r="I1716">
            <v>6</v>
          </cell>
          <cell r="J1716" t="str">
            <v>PremiumSS</v>
          </cell>
          <cell r="K1716" t="str">
            <v>balance</v>
          </cell>
          <cell r="L1716" t="str">
            <v>バランスタイプ</v>
          </cell>
          <cell r="M1716" t="str">
            <v>unknown</v>
          </cell>
        </row>
        <row r="1717">
          <cell r="A1717">
            <v>10035</v>
          </cell>
          <cell r="B1717" t="str">
            <v>ja</v>
          </cell>
          <cell r="C1717" t="str">
            <v>テストユニット35</v>
          </cell>
          <cell r="H1717" t="str">
            <v>green</v>
          </cell>
          <cell r="I1717">
            <v>6</v>
          </cell>
          <cell r="J1717" t="str">
            <v>PremiumSS</v>
          </cell>
          <cell r="K1717" t="str">
            <v>balance</v>
          </cell>
          <cell r="L1717" t="str">
            <v>バランスタイプ</v>
          </cell>
          <cell r="M1717" t="str">
            <v>unknown</v>
          </cell>
        </row>
        <row r="1718">
          <cell r="A1718">
            <v>10036</v>
          </cell>
          <cell r="B1718" t="str">
            <v>ja</v>
          </cell>
          <cell r="C1718" t="str">
            <v>テストユニット36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10037</v>
          </cell>
          <cell r="B1719" t="str">
            <v>ja</v>
          </cell>
          <cell r="C1719" t="str">
            <v>テストユニット37</v>
          </cell>
          <cell r="H1719" t="str">
            <v>red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10038</v>
          </cell>
          <cell r="B1720" t="str">
            <v>ja</v>
          </cell>
          <cell r="C1720" t="str">
            <v>テストユニット38</v>
          </cell>
          <cell r="H1720" t="str">
            <v>blue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10039</v>
          </cell>
          <cell r="B1721" t="str">
            <v>ja</v>
          </cell>
          <cell r="C1721" t="str">
            <v>テストユニット39</v>
          </cell>
          <cell r="H1721" t="str">
            <v>green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10040</v>
          </cell>
          <cell r="B1722" t="str">
            <v>ja</v>
          </cell>
          <cell r="C1722" t="str">
            <v>テストユニット40</v>
          </cell>
          <cell r="H1722" t="str">
            <v>yellow</v>
          </cell>
          <cell r="I1722">
            <v>6</v>
          </cell>
          <cell r="J1722" t="str">
            <v>PremiumSS</v>
          </cell>
          <cell r="K1722" t="str">
            <v>balance</v>
          </cell>
          <cell r="L1722" t="str">
            <v>バランスタイプ</v>
          </cell>
          <cell r="M1722" t="str">
            <v>unknown</v>
          </cell>
        </row>
        <row r="1723">
          <cell r="A1723">
            <v>10041</v>
          </cell>
          <cell r="B1723" t="str">
            <v>ja</v>
          </cell>
          <cell r="C1723" t="str">
            <v>テストユニット41</v>
          </cell>
          <cell r="H1723" t="str">
            <v>red</v>
          </cell>
          <cell r="I1723">
            <v>6</v>
          </cell>
          <cell r="J1723" t="str">
            <v>PremiumSS</v>
          </cell>
          <cell r="K1723" t="str">
            <v>balance</v>
          </cell>
          <cell r="L1723" t="str">
            <v>バランスタイプ</v>
          </cell>
          <cell r="M1723" t="str">
            <v>unknown</v>
          </cell>
        </row>
        <row r="1724">
          <cell r="A1724">
            <v>10042</v>
          </cell>
          <cell r="B1724" t="str">
            <v>ja</v>
          </cell>
          <cell r="C1724" t="str">
            <v>テストユニット42</v>
          </cell>
          <cell r="H1724" t="str">
            <v>blue</v>
          </cell>
          <cell r="I1724">
            <v>6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unknown</v>
          </cell>
        </row>
        <row r="1725">
          <cell r="A1725">
            <v>10043</v>
          </cell>
          <cell r="B1725" t="str">
            <v>ja</v>
          </cell>
          <cell r="C1725" t="str">
            <v>テストユニット43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unknown</v>
          </cell>
        </row>
        <row r="1726">
          <cell r="A1726">
            <v>10044</v>
          </cell>
          <cell r="B1726" t="str">
            <v>ja</v>
          </cell>
          <cell r="C1726" t="str">
            <v>テストユニット44</v>
          </cell>
          <cell r="H1726" t="str">
            <v>yellow</v>
          </cell>
          <cell r="I1726">
            <v>6</v>
          </cell>
          <cell r="J1726" t="str">
            <v>PremiumSS</v>
          </cell>
          <cell r="K1726" t="str">
            <v>balance</v>
          </cell>
          <cell r="L1726" t="str">
            <v>バランスタイプ</v>
          </cell>
          <cell r="M1726" t="str">
            <v>unknown</v>
          </cell>
        </row>
        <row r="1727">
          <cell r="A1727">
            <v>10045</v>
          </cell>
          <cell r="B1727" t="str">
            <v>ja</v>
          </cell>
          <cell r="C1727" t="str">
            <v>テストユニット45</v>
          </cell>
          <cell r="H1727" t="str">
            <v>red</v>
          </cell>
          <cell r="I1727">
            <v>6</v>
          </cell>
          <cell r="J1727" t="str">
            <v>PremiumSS</v>
          </cell>
          <cell r="K1727" t="str">
            <v>balance</v>
          </cell>
          <cell r="L1727" t="str">
            <v>バランスタイプ</v>
          </cell>
          <cell r="M1727" t="str">
            <v>unknown</v>
          </cell>
        </row>
        <row r="1728">
          <cell r="A1728">
            <v>10046</v>
          </cell>
          <cell r="B1728" t="str">
            <v>ja</v>
          </cell>
          <cell r="C1728" t="str">
            <v>テストユニット46</v>
          </cell>
          <cell r="H1728" t="str">
            <v>blue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10047</v>
          </cell>
          <cell r="B1729" t="str">
            <v>ja</v>
          </cell>
          <cell r="C1729" t="str">
            <v>テストユニット47</v>
          </cell>
          <cell r="H1729" t="str">
            <v>green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10048</v>
          </cell>
          <cell r="B1730" t="str">
            <v>ja</v>
          </cell>
          <cell r="C1730" t="str">
            <v>テストユニット48</v>
          </cell>
          <cell r="H1730" t="str">
            <v>yellow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10049</v>
          </cell>
          <cell r="B1731" t="str">
            <v>ja</v>
          </cell>
          <cell r="C1731" t="str">
            <v>テストユニット49</v>
          </cell>
          <cell r="H1731" t="str">
            <v>red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10050</v>
          </cell>
          <cell r="B1732" t="str">
            <v>ja</v>
          </cell>
          <cell r="C1732" t="str">
            <v>テストユニット50</v>
          </cell>
          <cell r="H1732" t="str">
            <v>blue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10051</v>
          </cell>
          <cell r="B1733" t="str">
            <v>ja</v>
          </cell>
          <cell r="C1733" t="str">
            <v>テストユニット51</v>
          </cell>
          <cell r="H1733" t="str">
            <v>green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10052</v>
          </cell>
          <cell r="B1734" t="str">
            <v>ja</v>
          </cell>
          <cell r="C1734" t="str">
            <v>テストユニット52</v>
          </cell>
          <cell r="H1734" t="str">
            <v>yellow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10053</v>
          </cell>
          <cell r="B1735" t="str">
            <v>ja</v>
          </cell>
          <cell r="C1735" t="str">
            <v>テストユニット53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10054</v>
          </cell>
          <cell r="B1736" t="str">
            <v>ja</v>
          </cell>
          <cell r="C1736" t="str">
            <v>テストユニット54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10055</v>
          </cell>
          <cell r="B1737" t="str">
            <v>ja</v>
          </cell>
          <cell r="C1737" t="str">
            <v>テストユニット55</v>
          </cell>
          <cell r="H1737" t="str">
            <v>green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10056</v>
          </cell>
          <cell r="B1738" t="str">
            <v>ja</v>
          </cell>
          <cell r="C1738" t="str">
            <v>テストユニット56</v>
          </cell>
          <cell r="H1738" t="str">
            <v>yellow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10057</v>
          </cell>
          <cell r="B1739" t="str">
            <v>ja</v>
          </cell>
          <cell r="C1739" t="str">
            <v>テストユニット57</v>
          </cell>
          <cell r="H1739" t="str">
            <v>red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10058</v>
          </cell>
          <cell r="B1740" t="str">
            <v>ja</v>
          </cell>
          <cell r="C1740" t="str">
            <v>テストユニット58</v>
          </cell>
          <cell r="H1740" t="str">
            <v>blue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10059</v>
          </cell>
          <cell r="B1741" t="str">
            <v>ja</v>
          </cell>
          <cell r="C1741" t="str">
            <v>テストユニット59</v>
          </cell>
          <cell r="H1741" t="str">
            <v>green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10060</v>
          </cell>
          <cell r="B1742" t="str">
            <v>ja</v>
          </cell>
          <cell r="C1742" t="str">
            <v>テストユニット60</v>
          </cell>
          <cell r="H1742" t="str">
            <v>yellow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10061</v>
          </cell>
          <cell r="B1743" t="str">
            <v>ja</v>
          </cell>
          <cell r="C1743" t="str">
            <v>テストユニット61</v>
          </cell>
          <cell r="H1743" t="str">
            <v>red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10062</v>
          </cell>
          <cell r="B1744" t="str">
            <v>ja</v>
          </cell>
          <cell r="C1744" t="str">
            <v>テストユニット62</v>
          </cell>
          <cell r="H1744" t="str">
            <v>blue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10063</v>
          </cell>
          <cell r="B1745" t="str">
            <v>ja</v>
          </cell>
          <cell r="C1745" t="str">
            <v>テストユニット63</v>
          </cell>
          <cell r="H1745" t="str">
            <v>green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10064</v>
          </cell>
          <cell r="B1746" t="str">
            <v>ja</v>
          </cell>
          <cell r="C1746" t="str">
            <v>テストユニット64</v>
          </cell>
          <cell r="H1746" t="str">
            <v>yellow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10065</v>
          </cell>
          <cell r="B1747" t="str">
            <v>ja</v>
          </cell>
          <cell r="C1747" t="str">
            <v>テストユニット65</v>
          </cell>
          <cell r="H1747" t="str">
            <v>red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10066</v>
          </cell>
          <cell r="B1748" t="str">
            <v>ja</v>
          </cell>
          <cell r="C1748" t="str">
            <v>テストユニット66</v>
          </cell>
          <cell r="H1748" t="str">
            <v>blue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10067</v>
          </cell>
          <cell r="B1749" t="str">
            <v>ja</v>
          </cell>
          <cell r="C1749" t="str">
            <v>テストユニット67</v>
          </cell>
          <cell r="H1749" t="str">
            <v>green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10068</v>
          </cell>
          <cell r="B1750" t="str">
            <v>ja</v>
          </cell>
          <cell r="C1750" t="str">
            <v>テストユニット68</v>
          </cell>
          <cell r="H1750" t="str">
            <v>yellow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10069</v>
          </cell>
          <cell r="B1751" t="str">
            <v>ja</v>
          </cell>
          <cell r="C1751" t="str">
            <v>テストユニット69</v>
          </cell>
          <cell r="H1751" t="str">
            <v>red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10070</v>
          </cell>
          <cell r="B1752" t="str">
            <v>ja</v>
          </cell>
          <cell r="C1752" t="str">
            <v>テストユニット70</v>
          </cell>
          <cell r="H1752" t="str">
            <v>red</v>
          </cell>
          <cell r="I1752">
            <v>6</v>
          </cell>
          <cell r="J1752" t="str">
            <v>PremiumSSS</v>
          </cell>
          <cell r="K1752" t="str">
            <v>balance</v>
          </cell>
          <cell r="L1752" t="str">
            <v>バランスタイプ</v>
          </cell>
          <cell r="M1752" t="str">
            <v>dragon</v>
          </cell>
        </row>
        <row r="1753">
          <cell r="A1753">
            <v>10071</v>
          </cell>
          <cell r="B1753" t="str">
            <v>ja</v>
          </cell>
          <cell r="C1753" t="str">
            <v>テストユニット71</v>
          </cell>
          <cell r="H1753" t="str">
            <v>red</v>
          </cell>
          <cell r="I1753">
            <v>6</v>
          </cell>
          <cell r="J1753" t="str">
            <v>PremiumSSS</v>
          </cell>
          <cell r="K1753" t="str">
            <v>hp</v>
          </cell>
          <cell r="L1753" t="str">
            <v>体力タイプ</v>
          </cell>
          <cell r="M1753" t="str">
            <v>demon</v>
          </cell>
        </row>
        <row r="1754">
          <cell r="A1754">
            <v>10072</v>
          </cell>
          <cell r="B1754" t="str">
            <v>ja</v>
          </cell>
          <cell r="C1754" t="str">
            <v>テストユニット72</v>
          </cell>
          <cell r="H1754" t="str">
            <v>green</v>
          </cell>
          <cell r="I1754">
            <v>6</v>
          </cell>
          <cell r="J1754" t="str">
            <v>PremiumSSS</v>
          </cell>
          <cell r="K1754" t="str">
            <v>heal</v>
          </cell>
          <cell r="L1754" t="str">
            <v>回復タイプ</v>
          </cell>
          <cell r="M1754" t="str">
            <v>unknown</v>
          </cell>
        </row>
        <row r="1755">
          <cell r="A1755">
            <v>10073</v>
          </cell>
          <cell r="B1755" t="str">
            <v>ja</v>
          </cell>
          <cell r="C1755" t="str">
            <v>テストユニット73</v>
          </cell>
          <cell r="H1755" t="str">
            <v>green</v>
          </cell>
          <cell r="I1755">
            <v>6</v>
          </cell>
          <cell r="J1755" t="str">
            <v>PremiumSSS</v>
          </cell>
          <cell r="K1755" t="str">
            <v>attack</v>
          </cell>
          <cell r="L1755" t="str">
            <v>攻撃タイプ</v>
          </cell>
          <cell r="M1755" t="str">
            <v>samurai</v>
          </cell>
        </row>
        <row r="1756">
          <cell r="A1756">
            <v>10074</v>
          </cell>
          <cell r="B1756" t="str">
            <v>ja</v>
          </cell>
          <cell r="C1756" t="str">
            <v>テストユニット74</v>
          </cell>
          <cell r="H1756" t="str">
            <v>blue</v>
          </cell>
          <cell r="I1756">
            <v>6</v>
          </cell>
          <cell r="J1756" t="str">
            <v>PremiumSSS</v>
          </cell>
          <cell r="K1756" t="str">
            <v>balance</v>
          </cell>
          <cell r="L1756" t="str">
            <v>バランスタイプ</v>
          </cell>
          <cell r="M1756" t="str">
            <v>fantasy</v>
          </cell>
        </row>
        <row r="1757">
          <cell r="A1757">
            <v>10075</v>
          </cell>
          <cell r="B1757" t="str">
            <v>ja</v>
          </cell>
          <cell r="C1757" t="str">
            <v>テストユニット75</v>
          </cell>
          <cell r="H1757" t="str">
            <v>blue</v>
          </cell>
          <cell r="I1757">
            <v>6</v>
          </cell>
          <cell r="J1757" t="str">
            <v>PremiumSSS</v>
          </cell>
          <cell r="K1757" t="str">
            <v>balance</v>
          </cell>
          <cell r="L1757" t="str">
            <v>バランスタイプ</v>
          </cell>
          <cell r="M1757" t="str">
            <v>human</v>
          </cell>
        </row>
        <row r="1758">
          <cell r="A1758">
            <v>10076</v>
          </cell>
          <cell r="B1758" t="str">
            <v>ja</v>
          </cell>
          <cell r="C1758" t="str">
            <v>テストユニット76</v>
          </cell>
          <cell r="H1758" t="str">
            <v>blue</v>
          </cell>
          <cell r="I1758">
            <v>6</v>
          </cell>
          <cell r="J1758" t="str">
            <v>PremiumSSS</v>
          </cell>
          <cell r="K1758" t="str">
            <v>hp</v>
          </cell>
          <cell r="L1758" t="str">
            <v>体力タイプ</v>
          </cell>
          <cell r="M1758" t="str">
            <v>weapon</v>
          </cell>
        </row>
        <row r="1759">
          <cell r="A1759">
            <v>10077</v>
          </cell>
          <cell r="B1759" t="str">
            <v>ja</v>
          </cell>
          <cell r="C1759" t="str">
            <v>テストユニット77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heal</v>
          </cell>
          <cell r="L1759" t="str">
            <v>回復タイプ</v>
          </cell>
          <cell r="M1759" t="str">
            <v>queen</v>
          </cell>
        </row>
        <row r="1760">
          <cell r="A1760">
            <v>10078</v>
          </cell>
          <cell r="B1760" t="str">
            <v>ja</v>
          </cell>
          <cell r="C1760" t="str">
            <v>テストユニット78</v>
          </cell>
          <cell r="H1760" t="str">
            <v>yellow</v>
          </cell>
          <cell r="I1760">
            <v>6</v>
          </cell>
          <cell r="J1760" t="str">
            <v>PremiumSSS</v>
          </cell>
          <cell r="K1760" t="str">
            <v>attack</v>
          </cell>
          <cell r="L1760" t="str">
            <v>攻撃タイプ</v>
          </cell>
          <cell r="M1760" t="str">
            <v>academia</v>
          </cell>
        </row>
        <row r="1761">
          <cell r="A1761">
            <v>10079</v>
          </cell>
          <cell r="B1761" t="str">
            <v>ja</v>
          </cell>
          <cell r="C1761" t="str">
            <v>テストユニット79</v>
          </cell>
          <cell r="H1761" t="str">
            <v>yellow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animal</v>
          </cell>
        </row>
        <row r="1762">
          <cell r="A1762">
            <v>10080</v>
          </cell>
          <cell r="B1762" t="str">
            <v>ja</v>
          </cell>
          <cell r="C1762" t="str">
            <v>テストユニット80</v>
          </cell>
          <cell r="H1762" t="str">
            <v>yellow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10081</v>
          </cell>
          <cell r="B1763" t="str">
            <v>ja</v>
          </cell>
          <cell r="C1763" t="str">
            <v>テストユニット81</v>
          </cell>
          <cell r="H1763" t="str">
            <v>red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10082</v>
          </cell>
          <cell r="B1764" t="str">
            <v>ja</v>
          </cell>
          <cell r="C1764" t="str">
            <v>テストユニット82</v>
          </cell>
          <cell r="H1764" t="str">
            <v>blue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10083</v>
          </cell>
          <cell r="B1765" t="str">
            <v>ja</v>
          </cell>
          <cell r="C1765" t="str">
            <v>テストユニット83</v>
          </cell>
          <cell r="H1765" t="str">
            <v>green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10084</v>
          </cell>
          <cell r="B1766" t="str">
            <v>ja</v>
          </cell>
          <cell r="C1766" t="str">
            <v>テストユニット84</v>
          </cell>
          <cell r="H1766" t="str">
            <v>yellow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10085</v>
          </cell>
          <cell r="B1767" t="str">
            <v>ja</v>
          </cell>
          <cell r="C1767" t="str">
            <v>テストユニット85</v>
          </cell>
          <cell r="H1767" t="str">
            <v>red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10086</v>
          </cell>
          <cell r="B1768" t="str">
            <v>ja</v>
          </cell>
          <cell r="C1768" t="str">
            <v>テストユニット86</v>
          </cell>
          <cell r="H1768" t="str">
            <v>blue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10087</v>
          </cell>
          <cell r="B1769" t="str">
            <v>ja</v>
          </cell>
          <cell r="C1769" t="str">
            <v>テストユニット87</v>
          </cell>
          <cell r="H1769" t="str">
            <v>green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10088</v>
          </cell>
          <cell r="B1770" t="str">
            <v>ja</v>
          </cell>
          <cell r="C1770" t="str">
            <v>テストユニット88</v>
          </cell>
          <cell r="H1770" t="str">
            <v>yellow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10089</v>
          </cell>
          <cell r="B1771" t="str">
            <v>ja</v>
          </cell>
          <cell r="C1771" t="str">
            <v>テストユニット89</v>
          </cell>
          <cell r="H1771" t="str">
            <v>red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10090</v>
          </cell>
          <cell r="B1772" t="str">
            <v>ja</v>
          </cell>
          <cell r="C1772" t="str">
            <v>テストユニット90</v>
          </cell>
          <cell r="H1772" t="str">
            <v>blue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10101</v>
          </cell>
          <cell r="B1773" t="str">
            <v>ja</v>
          </cell>
          <cell r="C1773" t="str">
            <v>Usagi-kun</v>
          </cell>
          <cell r="H1773" t="str">
            <v>blue</v>
          </cell>
          <cell r="I1773">
            <v>6</v>
          </cell>
          <cell r="J1773" t="str">
            <v>DropWizS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10102</v>
          </cell>
          <cell r="B1774" t="str">
            <v>ja</v>
          </cell>
          <cell r="C1774" t="str">
            <v>ローズ</v>
          </cell>
          <cell r="D1774" t="str">
            <v>未定</v>
          </cell>
          <cell r="E1774" t="str">
            <v>執行者</v>
          </cell>
          <cell r="F1774" t="str">
            <v>格好いい</v>
          </cell>
          <cell r="G1774" t="str">
            <v>不明</v>
          </cell>
          <cell r="H1774" t="str">
            <v>red</v>
          </cell>
          <cell r="I1774">
            <v>3</v>
          </cell>
          <cell r="J1774" t="str">
            <v>DropWizSSS</v>
          </cell>
          <cell r="K1774" t="str">
            <v>attack</v>
          </cell>
          <cell r="L1774" t="str">
            <v>攻撃タイプ</v>
          </cell>
          <cell r="M1774" t="str">
            <v>queen</v>
          </cell>
        </row>
        <row r="1775">
          <cell r="A1775">
            <v>10103</v>
          </cell>
          <cell r="B1775" t="str">
            <v>ja</v>
          </cell>
          <cell r="C1775" t="str">
            <v>ローズ</v>
          </cell>
          <cell r="D1775" t="str">
            <v>未定</v>
          </cell>
          <cell r="E1775" t="str">
            <v>執行者</v>
          </cell>
          <cell r="F1775" t="str">
            <v>格好いい</v>
          </cell>
          <cell r="G1775" t="str">
            <v>不明</v>
          </cell>
          <cell r="H1775" t="str">
            <v>red</v>
          </cell>
          <cell r="I1775">
            <v>4</v>
          </cell>
          <cell r="J1775" t="str">
            <v>DropWizSSS</v>
          </cell>
          <cell r="K1775" t="str">
            <v>attack</v>
          </cell>
          <cell r="L1775" t="str">
            <v>攻撃タイプ</v>
          </cell>
          <cell r="M1775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A2" sqref="A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565100</v>
      </c>
      <c r="D2" s="19" t="s">
        <v>45</v>
      </c>
      <c r="E2" s="17" t="str">
        <f t="shared" ref="E2" si="1">B2&amp;C2&amp;D2</f>
        <v>gacha_select_tables_565100.tmp</v>
      </c>
      <c r="F2" s="108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565010</v>
      </c>
      <c r="D3" s="19" t="s">
        <v>45</v>
      </c>
      <c r="E3" s="17" t="str">
        <f t="shared" ref="E3:E10" si="3">B3&amp;C3&amp;D3</f>
        <v>gacha_select_tables_565010.tmp</v>
      </c>
      <c r="F3" s="108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248</v>
      </c>
      <c r="B4" s="96" t="s">
        <v>249</v>
      </c>
      <c r="C4" s="97" t="str">
        <f t="shared" si="2"/>
        <v>565105</v>
      </c>
      <c r="D4" s="19" t="s">
        <v>250</v>
      </c>
      <c r="E4" s="17" t="str">
        <f t="shared" si="3"/>
        <v>gacha_settle_tables_565105.tmp</v>
      </c>
      <c r="F4" s="108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G29" sqref="G29"/>
    </sheetView>
  </sheetViews>
  <sheetFormatPr baseColWidth="12" defaultRowHeight="14" x14ac:dyDescent="0.15"/>
  <cols>
    <col min="1" max="2" width="24.19921875" bestFit="1" customWidth="1"/>
    <col min="17" max="17" width="27.59765625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565010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1385</v>
      </c>
      <c r="M3" s="37" t="str">
        <f>VLOOKUP(L3,[1]characters!$A:$C,3,FALSE)</f>
        <v>いばら姫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PremiumSSw</v>
      </c>
      <c r="Q3" s="37" t="str">
        <f>VLOOKUP(L3,tables_565010!B:C,2,FALSE)</f>
        <v>PremiumSS5R5only</v>
      </c>
      <c r="R3" s="62">
        <f t="shared" ref="R3:R20" si="1">N3*A$36</f>
        <v>1368000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1387</v>
      </c>
      <c r="M4" s="37" t="str">
        <f>VLOOKUP(L4,[1]characters!$A:$C,3,FALSE)</f>
        <v>ダルタニャン</v>
      </c>
      <c r="N4" s="63">
        <v>0.03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VLOOKUP(L4,tables_565010!B:C,2,FALSE)</f>
        <v>PremiumSS5R5only</v>
      </c>
      <c r="R4" s="62">
        <f t="shared" si="1"/>
        <v>4104000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1-SUM(B6:B7)</f>
        <v>0.30000000000000004</v>
      </c>
      <c r="D5" t="s">
        <v>201</v>
      </c>
      <c r="E5" s="43">
        <f>(B11-H5)/(F5-I5)</f>
        <v>4.1666666666666664E-4</v>
      </c>
      <c r="F5">
        <f>(COUNTIF(tables_565010!C:C,input_565010!A28)+COUNTIF(tables_565010!C:C,input_565010!A29))</f>
        <v>75</v>
      </c>
      <c r="H5" s="84">
        <v>7.0000000000000007E-2</v>
      </c>
      <c r="I5" s="31">
        <v>3</v>
      </c>
      <c r="L5" s="1">
        <v>1383</v>
      </c>
      <c r="M5" s="37" t="str">
        <f>VLOOKUP(L5,[1]characters!$A:$C,3,FALSE)</f>
        <v>シンドバッド</v>
      </c>
      <c r="N5" s="63">
        <v>0.03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VLOOKUP(L5,tables_565010!B:C,2,FALSE)</f>
        <v>PremiumSS5R5only</v>
      </c>
      <c r="R5" s="62">
        <f t="shared" si="1"/>
        <v>4104000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0.5</v>
      </c>
      <c r="D6" t="s">
        <v>202</v>
      </c>
      <c r="E6" s="76">
        <f>(B10-H6)/(F6-I6)</f>
        <v>8.4210526315789472E-3</v>
      </c>
      <c r="F6">
        <f>(COUNTIF(tables_565010!C:C,input_565010!A25)+COUNTIF(tables_565010!C:C,input_565010!A18)+COUNTIF(tables_565010!C:C,input_565010!A20)+COUNTIF(tables_565010!C:C,input_565010!A22))</f>
        <v>97</v>
      </c>
      <c r="H6" s="89">
        <v>0.1</v>
      </c>
      <c r="I6" s="31">
        <v>2</v>
      </c>
      <c r="L6" s="1">
        <v>1381</v>
      </c>
      <c r="M6" s="37" t="str">
        <f>VLOOKUP(L6,[1]characters!$A:$C,3,FALSE)</f>
        <v>ガリバー</v>
      </c>
      <c r="N6" s="63">
        <v>0.05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VLOOKUP(L6,tables_565010!B:C,2,FALSE)</f>
        <v>Premium4R3less</v>
      </c>
      <c r="R6" s="62">
        <f t="shared" si="1"/>
        <v>6840000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0.2</v>
      </c>
      <c r="L7" s="1">
        <v>1382</v>
      </c>
      <c r="M7" s="37" t="str">
        <f>VLOOKUP(L7,[1]characters!$A:$C,3,FALSE)</f>
        <v>賢巨なる渡来者 ガリバー</v>
      </c>
      <c r="N7" s="63">
        <v>0.05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VLOOKUP(L7,tables_565010!B:C,2,FALSE)</f>
        <v>Premium5R3less</v>
      </c>
      <c r="R7" s="62">
        <f t="shared" si="1"/>
        <v>6840000</v>
      </c>
      <c r="S7">
        <v>597</v>
      </c>
      <c r="U7" s="33" t="s">
        <v>196</v>
      </c>
      <c r="V7" s="54">
        <f t="shared" si="0"/>
        <v>0.05</v>
      </c>
    </row>
    <row r="8" spans="1:22" x14ac:dyDescent="0.15">
      <c r="A8" s="57"/>
      <c r="B8" s="71"/>
      <c r="E8" s="76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VLOOKUP(L8,tables_565010!B:C,2,FALSE)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0.05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VLOOKUP(L9,tables_565010!B:C,2,FALSE)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VLOOKUP(L10,tables_565010!B:C,2,FALSE)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VLOOKUP(L11,tables_565010!B:C,2,FALSE)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VLOOKUP(L12,tables_565010!B:C,2,FALSE)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VLOOKUP(L13,tables_565010!B:C,2,FALSE)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VLOOKUP(L14,tables_565010!B:C,2,FALSE)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7.0000000000000007E-2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VLOOKUP(L15,tables_565010!B:C,2,FALSE)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VLOOKUP(L16,tables_565010!B:C,2,FALSE)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0.15852631578947374</v>
      </c>
      <c r="C17" s="85">
        <f t="shared" ref="C17:C31" si="2">SUMIF(Q:Q,A17,N:N)</f>
        <v>0</v>
      </c>
      <c r="D17" s="74">
        <f t="shared" ref="D17:D32" si="3">B17-C17</f>
        <v>0.15852631578947374</v>
      </c>
      <c r="E17">
        <f>COUNTIF(tables_565010!C:C,input_565010!A17)-COUNTIF(Q:Q,A17)</f>
        <v>20</v>
      </c>
      <c r="F17" s="43">
        <f>IFERROR(B17/E17,0)</f>
        <v>7.9263157894736876E-3</v>
      </c>
      <c r="G17">
        <f t="shared" ref="G17:G31" si="4">A$36*B17</f>
        <v>21686400.000000007</v>
      </c>
      <c r="H17">
        <f t="shared" ref="H17:H31" si="5">IFERROR(ROUND(G17/E17,5),0)</f>
        <v>1084320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VLOOKUP(L17,tables_565010!B:C,2,FALSE)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B6-SUM(B20,B22,B25,B27,B30,C22)</f>
        <v>8.0245614035087731E-2</v>
      </c>
      <c r="C18" s="85">
        <f t="shared" si="2"/>
        <v>0</v>
      </c>
      <c r="D18" s="74">
        <f t="shared" si="3"/>
        <v>8.0245614035087731E-2</v>
      </c>
      <c r="E18">
        <f>COUNTIF(tables_565010!C:C,input_565010!A18)-COUNTIF(Q:Q,A18)</f>
        <v>20</v>
      </c>
      <c r="F18" s="43">
        <f>IFERROR(B18/E18,0)</f>
        <v>4.0122807017543864E-3</v>
      </c>
      <c r="G18">
        <f t="shared" si="4"/>
        <v>10977600.000000002</v>
      </c>
      <c r="H18">
        <f t="shared" si="5"/>
        <v>548880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VLOOKUP(L18,tables_565010!B:C,2,FALSE)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0.13136842105263158</v>
      </c>
      <c r="C19" s="85">
        <f t="shared" si="2"/>
        <v>0</v>
      </c>
      <c r="D19" s="74">
        <f t="shared" si="3"/>
        <v>0.13136842105263158</v>
      </c>
      <c r="E19">
        <f>COUNTIF(tables_565010!C:C,input_565010!A19)-COUNTIF(Q:Q,A19)</f>
        <v>52</v>
      </c>
      <c r="F19" s="43">
        <f t="shared" ref="F19:F31" si="8">IFERROR(B19/E19,0)</f>
        <v>2.5263157894736842E-3</v>
      </c>
      <c r="G19">
        <f t="shared" si="4"/>
        <v>17971200</v>
      </c>
      <c r="H19">
        <f t="shared" si="5"/>
        <v>345600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VLOOKUP(L19,tables_565010!B:C,2,FALSE)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0.21894736842105261</v>
      </c>
      <c r="C20" s="85">
        <f t="shared" si="2"/>
        <v>0</v>
      </c>
      <c r="D20" s="74">
        <f t="shared" si="3"/>
        <v>0.21894736842105261</v>
      </c>
      <c r="E20">
        <f>COUNTIF(tables_565010!C:C,input_565010!A20)-COUNTIF(Q:Q,A20)</f>
        <v>52</v>
      </c>
      <c r="F20" s="43">
        <f t="shared" si="8"/>
        <v>4.2105263157894736E-3</v>
      </c>
      <c r="G20">
        <f t="shared" si="4"/>
        <v>29951999.999999996</v>
      </c>
      <c r="H20">
        <f t="shared" si="5"/>
        <v>576000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VLOOKUP(L20,tables_565010!B:C,2,FALSE)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B7-B23-B26-B28-B29-C23-C29</f>
        <v>8.807017543859666E-3</v>
      </c>
      <c r="C21" s="85">
        <f t="shared" si="2"/>
        <v>0</v>
      </c>
      <c r="D21" s="74">
        <f t="shared" si="3"/>
        <v>8.807017543859666E-3</v>
      </c>
      <c r="E21">
        <f>COUNTIF(tables_565010!C:C,input_565010!A21)-COUNTIF(Q:Q,A21)</f>
        <v>52</v>
      </c>
      <c r="F21" s="43">
        <f t="shared" si="8"/>
        <v>1.6936572199730126E-4</v>
      </c>
      <c r="G21">
        <f t="shared" si="4"/>
        <v>1204800.0000000023</v>
      </c>
      <c r="H21">
        <f t="shared" si="5"/>
        <v>23169.230769999998</v>
      </c>
      <c r="I21">
        <f t="shared" si="6"/>
        <v>0.2307699999983015</v>
      </c>
      <c r="J21">
        <f t="shared" si="7"/>
        <v>4.3333188889689307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0.12463157894736843</v>
      </c>
      <c r="C22" s="85">
        <f t="shared" si="2"/>
        <v>0.05</v>
      </c>
      <c r="D22" s="74">
        <f t="shared" si="3"/>
        <v>7.4631578947368424E-2</v>
      </c>
      <c r="E22">
        <f>COUNTIF(tables_565010!C:C,input_565010!A22)-COUNTIF(Q:Q,A22)</f>
        <v>20</v>
      </c>
      <c r="F22" s="43">
        <f t="shared" si="8"/>
        <v>6.2315789473684213E-3</v>
      </c>
      <c r="G22">
        <f t="shared" si="4"/>
        <v>17049600</v>
      </c>
      <c r="H22">
        <f t="shared" si="5"/>
        <v>852480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4.3789473684210524E-2</v>
      </c>
      <c r="C23" s="85">
        <f t="shared" si="2"/>
        <v>0.05</v>
      </c>
      <c r="D23" s="74">
        <f t="shared" si="3"/>
        <v>-6.2105263157894788E-3</v>
      </c>
      <c r="E23">
        <f>COUNTIF(tables_565010!C:C,input_565010!A23)-COUNTIF(Q:Q,A23)</f>
        <v>26</v>
      </c>
      <c r="F23" s="43">
        <f t="shared" si="8"/>
        <v>1.6842105263157893E-3</v>
      </c>
      <c r="G23">
        <f t="shared" si="4"/>
        <v>5990400</v>
      </c>
      <c r="H23">
        <f t="shared" si="5"/>
        <v>230400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1.0105263157894739E-2</v>
      </c>
      <c r="C24" s="85">
        <f t="shared" si="2"/>
        <v>0</v>
      </c>
      <c r="D24" s="74">
        <f t="shared" si="3"/>
        <v>1.0105263157894739E-2</v>
      </c>
      <c r="E24">
        <f>COUNTIF(tables_565010!C:C,input_565010!A24)-COUNTIF(Q:Q,A24)</f>
        <v>4</v>
      </c>
      <c r="F24" s="43">
        <f t="shared" si="8"/>
        <v>2.5263157894736847E-3</v>
      </c>
      <c r="G24">
        <f t="shared" si="4"/>
        <v>1382400.0000000002</v>
      </c>
      <c r="H24">
        <f t="shared" si="5"/>
        <v>345600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1.6842105263157894E-2</v>
      </c>
      <c r="C25" s="85">
        <f t="shared" si="2"/>
        <v>0</v>
      </c>
      <c r="D25" s="74">
        <f t="shared" si="3"/>
        <v>1.6842105263157894E-2</v>
      </c>
      <c r="E25">
        <f>COUNTIF(tables_565010!C:C,input_565010!A25)-COUNTIF(Q:Q,A25)</f>
        <v>4</v>
      </c>
      <c r="F25" s="43">
        <f t="shared" si="8"/>
        <v>4.2105263157894736E-3</v>
      </c>
      <c r="G25">
        <f t="shared" si="4"/>
        <v>2304000</v>
      </c>
      <c r="H25">
        <f t="shared" si="5"/>
        <v>576000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6.7368421052631583E-3</v>
      </c>
      <c r="C26" s="85">
        <f t="shared" si="2"/>
        <v>0</v>
      </c>
      <c r="D26" s="74">
        <f t="shared" si="3"/>
        <v>6.7368421052631583E-3</v>
      </c>
      <c r="E26">
        <f>COUNTIF(tables_565010!C:C,input_565010!A26)-COUNTIF(Q:Q,A26)</f>
        <v>4</v>
      </c>
      <c r="F26" s="43">
        <f t="shared" si="8"/>
        <v>1.6842105263157896E-3</v>
      </c>
      <c r="G26">
        <f t="shared" si="4"/>
        <v>921600</v>
      </c>
      <c r="H26">
        <f t="shared" si="5"/>
        <v>230400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9.3333333333333324E-3</v>
      </c>
      <c r="C27" s="85">
        <f t="shared" si="2"/>
        <v>0</v>
      </c>
      <c r="D27" s="74">
        <f t="shared" si="3"/>
        <v>9.3333333333333324E-3</v>
      </c>
      <c r="E27">
        <f>COUNTIF(tables_565010!C:C,input_565010!A27)-COUNTIF(Q:Q,A27)</f>
        <v>28</v>
      </c>
      <c r="F27" s="43">
        <f>IFERROR(B27/E27,0)</f>
        <v>3.3333333333333332E-4</v>
      </c>
      <c r="G27">
        <f t="shared" si="4"/>
        <v>1276799.9999999998</v>
      </c>
      <c r="H27">
        <f t="shared" si="5"/>
        <v>45600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2.3333333333333331E-3</v>
      </c>
      <c r="C28" s="85">
        <f t="shared" si="2"/>
        <v>0</v>
      </c>
      <c r="D28" s="74">
        <f t="shared" si="3"/>
        <v>2.3333333333333331E-3</v>
      </c>
      <c r="E28">
        <f>COUNTIF(tables_565010!C:C,input_565010!A28)-COUNTIF(Q:Q,A28)</f>
        <v>28</v>
      </c>
      <c r="F28" s="43">
        <f t="shared" si="8"/>
        <v>8.3333333333333331E-5</v>
      </c>
      <c r="G28">
        <f t="shared" si="4"/>
        <v>319199.99999999994</v>
      </c>
      <c r="H28">
        <f t="shared" si="5"/>
        <v>11400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1.8333333333333333E-2</v>
      </c>
      <c r="C29" s="85">
        <f t="shared" si="2"/>
        <v>7.0000000000000007E-2</v>
      </c>
      <c r="D29" s="74">
        <f t="shared" si="3"/>
        <v>-5.1666666666666673E-2</v>
      </c>
      <c r="E29">
        <f>COUNTIF(tables_565010!C:C,input_565010!A29)-COUNTIF(Q:Q,A29)</f>
        <v>44</v>
      </c>
      <c r="F29" s="43">
        <f t="shared" si="8"/>
        <v>4.1666666666666669E-4</v>
      </c>
      <c r="G29">
        <f t="shared" si="4"/>
        <v>2508000</v>
      </c>
      <c r="H29">
        <f t="shared" si="5"/>
        <v>57000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COUNTIF(tables_565010!C:C,input_565010!A30)-COUNTIF(Q:Q,A30)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COUNTIF(tables_565010!C:C,input_565010!A31)-COUNTIF(Q:Q,A31)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0.83</v>
      </c>
      <c r="C32" s="41">
        <f>SUM(C19:C31)</f>
        <v>0.17</v>
      </c>
      <c r="D32" s="42">
        <f t="shared" si="3"/>
        <v>0.65999999999999992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136800000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SUMIF(tables_565010!C:C,input_565010!A40,tables_565010!O:O)</f>
        <v>17971200</v>
      </c>
      <c r="C40" s="54">
        <f t="shared" ref="C40:C46" ca="1" si="9">B40/B$47</f>
        <v>0.35429382540781146</v>
      </c>
      <c r="E40">
        <v>3</v>
      </c>
      <c r="F40">
        <f ca="1">SUMIF(tables_565010!J:J,input_565010!E40,tables_565010!O:O)</f>
        <v>41040000</v>
      </c>
      <c r="G40">
        <f ca="1">F40/A36</f>
        <v>0.3</v>
      </c>
    </row>
    <row r="41" spans="1:7" x14ac:dyDescent="0.15">
      <c r="A41" s="33" t="s">
        <v>104</v>
      </c>
      <c r="B41">
        <f ca="1">SUMIF(tables_565010!C:C,input_565010!A41,tables_565010!O:O)</f>
        <v>29952000</v>
      </c>
      <c r="C41" s="54">
        <f t="shared" ca="1" si="9"/>
        <v>0.59048970901301912</v>
      </c>
      <c r="E41">
        <v>4</v>
      </c>
      <c r="F41">
        <f ca="1">SUMIF(tables_565010!J:J,input_565010!E41,tables_565010!O:O)</f>
        <v>68400000</v>
      </c>
      <c r="G41">
        <f ca="1">F41/A36</f>
        <v>0.5</v>
      </c>
    </row>
    <row r="42" spans="1:7" x14ac:dyDescent="0.15">
      <c r="A42" s="33" t="s">
        <v>106</v>
      </c>
      <c r="B42">
        <f ca="1">SUMIF(tables_565010!C:C,input_565010!A42,tables_565010!O:O)</f>
        <v>1276800</v>
      </c>
      <c r="C42" s="54">
        <f t="shared" ca="1" si="9"/>
        <v>2.5171516441901132E-2</v>
      </c>
      <c r="E42">
        <v>5</v>
      </c>
      <c r="F42">
        <f ca="1">SUMIF(tables_565010!J:J,input_565010!E42,tables_565010!O:O)</f>
        <v>27360000.000040002</v>
      </c>
      <c r="G42">
        <f ca="1">F42/A36</f>
        <v>0.20000000000029242</v>
      </c>
    </row>
    <row r="43" spans="1:7" x14ac:dyDescent="0.15">
      <c r="A43" s="33" t="s">
        <v>109</v>
      </c>
      <c r="B43">
        <f>SUMIF(tables_565010!C:C,input_565010!A43,tables_565010!O:O)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SUMIF(tables_565010!C:C,input_565010!A44,tables_565010!O:O)</f>
        <v>1204800.0000400008</v>
      </c>
      <c r="C44" s="54">
        <f t="shared" ca="1" si="9"/>
        <v>2.3752070026793051E-2</v>
      </c>
      <c r="E44" t="s">
        <v>54</v>
      </c>
      <c r="F44" s="55"/>
    </row>
    <row r="45" spans="1:7" x14ac:dyDescent="0.15">
      <c r="A45" s="33" t="s">
        <v>107</v>
      </c>
      <c r="B45">
        <f ca="1">SUMIF(tables_565010!C:C,input_565010!A45,tables_565010!O:O)</f>
        <v>319200</v>
      </c>
      <c r="C45" s="54">
        <f t="shared" ca="1" si="9"/>
        <v>6.2928791104752829E-3</v>
      </c>
      <c r="E45" t="s">
        <v>204</v>
      </c>
      <c r="F45" s="55">
        <f ca="1">SUMIF(tables_565010!I:I,input_565010!E45,tables_565010!P:P)</f>
        <v>0.2488771929823832</v>
      </c>
    </row>
    <row r="46" spans="1:7" x14ac:dyDescent="0.15">
      <c r="A46" s="33" t="s">
        <v>108</v>
      </c>
      <c r="B46">
        <f>SUMIF(tables_565010!C:C,input_565010!A46,tables_565010!O:O)</f>
        <v>0</v>
      </c>
      <c r="C46" s="54">
        <f t="shared" ca="1" si="9"/>
        <v>0</v>
      </c>
      <c r="E46" t="s">
        <v>205</v>
      </c>
      <c r="F46" s="55">
        <f ca="1">SUMIF(tables_565010!I:I,input_565010!E46,tables_565010!P:P)</f>
        <v>0.14266869095821846</v>
      </c>
    </row>
    <row r="47" spans="1:7" x14ac:dyDescent="0.15">
      <c r="A47" s="39" t="s">
        <v>59</v>
      </c>
      <c r="B47">
        <f ca="1">SUM(B40:B46)</f>
        <v>50724000.000040002</v>
      </c>
      <c r="C47" s="55">
        <f ca="1">SUM(C40:C46)</f>
        <v>1</v>
      </c>
      <c r="E47" t="s">
        <v>206</v>
      </c>
      <c r="F47" s="55">
        <f ca="1">SUMIF(tables_565010!I:I,input_565010!E47,tables_565010!P:P)</f>
        <v>0.50845411605942681</v>
      </c>
    </row>
    <row r="48" spans="1:7" x14ac:dyDescent="0.15">
      <c r="E48" t="s">
        <v>207</v>
      </c>
      <c r="F48" s="55">
        <f ca="1">SUMIF(tables_565010!I:I,input_565010!E48,tables_565010!P:P)</f>
        <v>8.6249999999974708E-2</v>
      </c>
      <c r="G48" s="55"/>
    </row>
    <row r="49" spans="5:6" x14ac:dyDescent="0.15">
      <c r="E49" t="s">
        <v>251</v>
      </c>
      <c r="F49" s="55">
        <f ca="1">SUMIF(tables_565010!I:I,input_565010!E49,tables_565010!P:P)</f>
        <v>1.3749999999995969E-2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0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I356" sqref="I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input_565010!A$2</f>
        <v>565010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IFERROR(VLOOKUP(B2,input_565010!L:R,7,FALSE),VLOOKUP(tables_565010!C2,input_565010!A:H,8,FALSE))</f>
        <v>1084320</v>
      </c>
      <c r="P2" s="46">
        <f t="shared" ref="P2:P65" ca="1" si="1">O2/SUM(O:O)</f>
        <v>7.9263157894713596E-3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input_565010!A$2</f>
        <v>565010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IFERROR(VLOOKUP(B3,input_565010!L:R,7,FALSE),VLOOKUP(tables_565010!C3,input_565010!A:H,8,FALSE))</f>
        <v>548880</v>
      </c>
      <c r="P3" s="46">
        <f t="shared" ca="1" si="1"/>
        <v>4.0122807017532094E-3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input_565010!A$2</f>
        <v>565010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IFERROR(VLOOKUP(B4,input_565010!L:R,7,FALSE),VLOOKUP(tables_565010!C4,input_565010!A:H,8,FALSE))</f>
        <v>1084320</v>
      </c>
      <c r="P4" s="46">
        <f t="shared" ca="1" si="1"/>
        <v>7.9263157894713596E-3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input_565010!A$2</f>
        <v>565010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IFERROR(VLOOKUP(B5,input_565010!L:R,7,FALSE),VLOOKUP(tables_565010!C5,input_565010!A:H,8,FALSE))</f>
        <v>548880</v>
      </c>
      <c r="P5" s="46">
        <f t="shared" ca="1" si="1"/>
        <v>4.0122807017532094E-3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input_565010!A$2</f>
        <v>565010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IFERROR(VLOOKUP(B6,input_565010!L:R,7,FALSE),VLOOKUP(tables_565010!C6,input_565010!A:H,8,FALSE))</f>
        <v>1084320</v>
      </c>
      <c r="P6" s="46">
        <f t="shared" ca="1" si="1"/>
        <v>7.9263157894713596E-3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input_565010!A$2</f>
        <v>565010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IFERROR(VLOOKUP(B7,input_565010!L:R,7,FALSE),VLOOKUP(tables_565010!C7,input_565010!A:H,8,FALSE))</f>
        <v>548880</v>
      </c>
      <c r="P7" s="46">
        <f t="shared" ca="1" si="1"/>
        <v>4.0122807017532094E-3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input_565010!A$2</f>
        <v>565010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IFERROR(VLOOKUP(B8,input_565010!L:R,7,FALSE),VLOOKUP(tables_565010!C8,input_565010!A:H,8,FALSE))</f>
        <v>1084320</v>
      </c>
      <c r="P8" s="46">
        <f t="shared" ca="1" si="1"/>
        <v>7.9263157894713596E-3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input_565010!A$2</f>
        <v>565010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IFERROR(VLOOKUP(B9,input_565010!L:R,7,FALSE),VLOOKUP(tables_565010!C9,input_565010!A:H,8,FALSE))</f>
        <v>548880</v>
      </c>
      <c r="P9" s="46">
        <f t="shared" ca="1" si="1"/>
        <v>4.0122807017532094E-3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input_565010!A$2</f>
        <v>565010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IFERROR(VLOOKUP(B10,input_565010!L:R,7,FALSE),VLOOKUP(tables_565010!C10,input_565010!A:H,8,FALSE))</f>
        <v>1084320</v>
      </c>
      <c r="P10" s="46">
        <f t="shared" ca="1" si="1"/>
        <v>7.9263157894713596E-3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input_565010!A$2</f>
        <v>565010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IFERROR(VLOOKUP(B11,input_565010!L:R,7,FALSE),VLOOKUP(tables_565010!C11,input_565010!A:H,8,FALSE))</f>
        <v>548880</v>
      </c>
      <c r="P11" s="46">
        <f t="shared" ca="1" si="1"/>
        <v>4.0122807017532094E-3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input_565010!A$2</f>
        <v>565010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IFERROR(VLOOKUP(B12,input_565010!L:R,7,FALSE),VLOOKUP(tables_565010!C12,input_565010!A:H,8,FALSE))</f>
        <v>1084320</v>
      </c>
      <c r="P12" s="46">
        <f t="shared" ca="1" si="1"/>
        <v>7.9263157894713596E-3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input_565010!A$2</f>
        <v>565010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IFERROR(VLOOKUP(B13,input_565010!L:R,7,FALSE),VLOOKUP(tables_565010!C13,input_565010!A:H,8,FALSE))</f>
        <v>548880</v>
      </c>
      <c r="P13" s="46">
        <f t="shared" ca="1" si="1"/>
        <v>4.0122807017532094E-3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input_565010!A$2</f>
        <v>565010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IFERROR(VLOOKUP(B14,input_565010!L:R,7,FALSE),VLOOKUP(tables_565010!C14,input_565010!A:H,8,FALSE))</f>
        <v>1084320</v>
      </c>
      <c r="P14" s="46">
        <f t="shared" ca="1" si="1"/>
        <v>7.9263157894713596E-3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input_565010!A$2</f>
        <v>565010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IFERROR(VLOOKUP(B15,input_565010!L:R,7,FALSE),VLOOKUP(tables_565010!C15,input_565010!A:H,8,FALSE))</f>
        <v>548880</v>
      </c>
      <c r="P15" s="46">
        <f t="shared" ca="1" si="1"/>
        <v>4.0122807017532094E-3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input_565010!A$2</f>
        <v>565010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IFERROR(VLOOKUP(B16,input_565010!L:R,7,FALSE),VLOOKUP(tables_565010!C16,input_565010!A:H,8,FALSE))</f>
        <v>1084320</v>
      </c>
      <c r="P16" s="46">
        <f t="shared" ca="1" si="1"/>
        <v>7.9263157894713596E-3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input_565010!A$2</f>
        <v>565010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IFERROR(VLOOKUP(B17,input_565010!L:R,7,FALSE),VLOOKUP(tables_565010!C17,input_565010!A:H,8,FALSE))</f>
        <v>548880</v>
      </c>
      <c r="P17" s="46">
        <f t="shared" ca="1" si="1"/>
        <v>4.0122807017532094E-3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input_565010!A$2</f>
        <v>565010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IFERROR(VLOOKUP(B18,input_565010!L:R,7,FALSE),VLOOKUP(tables_565010!C18,input_565010!A:H,8,FALSE))</f>
        <v>1084320</v>
      </c>
      <c r="P18" s="46">
        <f t="shared" ca="1" si="1"/>
        <v>7.9263157894713596E-3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input_565010!A$2</f>
        <v>565010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IFERROR(VLOOKUP(B19,input_565010!L:R,7,FALSE),VLOOKUP(tables_565010!C19,input_565010!A:H,8,FALSE))</f>
        <v>548880</v>
      </c>
      <c r="P19" s="46">
        <f t="shared" ca="1" si="1"/>
        <v>4.0122807017532094E-3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input_565010!A$2</f>
        <v>565010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IFERROR(VLOOKUP(B20,input_565010!L:R,7,FALSE),VLOOKUP(tables_565010!C20,input_565010!A:H,8,FALSE))</f>
        <v>1084320</v>
      </c>
      <c r="P20" s="46">
        <f t="shared" ca="1" si="1"/>
        <v>7.9263157894713596E-3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input_565010!A$2</f>
        <v>565010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IFERROR(VLOOKUP(B21,input_565010!L:R,7,FALSE),VLOOKUP(tables_565010!C21,input_565010!A:H,8,FALSE))</f>
        <v>548880</v>
      </c>
      <c r="P21" s="46">
        <f t="shared" ca="1" si="1"/>
        <v>4.0122807017532094E-3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input_565010!A$2</f>
        <v>565010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IFERROR(VLOOKUP(B22,input_565010!L:R,7,FALSE),VLOOKUP(tables_565010!C22,input_565010!A:H,8,FALSE))</f>
        <v>1084320</v>
      </c>
      <c r="P22" s="46">
        <f t="shared" ca="1" si="1"/>
        <v>7.9263157894713596E-3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input_565010!A$2</f>
        <v>565010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IFERROR(VLOOKUP(B23,input_565010!L:R,7,FALSE),VLOOKUP(tables_565010!C23,input_565010!A:H,8,FALSE))</f>
        <v>548880</v>
      </c>
      <c r="P23" s="46">
        <f t="shared" ca="1" si="1"/>
        <v>4.0122807017532094E-3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input_565010!A$2</f>
        <v>565010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IFERROR(VLOOKUP(B24,input_565010!L:R,7,FALSE),VLOOKUP(tables_565010!C24,input_565010!A:H,8,FALSE))</f>
        <v>1084320</v>
      </c>
      <c r="P24" s="46">
        <f t="shared" ca="1" si="1"/>
        <v>7.9263157894713596E-3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input_565010!A$2</f>
        <v>565010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IFERROR(VLOOKUP(B25,input_565010!L:R,7,FALSE),VLOOKUP(tables_565010!C25,input_565010!A:H,8,FALSE))</f>
        <v>548880</v>
      </c>
      <c r="P25" s="46">
        <f t="shared" ca="1" si="1"/>
        <v>4.0122807017532094E-3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input_565010!A$2</f>
        <v>565010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IFERROR(VLOOKUP(B26,input_565010!L:R,7,FALSE),VLOOKUP(tables_565010!C26,input_565010!A:H,8,FALSE))</f>
        <v>1084320</v>
      </c>
      <c r="P26" s="46">
        <f t="shared" ca="1" si="1"/>
        <v>7.9263157894713596E-3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input_565010!A$2</f>
        <v>565010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IFERROR(VLOOKUP(B27,input_565010!L:R,7,FALSE),VLOOKUP(tables_565010!C27,input_565010!A:H,8,FALSE))</f>
        <v>548880</v>
      </c>
      <c r="P27" s="46">
        <f t="shared" ca="1" si="1"/>
        <v>4.0122807017532094E-3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input_565010!A$2</f>
        <v>565010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IFERROR(VLOOKUP(B28,input_565010!L:R,7,FALSE),VLOOKUP(tables_565010!C28,input_565010!A:H,8,FALSE))</f>
        <v>1084320</v>
      </c>
      <c r="P28" s="46">
        <f t="shared" ca="1" si="1"/>
        <v>7.9263157894713596E-3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input_565010!A$2</f>
        <v>565010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IFERROR(VLOOKUP(B29,input_565010!L:R,7,FALSE),VLOOKUP(tables_565010!C29,input_565010!A:H,8,FALSE))</f>
        <v>548880</v>
      </c>
      <c r="P29" s="46">
        <f t="shared" ca="1" si="1"/>
        <v>4.0122807017532094E-3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input_565010!A$2</f>
        <v>565010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IFERROR(VLOOKUP(B30,input_565010!L:R,7,FALSE),VLOOKUP(tables_565010!C30,input_565010!A:H,8,FALSE))</f>
        <v>1084320</v>
      </c>
      <c r="P30" s="46">
        <f t="shared" ca="1" si="1"/>
        <v>7.9263157894713596E-3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input_565010!A$2</f>
        <v>565010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IFERROR(VLOOKUP(B31,input_565010!L:R,7,FALSE),VLOOKUP(tables_565010!C31,input_565010!A:H,8,FALSE))</f>
        <v>548880</v>
      </c>
      <c r="P31" s="46">
        <f t="shared" ca="1" si="1"/>
        <v>4.0122807017532094E-3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input_565010!A$2</f>
        <v>565010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IFERROR(VLOOKUP(B32,input_565010!L:R,7,FALSE),VLOOKUP(tables_565010!C32,input_565010!A:H,8,FALSE))</f>
        <v>1084320</v>
      </c>
      <c r="P32" s="46">
        <f t="shared" ca="1" si="1"/>
        <v>7.9263157894713596E-3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input_565010!A$2</f>
        <v>565010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IFERROR(VLOOKUP(B33,input_565010!L:R,7,FALSE),VLOOKUP(tables_565010!C33,input_565010!A:H,8,FALSE))</f>
        <v>548880</v>
      </c>
      <c r="P33" s="46">
        <f t="shared" ca="1" si="1"/>
        <v>4.0122807017532094E-3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input_565010!A$2</f>
        <v>565010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IFERROR(VLOOKUP(B34,input_565010!L:R,7,FALSE),VLOOKUP(tables_565010!C34,input_565010!A:H,8,FALSE))</f>
        <v>1084320</v>
      </c>
      <c r="P34" s="46">
        <f t="shared" ca="1" si="1"/>
        <v>7.9263157894713596E-3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input_565010!A$2</f>
        <v>565010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IFERROR(VLOOKUP(B35,input_565010!L:R,7,FALSE),VLOOKUP(tables_565010!C35,input_565010!A:H,8,FALSE))</f>
        <v>548880</v>
      </c>
      <c r="P35" s="46">
        <f t="shared" ca="1" si="1"/>
        <v>4.0122807017532094E-3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input_565010!A$2</f>
        <v>565010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IFERROR(VLOOKUP(B36,input_565010!L:R,7,FALSE),VLOOKUP(tables_565010!C36,input_565010!A:H,8,FALSE))</f>
        <v>1084320</v>
      </c>
      <c r="P36" s="46">
        <f t="shared" ca="1" si="1"/>
        <v>7.9263157894713596E-3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input_565010!A$2</f>
        <v>565010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IFERROR(VLOOKUP(B37,input_565010!L:R,7,FALSE),VLOOKUP(tables_565010!C37,input_565010!A:H,8,FALSE))</f>
        <v>548880</v>
      </c>
      <c r="P37" s="46">
        <f t="shared" ca="1" si="1"/>
        <v>4.0122807017532094E-3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input_565010!A$2</f>
        <v>565010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IFERROR(VLOOKUP(B38,input_565010!L:R,7,FALSE),VLOOKUP(tables_565010!C38,input_565010!A:H,8,FALSE))</f>
        <v>1084320</v>
      </c>
      <c r="P38" s="46">
        <f t="shared" ca="1" si="1"/>
        <v>7.9263157894713596E-3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input_565010!A$2</f>
        <v>565010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IFERROR(VLOOKUP(B39,input_565010!L:R,7,FALSE),VLOOKUP(tables_565010!C39,input_565010!A:H,8,FALSE))</f>
        <v>548880</v>
      </c>
      <c r="P39" s="46">
        <f t="shared" ca="1" si="1"/>
        <v>4.0122807017532094E-3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input_565010!A$2</f>
        <v>565010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IFERROR(VLOOKUP(B40,input_565010!L:R,7,FALSE),VLOOKUP(tables_565010!C40,input_565010!A:H,8,FALSE))</f>
        <v>1084320</v>
      </c>
      <c r="P40" s="46">
        <f t="shared" ca="1" si="1"/>
        <v>7.9263157894713596E-3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input_565010!A$2</f>
        <v>565010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IFERROR(VLOOKUP(B41,input_565010!L:R,7,FALSE),VLOOKUP(tables_565010!C41,input_565010!A:H,8,FALSE))</f>
        <v>548880</v>
      </c>
      <c r="P41" s="46">
        <f t="shared" ca="1" si="1"/>
        <v>4.0122807017532094E-3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input_565010!A$2</f>
        <v>565010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IFERROR(VLOOKUP(B42,input_565010!L:R,7,FALSE),VLOOKUP(tables_565010!C42,input_565010!A:H,8,FALSE))</f>
        <v>345600</v>
      </c>
      <c r="P42" s="46">
        <f t="shared" ca="1" si="1"/>
        <v>2.5263157894729435E-3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input_565010!A$2</f>
        <v>565010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IFERROR(VLOOKUP(B43,input_565010!L:R,7,FALSE),VLOOKUP(tables_565010!C43,input_565010!A:H,8,FALSE))</f>
        <v>576000</v>
      </c>
      <c r="P43" s="46">
        <f t="shared" ca="1" si="1"/>
        <v>4.2105263157882393E-3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input_565010!A$2</f>
        <v>565010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IFERROR(VLOOKUP(B44,input_565010!L:R,7,FALSE),VLOOKUP(tables_565010!C44,input_565010!A:H,8,FALSE))</f>
        <v>230400</v>
      </c>
      <c r="P44" s="46">
        <f t="shared" ca="1" si="1"/>
        <v>1.6842105263152956E-3</v>
      </c>
      <c r="Q44" s="102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input_565010!A$2</f>
        <v>565010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IFERROR(VLOOKUP(B45,input_565010!L:R,7,FALSE),VLOOKUP(tables_565010!C45,input_565010!A:H,8,FALSE))</f>
        <v>345600</v>
      </c>
      <c r="P45" s="46">
        <f t="shared" ca="1" si="1"/>
        <v>2.5263157894729435E-3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input_565010!A$2</f>
        <v>565010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IFERROR(VLOOKUP(B46,input_565010!L:R,7,FALSE),VLOOKUP(tables_565010!C46,input_565010!A:H,8,FALSE))</f>
        <v>576000</v>
      </c>
      <c r="P46" s="46">
        <f t="shared" ca="1" si="1"/>
        <v>4.2105263157882393E-3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input_565010!A$2</f>
        <v>565010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IFERROR(VLOOKUP(B47,input_565010!L:R,7,FALSE),VLOOKUP(tables_565010!C47,input_565010!A:H,8,FALSE))</f>
        <v>230400</v>
      </c>
      <c r="P47" s="46">
        <f t="shared" ca="1" si="1"/>
        <v>1.6842105263152956E-3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input_565010!A$2</f>
        <v>565010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IFERROR(VLOOKUP(B48,input_565010!L:R,7,FALSE),VLOOKUP(tables_565010!C48,input_565010!A:H,8,FALSE))</f>
        <v>345600</v>
      </c>
      <c r="P48" s="46">
        <f t="shared" ca="1" si="1"/>
        <v>2.5263157894729435E-3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input_565010!A$2</f>
        <v>565010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IFERROR(VLOOKUP(B49,input_565010!L:R,7,FALSE),VLOOKUP(tables_565010!C49,input_565010!A:H,8,FALSE))</f>
        <v>576000</v>
      </c>
      <c r="P49" s="46">
        <f t="shared" ca="1" si="1"/>
        <v>4.2105263157882393E-3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input_565010!A$2</f>
        <v>565010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IFERROR(VLOOKUP(B50,input_565010!L:R,7,FALSE),VLOOKUP(tables_565010!C50,input_565010!A:H,8,FALSE))</f>
        <v>230400</v>
      </c>
      <c r="P50" s="46">
        <f t="shared" ca="1" si="1"/>
        <v>1.6842105263152956E-3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input_565010!A$2</f>
        <v>565010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IFERROR(VLOOKUP(B51,input_565010!L:R,7,FALSE),VLOOKUP(tables_565010!C51,input_565010!A:H,8,FALSE))</f>
        <v>345600</v>
      </c>
      <c r="P51" s="46">
        <f t="shared" ca="1" si="1"/>
        <v>2.5263157894729435E-3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input_565010!A$2</f>
        <v>565010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IFERROR(VLOOKUP(B52,input_565010!L:R,7,FALSE),VLOOKUP(tables_565010!C52,input_565010!A:H,8,FALSE))</f>
        <v>576000</v>
      </c>
      <c r="P52" s="46">
        <f t="shared" ca="1" si="1"/>
        <v>4.2105263157882393E-3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input_565010!A$2</f>
        <v>565010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IFERROR(VLOOKUP(B53,input_565010!L:R,7,FALSE),VLOOKUP(tables_565010!C53,input_565010!A:H,8,FALSE))</f>
        <v>23169.230769999998</v>
      </c>
      <c r="P53" s="46">
        <f t="shared" ca="1" si="1"/>
        <v>1.6936572200287431E-4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input_565010!A$2</f>
        <v>565010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IFERROR(VLOOKUP(B54,input_565010!L:R,7,FALSE),VLOOKUP(tables_565010!C54,input_565010!A:H,8,FALSE))</f>
        <v>345600</v>
      </c>
      <c r="P54" s="46">
        <f t="shared" ca="1" si="1"/>
        <v>2.5263157894729435E-3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input_565010!A$2</f>
        <v>565010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IFERROR(VLOOKUP(B55,input_565010!L:R,7,FALSE),VLOOKUP(tables_565010!C55,input_565010!A:H,8,FALSE))</f>
        <v>576000</v>
      </c>
      <c r="P55" s="46">
        <f t="shared" ca="1" si="1"/>
        <v>4.2105263157882393E-3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input_565010!A$2</f>
        <v>565010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IFERROR(VLOOKUP(B56,input_565010!L:R,7,FALSE),VLOOKUP(tables_565010!C56,input_565010!A:H,8,FALSE))</f>
        <v>23169.230769999998</v>
      </c>
      <c r="P56" s="46">
        <f t="shared" ca="1" si="1"/>
        <v>1.6936572200287431E-4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input_565010!A$2</f>
        <v>565010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IFERROR(VLOOKUP(B57,input_565010!L:R,7,FALSE),VLOOKUP(tables_565010!C57,input_565010!A:H,8,FALSE))</f>
        <v>345600</v>
      </c>
      <c r="P57" s="46">
        <f t="shared" ca="1" si="1"/>
        <v>2.5263157894729435E-3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input_565010!A$2</f>
        <v>565010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IFERROR(VLOOKUP(B58,input_565010!L:R,7,FALSE),VLOOKUP(tables_565010!C58,input_565010!A:H,8,FALSE))</f>
        <v>576000</v>
      </c>
      <c r="P58" s="46">
        <f t="shared" ca="1" si="1"/>
        <v>4.2105263157882393E-3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input_565010!A$2</f>
        <v>565010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IFERROR(VLOOKUP(B59,input_565010!L:R,7,FALSE),VLOOKUP(tables_565010!C59,input_565010!A:H,8,FALSE))</f>
        <v>23169.230769999998</v>
      </c>
      <c r="P59" s="46">
        <f t="shared" ca="1" si="1"/>
        <v>1.6936572200287431E-4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input_565010!A$2</f>
        <v>565010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IFERROR(VLOOKUP(B60,input_565010!L:R,7,FALSE),VLOOKUP(tables_565010!C60,input_565010!A:H,8,FALSE))</f>
        <v>345600</v>
      </c>
      <c r="P60" s="46">
        <f t="shared" ca="1" si="1"/>
        <v>2.5263157894729435E-3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input_565010!A$2</f>
        <v>565010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IFERROR(VLOOKUP(B61,input_565010!L:R,7,FALSE),VLOOKUP(tables_565010!C61,input_565010!A:H,8,FALSE))</f>
        <v>576000</v>
      </c>
      <c r="P61" s="46">
        <f t="shared" ca="1" si="1"/>
        <v>4.2105263157882393E-3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input_565010!A$2</f>
        <v>565010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IFERROR(VLOOKUP(B62,input_565010!L:R,7,FALSE),VLOOKUP(tables_565010!C62,input_565010!A:H,8,FALSE))</f>
        <v>23169.230769999998</v>
      </c>
      <c r="P62" s="46">
        <f t="shared" ca="1" si="1"/>
        <v>1.6936572200287431E-4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input_565010!A$2</f>
        <v>565010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IFERROR(VLOOKUP(B63,input_565010!L:R,7,FALSE),VLOOKUP(tables_565010!C63,input_565010!A:H,8,FALSE))</f>
        <v>345600</v>
      </c>
      <c r="P63" s="46">
        <f t="shared" ca="1" si="1"/>
        <v>2.5263157894729435E-3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input_565010!A$2</f>
        <v>565010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IFERROR(VLOOKUP(B64,input_565010!L:R,7,FALSE),VLOOKUP(tables_565010!C64,input_565010!A:H,8,FALSE))</f>
        <v>576000</v>
      </c>
      <c r="P64" s="46">
        <f t="shared" ca="1" si="1"/>
        <v>4.2105263157882393E-3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input_565010!A$2</f>
        <v>565010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IFERROR(VLOOKUP(B65,input_565010!L:R,7,FALSE),VLOOKUP(tables_565010!C65,input_565010!A:H,8,FALSE))</f>
        <v>23169.230769999998</v>
      </c>
      <c r="P65" s="46">
        <f t="shared" ca="1" si="1"/>
        <v>1.6936572200287431E-4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input_565010!A$2</f>
        <v>565010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IFERROR(VLOOKUP(B66,input_565010!L:R,7,FALSE),VLOOKUP(tables_565010!C66,input_565010!A:H,8,FALSE))</f>
        <v>345600</v>
      </c>
      <c r="P66" s="46">
        <f t="shared" ref="P66:P129" ca="1" si="4">O66/SUM(O:O)</f>
        <v>2.5263157894729435E-3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input_565010!A$2</f>
        <v>565010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IFERROR(VLOOKUP(B67,input_565010!L:R,7,FALSE),VLOOKUP(tables_565010!C67,input_565010!A:H,8,FALSE))</f>
        <v>576000</v>
      </c>
      <c r="P67" s="46">
        <f t="shared" ca="1" si="4"/>
        <v>4.2105263157882393E-3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input_565010!A$2</f>
        <v>565010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IFERROR(VLOOKUP(B68,input_565010!L:R,7,FALSE),VLOOKUP(tables_565010!C68,input_565010!A:H,8,FALSE))</f>
        <v>23169.230769999998</v>
      </c>
      <c r="P68" s="46">
        <f t="shared" ca="1" si="4"/>
        <v>1.6936572200287431E-4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input_565010!A$2</f>
        <v>565010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IFERROR(VLOOKUP(B69,input_565010!L:R,7,FALSE),VLOOKUP(tables_565010!C69,input_565010!A:H,8,FALSE))</f>
        <v>345600</v>
      </c>
      <c r="P69" s="46">
        <f t="shared" ca="1" si="4"/>
        <v>2.5263157894729435E-3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input_565010!A$2</f>
        <v>565010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IFERROR(VLOOKUP(B70,input_565010!L:R,7,FALSE),VLOOKUP(tables_565010!C70,input_565010!A:H,8,FALSE))</f>
        <v>576000</v>
      </c>
      <c r="P70" s="46">
        <f t="shared" ca="1" si="4"/>
        <v>4.2105263157882393E-3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input_565010!A$2</f>
        <v>565010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IFERROR(VLOOKUP(B71,input_565010!L:R,7,FALSE),VLOOKUP(tables_565010!C71,input_565010!A:H,8,FALSE))</f>
        <v>23169.230769999998</v>
      </c>
      <c r="P71" s="46">
        <f t="shared" ca="1" si="4"/>
        <v>1.6936572200287431E-4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input_565010!A$2</f>
        <v>565010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IFERROR(VLOOKUP(B72,input_565010!L:R,7,FALSE),VLOOKUP(tables_565010!C72,input_565010!A:H,8,FALSE))</f>
        <v>345600</v>
      </c>
      <c r="P72" s="46">
        <f t="shared" ca="1" si="4"/>
        <v>2.5263157894729435E-3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input_565010!A$2</f>
        <v>565010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IFERROR(VLOOKUP(B73,input_565010!L:R,7,FALSE),VLOOKUP(tables_565010!C73,input_565010!A:H,8,FALSE))</f>
        <v>576000</v>
      </c>
      <c r="P73" s="46">
        <f t="shared" ca="1" si="4"/>
        <v>4.2105263157882393E-3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input_565010!A$2</f>
        <v>565010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IFERROR(VLOOKUP(B74,input_565010!L:R,7,FALSE),VLOOKUP(tables_565010!C74,input_565010!A:H,8,FALSE))</f>
        <v>23169.230769999998</v>
      </c>
      <c r="P74" s="46">
        <f t="shared" ca="1" si="4"/>
        <v>1.6936572200287431E-4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input_565010!A$2</f>
        <v>565010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IFERROR(VLOOKUP(B75,input_565010!L:R,7,FALSE),VLOOKUP(tables_565010!C75,input_565010!A:H,8,FALSE))</f>
        <v>345600</v>
      </c>
      <c r="P75" s="46">
        <f t="shared" ca="1" si="4"/>
        <v>2.5263157894729435E-3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input_565010!A$2</f>
        <v>565010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IFERROR(VLOOKUP(B76,input_565010!L:R,7,FALSE),VLOOKUP(tables_565010!C76,input_565010!A:H,8,FALSE))</f>
        <v>576000</v>
      </c>
      <c r="P76" s="46">
        <f t="shared" ca="1" si="4"/>
        <v>4.2105263157882393E-3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input_565010!A$2</f>
        <v>565010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IFERROR(VLOOKUP(B77,input_565010!L:R,7,FALSE),VLOOKUP(tables_565010!C77,input_565010!A:H,8,FALSE))</f>
        <v>23169.230769999998</v>
      </c>
      <c r="P77" s="46">
        <f t="shared" ca="1" si="4"/>
        <v>1.6936572200287431E-4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input_565010!A$2</f>
        <v>565010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IFERROR(VLOOKUP(B78,input_565010!L:R,7,FALSE),VLOOKUP(tables_565010!C78,input_565010!A:H,8,FALSE))</f>
        <v>345600</v>
      </c>
      <c r="P78" s="46">
        <f t="shared" ca="1" si="4"/>
        <v>2.5263157894729435E-3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input_565010!A$2</f>
        <v>565010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IFERROR(VLOOKUP(B79,input_565010!L:R,7,FALSE),VLOOKUP(tables_565010!C79,input_565010!A:H,8,FALSE))</f>
        <v>576000</v>
      </c>
      <c r="P79" s="46">
        <f t="shared" ca="1" si="4"/>
        <v>4.2105263157882393E-3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input_565010!A$2</f>
        <v>565010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IFERROR(VLOOKUP(B80,input_565010!L:R,7,FALSE),VLOOKUP(tables_565010!C80,input_565010!A:H,8,FALSE))</f>
        <v>23169.230769999998</v>
      </c>
      <c r="P80" s="46">
        <f t="shared" ca="1" si="4"/>
        <v>1.6936572200287431E-4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input_565010!A$2</f>
        <v>565010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IFERROR(VLOOKUP(B81,input_565010!L:R,7,FALSE),VLOOKUP(tables_565010!C81,input_565010!A:H,8,FALSE))</f>
        <v>345600</v>
      </c>
      <c r="P81" s="46">
        <f t="shared" ca="1" si="4"/>
        <v>2.5263157894729435E-3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input_565010!A$2</f>
        <v>565010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IFERROR(VLOOKUP(B82,input_565010!L:R,7,FALSE),VLOOKUP(tables_565010!C82,input_565010!A:H,8,FALSE))</f>
        <v>576000</v>
      </c>
      <c r="P82" s="46">
        <f t="shared" ca="1" si="4"/>
        <v>4.2105263157882393E-3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input_565010!A$2</f>
        <v>565010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IFERROR(VLOOKUP(B83,input_565010!L:R,7,FALSE),VLOOKUP(tables_565010!C83,input_565010!A:H,8,FALSE))</f>
        <v>23169.230769999998</v>
      </c>
      <c r="P83" s="46">
        <f t="shared" ca="1" si="4"/>
        <v>1.6936572200287431E-4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input_565010!A$2</f>
        <v>565010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IFERROR(VLOOKUP(B84,input_565010!L:R,7,FALSE),VLOOKUP(tables_565010!C84,input_565010!A:H,8,FALSE))</f>
        <v>345600</v>
      </c>
      <c r="P84" s="46">
        <f t="shared" ca="1" si="4"/>
        <v>2.5263157894729435E-3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input_565010!A$2</f>
        <v>565010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IFERROR(VLOOKUP(B85,input_565010!L:R,7,FALSE),VLOOKUP(tables_565010!C85,input_565010!A:H,8,FALSE))</f>
        <v>576000</v>
      </c>
      <c r="P85" s="46">
        <f t="shared" ca="1" si="4"/>
        <v>4.2105263157882393E-3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input_565010!A$2</f>
        <v>565010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IFERROR(VLOOKUP(B86,input_565010!L:R,7,FALSE),VLOOKUP(tables_565010!C86,input_565010!A:H,8,FALSE))</f>
        <v>23169.230769999998</v>
      </c>
      <c r="P86" s="46">
        <f t="shared" ca="1" si="4"/>
        <v>1.6936572200287431E-4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input_565010!A$2</f>
        <v>565010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IFERROR(VLOOKUP(B87,input_565010!L:R,7,FALSE),VLOOKUP(tables_565010!C87,input_565010!A:H,8,FALSE))</f>
        <v>345600</v>
      </c>
      <c r="P87" s="46">
        <f t="shared" ca="1" si="4"/>
        <v>2.5263157894729435E-3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input_565010!A$2</f>
        <v>565010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IFERROR(VLOOKUP(B88,input_565010!L:R,7,FALSE),VLOOKUP(tables_565010!C88,input_565010!A:H,8,FALSE))</f>
        <v>576000</v>
      </c>
      <c r="P88" s="46">
        <f t="shared" ca="1" si="4"/>
        <v>4.2105263157882393E-3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input_565010!A$2</f>
        <v>565010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IFERROR(VLOOKUP(B89,input_565010!L:R,7,FALSE),VLOOKUP(tables_565010!C89,input_565010!A:H,8,FALSE))</f>
        <v>23169.230769999998</v>
      </c>
      <c r="P89" s="46">
        <f t="shared" ca="1" si="4"/>
        <v>1.6936572200287431E-4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input_565010!A$2</f>
        <v>565010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IFERROR(VLOOKUP(B90,input_565010!L:R,7,FALSE),VLOOKUP(tables_565010!C90,input_565010!A:H,8,FALSE))</f>
        <v>345600</v>
      </c>
      <c r="P90" s="46">
        <f t="shared" ca="1" si="4"/>
        <v>2.5263157894729435E-3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input_565010!A$2</f>
        <v>565010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IFERROR(VLOOKUP(B91,input_565010!L:R,7,FALSE),VLOOKUP(tables_565010!C91,input_565010!A:H,8,FALSE))</f>
        <v>576000</v>
      </c>
      <c r="P91" s="46">
        <f t="shared" ca="1" si="4"/>
        <v>4.2105263157882393E-3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input_565010!A$2</f>
        <v>565010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IFERROR(VLOOKUP(B92,input_565010!L:R,7,FALSE),VLOOKUP(tables_565010!C92,input_565010!A:H,8,FALSE))</f>
        <v>23169.230769999998</v>
      </c>
      <c r="P92" s="46">
        <f t="shared" ca="1" si="4"/>
        <v>1.6936572200287431E-4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input_565010!A$2</f>
        <v>565010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IFERROR(VLOOKUP(B93,input_565010!L:R,7,FALSE),VLOOKUP(tables_565010!C93,input_565010!A:H,8,FALSE))</f>
        <v>345600</v>
      </c>
      <c r="P93" s="46">
        <f t="shared" ca="1" si="4"/>
        <v>2.5263157894729435E-3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input_565010!A$2</f>
        <v>565010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IFERROR(VLOOKUP(B94,input_565010!L:R,7,FALSE),VLOOKUP(tables_565010!C94,input_565010!A:H,8,FALSE))</f>
        <v>576000</v>
      </c>
      <c r="P94" s="46">
        <f t="shared" ca="1" si="4"/>
        <v>4.2105263157882393E-3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input_565010!A$2</f>
        <v>565010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IFERROR(VLOOKUP(B95,input_565010!L:R,7,FALSE),VLOOKUP(tables_565010!C95,input_565010!A:H,8,FALSE))</f>
        <v>23169.230769999998</v>
      </c>
      <c r="P95" s="46">
        <f t="shared" ca="1" si="4"/>
        <v>1.6936572200287431E-4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input_565010!A$2</f>
        <v>565010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IFERROR(VLOOKUP(B96,input_565010!L:R,7,FALSE),VLOOKUP(tables_565010!C96,input_565010!A:H,8,FALSE))</f>
        <v>345600</v>
      </c>
      <c r="P96" s="46">
        <f t="shared" ca="1" si="4"/>
        <v>2.5263157894729435E-3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input_565010!A$2</f>
        <v>565010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IFERROR(VLOOKUP(B97,input_565010!L:R,7,FALSE),VLOOKUP(tables_565010!C97,input_565010!A:H,8,FALSE))</f>
        <v>576000</v>
      </c>
      <c r="P97" s="46">
        <f t="shared" ca="1" si="4"/>
        <v>4.2105263157882393E-3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input_565010!A$2</f>
        <v>565010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IFERROR(VLOOKUP(B98,input_565010!L:R,7,FALSE),VLOOKUP(tables_565010!C98,input_565010!A:H,8,FALSE))</f>
        <v>23169.230769999998</v>
      </c>
      <c r="P98" s="46">
        <f t="shared" ca="1" si="4"/>
        <v>1.6936572200287431E-4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input_565010!A$2</f>
        <v>565010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IFERROR(VLOOKUP(B99,input_565010!L:R,7,FALSE),VLOOKUP(tables_565010!C99,input_565010!A:H,8,FALSE))</f>
        <v>345600</v>
      </c>
      <c r="P99" s="46">
        <f t="shared" ca="1" si="4"/>
        <v>2.5263157894729435E-3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input_565010!A$2</f>
        <v>565010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IFERROR(VLOOKUP(B100,input_565010!L:R,7,FALSE),VLOOKUP(tables_565010!C100,input_565010!A:H,8,FALSE))</f>
        <v>576000</v>
      </c>
      <c r="P100" s="46">
        <f t="shared" ca="1" si="4"/>
        <v>4.2105263157882393E-3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input_565010!A$2</f>
        <v>565010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IFERROR(VLOOKUP(B101,input_565010!L:R,7,FALSE),VLOOKUP(tables_565010!C101,input_565010!A:H,8,FALSE))</f>
        <v>23169.230769999998</v>
      </c>
      <c r="P101" s="46">
        <f t="shared" ca="1" si="4"/>
        <v>1.6936572200287431E-4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input_565010!A$2</f>
        <v>565010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IFERROR(VLOOKUP(B102,input_565010!L:R,7,FALSE),VLOOKUP(tables_565010!C102,input_565010!A:H,8,FALSE))</f>
        <v>345600</v>
      </c>
      <c r="P102" s="46">
        <f t="shared" ca="1" si="4"/>
        <v>2.5263157894729435E-3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input_565010!A$2</f>
        <v>565010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IFERROR(VLOOKUP(B103,input_565010!L:R,7,FALSE),VLOOKUP(tables_565010!C103,input_565010!A:H,8,FALSE))</f>
        <v>576000</v>
      </c>
      <c r="P103" s="46">
        <f t="shared" ca="1" si="4"/>
        <v>4.2105263157882393E-3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input_565010!A$2</f>
        <v>565010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IFERROR(VLOOKUP(B104,input_565010!L:R,7,FALSE),VLOOKUP(tables_565010!C104,input_565010!A:H,8,FALSE))</f>
        <v>23169.230769999998</v>
      </c>
      <c r="P104" s="46">
        <f t="shared" ca="1" si="4"/>
        <v>1.6936572200287431E-4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input_565010!A$2</f>
        <v>565010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IFERROR(VLOOKUP(B105,input_565010!L:R,7,FALSE),VLOOKUP(tables_565010!C105,input_565010!A:H,8,FALSE))</f>
        <v>345600</v>
      </c>
      <c r="P105" s="46">
        <f t="shared" ca="1" si="4"/>
        <v>2.5263157894729435E-3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input_565010!A$2</f>
        <v>565010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IFERROR(VLOOKUP(B106,input_565010!L:R,7,FALSE),VLOOKUP(tables_565010!C106,input_565010!A:H,8,FALSE))</f>
        <v>576000</v>
      </c>
      <c r="P106" s="46">
        <f t="shared" ca="1" si="4"/>
        <v>4.2105263157882393E-3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input_565010!A$2</f>
        <v>565010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IFERROR(VLOOKUP(B107,input_565010!L:R,7,FALSE),VLOOKUP(tables_565010!C107,input_565010!A:H,8,FALSE))</f>
        <v>23169.230769999998</v>
      </c>
      <c r="P107" s="46">
        <f t="shared" ca="1" si="4"/>
        <v>1.6936572200287431E-4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input_565010!A$2</f>
        <v>565010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IFERROR(VLOOKUP(B108,input_565010!L:R,7,FALSE),VLOOKUP(tables_565010!C108,input_565010!A:H,8,FALSE))</f>
        <v>345600</v>
      </c>
      <c r="P108" s="46">
        <f t="shared" ca="1" si="4"/>
        <v>2.5263157894729435E-3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input_565010!A$2</f>
        <v>565010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IFERROR(VLOOKUP(B109,input_565010!L:R,7,FALSE),VLOOKUP(tables_565010!C109,input_565010!A:H,8,FALSE))</f>
        <v>576000</v>
      </c>
      <c r="P109" s="46">
        <f t="shared" ca="1" si="4"/>
        <v>4.2105263157882393E-3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input_565010!A$2</f>
        <v>565010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IFERROR(VLOOKUP(B110,input_565010!L:R,7,FALSE),VLOOKUP(tables_565010!C110,input_565010!A:H,8,FALSE))</f>
        <v>23169.230769999998</v>
      </c>
      <c r="P110" s="46">
        <f t="shared" ca="1" si="4"/>
        <v>1.6936572200287431E-4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input_565010!A$2</f>
        <v>565010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IFERROR(VLOOKUP(B111,input_565010!L:R,7,FALSE),VLOOKUP(tables_565010!C111,input_565010!A:H,8,FALSE))</f>
        <v>345600</v>
      </c>
      <c r="P111" s="46">
        <f t="shared" ca="1" si="4"/>
        <v>2.5263157894729435E-3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input_565010!A$2</f>
        <v>565010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IFERROR(VLOOKUP(B112,input_565010!L:R,7,FALSE),VLOOKUP(tables_565010!C112,input_565010!A:H,8,FALSE))</f>
        <v>576000</v>
      </c>
      <c r="P112" s="46">
        <f t="shared" ca="1" si="4"/>
        <v>4.2105263157882393E-3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input_565010!A$2</f>
        <v>565010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IFERROR(VLOOKUP(B113,input_565010!L:R,7,FALSE),VLOOKUP(tables_565010!C113,input_565010!A:H,8,FALSE))</f>
        <v>230400</v>
      </c>
      <c r="P113" s="46">
        <f t="shared" ca="1" si="4"/>
        <v>1.6842105263152956E-3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input_565010!A$2</f>
        <v>565010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IFERROR(VLOOKUP(B114,input_565010!L:R,7,FALSE),VLOOKUP(tables_565010!C114,input_565010!A:H,8,FALSE))</f>
        <v>345600</v>
      </c>
      <c r="P114" s="46">
        <f t="shared" ca="1" si="4"/>
        <v>2.5263157894729435E-3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input_565010!A$2</f>
        <v>565010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IFERROR(VLOOKUP(B115,input_565010!L:R,7,FALSE),VLOOKUP(tables_565010!C115,input_565010!A:H,8,FALSE))</f>
        <v>576000</v>
      </c>
      <c r="P115" s="46">
        <f t="shared" ca="1" si="4"/>
        <v>4.2105263157882393E-3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input_565010!A$2</f>
        <v>565010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IFERROR(VLOOKUP(B116,input_565010!L:R,7,FALSE),VLOOKUP(tables_565010!C116,input_565010!A:H,8,FALSE))</f>
        <v>23169.230769999998</v>
      </c>
      <c r="P116" s="46">
        <f t="shared" ca="1" si="4"/>
        <v>1.6936572200287431E-4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input_565010!A$2</f>
        <v>565010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IFERROR(VLOOKUP(B117,input_565010!L:R,7,FALSE),VLOOKUP(tables_565010!C117,input_565010!A:H,8,FALSE))</f>
        <v>345600</v>
      </c>
      <c r="P117" s="46">
        <f t="shared" ca="1" si="4"/>
        <v>2.5263157894729435E-3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input_565010!A$2</f>
        <v>565010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IFERROR(VLOOKUP(B118,input_565010!L:R,7,FALSE),VLOOKUP(tables_565010!C118,input_565010!A:H,8,FALSE))</f>
        <v>576000</v>
      </c>
      <c r="P118" s="46">
        <f t="shared" ca="1" si="4"/>
        <v>4.2105263157882393E-3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input_565010!A$2</f>
        <v>565010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IFERROR(VLOOKUP(B119,input_565010!L:R,7,FALSE),VLOOKUP(tables_565010!C119,input_565010!A:H,8,FALSE))</f>
        <v>23169.230769999998</v>
      </c>
      <c r="P119" s="46">
        <f t="shared" ca="1" si="4"/>
        <v>1.6936572200287431E-4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input_565010!A$2</f>
        <v>565010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IFERROR(VLOOKUP(B120,input_565010!L:R,7,FALSE),VLOOKUP(tables_565010!C120,input_565010!A:H,8,FALSE))</f>
        <v>345600</v>
      </c>
      <c r="P120" s="46">
        <f t="shared" ca="1" si="4"/>
        <v>2.5263157894729435E-3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input_565010!A$2</f>
        <v>565010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IFERROR(VLOOKUP(B121,input_565010!L:R,7,FALSE),VLOOKUP(tables_565010!C121,input_565010!A:H,8,FALSE))</f>
        <v>576000</v>
      </c>
      <c r="P121" s="46">
        <f t="shared" ca="1" si="4"/>
        <v>4.2105263157882393E-3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input_565010!A$2</f>
        <v>565010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IFERROR(VLOOKUP(B122,input_565010!L:R,7,FALSE),VLOOKUP(tables_565010!C122,input_565010!A:H,8,FALSE))</f>
        <v>23169.230769999998</v>
      </c>
      <c r="P122" s="46">
        <f t="shared" ca="1" si="4"/>
        <v>1.6936572200287431E-4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input_565010!A$2</f>
        <v>565010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IFERROR(VLOOKUP(B123,input_565010!L:R,7,FALSE),VLOOKUP(tables_565010!C123,input_565010!A:H,8,FALSE))</f>
        <v>345600</v>
      </c>
      <c r="P123" s="46">
        <f t="shared" ca="1" si="4"/>
        <v>2.5263157894729435E-3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input_565010!A$2</f>
        <v>565010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IFERROR(VLOOKUP(B124,input_565010!L:R,7,FALSE),VLOOKUP(tables_565010!C124,input_565010!A:H,8,FALSE))</f>
        <v>576000</v>
      </c>
      <c r="P124" s="46">
        <f t="shared" ca="1" si="4"/>
        <v>4.2105263157882393E-3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input_565010!A$2</f>
        <v>565010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IFERROR(VLOOKUP(B125,input_565010!L:R,7,FALSE),VLOOKUP(tables_565010!C125,input_565010!A:H,8,FALSE))</f>
        <v>23169.230769999998</v>
      </c>
      <c r="P125" s="46">
        <f t="shared" ca="1" si="4"/>
        <v>1.6936572200287431E-4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input_565010!A$2</f>
        <v>565010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IFERROR(VLOOKUP(B126,input_565010!L:R,7,FALSE),VLOOKUP(tables_565010!C126,input_565010!A:H,8,FALSE))</f>
        <v>345600</v>
      </c>
      <c r="P126" s="46">
        <f t="shared" ca="1" si="4"/>
        <v>2.5263157894729435E-3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input_565010!A$2</f>
        <v>565010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IFERROR(VLOOKUP(B127,input_565010!L:R,7,FALSE),VLOOKUP(tables_565010!C127,input_565010!A:H,8,FALSE))</f>
        <v>576000</v>
      </c>
      <c r="P127" s="46">
        <f t="shared" ca="1" si="4"/>
        <v>4.2105263157882393E-3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input_565010!A$2</f>
        <v>565010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IFERROR(VLOOKUP(B128,input_565010!L:R,7,FALSE),VLOOKUP(tables_565010!C128,input_565010!A:H,8,FALSE))</f>
        <v>23169.230769999998</v>
      </c>
      <c r="P128" s="46">
        <f t="shared" ca="1" si="4"/>
        <v>1.6936572200287431E-4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input_565010!A$2</f>
        <v>565010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IFERROR(VLOOKUP(B129,input_565010!L:R,7,FALSE),VLOOKUP(tables_565010!C129,input_565010!A:H,8,FALSE))</f>
        <v>345600</v>
      </c>
      <c r="P129" s="46">
        <f t="shared" ca="1" si="4"/>
        <v>2.5263157894729435E-3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input_565010!A$2</f>
        <v>565010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IFERROR(VLOOKUP(B130,input_565010!L:R,7,FALSE),VLOOKUP(tables_565010!C130,input_565010!A:H,8,FALSE))</f>
        <v>576000</v>
      </c>
      <c r="P130" s="46">
        <f t="shared" ref="P130:P193" ca="1" si="7">O130/SUM(O:O)</f>
        <v>4.2105263157882393E-3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input_565010!A$2</f>
        <v>565010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IFERROR(VLOOKUP(B131,input_565010!L:R,7,FALSE),VLOOKUP(tables_565010!C131,input_565010!A:H,8,FALSE))</f>
        <v>23169.230769999998</v>
      </c>
      <c r="P131" s="46">
        <f t="shared" ca="1" si="7"/>
        <v>1.6936572200287431E-4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input_565010!A$2</f>
        <v>565010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IFERROR(VLOOKUP(B132,input_565010!L:R,7,FALSE),VLOOKUP(tables_565010!C132,input_565010!A:H,8,FALSE))</f>
        <v>345600</v>
      </c>
      <c r="P132" s="46">
        <f t="shared" ca="1" si="7"/>
        <v>2.5263157894729435E-3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input_565010!A$2</f>
        <v>565010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IFERROR(VLOOKUP(B133,input_565010!L:R,7,FALSE),VLOOKUP(tables_565010!C133,input_565010!A:H,8,FALSE))</f>
        <v>576000</v>
      </c>
      <c r="P133" s="46">
        <f t="shared" ca="1" si="7"/>
        <v>4.2105263157882393E-3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input_565010!A$2</f>
        <v>565010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IFERROR(VLOOKUP(B134,input_565010!L:R,7,FALSE),VLOOKUP(tables_565010!C134,input_565010!A:H,8,FALSE))</f>
        <v>23169.230769999998</v>
      </c>
      <c r="P134" s="46">
        <f t="shared" ca="1" si="7"/>
        <v>1.6936572200287431E-4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input_565010!A$2</f>
        <v>565010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IFERROR(VLOOKUP(B135,input_565010!L:R,7,FALSE),VLOOKUP(tables_565010!C135,input_565010!A:H,8,FALSE))</f>
        <v>345600</v>
      </c>
      <c r="P135" s="46">
        <f t="shared" ca="1" si="7"/>
        <v>2.5263157894729435E-3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input_565010!A$2</f>
        <v>565010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IFERROR(VLOOKUP(B136,input_565010!L:R,7,FALSE),VLOOKUP(tables_565010!C136,input_565010!A:H,8,FALSE))</f>
        <v>576000</v>
      </c>
      <c r="P136" s="46">
        <f t="shared" ca="1" si="7"/>
        <v>4.2105263157882393E-3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input_565010!A$2</f>
        <v>565010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IFERROR(VLOOKUP(B137,input_565010!L:R,7,FALSE),VLOOKUP(tables_565010!C137,input_565010!A:H,8,FALSE))</f>
        <v>23169.230769999998</v>
      </c>
      <c r="P137" s="46">
        <f t="shared" ca="1" si="7"/>
        <v>1.6936572200287431E-4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input_565010!A$2</f>
        <v>565010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IFERROR(VLOOKUP(B138,input_565010!L:R,7,FALSE),VLOOKUP(tables_565010!C138,input_565010!A:H,8,FALSE))</f>
        <v>45600</v>
      </c>
      <c r="P138" s="46">
        <f t="shared" ca="1" si="7"/>
        <v>3.3333333333323558E-4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input_565010!A$2</f>
        <v>565010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IFERROR(VLOOKUP(B139,input_565010!L:R,7,FALSE),VLOOKUP(tables_565010!C139,input_565010!A:H,8,FALSE))</f>
        <v>11400</v>
      </c>
      <c r="P139" s="46">
        <f t="shared" ca="1" si="7"/>
        <v>8.3333333333308895E-5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input_565010!A$2</f>
        <v>565010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IFERROR(VLOOKUP(B140,input_565010!L:R,7,FALSE),VLOOKUP(tables_565010!C140,input_565010!A:H,8,FALSE))</f>
        <v>45600</v>
      </c>
      <c r="P140" s="46">
        <f t="shared" ca="1" si="7"/>
        <v>3.3333333333323558E-4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input_565010!A$2</f>
        <v>565010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IFERROR(VLOOKUP(B141,input_565010!L:R,7,FALSE),VLOOKUP(tables_565010!C141,input_565010!A:H,8,FALSE))</f>
        <v>11400</v>
      </c>
      <c r="P141" s="46">
        <f t="shared" ca="1" si="7"/>
        <v>8.3333333333308895E-5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input_565010!A$2</f>
        <v>565010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IFERROR(VLOOKUP(B142,input_565010!L:R,7,FALSE),VLOOKUP(tables_565010!C142,input_565010!A:H,8,FALSE))</f>
        <v>45600</v>
      </c>
      <c r="P142" s="46">
        <f t="shared" ca="1" si="7"/>
        <v>3.3333333333323558E-4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input_565010!A$2</f>
        <v>565010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IFERROR(VLOOKUP(B143,input_565010!L:R,7,FALSE),VLOOKUP(tables_565010!C143,input_565010!A:H,8,FALSE))</f>
        <v>11400</v>
      </c>
      <c r="P143" s="46">
        <f t="shared" ca="1" si="7"/>
        <v>8.3333333333308895E-5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input_565010!A$2</f>
        <v>565010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IFERROR(VLOOKUP(B144,input_565010!L:R,7,FALSE),VLOOKUP(tables_565010!C144,input_565010!A:H,8,FALSE))</f>
        <v>45600</v>
      </c>
      <c r="P144" s="46">
        <f t="shared" ca="1" si="7"/>
        <v>3.3333333333323558E-4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input_565010!A$2</f>
        <v>565010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IFERROR(VLOOKUP(B145,input_565010!L:R,7,FALSE),VLOOKUP(tables_565010!C145,input_565010!A:H,8,FALSE))</f>
        <v>11400</v>
      </c>
      <c r="P145" s="46">
        <f t="shared" ca="1" si="7"/>
        <v>8.3333333333308895E-5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input_565010!A$2</f>
        <v>565010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IFERROR(VLOOKUP(B146,input_565010!L:R,7,FALSE),VLOOKUP(tables_565010!C146,input_565010!A:H,8,FALSE))</f>
        <v>345600</v>
      </c>
      <c r="P146" s="46">
        <f t="shared" ca="1" si="7"/>
        <v>2.5263157894729435E-3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input_565010!A$2</f>
        <v>565010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IFERROR(VLOOKUP(B147,input_565010!L:R,7,FALSE),VLOOKUP(tables_565010!C147,input_565010!A:H,8,FALSE))</f>
        <v>576000</v>
      </c>
      <c r="P147" s="46">
        <f t="shared" ca="1" si="7"/>
        <v>4.2105263157882393E-3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input_565010!A$2</f>
        <v>565010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IFERROR(VLOOKUP(B148,input_565010!L:R,7,FALSE),VLOOKUP(tables_565010!C148,input_565010!A:H,8,FALSE))</f>
        <v>23169.230769999998</v>
      </c>
      <c r="P148" s="46">
        <f t="shared" ca="1" si="7"/>
        <v>1.6936572200287431E-4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input_565010!A$2</f>
        <v>565010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IFERROR(VLOOKUP(B149,input_565010!L:R,7,FALSE),VLOOKUP(tables_565010!C149,input_565010!A:H,8,FALSE))</f>
        <v>45600</v>
      </c>
      <c r="P149" s="46">
        <f t="shared" ca="1" si="7"/>
        <v>3.3333333333323558E-4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input_565010!A$2</f>
        <v>565010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IFERROR(VLOOKUP(B150,input_565010!L:R,7,FALSE),VLOOKUP(tables_565010!C150,input_565010!A:H,8,FALSE))</f>
        <v>11400</v>
      </c>
      <c r="P150" s="46">
        <f t="shared" ca="1" si="7"/>
        <v>8.3333333333308895E-5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input_565010!A$2</f>
        <v>565010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IFERROR(VLOOKUP(B151,input_565010!L:R,7,FALSE),VLOOKUP(tables_565010!C151,input_565010!A:H,8,FALSE))</f>
        <v>45600</v>
      </c>
      <c r="P151" s="46">
        <f t="shared" ca="1" si="7"/>
        <v>3.3333333333323558E-4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input_565010!A$2</f>
        <v>565010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IFERROR(VLOOKUP(B152,input_565010!L:R,7,FALSE),VLOOKUP(tables_565010!C152,input_565010!A:H,8,FALSE))</f>
        <v>11400</v>
      </c>
      <c r="P152" s="46">
        <f t="shared" ca="1" si="7"/>
        <v>8.3333333333308895E-5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input_565010!A$2</f>
        <v>565010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IFERROR(VLOOKUP(B153,input_565010!L:R,7,FALSE),VLOOKUP(tables_565010!C153,input_565010!A:H,8,FALSE))</f>
        <v>345600</v>
      </c>
      <c r="P153" s="46">
        <f t="shared" ca="1" si="7"/>
        <v>2.5263157894729435E-3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input_565010!A$2</f>
        <v>565010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IFERROR(VLOOKUP(B154,input_565010!L:R,7,FALSE),VLOOKUP(tables_565010!C154,input_565010!A:H,8,FALSE))</f>
        <v>576000</v>
      </c>
      <c r="P154" s="46">
        <f t="shared" ca="1" si="7"/>
        <v>4.2105263157882393E-3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input_565010!A$2</f>
        <v>565010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IFERROR(VLOOKUP(B155,input_565010!L:R,7,FALSE),VLOOKUP(tables_565010!C155,input_565010!A:H,8,FALSE))</f>
        <v>23169.230769999998</v>
      </c>
      <c r="P155" s="46">
        <f t="shared" ca="1" si="7"/>
        <v>1.6936572200287431E-4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input_565010!A$2</f>
        <v>565010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IFERROR(VLOOKUP(B156,input_565010!L:R,7,FALSE),VLOOKUP(tables_565010!C156,input_565010!A:H,8,FALSE))</f>
        <v>45600</v>
      </c>
      <c r="P156" s="46">
        <f t="shared" ca="1" si="7"/>
        <v>3.3333333333323558E-4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input_565010!A$2</f>
        <v>565010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IFERROR(VLOOKUP(B157,input_565010!L:R,7,FALSE),VLOOKUP(tables_565010!C157,input_565010!A:H,8,FALSE))</f>
        <v>11400</v>
      </c>
      <c r="P157" s="46">
        <f t="shared" ca="1" si="7"/>
        <v>8.3333333333308895E-5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input_565010!A$2</f>
        <v>565010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IFERROR(VLOOKUP(B158,input_565010!L:R,7,FALSE),VLOOKUP(tables_565010!C158,input_565010!A:H,8,FALSE))</f>
        <v>345600</v>
      </c>
      <c r="P158" s="46">
        <f t="shared" ca="1" si="7"/>
        <v>2.5263157894729435E-3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input_565010!A$2</f>
        <v>565010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IFERROR(VLOOKUP(B159,input_565010!L:R,7,FALSE),VLOOKUP(tables_565010!C159,input_565010!A:H,8,FALSE))</f>
        <v>576000</v>
      </c>
      <c r="P159" s="46">
        <f t="shared" ca="1" si="7"/>
        <v>4.2105263157882393E-3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input_565010!A$2</f>
        <v>565010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IFERROR(VLOOKUP(B160,input_565010!L:R,7,FALSE),VLOOKUP(tables_565010!C160,input_565010!A:H,8,FALSE))</f>
        <v>23169.230769999998</v>
      </c>
      <c r="P160" s="46">
        <f t="shared" ca="1" si="7"/>
        <v>1.6936572200287431E-4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input_565010!A$2</f>
        <v>565010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IFERROR(VLOOKUP(B161,input_565010!L:R,7,FALSE),VLOOKUP(tables_565010!C161,input_565010!A:H,8,FALSE))</f>
        <v>345600</v>
      </c>
      <c r="P161" s="46">
        <f t="shared" ca="1" si="7"/>
        <v>2.5263157894729435E-3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input_565010!A$2</f>
        <v>565010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IFERROR(VLOOKUP(B162,input_565010!L:R,7,FALSE),VLOOKUP(tables_565010!C162,input_565010!A:H,8,FALSE))</f>
        <v>576000</v>
      </c>
      <c r="P162" s="46">
        <f t="shared" ca="1" si="7"/>
        <v>4.2105263157882393E-3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input_565010!A$2</f>
        <v>565010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IFERROR(VLOOKUP(B163,input_565010!L:R,7,FALSE),VLOOKUP(tables_565010!C163,input_565010!A:H,8,FALSE))</f>
        <v>23169.230769999998</v>
      </c>
      <c r="P163" s="46">
        <f t="shared" ca="1" si="7"/>
        <v>1.6936572200287431E-4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input_565010!A$2</f>
        <v>565010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IFERROR(VLOOKUP(B164,input_565010!L:R,7,FALSE),VLOOKUP(tables_565010!C164,input_565010!A:H,8,FALSE))</f>
        <v>45600</v>
      </c>
      <c r="P164" s="46">
        <f t="shared" ca="1" si="7"/>
        <v>3.3333333333323558E-4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input_565010!A$2</f>
        <v>565010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IFERROR(VLOOKUP(B165,input_565010!L:R,7,FALSE),VLOOKUP(tables_565010!C165,input_565010!A:H,8,FALSE))</f>
        <v>11400</v>
      </c>
      <c r="P165" s="46">
        <f t="shared" ca="1" si="7"/>
        <v>8.3333333333308895E-5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input_565010!A$2</f>
        <v>565010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IFERROR(VLOOKUP(B166,input_565010!L:R,7,FALSE),VLOOKUP(tables_565010!C166,input_565010!A:H,8,FALSE))</f>
        <v>345600</v>
      </c>
      <c r="P166" s="46">
        <f t="shared" ca="1" si="7"/>
        <v>2.5263157894729435E-3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input_565010!A$2</f>
        <v>565010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IFERROR(VLOOKUP(B167,input_565010!L:R,7,FALSE),VLOOKUP(tables_565010!C167,input_565010!A:H,8,FALSE))</f>
        <v>576000</v>
      </c>
      <c r="P167" s="46">
        <f t="shared" ca="1" si="7"/>
        <v>4.2105263157882393E-3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input_565010!A$2</f>
        <v>565010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IFERROR(VLOOKUP(B168,input_565010!L:R,7,FALSE),VLOOKUP(tables_565010!C168,input_565010!A:H,8,FALSE))</f>
        <v>23169.230769999998</v>
      </c>
      <c r="P168" s="46">
        <f t="shared" ca="1" si="7"/>
        <v>1.6936572200287431E-4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input_565010!A$2</f>
        <v>565010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IFERROR(VLOOKUP(B169,input_565010!L:R,7,FALSE),VLOOKUP(tables_565010!C169,input_565010!A:H,8,FALSE))</f>
        <v>45600</v>
      </c>
      <c r="P169" s="46">
        <f t="shared" ca="1" si="7"/>
        <v>3.3333333333323558E-4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input_565010!A$2</f>
        <v>565010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IFERROR(VLOOKUP(B170,input_565010!L:R,7,FALSE),VLOOKUP(tables_565010!C170,input_565010!A:H,8,FALSE))</f>
        <v>11400</v>
      </c>
      <c r="P170" s="46">
        <f t="shared" ca="1" si="7"/>
        <v>8.3333333333308895E-5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input_565010!A$2</f>
        <v>565010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IFERROR(VLOOKUP(B171,input_565010!L:R,7,FALSE),VLOOKUP(tables_565010!C171,input_565010!A:H,8,FALSE))</f>
        <v>345600</v>
      </c>
      <c r="P171" s="46">
        <f t="shared" ca="1" si="7"/>
        <v>2.5263157894729435E-3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input_565010!A$2</f>
        <v>565010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IFERROR(VLOOKUP(B172,input_565010!L:R,7,FALSE),VLOOKUP(tables_565010!C172,input_565010!A:H,8,FALSE))</f>
        <v>576000</v>
      </c>
      <c r="P172" s="46">
        <f t="shared" ca="1" si="7"/>
        <v>4.2105263157882393E-3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input_565010!A$2</f>
        <v>565010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IFERROR(VLOOKUP(B173,input_565010!L:R,7,FALSE),VLOOKUP(tables_565010!C173,input_565010!A:H,8,FALSE))</f>
        <v>23169.230769999998</v>
      </c>
      <c r="P173" s="46">
        <f t="shared" ca="1" si="7"/>
        <v>1.6936572200287431E-4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input_565010!A$2</f>
        <v>565010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IFERROR(VLOOKUP(B174,input_565010!L:R,7,FALSE),VLOOKUP(tables_565010!C174,input_565010!A:H,8,FALSE))</f>
        <v>45600</v>
      </c>
      <c r="P174" s="46">
        <f t="shared" ca="1" si="7"/>
        <v>3.3333333333323558E-4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input_565010!A$2</f>
        <v>565010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IFERROR(VLOOKUP(B175,input_565010!L:R,7,FALSE),VLOOKUP(tables_565010!C175,input_565010!A:H,8,FALSE))</f>
        <v>11400</v>
      </c>
      <c r="P175" s="46">
        <f t="shared" ca="1" si="7"/>
        <v>8.3333333333308895E-5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input_565010!A$2</f>
        <v>565010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IFERROR(VLOOKUP(B176,input_565010!L:R,7,FALSE),VLOOKUP(tables_565010!C176,input_565010!A:H,8,FALSE))</f>
        <v>45600</v>
      </c>
      <c r="P176" s="46">
        <f t="shared" ca="1" si="7"/>
        <v>3.3333333333323558E-4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input_565010!A$2</f>
        <v>565010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IFERROR(VLOOKUP(B177,input_565010!L:R,7,FALSE),VLOOKUP(tables_565010!C177,input_565010!A:H,8,FALSE))</f>
        <v>11400</v>
      </c>
      <c r="P177" s="46">
        <f t="shared" ca="1" si="7"/>
        <v>8.3333333333308895E-5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input_565010!A$2</f>
        <v>565010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IFERROR(VLOOKUP(B178,input_565010!L:R,7,FALSE),VLOOKUP(tables_565010!C178,input_565010!A:H,8,FALSE))</f>
        <v>345600</v>
      </c>
      <c r="P178" s="46">
        <f t="shared" ca="1" si="7"/>
        <v>2.5263157894729435E-3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input_565010!A$2</f>
        <v>565010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IFERROR(VLOOKUP(B179,input_565010!L:R,7,FALSE),VLOOKUP(tables_565010!C179,input_565010!A:H,8,FALSE))</f>
        <v>576000</v>
      </c>
      <c r="P179" s="46">
        <f t="shared" ca="1" si="7"/>
        <v>4.2105263157882393E-3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input_565010!A$2</f>
        <v>565010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IFERROR(VLOOKUP(B180,input_565010!L:R,7,FALSE),VLOOKUP(tables_565010!C180,input_565010!A:H,8,FALSE))</f>
        <v>23169.230769999998</v>
      </c>
      <c r="P180" s="46">
        <f t="shared" ca="1" si="7"/>
        <v>1.6936572200287431E-4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input_565010!A$2</f>
        <v>565010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IFERROR(VLOOKUP(B181,input_565010!L:R,7,FALSE),VLOOKUP(tables_565010!C181,input_565010!A:H,8,FALSE))</f>
        <v>345600</v>
      </c>
      <c r="P181" s="46">
        <f t="shared" ca="1" si="7"/>
        <v>2.5263157894729435E-3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input_565010!A$2</f>
        <v>565010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IFERROR(VLOOKUP(B182,input_565010!L:R,7,FALSE),VLOOKUP(tables_565010!C182,input_565010!A:H,8,FALSE))</f>
        <v>576000</v>
      </c>
      <c r="P182" s="46">
        <f t="shared" ca="1" si="7"/>
        <v>4.2105263157882393E-3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input_565010!A$2</f>
        <v>565010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IFERROR(VLOOKUP(B183,input_565010!L:R,7,FALSE),VLOOKUP(tables_565010!C183,input_565010!A:H,8,FALSE))</f>
        <v>23169.230769999998</v>
      </c>
      <c r="P183" s="46">
        <f t="shared" ca="1" si="7"/>
        <v>1.6936572200287431E-4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input_565010!A$2</f>
        <v>565010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IFERROR(VLOOKUP(B184,input_565010!L:R,7,FALSE),VLOOKUP(tables_565010!C184,input_565010!A:H,8,FALSE))</f>
        <v>45600</v>
      </c>
      <c r="P184" s="46">
        <f t="shared" ca="1" si="7"/>
        <v>3.3333333333323558E-4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input_565010!A$2</f>
        <v>565010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IFERROR(VLOOKUP(B185,input_565010!L:R,7,FALSE),VLOOKUP(tables_565010!C185,input_565010!A:H,8,FALSE))</f>
        <v>11400</v>
      </c>
      <c r="P185" s="46">
        <f t="shared" ca="1" si="7"/>
        <v>8.3333333333308895E-5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input_565010!A$2</f>
        <v>565010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IFERROR(VLOOKUP(B186,input_565010!L:R,7,FALSE),VLOOKUP(tables_565010!C186,input_565010!A:H,8,FALSE))</f>
        <v>345600</v>
      </c>
      <c r="P186" s="46">
        <f t="shared" ca="1" si="7"/>
        <v>2.5263157894729435E-3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input_565010!A$2</f>
        <v>565010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IFERROR(VLOOKUP(B187,input_565010!L:R,7,FALSE),VLOOKUP(tables_565010!C187,input_565010!A:H,8,FALSE))</f>
        <v>576000</v>
      </c>
      <c r="P187" s="46">
        <f t="shared" ca="1" si="7"/>
        <v>4.2105263157882393E-3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input_565010!A$2</f>
        <v>565010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IFERROR(VLOOKUP(B188,input_565010!L:R,7,FALSE),VLOOKUP(tables_565010!C188,input_565010!A:H,8,FALSE))</f>
        <v>23169.230769999998</v>
      </c>
      <c r="P188" s="46">
        <f t="shared" ca="1" si="7"/>
        <v>1.6936572200287431E-4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input_565010!A$2</f>
        <v>565010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IFERROR(VLOOKUP(B189,input_565010!L:R,7,FALSE),VLOOKUP(tables_565010!C189,input_565010!A:H,8,FALSE))</f>
        <v>45600</v>
      </c>
      <c r="P189" s="46">
        <f t="shared" ca="1" si="7"/>
        <v>3.3333333333323558E-4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input_565010!A$2</f>
        <v>565010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IFERROR(VLOOKUP(B190,input_565010!L:R,7,FALSE),VLOOKUP(tables_565010!C190,input_565010!A:H,8,FALSE))</f>
        <v>11400</v>
      </c>
      <c r="P190" s="46">
        <f t="shared" ca="1" si="7"/>
        <v>8.3333333333308895E-5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input_565010!A$2</f>
        <v>565010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IFERROR(VLOOKUP(B191,input_565010!L:R,7,FALSE),VLOOKUP(tables_565010!C191,input_565010!A:H,8,FALSE))</f>
        <v>45600</v>
      </c>
      <c r="P191" s="46">
        <f t="shared" ca="1" si="7"/>
        <v>3.3333333333323558E-4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input_565010!A$2</f>
        <v>565010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IFERROR(VLOOKUP(B192,input_565010!L:R,7,FALSE),VLOOKUP(tables_565010!C192,input_565010!A:H,8,FALSE))</f>
        <v>11400</v>
      </c>
      <c r="P192" s="46">
        <f t="shared" ca="1" si="7"/>
        <v>8.3333333333308895E-5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input_565010!A$2</f>
        <v>565010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IFERROR(VLOOKUP(B193,input_565010!L:R,7,FALSE),VLOOKUP(tables_565010!C193,input_565010!A:H,8,FALSE))</f>
        <v>345600</v>
      </c>
      <c r="P193" s="46">
        <f t="shared" ca="1" si="7"/>
        <v>2.5263157894729435E-3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input_565010!A$2</f>
        <v>565010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IFERROR(VLOOKUP(B194,input_565010!L:R,7,FALSE),VLOOKUP(tables_565010!C194,input_565010!A:H,8,FALSE))</f>
        <v>576000</v>
      </c>
      <c r="P194" s="46">
        <f t="shared" ref="P194:P257" ca="1" si="10">O194/SUM(O:O)</f>
        <v>4.2105263157882393E-3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input_565010!A$2</f>
        <v>565010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IFERROR(VLOOKUP(B195,input_565010!L:R,7,FALSE),VLOOKUP(tables_565010!C195,input_565010!A:H,8,FALSE))</f>
        <v>23169.230769999998</v>
      </c>
      <c r="P195" s="46">
        <f t="shared" ca="1" si="10"/>
        <v>1.6936572200287431E-4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input_565010!A$2</f>
        <v>565010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IFERROR(VLOOKUP(B196,input_565010!L:R,7,FALSE),VLOOKUP(tables_565010!C196,input_565010!A:H,8,FALSE))</f>
        <v>45600</v>
      </c>
      <c r="P196" s="46">
        <f t="shared" ca="1" si="10"/>
        <v>3.3333333333323558E-4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input_565010!A$2</f>
        <v>565010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IFERROR(VLOOKUP(B197,input_565010!L:R,7,FALSE),VLOOKUP(tables_565010!C197,input_565010!A:H,8,FALSE))</f>
        <v>11400</v>
      </c>
      <c r="P197" s="46">
        <f t="shared" ca="1" si="10"/>
        <v>8.3333333333308895E-5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input_565010!A$2</f>
        <v>565010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IFERROR(VLOOKUP(B198,input_565010!L:R,7,FALSE),VLOOKUP(tables_565010!C198,input_565010!A:H,8,FALSE))</f>
        <v>345600</v>
      </c>
      <c r="P198" s="46">
        <f t="shared" ca="1" si="10"/>
        <v>2.5263157894729435E-3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input_565010!A$2</f>
        <v>565010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IFERROR(VLOOKUP(B199,input_565010!L:R,7,FALSE),VLOOKUP(tables_565010!C199,input_565010!A:H,8,FALSE))</f>
        <v>576000</v>
      </c>
      <c r="P199" s="46">
        <f t="shared" ca="1" si="10"/>
        <v>4.2105263157882393E-3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input_565010!A$2</f>
        <v>565010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IFERROR(VLOOKUP(B200,input_565010!L:R,7,FALSE),VLOOKUP(tables_565010!C200,input_565010!A:H,8,FALSE))</f>
        <v>23169.230769999998</v>
      </c>
      <c r="P200" s="46">
        <f t="shared" ca="1" si="10"/>
        <v>1.6936572200287431E-4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input_565010!A$2</f>
        <v>565010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IFERROR(VLOOKUP(B201,input_565010!L:R,7,FALSE),VLOOKUP(tables_565010!C201,input_565010!A:H,8,FALSE))</f>
        <v>45600</v>
      </c>
      <c r="P201" s="46">
        <f t="shared" ca="1" si="10"/>
        <v>3.3333333333323558E-4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input_565010!A$2</f>
        <v>565010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IFERROR(VLOOKUP(B202,input_565010!L:R,7,FALSE),VLOOKUP(tables_565010!C202,input_565010!A:H,8,FALSE))</f>
        <v>11400</v>
      </c>
      <c r="P202" s="46">
        <f t="shared" ca="1" si="10"/>
        <v>8.3333333333308895E-5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input_565010!A$2</f>
        <v>565010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IFERROR(VLOOKUP(B203,input_565010!L:R,7,FALSE),VLOOKUP(tables_565010!C203,input_565010!A:H,8,FALSE))</f>
        <v>345600</v>
      </c>
      <c r="P203" s="46">
        <f t="shared" ca="1" si="10"/>
        <v>2.5263157894729435E-3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input_565010!A$2</f>
        <v>565010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IFERROR(VLOOKUP(B204,input_565010!L:R,7,FALSE),VLOOKUP(tables_565010!C204,input_565010!A:H,8,FALSE))</f>
        <v>576000</v>
      </c>
      <c r="P204" s="46">
        <f t="shared" ca="1" si="10"/>
        <v>4.2105263157882393E-3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input_565010!A$2</f>
        <v>565010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IFERROR(VLOOKUP(B205,input_565010!L:R,7,FALSE),VLOOKUP(tables_565010!C205,input_565010!A:H,8,FALSE))</f>
        <v>23169.230769999998</v>
      </c>
      <c r="P205" s="46">
        <f t="shared" ca="1" si="10"/>
        <v>1.6936572200287431E-4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input_565010!A$2</f>
        <v>565010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IFERROR(VLOOKUP(B206,input_565010!L:R,7,FALSE),VLOOKUP(tables_565010!C206,input_565010!A:H,8,FALSE))</f>
        <v>45600</v>
      </c>
      <c r="P206" s="46">
        <f t="shared" ca="1" si="10"/>
        <v>3.3333333333323558E-4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input_565010!A$2</f>
        <v>565010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IFERROR(VLOOKUP(B207,input_565010!L:R,7,FALSE),VLOOKUP(tables_565010!C207,input_565010!A:H,8,FALSE))</f>
        <v>11400</v>
      </c>
      <c r="P207" s="46">
        <f t="shared" ca="1" si="10"/>
        <v>8.3333333333308895E-5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input_565010!A$2</f>
        <v>565010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IFERROR(VLOOKUP(B208,input_565010!L:R,7,FALSE),VLOOKUP(tables_565010!C208,input_565010!A:H,8,FALSE))</f>
        <v>45600</v>
      </c>
      <c r="P208" s="46">
        <f t="shared" ca="1" si="10"/>
        <v>3.3333333333323558E-4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input_565010!A$2</f>
        <v>565010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IFERROR(VLOOKUP(B209,input_565010!L:R,7,FALSE),VLOOKUP(tables_565010!C209,input_565010!A:H,8,FALSE))</f>
        <v>11400</v>
      </c>
      <c r="P209" s="46">
        <f t="shared" ca="1" si="10"/>
        <v>8.3333333333308895E-5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input_565010!A$2</f>
        <v>565010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IFERROR(VLOOKUP(B210,input_565010!L:R,7,FALSE),VLOOKUP(tables_565010!C210,input_565010!A:H,8,FALSE))</f>
        <v>345600</v>
      </c>
      <c r="P210" s="46">
        <f t="shared" ca="1" si="10"/>
        <v>2.5263157894729435E-3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input_565010!A$2</f>
        <v>565010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IFERROR(VLOOKUP(B211,input_565010!L:R,7,FALSE),VLOOKUP(tables_565010!C211,input_565010!A:H,8,FALSE))</f>
        <v>576000</v>
      </c>
      <c r="P211" s="46">
        <f t="shared" ca="1" si="10"/>
        <v>4.2105263157882393E-3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input_565010!A$2</f>
        <v>565010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IFERROR(VLOOKUP(B212,input_565010!L:R,7,FALSE),VLOOKUP(tables_565010!C212,input_565010!A:H,8,FALSE))</f>
        <v>23169.230769999998</v>
      </c>
      <c r="P212" s="46">
        <f t="shared" ca="1" si="10"/>
        <v>1.6936572200287431E-4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input_565010!A$2</f>
        <v>565010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IFERROR(VLOOKUP(B213,input_565010!L:R,7,FALSE),VLOOKUP(tables_565010!C213,input_565010!A:H,8,FALSE))</f>
        <v>45600</v>
      </c>
      <c r="P213" s="46">
        <f t="shared" ca="1" si="10"/>
        <v>3.3333333333323558E-4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input_565010!A$2</f>
        <v>565010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IFERROR(VLOOKUP(B214,input_565010!L:R,7,FALSE),VLOOKUP(tables_565010!C214,input_565010!A:H,8,FALSE))</f>
        <v>11400</v>
      </c>
      <c r="P214" s="46">
        <f t="shared" ca="1" si="10"/>
        <v>8.3333333333308895E-5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input_565010!A$2</f>
        <v>565010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IFERROR(VLOOKUP(B215,input_565010!L:R,7,FALSE),VLOOKUP(tables_565010!C215,input_565010!A:H,8,FALSE))</f>
        <v>230400</v>
      </c>
      <c r="P215" s="46">
        <f t="shared" ca="1" si="10"/>
        <v>1.6842105263152956E-3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input_565010!A$2</f>
        <v>565010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IFERROR(VLOOKUP(B216,input_565010!L:R,7,FALSE),VLOOKUP(tables_565010!C216,input_565010!A:H,8,FALSE))</f>
        <v>230400</v>
      </c>
      <c r="P216" s="46">
        <f t="shared" ca="1" si="10"/>
        <v>1.6842105263152956E-3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input_565010!A$2</f>
        <v>565010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IFERROR(VLOOKUP(B217,input_565010!L:R,7,FALSE),VLOOKUP(tables_565010!C217,input_565010!A:H,8,FALSE))</f>
        <v>230400</v>
      </c>
      <c r="P217" s="46">
        <f t="shared" ca="1" si="10"/>
        <v>1.6842105263152956E-3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input_565010!A$2</f>
        <v>565010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IFERROR(VLOOKUP(B218,input_565010!L:R,7,FALSE),VLOOKUP(tables_565010!C218,input_565010!A:H,8,FALSE))</f>
        <v>230400</v>
      </c>
      <c r="P218" s="46">
        <f t="shared" ca="1" si="10"/>
        <v>1.6842105263152956E-3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input_565010!A$2</f>
        <v>565010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IFERROR(VLOOKUP(B219,input_565010!L:R,7,FALSE),VLOOKUP(tables_565010!C219,input_565010!A:H,8,FALSE))</f>
        <v>230400</v>
      </c>
      <c r="P219" s="46">
        <f t="shared" ca="1" si="10"/>
        <v>1.6842105263152956E-3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input_565010!A$2</f>
        <v>565010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IFERROR(VLOOKUP(B220,input_565010!L:R,7,FALSE),VLOOKUP(tables_565010!C220,input_565010!A:H,8,FALSE))</f>
        <v>230400</v>
      </c>
      <c r="P220" s="46">
        <f t="shared" ca="1" si="10"/>
        <v>1.6842105263152956E-3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input_565010!A$2</f>
        <v>565010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IFERROR(VLOOKUP(B221,input_565010!L:R,7,FALSE),VLOOKUP(tables_565010!C221,input_565010!A:H,8,FALSE))</f>
        <v>45600</v>
      </c>
      <c r="P221" s="46">
        <f t="shared" ca="1" si="10"/>
        <v>3.3333333333323558E-4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input_565010!A$2</f>
        <v>565010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IFERROR(VLOOKUP(B222,input_565010!L:R,7,FALSE),VLOOKUP(tables_565010!C222,input_565010!A:H,8,FALSE))</f>
        <v>11400</v>
      </c>
      <c r="P222" s="46">
        <f t="shared" ca="1" si="10"/>
        <v>8.3333333333308895E-5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input_565010!A$2</f>
        <v>565010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IFERROR(VLOOKUP(B223,input_565010!L:R,7,FALSE),VLOOKUP(tables_565010!C223,input_565010!A:H,8,FALSE))</f>
        <v>345600</v>
      </c>
      <c r="P223" s="46">
        <f t="shared" ca="1" si="10"/>
        <v>2.5263157894729435E-3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input_565010!A$2</f>
        <v>565010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IFERROR(VLOOKUP(B224,input_565010!L:R,7,FALSE),VLOOKUP(tables_565010!C224,input_565010!A:H,8,FALSE))</f>
        <v>576000</v>
      </c>
      <c r="P224" s="46">
        <f t="shared" ca="1" si="10"/>
        <v>4.2105263157882393E-3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input_565010!A$2</f>
        <v>565010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IFERROR(VLOOKUP(B225,input_565010!L:R,7,FALSE),VLOOKUP(tables_565010!C225,input_565010!A:H,8,FALSE))</f>
        <v>23169.230769999998</v>
      </c>
      <c r="P225" s="46">
        <f t="shared" ca="1" si="10"/>
        <v>1.6936572200287431E-4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input_565010!A$2</f>
        <v>565010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IFERROR(VLOOKUP(B226,input_565010!L:R,7,FALSE),VLOOKUP(tables_565010!C226,input_565010!A:H,8,FALSE))</f>
        <v>345600</v>
      </c>
      <c r="P226" s="46">
        <f t="shared" ca="1" si="10"/>
        <v>2.5263157894729435E-3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input_565010!A$2</f>
        <v>565010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IFERROR(VLOOKUP(B227,input_565010!L:R,7,FALSE),VLOOKUP(tables_565010!C227,input_565010!A:H,8,FALSE))</f>
        <v>576000</v>
      </c>
      <c r="P227" s="46">
        <f t="shared" ca="1" si="10"/>
        <v>4.2105263157882393E-3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input_565010!A$2</f>
        <v>565010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IFERROR(VLOOKUP(B228,input_565010!L:R,7,FALSE),VLOOKUP(tables_565010!C228,input_565010!A:H,8,FALSE))</f>
        <v>23169.230769999998</v>
      </c>
      <c r="P228" s="46">
        <f t="shared" ca="1" si="10"/>
        <v>1.6936572200287431E-4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input_565010!A$2</f>
        <v>565010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IFERROR(VLOOKUP(B229,input_565010!L:R,7,FALSE),VLOOKUP(tables_565010!C229,input_565010!A:H,8,FALSE))</f>
        <v>45600</v>
      </c>
      <c r="P229" s="46">
        <f t="shared" ca="1" si="10"/>
        <v>3.3333333333323558E-4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input_565010!A$2</f>
        <v>565010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IFERROR(VLOOKUP(B230,input_565010!L:R,7,FALSE),VLOOKUP(tables_565010!C230,input_565010!A:H,8,FALSE))</f>
        <v>11400</v>
      </c>
      <c r="P230" s="46">
        <f t="shared" ca="1" si="10"/>
        <v>8.3333333333308895E-5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input_565010!A$2</f>
        <v>565010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IFERROR(VLOOKUP(B231,input_565010!L:R,7,FALSE),VLOOKUP(tables_565010!C231,input_565010!A:H,8,FALSE))</f>
        <v>345600</v>
      </c>
      <c r="P231" s="46">
        <f t="shared" ca="1" si="10"/>
        <v>2.5263157894729435E-3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input_565010!A$2</f>
        <v>565010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IFERROR(VLOOKUP(B232,input_565010!L:R,7,FALSE),VLOOKUP(tables_565010!C232,input_565010!A:H,8,FALSE))</f>
        <v>576000</v>
      </c>
      <c r="P232" s="46">
        <f t="shared" ca="1" si="10"/>
        <v>4.2105263157882393E-3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input_565010!A$2</f>
        <v>565010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IFERROR(VLOOKUP(B233,input_565010!L:R,7,FALSE),VLOOKUP(tables_565010!C233,input_565010!A:H,8,FALSE))</f>
        <v>23169.230769999998</v>
      </c>
      <c r="P233" s="46">
        <f t="shared" ca="1" si="10"/>
        <v>1.6936572200287431E-4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input_565010!A$2</f>
        <v>565010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IFERROR(VLOOKUP(B234,input_565010!L:R,7,FALSE),VLOOKUP(tables_565010!C234,input_565010!A:H,8,FALSE))</f>
        <v>345600</v>
      </c>
      <c r="P234" s="46">
        <f t="shared" ca="1" si="10"/>
        <v>2.5263157894729435E-3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input_565010!A$2</f>
        <v>565010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IFERROR(VLOOKUP(B235,input_565010!L:R,7,FALSE),VLOOKUP(tables_565010!C235,input_565010!A:H,8,FALSE))</f>
        <v>576000</v>
      </c>
      <c r="P235" s="46">
        <f t="shared" ca="1" si="10"/>
        <v>4.2105263157882393E-3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input_565010!A$2</f>
        <v>565010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IFERROR(VLOOKUP(B236,input_565010!L:R,7,FALSE),VLOOKUP(tables_565010!C236,input_565010!A:H,8,FALSE))</f>
        <v>23169.230769999998</v>
      </c>
      <c r="P236" s="46">
        <f t="shared" ca="1" si="10"/>
        <v>1.6936572200287431E-4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input_565010!A$2</f>
        <v>565010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IFERROR(VLOOKUP(B237,input_565010!L:R,7,FALSE),VLOOKUP(tables_565010!C237,input_565010!A:H,8,FALSE))</f>
        <v>45600</v>
      </c>
      <c r="P237" s="46">
        <f t="shared" ca="1" si="10"/>
        <v>3.3333333333323558E-4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input_565010!A$2</f>
        <v>565010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IFERROR(VLOOKUP(B238,input_565010!L:R,7,FALSE),VLOOKUP(tables_565010!C238,input_565010!A:H,8,FALSE))</f>
        <v>11400</v>
      </c>
      <c r="P238" s="46">
        <f t="shared" ca="1" si="10"/>
        <v>8.3333333333308895E-5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input_565010!A$2</f>
        <v>565010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IFERROR(VLOOKUP(B239,input_565010!L:R,7,FALSE),VLOOKUP(tables_565010!C239,input_565010!A:H,8,FALSE))</f>
        <v>345600</v>
      </c>
      <c r="P239" s="46">
        <f t="shared" ca="1" si="10"/>
        <v>2.5263157894729435E-3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input_565010!A$2</f>
        <v>565010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IFERROR(VLOOKUP(B240,input_565010!L:R,7,FALSE),VLOOKUP(tables_565010!C240,input_565010!A:H,8,FALSE))</f>
        <v>576000</v>
      </c>
      <c r="P240" s="46">
        <f t="shared" ca="1" si="10"/>
        <v>4.2105263157882393E-3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input_565010!A$2</f>
        <v>565010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IFERROR(VLOOKUP(B241,input_565010!L:R,7,FALSE),VLOOKUP(tables_565010!C241,input_565010!A:H,8,FALSE))</f>
        <v>23169.230769999998</v>
      </c>
      <c r="P241" s="46">
        <f t="shared" ca="1" si="10"/>
        <v>1.6936572200287431E-4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input_565010!A$2</f>
        <v>565010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IFERROR(VLOOKUP(B242,input_565010!L:R,7,FALSE),VLOOKUP(tables_565010!C242,input_565010!A:H,8,FALSE))</f>
        <v>45600</v>
      </c>
      <c r="P242" s="46">
        <f t="shared" ca="1" si="10"/>
        <v>3.3333333333323558E-4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input_565010!A$2</f>
        <v>565010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IFERROR(VLOOKUP(B243,input_565010!L:R,7,FALSE),VLOOKUP(tables_565010!C243,input_565010!A:H,8,FALSE))</f>
        <v>11400</v>
      </c>
      <c r="P243" s="46">
        <f t="shared" ca="1" si="10"/>
        <v>8.3333333333308895E-5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input_565010!A$2</f>
        <v>565010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IFERROR(VLOOKUP(B244,input_565010!L:R,7,FALSE),VLOOKUP(tables_565010!C244,input_565010!A:H,8,FALSE))</f>
        <v>45600</v>
      </c>
      <c r="P244" s="46">
        <f t="shared" ca="1" si="10"/>
        <v>3.3333333333323558E-4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input_565010!A$2</f>
        <v>565010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IFERROR(VLOOKUP(B245,input_565010!L:R,7,FALSE),VLOOKUP(tables_565010!C245,input_565010!A:H,8,FALSE))</f>
        <v>11400</v>
      </c>
      <c r="P245" s="46">
        <f t="shared" ca="1" si="10"/>
        <v>8.3333333333308895E-5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input_565010!A$2</f>
        <v>565010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IFERROR(VLOOKUP(B246,input_565010!L:R,7,FALSE),VLOOKUP(tables_565010!C246,input_565010!A:H,8,FALSE))</f>
        <v>345600</v>
      </c>
      <c r="P246" s="46">
        <f t="shared" ca="1" si="10"/>
        <v>2.5263157894729435E-3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input_565010!A$2</f>
        <v>565010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IFERROR(VLOOKUP(B247,input_565010!L:R,7,FALSE),VLOOKUP(tables_565010!C247,input_565010!A:H,8,FALSE))</f>
        <v>576000</v>
      </c>
      <c r="P247" s="46">
        <f t="shared" ca="1" si="10"/>
        <v>4.2105263157882393E-3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input_565010!A$2</f>
        <v>565010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IFERROR(VLOOKUP(B248,input_565010!L:R,7,FALSE),VLOOKUP(tables_565010!C248,input_565010!A:H,8,FALSE))</f>
        <v>23169.230769999998</v>
      </c>
      <c r="P248" s="46">
        <f t="shared" ca="1" si="10"/>
        <v>1.6936572200287431E-4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input_565010!A$2</f>
        <v>565010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IFERROR(VLOOKUP(B249,input_565010!L:R,7,FALSE),VLOOKUP(tables_565010!C249,input_565010!A:H,8,FALSE))</f>
        <v>345600</v>
      </c>
      <c r="P249" s="46">
        <f t="shared" ca="1" si="10"/>
        <v>2.5263157894729435E-3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input_565010!A$2</f>
        <v>565010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IFERROR(VLOOKUP(B250,input_565010!L:R,7,FALSE),VLOOKUP(tables_565010!C250,input_565010!A:H,8,FALSE))</f>
        <v>576000</v>
      </c>
      <c r="P250" s="46">
        <f t="shared" ca="1" si="10"/>
        <v>4.2105263157882393E-3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input_565010!A$2</f>
        <v>565010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IFERROR(VLOOKUP(B251,input_565010!L:R,7,FALSE),VLOOKUP(tables_565010!C251,input_565010!A:H,8,FALSE))</f>
        <v>23169.230769999998</v>
      </c>
      <c r="P251" s="46">
        <f t="shared" ca="1" si="10"/>
        <v>1.6936572200287431E-4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input_565010!A$2</f>
        <v>565010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IFERROR(VLOOKUP(B252,input_565010!L:R,7,FALSE),VLOOKUP(tables_565010!C252,input_565010!A:H,8,FALSE))</f>
        <v>345600</v>
      </c>
      <c r="P252" s="46">
        <f t="shared" ca="1" si="10"/>
        <v>2.5263157894729435E-3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input_565010!A$2</f>
        <v>565010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IFERROR(VLOOKUP(B253,input_565010!L:R,7,FALSE),VLOOKUP(tables_565010!C253,input_565010!A:H,8,FALSE))</f>
        <v>576000</v>
      </c>
      <c r="P253" s="46">
        <f t="shared" ca="1" si="10"/>
        <v>4.2105263157882393E-3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input_565010!A$2</f>
        <v>565010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IFERROR(VLOOKUP(B254,input_565010!L:R,7,FALSE),VLOOKUP(tables_565010!C254,input_565010!A:H,8,FALSE))</f>
        <v>23169.230769999998</v>
      </c>
      <c r="P254" s="46">
        <f t="shared" ca="1" si="10"/>
        <v>1.6936572200287431E-4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input_565010!A$2</f>
        <v>565010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IFERROR(VLOOKUP(B255,input_565010!L:R,7,FALSE),VLOOKUP(tables_565010!C255,input_565010!A:H,8,FALSE))</f>
        <v>345600</v>
      </c>
      <c r="P255" s="46">
        <f t="shared" ca="1" si="10"/>
        <v>2.5263157894729435E-3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input_565010!A$2</f>
        <v>565010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IFERROR(VLOOKUP(B256,input_565010!L:R,7,FALSE),VLOOKUP(tables_565010!C256,input_565010!A:H,8,FALSE))</f>
        <v>576000</v>
      </c>
      <c r="P256" s="46">
        <f t="shared" ca="1" si="10"/>
        <v>4.2105263157882393E-3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input_565010!A$2</f>
        <v>565010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IFERROR(VLOOKUP(B257,input_565010!L:R,7,FALSE),VLOOKUP(tables_565010!C257,input_565010!A:H,8,FALSE))</f>
        <v>23169.230769999998</v>
      </c>
      <c r="P257" s="46">
        <f t="shared" ca="1" si="10"/>
        <v>1.6936572200287431E-4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input_565010!A$2</f>
        <v>565010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IFERROR(VLOOKUP(B258,input_565010!L:R,7,FALSE),VLOOKUP(tables_565010!C258,input_565010!A:H,8,FALSE))</f>
        <v>45600</v>
      </c>
      <c r="P258" s="46">
        <f t="shared" ref="P258:P321" ca="1" si="13">O258/SUM(O:O)</f>
        <v>3.3333333333323558E-4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input_565010!A$2</f>
        <v>565010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IFERROR(VLOOKUP(B259,input_565010!L:R,7,FALSE),VLOOKUP(tables_565010!C259,input_565010!A:H,8,FALSE))</f>
        <v>11400</v>
      </c>
      <c r="P259" s="46">
        <f t="shared" ca="1" si="13"/>
        <v>8.3333333333308895E-5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input_565010!A$2</f>
        <v>565010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IFERROR(VLOOKUP(B260,input_565010!L:R,7,FALSE),VLOOKUP(tables_565010!C260,input_565010!A:H,8,FALSE))</f>
        <v>45600</v>
      </c>
      <c r="P260" s="46">
        <f t="shared" ca="1" si="13"/>
        <v>3.3333333333323558E-4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input_565010!A$2</f>
        <v>565010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IFERROR(VLOOKUP(B261,input_565010!L:R,7,FALSE),VLOOKUP(tables_565010!C261,input_565010!A:H,8,FALSE))</f>
        <v>11400</v>
      </c>
      <c r="P261" s="46">
        <f t="shared" ca="1" si="13"/>
        <v>8.3333333333308895E-5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input_565010!A$2</f>
        <v>565010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IFERROR(VLOOKUP(B262,input_565010!L:R,7,FALSE),VLOOKUP(tables_565010!C262,input_565010!A:H,8,FALSE))</f>
        <v>852480</v>
      </c>
      <c r="P262" s="46">
        <f t="shared" ca="1" si="13"/>
        <v>6.2315789473665938E-3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input_565010!A$2</f>
        <v>565010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IFERROR(VLOOKUP(B263,input_565010!L:R,7,FALSE),VLOOKUP(tables_565010!C263,input_565010!A:H,8,FALSE))</f>
        <v>230400</v>
      </c>
      <c r="P263" s="46">
        <f t="shared" ca="1" si="13"/>
        <v>1.6842105263152956E-3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input_565010!A$2</f>
        <v>565010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IFERROR(VLOOKUP(B264,input_565010!L:R,7,FALSE),VLOOKUP(tables_565010!C264,input_565010!A:H,8,FALSE))</f>
        <v>852480</v>
      </c>
      <c r="P264" s="46">
        <f t="shared" ca="1" si="13"/>
        <v>6.2315789473665938E-3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input_565010!A$2</f>
        <v>565010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IFERROR(VLOOKUP(B265,input_565010!L:R,7,FALSE),VLOOKUP(tables_565010!C265,input_565010!A:H,8,FALSE))</f>
        <v>230400</v>
      </c>
      <c r="P265" s="46">
        <f t="shared" ca="1" si="13"/>
        <v>1.6842105263152956E-3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input_565010!A$2</f>
        <v>565010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IFERROR(VLOOKUP(B266,input_565010!L:R,7,FALSE),VLOOKUP(tables_565010!C266,input_565010!A:H,8,FALSE))</f>
        <v>57000</v>
      </c>
      <c r="P266" s="46">
        <f t="shared" ca="1" si="13"/>
        <v>4.166666666665445E-4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input_565010!A$2</f>
        <v>565010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IFERROR(VLOOKUP(B267,input_565010!L:R,7,FALSE),VLOOKUP(tables_565010!C267,input_565010!A:H,8,FALSE))</f>
        <v>57000</v>
      </c>
      <c r="P267" s="46">
        <f t="shared" ca="1" si="13"/>
        <v>4.166666666665445E-4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input_565010!A$2</f>
        <v>565010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IFERROR(VLOOKUP(B268,input_565010!L:R,7,FALSE),VLOOKUP(tables_565010!C268,input_565010!A:H,8,FALSE))</f>
        <v>57000</v>
      </c>
      <c r="P268" s="46">
        <f t="shared" ca="1" si="13"/>
        <v>4.166666666665445E-4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input_565010!A$2</f>
        <v>565010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IFERROR(VLOOKUP(B269,input_565010!L:R,7,FALSE),VLOOKUP(tables_565010!C269,input_565010!A:H,8,FALSE))</f>
        <v>57000</v>
      </c>
      <c r="P269" s="46">
        <f t="shared" ca="1" si="13"/>
        <v>4.166666666665445E-4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input_565010!A$2</f>
        <v>565010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IFERROR(VLOOKUP(B270,input_565010!L:R,7,FALSE),VLOOKUP(tables_565010!C270,input_565010!A:H,8,FALSE))</f>
        <v>852480</v>
      </c>
      <c r="P270" s="46">
        <f t="shared" ca="1" si="13"/>
        <v>6.2315789473665938E-3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input_565010!A$2</f>
        <v>565010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IFERROR(VLOOKUP(B271,input_565010!L:R,7,FALSE),VLOOKUP(tables_565010!C271,input_565010!A:H,8,FALSE))</f>
        <v>230400</v>
      </c>
      <c r="P271" s="46">
        <f t="shared" ca="1" si="13"/>
        <v>1.6842105263152956E-3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input_565010!A$2</f>
        <v>565010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IFERROR(VLOOKUP(B272,input_565010!L:R,7,FALSE),VLOOKUP(tables_565010!C272,input_565010!A:H,8,FALSE))</f>
        <v>852480</v>
      </c>
      <c r="P272" s="46">
        <f t="shared" ca="1" si="13"/>
        <v>6.2315789473665938E-3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input_565010!A$2</f>
        <v>565010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IFERROR(VLOOKUP(B273,input_565010!L:R,7,FALSE),VLOOKUP(tables_565010!C273,input_565010!A:H,8,FALSE))</f>
        <v>230400</v>
      </c>
      <c r="P273" s="46">
        <f t="shared" ca="1" si="13"/>
        <v>1.6842105263152956E-3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input_565010!A$2</f>
        <v>565010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IFERROR(VLOOKUP(B274,input_565010!L:R,7,FALSE),VLOOKUP(tables_565010!C274,input_565010!A:H,8,FALSE))</f>
        <v>45600</v>
      </c>
      <c r="P274" s="46">
        <f t="shared" ca="1" si="13"/>
        <v>3.3333333333323558E-4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input_565010!A$2</f>
        <v>565010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IFERROR(VLOOKUP(B275,input_565010!L:R,7,FALSE),VLOOKUP(tables_565010!C275,input_565010!A:H,8,FALSE))</f>
        <v>11400</v>
      </c>
      <c r="P275" s="46">
        <f t="shared" ca="1" si="13"/>
        <v>8.3333333333308895E-5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input_565010!A$2</f>
        <v>565010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IFERROR(VLOOKUP(B276,input_565010!L:R,7,FALSE),VLOOKUP(tables_565010!C276,input_565010!A:H,8,FALSE))</f>
        <v>45600</v>
      </c>
      <c r="P276" s="46">
        <f t="shared" ca="1" si="13"/>
        <v>3.3333333333323558E-4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input_565010!A$2</f>
        <v>565010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IFERROR(VLOOKUP(B277,input_565010!L:R,7,FALSE),VLOOKUP(tables_565010!C277,input_565010!A:H,8,FALSE))</f>
        <v>11400</v>
      </c>
      <c r="P277" s="46">
        <f t="shared" ca="1" si="13"/>
        <v>8.3333333333308895E-5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input_565010!A$2</f>
        <v>565010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IFERROR(VLOOKUP(B278,input_565010!L:R,7,FALSE),VLOOKUP(tables_565010!C278,input_565010!A:H,8,FALSE))</f>
        <v>345600</v>
      </c>
      <c r="P278" s="46">
        <f t="shared" ca="1" si="13"/>
        <v>2.5263157894729435E-3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input_565010!A$2</f>
        <v>565010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IFERROR(VLOOKUP(B279,input_565010!L:R,7,FALSE),VLOOKUP(tables_565010!C279,input_565010!A:H,8,FALSE))</f>
        <v>576000</v>
      </c>
      <c r="P279" s="46">
        <f t="shared" ca="1" si="13"/>
        <v>4.2105263157882393E-3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input_565010!A$2</f>
        <v>565010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IFERROR(VLOOKUP(B280,input_565010!L:R,7,FALSE),VLOOKUP(tables_565010!C280,input_565010!A:H,8,FALSE))</f>
        <v>23169.230769999998</v>
      </c>
      <c r="P280" s="46">
        <f t="shared" ca="1" si="13"/>
        <v>1.6936572200287431E-4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input_565010!A$2</f>
        <v>565010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IFERROR(VLOOKUP(B281,input_565010!L:R,7,FALSE),VLOOKUP(tables_565010!C281,input_565010!A:H,8,FALSE))</f>
        <v>345600</v>
      </c>
      <c r="P281" s="46">
        <f t="shared" ca="1" si="13"/>
        <v>2.5263157894729435E-3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input_565010!A$2</f>
        <v>565010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IFERROR(VLOOKUP(B282,input_565010!L:R,7,FALSE),VLOOKUP(tables_565010!C282,input_565010!A:H,8,FALSE))</f>
        <v>576000</v>
      </c>
      <c r="P282" s="46">
        <f t="shared" ca="1" si="13"/>
        <v>4.2105263157882393E-3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input_565010!A$2</f>
        <v>565010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IFERROR(VLOOKUP(B283,input_565010!L:R,7,FALSE),VLOOKUP(tables_565010!C283,input_565010!A:H,8,FALSE))</f>
        <v>23169.230769999998</v>
      </c>
      <c r="P283" s="46">
        <f t="shared" ca="1" si="13"/>
        <v>1.6936572200287431E-4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input_565010!A$2</f>
        <v>565010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IFERROR(VLOOKUP(B284,input_565010!L:R,7,FALSE),VLOOKUP(tables_565010!C284,input_565010!A:H,8,FALSE))</f>
        <v>57000</v>
      </c>
      <c r="P284" s="46">
        <f t="shared" ca="1" si="13"/>
        <v>4.166666666665445E-4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input_565010!A$2</f>
        <v>565010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IFERROR(VLOOKUP(B285,input_565010!L:R,7,FALSE),VLOOKUP(tables_565010!C285,input_565010!A:H,8,FALSE))</f>
        <v>57000</v>
      </c>
      <c r="P285" s="46">
        <f t="shared" ca="1" si="13"/>
        <v>4.166666666665445E-4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input_565010!A$2</f>
        <v>565010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IFERROR(VLOOKUP(B286,input_565010!L:R,7,FALSE),VLOOKUP(tables_565010!C286,input_565010!A:H,8,FALSE))</f>
        <v>852480</v>
      </c>
      <c r="P286" s="46">
        <f t="shared" ca="1" si="13"/>
        <v>6.2315789473665938E-3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input_565010!A$2</f>
        <v>565010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IFERROR(VLOOKUP(B287,input_565010!L:R,7,FALSE),VLOOKUP(tables_565010!C287,input_565010!A:H,8,FALSE))</f>
        <v>230400</v>
      </c>
      <c r="P287" s="46">
        <f t="shared" ca="1" si="13"/>
        <v>1.6842105263152956E-3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input_565010!A$2</f>
        <v>565010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IFERROR(VLOOKUP(B288,input_565010!L:R,7,FALSE),VLOOKUP(tables_565010!C288,input_565010!A:H,8,FALSE))</f>
        <v>852480</v>
      </c>
      <c r="P288" s="46">
        <f t="shared" ca="1" si="13"/>
        <v>6.2315789473665938E-3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input_565010!A$2</f>
        <v>565010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IFERROR(VLOOKUP(B289,input_565010!L:R,7,FALSE),VLOOKUP(tables_565010!C289,input_565010!A:H,8,FALSE))</f>
        <v>230400</v>
      </c>
      <c r="P289" s="46">
        <f t="shared" ca="1" si="13"/>
        <v>1.6842105263152956E-3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input_565010!A$2</f>
        <v>565010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IFERROR(VLOOKUP(B290,input_565010!L:R,7,FALSE),VLOOKUP(tables_565010!C290,input_565010!A:H,8,FALSE))</f>
        <v>852480</v>
      </c>
      <c r="P290" s="46">
        <f t="shared" ca="1" si="13"/>
        <v>6.2315789473665938E-3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input_565010!A$2</f>
        <v>565010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IFERROR(VLOOKUP(B291,input_565010!L:R,7,FALSE),VLOOKUP(tables_565010!C291,input_565010!A:H,8,FALSE))</f>
        <v>230400</v>
      </c>
      <c r="P291" s="46">
        <f t="shared" ca="1" si="13"/>
        <v>1.6842105263152956E-3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input_565010!A$2</f>
        <v>565010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IFERROR(VLOOKUP(B292,input_565010!L:R,7,FALSE),VLOOKUP(tables_565010!C292,input_565010!A:H,8,FALSE))</f>
        <v>852480</v>
      </c>
      <c r="P292" s="46">
        <f t="shared" ca="1" si="13"/>
        <v>6.2315789473665938E-3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input_565010!A$2</f>
        <v>565010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IFERROR(VLOOKUP(B293,input_565010!L:R,7,FALSE),VLOOKUP(tables_565010!C293,input_565010!A:H,8,FALSE))</f>
        <v>230400</v>
      </c>
      <c r="P293" s="46">
        <f t="shared" ca="1" si="13"/>
        <v>1.6842105263152956E-3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input_565010!A$2</f>
        <v>565010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IFERROR(VLOOKUP(B294,input_565010!L:R,7,FALSE),VLOOKUP(tables_565010!C294,input_565010!A:H,8,FALSE))</f>
        <v>57000</v>
      </c>
      <c r="P294" s="46">
        <f t="shared" ca="1" si="13"/>
        <v>4.166666666665445E-4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input_565010!A$2</f>
        <v>565010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IFERROR(VLOOKUP(B295,input_565010!L:R,7,FALSE),VLOOKUP(tables_565010!C295,input_565010!A:H,8,FALSE))</f>
        <v>57000</v>
      </c>
      <c r="P295" s="46">
        <f t="shared" ca="1" si="13"/>
        <v>4.166666666665445E-4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input_565010!A$2</f>
        <v>565010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IFERROR(VLOOKUP(B296,input_565010!L:R,7,FALSE),VLOOKUP(tables_565010!C296,input_565010!A:H,8,FALSE))</f>
        <v>57000</v>
      </c>
      <c r="P296" s="46">
        <f t="shared" ca="1" si="13"/>
        <v>4.166666666665445E-4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input_565010!A$2</f>
        <v>565010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IFERROR(VLOOKUP(B297,input_565010!L:R,7,FALSE),VLOOKUP(tables_565010!C297,input_565010!A:H,8,FALSE))</f>
        <v>852480</v>
      </c>
      <c r="P297" s="46">
        <f t="shared" ca="1" si="13"/>
        <v>6.2315789473665938E-3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input_565010!A$2</f>
        <v>565010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IFERROR(VLOOKUP(B298,input_565010!L:R,7,FALSE),VLOOKUP(tables_565010!C298,input_565010!A:H,8,FALSE))</f>
        <v>230400</v>
      </c>
      <c r="P298" s="46">
        <f t="shared" ca="1" si="13"/>
        <v>1.6842105263152956E-3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input_565010!A$2</f>
        <v>565010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IFERROR(VLOOKUP(B299,input_565010!L:R,7,FALSE),VLOOKUP(tables_565010!C299,input_565010!A:H,8,FALSE))</f>
        <v>57000</v>
      </c>
      <c r="P299" s="46">
        <f t="shared" ca="1" si="13"/>
        <v>4.166666666665445E-4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input_565010!A$2</f>
        <v>565010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IFERROR(VLOOKUP(B300,input_565010!L:R,7,FALSE),VLOOKUP(tables_565010!C300,input_565010!A:H,8,FALSE))</f>
        <v>57000</v>
      </c>
      <c r="P300" s="46">
        <f t="shared" ca="1" si="13"/>
        <v>4.166666666665445E-4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input_565010!A$2</f>
        <v>565010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IFERROR(VLOOKUP(B301,input_565010!L:R,7,FALSE),VLOOKUP(tables_565010!C301,input_565010!A:H,8,FALSE))</f>
        <v>57000</v>
      </c>
      <c r="P301" s="46">
        <f t="shared" ca="1" si="13"/>
        <v>4.166666666665445E-4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input_565010!A$2</f>
        <v>565010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IFERROR(VLOOKUP(B302,input_565010!L:R,7,FALSE),VLOOKUP(tables_565010!C302,input_565010!A:H,8,FALSE))</f>
        <v>57000</v>
      </c>
      <c r="P302" s="46">
        <f t="shared" ca="1" si="13"/>
        <v>4.166666666665445E-4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input_565010!A$2</f>
        <v>565010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IFERROR(VLOOKUP(B303,input_565010!L:R,7,FALSE),VLOOKUP(tables_565010!C303,input_565010!A:H,8,FALSE))</f>
        <v>852480</v>
      </c>
      <c r="P303" s="46">
        <f t="shared" ca="1" si="13"/>
        <v>6.2315789473665938E-3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input_565010!A$2</f>
        <v>565010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IFERROR(VLOOKUP(B304,input_565010!L:R,7,FALSE),VLOOKUP(tables_565010!C304,input_565010!A:H,8,FALSE))</f>
        <v>230400</v>
      </c>
      <c r="P304" s="46">
        <f t="shared" ca="1" si="13"/>
        <v>1.6842105263152956E-3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input_565010!A$2</f>
        <v>565010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IFERROR(VLOOKUP(B305,input_565010!L:R,7,FALSE),VLOOKUP(tables_565010!C305,input_565010!A:H,8,FALSE))</f>
        <v>57000</v>
      </c>
      <c r="P305" s="46">
        <f t="shared" ca="1" si="13"/>
        <v>4.166666666665445E-4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input_565010!A$2</f>
        <v>565010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IFERROR(VLOOKUP(B306,input_565010!L:R,7,FALSE),VLOOKUP(tables_565010!C306,input_565010!A:H,8,FALSE))</f>
        <v>852480</v>
      </c>
      <c r="P306" s="46">
        <f t="shared" ca="1" si="13"/>
        <v>6.2315789473665938E-3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input_565010!A$2</f>
        <v>565010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IFERROR(VLOOKUP(B307,input_565010!L:R,7,FALSE),VLOOKUP(tables_565010!C307,input_565010!A:H,8,FALSE))</f>
        <v>230400</v>
      </c>
      <c r="P307" s="46">
        <f t="shared" ca="1" si="13"/>
        <v>1.6842105263152956E-3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input_565010!A$2</f>
        <v>565010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IFERROR(VLOOKUP(B308,input_565010!L:R,7,FALSE),VLOOKUP(tables_565010!C308,input_565010!A:H,8,FALSE))</f>
        <v>57000</v>
      </c>
      <c r="P308" s="46">
        <f t="shared" ca="1" si="13"/>
        <v>4.166666666665445E-4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input_565010!A$2</f>
        <v>565010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IFERROR(VLOOKUP(B309,input_565010!L:R,7,FALSE),VLOOKUP(tables_565010!C309,input_565010!A:H,8,FALSE))</f>
        <v>57000</v>
      </c>
      <c r="P309" s="46">
        <f t="shared" ca="1" si="13"/>
        <v>4.166666666665445E-4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input_565010!A$2</f>
        <v>565010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IFERROR(VLOOKUP(B310,input_565010!L:R,7,FALSE),VLOOKUP(tables_565010!C310,input_565010!A:H,8,FALSE))</f>
        <v>57000</v>
      </c>
      <c r="P310" s="46">
        <f t="shared" ca="1" si="13"/>
        <v>4.166666666665445E-4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input_565010!A$2</f>
        <v>565010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IFERROR(VLOOKUP(B311,input_565010!L:R,7,FALSE),VLOOKUP(tables_565010!C311,input_565010!A:H,8,FALSE))</f>
        <v>852480</v>
      </c>
      <c r="P311" s="46">
        <f t="shared" ca="1" si="13"/>
        <v>6.2315789473665938E-3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input_565010!A$2</f>
        <v>565010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IFERROR(VLOOKUP(B312,input_565010!L:R,7,FALSE),VLOOKUP(tables_565010!C312,input_565010!A:H,8,FALSE))</f>
        <v>230400</v>
      </c>
      <c r="P312" s="46">
        <f t="shared" ca="1" si="13"/>
        <v>1.6842105263152956E-3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input_565010!A$2</f>
        <v>565010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IFERROR(VLOOKUP(B313,input_565010!L:R,7,FALSE),VLOOKUP(tables_565010!C313,input_565010!A:H,8,FALSE))</f>
        <v>57000</v>
      </c>
      <c r="P313" s="46">
        <f t="shared" ca="1" si="13"/>
        <v>4.166666666665445E-4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input_565010!A$2</f>
        <v>565010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IFERROR(VLOOKUP(B314,input_565010!L:R,7,FALSE),VLOOKUP(tables_565010!C314,input_565010!A:H,8,FALSE))</f>
        <v>57000</v>
      </c>
      <c r="P314" s="46">
        <f t="shared" ca="1" si="13"/>
        <v>4.166666666665445E-4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input_565010!A$2</f>
        <v>565010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IFERROR(VLOOKUP(B315,input_565010!L:R,7,FALSE),VLOOKUP(tables_565010!C315,input_565010!A:H,8,FALSE))</f>
        <v>57000</v>
      </c>
      <c r="P315" s="46">
        <f t="shared" ca="1" si="13"/>
        <v>4.166666666665445E-4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input_565010!A$2</f>
        <v>565010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IFERROR(VLOOKUP(B316,input_565010!L:R,7,FALSE),VLOOKUP(tables_565010!C316,input_565010!A:H,8,FALSE))</f>
        <v>57000</v>
      </c>
      <c r="P316" s="46">
        <f t="shared" ca="1" si="13"/>
        <v>4.166666666665445E-4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input_565010!A$2</f>
        <v>565010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IFERROR(VLOOKUP(B317,input_565010!L:R,7,FALSE),VLOOKUP(tables_565010!C317,input_565010!A:H,8,FALSE))</f>
        <v>57000</v>
      </c>
      <c r="P317" s="46">
        <f t="shared" ca="1" si="13"/>
        <v>4.166666666665445E-4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input_565010!A$2</f>
        <v>565010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IFERROR(VLOOKUP(B318,input_565010!L:R,7,FALSE),VLOOKUP(tables_565010!C318,input_565010!A:H,8,FALSE))</f>
        <v>852480</v>
      </c>
      <c r="P318" s="46">
        <f t="shared" ca="1" si="13"/>
        <v>6.2315789473665938E-3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input_565010!A$2</f>
        <v>565010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IFERROR(VLOOKUP(B319,input_565010!L:R,7,FALSE),VLOOKUP(tables_565010!C319,input_565010!A:H,8,FALSE))</f>
        <v>230400</v>
      </c>
      <c r="P319" s="46">
        <f t="shared" ca="1" si="13"/>
        <v>1.6842105263152956E-3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input_565010!A$2</f>
        <v>565010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IFERROR(VLOOKUP(B320,input_565010!L:R,7,FALSE),VLOOKUP(tables_565010!C320,input_565010!A:H,8,FALSE))</f>
        <v>57000</v>
      </c>
      <c r="P320" s="46">
        <f t="shared" ca="1" si="13"/>
        <v>4.166666666665445E-4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input_565010!A$2</f>
        <v>565010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IFERROR(VLOOKUP(B321,input_565010!L:R,7,FALSE),VLOOKUP(tables_565010!C321,input_565010!A:H,8,FALSE))</f>
        <v>57000</v>
      </c>
      <c r="P321" s="46">
        <f t="shared" ca="1" si="13"/>
        <v>4.166666666665445E-4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input_565010!A$2</f>
        <v>565010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IFERROR(VLOOKUP(B322,input_565010!L:R,7,FALSE),VLOOKUP(tables_565010!C322,input_565010!A:H,8,FALSE))</f>
        <v>57000</v>
      </c>
      <c r="P322" s="46">
        <f t="shared" ref="P322:P385" ca="1" si="23">O322/SUM(O:O)</f>
        <v>4.166666666665445E-4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input_565010!A$2</f>
        <v>565010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IFERROR(VLOOKUP(B323,input_565010!L:R,7,FALSE),VLOOKUP(tables_565010!C323,input_565010!A:H,8,FALSE))</f>
        <v>57000</v>
      </c>
      <c r="P323" s="46">
        <f t="shared" ca="1" si="23"/>
        <v>4.166666666665445E-4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input_565010!A$2</f>
        <v>565010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IFERROR(VLOOKUP(B324,input_565010!L:R,7,FALSE),VLOOKUP(tables_565010!C324,input_565010!A:H,8,FALSE))</f>
        <v>852480</v>
      </c>
      <c r="P324" s="46">
        <f t="shared" ca="1" si="23"/>
        <v>6.2315789473665938E-3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input_565010!A$2</f>
        <v>565010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IFERROR(VLOOKUP(B325,input_565010!L:R,7,FALSE),VLOOKUP(tables_565010!C325,input_565010!A:H,8,FALSE))</f>
        <v>230400</v>
      </c>
      <c r="P325" s="46">
        <f t="shared" ca="1" si="23"/>
        <v>1.6842105263152956E-3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input_565010!A$2</f>
        <v>565010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IFERROR(VLOOKUP(B326,input_565010!L:R,7,FALSE),VLOOKUP(tables_565010!C326,input_565010!A:H,8,FALSE))</f>
        <v>852480</v>
      </c>
      <c r="P326" s="46">
        <f t="shared" ca="1" si="23"/>
        <v>6.2315789473665938E-3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input_565010!A$2</f>
        <v>565010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IFERROR(VLOOKUP(B327,input_565010!L:R,7,FALSE),VLOOKUP(tables_565010!C327,input_565010!A:H,8,FALSE))</f>
        <v>230400</v>
      </c>
      <c r="P327" s="46">
        <f t="shared" ca="1" si="23"/>
        <v>1.6842105263152956E-3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input_565010!A$2</f>
        <v>565010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IFERROR(VLOOKUP(B328,input_565010!L:R,7,FALSE),VLOOKUP(tables_565010!C328,input_565010!A:H,8,FALSE))</f>
        <v>57000</v>
      </c>
      <c r="P328" s="46">
        <f t="shared" ca="1" si="23"/>
        <v>4.166666666665445E-4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input_565010!A$2</f>
        <v>565010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IFERROR(VLOOKUP(B329,input_565010!L:R,7,FALSE),VLOOKUP(tables_565010!C329,input_565010!A:H,8,FALSE))</f>
        <v>57000</v>
      </c>
      <c r="P329" s="46">
        <f t="shared" ca="1" si="23"/>
        <v>4.166666666665445E-4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input_565010!A$2</f>
        <v>565010</v>
      </c>
      <c r="B330" s="2">
        <v>1157</v>
      </c>
      <c r="C330" s="7" t="str">
        <f t="shared" si="25"/>
        <v>PremiumSS5R5only</v>
      </c>
      <c r="D330" s="98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IFERROR(VLOOKUP(B330,input_565010!L:R,7,FALSE),VLOOKUP(tables_565010!C330,input_565010!A:H,8,FALSE))</f>
        <v>57000</v>
      </c>
      <c r="P330" s="46">
        <f t="shared" ca="1" si="23"/>
        <v>4.166666666665445E-4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input_565010!A$2</f>
        <v>565010</v>
      </c>
      <c r="B331" s="60">
        <v>1214</v>
      </c>
      <c r="C331" s="7" t="str">
        <f t="shared" ref="C331:C335" si="26">D331&amp;J331&amp;E331&amp;F331&amp;G331</f>
        <v>PremiumSS5R5only</v>
      </c>
      <c r="D331" s="98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IFERROR(VLOOKUP(B331,input_565010!L:R,7,FALSE),VLOOKUP(tables_565010!C331,input_565010!A:H,8,FALSE))</f>
        <v>57000</v>
      </c>
      <c r="P331" s="46">
        <f t="shared" ca="1" si="23"/>
        <v>4.166666666665445E-4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input_565010!A$2</f>
        <v>565010</v>
      </c>
      <c r="B332" s="60">
        <v>1212</v>
      </c>
      <c r="C332" s="7" t="str">
        <f t="shared" si="26"/>
        <v>PremiumSS5R5only</v>
      </c>
      <c r="D332" s="98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IFERROR(VLOOKUP(B332,input_565010!L:R,7,FALSE),VLOOKUP(tables_565010!C332,input_565010!A:H,8,FALSE))</f>
        <v>57000</v>
      </c>
      <c r="P332" s="46">
        <f t="shared" ca="1" si="23"/>
        <v>4.166666666665445E-4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input_565010!A$2</f>
        <v>565010</v>
      </c>
      <c r="B333" s="60">
        <v>1208</v>
      </c>
      <c r="C333" s="7" t="str">
        <f t="shared" si="26"/>
        <v>PremiumSS5R5only</v>
      </c>
      <c r="D333" s="98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IFERROR(VLOOKUP(B333,input_565010!L:R,7,FALSE),VLOOKUP(tables_565010!C333,input_565010!A:H,8,FALSE))</f>
        <v>57000</v>
      </c>
      <c r="P333" s="46">
        <f t="shared" ca="1" si="23"/>
        <v>4.166666666665445E-4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input_565010!A$2</f>
        <v>565010</v>
      </c>
      <c r="B334" s="93">
        <v>1210</v>
      </c>
      <c r="C334" s="7" t="str">
        <f t="shared" si="26"/>
        <v>Premium4R3less</v>
      </c>
      <c r="D334" s="98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IFERROR(VLOOKUP(B334,input_565010!L:R,7,FALSE),VLOOKUP(tables_565010!C334,input_565010!A:H,8,FALSE))</f>
        <v>852480</v>
      </c>
      <c r="P334" s="46">
        <f t="shared" ca="1" si="23"/>
        <v>6.2315789473665938E-3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input_565010!A$2</f>
        <v>565010</v>
      </c>
      <c r="B335" s="60">
        <v>1211</v>
      </c>
      <c r="C335" s="7" t="str">
        <f t="shared" si="26"/>
        <v>Premium5R3less</v>
      </c>
      <c r="D335" s="98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IFERROR(VLOOKUP(B335,input_565010!L:R,7,FALSE),VLOOKUP(tables_565010!C335,input_565010!A:H,8,FALSE))</f>
        <v>230400</v>
      </c>
      <c r="P335" s="46">
        <f t="shared" ca="1" si="23"/>
        <v>1.6842105263152956E-3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input_565010!A$2</f>
        <v>565010</v>
      </c>
      <c r="B336" s="60">
        <v>1228</v>
      </c>
      <c r="C336" s="7" t="str">
        <f t="shared" ref="C336:C340" si="28">D336&amp;J336&amp;E336&amp;F336&amp;G336</f>
        <v>PremiumSS5R5only</v>
      </c>
      <c r="D336" s="98" t="str">
        <f t="shared" ref="D336:D340" si="29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IFERROR(VLOOKUP(B336,input_565010!L:R,7,FALSE),VLOOKUP(tables_565010!C336,input_565010!A:H,8,FALSE))</f>
        <v>57000</v>
      </c>
      <c r="P336" s="46">
        <f t="shared" ca="1" si="23"/>
        <v>4.166666666665445E-4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input_565010!A$2</f>
        <v>565010</v>
      </c>
      <c r="B337" s="60">
        <v>1226</v>
      </c>
      <c r="C337" s="7" t="str">
        <f t="shared" si="28"/>
        <v>PremiumSS5R5only</v>
      </c>
      <c r="D337" s="98" t="str">
        <f t="shared" si="29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IFERROR(VLOOKUP(B337,input_565010!L:R,7,FALSE),VLOOKUP(tables_565010!C337,input_565010!A:H,8,FALSE))</f>
        <v>57000</v>
      </c>
      <c r="P337" s="46">
        <f t="shared" ca="1" si="23"/>
        <v>4.166666666665445E-4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input_565010!A$2</f>
        <v>565010</v>
      </c>
      <c r="B338" s="60">
        <v>1230</v>
      </c>
      <c r="C338" s="7" t="str">
        <f t="shared" si="28"/>
        <v>PremiumSS5R5only</v>
      </c>
      <c r="D338" s="98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IFERROR(VLOOKUP(B338,input_565010!L:R,7,FALSE),VLOOKUP(tables_565010!C338,input_565010!A:H,8,FALSE))</f>
        <v>57000</v>
      </c>
      <c r="P338" s="46">
        <f t="shared" ca="1" si="23"/>
        <v>4.166666666665445E-4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input_565010!A$2</f>
        <v>565010</v>
      </c>
      <c r="B339" s="93">
        <v>1224</v>
      </c>
      <c r="C339" s="7" t="str">
        <f t="shared" si="28"/>
        <v>Premium4R3less</v>
      </c>
      <c r="D339" s="98" t="str">
        <f t="shared" si="29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IFERROR(VLOOKUP(B339,input_565010!L:R,7,FALSE),VLOOKUP(tables_565010!C339,input_565010!A:H,8,FALSE))</f>
        <v>852480</v>
      </c>
      <c r="P339" s="46">
        <f t="shared" ca="1" si="23"/>
        <v>6.2315789473665938E-3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input_565010!A$2</f>
        <v>565010</v>
      </c>
      <c r="B340" s="60">
        <v>1225</v>
      </c>
      <c r="C340" s="7" t="str">
        <f t="shared" si="28"/>
        <v>Premium5R3less</v>
      </c>
      <c r="D340" s="98" t="str">
        <f t="shared" si="29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IFERROR(VLOOKUP(B340,input_565010!L:R,7,FALSE),VLOOKUP(tables_565010!C340,input_565010!A:H,8,FALSE))</f>
        <v>230400</v>
      </c>
      <c r="P340" s="46">
        <f t="shared" ca="1" si="23"/>
        <v>1.6842105263152956E-3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input_565010!A$2</f>
        <v>565010</v>
      </c>
      <c r="B341" s="1">
        <v>1250</v>
      </c>
      <c r="C341" s="7" t="str">
        <f t="shared" ref="C341:C345" si="30">D341&amp;J341&amp;E341&amp;F341&amp;G341</f>
        <v>PremiumSS5R5only</v>
      </c>
      <c r="D341" s="98" t="str">
        <f t="shared" ref="D341:D345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IFERROR(VLOOKUP(B341,input_565010!L:R,7,FALSE),VLOOKUP(tables_565010!C341,input_565010!A:H,8,FALSE))</f>
        <v>57000</v>
      </c>
      <c r="P341" s="46">
        <f t="shared" ca="1" si="23"/>
        <v>4.166666666665445E-4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input_565010!A$2</f>
        <v>565010</v>
      </c>
      <c r="B342" s="1">
        <v>1244</v>
      </c>
      <c r="C342" s="7" t="str">
        <f t="shared" si="30"/>
        <v>PremiumSS5R5only</v>
      </c>
      <c r="D342" s="98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IFERROR(VLOOKUP(B342,input_565010!L:R,7,FALSE),VLOOKUP(tables_565010!C342,input_565010!A:H,8,FALSE))</f>
        <v>57000</v>
      </c>
      <c r="P342" s="46">
        <f t="shared" ca="1" si="23"/>
        <v>4.166666666665445E-4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input_565010!A$2</f>
        <v>565010</v>
      </c>
      <c r="B343" s="1">
        <v>1246</v>
      </c>
      <c r="C343" s="7" t="str">
        <f t="shared" si="30"/>
        <v>PremiumSS5R5only</v>
      </c>
      <c r="D343" s="98" t="str">
        <f t="shared" si="31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IFERROR(VLOOKUP(B343,input_565010!L:R,7,FALSE),VLOOKUP(tables_565010!C343,input_565010!A:H,8,FALSE))</f>
        <v>57000</v>
      </c>
      <c r="P343" s="46">
        <f t="shared" ca="1" si="23"/>
        <v>4.166666666665445E-4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input_565010!A$2</f>
        <v>565010</v>
      </c>
      <c r="B344" s="1">
        <v>1248</v>
      </c>
      <c r="C344" s="7" t="str">
        <f t="shared" si="30"/>
        <v>Premium4R3less</v>
      </c>
      <c r="D344" s="98" t="str">
        <f t="shared" si="31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IFERROR(VLOOKUP(B344,input_565010!L:R,7,FALSE),VLOOKUP(tables_565010!C344,input_565010!A:H,8,FALSE))</f>
        <v>852480</v>
      </c>
      <c r="P344" s="46">
        <f t="shared" ca="1" si="23"/>
        <v>6.2315789473665938E-3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input_565010!A$2</f>
        <v>565010</v>
      </c>
      <c r="B345" s="1">
        <v>1249</v>
      </c>
      <c r="C345" s="7" t="str">
        <f t="shared" si="30"/>
        <v>Premium5R3less</v>
      </c>
      <c r="D345" s="98" t="str">
        <f t="shared" si="31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IFERROR(VLOOKUP(B345,input_565010!L:R,7,FALSE),VLOOKUP(tables_565010!C345,input_565010!A:H,8,FALSE))</f>
        <v>230400</v>
      </c>
      <c r="P345" s="46">
        <f t="shared" ca="1" si="23"/>
        <v>1.6842105263152956E-3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input_565010!A$2</f>
        <v>565010</v>
      </c>
      <c r="B346" s="1">
        <v>1260</v>
      </c>
      <c r="C346" s="7" t="str">
        <f t="shared" ref="C346:C348" si="32">D346&amp;J346&amp;E346&amp;F346&amp;G346</f>
        <v>PremiumSS5R5only</v>
      </c>
      <c r="D346" s="98" t="str">
        <f t="shared" ref="D346:D348" si="33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IFERROR(VLOOKUP(B346,input_565010!L:R,7,FALSE),VLOOKUP(tables_565010!C346,input_565010!A:H,8,FALSE))</f>
        <v>57000</v>
      </c>
      <c r="P346" s="46">
        <f t="shared" ca="1" si="23"/>
        <v>4.166666666665445E-4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input_565010!A$2</f>
        <v>565010</v>
      </c>
      <c r="B347" s="1">
        <v>1262</v>
      </c>
      <c r="C347" s="7" t="str">
        <f t="shared" si="32"/>
        <v>PremiumSS5R5only</v>
      </c>
      <c r="D347" s="98" t="str">
        <f t="shared" si="33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IFERROR(VLOOKUP(B347,input_565010!L:R,7,FALSE),VLOOKUP(tables_565010!C347,input_565010!A:H,8,FALSE))</f>
        <v>57000</v>
      </c>
      <c r="P347" s="46">
        <f t="shared" ca="1" si="23"/>
        <v>4.166666666665445E-4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input_565010!A$2</f>
        <v>565010</v>
      </c>
      <c r="B348" s="1">
        <v>1264</v>
      </c>
      <c r="C348" s="7" t="str">
        <f t="shared" si="32"/>
        <v>PremiumSS5R5only</v>
      </c>
      <c r="D348" s="98" t="str">
        <f t="shared" si="33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IFERROR(VLOOKUP(B348,input_565010!L:R,7,FALSE),VLOOKUP(tables_565010!C348,input_565010!A:H,8,FALSE))</f>
        <v>57000</v>
      </c>
      <c r="P348" s="46">
        <f t="shared" ca="1" si="23"/>
        <v>4.166666666665445E-4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input_565010!A$2</f>
        <v>565010</v>
      </c>
      <c r="B349" s="1">
        <v>1266</v>
      </c>
      <c r="C349" s="7" t="str">
        <f t="shared" ref="C349" si="34">D349&amp;J349&amp;E349&amp;F349&amp;G349</f>
        <v>Premium4R3less</v>
      </c>
      <c r="D349" s="98" t="str">
        <f t="shared" ref="D349" si="35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IFERROR(VLOOKUP(B349,input_565010!L:R,7,FALSE),VLOOKUP(tables_565010!C349,input_565010!A:H,8,FALSE))</f>
        <v>852480</v>
      </c>
      <c r="P349" s="46">
        <f t="shared" ca="1" si="23"/>
        <v>6.2315789473665938E-3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input_565010!A$2</f>
        <v>565010</v>
      </c>
      <c r="B350" s="1">
        <v>1267</v>
      </c>
      <c r="C350" s="7" t="str">
        <f t="shared" ref="C350" si="36">D350&amp;J350&amp;E350&amp;F350&amp;G350</f>
        <v>Premium5R3less</v>
      </c>
      <c r="D350" s="98" t="str">
        <f t="shared" ref="D350" si="37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IFERROR(VLOOKUP(B350,input_565010!L:R,7,FALSE),VLOOKUP(tables_565010!C350,input_565010!A:H,8,FALSE))</f>
        <v>230400</v>
      </c>
      <c r="P350" s="46">
        <f t="shared" ca="1" si="23"/>
        <v>1.6842105263152956E-3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input_565010!A$2</f>
        <v>565010</v>
      </c>
      <c r="B351" s="1">
        <v>1332</v>
      </c>
      <c r="C351" s="7" t="str">
        <f t="shared" ref="C351:C354" si="38">D351&amp;J351&amp;E351&amp;F351&amp;G351</f>
        <v>PremiumSS5R5only</v>
      </c>
      <c r="D351" s="7" t="str">
        <f t="shared" ref="D351:D354" si="3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IFERROR(VLOOKUP(B351,input_565010!L:R,7,FALSE),VLOOKUP(tables_565010!C351,input_565010!A:H,8,FALSE))</f>
        <v>57000</v>
      </c>
      <c r="P351" s="46">
        <f t="shared" ca="1" si="23"/>
        <v>4.166666666665445E-4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input_565010!A$2</f>
        <v>565010</v>
      </c>
      <c r="B352" s="1">
        <v>1336</v>
      </c>
      <c r="C352" s="7" t="str">
        <f t="shared" si="38"/>
        <v>PremiumSS5R5only</v>
      </c>
      <c r="D352" s="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IFERROR(VLOOKUP(B352,input_565010!L:R,7,FALSE),VLOOKUP(tables_565010!C352,input_565010!A:H,8,FALSE))</f>
        <v>57000</v>
      </c>
      <c r="P352" s="46">
        <f t="shared" ca="1" si="23"/>
        <v>4.166666666665445E-4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input_565010!A$2</f>
        <v>565010</v>
      </c>
      <c r="B353" s="1">
        <v>1338</v>
      </c>
      <c r="C353" s="7" t="str">
        <f t="shared" si="38"/>
        <v>PremiumSS5R5only</v>
      </c>
      <c r="D353" s="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IFERROR(VLOOKUP(B353,input_565010!L:R,7,FALSE),VLOOKUP(tables_565010!C353,input_565010!A:H,8,FALSE))</f>
        <v>57000</v>
      </c>
      <c r="P353" s="46">
        <f t="shared" ca="1" si="23"/>
        <v>4.166666666665445E-4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input_565010!A$2</f>
        <v>565010</v>
      </c>
      <c r="B354" s="1">
        <v>1334</v>
      </c>
      <c r="C354" s="7" t="str">
        <f t="shared" si="38"/>
        <v>Premium4R3less</v>
      </c>
      <c r="D354" s="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IFERROR(VLOOKUP(B354,input_565010!L:R,7,FALSE),VLOOKUP(tables_565010!C354,input_565010!A:H,8,FALSE))</f>
        <v>852480</v>
      </c>
      <c r="P354" s="46">
        <f t="shared" ca="1" si="23"/>
        <v>6.2315789473665938E-3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input_565010!A$2</f>
        <v>565010</v>
      </c>
      <c r="B355" s="1">
        <v>1335</v>
      </c>
      <c r="C355" s="7" t="str">
        <f t="shared" ref="C355:C359" si="40">D355&amp;J355&amp;E355&amp;F355&amp;G355</f>
        <v>Premium5R3less</v>
      </c>
      <c r="D355" s="7" t="str">
        <f t="shared" ref="D355:D359" si="41">IF(OR(I355="PremiumSS",I355="PremiumSSw"),"PremiumSS",IF(I355="PremiumSSS",I355,IF(I355="PremiumW",IF(J355=5,"premium",I355),"Premium")))</f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IFERROR(VLOOKUP(B355,input_565010!L:R,7,FALSE),VLOOKUP(tables_565010!C355,input_565010!A:H,8,FALSE))</f>
        <v>230400</v>
      </c>
      <c r="P355" s="46">
        <f t="shared" ca="1" si="23"/>
        <v>1.6842105263152956E-3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5" t="str">
        <f ca="1">input_565010!A$2</f>
        <v>565010</v>
      </c>
      <c r="B356" s="103">
        <v>1385</v>
      </c>
      <c r="C356" s="5" t="str">
        <f t="shared" si="40"/>
        <v>PremiumSS5R5only</v>
      </c>
      <c r="D356" s="104" t="str">
        <f t="shared" si="41"/>
        <v>PremiumSS</v>
      </c>
      <c r="E356" s="5" t="str">
        <f>IF(COUNTIF('R6追加前'!A:A,B356)=0,IF(OR(I356="PremiumSS",I356="PremiumSSw"),"R5only","R3less"),"")</f>
        <v>R5only</v>
      </c>
      <c r="F356" s="5" t="str">
        <f>IF(COUNTIF('R6開放'!A:A,B356)&gt;0,"R6release","")</f>
        <v/>
      </c>
      <c r="G356" s="5"/>
      <c r="H356" s="5" t="str">
        <f>VLOOKUP(B356,[1]characters!$A:$C,3,FALSE)</f>
        <v>いばら姫</v>
      </c>
      <c r="I356" s="5" t="str">
        <f>VLOOKUP(B356,[1]characters!$A:$J,10,FALSE)</f>
        <v>PremiumSSw</v>
      </c>
      <c r="J356" s="5">
        <f>VLOOKUP(B356,[1]characters!$A:$I,9,FALSE)</f>
        <v>5</v>
      </c>
      <c r="K356" s="5" t="str">
        <f>VLOOKUP(B356,[1]characters!$A:$H,8,FALSE)</f>
        <v>blue</v>
      </c>
      <c r="L356" s="5" t="str">
        <f>VLOOKUP(B356,[1]characters!$A:$K,11,FALSE)</f>
        <v>attack</v>
      </c>
      <c r="M356" s="5" t="str">
        <f>VLOOKUP(B356,[1]characters!$A:$M,13,FALSE)</f>
        <v>fantasy</v>
      </c>
      <c r="N356" s="5">
        <f>VLOOKUP(B356,[1]characters!$A:$G,7,FALSE)</f>
        <v>0</v>
      </c>
      <c r="O356" s="105">
        <f>IFERROR(VLOOKUP(B356,input_565010!L:R,7,FALSE),VLOOKUP(tables_565010!C356,input_565010!A:H,8,FALSE))</f>
        <v>1368000</v>
      </c>
      <c r="P356" s="106">
        <f t="shared" ca="1" si="23"/>
        <v>9.9999999999970685E-3</v>
      </c>
      <c r="Q356" s="107">
        <v>1</v>
      </c>
      <c r="R356" s="107">
        <v>0</v>
      </c>
      <c r="S356" s="107">
        <v>0</v>
      </c>
      <c r="T356" s="107">
        <v>0</v>
      </c>
      <c r="U356" s="107">
        <v>0</v>
      </c>
      <c r="V356" s="107">
        <v>20</v>
      </c>
    </row>
    <row r="357" spans="1:22" ht="21" customHeight="1" x14ac:dyDescent="0.15">
      <c r="A357" s="5" t="str">
        <f ca="1">input_565010!A$2</f>
        <v>565010</v>
      </c>
      <c r="B357" s="103">
        <v>1387</v>
      </c>
      <c r="C357" s="5" t="str">
        <f t="shared" si="40"/>
        <v>PremiumSS5R5only</v>
      </c>
      <c r="D357" s="104" t="str">
        <f t="shared" si="41"/>
        <v>PremiumSS</v>
      </c>
      <c r="E357" s="5" t="str">
        <f>IF(COUNTIF('R6追加前'!A:A,B357)=0,IF(OR(I357="PremiumSS",I357="PremiumSSw"),"R5only","R3less"),"")</f>
        <v>R5only</v>
      </c>
      <c r="F357" s="5" t="str">
        <f>IF(COUNTIF('R6開放'!A:A,B357)&gt;0,"R6release","")</f>
        <v/>
      </c>
      <c r="G357" s="5"/>
      <c r="H357" s="5" t="str">
        <f>VLOOKUP(B357,[1]characters!$A:$C,3,FALSE)</f>
        <v>ダルタニャン</v>
      </c>
      <c r="I357" s="5" t="str">
        <f>VLOOKUP(B357,[1]characters!$A:$J,10,FALSE)</f>
        <v>PremiumSS</v>
      </c>
      <c r="J357" s="5">
        <f>VLOOKUP(B357,[1]characters!$A:$I,9,FALSE)</f>
        <v>5</v>
      </c>
      <c r="K357" s="5" t="str">
        <f>VLOOKUP(B357,[1]characters!$A:$H,8,FALSE)</f>
        <v>yellow</v>
      </c>
      <c r="L357" s="5" t="str">
        <f>VLOOKUP(B357,[1]characters!$A:$K,11,FALSE)</f>
        <v>attack</v>
      </c>
      <c r="M357" s="5" t="str">
        <f>VLOOKUP(B357,[1]characters!$A:$M,13,FALSE)</f>
        <v>hero</v>
      </c>
      <c r="N357" s="5">
        <f>VLOOKUP(B357,[1]characters!$A:$G,7,FALSE)</f>
        <v>0</v>
      </c>
      <c r="O357" s="105">
        <f>IFERROR(VLOOKUP(B357,input_565010!L:R,7,FALSE),VLOOKUP(tables_565010!C357,input_565010!A:H,8,FALSE))</f>
        <v>4104000</v>
      </c>
      <c r="P357" s="106">
        <f t="shared" ca="1" si="23"/>
        <v>2.9999999999991204E-2</v>
      </c>
      <c r="Q357" s="107">
        <v>1</v>
      </c>
      <c r="R357" s="107">
        <v>0</v>
      </c>
      <c r="S357" s="107">
        <v>0</v>
      </c>
      <c r="T357" s="107">
        <v>0</v>
      </c>
      <c r="U357" s="107">
        <v>0</v>
      </c>
      <c r="V357" s="107">
        <v>5</v>
      </c>
    </row>
    <row r="358" spans="1:22" ht="21" customHeight="1" x14ac:dyDescent="0.15">
      <c r="A358" s="5" t="str">
        <f ca="1">input_565010!A$2</f>
        <v>565010</v>
      </c>
      <c r="B358" s="103">
        <v>1383</v>
      </c>
      <c r="C358" s="5" t="str">
        <f t="shared" si="40"/>
        <v>PremiumSS5R5only</v>
      </c>
      <c r="D358" s="104" t="str">
        <f t="shared" si="41"/>
        <v>PremiumSS</v>
      </c>
      <c r="E358" s="5" t="str">
        <f>IF(COUNTIF('R6追加前'!A:A,B358)=0,IF(OR(I358="PremiumSS",I358="PremiumSSw"),"R5only","R3less"),"")</f>
        <v>R5only</v>
      </c>
      <c r="F358" s="5" t="str">
        <f>IF(COUNTIF('R6開放'!A:A,B358)&gt;0,"R6release","")</f>
        <v/>
      </c>
      <c r="G358" s="5"/>
      <c r="H358" s="5" t="str">
        <f>VLOOKUP(B358,[1]characters!$A:$C,3,FALSE)</f>
        <v>シンドバッド</v>
      </c>
      <c r="I358" s="5" t="str">
        <f>VLOOKUP(B358,[1]characters!$A:$J,10,FALSE)</f>
        <v>PremiumSS</v>
      </c>
      <c r="J358" s="5">
        <f>VLOOKUP(B358,[1]characters!$A:$I,9,FALSE)</f>
        <v>5</v>
      </c>
      <c r="K358" s="5" t="str">
        <f>VLOOKUP(B358,[1]characters!$A:$H,8,FALSE)</f>
        <v>green</v>
      </c>
      <c r="L358" s="5" t="str">
        <f>VLOOKUP(B358,[1]characters!$A:$K,11,FALSE)</f>
        <v>technical</v>
      </c>
      <c r="M358" s="5" t="str">
        <f>VLOOKUP(B358,[1]characters!$A:$M,13,FALSE)</f>
        <v>hero</v>
      </c>
      <c r="N358" s="5">
        <f>VLOOKUP(B358,[1]characters!$A:$G,7,FALSE)</f>
        <v>0</v>
      </c>
      <c r="O358" s="105">
        <f>IFERROR(VLOOKUP(B358,input_565010!L:R,7,FALSE),VLOOKUP(tables_565010!C358,input_565010!A:H,8,FALSE))</f>
        <v>4104000</v>
      </c>
      <c r="P358" s="106">
        <f t="shared" ca="1" si="23"/>
        <v>2.9999999999991204E-2</v>
      </c>
      <c r="Q358" s="107">
        <v>1</v>
      </c>
      <c r="R358" s="107">
        <v>0</v>
      </c>
      <c r="S358" s="107">
        <v>0</v>
      </c>
      <c r="T358" s="107">
        <v>0</v>
      </c>
      <c r="U358" s="107">
        <v>0</v>
      </c>
      <c r="V358" s="107">
        <v>5</v>
      </c>
    </row>
    <row r="359" spans="1:22" ht="21" customHeight="1" x14ac:dyDescent="0.15">
      <c r="A359" s="5" t="str">
        <f ca="1">input_565010!A$2</f>
        <v>565010</v>
      </c>
      <c r="B359" s="103">
        <v>1381</v>
      </c>
      <c r="C359" s="5" t="str">
        <f t="shared" si="40"/>
        <v>Premium4R3less</v>
      </c>
      <c r="D359" s="104" t="str">
        <f t="shared" si="41"/>
        <v>Premium</v>
      </c>
      <c r="E359" s="5" t="str">
        <f>IF(COUNTIF('R6追加前'!A:A,B359)=0,IF(OR(I359="PremiumSS",I359="PremiumSSw"),"R5only","R3less"),"")</f>
        <v>R3less</v>
      </c>
      <c r="F359" s="5" t="str">
        <f>IF(COUNTIF('R6開放'!A:A,B359)&gt;0,"R6release","")</f>
        <v/>
      </c>
      <c r="G359" s="5"/>
      <c r="H359" s="5" t="str">
        <f>VLOOKUP(B359,[1]characters!$A:$C,3,FALSE)</f>
        <v>ガリバー</v>
      </c>
      <c r="I359" s="5" t="str">
        <f>VLOOKUP(B359,[1]characters!$A:$J,10,FALSE)</f>
        <v>PremiumS</v>
      </c>
      <c r="J359" s="5">
        <f>VLOOKUP(B359,[1]characters!$A:$I,9,FALSE)</f>
        <v>4</v>
      </c>
      <c r="K359" s="5" t="str">
        <f>VLOOKUP(B359,[1]characters!$A:$H,8,FALSE)</f>
        <v>red</v>
      </c>
      <c r="L359" s="5" t="str">
        <f>VLOOKUP(B359,[1]characters!$A:$K,11,FALSE)</f>
        <v>hp</v>
      </c>
      <c r="M359" s="5" t="str">
        <f>VLOOKUP(B359,[1]characters!$A:$M,13,FALSE)</f>
        <v>human</v>
      </c>
      <c r="N359" s="5">
        <f>VLOOKUP(B359,[1]characters!$A:$G,7,FALSE)</f>
        <v>0</v>
      </c>
      <c r="O359" s="105">
        <f>IFERROR(VLOOKUP(B359,input_565010!L:R,7,FALSE),VLOOKUP(tables_565010!C359,input_565010!A:H,8,FALSE))</f>
        <v>6840000</v>
      </c>
      <c r="P359" s="106">
        <f t="shared" ca="1" si="23"/>
        <v>4.9999999999985341E-2</v>
      </c>
      <c r="Q359" s="107">
        <v>1</v>
      </c>
      <c r="R359" s="107">
        <v>0</v>
      </c>
      <c r="S359" s="107">
        <v>0</v>
      </c>
      <c r="T359" s="107">
        <v>0</v>
      </c>
      <c r="U359" s="107">
        <v>0</v>
      </c>
      <c r="V359" s="107">
        <v>3</v>
      </c>
    </row>
    <row r="360" spans="1:22" ht="21" customHeight="1" x14ac:dyDescent="0.15">
      <c r="A360" s="5" t="str">
        <f ca="1">input_565010!A$2</f>
        <v>565010</v>
      </c>
      <c r="B360" s="103">
        <v>1382</v>
      </c>
      <c r="C360" s="5" t="str">
        <f t="shared" ref="C360" si="42">D360&amp;J360&amp;E360&amp;F360&amp;G360</f>
        <v>Premium5R3less</v>
      </c>
      <c r="D360" s="104" t="str">
        <f t="shared" ref="D360" si="43">IF(OR(I360="PremiumSS",I360="PremiumSSw"),"PremiumSS",IF(I360="PremiumSSS",I360,IF(I360="PremiumW",IF(J360=5,"premium",I360),"Premium")))</f>
        <v>Premium</v>
      </c>
      <c r="E360" s="5" t="str">
        <f>IF(COUNTIF('R6追加前'!A:A,B360)=0,IF(OR(I360="PremiumSS",I360="PremiumSSw"),"R5only","R3less"),"")</f>
        <v>R3less</v>
      </c>
      <c r="F360" s="5" t="str">
        <f>IF(COUNTIF('R6開放'!A:A,B360)&gt;0,"R6release","")</f>
        <v/>
      </c>
      <c r="G360" s="5"/>
      <c r="H360" s="5" t="str">
        <f>VLOOKUP(B360,[1]characters!$A:$C,3,FALSE)</f>
        <v>賢巨なる渡来者 ガリバー</v>
      </c>
      <c r="I360" s="5" t="str">
        <f>VLOOKUP(B360,[1]characters!$A:$J,10,FALSE)</f>
        <v>PremiumS</v>
      </c>
      <c r="J360" s="5">
        <f>VLOOKUP(B360,[1]characters!$A:$I,9,FALSE)</f>
        <v>5</v>
      </c>
      <c r="K360" s="5" t="str">
        <f>VLOOKUP(B360,[1]characters!$A:$H,8,FALSE)</f>
        <v>red</v>
      </c>
      <c r="L360" s="5" t="str">
        <f>VLOOKUP(B360,[1]characters!$A:$K,11,FALSE)</f>
        <v>hp</v>
      </c>
      <c r="M360" s="5" t="str">
        <f>VLOOKUP(B360,[1]characters!$A:$M,13,FALSE)</f>
        <v>human</v>
      </c>
      <c r="N360" s="5">
        <f>VLOOKUP(B360,[1]characters!$A:$G,7,FALSE)</f>
        <v>0</v>
      </c>
      <c r="O360" s="105">
        <f>IFERROR(VLOOKUP(B360,input_565010!L:R,7,FALSE),VLOOKUP(tables_565010!C360,input_565010!A:H,8,FALSE))</f>
        <v>6840000</v>
      </c>
      <c r="P360" s="106">
        <f t="shared" ca="1" si="23"/>
        <v>4.9999999999985341E-2</v>
      </c>
      <c r="Q360" s="107">
        <v>1</v>
      </c>
      <c r="R360" s="107">
        <v>0</v>
      </c>
      <c r="S360" s="107">
        <v>0</v>
      </c>
      <c r="T360" s="107">
        <v>0</v>
      </c>
      <c r="U360" s="107">
        <v>0</v>
      </c>
      <c r="V360" s="107">
        <v>3</v>
      </c>
    </row>
  </sheetData>
  <autoFilter ref="A1:V350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C29" activeCellId="6" sqref="B21 B23 C23 B26 B28 B29 C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1385</v>
      </c>
      <c r="M3" s="37" t="str">
        <f>VLOOKUP(L3,[1]characters!$A:$C,3,FALSE)</f>
        <v>いばら姫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PremiumSSw</v>
      </c>
      <c r="Q3" s="37" t="str">
        <f>VLOOKUP(L3,tables_565100!B:C,2,FALSE)</f>
        <v>PremiumSS5R5only</v>
      </c>
      <c r="R3" s="62">
        <f t="shared" ref="R3:R20" si="1">N3*A$36</f>
        <v>1368000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1387</v>
      </c>
      <c r="M4" s="37" t="str">
        <f>VLOOKUP(L4,[1]characters!$A:$C,3,FALSE)</f>
        <v>ダルタニャン</v>
      </c>
      <c r="N4" s="63">
        <v>0.03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VLOOKUP(L4,tables_565100!B:C,2,FALSE)</f>
        <v>PremiumSS5R5only</v>
      </c>
      <c r="R4" s="62">
        <f t="shared" si="1"/>
        <v>4104000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4.1666666666666664E-4</v>
      </c>
      <c r="F5">
        <f>(COUNTIF(tables_565100!C:C,input_565100!A28)+COUNTIF(tables_565100!C:C,input_565100!A29))</f>
        <v>75</v>
      </c>
      <c r="H5" s="84">
        <v>7.0000000000000007E-2</v>
      </c>
      <c r="I5" s="31">
        <v>3</v>
      </c>
      <c r="L5" s="1">
        <v>1383</v>
      </c>
      <c r="M5" s="37" t="str">
        <f>VLOOKUP(L5,[1]characters!$A:$C,3,FALSE)</f>
        <v>シンドバッド</v>
      </c>
      <c r="N5" s="63">
        <v>0.03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VLOOKUP(L5,tables_565100!B:C,2,FALSE)</f>
        <v>PremiumSS5R5only</v>
      </c>
      <c r="R5" s="62">
        <f t="shared" si="1"/>
        <v>4104000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0.8</v>
      </c>
      <c r="D6" t="s">
        <v>202</v>
      </c>
      <c r="E6" s="76">
        <f>(B10-H6)/(F6-I6)</f>
        <v>8.4210526315789472E-3</v>
      </c>
      <c r="F6">
        <f>(COUNTIF(tables_565100!C:C,input_565100!A25)+COUNTIF(tables_565100!C:C,input_565100!A18)+COUNTIF(tables_565100!C:C,input_565100!A20)+COUNTIF(tables_565100!C:C,input_565100!A22))</f>
        <v>97</v>
      </c>
      <c r="H6" s="89">
        <v>0.1</v>
      </c>
      <c r="I6" s="31">
        <v>2</v>
      </c>
      <c r="L6" s="1">
        <v>1381</v>
      </c>
      <c r="M6" s="37" t="str">
        <f>VLOOKUP(L6,[1]characters!$A:$C,3,FALSE)</f>
        <v>ガリバー</v>
      </c>
      <c r="N6" s="63">
        <v>0.05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VLOOKUP(L6,tables_565100!B:C,2,FALSE)</f>
        <v>Premium4R3less</v>
      </c>
      <c r="R6" s="62">
        <f t="shared" si="1"/>
        <v>6840000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0.2</v>
      </c>
      <c r="L7" s="1">
        <v>1382</v>
      </c>
      <c r="M7" s="37" t="str">
        <f>VLOOKUP(L7,[1]characters!$A:$C,3,FALSE)</f>
        <v>賢巨なる渡来者 ガリバー</v>
      </c>
      <c r="N7" s="63">
        <v>0.05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VLOOKUP(L7,tables_565100!B:C,2,FALSE)</f>
        <v>Premium5R3less</v>
      </c>
      <c r="R7" s="62">
        <f t="shared" si="1"/>
        <v>6840000</v>
      </c>
      <c r="S7">
        <v>597</v>
      </c>
      <c r="U7" s="33" t="s">
        <v>196</v>
      </c>
      <c r="V7" s="54">
        <f t="shared" si="0"/>
        <v>0.05</v>
      </c>
    </row>
    <row r="8" spans="1:22" x14ac:dyDescent="0.15">
      <c r="A8" s="57"/>
      <c r="B8" s="71"/>
      <c r="E8" s="76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VLOOKUP(L8,tables_565100!B:C,2,FALSE)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0.05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VLOOKUP(L9,tables_565100!B:C,2,FALSE)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VLOOKUP(L10,tables_565100!B:C,2,FALSE)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VLOOKUP(L11,tables_565100!B:C,2,FALSE)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VLOOKUP(L12,tables_565100!B:C,2,FALSE)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VLOOKUP(L13,tables_565100!B:C,2,FALSE)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VLOOKUP(L14,tables_565100!B:C,2,FALSE)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7.0000000000000007E-2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VLOOKUP(L15,tables_565100!B:C,2,FALSE)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VLOOKUP(L16,tables_565100!B:C,2,FALSE)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COUNTIF(tables_565100!C:C,input_565100!A17)-COUNTIF(Q:Q,A17)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VLOOKUP(L17,tables_565100!B:C,2,FALSE)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B6-SUM(B20,B22,B25,B27,B30,C22)</f>
        <v>0.23877192982456141</v>
      </c>
      <c r="C18" s="85">
        <f t="shared" si="2"/>
        <v>0</v>
      </c>
      <c r="D18" s="74">
        <f t="shared" si="3"/>
        <v>0.23877192982456141</v>
      </c>
      <c r="E18">
        <f>COUNTIF(tables_565100!C:C,input_565100!A18)-COUNTIF(Q:Q,A18)</f>
        <v>20</v>
      </c>
      <c r="F18" s="43">
        <f>IFERROR(B18/E18,0)</f>
        <v>1.1938596491228071E-2</v>
      </c>
      <c r="G18">
        <f t="shared" si="4"/>
        <v>32664000</v>
      </c>
      <c r="H18">
        <f t="shared" si="5"/>
        <v>1633200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VLOOKUP(L18,tables_565100!B:C,2,FALSE)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COUNTIF(tables_565100!C:C,input_565100!A19)-COUNTIF(Q:Q,A19)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VLOOKUP(L19,tables_565100!B:C,2,FALSE)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0.35031578947368419</v>
      </c>
      <c r="C20" s="85">
        <f t="shared" si="2"/>
        <v>0</v>
      </c>
      <c r="D20" s="74">
        <f t="shared" si="3"/>
        <v>0.35031578947368419</v>
      </c>
      <c r="E20">
        <f>COUNTIF(tables_565100!C:C,input_565100!A20)-COUNTIF(Q:Q,A20)</f>
        <v>52</v>
      </c>
      <c r="F20" s="43">
        <f t="shared" si="8"/>
        <v>6.7368421052631574E-3</v>
      </c>
      <c r="G20">
        <f t="shared" si="4"/>
        <v>47923200</v>
      </c>
      <c r="H20">
        <f t="shared" si="5"/>
        <v>921600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VLOOKUP(L20,tables_565100!B:C,2,FALSE)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B7-B23-B26-B28-B29-C23-C29</f>
        <v>8.807017543859666E-3</v>
      </c>
      <c r="C21" s="85">
        <f t="shared" si="2"/>
        <v>0</v>
      </c>
      <c r="D21" s="74">
        <f t="shared" si="3"/>
        <v>8.807017543859666E-3</v>
      </c>
      <c r="E21">
        <f>COUNTIF(tables_565100!C:C,input_565100!A21)-COUNTIF(Q:Q,A21)</f>
        <v>52</v>
      </c>
      <c r="F21" s="43">
        <f t="shared" si="8"/>
        <v>1.6936572199730126E-4</v>
      </c>
      <c r="G21">
        <f t="shared" si="4"/>
        <v>1204800.0000000023</v>
      </c>
      <c r="H21">
        <f t="shared" si="5"/>
        <v>23169.230769999998</v>
      </c>
      <c r="I21">
        <f t="shared" si="6"/>
        <v>0.2307699999983015</v>
      </c>
      <c r="J21">
        <f t="shared" si="7"/>
        <v>4.3333188889689307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0.12463157894736843</v>
      </c>
      <c r="C22" s="85">
        <f t="shared" si="2"/>
        <v>0.05</v>
      </c>
      <c r="D22" s="74">
        <f t="shared" si="3"/>
        <v>7.4631578947368424E-2</v>
      </c>
      <c r="E22">
        <f>COUNTIF(tables_565100!C:C,input_565100!A22)-COUNTIF(Q:Q,A22)</f>
        <v>20</v>
      </c>
      <c r="F22" s="43">
        <f t="shared" si="8"/>
        <v>6.2315789473684213E-3</v>
      </c>
      <c r="G22">
        <f t="shared" si="4"/>
        <v>17049600</v>
      </c>
      <c r="H22">
        <f t="shared" si="5"/>
        <v>852480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4.3789473684210524E-2</v>
      </c>
      <c r="C23" s="85">
        <f t="shared" si="2"/>
        <v>0.05</v>
      </c>
      <c r="D23" s="74">
        <f t="shared" si="3"/>
        <v>-6.2105263157894788E-3</v>
      </c>
      <c r="E23">
        <f>COUNTIF(tables_565100!C:C,input_565100!A23)-COUNTIF(Q:Q,A23)</f>
        <v>26</v>
      </c>
      <c r="F23" s="43">
        <f t="shared" si="8"/>
        <v>1.6842105263157893E-3</v>
      </c>
      <c r="G23">
        <f t="shared" si="4"/>
        <v>5990400</v>
      </c>
      <c r="H23">
        <f t="shared" si="5"/>
        <v>230400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COUNTIF(tables_565100!C:C,input_565100!A24)-COUNTIF(Q:Q,A24)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2.6947368421052633E-2</v>
      </c>
      <c r="C25" s="85">
        <f t="shared" si="2"/>
        <v>0</v>
      </c>
      <c r="D25" s="74">
        <f t="shared" si="3"/>
        <v>2.6947368421052633E-2</v>
      </c>
      <c r="E25">
        <f>COUNTIF(tables_565100!C:C,input_565100!A25)-COUNTIF(Q:Q,A25)</f>
        <v>4</v>
      </c>
      <c r="F25" s="43">
        <f t="shared" si="8"/>
        <v>6.7368421052631583E-3</v>
      </c>
      <c r="G25">
        <f t="shared" si="4"/>
        <v>3686400</v>
      </c>
      <c r="H25">
        <f t="shared" si="5"/>
        <v>921600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6.7368421052631583E-3</v>
      </c>
      <c r="C26" s="85">
        <f t="shared" si="2"/>
        <v>0</v>
      </c>
      <c r="D26" s="74">
        <f t="shared" si="3"/>
        <v>6.7368421052631583E-3</v>
      </c>
      <c r="E26">
        <f>COUNTIF(tables_565100!C:C,input_565100!A26)-COUNTIF(Q:Q,A26)</f>
        <v>4</v>
      </c>
      <c r="F26" s="43">
        <f t="shared" si="8"/>
        <v>1.6842105263157896E-3</v>
      </c>
      <c r="G26">
        <f t="shared" si="4"/>
        <v>921600</v>
      </c>
      <c r="H26">
        <f t="shared" si="5"/>
        <v>230400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9.3333333333333324E-3</v>
      </c>
      <c r="C27" s="85">
        <f t="shared" si="2"/>
        <v>0</v>
      </c>
      <c r="D27" s="74">
        <f t="shared" si="3"/>
        <v>9.3333333333333324E-3</v>
      </c>
      <c r="E27">
        <f>COUNTIF(tables_565100!C:C,input_565100!A27)-COUNTIF(Q:Q,A27)</f>
        <v>28</v>
      </c>
      <c r="F27" s="43">
        <f>IFERROR(B27/E27,0)</f>
        <v>3.3333333333333332E-4</v>
      </c>
      <c r="G27">
        <f t="shared" si="4"/>
        <v>1276799.9999999998</v>
      </c>
      <c r="H27">
        <f t="shared" si="5"/>
        <v>45600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2.3333333333333331E-3</v>
      </c>
      <c r="C28" s="85">
        <f t="shared" si="2"/>
        <v>0</v>
      </c>
      <c r="D28" s="74">
        <f t="shared" si="3"/>
        <v>2.3333333333333331E-3</v>
      </c>
      <c r="E28">
        <f>COUNTIF(tables_565100!C:C,input_565100!A28)-COUNTIF(Q:Q,A28)</f>
        <v>28</v>
      </c>
      <c r="F28" s="43">
        <f t="shared" si="8"/>
        <v>8.3333333333333331E-5</v>
      </c>
      <c r="G28">
        <f t="shared" si="4"/>
        <v>319199.99999999994</v>
      </c>
      <c r="H28">
        <f t="shared" si="5"/>
        <v>11400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1.8333333333333333E-2</v>
      </c>
      <c r="C29" s="85">
        <f t="shared" si="2"/>
        <v>7.0000000000000007E-2</v>
      </c>
      <c r="D29" s="74">
        <f t="shared" si="3"/>
        <v>-5.1666666666666673E-2</v>
      </c>
      <c r="E29">
        <f>COUNTIF(tables_565100!C:C,input_565100!A29)-COUNTIF(Q:Q,A29)</f>
        <v>44</v>
      </c>
      <c r="F29" s="43">
        <f t="shared" si="8"/>
        <v>4.1666666666666669E-4</v>
      </c>
      <c r="G29">
        <f t="shared" si="4"/>
        <v>2508000</v>
      </c>
      <c r="H29">
        <f t="shared" si="5"/>
        <v>57000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COUNTIF(tables_565100!C:C,input_565100!A30)-COUNTIF(Q:Q,A30)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COUNTIF(tables_565100!C:C,input_565100!A31)-COUNTIF(Q:Q,A31)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0.82999999999999985</v>
      </c>
      <c r="C32" s="41">
        <f>SUM(C19:C31)</f>
        <v>0.17</v>
      </c>
      <c r="D32" s="42">
        <f t="shared" si="3"/>
        <v>0.65999999999999981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136800000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SUMIF(tables_565100!C:C,input_565100!A40,tables_565100!O:O)</f>
        <v>0</v>
      </c>
      <c r="C40" s="54">
        <f t="shared" ref="C40:C46" ca="1" si="9">B40/B$47</f>
        <v>0</v>
      </c>
      <c r="E40">
        <v>3</v>
      </c>
      <c r="F40">
        <f ca="1">SUMIF(tables_565100!J:J,input_565100!E40,tables_565100!O:O)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SUMIF(tables_565100!C:C,input_565100!A41,tables_565100!O:O)</f>
        <v>47923200</v>
      </c>
      <c r="C41" s="54">
        <f t="shared" ca="1" si="9"/>
        <v>0.94478353442083052</v>
      </c>
      <c r="E41">
        <v>4</v>
      </c>
      <c r="F41">
        <f ca="1">SUMIF(tables_565100!J:J,input_565100!E41,tables_565100!O:O)</f>
        <v>109440000</v>
      </c>
      <c r="G41">
        <f ca="1">F41/A36</f>
        <v>0.8</v>
      </c>
    </row>
    <row r="42" spans="1:7" x14ac:dyDescent="0.15">
      <c r="A42" s="33" t="s">
        <v>106</v>
      </c>
      <c r="B42">
        <f ca="1">SUMIF(tables_565100!C:C,input_565100!A42,tables_565100!O:O)</f>
        <v>1276800</v>
      </c>
      <c r="C42" s="54">
        <f t="shared" ca="1" si="9"/>
        <v>2.5171516441901132E-2</v>
      </c>
      <c r="E42">
        <v>5</v>
      </c>
      <c r="F42">
        <f ca="1">SUMIF(tables_565100!J:J,input_565100!E42,tables_565100!O:O)</f>
        <v>27360000.000040002</v>
      </c>
      <c r="G42">
        <f ca="1">F42/A36</f>
        <v>0.20000000000029242</v>
      </c>
    </row>
    <row r="43" spans="1:7" x14ac:dyDescent="0.15">
      <c r="A43" s="33" t="s">
        <v>109</v>
      </c>
      <c r="B43">
        <f>SUMIF(tables_565100!C:C,input_565100!A43,tables_565100!O:O)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SUMIF(tables_565100!C:C,input_565100!A44,tables_565100!O:O)</f>
        <v>1204800.0000400008</v>
      </c>
      <c r="C44" s="54">
        <f t="shared" ca="1" si="9"/>
        <v>2.3752070026793051E-2</v>
      </c>
      <c r="E44" t="s">
        <v>54</v>
      </c>
      <c r="F44" s="55"/>
    </row>
    <row r="45" spans="1:7" x14ac:dyDescent="0.15">
      <c r="A45" s="33" t="s">
        <v>107</v>
      </c>
      <c r="B45">
        <f ca="1">SUMIF(tables_565100!C:C,input_565100!A45,tables_565100!O:O)</f>
        <v>319200</v>
      </c>
      <c r="C45" s="54">
        <f t="shared" ca="1" si="9"/>
        <v>6.2928791104752829E-3</v>
      </c>
      <c r="E45" t="s">
        <v>204</v>
      </c>
      <c r="F45" s="55">
        <f ca="1">SUMIF(tables_565100!I:I,input_565100!E45,tables_565100!P:P)</f>
        <v>0.24887719298238301</v>
      </c>
    </row>
    <row r="46" spans="1:7" x14ac:dyDescent="0.15">
      <c r="A46" s="33" t="s">
        <v>108</v>
      </c>
      <c r="B46">
        <f>SUMIF(tables_565100!C:C,input_565100!A46,tables_565100!O:O)</f>
        <v>0</v>
      </c>
      <c r="C46" s="54">
        <f t="shared" ca="1" si="9"/>
        <v>0</v>
      </c>
      <c r="E46" t="s">
        <v>205</v>
      </c>
      <c r="F46" s="55">
        <f ca="1">SUMIF(tables_565100!I:I,input_565100!E46,tables_565100!P:P)</f>
        <v>0.14266869095821844</v>
      </c>
    </row>
    <row r="47" spans="1:7" x14ac:dyDescent="0.15">
      <c r="A47" s="39" t="s">
        <v>59</v>
      </c>
      <c r="B47">
        <f ca="1">SUM(B40:B46)</f>
        <v>50724000.000040002</v>
      </c>
      <c r="C47" s="55">
        <f ca="1">SUM(C40:C46)</f>
        <v>1</v>
      </c>
      <c r="E47" t="s">
        <v>206</v>
      </c>
      <c r="F47" s="55">
        <f ca="1">SUMIF(tables_565100!I:I,input_565100!E47,tables_565100!P:P)</f>
        <v>0.50845411605942692</v>
      </c>
    </row>
    <row r="48" spans="1:7" x14ac:dyDescent="0.15">
      <c r="E48" t="s">
        <v>207</v>
      </c>
      <c r="F48" s="55">
        <f ca="1">SUMIF(tables_565100!I:I,input_565100!E48,tables_565100!P:P)</f>
        <v>8.6249999999974708E-2</v>
      </c>
    </row>
    <row r="49" spans="5:6" x14ac:dyDescent="0.15">
      <c r="E49" t="s">
        <v>252</v>
      </c>
      <c r="F49" s="55">
        <f ca="1">SUMIF(tables_565100!I:I,input_565100!E49,tables_565100!P:P)</f>
        <v>1.3749999999995969E-2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0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C354" sqref="C35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input_565100!A$2</f>
        <v>565100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IFERROR(VLOOKUP(B2,input_565100!L:R,7,FALSE),VLOOKUP(tables_565100!C2,input_565100!A:H,8,FALSE))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input_565100!A$2</f>
        <v>565100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IFERROR(VLOOKUP(B3,input_565100!L:R,7,FALSE),VLOOKUP(tables_565100!C3,input_565100!A:H,8,FALSE))</f>
        <v>1633200</v>
      </c>
      <c r="P3" s="46">
        <f t="shared" ca="1" si="1"/>
        <v>1.1938596491224569E-2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input_565100!A$2</f>
        <v>565100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IFERROR(VLOOKUP(B4,input_565100!L:R,7,FALSE),VLOOKUP(tables_565100!C4,input_565100!A:H,8,FALSE))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input_565100!A$2</f>
        <v>565100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IFERROR(VLOOKUP(B5,input_565100!L:R,7,FALSE),VLOOKUP(tables_565100!C5,input_565100!A:H,8,FALSE))</f>
        <v>1633200</v>
      </c>
      <c r="P5" s="46">
        <f t="shared" ca="1" si="1"/>
        <v>1.1938596491224569E-2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input_565100!A$2</f>
        <v>565100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IFERROR(VLOOKUP(B6,input_565100!L:R,7,FALSE),VLOOKUP(tables_565100!C6,input_565100!A:H,8,FALSE))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input_565100!A$2</f>
        <v>565100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IFERROR(VLOOKUP(B7,input_565100!L:R,7,FALSE),VLOOKUP(tables_565100!C7,input_565100!A:H,8,FALSE))</f>
        <v>1633200</v>
      </c>
      <c r="P7" s="46">
        <f t="shared" ca="1" si="1"/>
        <v>1.1938596491224569E-2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input_565100!A$2</f>
        <v>565100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IFERROR(VLOOKUP(B8,input_565100!L:R,7,FALSE),VLOOKUP(tables_565100!C8,input_565100!A:H,8,FALSE))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input_565100!A$2</f>
        <v>565100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IFERROR(VLOOKUP(B9,input_565100!L:R,7,FALSE),VLOOKUP(tables_565100!C9,input_565100!A:H,8,FALSE))</f>
        <v>1633200</v>
      </c>
      <c r="P9" s="46">
        <f t="shared" ca="1" si="1"/>
        <v>1.1938596491224569E-2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input_565100!A$2</f>
        <v>565100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IFERROR(VLOOKUP(B10,input_565100!L:R,7,FALSE),VLOOKUP(tables_565100!C10,input_565100!A:H,8,FALSE))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input_565100!A$2</f>
        <v>565100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IFERROR(VLOOKUP(B11,input_565100!L:R,7,FALSE),VLOOKUP(tables_565100!C11,input_565100!A:H,8,FALSE))</f>
        <v>1633200</v>
      </c>
      <c r="P11" s="46">
        <f t="shared" ca="1" si="1"/>
        <v>1.1938596491224569E-2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input_565100!A$2</f>
        <v>565100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IFERROR(VLOOKUP(B12,input_565100!L:R,7,FALSE),VLOOKUP(tables_565100!C12,input_565100!A:H,8,FALSE))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input_565100!A$2</f>
        <v>565100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IFERROR(VLOOKUP(B13,input_565100!L:R,7,FALSE),VLOOKUP(tables_565100!C13,input_565100!A:H,8,FALSE))</f>
        <v>1633200</v>
      </c>
      <c r="P13" s="46">
        <f t="shared" ca="1" si="1"/>
        <v>1.1938596491224569E-2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input_565100!A$2</f>
        <v>565100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IFERROR(VLOOKUP(B14,input_565100!L:R,7,FALSE),VLOOKUP(tables_565100!C14,input_565100!A:H,8,FALSE))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input_565100!A$2</f>
        <v>565100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IFERROR(VLOOKUP(B15,input_565100!L:R,7,FALSE),VLOOKUP(tables_565100!C15,input_565100!A:H,8,FALSE))</f>
        <v>1633200</v>
      </c>
      <c r="P15" s="46">
        <f t="shared" ca="1" si="1"/>
        <v>1.1938596491224569E-2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input_565100!A$2</f>
        <v>565100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IFERROR(VLOOKUP(B16,input_565100!L:R,7,FALSE),VLOOKUP(tables_565100!C16,input_565100!A:H,8,FALSE))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input_565100!A$2</f>
        <v>565100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IFERROR(VLOOKUP(B17,input_565100!L:R,7,FALSE),VLOOKUP(tables_565100!C17,input_565100!A:H,8,FALSE))</f>
        <v>1633200</v>
      </c>
      <c r="P17" s="46">
        <f t="shared" ca="1" si="1"/>
        <v>1.1938596491224569E-2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input_565100!A$2</f>
        <v>565100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IFERROR(VLOOKUP(B18,input_565100!L:R,7,FALSE),VLOOKUP(tables_565100!C18,input_565100!A:H,8,FALSE))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input_565100!A$2</f>
        <v>565100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IFERROR(VLOOKUP(B19,input_565100!L:R,7,FALSE),VLOOKUP(tables_565100!C19,input_565100!A:H,8,FALSE))</f>
        <v>1633200</v>
      </c>
      <c r="P19" s="46">
        <f t="shared" ca="1" si="1"/>
        <v>1.1938596491224569E-2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input_565100!A$2</f>
        <v>565100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IFERROR(VLOOKUP(B20,input_565100!L:R,7,FALSE),VLOOKUP(tables_565100!C20,input_565100!A:H,8,FALSE))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input_565100!A$2</f>
        <v>565100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IFERROR(VLOOKUP(B21,input_565100!L:R,7,FALSE),VLOOKUP(tables_565100!C21,input_565100!A:H,8,FALSE))</f>
        <v>1633200</v>
      </c>
      <c r="P21" s="46">
        <f t="shared" ca="1" si="1"/>
        <v>1.1938596491224569E-2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input_565100!A$2</f>
        <v>565100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IFERROR(VLOOKUP(B22,input_565100!L:R,7,FALSE),VLOOKUP(tables_565100!C22,input_565100!A:H,8,FALSE))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input_565100!A$2</f>
        <v>565100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IFERROR(VLOOKUP(B23,input_565100!L:R,7,FALSE),VLOOKUP(tables_565100!C23,input_565100!A:H,8,FALSE))</f>
        <v>1633200</v>
      </c>
      <c r="P23" s="46">
        <f t="shared" ca="1" si="1"/>
        <v>1.1938596491224569E-2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input_565100!A$2</f>
        <v>565100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IFERROR(VLOOKUP(B24,input_565100!L:R,7,FALSE),VLOOKUP(tables_565100!C24,input_565100!A:H,8,FALSE))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input_565100!A$2</f>
        <v>565100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IFERROR(VLOOKUP(B25,input_565100!L:R,7,FALSE),VLOOKUP(tables_565100!C25,input_565100!A:H,8,FALSE))</f>
        <v>1633200</v>
      </c>
      <c r="P25" s="46">
        <f t="shared" ca="1" si="1"/>
        <v>1.1938596491224569E-2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input_565100!A$2</f>
        <v>565100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IFERROR(VLOOKUP(B26,input_565100!L:R,7,FALSE),VLOOKUP(tables_565100!C26,input_565100!A:H,8,FALSE))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input_565100!A$2</f>
        <v>565100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IFERROR(VLOOKUP(B27,input_565100!L:R,7,FALSE),VLOOKUP(tables_565100!C27,input_565100!A:H,8,FALSE))</f>
        <v>1633200</v>
      </c>
      <c r="P27" s="46">
        <f t="shared" ca="1" si="1"/>
        <v>1.1938596491224569E-2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input_565100!A$2</f>
        <v>565100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IFERROR(VLOOKUP(B28,input_565100!L:R,7,FALSE),VLOOKUP(tables_565100!C28,input_565100!A:H,8,FALSE))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input_565100!A$2</f>
        <v>565100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IFERROR(VLOOKUP(B29,input_565100!L:R,7,FALSE),VLOOKUP(tables_565100!C29,input_565100!A:H,8,FALSE))</f>
        <v>1633200</v>
      </c>
      <c r="P29" s="46">
        <f t="shared" ca="1" si="1"/>
        <v>1.1938596491224569E-2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input_565100!A$2</f>
        <v>565100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IFERROR(VLOOKUP(B30,input_565100!L:R,7,FALSE),VLOOKUP(tables_565100!C30,input_565100!A:H,8,FALSE))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input_565100!A$2</f>
        <v>565100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IFERROR(VLOOKUP(B31,input_565100!L:R,7,FALSE),VLOOKUP(tables_565100!C31,input_565100!A:H,8,FALSE))</f>
        <v>1633200</v>
      </c>
      <c r="P31" s="46">
        <f t="shared" ca="1" si="1"/>
        <v>1.1938596491224569E-2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input_565100!A$2</f>
        <v>565100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IFERROR(VLOOKUP(B32,input_565100!L:R,7,FALSE),VLOOKUP(tables_565100!C32,input_565100!A:H,8,FALSE))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input_565100!A$2</f>
        <v>565100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IFERROR(VLOOKUP(B33,input_565100!L:R,7,FALSE),VLOOKUP(tables_565100!C33,input_565100!A:H,8,FALSE))</f>
        <v>1633200</v>
      </c>
      <c r="P33" s="46">
        <f t="shared" ca="1" si="1"/>
        <v>1.1938596491224569E-2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input_565100!A$2</f>
        <v>565100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IFERROR(VLOOKUP(B34,input_565100!L:R,7,FALSE),VLOOKUP(tables_565100!C34,input_565100!A:H,8,FALSE))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input_565100!A$2</f>
        <v>565100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IFERROR(VLOOKUP(B35,input_565100!L:R,7,FALSE),VLOOKUP(tables_565100!C35,input_565100!A:H,8,FALSE))</f>
        <v>1633200</v>
      </c>
      <c r="P35" s="46">
        <f t="shared" ca="1" si="1"/>
        <v>1.1938596491224569E-2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input_565100!A$2</f>
        <v>565100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IFERROR(VLOOKUP(B36,input_565100!L:R,7,FALSE),VLOOKUP(tables_565100!C36,input_565100!A:H,8,FALSE))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input_565100!A$2</f>
        <v>565100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IFERROR(VLOOKUP(B37,input_565100!L:R,7,FALSE),VLOOKUP(tables_565100!C37,input_565100!A:H,8,FALSE))</f>
        <v>1633200</v>
      </c>
      <c r="P37" s="46">
        <f t="shared" ca="1" si="1"/>
        <v>1.1938596491224569E-2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input_565100!A$2</f>
        <v>565100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IFERROR(VLOOKUP(B38,input_565100!L:R,7,FALSE),VLOOKUP(tables_565100!C38,input_565100!A:H,8,FALSE))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input_565100!A$2</f>
        <v>565100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IFERROR(VLOOKUP(B39,input_565100!L:R,7,FALSE),VLOOKUP(tables_565100!C39,input_565100!A:H,8,FALSE))</f>
        <v>1633200</v>
      </c>
      <c r="P39" s="46">
        <f t="shared" ca="1" si="1"/>
        <v>1.1938596491224569E-2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input_565100!A$2</f>
        <v>565100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IFERROR(VLOOKUP(B40,input_565100!L:R,7,FALSE),VLOOKUP(tables_565100!C40,input_565100!A:H,8,FALSE))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input_565100!A$2</f>
        <v>565100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IFERROR(VLOOKUP(B41,input_565100!L:R,7,FALSE),VLOOKUP(tables_565100!C41,input_565100!A:H,8,FALSE))</f>
        <v>1633200</v>
      </c>
      <c r="P41" s="46">
        <f t="shared" ca="1" si="1"/>
        <v>1.1938596491224569E-2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input_565100!A$2</f>
        <v>565100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IFERROR(VLOOKUP(B42,input_565100!L:R,7,FALSE),VLOOKUP(tables_565100!C42,input_565100!A:H,8,FALSE))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input_565100!A$2</f>
        <v>565100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IFERROR(VLOOKUP(B43,input_565100!L:R,7,FALSE),VLOOKUP(tables_565100!C43,input_565100!A:H,8,FALSE))</f>
        <v>921600</v>
      </c>
      <c r="P43" s="46">
        <f t="shared" ca="1" si="1"/>
        <v>6.7368421052611824E-3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input_565100!A$2</f>
        <v>565100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IFERROR(VLOOKUP(B44,input_565100!L:R,7,FALSE),VLOOKUP(tables_565100!C44,input_565100!A:H,8,FALSE))</f>
        <v>230400</v>
      </c>
      <c r="P44" s="46">
        <f t="shared" ca="1" si="1"/>
        <v>1.6842105263152956E-3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input_565100!A$2</f>
        <v>565100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IFERROR(VLOOKUP(B45,input_565100!L:R,7,FALSE),VLOOKUP(tables_565100!C45,input_565100!A:H,8,FALSE))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input_565100!A$2</f>
        <v>565100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IFERROR(VLOOKUP(B46,input_565100!L:R,7,FALSE),VLOOKUP(tables_565100!C46,input_565100!A:H,8,FALSE))</f>
        <v>921600</v>
      </c>
      <c r="P46" s="46">
        <f t="shared" ca="1" si="1"/>
        <v>6.7368421052611824E-3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input_565100!A$2</f>
        <v>565100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IFERROR(VLOOKUP(B47,input_565100!L:R,7,FALSE),VLOOKUP(tables_565100!C47,input_565100!A:H,8,FALSE))</f>
        <v>230400</v>
      </c>
      <c r="P47" s="46">
        <f t="shared" ca="1" si="1"/>
        <v>1.6842105263152956E-3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input_565100!A$2</f>
        <v>565100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IFERROR(VLOOKUP(B48,input_565100!L:R,7,FALSE),VLOOKUP(tables_565100!C48,input_565100!A:H,8,FALSE))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input_565100!A$2</f>
        <v>565100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IFERROR(VLOOKUP(B49,input_565100!L:R,7,FALSE),VLOOKUP(tables_565100!C49,input_565100!A:H,8,FALSE))</f>
        <v>921600</v>
      </c>
      <c r="P49" s="46">
        <f t="shared" ca="1" si="1"/>
        <v>6.7368421052611824E-3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input_565100!A$2</f>
        <v>565100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IFERROR(VLOOKUP(B50,input_565100!L:R,7,FALSE),VLOOKUP(tables_565100!C50,input_565100!A:H,8,FALSE))</f>
        <v>230400</v>
      </c>
      <c r="P50" s="46">
        <f t="shared" ca="1" si="1"/>
        <v>1.6842105263152956E-3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input_565100!A$2</f>
        <v>565100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IFERROR(VLOOKUP(B51,input_565100!L:R,7,FALSE),VLOOKUP(tables_565100!C51,input_565100!A:H,8,FALSE))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input_565100!A$2</f>
        <v>565100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IFERROR(VLOOKUP(B52,input_565100!L:R,7,FALSE),VLOOKUP(tables_565100!C52,input_565100!A:H,8,FALSE))</f>
        <v>921600</v>
      </c>
      <c r="P52" s="46">
        <f t="shared" ca="1" si="1"/>
        <v>6.7368421052611824E-3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input_565100!A$2</f>
        <v>565100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IFERROR(VLOOKUP(B53,input_565100!L:R,7,FALSE),VLOOKUP(tables_565100!C53,input_565100!A:H,8,FALSE))</f>
        <v>23169.230769999998</v>
      </c>
      <c r="P53" s="46">
        <f t="shared" ca="1" si="1"/>
        <v>1.6936572200287431E-4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input_565100!A$2</f>
        <v>565100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IFERROR(VLOOKUP(B54,input_565100!L:R,7,FALSE),VLOOKUP(tables_565100!C54,input_565100!A:H,8,FALSE))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input_565100!A$2</f>
        <v>565100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IFERROR(VLOOKUP(B55,input_565100!L:R,7,FALSE),VLOOKUP(tables_565100!C55,input_565100!A:H,8,FALSE))</f>
        <v>921600</v>
      </c>
      <c r="P55" s="46">
        <f t="shared" ca="1" si="1"/>
        <v>6.7368421052611824E-3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input_565100!A$2</f>
        <v>565100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IFERROR(VLOOKUP(B56,input_565100!L:R,7,FALSE),VLOOKUP(tables_565100!C56,input_565100!A:H,8,FALSE))</f>
        <v>23169.230769999998</v>
      </c>
      <c r="P56" s="46">
        <f t="shared" ca="1" si="1"/>
        <v>1.6936572200287431E-4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input_565100!A$2</f>
        <v>565100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IFERROR(VLOOKUP(B57,input_565100!L:R,7,FALSE),VLOOKUP(tables_565100!C57,input_565100!A:H,8,FALSE))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input_565100!A$2</f>
        <v>565100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IFERROR(VLOOKUP(B58,input_565100!L:R,7,FALSE),VLOOKUP(tables_565100!C58,input_565100!A:H,8,FALSE))</f>
        <v>921600</v>
      </c>
      <c r="P58" s="46">
        <f t="shared" ca="1" si="1"/>
        <v>6.7368421052611824E-3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input_565100!A$2</f>
        <v>565100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IFERROR(VLOOKUP(B59,input_565100!L:R,7,FALSE),VLOOKUP(tables_565100!C59,input_565100!A:H,8,FALSE))</f>
        <v>23169.230769999998</v>
      </c>
      <c r="P59" s="46">
        <f t="shared" ca="1" si="1"/>
        <v>1.6936572200287431E-4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input_565100!A$2</f>
        <v>565100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IFERROR(VLOOKUP(B60,input_565100!L:R,7,FALSE),VLOOKUP(tables_565100!C60,input_565100!A:H,8,FALSE))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input_565100!A$2</f>
        <v>565100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IFERROR(VLOOKUP(B61,input_565100!L:R,7,FALSE),VLOOKUP(tables_565100!C61,input_565100!A:H,8,FALSE))</f>
        <v>921600</v>
      </c>
      <c r="P61" s="46">
        <f t="shared" ca="1" si="1"/>
        <v>6.7368421052611824E-3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input_565100!A$2</f>
        <v>565100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IFERROR(VLOOKUP(B62,input_565100!L:R,7,FALSE),VLOOKUP(tables_565100!C62,input_565100!A:H,8,FALSE))</f>
        <v>23169.230769999998</v>
      </c>
      <c r="P62" s="46">
        <f t="shared" ca="1" si="1"/>
        <v>1.6936572200287431E-4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input_565100!A$2</f>
        <v>565100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IFERROR(VLOOKUP(B63,input_565100!L:R,7,FALSE),VLOOKUP(tables_565100!C63,input_565100!A:H,8,FALSE))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input_565100!A$2</f>
        <v>565100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IFERROR(VLOOKUP(B64,input_565100!L:R,7,FALSE),VLOOKUP(tables_565100!C64,input_565100!A:H,8,FALSE))</f>
        <v>921600</v>
      </c>
      <c r="P64" s="46">
        <f t="shared" ca="1" si="1"/>
        <v>6.7368421052611824E-3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input_565100!A$2</f>
        <v>565100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IFERROR(VLOOKUP(B65,input_565100!L:R,7,FALSE),VLOOKUP(tables_565100!C65,input_565100!A:H,8,FALSE))</f>
        <v>23169.230769999998</v>
      </c>
      <c r="P65" s="46">
        <f t="shared" ca="1" si="1"/>
        <v>1.6936572200287431E-4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input_565100!A$2</f>
        <v>565100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IFERROR(VLOOKUP(B66,input_565100!L:R,7,FALSE),VLOOKUP(tables_565100!C66,input_565100!A:H,8,FALSE))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input_565100!A$2</f>
        <v>565100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IFERROR(VLOOKUP(B67,input_565100!L:R,7,FALSE),VLOOKUP(tables_565100!C67,input_565100!A:H,8,FALSE))</f>
        <v>921600</v>
      </c>
      <c r="P67" s="46">
        <f t="shared" ca="1" si="4"/>
        <v>6.7368421052611824E-3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input_565100!A$2</f>
        <v>565100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IFERROR(VLOOKUP(B68,input_565100!L:R,7,FALSE),VLOOKUP(tables_565100!C68,input_565100!A:H,8,FALSE))</f>
        <v>23169.230769999998</v>
      </c>
      <c r="P68" s="46">
        <f t="shared" ca="1" si="4"/>
        <v>1.6936572200287431E-4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input_565100!A$2</f>
        <v>565100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IFERROR(VLOOKUP(B69,input_565100!L:R,7,FALSE),VLOOKUP(tables_565100!C69,input_565100!A:H,8,FALSE))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input_565100!A$2</f>
        <v>565100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IFERROR(VLOOKUP(B70,input_565100!L:R,7,FALSE),VLOOKUP(tables_565100!C70,input_565100!A:H,8,FALSE))</f>
        <v>921600</v>
      </c>
      <c r="P70" s="46">
        <f t="shared" ca="1" si="4"/>
        <v>6.7368421052611824E-3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input_565100!A$2</f>
        <v>565100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IFERROR(VLOOKUP(B71,input_565100!L:R,7,FALSE),VLOOKUP(tables_565100!C71,input_565100!A:H,8,FALSE))</f>
        <v>23169.230769999998</v>
      </c>
      <c r="P71" s="46">
        <f t="shared" ca="1" si="4"/>
        <v>1.6936572200287431E-4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input_565100!A$2</f>
        <v>565100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IFERROR(VLOOKUP(B72,input_565100!L:R,7,FALSE),VLOOKUP(tables_565100!C72,input_565100!A:H,8,FALSE))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input_565100!A$2</f>
        <v>565100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IFERROR(VLOOKUP(B73,input_565100!L:R,7,FALSE),VLOOKUP(tables_565100!C73,input_565100!A:H,8,FALSE))</f>
        <v>921600</v>
      </c>
      <c r="P73" s="46">
        <f t="shared" ca="1" si="4"/>
        <v>6.7368421052611824E-3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input_565100!A$2</f>
        <v>565100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IFERROR(VLOOKUP(B74,input_565100!L:R,7,FALSE),VLOOKUP(tables_565100!C74,input_565100!A:H,8,FALSE))</f>
        <v>23169.230769999998</v>
      </c>
      <c r="P74" s="46">
        <f t="shared" ca="1" si="4"/>
        <v>1.6936572200287431E-4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input_565100!A$2</f>
        <v>565100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IFERROR(VLOOKUP(B75,input_565100!L:R,7,FALSE),VLOOKUP(tables_565100!C75,input_565100!A:H,8,FALSE))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input_565100!A$2</f>
        <v>565100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IFERROR(VLOOKUP(B76,input_565100!L:R,7,FALSE),VLOOKUP(tables_565100!C76,input_565100!A:H,8,FALSE))</f>
        <v>921600</v>
      </c>
      <c r="P76" s="46">
        <f t="shared" ca="1" si="4"/>
        <v>6.7368421052611824E-3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input_565100!A$2</f>
        <v>565100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IFERROR(VLOOKUP(B77,input_565100!L:R,7,FALSE),VLOOKUP(tables_565100!C77,input_565100!A:H,8,FALSE))</f>
        <v>23169.230769999998</v>
      </c>
      <c r="P77" s="46">
        <f t="shared" ca="1" si="4"/>
        <v>1.6936572200287431E-4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input_565100!A$2</f>
        <v>565100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IFERROR(VLOOKUP(B78,input_565100!L:R,7,FALSE),VLOOKUP(tables_565100!C78,input_565100!A:H,8,FALSE))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input_565100!A$2</f>
        <v>565100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IFERROR(VLOOKUP(B79,input_565100!L:R,7,FALSE),VLOOKUP(tables_565100!C79,input_565100!A:H,8,FALSE))</f>
        <v>921600</v>
      </c>
      <c r="P79" s="46">
        <f t="shared" ca="1" si="4"/>
        <v>6.7368421052611824E-3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input_565100!A$2</f>
        <v>565100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IFERROR(VLOOKUP(B80,input_565100!L:R,7,FALSE),VLOOKUP(tables_565100!C80,input_565100!A:H,8,FALSE))</f>
        <v>23169.230769999998</v>
      </c>
      <c r="P80" s="46">
        <f t="shared" ca="1" si="4"/>
        <v>1.6936572200287431E-4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input_565100!A$2</f>
        <v>565100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IFERROR(VLOOKUP(B81,input_565100!L:R,7,FALSE),VLOOKUP(tables_565100!C81,input_565100!A:H,8,FALSE))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input_565100!A$2</f>
        <v>565100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IFERROR(VLOOKUP(B82,input_565100!L:R,7,FALSE),VLOOKUP(tables_565100!C82,input_565100!A:H,8,FALSE))</f>
        <v>921600</v>
      </c>
      <c r="P82" s="46">
        <f t="shared" ca="1" si="4"/>
        <v>6.7368421052611824E-3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input_565100!A$2</f>
        <v>565100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IFERROR(VLOOKUP(B83,input_565100!L:R,7,FALSE),VLOOKUP(tables_565100!C83,input_565100!A:H,8,FALSE))</f>
        <v>23169.230769999998</v>
      </c>
      <c r="P83" s="46">
        <f t="shared" ca="1" si="4"/>
        <v>1.6936572200287431E-4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input_565100!A$2</f>
        <v>565100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IFERROR(VLOOKUP(B84,input_565100!L:R,7,FALSE),VLOOKUP(tables_565100!C84,input_565100!A:H,8,FALSE))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input_565100!A$2</f>
        <v>565100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IFERROR(VLOOKUP(B85,input_565100!L:R,7,FALSE),VLOOKUP(tables_565100!C85,input_565100!A:H,8,FALSE))</f>
        <v>921600</v>
      </c>
      <c r="P85" s="46">
        <f t="shared" ca="1" si="4"/>
        <v>6.7368421052611824E-3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input_565100!A$2</f>
        <v>565100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IFERROR(VLOOKUP(B86,input_565100!L:R,7,FALSE),VLOOKUP(tables_565100!C86,input_565100!A:H,8,FALSE))</f>
        <v>23169.230769999998</v>
      </c>
      <c r="P86" s="46">
        <f t="shared" ca="1" si="4"/>
        <v>1.6936572200287431E-4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input_565100!A$2</f>
        <v>565100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IFERROR(VLOOKUP(B87,input_565100!L:R,7,FALSE),VLOOKUP(tables_565100!C87,input_565100!A:H,8,FALSE))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input_565100!A$2</f>
        <v>565100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IFERROR(VLOOKUP(B88,input_565100!L:R,7,FALSE),VLOOKUP(tables_565100!C88,input_565100!A:H,8,FALSE))</f>
        <v>921600</v>
      </c>
      <c r="P88" s="46">
        <f t="shared" ca="1" si="4"/>
        <v>6.7368421052611824E-3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input_565100!A$2</f>
        <v>565100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IFERROR(VLOOKUP(B89,input_565100!L:R,7,FALSE),VLOOKUP(tables_565100!C89,input_565100!A:H,8,FALSE))</f>
        <v>23169.230769999998</v>
      </c>
      <c r="P89" s="46">
        <f t="shared" ca="1" si="4"/>
        <v>1.6936572200287431E-4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input_565100!A$2</f>
        <v>565100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IFERROR(VLOOKUP(B90,input_565100!L:R,7,FALSE),VLOOKUP(tables_565100!C90,input_565100!A:H,8,FALSE))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input_565100!A$2</f>
        <v>565100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IFERROR(VLOOKUP(B91,input_565100!L:R,7,FALSE),VLOOKUP(tables_565100!C91,input_565100!A:H,8,FALSE))</f>
        <v>921600</v>
      </c>
      <c r="P91" s="46">
        <f t="shared" ca="1" si="4"/>
        <v>6.7368421052611824E-3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input_565100!A$2</f>
        <v>565100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IFERROR(VLOOKUP(B92,input_565100!L:R,7,FALSE),VLOOKUP(tables_565100!C92,input_565100!A:H,8,FALSE))</f>
        <v>23169.230769999998</v>
      </c>
      <c r="P92" s="46">
        <f t="shared" ca="1" si="4"/>
        <v>1.6936572200287431E-4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input_565100!A$2</f>
        <v>565100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IFERROR(VLOOKUP(B93,input_565100!L:R,7,FALSE),VLOOKUP(tables_565100!C93,input_565100!A:H,8,FALSE))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input_565100!A$2</f>
        <v>565100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IFERROR(VLOOKUP(B94,input_565100!L:R,7,FALSE),VLOOKUP(tables_565100!C94,input_565100!A:H,8,FALSE))</f>
        <v>921600</v>
      </c>
      <c r="P94" s="46">
        <f t="shared" ca="1" si="4"/>
        <v>6.7368421052611824E-3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input_565100!A$2</f>
        <v>565100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IFERROR(VLOOKUP(B95,input_565100!L:R,7,FALSE),VLOOKUP(tables_565100!C95,input_565100!A:H,8,FALSE))</f>
        <v>23169.230769999998</v>
      </c>
      <c r="P95" s="46">
        <f t="shared" ca="1" si="4"/>
        <v>1.6936572200287431E-4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input_565100!A$2</f>
        <v>565100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IFERROR(VLOOKUP(B96,input_565100!L:R,7,FALSE),VLOOKUP(tables_565100!C96,input_565100!A:H,8,FALSE))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input_565100!A$2</f>
        <v>565100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IFERROR(VLOOKUP(B97,input_565100!L:R,7,FALSE),VLOOKUP(tables_565100!C97,input_565100!A:H,8,FALSE))</f>
        <v>921600</v>
      </c>
      <c r="P97" s="46">
        <f t="shared" ca="1" si="4"/>
        <v>6.7368421052611824E-3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input_565100!A$2</f>
        <v>565100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IFERROR(VLOOKUP(B98,input_565100!L:R,7,FALSE),VLOOKUP(tables_565100!C98,input_565100!A:H,8,FALSE))</f>
        <v>23169.230769999998</v>
      </c>
      <c r="P98" s="46">
        <f t="shared" ca="1" si="4"/>
        <v>1.6936572200287431E-4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input_565100!A$2</f>
        <v>565100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IFERROR(VLOOKUP(B99,input_565100!L:R,7,FALSE),VLOOKUP(tables_565100!C99,input_565100!A:H,8,FALSE))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input_565100!A$2</f>
        <v>565100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IFERROR(VLOOKUP(B100,input_565100!L:R,7,FALSE),VLOOKUP(tables_565100!C100,input_565100!A:H,8,FALSE))</f>
        <v>921600</v>
      </c>
      <c r="P100" s="46">
        <f t="shared" ca="1" si="4"/>
        <v>6.7368421052611824E-3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input_565100!A$2</f>
        <v>565100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IFERROR(VLOOKUP(B101,input_565100!L:R,7,FALSE),VLOOKUP(tables_565100!C101,input_565100!A:H,8,FALSE))</f>
        <v>23169.230769999998</v>
      </c>
      <c r="P101" s="46">
        <f t="shared" ca="1" si="4"/>
        <v>1.6936572200287431E-4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input_565100!A$2</f>
        <v>565100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IFERROR(VLOOKUP(B102,input_565100!L:R,7,FALSE),VLOOKUP(tables_565100!C102,input_565100!A:H,8,FALSE))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input_565100!A$2</f>
        <v>565100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IFERROR(VLOOKUP(B103,input_565100!L:R,7,FALSE),VLOOKUP(tables_565100!C103,input_565100!A:H,8,FALSE))</f>
        <v>921600</v>
      </c>
      <c r="P103" s="46">
        <f t="shared" ca="1" si="4"/>
        <v>6.7368421052611824E-3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input_565100!A$2</f>
        <v>565100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IFERROR(VLOOKUP(B104,input_565100!L:R,7,FALSE),VLOOKUP(tables_565100!C104,input_565100!A:H,8,FALSE))</f>
        <v>23169.230769999998</v>
      </c>
      <c r="P104" s="46">
        <f t="shared" ca="1" si="4"/>
        <v>1.6936572200287431E-4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input_565100!A$2</f>
        <v>565100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IFERROR(VLOOKUP(B105,input_565100!L:R,7,FALSE),VLOOKUP(tables_565100!C105,input_565100!A:H,8,FALSE))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input_565100!A$2</f>
        <v>565100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IFERROR(VLOOKUP(B106,input_565100!L:R,7,FALSE),VLOOKUP(tables_565100!C106,input_565100!A:H,8,FALSE))</f>
        <v>921600</v>
      </c>
      <c r="P106" s="46">
        <f t="shared" ca="1" si="4"/>
        <v>6.7368421052611824E-3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input_565100!A$2</f>
        <v>565100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IFERROR(VLOOKUP(B107,input_565100!L:R,7,FALSE),VLOOKUP(tables_565100!C107,input_565100!A:H,8,FALSE))</f>
        <v>23169.230769999998</v>
      </c>
      <c r="P107" s="46">
        <f t="shared" ca="1" si="4"/>
        <v>1.6936572200287431E-4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input_565100!A$2</f>
        <v>565100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IFERROR(VLOOKUP(B108,input_565100!L:R,7,FALSE),VLOOKUP(tables_565100!C108,input_565100!A:H,8,FALSE))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input_565100!A$2</f>
        <v>565100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IFERROR(VLOOKUP(B109,input_565100!L:R,7,FALSE),VLOOKUP(tables_565100!C109,input_565100!A:H,8,FALSE))</f>
        <v>921600</v>
      </c>
      <c r="P109" s="46">
        <f t="shared" ca="1" si="4"/>
        <v>6.7368421052611824E-3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input_565100!A$2</f>
        <v>565100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IFERROR(VLOOKUP(B110,input_565100!L:R,7,FALSE),VLOOKUP(tables_565100!C110,input_565100!A:H,8,FALSE))</f>
        <v>23169.230769999998</v>
      </c>
      <c r="P110" s="46">
        <f t="shared" ca="1" si="4"/>
        <v>1.6936572200287431E-4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input_565100!A$2</f>
        <v>565100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IFERROR(VLOOKUP(B111,input_565100!L:R,7,FALSE),VLOOKUP(tables_565100!C111,input_565100!A:H,8,FALSE))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input_565100!A$2</f>
        <v>565100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IFERROR(VLOOKUP(B112,input_565100!L:R,7,FALSE),VLOOKUP(tables_565100!C112,input_565100!A:H,8,FALSE))</f>
        <v>921600</v>
      </c>
      <c r="P112" s="46">
        <f t="shared" ca="1" si="4"/>
        <v>6.7368421052611824E-3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input_565100!A$2</f>
        <v>565100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IFERROR(VLOOKUP(B113,input_565100!L:R,7,FALSE),VLOOKUP(tables_565100!C113,input_565100!A:H,8,FALSE))</f>
        <v>230400</v>
      </c>
      <c r="P113" s="46">
        <f t="shared" ca="1" si="4"/>
        <v>1.6842105263152956E-3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input_565100!A$2</f>
        <v>565100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IFERROR(VLOOKUP(B114,input_565100!L:R,7,FALSE),VLOOKUP(tables_565100!C114,input_565100!A:H,8,FALSE))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input_565100!A$2</f>
        <v>565100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IFERROR(VLOOKUP(B115,input_565100!L:R,7,FALSE),VLOOKUP(tables_565100!C115,input_565100!A:H,8,FALSE))</f>
        <v>921600</v>
      </c>
      <c r="P115" s="46">
        <f t="shared" ca="1" si="4"/>
        <v>6.7368421052611824E-3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input_565100!A$2</f>
        <v>565100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IFERROR(VLOOKUP(B116,input_565100!L:R,7,FALSE),VLOOKUP(tables_565100!C116,input_565100!A:H,8,FALSE))</f>
        <v>23169.230769999998</v>
      </c>
      <c r="P116" s="46">
        <f t="shared" ca="1" si="4"/>
        <v>1.6936572200287431E-4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input_565100!A$2</f>
        <v>565100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IFERROR(VLOOKUP(B117,input_565100!L:R,7,FALSE),VLOOKUP(tables_565100!C117,input_565100!A:H,8,FALSE))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input_565100!A$2</f>
        <v>565100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IFERROR(VLOOKUP(B118,input_565100!L:R,7,FALSE),VLOOKUP(tables_565100!C118,input_565100!A:H,8,FALSE))</f>
        <v>921600</v>
      </c>
      <c r="P118" s="46">
        <f t="shared" ca="1" si="4"/>
        <v>6.7368421052611824E-3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input_565100!A$2</f>
        <v>565100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IFERROR(VLOOKUP(B119,input_565100!L:R,7,FALSE),VLOOKUP(tables_565100!C119,input_565100!A:H,8,FALSE))</f>
        <v>23169.230769999998</v>
      </c>
      <c r="P119" s="46">
        <f t="shared" ca="1" si="4"/>
        <v>1.6936572200287431E-4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input_565100!A$2</f>
        <v>565100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IFERROR(VLOOKUP(B120,input_565100!L:R,7,FALSE),VLOOKUP(tables_565100!C120,input_565100!A:H,8,FALSE))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input_565100!A$2</f>
        <v>565100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IFERROR(VLOOKUP(B121,input_565100!L:R,7,FALSE),VLOOKUP(tables_565100!C121,input_565100!A:H,8,FALSE))</f>
        <v>921600</v>
      </c>
      <c r="P121" s="46">
        <f t="shared" ca="1" si="4"/>
        <v>6.7368421052611824E-3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input_565100!A$2</f>
        <v>565100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IFERROR(VLOOKUP(B122,input_565100!L:R,7,FALSE),VLOOKUP(tables_565100!C122,input_565100!A:H,8,FALSE))</f>
        <v>23169.230769999998</v>
      </c>
      <c r="P122" s="46">
        <f t="shared" ca="1" si="4"/>
        <v>1.6936572200287431E-4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input_565100!A$2</f>
        <v>565100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IFERROR(VLOOKUP(B123,input_565100!L:R,7,FALSE),VLOOKUP(tables_565100!C123,input_565100!A:H,8,FALSE))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input_565100!A$2</f>
        <v>565100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IFERROR(VLOOKUP(B124,input_565100!L:R,7,FALSE),VLOOKUP(tables_565100!C124,input_565100!A:H,8,FALSE))</f>
        <v>921600</v>
      </c>
      <c r="P124" s="46">
        <f t="shared" ca="1" si="4"/>
        <v>6.7368421052611824E-3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input_565100!A$2</f>
        <v>565100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IFERROR(VLOOKUP(B125,input_565100!L:R,7,FALSE),VLOOKUP(tables_565100!C125,input_565100!A:H,8,FALSE))</f>
        <v>23169.230769999998</v>
      </c>
      <c r="P125" s="46">
        <f t="shared" ca="1" si="4"/>
        <v>1.6936572200287431E-4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input_565100!A$2</f>
        <v>565100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IFERROR(VLOOKUP(B126,input_565100!L:R,7,FALSE),VLOOKUP(tables_565100!C126,input_565100!A:H,8,FALSE))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input_565100!A$2</f>
        <v>565100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IFERROR(VLOOKUP(B127,input_565100!L:R,7,FALSE),VLOOKUP(tables_565100!C127,input_565100!A:H,8,FALSE))</f>
        <v>921600</v>
      </c>
      <c r="P127" s="46">
        <f t="shared" ca="1" si="4"/>
        <v>6.7368421052611824E-3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input_565100!A$2</f>
        <v>565100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IFERROR(VLOOKUP(B128,input_565100!L:R,7,FALSE),VLOOKUP(tables_565100!C128,input_565100!A:H,8,FALSE))</f>
        <v>23169.230769999998</v>
      </c>
      <c r="P128" s="46">
        <f t="shared" ca="1" si="4"/>
        <v>1.6936572200287431E-4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input_565100!A$2</f>
        <v>565100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IFERROR(VLOOKUP(B129,input_565100!L:R,7,FALSE),VLOOKUP(tables_565100!C129,input_565100!A:H,8,FALSE))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input_565100!A$2</f>
        <v>565100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IFERROR(VLOOKUP(B130,input_565100!L:R,7,FALSE),VLOOKUP(tables_565100!C130,input_565100!A:H,8,FALSE))</f>
        <v>921600</v>
      </c>
      <c r="P130" s="46">
        <f t="shared" ref="P130:P193" ca="1" si="7">O130/SUM(O:O)</f>
        <v>6.7368421052611824E-3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input_565100!A$2</f>
        <v>565100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IFERROR(VLOOKUP(B131,input_565100!L:R,7,FALSE),VLOOKUP(tables_565100!C131,input_565100!A:H,8,FALSE))</f>
        <v>23169.230769999998</v>
      </c>
      <c r="P131" s="46">
        <f t="shared" ca="1" si="7"/>
        <v>1.6936572200287431E-4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input_565100!A$2</f>
        <v>565100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IFERROR(VLOOKUP(B132,input_565100!L:R,7,FALSE),VLOOKUP(tables_565100!C132,input_565100!A:H,8,FALSE))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input_565100!A$2</f>
        <v>565100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IFERROR(VLOOKUP(B133,input_565100!L:R,7,FALSE),VLOOKUP(tables_565100!C133,input_565100!A:H,8,FALSE))</f>
        <v>921600</v>
      </c>
      <c r="P133" s="46">
        <f t="shared" ca="1" si="7"/>
        <v>6.7368421052611824E-3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input_565100!A$2</f>
        <v>565100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IFERROR(VLOOKUP(B134,input_565100!L:R,7,FALSE),VLOOKUP(tables_565100!C134,input_565100!A:H,8,FALSE))</f>
        <v>23169.230769999998</v>
      </c>
      <c r="P134" s="46">
        <f t="shared" ca="1" si="7"/>
        <v>1.6936572200287431E-4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input_565100!A$2</f>
        <v>565100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IFERROR(VLOOKUP(B135,input_565100!L:R,7,FALSE),VLOOKUP(tables_565100!C135,input_565100!A:H,8,FALSE))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input_565100!A$2</f>
        <v>565100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IFERROR(VLOOKUP(B136,input_565100!L:R,7,FALSE),VLOOKUP(tables_565100!C136,input_565100!A:H,8,FALSE))</f>
        <v>921600</v>
      </c>
      <c r="P136" s="46">
        <f t="shared" ca="1" si="7"/>
        <v>6.7368421052611824E-3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input_565100!A$2</f>
        <v>565100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IFERROR(VLOOKUP(B137,input_565100!L:R,7,FALSE),VLOOKUP(tables_565100!C137,input_565100!A:H,8,FALSE))</f>
        <v>23169.230769999998</v>
      </c>
      <c r="P137" s="46">
        <f t="shared" ca="1" si="7"/>
        <v>1.6936572200287431E-4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input_565100!A$2</f>
        <v>565100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IFERROR(VLOOKUP(B138,input_565100!L:R,7,FALSE),VLOOKUP(tables_565100!C138,input_565100!A:H,8,FALSE))</f>
        <v>45600</v>
      </c>
      <c r="P138" s="46">
        <f t="shared" ca="1" si="7"/>
        <v>3.3333333333323558E-4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input_565100!A$2</f>
        <v>565100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IFERROR(VLOOKUP(B139,input_565100!L:R,7,FALSE),VLOOKUP(tables_565100!C139,input_565100!A:H,8,FALSE))</f>
        <v>11400</v>
      </c>
      <c r="P139" s="46">
        <f t="shared" ca="1" si="7"/>
        <v>8.3333333333308895E-5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input_565100!A$2</f>
        <v>565100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IFERROR(VLOOKUP(B140,input_565100!L:R,7,FALSE),VLOOKUP(tables_565100!C140,input_565100!A:H,8,FALSE))</f>
        <v>45600</v>
      </c>
      <c r="P140" s="46">
        <f t="shared" ca="1" si="7"/>
        <v>3.3333333333323558E-4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input_565100!A$2</f>
        <v>565100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IFERROR(VLOOKUP(B141,input_565100!L:R,7,FALSE),VLOOKUP(tables_565100!C141,input_565100!A:H,8,FALSE))</f>
        <v>11400</v>
      </c>
      <c r="P141" s="46">
        <f t="shared" ca="1" si="7"/>
        <v>8.3333333333308895E-5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input_565100!A$2</f>
        <v>565100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IFERROR(VLOOKUP(B142,input_565100!L:R,7,FALSE),VLOOKUP(tables_565100!C142,input_565100!A:H,8,FALSE))</f>
        <v>45600</v>
      </c>
      <c r="P142" s="46">
        <f t="shared" ca="1" si="7"/>
        <v>3.3333333333323558E-4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input_565100!A$2</f>
        <v>565100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IFERROR(VLOOKUP(B143,input_565100!L:R,7,FALSE),VLOOKUP(tables_565100!C143,input_565100!A:H,8,FALSE))</f>
        <v>11400</v>
      </c>
      <c r="P143" s="46">
        <f t="shared" ca="1" si="7"/>
        <v>8.3333333333308895E-5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input_565100!A$2</f>
        <v>565100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IFERROR(VLOOKUP(B144,input_565100!L:R,7,FALSE),VLOOKUP(tables_565100!C144,input_565100!A:H,8,FALSE))</f>
        <v>45600</v>
      </c>
      <c r="P144" s="46">
        <f t="shared" ca="1" si="7"/>
        <v>3.3333333333323558E-4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input_565100!A$2</f>
        <v>565100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IFERROR(VLOOKUP(B145,input_565100!L:R,7,FALSE),VLOOKUP(tables_565100!C145,input_565100!A:H,8,FALSE))</f>
        <v>11400</v>
      </c>
      <c r="P145" s="46">
        <f t="shared" ca="1" si="7"/>
        <v>8.3333333333308895E-5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input_565100!A$2</f>
        <v>565100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IFERROR(VLOOKUP(B146,input_565100!L:R,7,FALSE),VLOOKUP(tables_565100!C146,input_565100!A:H,8,FALSE))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input_565100!A$2</f>
        <v>565100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IFERROR(VLOOKUP(B147,input_565100!L:R,7,FALSE),VLOOKUP(tables_565100!C147,input_565100!A:H,8,FALSE))</f>
        <v>921600</v>
      </c>
      <c r="P147" s="46">
        <f t="shared" ca="1" si="7"/>
        <v>6.7368421052611824E-3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input_565100!A$2</f>
        <v>565100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IFERROR(VLOOKUP(B148,input_565100!L:R,7,FALSE),VLOOKUP(tables_565100!C148,input_565100!A:H,8,FALSE))</f>
        <v>23169.230769999998</v>
      </c>
      <c r="P148" s="46">
        <f t="shared" ca="1" si="7"/>
        <v>1.6936572200287431E-4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input_565100!A$2</f>
        <v>565100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IFERROR(VLOOKUP(B149,input_565100!L:R,7,FALSE),VLOOKUP(tables_565100!C149,input_565100!A:H,8,FALSE))</f>
        <v>45600</v>
      </c>
      <c r="P149" s="46">
        <f t="shared" ca="1" si="7"/>
        <v>3.3333333333323558E-4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input_565100!A$2</f>
        <v>565100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IFERROR(VLOOKUP(B150,input_565100!L:R,7,FALSE),VLOOKUP(tables_565100!C150,input_565100!A:H,8,FALSE))</f>
        <v>11400</v>
      </c>
      <c r="P150" s="46">
        <f t="shared" ca="1" si="7"/>
        <v>8.3333333333308895E-5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input_565100!A$2</f>
        <v>565100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IFERROR(VLOOKUP(B151,input_565100!L:R,7,FALSE),VLOOKUP(tables_565100!C151,input_565100!A:H,8,FALSE))</f>
        <v>45600</v>
      </c>
      <c r="P151" s="46">
        <f t="shared" ca="1" si="7"/>
        <v>3.3333333333323558E-4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input_565100!A$2</f>
        <v>565100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IFERROR(VLOOKUP(B152,input_565100!L:R,7,FALSE),VLOOKUP(tables_565100!C152,input_565100!A:H,8,FALSE))</f>
        <v>11400</v>
      </c>
      <c r="P152" s="46">
        <f t="shared" ca="1" si="7"/>
        <v>8.3333333333308895E-5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input_565100!A$2</f>
        <v>565100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IFERROR(VLOOKUP(B153,input_565100!L:R,7,FALSE),VLOOKUP(tables_565100!C153,input_565100!A:H,8,FALSE))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input_565100!A$2</f>
        <v>565100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IFERROR(VLOOKUP(B154,input_565100!L:R,7,FALSE),VLOOKUP(tables_565100!C154,input_565100!A:H,8,FALSE))</f>
        <v>921600</v>
      </c>
      <c r="P154" s="46">
        <f t="shared" ca="1" si="7"/>
        <v>6.7368421052611824E-3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input_565100!A$2</f>
        <v>565100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IFERROR(VLOOKUP(B155,input_565100!L:R,7,FALSE),VLOOKUP(tables_565100!C155,input_565100!A:H,8,FALSE))</f>
        <v>23169.230769999998</v>
      </c>
      <c r="P155" s="46">
        <f t="shared" ca="1" si="7"/>
        <v>1.6936572200287431E-4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input_565100!A$2</f>
        <v>565100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IFERROR(VLOOKUP(B156,input_565100!L:R,7,FALSE),VLOOKUP(tables_565100!C156,input_565100!A:H,8,FALSE))</f>
        <v>45600</v>
      </c>
      <c r="P156" s="46">
        <f t="shared" ca="1" si="7"/>
        <v>3.3333333333323558E-4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input_565100!A$2</f>
        <v>565100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IFERROR(VLOOKUP(B157,input_565100!L:R,7,FALSE),VLOOKUP(tables_565100!C157,input_565100!A:H,8,FALSE))</f>
        <v>11400</v>
      </c>
      <c r="P157" s="46">
        <f t="shared" ca="1" si="7"/>
        <v>8.3333333333308895E-5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input_565100!A$2</f>
        <v>565100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IFERROR(VLOOKUP(B158,input_565100!L:R,7,FALSE),VLOOKUP(tables_565100!C158,input_565100!A:H,8,FALSE))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input_565100!A$2</f>
        <v>565100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IFERROR(VLOOKUP(B159,input_565100!L:R,7,FALSE),VLOOKUP(tables_565100!C159,input_565100!A:H,8,FALSE))</f>
        <v>921600</v>
      </c>
      <c r="P159" s="46">
        <f t="shared" ca="1" si="7"/>
        <v>6.7368421052611824E-3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input_565100!A$2</f>
        <v>565100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IFERROR(VLOOKUP(B160,input_565100!L:R,7,FALSE),VLOOKUP(tables_565100!C160,input_565100!A:H,8,FALSE))</f>
        <v>23169.230769999998</v>
      </c>
      <c r="P160" s="46">
        <f t="shared" ca="1" si="7"/>
        <v>1.6936572200287431E-4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input_565100!A$2</f>
        <v>565100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IFERROR(VLOOKUP(B161,input_565100!L:R,7,FALSE),VLOOKUP(tables_565100!C161,input_565100!A:H,8,FALSE))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input_565100!A$2</f>
        <v>565100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IFERROR(VLOOKUP(B162,input_565100!L:R,7,FALSE),VLOOKUP(tables_565100!C162,input_565100!A:H,8,FALSE))</f>
        <v>921600</v>
      </c>
      <c r="P162" s="46">
        <f t="shared" ca="1" si="7"/>
        <v>6.7368421052611824E-3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input_565100!A$2</f>
        <v>565100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IFERROR(VLOOKUP(B163,input_565100!L:R,7,FALSE),VLOOKUP(tables_565100!C163,input_565100!A:H,8,FALSE))</f>
        <v>23169.230769999998</v>
      </c>
      <c r="P163" s="46">
        <f t="shared" ca="1" si="7"/>
        <v>1.6936572200287431E-4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input_565100!A$2</f>
        <v>565100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IFERROR(VLOOKUP(B164,input_565100!L:R,7,FALSE),VLOOKUP(tables_565100!C164,input_565100!A:H,8,FALSE))</f>
        <v>45600</v>
      </c>
      <c r="P164" s="46">
        <f t="shared" ca="1" si="7"/>
        <v>3.3333333333323558E-4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input_565100!A$2</f>
        <v>565100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IFERROR(VLOOKUP(B165,input_565100!L:R,7,FALSE),VLOOKUP(tables_565100!C165,input_565100!A:H,8,FALSE))</f>
        <v>11400</v>
      </c>
      <c r="P165" s="46">
        <f t="shared" ca="1" si="7"/>
        <v>8.3333333333308895E-5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input_565100!A$2</f>
        <v>565100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IFERROR(VLOOKUP(B166,input_565100!L:R,7,FALSE),VLOOKUP(tables_565100!C166,input_565100!A:H,8,FALSE))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input_565100!A$2</f>
        <v>565100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IFERROR(VLOOKUP(B167,input_565100!L:R,7,FALSE),VLOOKUP(tables_565100!C167,input_565100!A:H,8,FALSE))</f>
        <v>921600</v>
      </c>
      <c r="P167" s="46">
        <f t="shared" ca="1" si="7"/>
        <v>6.7368421052611824E-3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input_565100!A$2</f>
        <v>565100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IFERROR(VLOOKUP(B168,input_565100!L:R,7,FALSE),VLOOKUP(tables_565100!C168,input_565100!A:H,8,FALSE))</f>
        <v>23169.230769999998</v>
      </c>
      <c r="P168" s="46">
        <f t="shared" ca="1" si="7"/>
        <v>1.6936572200287431E-4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input_565100!A$2</f>
        <v>565100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IFERROR(VLOOKUP(B169,input_565100!L:R,7,FALSE),VLOOKUP(tables_565100!C169,input_565100!A:H,8,FALSE))</f>
        <v>45600</v>
      </c>
      <c r="P169" s="46">
        <f t="shared" ca="1" si="7"/>
        <v>3.3333333333323558E-4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input_565100!A$2</f>
        <v>565100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IFERROR(VLOOKUP(B170,input_565100!L:R,7,FALSE),VLOOKUP(tables_565100!C170,input_565100!A:H,8,FALSE))</f>
        <v>11400</v>
      </c>
      <c r="P170" s="46">
        <f t="shared" ca="1" si="7"/>
        <v>8.3333333333308895E-5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input_565100!A$2</f>
        <v>565100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IFERROR(VLOOKUP(B171,input_565100!L:R,7,FALSE),VLOOKUP(tables_565100!C171,input_565100!A:H,8,FALSE))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input_565100!A$2</f>
        <v>565100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IFERROR(VLOOKUP(B172,input_565100!L:R,7,FALSE),VLOOKUP(tables_565100!C172,input_565100!A:H,8,FALSE))</f>
        <v>921600</v>
      </c>
      <c r="P172" s="46">
        <f t="shared" ca="1" si="7"/>
        <v>6.7368421052611824E-3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input_565100!A$2</f>
        <v>565100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IFERROR(VLOOKUP(B173,input_565100!L:R,7,FALSE),VLOOKUP(tables_565100!C173,input_565100!A:H,8,FALSE))</f>
        <v>23169.230769999998</v>
      </c>
      <c r="P173" s="46">
        <f t="shared" ca="1" si="7"/>
        <v>1.6936572200287431E-4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input_565100!A$2</f>
        <v>565100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IFERROR(VLOOKUP(B174,input_565100!L:R,7,FALSE),VLOOKUP(tables_565100!C174,input_565100!A:H,8,FALSE))</f>
        <v>45600</v>
      </c>
      <c r="P174" s="46">
        <f t="shared" ca="1" si="7"/>
        <v>3.3333333333323558E-4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input_565100!A$2</f>
        <v>565100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IFERROR(VLOOKUP(B175,input_565100!L:R,7,FALSE),VLOOKUP(tables_565100!C175,input_565100!A:H,8,FALSE))</f>
        <v>11400</v>
      </c>
      <c r="P175" s="46">
        <f t="shared" ca="1" si="7"/>
        <v>8.3333333333308895E-5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input_565100!A$2</f>
        <v>565100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IFERROR(VLOOKUP(B176,input_565100!L:R,7,FALSE),VLOOKUP(tables_565100!C176,input_565100!A:H,8,FALSE))</f>
        <v>45600</v>
      </c>
      <c r="P176" s="46">
        <f t="shared" ca="1" si="7"/>
        <v>3.3333333333323558E-4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input_565100!A$2</f>
        <v>565100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IFERROR(VLOOKUP(B177,input_565100!L:R,7,FALSE),VLOOKUP(tables_565100!C177,input_565100!A:H,8,FALSE))</f>
        <v>11400</v>
      </c>
      <c r="P177" s="46">
        <f t="shared" ca="1" si="7"/>
        <v>8.3333333333308895E-5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input_565100!A$2</f>
        <v>565100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IFERROR(VLOOKUP(B178,input_565100!L:R,7,FALSE),VLOOKUP(tables_565100!C178,input_565100!A:H,8,FALSE))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input_565100!A$2</f>
        <v>565100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IFERROR(VLOOKUP(B179,input_565100!L:R,7,FALSE),VLOOKUP(tables_565100!C179,input_565100!A:H,8,FALSE))</f>
        <v>921600</v>
      </c>
      <c r="P179" s="46">
        <f t="shared" ca="1" si="7"/>
        <v>6.7368421052611824E-3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input_565100!A$2</f>
        <v>565100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IFERROR(VLOOKUP(B180,input_565100!L:R,7,FALSE),VLOOKUP(tables_565100!C180,input_565100!A:H,8,FALSE))</f>
        <v>23169.230769999998</v>
      </c>
      <c r="P180" s="46">
        <f t="shared" ca="1" si="7"/>
        <v>1.6936572200287431E-4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input_565100!A$2</f>
        <v>565100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IFERROR(VLOOKUP(B181,input_565100!L:R,7,FALSE),VLOOKUP(tables_565100!C181,input_565100!A:H,8,FALSE))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input_565100!A$2</f>
        <v>565100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IFERROR(VLOOKUP(B182,input_565100!L:R,7,FALSE),VLOOKUP(tables_565100!C182,input_565100!A:H,8,FALSE))</f>
        <v>921600</v>
      </c>
      <c r="P182" s="46">
        <f t="shared" ca="1" si="7"/>
        <v>6.7368421052611824E-3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input_565100!A$2</f>
        <v>565100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IFERROR(VLOOKUP(B183,input_565100!L:R,7,FALSE),VLOOKUP(tables_565100!C183,input_565100!A:H,8,FALSE))</f>
        <v>23169.230769999998</v>
      </c>
      <c r="P183" s="46">
        <f t="shared" ca="1" si="7"/>
        <v>1.6936572200287431E-4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input_565100!A$2</f>
        <v>565100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IFERROR(VLOOKUP(B184,input_565100!L:R,7,FALSE),VLOOKUP(tables_565100!C184,input_565100!A:H,8,FALSE))</f>
        <v>45600</v>
      </c>
      <c r="P184" s="46">
        <f t="shared" ca="1" si="7"/>
        <v>3.3333333333323558E-4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input_565100!A$2</f>
        <v>565100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IFERROR(VLOOKUP(B185,input_565100!L:R,7,FALSE),VLOOKUP(tables_565100!C185,input_565100!A:H,8,FALSE))</f>
        <v>11400</v>
      </c>
      <c r="P185" s="46">
        <f t="shared" ca="1" si="7"/>
        <v>8.3333333333308895E-5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input_565100!A$2</f>
        <v>565100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IFERROR(VLOOKUP(B186,input_565100!L:R,7,FALSE),VLOOKUP(tables_565100!C186,input_565100!A:H,8,FALSE))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input_565100!A$2</f>
        <v>565100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IFERROR(VLOOKUP(B187,input_565100!L:R,7,FALSE),VLOOKUP(tables_565100!C187,input_565100!A:H,8,FALSE))</f>
        <v>921600</v>
      </c>
      <c r="P187" s="46">
        <f t="shared" ca="1" si="7"/>
        <v>6.7368421052611824E-3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input_565100!A$2</f>
        <v>565100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IFERROR(VLOOKUP(B188,input_565100!L:R,7,FALSE),VLOOKUP(tables_565100!C188,input_565100!A:H,8,FALSE))</f>
        <v>23169.230769999998</v>
      </c>
      <c r="P188" s="46">
        <f t="shared" ca="1" si="7"/>
        <v>1.6936572200287431E-4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input_565100!A$2</f>
        <v>565100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IFERROR(VLOOKUP(B189,input_565100!L:R,7,FALSE),VLOOKUP(tables_565100!C189,input_565100!A:H,8,FALSE))</f>
        <v>45600</v>
      </c>
      <c r="P189" s="46">
        <f t="shared" ca="1" si="7"/>
        <v>3.3333333333323558E-4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input_565100!A$2</f>
        <v>565100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IFERROR(VLOOKUP(B190,input_565100!L:R,7,FALSE),VLOOKUP(tables_565100!C190,input_565100!A:H,8,FALSE))</f>
        <v>11400</v>
      </c>
      <c r="P190" s="46">
        <f t="shared" ca="1" si="7"/>
        <v>8.3333333333308895E-5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input_565100!A$2</f>
        <v>565100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IFERROR(VLOOKUP(B191,input_565100!L:R,7,FALSE),VLOOKUP(tables_565100!C191,input_565100!A:H,8,FALSE))</f>
        <v>45600</v>
      </c>
      <c r="P191" s="46">
        <f t="shared" ca="1" si="7"/>
        <v>3.3333333333323558E-4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input_565100!A$2</f>
        <v>565100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IFERROR(VLOOKUP(B192,input_565100!L:R,7,FALSE),VLOOKUP(tables_565100!C192,input_565100!A:H,8,FALSE))</f>
        <v>11400</v>
      </c>
      <c r="P192" s="46">
        <f t="shared" ca="1" si="7"/>
        <v>8.3333333333308895E-5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input_565100!A$2</f>
        <v>565100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IFERROR(VLOOKUP(B193,input_565100!L:R,7,FALSE),VLOOKUP(tables_565100!C193,input_565100!A:H,8,FALSE))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input_565100!A$2</f>
        <v>565100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IFERROR(VLOOKUP(B194,input_565100!L:R,7,FALSE),VLOOKUP(tables_565100!C194,input_565100!A:H,8,FALSE))</f>
        <v>921600</v>
      </c>
      <c r="P194" s="46">
        <f t="shared" ref="P194:P257" ca="1" si="10">O194/SUM(O:O)</f>
        <v>6.7368421052611824E-3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input_565100!A$2</f>
        <v>565100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IFERROR(VLOOKUP(B195,input_565100!L:R,7,FALSE),VLOOKUP(tables_565100!C195,input_565100!A:H,8,FALSE))</f>
        <v>23169.230769999998</v>
      </c>
      <c r="P195" s="46">
        <f t="shared" ca="1" si="10"/>
        <v>1.6936572200287431E-4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input_565100!A$2</f>
        <v>565100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IFERROR(VLOOKUP(B196,input_565100!L:R,7,FALSE),VLOOKUP(tables_565100!C196,input_565100!A:H,8,FALSE))</f>
        <v>45600</v>
      </c>
      <c r="P196" s="46">
        <f t="shared" ca="1" si="10"/>
        <v>3.3333333333323558E-4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input_565100!A$2</f>
        <v>565100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IFERROR(VLOOKUP(B197,input_565100!L:R,7,FALSE),VLOOKUP(tables_565100!C197,input_565100!A:H,8,FALSE))</f>
        <v>11400</v>
      </c>
      <c r="P197" s="46">
        <f t="shared" ca="1" si="10"/>
        <v>8.3333333333308895E-5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input_565100!A$2</f>
        <v>565100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IFERROR(VLOOKUP(B198,input_565100!L:R,7,FALSE),VLOOKUP(tables_565100!C198,input_565100!A:H,8,FALSE))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input_565100!A$2</f>
        <v>565100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IFERROR(VLOOKUP(B199,input_565100!L:R,7,FALSE),VLOOKUP(tables_565100!C199,input_565100!A:H,8,FALSE))</f>
        <v>921600</v>
      </c>
      <c r="P199" s="46">
        <f t="shared" ca="1" si="10"/>
        <v>6.7368421052611824E-3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input_565100!A$2</f>
        <v>565100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IFERROR(VLOOKUP(B200,input_565100!L:R,7,FALSE),VLOOKUP(tables_565100!C200,input_565100!A:H,8,FALSE))</f>
        <v>23169.230769999998</v>
      </c>
      <c r="P200" s="46">
        <f t="shared" ca="1" si="10"/>
        <v>1.6936572200287431E-4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input_565100!A$2</f>
        <v>565100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IFERROR(VLOOKUP(B201,input_565100!L:R,7,FALSE),VLOOKUP(tables_565100!C201,input_565100!A:H,8,FALSE))</f>
        <v>45600</v>
      </c>
      <c r="P201" s="46">
        <f t="shared" ca="1" si="10"/>
        <v>3.3333333333323558E-4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input_565100!A$2</f>
        <v>565100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IFERROR(VLOOKUP(B202,input_565100!L:R,7,FALSE),VLOOKUP(tables_565100!C202,input_565100!A:H,8,FALSE))</f>
        <v>11400</v>
      </c>
      <c r="P202" s="46">
        <f t="shared" ca="1" si="10"/>
        <v>8.3333333333308895E-5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input_565100!A$2</f>
        <v>565100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IFERROR(VLOOKUP(B203,input_565100!L:R,7,FALSE),VLOOKUP(tables_565100!C203,input_565100!A:H,8,FALSE))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input_565100!A$2</f>
        <v>565100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IFERROR(VLOOKUP(B204,input_565100!L:R,7,FALSE),VLOOKUP(tables_565100!C204,input_565100!A:H,8,FALSE))</f>
        <v>921600</v>
      </c>
      <c r="P204" s="46">
        <f t="shared" ca="1" si="10"/>
        <v>6.7368421052611824E-3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input_565100!A$2</f>
        <v>565100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IFERROR(VLOOKUP(B205,input_565100!L:R,7,FALSE),VLOOKUP(tables_565100!C205,input_565100!A:H,8,FALSE))</f>
        <v>23169.230769999998</v>
      </c>
      <c r="P205" s="46">
        <f t="shared" ca="1" si="10"/>
        <v>1.6936572200287431E-4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input_565100!A$2</f>
        <v>565100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IFERROR(VLOOKUP(B206,input_565100!L:R,7,FALSE),VLOOKUP(tables_565100!C206,input_565100!A:H,8,FALSE))</f>
        <v>45600</v>
      </c>
      <c r="P206" s="46">
        <f t="shared" ca="1" si="10"/>
        <v>3.3333333333323558E-4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input_565100!A$2</f>
        <v>565100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IFERROR(VLOOKUP(B207,input_565100!L:R,7,FALSE),VLOOKUP(tables_565100!C207,input_565100!A:H,8,FALSE))</f>
        <v>11400</v>
      </c>
      <c r="P207" s="46">
        <f t="shared" ca="1" si="10"/>
        <v>8.3333333333308895E-5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input_565100!A$2</f>
        <v>565100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IFERROR(VLOOKUP(B208,input_565100!L:R,7,FALSE),VLOOKUP(tables_565100!C208,input_565100!A:H,8,FALSE))</f>
        <v>45600</v>
      </c>
      <c r="P208" s="46">
        <f t="shared" ca="1" si="10"/>
        <v>3.3333333333323558E-4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input_565100!A$2</f>
        <v>565100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IFERROR(VLOOKUP(B209,input_565100!L:R,7,FALSE),VLOOKUP(tables_565100!C209,input_565100!A:H,8,FALSE))</f>
        <v>11400</v>
      </c>
      <c r="P209" s="46">
        <f t="shared" ca="1" si="10"/>
        <v>8.3333333333308895E-5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input_565100!A$2</f>
        <v>565100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IFERROR(VLOOKUP(B210,input_565100!L:R,7,FALSE),VLOOKUP(tables_565100!C210,input_565100!A:H,8,FALSE))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input_565100!A$2</f>
        <v>565100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IFERROR(VLOOKUP(B211,input_565100!L:R,7,FALSE),VLOOKUP(tables_565100!C211,input_565100!A:H,8,FALSE))</f>
        <v>921600</v>
      </c>
      <c r="P211" s="46">
        <f t="shared" ca="1" si="10"/>
        <v>6.7368421052611824E-3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input_565100!A$2</f>
        <v>565100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IFERROR(VLOOKUP(B212,input_565100!L:R,7,FALSE),VLOOKUP(tables_565100!C212,input_565100!A:H,8,FALSE))</f>
        <v>23169.230769999998</v>
      </c>
      <c r="P212" s="46">
        <f t="shared" ca="1" si="10"/>
        <v>1.6936572200287431E-4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input_565100!A$2</f>
        <v>565100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IFERROR(VLOOKUP(B213,input_565100!L:R,7,FALSE),VLOOKUP(tables_565100!C213,input_565100!A:H,8,FALSE))</f>
        <v>45600</v>
      </c>
      <c r="P213" s="46">
        <f t="shared" ca="1" si="10"/>
        <v>3.3333333333323558E-4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input_565100!A$2</f>
        <v>565100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IFERROR(VLOOKUP(B214,input_565100!L:R,7,FALSE),VLOOKUP(tables_565100!C214,input_565100!A:H,8,FALSE))</f>
        <v>11400</v>
      </c>
      <c r="P214" s="46">
        <f t="shared" ca="1" si="10"/>
        <v>8.3333333333308895E-5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input_565100!A$2</f>
        <v>565100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IFERROR(VLOOKUP(B215,input_565100!L:R,7,FALSE),VLOOKUP(tables_565100!C215,input_565100!A:H,8,FALSE))</f>
        <v>230400</v>
      </c>
      <c r="P215" s="46">
        <f t="shared" ca="1" si="10"/>
        <v>1.6842105263152956E-3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input_565100!A$2</f>
        <v>565100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IFERROR(VLOOKUP(B216,input_565100!L:R,7,FALSE),VLOOKUP(tables_565100!C216,input_565100!A:H,8,FALSE))</f>
        <v>230400</v>
      </c>
      <c r="P216" s="46">
        <f t="shared" ca="1" si="10"/>
        <v>1.6842105263152956E-3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input_565100!A$2</f>
        <v>565100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IFERROR(VLOOKUP(B217,input_565100!L:R,7,FALSE),VLOOKUP(tables_565100!C217,input_565100!A:H,8,FALSE))</f>
        <v>230400</v>
      </c>
      <c r="P217" s="46">
        <f t="shared" ca="1" si="10"/>
        <v>1.6842105263152956E-3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input_565100!A$2</f>
        <v>565100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IFERROR(VLOOKUP(B218,input_565100!L:R,7,FALSE),VLOOKUP(tables_565100!C218,input_565100!A:H,8,FALSE))</f>
        <v>230400</v>
      </c>
      <c r="P218" s="46">
        <f t="shared" ca="1" si="10"/>
        <v>1.6842105263152956E-3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input_565100!A$2</f>
        <v>565100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IFERROR(VLOOKUP(B219,input_565100!L:R,7,FALSE),VLOOKUP(tables_565100!C219,input_565100!A:H,8,FALSE))</f>
        <v>230400</v>
      </c>
      <c r="P219" s="46">
        <f t="shared" ca="1" si="10"/>
        <v>1.6842105263152956E-3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input_565100!A$2</f>
        <v>565100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IFERROR(VLOOKUP(B220,input_565100!L:R,7,FALSE),VLOOKUP(tables_565100!C220,input_565100!A:H,8,FALSE))</f>
        <v>230400</v>
      </c>
      <c r="P220" s="46">
        <f t="shared" ca="1" si="10"/>
        <v>1.6842105263152956E-3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input_565100!A$2</f>
        <v>565100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IFERROR(VLOOKUP(B221,input_565100!L:R,7,FALSE),VLOOKUP(tables_565100!C221,input_565100!A:H,8,FALSE))</f>
        <v>45600</v>
      </c>
      <c r="P221" s="46">
        <f t="shared" ca="1" si="10"/>
        <v>3.3333333333323558E-4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input_565100!A$2</f>
        <v>565100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IFERROR(VLOOKUP(B222,input_565100!L:R,7,FALSE),VLOOKUP(tables_565100!C222,input_565100!A:H,8,FALSE))</f>
        <v>11400</v>
      </c>
      <c r="P222" s="46">
        <f t="shared" ca="1" si="10"/>
        <v>8.3333333333308895E-5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input_565100!A$2</f>
        <v>565100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IFERROR(VLOOKUP(B223,input_565100!L:R,7,FALSE),VLOOKUP(tables_565100!C223,input_565100!A:H,8,FALSE))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input_565100!A$2</f>
        <v>565100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IFERROR(VLOOKUP(B224,input_565100!L:R,7,FALSE),VLOOKUP(tables_565100!C224,input_565100!A:H,8,FALSE))</f>
        <v>921600</v>
      </c>
      <c r="P224" s="46">
        <f t="shared" ca="1" si="10"/>
        <v>6.7368421052611824E-3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input_565100!A$2</f>
        <v>565100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IFERROR(VLOOKUP(B225,input_565100!L:R,7,FALSE),VLOOKUP(tables_565100!C225,input_565100!A:H,8,FALSE))</f>
        <v>23169.230769999998</v>
      </c>
      <c r="P225" s="46">
        <f t="shared" ca="1" si="10"/>
        <v>1.6936572200287431E-4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input_565100!A$2</f>
        <v>565100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IFERROR(VLOOKUP(B226,input_565100!L:R,7,FALSE),VLOOKUP(tables_565100!C226,input_565100!A:H,8,FALSE))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input_565100!A$2</f>
        <v>565100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IFERROR(VLOOKUP(B227,input_565100!L:R,7,FALSE),VLOOKUP(tables_565100!C227,input_565100!A:H,8,FALSE))</f>
        <v>921600</v>
      </c>
      <c r="P227" s="46">
        <f t="shared" ca="1" si="10"/>
        <v>6.7368421052611824E-3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input_565100!A$2</f>
        <v>565100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IFERROR(VLOOKUP(B228,input_565100!L:R,7,FALSE),VLOOKUP(tables_565100!C228,input_565100!A:H,8,FALSE))</f>
        <v>23169.230769999998</v>
      </c>
      <c r="P228" s="46">
        <f t="shared" ca="1" si="10"/>
        <v>1.6936572200287431E-4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input_565100!A$2</f>
        <v>565100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IFERROR(VLOOKUP(B229,input_565100!L:R,7,FALSE),VLOOKUP(tables_565100!C229,input_565100!A:H,8,FALSE))</f>
        <v>45600</v>
      </c>
      <c r="P229" s="46">
        <f t="shared" ca="1" si="10"/>
        <v>3.3333333333323558E-4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input_565100!A$2</f>
        <v>565100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IFERROR(VLOOKUP(B230,input_565100!L:R,7,FALSE),VLOOKUP(tables_565100!C230,input_565100!A:H,8,FALSE))</f>
        <v>11400</v>
      </c>
      <c r="P230" s="46">
        <f t="shared" ca="1" si="10"/>
        <v>8.3333333333308895E-5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input_565100!A$2</f>
        <v>565100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IFERROR(VLOOKUP(B231,input_565100!L:R,7,FALSE),VLOOKUP(tables_565100!C231,input_565100!A:H,8,FALSE))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input_565100!A$2</f>
        <v>565100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IFERROR(VLOOKUP(B232,input_565100!L:R,7,FALSE),VLOOKUP(tables_565100!C232,input_565100!A:H,8,FALSE))</f>
        <v>921600</v>
      </c>
      <c r="P232" s="46">
        <f t="shared" ca="1" si="10"/>
        <v>6.7368421052611824E-3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input_565100!A$2</f>
        <v>565100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IFERROR(VLOOKUP(B233,input_565100!L:R,7,FALSE),VLOOKUP(tables_565100!C233,input_565100!A:H,8,FALSE))</f>
        <v>23169.230769999998</v>
      </c>
      <c r="P233" s="46">
        <f t="shared" ca="1" si="10"/>
        <v>1.6936572200287431E-4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input_565100!A$2</f>
        <v>565100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IFERROR(VLOOKUP(B234,input_565100!L:R,7,FALSE),VLOOKUP(tables_565100!C234,input_565100!A:H,8,FALSE))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input_565100!A$2</f>
        <v>565100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IFERROR(VLOOKUP(B235,input_565100!L:R,7,FALSE),VLOOKUP(tables_565100!C235,input_565100!A:H,8,FALSE))</f>
        <v>921600</v>
      </c>
      <c r="P235" s="46">
        <f t="shared" ca="1" si="10"/>
        <v>6.7368421052611824E-3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input_565100!A$2</f>
        <v>565100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IFERROR(VLOOKUP(B236,input_565100!L:R,7,FALSE),VLOOKUP(tables_565100!C236,input_565100!A:H,8,FALSE))</f>
        <v>23169.230769999998</v>
      </c>
      <c r="P236" s="46">
        <f t="shared" ca="1" si="10"/>
        <v>1.6936572200287431E-4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input_565100!A$2</f>
        <v>565100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IFERROR(VLOOKUP(B237,input_565100!L:R,7,FALSE),VLOOKUP(tables_565100!C237,input_565100!A:H,8,FALSE))</f>
        <v>45600</v>
      </c>
      <c r="P237" s="46">
        <f t="shared" ca="1" si="10"/>
        <v>3.3333333333323558E-4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input_565100!A$2</f>
        <v>565100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IFERROR(VLOOKUP(B238,input_565100!L:R,7,FALSE),VLOOKUP(tables_565100!C238,input_565100!A:H,8,FALSE))</f>
        <v>11400</v>
      </c>
      <c r="P238" s="46">
        <f t="shared" ca="1" si="10"/>
        <v>8.3333333333308895E-5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input_565100!A$2</f>
        <v>565100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IFERROR(VLOOKUP(B239,input_565100!L:R,7,FALSE),VLOOKUP(tables_565100!C239,input_565100!A:H,8,FALSE))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input_565100!A$2</f>
        <v>565100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IFERROR(VLOOKUP(B240,input_565100!L:R,7,FALSE),VLOOKUP(tables_565100!C240,input_565100!A:H,8,FALSE))</f>
        <v>921600</v>
      </c>
      <c r="P240" s="46">
        <f t="shared" ca="1" si="10"/>
        <v>6.7368421052611824E-3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input_565100!A$2</f>
        <v>565100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IFERROR(VLOOKUP(B241,input_565100!L:R,7,FALSE),VLOOKUP(tables_565100!C241,input_565100!A:H,8,FALSE))</f>
        <v>23169.230769999998</v>
      </c>
      <c r="P241" s="46">
        <f t="shared" ca="1" si="10"/>
        <v>1.6936572200287431E-4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input_565100!A$2</f>
        <v>565100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IFERROR(VLOOKUP(B242,input_565100!L:R,7,FALSE),VLOOKUP(tables_565100!C242,input_565100!A:H,8,FALSE))</f>
        <v>45600</v>
      </c>
      <c r="P242" s="46">
        <f t="shared" ca="1" si="10"/>
        <v>3.3333333333323558E-4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input_565100!A$2</f>
        <v>565100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IFERROR(VLOOKUP(B243,input_565100!L:R,7,FALSE),VLOOKUP(tables_565100!C243,input_565100!A:H,8,FALSE))</f>
        <v>11400</v>
      </c>
      <c r="P243" s="46">
        <f t="shared" ca="1" si="10"/>
        <v>8.3333333333308895E-5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input_565100!A$2</f>
        <v>565100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IFERROR(VLOOKUP(B244,input_565100!L:R,7,FALSE),VLOOKUP(tables_565100!C244,input_565100!A:H,8,FALSE))</f>
        <v>45600</v>
      </c>
      <c r="P244" s="46">
        <f t="shared" ca="1" si="10"/>
        <v>3.3333333333323558E-4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input_565100!A$2</f>
        <v>565100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IFERROR(VLOOKUP(B245,input_565100!L:R,7,FALSE),VLOOKUP(tables_565100!C245,input_565100!A:H,8,FALSE))</f>
        <v>11400</v>
      </c>
      <c r="P245" s="46">
        <f t="shared" ca="1" si="10"/>
        <v>8.3333333333308895E-5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input_565100!A$2</f>
        <v>565100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IFERROR(VLOOKUP(B246,input_565100!L:R,7,FALSE),VLOOKUP(tables_565100!C246,input_565100!A:H,8,FALSE))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input_565100!A$2</f>
        <v>565100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IFERROR(VLOOKUP(B247,input_565100!L:R,7,FALSE),VLOOKUP(tables_565100!C247,input_565100!A:H,8,FALSE))</f>
        <v>921600</v>
      </c>
      <c r="P247" s="46">
        <f t="shared" ca="1" si="10"/>
        <v>6.7368421052611824E-3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input_565100!A$2</f>
        <v>565100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IFERROR(VLOOKUP(B248,input_565100!L:R,7,FALSE),VLOOKUP(tables_565100!C248,input_565100!A:H,8,FALSE))</f>
        <v>23169.230769999998</v>
      </c>
      <c r="P248" s="46">
        <f t="shared" ca="1" si="10"/>
        <v>1.6936572200287431E-4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input_565100!A$2</f>
        <v>565100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IFERROR(VLOOKUP(B249,input_565100!L:R,7,FALSE),VLOOKUP(tables_565100!C249,input_565100!A:H,8,FALSE))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input_565100!A$2</f>
        <v>565100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IFERROR(VLOOKUP(B250,input_565100!L:R,7,FALSE),VLOOKUP(tables_565100!C250,input_565100!A:H,8,FALSE))</f>
        <v>921600</v>
      </c>
      <c r="P250" s="46">
        <f t="shared" ca="1" si="10"/>
        <v>6.7368421052611824E-3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input_565100!A$2</f>
        <v>565100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IFERROR(VLOOKUP(B251,input_565100!L:R,7,FALSE),VLOOKUP(tables_565100!C251,input_565100!A:H,8,FALSE))</f>
        <v>23169.230769999998</v>
      </c>
      <c r="P251" s="46">
        <f t="shared" ca="1" si="10"/>
        <v>1.6936572200287431E-4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input_565100!A$2</f>
        <v>565100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IFERROR(VLOOKUP(B252,input_565100!L:R,7,FALSE),VLOOKUP(tables_565100!C252,input_565100!A:H,8,FALSE))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input_565100!A$2</f>
        <v>565100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IFERROR(VLOOKUP(B253,input_565100!L:R,7,FALSE),VLOOKUP(tables_565100!C253,input_565100!A:H,8,FALSE))</f>
        <v>921600</v>
      </c>
      <c r="P253" s="46">
        <f t="shared" ca="1" si="10"/>
        <v>6.7368421052611824E-3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input_565100!A$2</f>
        <v>565100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IFERROR(VLOOKUP(B254,input_565100!L:R,7,FALSE),VLOOKUP(tables_565100!C254,input_565100!A:H,8,FALSE))</f>
        <v>23169.230769999998</v>
      </c>
      <c r="P254" s="46">
        <f t="shared" ca="1" si="10"/>
        <v>1.6936572200287431E-4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input_565100!A$2</f>
        <v>565100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IFERROR(VLOOKUP(B255,input_565100!L:R,7,FALSE),VLOOKUP(tables_565100!C255,input_565100!A:H,8,FALSE))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input_565100!A$2</f>
        <v>565100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IFERROR(VLOOKUP(B256,input_565100!L:R,7,FALSE),VLOOKUP(tables_565100!C256,input_565100!A:H,8,FALSE))</f>
        <v>921600</v>
      </c>
      <c r="P256" s="46">
        <f t="shared" ca="1" si="10"/>
        <v>6.7368421052611824E-3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input_565100!A$2</f>
        <v>565100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IFERROR(VLOOKUP(B257,input_565100!L:R,7,FALSE),VLOOKUP(tables_565100!C257,input_565100!A:H,8,FALSE))</f>
        <v>23169.230769999998</v>
      </c>
      <c r="P257" s="46">
        <f t="shared" ca="1" si="10"/>
        <v>1.6936572200287431E-4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input_565100!A$2</f>
        <v>565100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IFERROR(VLOOKUP(B258,input_565100!L:R,7,FALSE),VLOOKUP(tables_565100!C258,input_565100!A:H,8,FALSE))</f>
        <v>45600</v>
      </c>
      <c r="P258" s="46">
        <f t="shared" ref="P258:P321" ca="1" si="13">O258/SUM(O:O)</f>
        <v>3.3333333333323558E-4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input_565100!A$2</f>
        <v>565100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IFERROR(VLOOKUP(B259,input_565100!L:R,7,FALSE),VLOOKUP(tables_565100!C259,input_565100!A:H,8,FALSE))</f>
        <v>11400</v>
      </c>
      <c r="P259" s="46">
        <f t="shared" ca="1" si="13"/>
        <v>8.3333333333308895E-5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input_565100!A$2</f>
        <v>565100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IFERROR(VLOOKUP(B260,input_565100!L:R,7,FALSE),VLOOKUP(tables_565100!C260,input_565100!A:H,8,FALSE))</f>
        <v>45600</v>
      </c>
      <c r="P260" s="46">
        <f t="shared" ca="1" si="13"/>
        <v>3.3333333333323558E-4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input_565100!A$2</f>
        <v>565100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IFERROR(VLOOKUP(B261,input_565100!L:R,7,FALSE),VLOOKUP(tables_565100!C261,input_565100!A:H,8,FALSE))</f>
        <v>11400</v>
      </c>
      <c r="P261" s="46">
        <f t="shared" ca="1" si="13"/>
        <v>8.3333333333308895E-5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input_565100!A$2</f>
        <v>565100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IFERROR(VLOOKUP(B262,input_565100!L:R,7,FALSE),VLOOKUP(tables_565100!C262,input_565100!A:H,8,FALSE))</f>
        <v>852480</v>
      </c>
      <c r="P262" s="46">
        <f t="shared" ca="1" si="13"/>
        <v>6.2315789473665938E-3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input_565100!A$2</f>
        <v>565100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IFERROR(VLOOKUP(B263,input_565100!L:R,7,FALSE),VLOOKUP(tables_565100!C263,input_565100!A:H,8,FALSE))</f>
        <v>230400</v>
      </c>
      <c r="P263" s="46">
        <f t="shared" ca="1" si="13"/>
        <v>1.6842105263152956E-3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input_565100!A$2</f>
        <v>565100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IFERROR(VLOOKUP(B264,input_565100!L:R,7,FALSE),VLOOKUP(tables_565100!C264,input_565100!A:H,8,FALSE))</f>
        <v>852480</v>
      </c>
      <c r="P264" s="46">
        <f t="shared" ca="1" si="13"/>
        <v>6.2315789473665938E-3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input_565100!A$2</f>
        <v>565100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IFERROR(VLOOKUP(B265,input_565100!L:R,7,FALSE),VLOOKUP(tables_565100!C265,input_565100!A:H,8,FALSE))</f>
        <v>230400</v>
      </c>
      <c r="P265" s="46">
        <f t="shared" ca="1" si="13"/>
        <v>1.6842105263152956E-3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input_565100!A$2</f>
        <v>565100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IFERROR(VLOOKUP(B266,input_565100!L:R,7,FALSE),VLOOKUP(tables_565100!C266,input_565100!A:H,8,FALSE))</f>
        <v>57000</v>
      </c>
      <c r="P266" s="46">
        <f t="shared" ca="1" si="13"/>
        <v>4.166666666665445E-4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input_565100!A$2</f>
        <v>565100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IFERROR(VLOOKUP(B267,input_565100!L:R,7,FALSE),VLOOKUP(tables_565100!C267,input_565100!A:H,8,FALSE))</f>
        <v>57000</v>
      </c>
      <c r="P267" s="46">
        <f t="shared" ca="1" si="13"/>
        <v>4.166666666665445E-4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input_565100!A$2</f>
        <v>565100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IFERROR(VLOOKUP(B268,input_565100!L:R,7,FALSE),VLOOKUP(tables_565100!C268,input_565100!A:H,8,FALSE))</f>
        <v>57000</v>
      </c>
      <c r="P268" s="46">
        <f t="shared" ca="1" si="13"/>
        <v>4.166666666665445E-4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input_565100!A$2</f>
        <v>565100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IFERROR(VLOOKUP(B269,input_565100!L:R,7,FALSE),VLOOKUP(tables_565100!C269,input_565100!A:H,8,FALSE))</f>
        <v>57000</v>
      </c>
      <c r="P269" s="46">
        <f t="shared" ca="1" si="13"/>
        <v>4.166666666665445E-4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input_565100!A$2</f>
        <v>565100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IFERROR(VLOOKUP(B270,input_565100!L:R,7,FALSE),VLOOKUP(tables_565100!C270,input_565100!A:H,8,FALSE))</f>
        <v>852480</v>
      </c>
      <c r="P270" s="46">
        <f t="shared" ca="1" si="13"/>
        <v>6.2315789473665938E-3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input_565100!A$2</f>
        <v>565100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IFERROR(VLOOKUP(B271,input_565100!L:R,7,FALSE),VLOOKUP(tables_565100!C271,input_565100!A:H,8,FALSE))</f>
        <v>230400</v>
      </c>
      <c r="P271" s="46">
        <f t="shared" ca="1" si="13"/>
        <v>1.6842105263152956E-3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input_565100!A$2</f>
        <v>565100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IFERROR(VLOOKUP(B272,input_565100!L:R,7,FALSE),VLOOKUP(tables_565100!C272,input_565100!A:H,8,FALSE))</f>
        <v>852480</v>
      </c>
      <c r="P272" s="46">
        <f t="shared" ca="1" si="13"/>
        <v>6.2315789473665938E-3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input_565100!A$2</f>
        <v>565100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IFERROR(VLOOKUP(B273,input_565100!L:R,7,FALSE),VLOOKUP(tables_565100!C273,input_565100!A:H,8,FALSE))</f>
        <v>230400</v>
      </c>
      <c r="P273" s="46">
        <f t="shared" ca="1" si="13"/>
        <v>1.6842105263152956E-3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input_565100!A$2</f>
        <v>565100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IFERROR(VLOOKUP(B274,input_565100!L:R,7,FALSE),VLOOKUP(tables_565100!C274,input_565100!A:H,8,FALSE))</f>
        <v>45600</v>
      </c>
      <c r="P274" s="46">
        <f t="shared" ca="1" si="13"/>
        <v>3.3333333333323558E-4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input_565100!A$2</f>
        <v>565100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IFERROR(VLOOKUP(B275,input_565100!L:R,7,FALSE),VLOOKUP(tables_565100!C275,input_565100!A:H,8,FALSE))</f>
        <v>11400</v>
      </c>
      <c r="P275" s="46">
        <f t="shared" ca="1" si="13"/>
        <v>8.3333333333308895E-5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input_565100!A$2</f>
        <v>565100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IFERROR(VLOOKUP(B276,input_565100!L:R,7,FALSE),VLOOKUP(tables_565100!C276,input_565100!A:H,8,FALSE))</f>
        <v>45600</v>
      </c>
      <c r="P276" s="46">
        <f t="shared" ca="1" si="13"/>
        <v>3.3333333333323558E-4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input_565100!A$2</f>
        <v>565100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IFERROR(VLOOKUP(B277,input_565100!L:R,7,FALSE),VLOOKUP(tables_565100!C277,input_565100!A:H,8,FALSE))</f>
        <v>11400</v>
      </c>
      <c r="P277" s="46">
        <f t="shared" ca="1" si="13"/>
        <v>8.3333333333308895E-5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input_565100!A$2</f>
        <v>565100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IFERROR(VLOOKUP(B278,input_565100!L:R,7,FALSE),VLOOKUP(tables_565100!C278,input_565100!A:H,8,FALSE))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input_565100!A$2</f>
        <v>565100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IFERROR(VLOOKUP(B279,input_565100!L:R,7,FALSE),VLOOKUP(tables_565100!C279,input_565100!A:H,8,FALSE))</f>
        <v>921600</v>
      </c>
      <c r="P279" s="46">
        <f t="shared" ca="1" si="13"/>
        <v>6.7368421052611824E-3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input_565100!A$2</f>
        <v>565100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IFERROR(VLOOKUP(B280,input_565100!L:R,7,FALSE),VLOOKUP(tables_565100!C280,input_565100!A:H,8,FALSE))</f>
        <v>23169.230769999998</v>
      </c>
      <c r="P280" s="46">
        <f t="shared" ca="1" si="13"/>
        <v>1.6936572200287431E-4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input_565100!A$2</f>
        <v>565100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IFERROR(VLOOKUP(B281,input_565100!L:R,7,FALSE),VLOOKUP(tables_565100!C281,input_565100!A:H,8,FALSE))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input_565100!A$2</f>
        <v>565100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IFERROR(VLOOKUP(B282,input_565100!L:R,7,FALSE),VLOOKUP(tables_565100!C282,input_565100!A:H,8,FALSE))</f>
        <v>921600</v>
      </c>
      <c r="P282" s="46">
        <f t="shared" ca="1" si="13"/>
        <v>6.7368421052611824E-3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input_565100!A$2</f>
        <v>565100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IFERROR(VLOOKUP(B283,input_565100!L:R,7,FALSE),VLOOKUP(tables_565100!C283,input_565100!A:H,8,FALSE))</f>
        <v>23169.230769999998</v>
      </c>
      <c r="P283" s="46">
        <f t="shared" ca="1" si="13"/>
        <v>1.6936572200287431E-4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input_565100!A$2</f>
        <v>565100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IFERROR(VLOOKUP(B284,input_565100!L:R,7,FALSE),VLOOKUP(tables_565100!C284,input_565100!A:H,8,FALSE))</f>
        <v>57000</v>
      </c>
      <c r="P284" s="46">
        <f t="shared" ca="1" si="13"/>
        <v>4.166666666665445E-4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input_565100!A$2</f>
        <v>565100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IFERROR(VLOOKUP(B285,input_565100!L:R,7,FALSE),VLOOKUP(tables_565100!C285,input_565100!A:H,8,FALSE))</f>
        <v>57000</v>
      </c>
      <c r="P285" s="46">
        <f t="shared" ca="1" si="13"/>
        <v>4.166666666665445E-4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input_565100!A$2</f>
        <v>565100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IFERROR(VLOOKUP(B286,input_565100!L:R,7,FALSE),VLOOKUP(tables_565100!C286,input_565100!A:H,8,FALSE))</f>
        <v>852480</v>
      </c>
      <c r="P286" s="46">
        <f t="shared" ca="1" si="13"/>
        <v>6.2315789473665938E-3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input_565100!A$2</f>
        <v>565100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IFERROR(VLOOKUP(B287,input_565100!L:R,7,FALSE),VLOOKUP(tables_565100!C287,input_565100!A:H,8,FALSE))</f>
        <v>230400</v>
      </c>
      <c r="P287" s="46">
        <f t="shared" ca="1" si="13"/>
        <v>1.6842105263152956E-3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input_565100!A$2</f>
        <v>565100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IFERROR(VLOOKUP(B288,input_565100!L:R,7,FALSE),VLOOKUP(tables_565100!C288,input_565100!A:H,8,FALSE))</f>
        <v>852480</v>
      </c>
      <c r="P288" s="46">
        <f t="shared" ca="1" si="13"/>
        <v>6.2315789473665938E-3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input_565100!A$2</f>
        <v>565100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IFERROR(VLOOKUP(B289,input_565100!L:R,7,FALSE),VLOOKUP(tables_565100!C289,input_565100!A:H,8,FALSE))</f>
        <v>230400</v>
      </c>
      <c r="P289" s="46">
        <f t="shared" ca="1" si="13"/>
        <v>1.6842105263152956E-3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input_565100!A$2</f>
        <v>565100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IFERROR(VLOOKUP(B290,input_565100!L:R,7,FALSE),VLOOKUP(tables_565100!C290,input_565100!A:H,8,FALSE))</f>
        <v>852480</v>
      </c>
      <c r="P290" s="46">
        <f t="shared" ca="1" si="13"/>
        <v>6.2315789473665938E-3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input_565100!A$2</f>
        <v>565100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IFERROR(VLOOKUP(B291,input_565100!L:R,7,FALSE),VLOOKUP(tables_565100!C291,input_565100!A:H,8,FALSE))</f>
        <v>230400</v>
      </c>
      <c r="P291" s="46">
        <f t="shared" ca="1" si="13"/>
        <v>1.6842105263152956E-3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input_565100!A$2</f>
        <v>565100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IFERROR(VLOOKUP(B292,input_565100!L:R,7,FALSE),VLOOKUP(tables_565100!C292,input_565100!A:H,8,FALSE))</f>
        <v>852480</v>
      </c>
      <c r="P292" s="46">
        <f t="shared" ca="1" si="13"/>
        <v>6.2315789473665938E-3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input_565100!A$2</f>
        <v>565100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IFERROR(VLOOKUP(B293,input_565100!L:R,7,FALSE),VLOOKUP(tables_565100!C293,input_565100!A:H,8,FALSE))</f>
        <v>230400</v>
      </c>
      <c r="P293" s="46">
        <f t="shared" ca="1" si="13"/>
        <v>1.6842105263152956E-3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input_565100!A$2</f>
        <v>565100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IFERROR(VLOOKUP(B294,input_565100!L:R,7,FALSE),VLOOKUP(tables_565100!C294,input_565100!A:H,8,FALSE))</f>
        <v>57000</v>
      </c>
      <c r="P294" s="46">
        <f t="shared" ca="1" si="13"/>
        <v>4.166666666665445E-4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input_565100!A$2</f>
        <v>565100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IFERROR(VLOOKUP(B295,input_565100!L:R,7,FALSE),VLOOKUP(tables_565100!C295,input_565100!A:H,8,FALSE))</f>
        <v>57000</v>
      </c>
      <c r="P295" s="46">
        <f t="shared" ca="1" si="13"/>
        <v>4.166666666665445E-4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input_565100!A$2</f>
        <v>565100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IFERROR(VLOOKUP(B296,input_565100!L:R,7,FALSE),VLOOKUP(tables_565100!C296,input_565100!A:H,8,FALSE))</f>
        <v>57000</v>
      </c>
      <c r="P296" s="46">
        <f t="shared" ca="1" si="13"/>
        <v>4.166666666665445E-4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input_565100!A$2</f>
        <v>565100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IFERROR(VLOOKUP(B297,input_565100!L:R,7,FALSE),VLOOKUP(tables_565100!C297,input_565100!A:H,8,FALSE))</f>
        <v>852480</v>
      </c>
      <c r="P297" s="46">
        <f t="shared" ca="1" si="13"/>
        <v>6.2315789473665938E-3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input_565100!A$2</f>
        <v>565100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IFERROR(VLOOKUP(B298,input_565100!L:R,7,FALSE),VLOOKUP(tables_565100!C298,input_565100!A:H,8,FALSE))</f>
        <v>230400</v>
      </c>
      <c r="P298" s="46">
        <f t="shared" ca="1" si="13"/>
        <v>1.6842105263152956E-3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input_565100!A$2</f>
        <v>565100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IFERROR(VLOOKUP(B299,input_565100!L:R,7,FALSE),VLOOKUP(tables_565100!C299,input_565100!A:H,8,FALSE))</f>
        <v>57000</v>
      </c>
      <c r="P299" s="46">
        <f t="shared" ca="1" si="13"/>
        <v>4.166666666665445E-4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input_565100!A$2</f>
        <v>565100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IFERROR(VLOOKUP(B300,input_565100!L:R,7,FALSE),VLOOKUP(tables_565100!C300,input_565100!A:H,8,FALSE))</f>
        <v>57000</v>
      </c>
      <c r="P300" s="46">
        <f t="shared" ca="1" si="13"/>
        <v>4.166666666665445E-4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input_565100!A$2</f>
        <v>565100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IFERROR(VLOOKUP(B301,input_565100!L:R,7,FALSE),VLOOKUP(tables_565100!C301,input_565100!A:H,8,FALSE))</f>
        <v>57000</v>
      </c>
      <c r="P301" s="46">
        <f t="shared" ca="1" si="13"/>
        <v>4.166666666665445E-4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input_565100!A$2</f>
        <v>565100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IFERROR(VLOOKUP(B302,input_565100!L:R,7,FALSE),VLOOKUP(tables_565100!C302,input_565100!A:H,8,FALSE))</f>
        <v>57000</v>
      </c>
      <c r="P302" s="46">
        <f t="shared" ca="1" si="13"/>
        <v>4.166666666665445E-4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input_565100!A$2</f>
        <v>565100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IFERROR(VLOOKUP(B303,input_565100!L:R,7,FALSE),VLOOKUP(tables_565100!C303,input_565100!A:H,8,FALSE))</f>
        <v>852480</v>
      </c>
      <c r="P303" s="46">
        <f t="shared" ca="1" si="13"/>
        <v>6.2315789473665938E-3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input_565100!A$2</f>
        <v>565100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IFERROR(VLOOKUP(B304,input_565100!L:R,7,FALSE),VLOOKUP(tables_565100!C304,input_565100!A:H,8,FALSE))</f>
        <v>230400</v>
      </c>
      <c r="P304" s="46">
        <f t="shared" ca="1" si="13"/>
        <v>1.6842105263152956E-3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input_565100!A$2</f>
        <v>565100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IFERROR(VLOOKUP(B305,input_565100!L:R,7,FALSE),VLOOKUP(tables_565100!C305,input_565100!A:H,8,FALSE))</f>
        <v>57000</v>
      </c>
      <c r="P305" s="46">
        <f t="shared" ca="1" si="13"/>
        <v>4.166666666665445E-4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input_565100!A$2</f>
        <v>565100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IFERROR(VLOOKUP(B306,input_565100!L:R,7,FALSE),VLOOKUP(tables_565100!C306,input_565100!A:H,8,FALSE))</f>
        <v>852480</v>
      </c>
      <c r="P306" s="46">
        <f t="shared" ca="1" si="13"/>
        <v>6.2315789473665938E-3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input_565100!A$2</f>
        <v>565100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IFERROR(VLOOKUP(B307,input_565100!L:R,7,FALSE),VLOOKUP(tables_565100!C307,input_565100!A:H,8,FALSE))</f>
        <v>230400</v>
      </c>
      <c r="P307" s="46">
        <f t="shared" ca="1" si="13"/>
        <v>1.6842105263152956E-3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input_565100!A$2</f>
        <v>565100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IFERROR(VLOOKUP(B308,input_565100!L:R,7,FALSE),VLOOKUP(tables_565100!C308,input_565100!A:H,8,FALSE))</f>
        <v>57000</v>
      </c>
      <c r="P308" s="46">
        <f t="shared" ca="1" si="13"/>
        <v>4.166666666665445E-4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input_565100!A$2</f>
        <v>565100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IFERROR(VLOOKUP(B309,input_565100!L:R,7,FALSE),VLOOKUP(tables_565100!C309,input_565100!A:H,8,FALSE))</f>
        <v>57000</v>
      </c>
      <c r="P309" s="46">
        <f t="shared" ca="1" si="13"/>
        <v>4.166666666665445E-4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input_565100!A$2</f>
        <v>565100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IFERROR(VLOOKUP(B310,input_565100!L:R,7,FALSE),VLOOKUP(tables_565100!C310,input_565100!A:H,8,FALSE))</f>
        <v>57000</v>
      </c>
      <c r="P310" s="46">
        <f t="shared" ca="1" si="13"/>
        <v>4.166666666665445E-4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input_565100!A$2</f>
        <v>565100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IFERROR(VLOOKUP(B311,input_565100!L:R,7,FALSE),VLOOKUP(tables_565100!C311,input_565100!A:H,8,FALSE))</f>
        <v>852480</v>
      </c>
      <c r="P311" s="46">
        <f t="shared" ca="1" si="13"/>
        <v>6.2315789473665938E-3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input_565100!A$2</f>
        <v>565100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IFERROR(VLOOKUP(B312,input_565100!L:R,7,FALSE),VLOOKUP(tables_565100!C312,input_565100!A:H,8,FALSE))</f>
        <v>230400</v>
      </c>
      <c r="P312" s="46">
        <f t="shared" ca="1" si="13"/>
        <v>1.6842105263152956E-3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input_565100!A$2</f>
        <v>565100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IFERROR(VLOOKUP(B313,input_565100!L:R,7,FALSE),VLOOKUP(tables_565100!C313,input_565100!A:H,8,FALSE))</f>
        <v>57000</v>
      </c>
      <c r="P313" s="46">
        <f t="shared" ca="1" si="13"/>
        <v>4.166666666665445E-4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input_565100!A$2</f>
        <v>565100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IFERROR(VLOOKUP(B314,input_565100!L:R,7,FALSE),VLOOKUP(tables_565100!C314,input_565100!A:H,8,FALSE))</f>
        <v>57000</v>
      </c>
      <c r="P314" s="46">
        <f t="shared" ca="1" si="13"/>
        <v>4.166666666665445E-4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input_565100!A$2</f>
        <v>565100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IFERROR(VLOOKUP(B315,input_565100!L:R,7,FALSE),VLOOKUP(tables_565100!C315,input_565100!A:H,8,FALSE))</f>
        <v>57000</v>
      </c>
      <c r="P315" s="46">
        <f t="shared" ca="1" si="13"/>
        <v>4.166666666665445E-4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input_565100!A$2</f>
        <v>565100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IFERROR(VLOOKUP(B316,input_565100!L:R,7,FALSE),VLOOKUP(tables_565100!C316,input_565100!A:H,8,FALSE))</f>
        <v>57000</v>
      </c>
      <c r="P316" s="46">
        <f t="shared" ca="1" si="13"/>
        <v>4.166666666665445E-4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input_565100!A$2</f>
        <v>565100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IFERROR(VLOOKUP(B317,input_565100!L:R,7,FALSE),VLOOKUP(tables_565100!C317,input_565100!A:H,8,FALSE))</f>
        <v>57000</v>
      </c>
      <c r="P317" s="46">
        <f t="shared" ca="1" si="13"/>
        <v>4.166666666665445E-4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input_565100!A$2</f>
        <v>565100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IFERROR(VLOOKUP(B318,input_565100!L:R,7,FALSE),VLOOKUP(tables_565100!C318,input_565100!A:H,8,FALSE))</f>
        <v>852480</v>
      </c>
      <c r="P318" s="46">
        <f t="shared" ca="1" si="13"/>
        <v>6.2315789473665938E-3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input_565100!A$2</f>
        <v>565100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IFERROR(VLOOKUP(B319,input_565100!L:R,7,FALSE),VLOOKUP(tables_565100!C319,input_565100!A:H,8,FALSE))</f>
        <v>230400</v>
      </c>
      <c r="P319" s="46">
        <f t="shared" ca="1" si="13"/>
        <v>1.6842105263152956E-3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input_565100!A$2</f>
        <v>565100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IFERROR(VLOOKUP(B320,input_565100!L:R,7,FALSE),VLOOKUP(tables_565100!C320,input_565100!A:H,8,FALSE))</f>
        <v>57000</v>
      </c>
      <c r="P320" s="46">
        <f t="shared" ca="1" si="13"/>
        <v>4.166666666665445E-4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input_565100!A$2</f>
        <v>565100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IFERROR(VLOOKUP(B321,input_565100!L:R,7,FALSE),VLOOKUP(tables_565100!C321,input_565100!A:H,8,FALSE))</f>
        <v>57000</v>
      </c>
      <c r="P321" s="46">
        <f t="shared" ca="1" si="13"/>
        <v>4.166666666665445E-4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input_565100!A$2</f>
        <v>565100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IFERROR(VLOOKUP(B322,input_565100!L:R,7,FALSE),VLOOKUP(tables_565100!C322,input_565100!A:H,8,FALSE))</f>
        <v>57000</v>
      </c>
      <c r="P322" s="46">
        <f t="shared" ref="P322:P385" ca="1" si="26">O322/SUM(O:O)</f>
        <v>4.166666666665445E-4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input_565100!A$2</f>
        <v>565100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IFERROR(VLOOKUP(B323,input_565100!L:R,7,FALSE),VLOOKUP(tables_565100!C323,input_565100!A:H,8,FALSE))</f>
        <v>57000</v>
      </c>
      <c r="P323" s="46">
        <f t="shared" ca="1" si="26"/>
        <v>4.166666666665445E-4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input_565100!A$2</f>
        <v>565100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IFERROR(VLOOKUP(B324,input_565100!L:R,7,FALSE),VLOOKUP(tables_565100!C324,input_565100!A:H,8,FALSE))</f>
        <v>852480</v>
      </c>
      <c r="P324" s="46">
        <f t="shared" ca="1" si="26"/>
        <v>6.2315789473665938E-3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input_565100!A$2</f>
        <v>565100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IFERROR(VLOOKUP(B325,input_565100!L:R,7,FALSE),VLOOKUP(tables_565100!C325,input_565100!A:H,8,FALSE))</f>
        <v>230400</v>
      </c>
      <c r="P325" s="46">
        <f t="shared" ca="1" si="26"/>
        <v>1.6842105263152956E-3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input_565100!A$2</f>
        <v>565100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IFERROR(VLOOKUP(B326,input_565100!L:R,7,FALSE),VLOOKUP(tables_565100!C326,input_565100!A:H,8,FALSE))</f>
        <v>852480</v>
      </c>
      <c r="P326" s="46">
        <f t="shared" ca="1" si="26"/>
        <v>6.2315789473665938E-3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input_565100!A$2</f>
        <v>565100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IFERROR(VLOOKUP(B327,input_565100!L:R,7,FALSE),VLOOKUP(tables_565100!C327,input_565100!A:H,8,FALSE))</f>
        <v>230400</v>
      </c>
      <c r="P327" s="46">
        <f t="shared" ca="1" si="26"/>
        <v>1.6842105263152956E-3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input_565100!A$2</f>
        <v>565100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IFERROR(VLOOKUP(B328,input_565100!L:R,7,FALSE),VLOOKUP(tables_565100!C328,input_565100!A:H,8,FALSE))</f>
        <v>57000</v>
      </c>
      <c r="P328" s="46">
        <f t="shared" ca="1" si="26"/>
        <v>4.166666666665445E-4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input_565100!A$2</f>
        <v>565100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IFERROR(VLOOKUP(B329,input_565100!L:R,7,FALSE),VLOOKUP(tables_565100!C329,input_565100!A:H,8,FALSE))</f>
        <v>57000</v>
      </c>
      <c r="P329" s="46">
        <f t="shared" ca="1" si="26"/>
        <v>4.166666666665445E-4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input_565100!A$2</f>
        <v>565100</v>
      </c>
      <c r="B330" s="2">
        <v>1157</v>
      </c>
      <c r="C330" s="7" t="str">
        <f t="shared" si="28"/>
        <v>PremiumSS5R5only</v>
      </c>
      <c r="D330" s="98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IFERROR(VLOOKUP(B330,input_565100!L:R,7,FALSE),VLOOKUP(tables_565100!C330,input_565100!A:H,8,FALSE))</f>
        <v>57000</v>
      </c>
      <c r="P330" s="46">
        <f t="shared" ca="1" si="26"/>
        <v>4.166666666665445E-4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input_565100!A$2</f>
        <v>565100</v>
      </c>
      <c r="B331" s="60">
        <v>1214</v>
      </c>
      <c r="C331" s="7" t="str">
        <f t="shared" ref="C331:C335" si="29">D331&amp;J331&amp;E331&amp;F331&amp;G331</f>
        <v>PremiumSS5R5only</v>
      </c>
      <c r="D331" s="98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IFERROR(VLOOKUP(B331,input_565100!L:R,7,FALSE),VLOOKUP(tables_565100!C331,input_565100!A:H,8,FALSE))</f>
        <v>57000</v>
      </c>
      <c r="P331" s="46">
        <f t="shared" ca="1" si="26"/>
        <v>4.166666666665445E-4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input_565100!A$2</f>
        <v>565100</v>
      </c>
      <c r="B332" s="60">
        <v>1212</v>
      </c>
      <c r="C332" s="7" t="str">
        <f t="shared" si="29"/>
        <v>PremiumSS5R5only</v>
      </c>
      <c r="D332" s="98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IFERROR(VLOOKUP(B332,input_565100!L:R,7,FALSE),VLOOKUP(tables_565100!C332,input_565100!A:H,8,FALSE))</f>
        <v>57000</v>
      </c>
      <c r="P332" s="46">
        <f t="shared" ca="1" si="26"/>
        <v>4.166666666665445E-4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input_565100!A$2</f>
        <v>565100</v>
      </c>
      <c r="B333" s="60">
        <v>1208</v>
      </c>
      <c r="C333" s="7" t="str">
        <f t="shared" si="29"/>
        <v>PremiumSS5R5only</v>
      </c>
      <c r="D333" s="98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IFERROR(VLOOKUP(B333,input_565100!L:R,7,FALSE),VLOOKUP(tables_565100!C333,input_565100!A:H,8,FALSE))</f>
        <v>57000</v>
      </c>
      <c r="P333" s="46">
        <f t="shared" ca="1" si="26"/>
        <v>4.166666666665445E-4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input_565100!A$2</f>
        <v>565100</v>
      </c>
      <c r="B334" s="93">
        <v>1210</v>
      </c>
      <c r="C334" s="7" t="str">
        <f t="shared" si="29"/>
        <v>Premium4R3less</v>
      </c>
      <c r="D334" s="98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IFERROR(VLOOKUP(B334,input_565100!L:R,7,FALSE),VLOOKUP(tables_565100!C334,input_565100!A:H,8,FALSE))</f>
        <v>852480</v>
      </c>
      <c r="P334" s="46">
        <f t="shared" ca="1" si="26"/>
        <v>6.2315789473665938E-3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input_565100!A$2</f>
        <v>565100</v>
      </c>
      <c r="B335" s="60">
        <v>1211</v>
      </c>
      <c r="C335" s="7" t="str">
        <f t="shared" si="29"/>
        <v>Premium5R3less</v>
      </c>
      <c r="D335" s="98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IFERROR(VLOOKUP(B335,input_565100!L:R,7,FALSE),VLOOKUP(tables_565100!C335,input_565100!A:H,8,FALSE))</f>
        <v>230400</v>
      </c>
      <c r="P335" s="46">
        <f t="shared" ca="1" si="26"/>
        <v>1.6842105263152956E-3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input_565100!A$2</f>
        <v>565100</v>
      </c>
      <c r="B336" s="60">
        <v>1228</v>
      </c>
      <c r="C336" s="7" t="str">
        <f t="shared" ref="C336:C340" si="31">D336&amp;J336&amp;E336&amp;F336&amp;G336</f>
        <v>PremiumSS5R5only</v>
      </c>
      <c r="D336" s="98" t="str">
        <f t="shared" ref="D336:D340" si="32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IFERROR(VLOOKUP(B336,input_565100!L:R,7,FALSE),VLOOKUP(tables_565100!C336,input_565100!A:H,8,FALSE))</f>
        <v>57000</v>
      </c>
      <c r="P336" s="46">
        <f t="shared" ca="1" si="26"/>
        <v>4.166666666665445E-4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input_565100!A$2</f>
        <v>565100</v>
      </c>
      <c r="B337" s="60">
        <v>1226</v>
      </c>
      <c r="C337" s="7" t="str">
        <f t="shared" si="31"/>
        <v>PremiumSS5R5only</v>
      </c>
      <c r="D337" s="98" t="str">
        <f t="shared" si="32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IFERROR(VLOOKUP(B337,input_565100!L:R,7,FALSE),VLOOKUP(tables_565100!C337,input_565100!A:H,8,FALSE))</f>
        <v>57000</v>
      </c>
      <c r="P337" s="46">
        <f t="shared" ca="1" si="26"/>
        <v>4.166666666665445E-4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input_565100!A$2</f>
        <v>565100</v>
      </c>
      <c r="B338" s="60">
        <v>1230</v>
      </c>
      <c r="C338" s="7" t="str">
        <f t="shared" si="31"/>
        <v>PremiumSS5R5only</v>
      </c>
      <c r="D338" s="98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IFERROR(VLOOKUP(B338,input_565100!L:R,7,FALSE),VLOOKUP(tables_565100!C338,input_565100!A:H,8,FALSE))</f>
        <v>57000</v>
      </c>
      <c r="P338" s="46">
        <f t="shared" ca="1" si="26"/>
        <v>4.166666666665445E-4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input_565100!A$2</f>
        <v>565100</v>
      </c>
      <c r="B339" s="93">
        <v>1224</v>
      </c>
      <c r="C339" s="7" t="str">
        <f t="shared" si="31"/>
        <v>Premium4R3less</v>
      </c>
      <c r="D339" s="98" t="str">
        <f t="shared" si="32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IFERROR(VLOOKUP(B339,input_565100!L:R,7,FALSE),VLOOKUP(tables_565100!C339,input_565100!A:H,8,FALSE))</f>
        <v>852480</v>
      </c>
      <c r="P339" s="46">
        <f t="shared" ca="1" si="26"/>
        <v>6.2315789473665938E-3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input_565100!A$2</f>
        <v>565100</v>
      </c>
      <c r="B340" s="60">
        <v>1225</v>
      </c>
      <c r="C340" s="7" t="str">
        <f t="shared" si="31"/>
        <v>Premium5R3less</v>
      </c>
      <c r="D340" s="98" t="str">
        <f t="shared" si="32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IFERROR(VLOOKUP(B340,input_565100!L:R,7,FALSE),VLOOKUP(tables_565100!C340,input_565100!A:H,8,FALSE))</f>
        <v>230400</v>
      </c>
      <c r="P340" s="46">
        <f t="shared" ca="1" si="26"/>
        <v>1.6842105263152956E-3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input_565100!A$2</f>
        <v>565100</v>
      </c>
      <c r="B341" s="1">
        <v>1250</v>
      </c>
      <c r="C341" s="7" t="str">
        <f t="shared" ref="C341:C345" si="33">D341&amp;J341&amp;E341&amp;F341&amp;G341</f>
        <v>PremiumSS5R5only</v>
      </c>
      <c r="D341" s="98" t="str">
        <f t="shared" ref="D341:D345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IFERROR(VLOOKUP(B341,input_565100!L:R,7,FALSE),VLOOKUP(tables_565100!C341,input_565100!A:H,8,FALSE))</f>
        <v>57000</v>
      </c>
      <c r="P341" s="46">
        <f t="shared" ca="1" si="26"/>
        <v>4.166666666665445E-4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input_565100!A$2</f>
        <v>565100</v>
      </c>
      <c r="B342" s="1">
        <v>1244</v>
      </c>
      <c r="C342" s="7" t="str">
        <f t="shared" si="33"/>
        <v>PremiumSS5R5only</v>
      </c>
      <c r="D342" s="98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IFERROR(VLOOKUP(B342,input_565100!L:R,7,FALSE),VLOOKUP(tables_565100!C342,input_565100!A:H,8,FALSE))</f>
        <v>57000</v>
      </c>
      <c r="P342" s="46">
        <f t="shared" ca="1" si="26"/>
        <v>4.166666666665445E-4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input_565100!A$2</f>
        <v>565100</v>
      </c>
      <c r="B343" s="1">
        <v>1246</v>
      </c>
      <c r="C343" s="7" t="str">
        <f t="shared" si="33"/>
        <v>PremiumSS5R5only</v>
      </c>
      <c r="D343" s="98" t="str">
        <f t="shared" si="34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IFERROR(VLOOKUP(B343,input_565100!L:R,7,FALSE),VLOOKUP(tables_565100!C343,input_565100!A:H,8,FALSE))</f>
        <v>57000</v>
      </c>
      <c r="P343" s="46">
        <f t="shared" ca="1" si="26"/>
        <v>4.166666666665445E-4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input_565100!A$2</f>
        <v>565100</v>
      </c>
      <c r="B344" s="1">
        <v>1248</v>
      </c>
      <c r="C344" s="7" t="str">
        <f t="shared" si="33"/>
        <v>Premium4R3less</v>
      </c>
      <c r="D344" s="98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IFERROR(VLOOKUP(B344,input_565100!L:R,7,FALSE),VLOOKUP(tables_565100!C344,input_565100!A:H,8,FALSE))</f>
        <v>852480</v>
      </c>
      <c r="P344" s="46">
        <f t="shared" ca="1" si="26"/>
        <v>6.2315789473665938E-3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input_565100!A$2</f>
        <v>565100</v>
      </c>
      <c r="B345" s="1">
        <v>1249</v>
      </c>
      <c r="C345" s="7" t="str">
        <f t="shared" si="33"/>
        <v>Premium5R3less</v>
      </c>
      <c r="D345" s="98" t="str">
        <f t="shared" si="34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IFERROR(VLOOKUP(B345,input_565100!L:R,7,FALSE),VLOOKUP(tables_565100!C345,input_565100!A:H,8,FALSE))</f>
        <v>230400</v>
      </c>
      <c r="P345" s="46">
        <f t="shared" ca="1" si="26"/>
        <v>1.6842105263152956E-3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input_565100!A$2</f>
        <v>565100</v>
      </c>
      <c r="B346" s="1">
        <v>1260</v>
      </c>
      <c r="C346" s="7" t="str">
        <f t="shared" ref="C346:C350" si="35">D346&amp;J346&amp;E346&amp;F346&amp;G346</f>
        <v>PremiumSS5R5only</v>
      </c>
      <c r="D346" s="98" t="str">
        <f t="shared" ref="D346:D350" si="3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IFERROR(VLOOKUP(B346,input_565100!L:R,7,FALSE),VLOOKUP(tables_565100!C346,input_565100!A:H,8,FALSE))</f>
        <v>57000</v>
      </c>
      <c r="P346" s="46">
        <f t="shared" ca="1" si="26"/>
        <v>4.166666666665445E-4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input_565100!A$2</f>
        <v>565100</v>
      </c>
      <c r="B347" s="1">
        <v>1262</v>
      </c>
      <c r="C347" s="7" t="str">
        <f t="shared" si="35"/>
        <v>PremiumSS5R5only</v>
      </c>
      <c r="D347" s="98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IFERROR(VLOOKUP(B347,input_565100!L:R,7,FALSE),VLOOKUP(tables_565100!C347,input_565100!A:H,8,FALSE))</f>
        <v>57000</v>
      </c>
      <c r="P347" s="46">
        <f t="shared" ca="1" si="26"/>
        <v>4.166666666665445E-4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input_565100!A$2</f>
        <v>565100</v>
      </c>
      <c r="B348" s="1">
        <v>1264</v>
      </c>
      <c r="C348" s="7" t="str">
        <f t="shared" si="35"/>
        <v>PremiumSS5R5only</v>
      </c>
      <c r="D348" s="98" t="str">
        <f t="shared" si="3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IFERROR(VLOOKUP(B348,input_565100!L:R,7,FALSE),VLOOKUP(tables_565100!C348,input_565100!A:H,8,FALSE))</f>
        <v>57000</v>
      </c>
      <c r="P348" s="46">
        <f t="shared" ca="1" si="26"/>
        <v>4.166666666665445E-4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input_565100!A$2</f>
        <v>565100</v>
      </c>
      <c r="B349" s="1">
        <v>1266</v>
      </c>
      <c r="C349" s="7" t="str">
        <f t="shared" si="35"/>
        <v>Premium4R3less</v>
      </c>
      <c r="D349" s="98" t="str">
        <f t="shared" si="3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IFERROR(VLOOKUP(B349,input_565100!L:R,7,FALSE),VLOOKUP(tables_565100!C349,input_565100!A:H,8,FALSE))</f>
        <v>852480</v>
      </c>
      <c r="P349" s="46">
        <f t="shared" ca="1" si="26"/>
        <v>6.2315789473665938E-3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input_565100!A$2</f>
        <v>565100</v>
      </c>
      <c r="B350" s="1">
        <v>1267</v>
      </c>
      <c r="C350" s="7" t="str">
        <f t="shared" si="35"/>
        <v>Premium5R3less</v>
      </c>
      <c r="D350" s="98" t="str">
        <f t="shared" si="3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IFERROR(VLOOKUP(B350,input_565100!L:R,7,FALSE),VLOOKUP(tables_565100!C350,input_565100!A:H,8,FALSE))</f>
        <v>230400</v>
      </c>
      <c r="P350" s="46">
        <f t="shared" ca="1" si="26"/>
        <v>1.6842105263152956E-3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input_565100!A$2</f>
        <v>565100</v>
      </c>
      <c r="B351" s="1">
        <v>1332</v>
      </c>
      <c r="C351" s="7" t="str">
        <f t="shared" ref="C351:C355" si="37">D351&amp;J351&amp;E351&amp;F351&amp;G351</f>
        <v>PremiumSS5R5only</v>
      </c>
      <c r="D351" s="98" t="str">
        <f t="shared" ref="D351:D355" si="38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IFERROR(VLOOKUP(B351,input_565100!L:R,7,FALSE),VLOOKUP(tables_565100!C351,input_565100!A:H,8,FALSE))</f>
        <v>57000</v>
      </c>
      <c r="P351" s="46">
        <f t="shared" ca="1" si="26"/>
        <v>4.166666666665445E-4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input_565100!A$2</f>
        <v>565100</v>
      </c>
      <c r="B352" s="1">
        <v>1336</v>
      </c>
      <c r="C352" s="7" t="str">
        <f t="shared" si="37"/>
        <v>PremiumSS5R5only</v>
      </c>
      <c r="D352" s="98" t="str">
        <f t="shared" si="3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IFERROR(VLOOKUP(B352,input_565100!L:R,7,FALSE),VLOOKUP(tables_565100!C352,input_565100!A:H,8,FALSE))</f>
        <v>57000</v>
      </c>
      <c r="P352" s="46">
        <f t="shared" ca="1" si="26"/>
        <v>4.166666666665445E-4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input_565100!A$2</f>
        <v>565100</v>
      </c>
      <c r="B353" s="1">
        <v>1338</v>
      </c>
      <c r="C353" s="7" t="str">
        <f t="shared" si="37"/>
        <v>PremiumSS5R5only</v>
      </c>
      <c r="D353" s="98" t="str">
        <f t="shared" si="38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IFERROR(VLOOKUP(B353,input_565100!L:R,7,FALSE),VLOOKUP(tables_565100!C353,input_565100!A:H,8,FALSE))</f>
        <v>57000</v>
      </c>
      <c r="P353" s="46">
        <f t="shared" ca="1" si="26"/>
        <v>4.166666666665445E-4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input_565100!A$2</f>
        <v>565100</v>
      </c>
      <c r="B354" s="1">
        <v>1334</v>
      </c>
      <c r="C354" s="7" t="str">
        <f t="shared" si="37"/>
        <v>Premium4R3less</v>
      </c>
      <c r="D354" s="98" t="str">
        <f t="shared" si="38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IFERROR(VLOOKUP(B354,input_565100!L:R,7,FALSE),VLOOKUP(tables_565100!C354,input_565100!A:H,8,FALSE))</f>
        <v>852480</v>
      </c>
      <c r="P354" s="46">
        <f t="shared" ca="1" si="26"/>
        <v>6.2315789473665938E-3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input_565100!A$2</f>
        <v>565100</v>
      </c>
      <c r="B355" s="1">
        <v>1335</v>
      </c>
      <c r="C355" s="7" t="str">
        <f t="shared" si="37"/>
        <v>Premium5R3less</v>
      </c>
      <c r="D355" s="98" t="str">
        <f t="shared" si="3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IFERROR(VLOOKUP(B355,input_565100!L:R,7,FALSE),VLOOKUP(tables_565100!C355,input_565100!A:H,8,FALSE))</f>
        <v>230400</v>
      </c>
      <c r="P355" s="46">
        <f t="shared" ca="1" si="26"/>
        <v>1.6842105263152956E-3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5" t="str">
        <f ca="1">input_565100!A$2</f>
        <v>565100</v>
      </c>
      <c r="B356" s="103">
        <v>1385</v>
      </c>
      <c r="C356" s="5" t="str">
        <f t="shared" ref="C356:C360" si="39">D356&amp;J356&amp;E356&amp;F356&amp;G356</f>
        <v>PremiumSS5R5only</v>
      </c>
      <c r="D356" s="104" t="str">
        <f t="shared" ref="D356:D360" si="40">IF(OR(I356="PremiumSS",I356="PremiumSSw"),"PremiumSS",IF(I356="PremiumSSS",I356,IF(I356="PremiumW",IF(J356=5,"premium",I356),"Premium")))</f>
        <v>PremiumSS</v>
      </c>
      <c r="E356" s="5" t="str">
        <f>IF(COUNTIF('R6追加前'!A:A,B356)=0,IF(OR(I356="PremiumSS",I356="PremiumSSw"),"R5only","R3less"),"")</f>
        <v>R5only</v>
      </c>
      <c r="F356" s="5" t="str">
        <f>IF(COUNTIF('R6開放'!A:A,B356)&gt;0,"R6release","")</f>
        <v/>
      </c>
      <c r="G356" s="5"/>
      <c r="H356" s="5" t="str">
        <f>VLOOKUP(B356,[1]characters!$A:$C,3,FALSE)</f>
        <v>いばら姫</v>
      </c>
      <c r="I356" s="5" t="str">
        <f>VLOOKUP(B356,[1]characters!$A:$J,10,FALSE)</f>
        <v>PremiumSSw</v>
      </c>
      <c r="J356" s="5">
        <f>VLOOKUP(B356,[1]characters!$A:$I,9,FALSE)</f>
        <v>5</v>
      </c>
      <c r="K356" s="5" t="str">
        <f>VLOOKUP(B356,[1]characters!$A:$H,8,FALSE)</f>
        <v>blue</v>
      </c>
      <c r="L356" s="5" t="str">
        <f>VLOOKUP(B356,[1]characters!$A:$K,11,FALSE)</f>
        <v>attack</v>
      </c>
      <c r="M356" s="5" t="str">
        <f>VLOOKUP(B356,[1]characters!$A:$M,13,FALSE)</f>
        <v>fantasy</v>
      </c>
      <c r="N356" s="5">
        <f>VLOOKUP(B356,[1]characters!$A:$G,7,FALSE)</f>
        <v>0</v>
      </c>
      <c r="O356" s="105">
        <f>IFERROR(VLOOKUP(B356,input_565100!L:R,7,FALSE),VLOOKUP(tables_565100!C356,input_565100!A:H,8,FALSE))</f>
        <v>1368000</v>
      </c>
      <c r="P356" s="106">
        <f t="shared" ca="1" si="26"/>
        <v>9.9999999999970685E-3</v>
      </c>
      <c r="Q356" s="107">
        <v>1</v>
      </c>
      <c r="R356" s="107">
        <v>0</v>
      </c>
      <c r="S356" s="107">
        <v>0</v>
      </c>
      <c r="T356" s="107">
        <v>0</v>
      </c>
      <c r="U356" s="107">
        <v>0</v>
      </c>
      <c r="V356" s="107">
        <v>20</v>
      </c>
    </row>
    <row r="357" spans="1:22" ht="21" customHeight="1" x14ac:dyDescent="0.15">
      <c r="A357" s="5" t="str">
        <f ca="1">input_565100!A$2</f>
        <v>565100</v>
      </c>
      <c r="B357" s="103">
        <v>1387</v>
      </c>
      <c r="C357" s="5" t="str">
        <f t="shared" si="39"/>
        <v>PremiumSS5R5only</v>
      </c>
      <c r="D357" s="104" t="str">
        <f t="shared" si="40"/>
        <v>PremiumSS</v>
      </c>
      <c r="E357" s="5" t="str">
        <f>IF(COUNTIF('R6追加前'!A:A,B357)=0,IF(OR(I357="PremiumSS",I357="PremiumSSw"),"R5only","R3less"),"")</f>
        <v>R5only</v>
      </c>
      <c r="F357" s="5" t="str">
        <f>IF(COUNTIF('R6開放'!A:A,B357)&gt;0,"R6release","")</f>
        <v/>
      </c>
      <c r="G357" s="5"/>
      <c r="H357" s="5" t="str">
        <f>VLOOKUP(B357,[1]characters!$A:$C,3,FALSE)</f>
        <v>ダルタニャン</v>
      </c>
      <c r="I357" s="5" t="str">
        <f>VLOOKUP(B357,[1]characters!$A:$J,10,FALSE)</f>
        <v>PremiumSS</v>
      </c>
      <c r="J357" s="5">
        <f>VLOOKUP(B357,[1]characters!$A:$I,9,FALSE)</f>
        <v>5</v>
      </c>
      <c r="K357" s="5" t="str">
        <f>VLOOKUP(B357,[1]characters!$A:$H,8,FALSE)</f>
        <v>yellow</v>
      </c>
      <c r="L357" s="5" t="str">
        <f>VLOOKUP(B357,[1]characters!$A:$K,11,FALSE)</f>
        <v>attack</v>
      </c>
      <c r="M357" s="5" t="str">
        <f>VLOOKUP(B357,[1]characters!$A:$M,13,FALSE)</f>
        <v>hero</v>
      </c>
      <c r="N357" s="5">
        <f>VLOOKUP(B357,[1]characters!$A:$G,7,FALSE)</f>
        <v>0</v>
      </c>
      <c r="O357" s="105">
        <f>IFERROR(VLOOKUP(B357,input_565100!L:R,7,FALSE),VLOOKUP(tables_565100!C357,input_565100!A:H,8,FALSE))</f>
        <v>4104000</v>
      </c>
      <c r="P357" s="106">
        <f t="shared" ca="1" si="26"/>
        <v>2.9999999999991204E-2</v>
      </c>
      <c r="Q357" s="107">
        <v>1</v>
      </c>
      <c r="R357" s="107">
        <v>0</v>
      </c>
      <c r="S357" s="107">
        <v>0</v>
      </c>
      <c r="T357" s="107">
        <v>0</v>
      </c>
      <c r="U357" s="107">
        <v>0</v>
      </c>
      <c r="V357" s="107">
        <v>5</v>
      </c>
    </row>
    <row r="358" spans="1:22" ht="21" customHeight="1" x14ac:dyDescent="0.15">
      <c r="A358" s="5" t="str">
        <f ca="1">input_565100!A$2</f>
        <v>565100</v>
      </c>
      <c r="B358" s="103">
        <v>1383</v>
      </c>
      <c r="C358" s="5" t="str">
        <f t="shared" si="39"/>
        <v>PremiumSS5R5only</v>
      </c>
      <c r="D358" s="104" t="str">
        <f t="shared" si="40"/>
        <v>PremiumSS</v>
      </c>
      <c r="E358" s="5" t="str">
        <f>IF(COUNTIF('R6追加前'!A:A,B358)=0,IF(OR(I358="PremiumSS",I358="PremiumSSw"),"R5only","R3less"),"")</f>
        <v>R5only</v>
      </c>
      <c r="F358" s="5" t="str">
        <f>IF(COUNTIF('R6開放'!A:A,B358)&gt;0,"R6release","")</f>
        <v/>
      </c>
      <c r="G358" s="5"/>
      <c r="H358" s="5" t="str">
        <f>VLOOKUP(B358,[1]characters!$A:$C,3,FALSE)</f>
        <v>シンドバッド</v>
      </c>
      <c r="I358" s="5" t="str">
        <f>VLOOKUP(B358,[1]characters!$A:$J,10,FALSE)</f>
        <v>PremiumSS</v>
      </c>
      <c r="J358" s="5">
        <f>VLOOKUP(B358,[1]characters!$A:$I,9,FALSE)</f>
        <v>5</v>
      </c>
      <c r="K358" s="5" t="str">
        <f>VLOOKUP(B358,[1]characters!$A:$H,8,FALSE)</f>
        <v>green</v>
      </c>
      <c r="L358" s="5" t="str">
        <f>VLOOKUP(B358,[1]characters!$A:$K,11,FALSE)</f>
        <v>technical</v>
      </c>
      <c r="M358" s="5" t="str">
        <f>VLOOKUP(B358,[1]characters!$A:$M,13,FALSE)</f>
        <v>hero</v>
      </c>
      <c r="N358" s="5">
        <f>VLOOKUP(B358,[1]characters!$A:$G,7,FALSE)</f>
        <v>0</v>
      </c>
      <c r="O358" s="105">
        <f>IFERROR(VLOOKUP(B358,input_565100!L:R,7,FALSE),VLOOKUP(tables_565100!C358,input_565100!A:H,8,FALSE))</f>
        <v>4104000</v>
      </c>
      <c r="P358" s="106">
        <f t="shared" ca="1" si="26"/>
        <v>2.9999999999991204E-2</v>
      </c>
      <c r="Q358" s="107">
        <v>1</v>
      </c>
      <c r="R358" s="107">
        <v>0</v>
      </c>
      <c r="S358" s="107">
        <v>0</v>
      </c>
      <c r="T358" s="107">
        <v>0</v>
      </c>
      <c r="U358" s="107">
        <v>0</v>
      </c>
      <c r="V358" s="107">
        <v>5</v>
      </c>
    </row>
    <row r="359" spans="1:22" ht="21" customHeight="1" x14ac:dyDescent="0.15">
      <c r="A359" s="5" t="str">
        <f ca="1">input_565100!A$2</f>
        <v>565100</v>
      </c>
      <c r="B359" s="103">
        <v>1381</v>
      </c>
      <c r="C359" s="5" t="str">
        <f t="shared" si="39"/>
        <v>Premium4R3less</v>
      </c>
      <c r="D359" s="104" t="str">
        <f t="shared" si="40"/>
        <v>Premium</v>
      </c>
      <c r="E359" s="5" t="str">
        <f>IF(COUNTIF('R6追加前'!A:A,B359)=0,IF(OR(I359="PremiumSS",I359="PremiumSSw"),"R5only","R3less"),"")</f>
        <v>R3less</v>
      </c>
      <c r="F359" s="5" t="str">
        <f>IF(COUNTIF('R6開放'!A:A,B359)&gt;0,"R6release","")</f>
        <v/>
      </c>
      <c r="G359" s="5"/>
      <c r="H359" s="5" t="str">
        <f>VLOOKUP(B359,[1]characters!$A:$C,3,FALSE)</f>
        <v>ガリバー</v>
      </c>
      <c r="I359" s="5" t="str">
        <f>VLOOKUP(B359,[1]characters!$A:$J,10,FALSE)</f>
        <v>PremiumS</v>
      </c>
      <c r="J359" s="5">
        <f>VLOOKUP(B359,[1]characters!$A:$I,9,FALSE)</f>
        <v>4</v>
      </c>
      <c r="K359" s="5" t="str">
        <f>VLOOKUP(B359,[1]characters!$A:$H,8,FALSE)</f>
        <v>red</v>
      </c>
      <c r="L359" s="5" t="str">
        <f>VLOOKUP(B359,[1]characters!$A:$K,11,FALSE)</f>
        <v>hp</v>
      </c>
      <c r="M359" s="5" t="str">
        <f>VLOOKUP(B359,[1]characters!$A:$M,13,FALSE)</f>
        <v>human</v>
      </c>
      <c r="N359" s="5">
        <f>VLOOKUP(B359,[1]characters!$A:$G,7,FALSE)</f>
        <v>0</v>
      </c>
      <c r="O359" s="105">
        <f>IFERROR(VLOOKUP(B359,input_565100!L:R,7,FALSE),VLOOKUP(tables_565100!C359,input_565100!A:H,8,FALSE))</f>
        <v>6840000</v>
      </c>
      <c r="P359" s="106">
        <f t="shared" ca="1" si="26"/>
        <v>4.9999999999985341E-2</v>
      </c>
      <c r="Q359" s="107">
        <v>1</v>
      </c>
      <c r="R359" s="107">
        <v>0</v>
      </c>
      <c r="S359" s="107">
        <v>0</v>
      </c>
      <c r="T359" s="107">
        <v>0</v>
      </c>
      <c r="U359" s="107">
        <v>0</v>
      </c>
      <c r="V359" s="107">
        <v>3</v>
      </c>
    </row>
    <row r="360" spans="1:22" ht="21" customHeight="1" x14ac:dyDescent="0.15">
      <c r="A360" s="5" t="str">
        <f ca="1">input_565100!A$2</f>
        <v>565100</v>
      </c>
      <c r="B360" s="103">
        <v>1382</v>
      </c>
      <c r="C360" s="5" t="str">
        <f t="shared" si="39"/>
        <v>Premium5R3less</v>
      </c>
      <c r="D360" s="104" t="str">
        <f t="shared" si="40"/>
        <v>Premium</v>
      </c>
      <c r="E360" s="5" t="str">
        <f>IF(COUNTIF('R6追加前'!A:A,B360)=0,IF(OR(I360="PremiumSS",I360="PremiumSSw"),"R5only","R3less"),"")</f>
        <v>R3less</v>
      </c>
      <c r="F360" s="5" t="str">
        <f>IF(COUNTIF('R6開放'!A:A,B360)&gt;0,"R6release","")</f>
        <v/>
      </c>
      <c r="G360" s="5"/>
      <c r="H360" s="5" t="str">
        <f>VLOOKUP(B360,[1]characters!$A:$C,3,FALSE)</f>
        <v>賢巨なる渡来者 ガリバー</v>
      </c>
      <c r="I360" s="5" t="str">
        <f>VLOOKUP(B360,[1]characters!$A:$J,10,FALSE)</f>
        <v>PremiumS</v>
      </c>
      <c r="J360" s="5">
        <f>VLOOKUP(B360,[1]characters!$A:$I,9,FALSE)</f>
        <v>5</v>
      </c>
      <c r="K360" s="5" t="str">
        <f>VLOOKUP(B360,[1]characters!$A:$H,8,FALSE)</f>
        <v>red</v>
      </c>
      <c r="L360" s="5" t="str">
        <f>VLOOKUP(B360,[1]characters!$A:$K,11,FALSE)</f>
        <v>hp</v>
      </c>
      <c r="M360" s="5" t="str">
        <f>VLOOKUP(B360,[1]characters!$A:$M,13,FALSE)</f>
        <v>human</v>
      </c>
      <c r="N360" s="5">
        <f>VLOOKUP(B360,[1]characters!$A:$G,7,FALSE)</f>
        <v>0</v>
      </c>
      <c r="O360" s="105">
        <f>IFERROR(VLOOKUP(B360,input_565100!L:R,7,FALSE),VLOOKUP(tables_565100!C360,input_565100!A:H,8,FALSE))</f>
        <v>6840000</v>
      </c>
      <c r="P360" s="106">
        <f t="shared" ca="1" si="26"/>
        <v>4.9999999999985341E-2</v>
      </c>
      <c r="Q360" s="107">
        <v>1</v>
      </c>
      <c r="R360" s="107">
        <v>0</v>
      </c>
      <c r="S360" s="107">
        <v>0</v>
      </c>
      <c r="T360" s="107">
        <v>0</v>
      </c>
      <c r="U360" s="107">
        <v>0</v>
      </c>
      <c r="V360" s="107">
        <v>3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35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 activeCell="E9" sqref="E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565105</v>
      </c>
      <c r="B2" s="103">
        <v>1385</v>
      </c>
      <c r="C2" s="7" t="str">
        <f t="shared" ref="C2:C3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いばら姫</v>
      </c>
      <c r="I2" s="7" t="str">
        <f>VLOOKUP(B2,[1]characters!$A:$J,10,FALSE)</f>
        <v>PremiumSSw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fantasy</v>
      </c>
      <c r="N2" s="7">
        <f>VLOOKUP(B2,[1]characters!$A:$G,7,FALSE)</f>
        <v>0</v>
      </c>
      <c r="O2" s="45">
        <v>30</v>
      </c>
      <c r="P2" s="46">
        <f t="shared" ref="P2:P3" si="1">O2/SUM(O:O)</f>
        <v>0.3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20</v>
      </c>
    </row>
    <row r="3" spans="1:22" ht="21" customHeight="1" x14ac:dyDescent="0.15">
      <c r="A3" s="2">
        <v>565105</v>
      </c>
      <c r="B3" s="103">
        <v>1387</v>
      </c>
      <c r="C3" s="7" t="str">
        <f t="shared" si="0"/>
        <v>PremiumSS5R5only</v>
      </c>
      <c r="D3" s="7" t="str">
        <f t="shared" ref="D3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ダルタニャン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attack</v>
      </c>
      <c r="M3" s="7" t="str">
        <f>VLOOKUP(B3,[1]characters!$A:$M,13,FALSE)</f>
        <v>hero</v>
      </c>
      <c r="N3" s="7">
        <f>VLOOKUP(B3,[1]characters!$A:$G,7,FALSE)</f>
        <v>0</v>
      </c>
      <c r="O3" s="45">
        <v>35</v>
      </c>
      <c r="P3" s="46">
        <f t="shared" si="1"/>
        <v>0.35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5</v>
      </c>
    </row>
    <row r="4" spans="1:22" ht="21" customHeight="1" x14ac:dyDescent="0.15">
      <c r="A4" s="2">
        <v>565105</v>
      </c>
      <c r="B4" s="103">
        <v>1383</v>
      </c>
      <c r="C4" s="7" t="str">
        <f t="shared" ref="C4" si="3">D4&amp;J4&amp;E4&amp;F4&amp;G4</f>
        <v>PremiumSS5R5only</v>
      </c>
      <c r="D4" s="7" t="str">
        <f t="shared" ref="D4" si="4">IF(OR(I4="PremiumSS",I4="PremiumSSw"),"PremiumSS",IF(I4="PremiumSSS",I4,IF(I4="PremiumW",I4,"Premium")))</f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シンドバッド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technical</v>
      </c>
      <c r="M4" s="7" t="str">
        <f>VLOOKUP(B4,[1]characters!$A:$M,13,FALSE)</f>
        <v>hero</v>
      </c>
      <c r="N4" s="7">
        <f>VLOOKUP(B4,[1]characters!$A:$G,7,FALSE)</f>
        <v>0</v>
      </c>
      <c r="O4" s="45">
        <v>35</v>
      </c>
      <c r="P4" s="46">
        <f t="shared" ref="P4" si="5">O4/SUM(O:O)</f>
        <v>0.35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5</v>
      </c>
    </row>
    <row r="5" spans="1:22" ht="21" customHeight="1" x14ac:dyDescent="0.15">
      <c r="A5" s="2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45"/>
      <c r="P5" s="46"/>
      <c r="Q5" s="30"/>
      <c r="R5" s="30"/>
      <c r="S5" s="30"/>
      <c r="T5" s="30"/>
      <c r="U5" s="30"/>
      <c r="V5" s="30"/>
    </row>
    <row r="6" spans="1:22" ht="21" customHeight="1" x14ac:dyDescent="0.15">
      <c r="A6" s="2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45"/>
      <c r="P6" s="46"/>
      <c r="Q6" s="30"/>
      <c r="R6" s="30"/>
      <c r="S6" s="30"/>
      <c r="T6" s="30"/>
      <c r="U6" s="30"/>
      <c r="V6" s="30"/>
    </row>
    <row r="7" spans="1:22" ht="21" customHeight="1" x14ac:dyDescent="0.15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99"/>
      <c r="P7" s="100"/>
      <c r="Q7" s="101"/>
      <c r="R7" s="101"/>
      <c r="S7" s="101"/>
      <c r="T7" s="101"/>
      <c r="U7" s="101"/>
      <c r="V7" s="101"/>
    </row>
    <row r="8" spans="1:22" ht="21" customHeight="1" x14ac:dyDescent="0.15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99"/>
      <c r="P8" s="100"/>
      <c r="Q8" s="101"/>
      <c r="R8" s="101"/>
      <c r="S8" s="101"/>
      <c r="T8" s="101"/>
      <c r="U8" s="101"/>
      <c r="V8" s="101"/>
    </row>
    <row r="9" spans="1:22" ht="21" customHeight="1" x14ac:dyDescent="0.15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99"/>
      <c r="P9" s="100"/>
      <c r="Q9" s="101"/>
      <c r="R9" s="101"/>
      <c r="S9" s="101"/>
      <c r="T9" s="101"/>
      <c r="U9" s="101"/>
      <c r="V9" s="101"/>
    </row>
    <row r="10" spans="1:22" ht="21" customHeight="1" x14ac:dyDescent="0.15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99"/>
      <c r="P10" s="100"/>
      <c r="Q10" s="101"/>
      <c r="R10" s="101"/>
      <c r="S10" s="101"/>
      <c r="T10" s="101"/>
      <c r="U10" s="101"/>
      <c r="V10" s="101"/>
    </row>
    <row r="11" spans="1:22" ht="21" customHeight="1" x14ac:dyDescent="0.15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99"/>
      <c r="P11" s="100"/>
      <c r="Q11" s="101"/>
      <c r="R11" s="101"/>
      <c r="S11" s="101"/>
      <c r="T11" s="101"/>
      <c r="U11" s="101"/>
      <c r="V11" s="101"/>
    </row>
    <row r="12" spans="1:22" ht="21" customHeight="1" x14ac:dyDescent="0.15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99"/>
      <c r="P12" s="100"/>
      <c r="Q12" s="101"/>
      <c r="R12" s="101"/>
      <c r="S12" s="101"/>
      <c r="T12" s="101"/>
      <c r="U12" s="101"/>
      <c r="V12" s="101"/>
    </row>
    <row r="13" spans="1:22" ht="21" customHeight="1" x14ac:dyDescent="0.15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99"/>
      <c r="P13" s="100"/>
      <c r="Q13" s="101"/>
      <c r="R13" s="101"/>
      <c r="S13" s="101"/>
      <c r="T13" s="101"/>
      <c r="U13" s="101"/>
      <c r="V13" s="101"/>
    </row>
    <row r="14" spans="1:22" ht="21" customHeight="1" x14ac:dyDescent="0.15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99"/>
      <c r="P14" s="100"/>
      <c r="Q14" s="101"/>
      <c r="R14" s="101"/>
      <c r="S14" s="101"/>
      <c r="T14" s="101"/>
      <c r="U14" s="101"/>
      <c r="V14" s="101"/>
    </row>
    <row r="15" spans="1:22" ht="21" customHeight="1" x14ac:dyDescent="0.15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99"/>
      <c r="P15" s="100"/>
      <c r="Q15" s="101"/>
      <c r="R15" s="101"/>
      <c r="S15" s="101"/>
      <c r="T15" s="101"/>
      <c r="U15" s="101"/>
      <c r="V15" s="101"/>
    </row>
    <row r="16" spans="1:22" ht="21" customHeight="1" x14ac:dyDescent="0.15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99"/>
      <c r="P16" s="100"/>
      <c r="Q16" s="101"/>
      <c r="R16" s="101"/>
      <c r="S16" s="101"/>
      <c r="T16" s="101"/>
      <c r="U16" s="101"/>
      <c r="V16" s="101"/>
    </row>
    <row r="17" spans="1:22" ht="21" customHeight="1" x14ac:dyDescent="0.15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99"/>
      <c r="P17" s="100"/>
      <c r="Q17" s="101"/>
      <c r="R17" s="101"/>
      <c r="S17" s="101"/>
      <c r="T17" s="101"/>
      <c r="U17" s="101"/>
      <c r="V17" s="101"/>
    </row>
    <row r="18" spans="1:22" ht="21" customHeight="1" x14ac:dyDescent="0.15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99"/>
      <c r="P18" s="100"/>
      <c r="Q18" s="101"/>
      <c r="R18" s="101"/>
      <c r="S18" s="101"/>
      <c r="T18" s="101"/>
      <c r="U18" s="101"/>
      <c r="V18" s="101"/>
    </row>
    <row r="19" spans="1:22" ht="21" customHeight="1" x14ac:dyDescent="0.15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99"/>
      <c r="P19" s="100"/>
      <c r="Q19" s="101"/>
      <c r="R19" s="101"/>
      <c r="S19" s="101"/>
      <c r="T19" s="101"/>
      <c r="U19" s="101"/>
      <c r="V19" s="101"/>
    </row>
    <row r="20" spans="1:22" ht="21" customHeight="1" x14ac:dyDescent="0.15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99"/>
      <c r="P20" s="100"/>
      <c r="Q20" s="101"/>
      <c r="R20" s="101"/>
      <c r="S20" s="101"/>
      <c r="T20" s="101"/>
      <c r="U20" s="101"/>
      <c r="V20" s="101"/>
    </row>
    <row r="21" spans="1:22" ht="21" customHeight="1" x14ac:dyDescent="0.15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99"/>
      <c r="P21" s="100"/>
      <c r="Q21" s="101"/>
      <c r="R21" s="101"/>
      <c r="S21" s="101"/>
      <c r="T21" s="101"/>
      <c r="U21" s="101"/>
      <c r="V21" s="101"/>
    </row>
    <row r="22" spans="1:22" ht="21" customHeight="1" x14ac:dyDescent="0.15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99"/>
      <c r="P22" s="100"/>
      <c r="Q22" s="101"/>
      <c r="R22" s="101"/>
      <c r="S22" s="101"/>
      <c r="T22" s="101"/>
      <c r="U22" s="101"/>
      <c r="V22" s="101"/>
    </row>
    <row r="23" spans="1:22" ht="21" customHeight="1" x14ac:dyDescent="0.15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99"/>
      <c r="P23" s="100"/>
      <c r="Q23" s="101"/>
      <c r="R23" s="101"/>
      <c r="S23" s="101"/>
      <c r="T23" s="101"/>
      <c r="U23" s="101"/>
      <c r="V23" s="101"/>
    </row>
    <row r="24" spans="1:22" ht="21" customHeight="1" x14ac:dyDescent="0.15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99"/>
      <c r="P24" s="100"/>
      <c r="Q24" s="101"/>
      <c r="R24" s="101"/>
      <c r="S24" s="101"/>
      <c r="T24" s="101"/>
      <c r="U24" s="101"/>
      <c r="V24" s="101"/>
    </row>
    <row r="25" spans="1:22" ht="21" customHeight="1" x14ac:dyDescent="0.15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99"/>
      <c r="P25" s="100"/>
      <c r="Q25" s="101"/>
      <c r="R25" s="101"/>
      <c r="S25" s="101"/>
      <c r="T25" s="101"/>
      <c r="U25" s="101"/>
      <c r="V25" s="101"/>
    </row>
    <row r="26" spans="1:22" ht="21" customHeight="1" x14ac:dyDescent="0.15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99"/>
      <c r="P26" s="100"/>
      <c r="Q26" s="101"/>
      <c r="R26" s="101"/>
      <c r="S26" s="101"/>
      <c r="T26" s="101"/>
      <c r="U26" s="101"/>
      <c r="V26" s="101"/>
    </row>
    <row r="27" spans="1:22" ht="21" customHeight="1" x14ac:dyDescent="0.15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99"/>
      <c r="P27" s="100"/>
      <c r="Q27" s="101"/>
      <c r="R27" s="101"/>
      <c r="S27" s="101"/>
      <c r="T27" s="101"/>
      <c r="U27" s="101"/>
      <c r="V27" s="101"/>
    </row>
    <row r="28" spans="1:22" ht="21" customHeight="1" x14ac:dyDescent="0.15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99"/>
      <c r="P28" s="100"/>
      <c r="Q28" s="101"/>
      <c r="R28" s="101"/>
      <c r="S28" s="101"/>
      <c r="T28" s="101"/>
      <c r="U28" s="101"/>
      <c r="V28" s="101"/>
    </row>
    <row r="29" spans="1:22" ht="21" customHeight="1" x14ac:dyDescent="0.15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99"/>
      <c r="P29" s="100"/>
      <c r="Q29" s="101"/>
      <c r="R29" s="101"/>
      <c r="S29" s="101"/>
      <c r="T29" s="101"/>
      <c r="U29" s="101"/>
      <c r="V29" s="101"/>
    </row>
    <row r="30" spans="1:22" ht="21" customHeight="1" x14ac:dyDescent="0.15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99"/>
      <c r="P30" s="100"/>
      <c r="Q30" s="101"/>
      <c r="R30" s="101"/>
      <c r="S30" s="101"/>
      <c r="T30" s="101"/>
      <c r="U30" s="101"/>
      <c r="V30" s="101"/>
    </row>
    <row r="31" spans="1:22" ht="21" customHeight="1" x14ac:dyDescent="0.15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99"/>
      <c r="P31" s="100"/>
      <c r="Q31" s="101"/>
      <c r="R31" s="101"/>
      <c r="S31" s="101"/>
      <c r="T31" s="101"/>
      <c r="U31" s="101"/>
      <c r="V31" s="101"/>
    </row>
    <row r="32" spans="1:22" ht="21" customHeight="1" x14ac:dyDescent="0.15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99"/>
      <c r="P32" s="100"/>
      <c r="Q32" s="101"/>
      <c r="R32" s="101"/>
      <c r="S32" s="101"/>
      <c r="T32" s="101"/>
      <c r="U32" s="101"/>
      <c r="V32" s="101"/>
    </row>
    <row r="33" spans="1:22" ht="21" customHeight="1" x14ac:dyDescent="0.15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99"/>
      <c r="P33" s="100"/>
      <c r="Q33" s="101"/>
      <c r="R33" s="101"/>
      <c r="S33" s="101"/>
      <c r="T33" s="101"/>
      <c r="U33" s="101"/>
      <c r="V33" s="101"/>
    </row>
    <row r="34" spans="1:22" ht="21" customHeight="1" x14ac:dyDescent="0.15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99"/>
      <c r="P34" s="100"/>
      <c r="Q34" s="101"/>
      <c r="R34" s="101"/>
      <c r="S34" s="101"/>
      <c r="T34" s="101"/>
      <c r="U34" s="101"/>
      <c r="V34" s="101"/>
    </row>
    <row r="35" spans="1:22" ht="21" customHeight="1" x14ac:dyDescent="0.15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99"/>
      <c r="P35" s="100"/>
      <c r="Q35" s="101"/>
      <c r="R35" s="101"/>
      <c r="S35" s="101"/>
      <c r="T35" s="101"/>
      <c r="U35" s="101"/>
      <c r="V35" s="101"/>
    </row>
    <row r="36" spans="1:22" ht="21" customHeight="1" x14ac:dyDescent="0.15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99"/>
      <c r="P36" s="100"/>
      <c r="Q36" s="101"/>
      <c r="R36" s="101"/>
      <c r="S36" s="101"/>
      <c r="T36" s="101"/>
      <c r="U36" s="101"/>
      <c r="V36" s="101"/>
    </row>
    <row r="37" spans="1:22" ht="21" customHeight="1" x14ac:dyDescent="0.15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99"/>
      <c r="P37" s="100"/>
      <c r="Q37" s="101"/>
      <c r="R37" s="101"/>
      <c r="S37" s="101"/>
      <c r="T37" s="101"/>
      <c r="U37" s="101"/>
      <c r="V37" s="101"/>
    </row>
    <row r="38" spans="1:22" ht="21" customHeight="1" x14ac:dyDescent="0.15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99"/>
      <c r="P38" s="100"/>
      <c r="Q38" s="101"/>
      <c r="R38" s="101"/>
      <c r="S38" s="101"/>
      <c r="T38" s="101"/>
      <c r="U38" s="101"/>
      <c r="V38" s="101"/>
    </row>
    <row r="39" spans="1:22" ht="21" customHeight="1" x14ac:dyDescent="0.15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99"/>
      <c r="P39" s="100"/>
      <c r="Q39" s="101"/>
      <c r="R39" s="101"/>
      <c r="S39" s="101"/>
      <c r="T39" s="101"/>
      <c r="U39" s="101"/>
      <c r="V39" s="101"/>
    </row>
    <row r="40" spans="1:22" ht="21" customHeight="1" x14ac:dyDescent="0.15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99"/>
      <c r="P40" s="100"/>
      <c r="Q40" s="101"/>
      <c r="R40" s="101"/>
      <c r="S40" s="101"/>
      <c r="T40" s="101"/>
      <c r="U40" s="101"/>
      <c r="V40" s="101"/>
    </row>
    <row r="41" spans="1:22" ht="21" customHeight="1" x14ac:dyDescent="0.15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99"/>
      <c r="P41" s="100"/>
      <c r="Q41" s="101"/>
      <c r="R41" s="101"/>
      <c r="S41" s="101"/>
      <c r="T41" s="101"/>
      <c r="U41" s="101"/>
      <c r="V41" s="101"/>
    </row>
    <row r="42" spans="1:22" ht="21" customHeight="1" x14ac:dyDescent="0.15">
      <c r="A42" s="86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99"/>
      <c r="P42" s="100"/>
      <c r="Q42" s="101"/>
      <c r="R42" s="101"/>
      <c r="S42" s="101"/>
      <c r="T42" s="101"/>
      <c r="U42" s="101"/>
      <c r="V42" s="101"/>
    </row>
    <row r="43" spans="1:22" ht="21" customHeight="1" x14ac:dyDescent="0.15">
      <c r="A43" s="86"/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99"/>
      <c r="P43" s="100"/>
      <c r="Q43" s="101"/>
      <c r="R43" s="101"/>
      <c r="S43" s="101"/>
      <c r="T43" s="101"/>
      <c r="U43" s="101"/>
      <c r="V43" s="101"/>
    </row>
    <row r="44" spans="1:22" ht="21" customHeight="1" x14ac:dyDescent="0.15">
      <c r="A44" s="86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99"/>
      <c r="P44" s="100"/>
      <c r="Q44" s="101"/>
      <c r="R44" s="101"/>
      <c r="S44" s="101"/>
      <c r="T44" s="101"/>
      <c r="U44" s="101"/>
      <c r="V44" s="101"/>
    </row>
    <row r="45" spans="1:22" ht="21" customHeight="1" x14ac:dyDescent="0.15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99"/>
      <c r="P45" s="100"/>
      <c r="Q45" s="101"/>
      <c r="R45" s="101"/>
      <c r="S45" s="101"/>
      <c r="T45" s="101"/>
      <c r="U45" s="101"/>
      <c r="V45" s="101"/>
    </row>
    <row r="46" spans="1:22" ht="21" customHeight="1" x14ac:dyDescent="0.15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99"/>
      <c r="P46" s="100"/>
      <c r="Q46" s="101"/>
      <c r="R46" s="101"/>
      <c r="S46" s="101"/>
      <c r="T46" s="101"/>
      <c r="U46" s="101"/>
      <c r="V46" s="101"/>
    </row>
    <row r="47" spans="1:22" ht="21" customHeight="1" x14ac:dyDescent="0.15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99"/>
      <c r="P47" s="100"/>
      <c r="Q47" s="101"/>
      <c r="R47" s="101"/>
      <c r="S47" s="101"/>
      <c r="T47" s="101"/>
      <c r="U47" s="101"/>
      <c r="V47" s="101"/>
    </row>
    <row r="48" spans="1:22" ht="21" customHeight="1" x14ac:dyDescent="0.15">
      <c r="A48" s="86"/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99"/>
      <c r="P48" s="100"/>
      <c r="Q48" s="101"/>
      <c r="R48" s="101"/>
      <c r="S48" s="101"/>
      <c r="T48" s="101"/>
      <c r="U48" s="101"/>
      <c r="V48" s="101"/>
    </row>
    <row r="49" spans="1:22" ht="21" customHeight="1" x14ac:dyDescent="0.15">
      <c r="A49" s="86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99"/>
      <c r="P49" s="100"/>
      <c r="Q49" s="101"/>
      <c r="R49" s="101"/>
      <c r="S49" s="101"/>
      <c r="T49" s="101"/>
      <c r="U49" s="101"/>
      <c r="V49" s="101"/>
    </row>
    <row r="50" spans="1:22" ht="21" customHeight="1" x14ac:dyDescent="0.15">
      <c r="A50" s="86"/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99"/>
      <c r="P50" s="100"/>
      <c r="Q50" s="101"/>
      <c r="R50" s="101"/>
      <c r="S50" s="101"/>
      <c r="T50" s="101"/>
      <c r="U50" s="101"/>
      <c r="V50" s="101"/>
    </row>
    <row r="51" spans="1:22" ht="21" customHeight="1" x14ac:dyDescent="0.15">
      <c r="A51" s="86"/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99"/>
      <c r="P51" s="100"/>
      <c r="Q51" s="101"/>
      <c r="R51" s="101"/>
      <c r="S51" s="101"/>
      <c r="T51" s="101"/>
      <c r="U51" s="101"/>
      <c r="V51" s="101"/>
    </row>
    <row r="52" spans="1:22" ht="21" customHeight="1" x14ac:dyDescent="0.15">
      <c r="A52" s="86"/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99"/>
      <c r="P52" s="100"/>
      <c r="Q52" s="101"/>
      <c r="R52" s="101"/>
      <c r="S52" s="101"/>
      <c r="T52" s="101"/>
      <c r="U52" s="101"/>
      <c r="V52" s="101"/>
    </row>
    <row r="53" spans="1:22" ht="21" customHeight="1" x14ac:dyDescent="0.15">
      <c r="A53" s="86"/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99"/>
      <c r="P53" s="100"/>
      <c r="Q53" s="101"/>
      <c r="R53" s="101"/>
      <c r="S53" s="101"/>
      <c r="T53" s="101"/>
      <c r="U53" s="101"/>
      <c r="V53" s="101"/>
    </row>
    <row r="54" spans="1:22" ht="21" customHeight="1" x14ac:dyDescent="0.15">
      <c r="A54" s="86"/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99"/>
      <c r="P54" s="100"/>
      <c r="Q54" s="101"/>
      <c r="R54" s="101"/>
      <c r="S54" s="101"/>
      <c r="T54" s="101"/>
      <c r="U54" s="101"/>
      <c r="V54" s="101"/>
    </row>
    <row r="55" spans="1:22" ht="21" customHeight="1" x14ac:dyDescent="0.15">
      <c r="A55" s="86"/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99"/>
      <c r="P55" s="100"/>
      <c r="Q55" s="101"/>
      <c r="R55" s="101"/>
      <c r="S55" s="101"/>
      <c r="T55" s="101"/>
      <c r="U55" s="101"/>
      <c r="V55" s="101"/>
    </row>
    <row r="56" spans="1:22" ht="21" customHeight="1" x14ac:dyDescent="0.15">
      <c r="A56" s="86"/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99"/>
      <c r="P56" s="100"/>
      <c r="Q56" s="101"/>
      <c r="R56" s="101"/>
      <c r="S56" s="101"/>
      <c r="T56" s="101"/>
      <c r="U56" s="101"/>
      <c r="V56" s="101"/>
    </row>
    <row r="57" spans="1:22" ht="21" customHeight="1" x14ac:dyDescent="0.15">
      <c r="A57" s="86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99"/>
      <c r="P57" s="100"/>
      <c r="Q57" s="101"/>
      <c r="R57" s="101"/>
      <c r="S57" s="101"/>
      <c r="T57" s="101"/>
      <c r="U57" s="101"/>
      <c r="V57" s="101"/>
    </row>
    <row r="58" spans="1:22" ht="21" customHeight="1" x14ac:dyDescent="0.15">
      <c r="A58" s="86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99"/>
      <c r="P58" s="100"/>
      <c r="Q58" s="101"/>
      <c r="R58" s="101"/>
      <c r="S58" s="101"/>
      <c r="T58" s="101"/>
      <c r="U58" s="101"/>
      <c r="V58" s="101"/>
    </row>
    <row r="59" spans="1:22" ht="21" customHeight="1" x14ac:dyDescent="0.15">
      <c r="A59" s="86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99"/>
      <c r="P59" s="100"/>
      <c r="Q59" s="101"/>
      <c r="R59" s="101"/>
      <c r="S59" s="101"/>
      <c r="T59" s="101"/>
      <c r="U59" s="101"/>
      <c r="V59" s="101"/>
    </row>
    <row r="60" spans="1:22" ht="21" customHeight="1" x14ac:dyDescent="0.15">
      <c r="A60" s="86"/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99"/>
      <c r="P60" s="100"/>
      <c r="Q60" s="101"/>
      <c r="R60" s="101"/>
      <c r="S60" s="101"/>
      <c r="T60" s="101"/>
      <c r="U60" s="101"/>
      <c r="V60" s="101"/>
    </row>
    <row r="61" spans="1:22" ht="21" customHeight="1" x14ac:dyDescent="0.15">
      <c r="A61" s="86"/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99"/>
      <c r="P61" s="100"/>
      <c r="Q61" s="101"/>
      <c r="R61" s="101"/>
      <c r="S61" s="101"/>
      <c r="T61" s="101"/>
      <c r="U61" s="101"/>
      <c r="V61" s="101"/>
    </row>
    <row r="62" spans="1:22" ht="21" customHeight="1" x14ac:dyDescent="0.15">
      <c r="A62" s="86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99"/>
      <c r="P62" s="100"/>
      <c r="Q62" s="101"/>
      <c r="R62" s="101"/>
      <c r="S62" s="101"/>
      <c r="T62" s="101"/>
      <c r="U62" s="101"/>
      <c r="V62" s="101"/>
    </row>
    <row r="63" spans="1:22" ht="21" customHeight="1" x14ac:dyDescent="0.15">
      <c r="A63" s="86"/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99"/>
      <c r="P63" s="100"/>
      <c r="Q63" s="101"/>
      <c r="R63" s="101"/>
      <c r="S63" s="101"/>
      <c r="T63" s="101"/>
      <c r="U63" s="101"/>
      <c r="V63" s="101"/>
    </row>
    <row r="64" spans="1:22" ht="21" customHeight="1" x14ac:dyDescent="0.15">
      <c r="A64" s="86"/>
      <c r="B64" s="86"/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99"/>
      <c r="P64" s="100"/>
      <c r="Q64" s="101"/>
      <c r="R64" s="101"/>
      <c r="S64" s="101"/>
      <c r="T64" s="101"/>
      <c r="U64" s="101"/>
      <c r="V64" s="101"/>
    </row>
    <row r="65" spans="1:22" ht="21" customHeight="1" x14ac:dyDescent="0.15">
      <c r="A65" s="86"/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99"/>
      <c r="P65" s="100"/>
      <c r="Q65" s="101"/>
      <c r="R65" s="101"/>
      <c r="S65" s="101"/>
      <c r="T65" s="101"/>
      <c r="U65" s="101"/>
      <c r="V65" s="101"/>
    </row>
    <row r="66" spans="1:22" ht="21" customHeight="1" x14ac:dyDescent="0.15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99"/>
      <c r="P66" s="100"/>
      <c r="Q66" s="101"/>
      <c r="R66" s="101"/>
      <c r="S66" s="101"/>
      <c r="T66" s="101"/>
      <c r="U66" s="101"/>
      <c r="V66" s="101"/>
    </row>
    <row r="67" spans="1:22" ht="21" customHeight="1" x14ac:dyDescent="0.15">
      <c r="A67" s="86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99"/>
      <c r="P67" s="100"/>
      <c r="Q67" s="101"/>
      <c r="R67" s="101"/>
      <c r="S67" s="101"/>
      <c r="T67" s="101"/>
      <c r="U67" s="101"/>
      <c r="V67" s="101"/>
    </row>
    <row r="68" spans="1:22" ht="21" customHeight="1" x14ac:dyDescent="0.15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99"/>
      <c r="P68" s="100"/>
      <c r="Q68" s="101"/>
      <c r="R68" s="101"/>
      <c r="S68" s="101"/>
      <c r="T68" s="101"/>
      <c r="U68" s="101"/>
      <c r="V68" s="101"/>
    </row>
    <row r="69" spans="1:22" ht="21" customHeight="1" x14ac:dyDescent="0.15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99"/>
      <c r="P69" s="100"/>
      <c r="Q69" s="101"/>
      <c r="R69" s="101"/>
      <c r="S69" s="101"/>
      <c r="T69" s="101"/>
      <c r="U69" s="101"/>
      <c r="V69" s="101"/>
    </row>
    <row r="70" spans="1:22" ht="21" customHeight="1" x14ac:dyDescent="0.15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99"/>
      <c r="P70" s="100"/>
      <c r="Q70" s="101"/>
      <c r="R70" s="101"/>
      <c r="S70" s="101"/>
      <c r="T70" s="101"/>
      <c r="U70" s="101"/>
      <c r="V70" s="101"/>
    </row>
    <row r="71" spans="1:22" ht="21" customHeight="1" x14ac:dyDescent="0.15">
      <c r="A71" s="86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99"/>
      <c r="P71" s="100"/>
      <c r="Q71" s="101"/>
      <c r="R71" s="101"/>
      <c r="S71" s="101"/>
      <c r="T71" s="101"/>
      <c r="U71" s="101"/>
      <c r="V71" s="101"/>
    </row>
    <row r="72" spans="1:22" ht="21" customHeight="1" x14ac:dyDescent="0.15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99"/>
      <c r="P72" s="100"/>
      <c r="Q72" s="101"/>
      <c r="R72" s="101"/>
      <c r="S72" s="101"/>
      <c r="T72" s="101"/>
      <c r="U72" s="101"/>
      <c r="V72" s="101"/>
    </row>
    <row r="73" spans="1:22" ht="21" customHeight="1" x14ac:dyDescent="0.15">
      <c r="A73" s="86"/>
      <c r="B73" s="86"/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99"/>
      <c r="P73" s="100"/>
      <c r="Q73" s="101"/>
      <c r="R73" s="101"/>
      <c r="S73" s="101"/>
      <c r="T73" s="101"/>
      <c r="U73" s="101"/>
      <c r="V73" s="101"/>
    </row>
    <row r="74" spans="1:22" ht="21" customHeight="1" x14ac:dyDescent="0.15">
      <c r="A74" s="86"/>
      <c r="B74" s="86"/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99"/>
      <c r="P74" s="100"/>
      <c r="Q74" s="101"/>
      <c r="R74" s="101"/>
      <c r="S74" s="101"/>
      <c r="T74" s="101"/>
      <c r="U74" s="101"/>
      <c r="V74" s="101"/>
    </row>
    <row r="75" spans="1:22" ht="21" customHeight="1" x14ac:dyDescent="0.15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99"/>
      <c r="P75" s="100"/>
      <c r="Q75" s="101"/>
      <c r="R75" s="101"/>
      <c r="S75" s="101"/>
      <c r="T75" s="101"/>
      <c r="U75" s="101"/>
      <c r="V75" s="101"/>
    </row>
    <row r="76" spans="1:22" ht="21" customHeight="1" x14ac:dyDescent="0.15">
      <c r="A76" s="86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99"/>
      <c r="P76" s="100"/>
      <c r="Q76" s="101"/>
      <c r="R76" s="101"/>
      <c r="S76" s="101"/>
      <c r="T76" s="101"/>
      <c r="U76" s="101"/>
      <c r="V76" s="101"/>
    </row>
    <row r="77" spans="1:22" ht="21" customHeight="1" x14ac:dyDescent="0.15">
      <c r="A77" s="86"/>
      <c r="B77" s="86"/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99"/>
      <c r="P77" s="100"/>
      <c r="Q77" s="101"/>
      <c r="R77" s="101"/>
      <c r="S77" s="101"/>
      <c r="T77" s="101"/>
      <c r="U77" s="101"/>
      <c r="V77" s="101"/>
    </row>
    <row r="78" spans="1:22" ht="21" customHeight="1" x14ac:dyDescent="0.15">
      <c r="A78" s="86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99"/>
      <c r="P78" s="100"/>
      <c r="Q78" s="101"/>
      <c r="R78" s="101"/>
      <c r="S78" s="101"/>
      <c r="T78" s="101"/>
      <c r="U78" s="101"/>
      <c r="V78" s="101"/>
    </row>
    <row r="79" spans="1:22" ht="21" customHeight="1" x14ac:dyDescent="0.15">
      <c r="A79" s="86"/>
      <c r="B79" s="86"/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99"/>
      <c r="P79" s="100"/>
      <c r="Q79" s="101"/>
      <c r="R79" s="101"/>
      <c r="S79" s="101"/>
      <c r="T79" s="101"/>
      <c r="U79" s="101"/>
      <c r="V79" s="101"/>
    </row>
    <row r="80" spans="1:22" ht="21" customHeight="1" x14ac:dyDescent="0.15">
      <c r="A80" s="86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99"/>
      <c r="P80" s="100"/>
      <c r="Q80" s="101"/>
      <c r="R80" s="101"/>
      <c r="S80" s="101"/>
      <c r="T80" s="101"/>
      <c r="U80" s="101"/>
      <c r="V80" s="101"/>
    </row>
    <row r="81" spans="1:22" ht="21" customHeight="1" x14ac:dyDescent="0.15">
      <c r="A81" s="86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99"/>
      <c r="P81" s="100"/>
      <c r="Q81" s="101"/>
      <c r="R81" s="101"/>
      <c r="S81" s="101"/>
      <c r="T81" s="101"/>
      <c r="U81" s="101"/>
      <c r="V81" s="101"/>
    </row>
    <row r="82" spans="1:22" ht="21" customHeight="1" x14ac:dyDescent="0.15">
      <c r="A82" s="86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99"/>
      <c r="P82" s="100"/>
      <c r="Q82" s="101"/>
      <c r="R82" s="101"/>
      <c r="S82" s="101"/>
      <c r="T82" s="101"/>
      <c r="U82" s="101"/>
      <c r="V82" s="101"/>
    </row>
    <row r="83" spans="1:22" ht="21" customHeight="1" x14ac:dyDescent="0.15">
      <c r="A83" s="86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99"/>
      <c r="P83" s="100"/>
      <c r="Q83" s="101"/>
      <c r="R83" s="101"/>
      <c r="S83" s="101"/>
      <c r="T83" s="101"/>
      <c r="U83" s="101"/>
      <c r="V83" s="101"/>
    </row>
    <row r="84" spans="1:22" ht="21" customHeight="1" x14ac:dyDescent="0.15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99"/>
      <c r="P84" s="100"/>
      <c r="Q84" s="101"/>
      <c r="R84" s="101"/>
      <c r="S84" s="101"/>
      <c r="T84" s="101"/>
      <c r="U84" s="101"/>
      <c r="V84" s="101"/>
    </row>
    <row r="85" spans="1:22" ht="21" customHeight="1" x14ac:dyDescent="0.15">
      <c r="A85" s="86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99"/>
      <c r="P85" s="100"/>
      <c r="Q85" s="101"/>
      <c r="R85" s="101"/>
      <c r="S85" s="101"/>
      <c r="T85" s="101"/>
      <c r="U85" s="101"/>
      <c r="V85" s="101"/>
    </row>
    <row r="86" spans="1:22" ht="21" customHeight="1" x14ac:dyDescent="0.15">
      <c r="A86" s="86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99"/>
      <c r="P86" s="100"/>
      <c r="Q86" s="101"/>
      <c r="R86" s="101"/>
      <c r="S86" s="101"/>
      <c r="T86" s="101"/>
      <c r="U86" s="101"/>
      <c r="V86" s="101"/>
    </row>
    <row r="87" spans="1:22" ht="21" customHeight="1" x14ac:dyDescent="0.15">
      <c r="A87" s="86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99"/>
      <c r="P87" s="100"/>
      <c r="Q87" s="101"/>
      <c r="R87" s="101"/>
      <c r="S87" s="101"/>
      <c r="T87" s="101"/>
      <c r="U87" s="101"/>
      <c r="V87" s="101"/>
    </row>
    <row r="88" spans="1:22" ht="21" customHeight="1" x14ac:dyDescent="0.15">
      <c r="A88" s="86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99"/>
      <c r="P88" s="100"/>
      <c r="Q88" s="101"/>
      <c r="R88" s="101"/>
      <c r="S88" s="101"/>
      <c r="T88" s="101"/>
      <c r="U88" s="101"/>
      <c r="V88" s="101"/>
    </row>
    <row r="89" spans="1:22" ht="21" customHeight="1" x14ac:dyDescent="0.15">
      <c r="A89" s="86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99"/>
      <c r="P89" s="100"/>
      <c r="Q89" s="101"/>
      <c r="R89" s="101"/>
      <c r="S89" s="101"/>
      <c r="T89" s="101"/>
      <c r="U89" s="101"/>
      <c r="V89" s="101"/>
    </row>
    <row r="90" spans="1:22" ht="21" customHeight="1" x14ac:dyDescent="0.15">
      <c r="A90" s="86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99"/>
      <c r="P90" s="100"/>
      <c r="Q90" s="101"/>
      <c r="R90" s="101"/>
      <c r="S90" s="101"/>
      <c r="T90" s="101"/>
      <c r="U90" s="101"/>
      <c r="V90" s="101"/>
    </row>
    <row r="91" spans="1:22" ht="21" customHeight="1" x14ac:dyDescent="0.15">
      <c r="A91" s="86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99"/>
      <c r="P91" s="100"/>
      <c r="Q91" s="101"/>
      <c r="R91" s="101"/>
      <c r="S91" s="101"/>
      <c r="T91" s="101"/>
      <c r="U91" s="101"/>
      <c r="V91" s="101"/>
    </row>
    <row r="92" spans="1:22" ht="21" customHeight="1" x14ac:dyDescent="0.15">
      <c r="A92" s="86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99"/>
      <c r="P92" s="100"/>
      <c r="Q92" s="101"/>
      <c r="R92" s="101"/>
      <c r="S92" s="101"/>
      <c r="T92" s="101"/>
      <c r="U92" s="101"/>
      <c r="V92" s="101"/>
    </row>
    <row r="93" spans="1:22" ht="21" customHeight="1" x14ac:dyDescent="0.15">
      <c r="A93" s="86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99"/>
      <c r="P93" s="100"/>
      <c r="Q93" s="101"/>
      <c r="R93" s="101"/>
      <c r="S93" s="101"/>
      <c r="T93" s="101"/>
      <c r="U93" s="101"/>
      <c r="V93" s="101"/>
    </row>
    <row r="94" spans="1:22" ht="21" customHeight="1" x14ac:dyDescent="0.15">
      <c r="A94" s="86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99"/>
      <c r="P94" s="100"/>
      <c r="Q94" s="101"/>
      <c r="R94" s="101"/>
      <c r="S94" s="101"/>
      <c r="T94" s="101"/>
      <c r="U94" s="101"/>
      <c r="V94" s="101"/>
    </row>
    <row r="95" spans="1:22" ht="21" customHeight="1" x14ac:dyDescent="0.15">
      <c r="A95" s="8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99"/>
      <c r="P95" s="100"/>
      <c r="Q95" s="101"/>
      <c r="R95" s="101"/>
      <c r="S95" s="101"/>
      <c r="T95" s="101"/>
      <c r="U95" s="101"/>
      <c r="V95" s="101"/>
    </row>
    <row r="96" spans="1:22" ht="21" customHeight="1" x14ac:dyDescent="0.15">
      <c r="A96" s="86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99"/>
      <c r="P96" s="100"/>
      <c r="Q96" s="101"/>
      <c r="R96" s="101"/>
      <c r="S96" s="101"/>
      <c r="T96" s="101"/>
      <c r="U96" s="101"/>
      <c r="V96" s="101"/>
    </row>
    <row r="97" spans="1:22" ht="21" customHeight="1" x14ac:dyDescent="0.15">
      <c r="A97" s="86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99"/>
      <c r="P97" s="100"/>
      <c r="Q97" s="101"/>
      <c r="R97" s="101"/>
      <c r="S97" s="101"/>
      <c r="T97" s="101"/>
      <c r="U97" s="101"/>
      <c r="V97" s="101"/>
    </row>
    <row r="98" spans="1:22" ht="21" customHeight="1" x14ac:dyDescent="0.15">
      <c r="A98" s="86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99"/>
      <c r="P98" s="100"/>
      <c r="Q98" s="101"/>
      <c r="R98" s="101"/>
      <c r="S98" s="101"/>
      <c r="T98" s="101"/>
      <c r="U98" s="101"/>
      <c r="V98" s="101"/>
    </row>
    <row r="99" spans="1:22" ht="21" customHeight="1" x14ac:dyDescent="0.15">
      <c r="A99" s="86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99"/>
      <c r="P99" s="100"/>
      <c r="Q99" s="101"/>
      <c r="R99" s="101"/>
      <c r="S99" s="101"/>
      <c r="T99" s="101"/>
      <c r="U99" s="101"/>
      <c r="V99" s="101"/>
    </row>
    <row r="100" spans="1:22" ht="21" customHeight="1" x14ac:dyDescent="0.15">
      <c r="A100" s="86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99"/>
      <c r="P100" s="100"/>
      <c r="Q100" s="101"/>
      <c r="R100" s="101"/>
      <c r="S100" s="101"/>
      <c r="T100" s="101"/>
      <c r="U100" s="101"/>
      <c r="V100" s="101"/>
    </row>
    <row r="101" spans="1:22" ht="21" customHeight="1" x14ac:dyDescent="0.15">
      <c r="A101" s="86"/>
      <c r="B101" s="86"/>
      <c r="C101" s="86"/>
      <c r="D101" s="86"/>
      <c r="E101" s="86"/>
      <c r="F101" s="86"/>
      <c r="G101" s="86"/>
      <c r="H101" s="86"/>
      <c r="I101" s="86"/>
      <c r="J101" s="86"/>
      <c r="K101" s="86"/>
      <c r="L101" s="86"/>
      <c r="M101" s="86"/>
      <c r="N101" s="86"/>
      <c r="O101" s="99"/>
      <c r="P101" s="100"/>
      <c r="Q101" s="101"/>
      <c r="R101" s="101"/>
      <c r="S101" s="101"/>
      <c r="T101" s="101"/>
      <c r="U101" s="101"/>
      <c r="V101" s="101"/>
    </row>
    <row r="102" spans="1:22" ht="21" customHeight="1" x14ac:dyDescent="0.15">
      <c r="A102" s="86"/>
      <c r="B102" s="86"/>
      <c r="C102" s="86"/>
      <c r="D102" s="86"/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99"/>
      <c r="P102" s="100"/>
      <c r="Q102" s="101"/>
      <c r="R102" s="101"/>
      <c r="S102" s="101"/>
      <c r="T102" s="101"/>
      <c r="U102" s="101"/>
      <c r="V102" s="101"/>
    </row>
    <row r="103" spans="1:22" ht="21" customHeight="1" x14ac:dyDescent="0.15">
      <c r="A103" s="86"/>
      <c r="B103" s="86"/>
      <c r="C103" s="86"/>
      <c r="D103" s="86"/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99"/>
      <c r="P103" s="100"/>
      <c r="Q103" s="101"/>
      <c r="R103" s="101"/>
      <c r="S103" s="101"/>
      <c r="T103" s="101"/>
      <c r="U103" s="101"/>
      <c r="V103" s="101"/>
    </row>
    <row r="104" spans="1:22" ht="21" customHeight="1" x14ac:dyDescent="0.15">
      <c r="A104" s="86"/>
      <c r="B104" s="86"/>
      <c r="C104" s="86"/>
      <c r="D104" s="86"/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99"/>
      <c r="P104" s="100"/>
      <c r="Q104" s="101"/>
      <c r="R104" s="101"/>
      <c r="S104" s="101"/>
      <c r="T104" s="101"/>
      <c r="U104" s="101"/>
      <c r="V104" s="101"/>
    </row>
    <row r="105" spans="1:22" ht="21" customHeight="1" x14ac:dyDescent="0.15">
      <c r="A105" s="86"/>
      <c r="B105" s="86"/>
      <c r="C105" s="86"/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99"/>
      <c r="P105" s="100"/>
      <c r="Q105" s="101"/>
      <c r="R105" s="101"/>
      <c r="S105" s="101"/>
      <c r="T105" s="101"/>
      <c r="U105" s="101"/>
      <c r="V105" s="101"/>
    </row>
    <row r="106" spans="1:22" ht="21" customHeight="1" x14ac:dyDescent="0.15">
      <c r="A106" s="86"/>
      <c r="B106" s="86"/>
      <c r="C106" s="86"/>
      <c r="D106" s="86"/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99"/>
      <c r="P106" s="100"/>
      <c r="Q106" s="101"/>
      <c r="R106" s="101"/>
      <c r="S106" s="101"/>
      <c r="T106" s="101"/>
      <c r="U106" s="101"/>
      <c r="V106" s="101"/>
    </row>
    <row r="107" spans="1:22" ht="21" customHeight="1" x14ac:dyDescent="0.15">
      <c r="A107" s="86"/>
      <c r="B107" s="86"/>
      <c r="C107" s="86"/>
      <c r="D107" s="86"/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99"/>
      <c r="P107" s="100"/>
      <c r="Q107" s="101"/>
      <c r="R107" s="101"/>
      <c r="S107" s="101"/>
      <c r="T107" s="101"/>
      <c r="U107" s="101"/>
      <c r="V107" s="101"/>
    </row>
    <row r="108" spans="1:22" ht="21" customHeight="1" x14ac:dyDescent="0.15">
      <c r="A108" s="86"/>
      <c r="B108" s="86"/>
      <c r="C108" s="86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99"/>
      <c r="P108" s="100"/>
      <c r="Q108" s="101"/>
      <c r="R108" s="101"/>
      <c r="S108" s="101"/>
      <c r="T108" s="101"/>
      <c r="U108" s="101"/>
      <c r="V108" s="101"/>
    </row>
    <row r="109" spans="1:22" ht="21" customHeight="1" x14ac:dyDescent="0.15">
      <c r="A109" s="86"/>
      <c r="B109" s="86"/>
      <c r="C109" s="86"/>
      <c r="D109" s="86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99"/>
      <c r="P109" s="100"/>
      <c r="Q109" s="101"/>
      <c r="R109" s="101"/>
      <c r="S109" s="101"/>
      <c r="T109" s="101"/>
      <c r="U109" s="101"/>
      <c r="V109" s="101"/>
    </row>
    <row r="110" spans="1:22" ht="21" customHeight="1" x14ac:dyDescent="0.15">
      <c r="A110" s="86"/>
      <c r="B110" s="86"/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99"/>
      <c r="P110" s="100"/>
      <c r="Q110" s="101"/>
      <c r="R110" s="101"/>
      <c r="S110" s="101"/>
      <c r="T110" s="101"/>
      <c r="U110" s="101"/>
      <c r="V110" s="101"/>
    </row>
    <row r="111" spans="1:22" ht="21" customHeight="1" x14ac:dyDescent="0.15">
      <c r="A111" s="86"/>
      <c r="B111" s="86"/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99"/>
      <c r="P111" s="100"/>
      <c r="Q111" s="101"/>
      <c r="R111" s="101"/>
      <c r="S111" s="101"/>
      <c r="T111" s="101"/>
      <c r="U111" s="101"/>
      <c r="V111" s="101"/>
    </row>
    <row r="112" spans="1:22" ht="21" customHeight="1" x14ac:dyDescent="0.15">
      <c r="A112" s="86"/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99"/>
      <c r="P112" s="100"/>
      <c r="Q112" s="101"/>
      <c r="R112" s="101"/>
      <c r="S112" s="101"/>
      <c r="T112" s="101"/>
      <c r="U112" s="101"/>
      <c r="V112" s="101"/>
    </row>
    <row r="113" spans="1:22" ht="21" customHeight="1" x14ac:dyDescent="0.15">
      <c r="A113" s="86"/>
      <c r="B113" s="86"/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99"/>
      <c r="P113" s="100"/>
      <c r="Q113" s="101"/>
      <c r="R113" s="101"/>
      <c r="S113" s="101"/>
      <c r="T113" s="101"/>
      <c r="U113" s="101"/>
      <c r="V113" s="101"/>
    </row>
    <row r="114" spans="1:22" ht="21" customHeight="1" x14ac:dyDescent="0.15">
      <c r="A114" s="86"/>
      <c r="B114" s="86"/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99"/>
      <c r="P114" s="100"/>
      <c r="Q114" s="101"/>
      <c r="R114" s="101"/>
      <c r="S114" s="101"/>
      <c r="T114" s="101"/>
      <c r="U114" s="101"/>
      <c r="V114" s="101"/>
    </row>
    <row r="115" spans="1:22" ht="21" customHeight="1" x14ac:dyDescent="0.15">
      <c r="A115" s="86"/>
      <c r="B115" s="86"/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99"/>
      <c r="P115" s="100"/>
      <c r="Q115" s="101"/>
      <c r="R115" s="101"/>
      <c r="S115" s="101"/>
      <c r="T115" s="101"/>
      <c r="U115" s="101"/>
      <c r="V115" s="101"/>
    </row>
    <row r="116" spans="1:22" ht="21" customHeight="1" x14ac:dyDescent="0.15">
      <c r="A116" s="86"/>
      <c r="B116" s="86"/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99"/>
      <c r="P116" s="100"/>
      <c r="Q116" s="101"/>
      <c r="R116" s="101"/>
      <c r="S116" s="101"/>
      <c r="T116" s="101"/>
      <c r="U116" s="101"/>
      <c r="V116" s="101"/>
    </row>
    <row r="117" spans="1:22" ht="21" customHeight="1" x14ac:dyDescent="0.15">
      <c r="A117" s="86"/>
      <c r="B117" s="86"/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99"/>
      <c r="P117" s="100"/>
      <c r="Q117" s="101"/>
      <c r="R117" s="101"/>
      <c r="S117" s="101"/>
      <c r="T117" s="101"/>
      <c r="U117" s="101"/>
      <c r="V117" s="101"/>
    </row>
    <row r="118" spans="1:22" ht="21" customHeight="1" x14ac:dyDescent="0.15">
      <c r="A118" s="86"/>
      <c r="B118" s="86"/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99"/>
      <c r="P118" s="100"/>
      <c r="Q118" s="101"/>
      <c r="R118" s="101"/>
      <c r="S118" s="101"/>
      <c r="T118" s="101"/>
      <c r="U118" s="101"/>
      <c r="V118" s="101"/>
    </row>
    <row r="119" spans="1:22" ht="21" customHeight="1" x14ac:dyDescent="0.15">
      <c r="A119" s="86"/>
      <c r="B119" s="86"/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99"/>
      <c r="P119" s="100"/>
      <c r="Q119" s="101"/>
      <c r="R119" s="101"/>
      <c r="S119" s="101"/>
      <c r="T119" s="101"/>
      <c r="U119" s="101"/>
      <c r="V119" s="101"/>
    </row>
    <row r="120" spans="1:22" ht="21" customHeight="1" x14ac:dyDescent="0.15">
      <c r="A120" s="86"/>
      <c r="B120" s="86"/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99"/>
      <c r="P120" s="100"/>
      <c r="Q120" s="101"/>
      <c r="R120" s="101"/>
      <c r="S120" s="101"/>
      <c r="T120" s="101"/>
      <c r="U120" s="101"/>
      <c r="V120" s="101"/>
    </row>
    <row r="121" spans="1:22" ht="21" customHeight="1" x14ac:dyDescent="0.15">
      <c r="A121" s="86"/>
      <c r="B121" s="86"/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99"/>
      <c r="P121" s="100"/>
      <c r="Q121" s="101"/>
      <c r="R121" s="101"/>
      <c r="S121" s="101"/>
      <c r="T121" s="101"/>
      <c r="U121" s="101"/>
      <c r="V121" s="101"/>
    </row>
    <row r="122" spans="1:22" ht="21" customHeight="1" x14ac:dyDescent="0.15">
      <c r="A122" s="86"/>
      <c r="B122" s="86"/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99"/>
      <c r="P122" s="100"/>
      <c r="Q122" s="101"/>
      <c r="R122" s="101"/>
      <c r="S122" s="101"/>
      <c r="T122" s="101"/>
      <c r="U122" s="101"/>
      <c r="V122" s="101"/>
    </row>
    <row r="123" spans="1:22" ht="21" customHeight="1" x14ac:dyDescent="0.15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99"/>
      <c r="P123" s="100"/>
      <c r="Q123" s="101"/>
      <c r="R123" s="101"/>
      <c r="S123" s="101"/>
      <c r="T123" s="101"/>
      <c r="U123" s="101"/>
      <c r="V123" s="101"/>
    </row>
    <row r="124" spans="1:22" ht="21" customHeight="1" x14ac:dyDescent="0.15">
      <c r="A124" s="86"/>
      <c r="B124" s="86"/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99"/>
      <c r="P124" s="100"/>
      <c r="Q124" s="101"/>
      <c r="R124" s="101"/>
      <c r="S124" s="101"/>
      <c r="T124" s="101"/>
      <c r="U124" s="101"/>
      <c r="V124" s="101"/>
    </row>
    <row r="125" spans="1:22" ht="21" customHeight="1" x14ac:dyDescent="0.15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99"/>
      <c r="P125" s="100"/>
      <c r="Q125" s="101"/>
      <c r="R125" s="101"/>
      <c r="S125" s="101"/>
      <c r="T125" s="101"/>
      <c r="U125" s="101"/>
      <c r="V125" s="101"/>
    </row>
    <row r="126" spans="1:22" ht="21" customHeight="1" x14ac:dyDescent="0.15">
      <c r="A126" s="86"/>
      <c r="B126" s="86"/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99"/>
      <c r="P126" s="100"/>
      <c r="Q126" s="101"/>
      <c r="R126" s="101"/>
      <c r="S126" s="101"/>
      <c r="T126" s="101"/>
      <c r="U126" s="101"/>
      <c r="V126" s="101"/>
    </row>
    <row r="127" spans="1:22" ht="21" customHeight="1" x14ac:dyDescent="0.15">
      <c r="A127" s="86"/>
      <c r="B127" s="86"/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99"/>
      <c r="P127" s="100"/>
      <c r="Q127" s="101"/>
      <c r="R127" s="101"/>
      <c r="S127" s="101"/>
      <c r="T127" s="101"/>
      <c r="U127" s="101"/>
      <c r="V127" s="101"/>
    </row>
    <row r="128" spans="1:22" ht="21" customHeight="1" x14ac:dyDescent="0.15">
      <c r="A128" s="86"/>
      <c r="B128" s="86"/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99"/>
      <c r="P128" s="100"/>
      <c r="Q128" s="101"/>
      <c r="R128" s="101"/>
      <c r="S128" s="101"/>
      <c r="T128" s="101"/>
      <c r="U128" s="101"/>
      <c r="V128" s="101"/>
    </row>
    <row r="129" spans="1:22" ht="21" customHeight="1" x14ac:dyDescent="0.15">
      <c r="A129" s="86"/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99"/>
      <c r="P129" s="100"/>
      <c r="Q129" s="101"/>
      <c r="R129" s="101"/>
      <c r="S129" s="101"/>
      <c r="T129" s="101"/>
      <c r="U129" s="101"/>
      <c r="V129" s="101"/>
    </row>
    <row r="130" spans="1:22" ht="21" customHeight="1" x14ac:dyDescent="0.15">
      <c r="A130" s="86"/>
      <c r="B130" s="86"/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99"/>
      <c r="P130" s="100"/>
      <c r="Q130" s="101"/>
      <c r="R130" s="101"/>
      <c r="S130" s="101"/>
      <c r="T130" s="101"/>
      <c r="U130" s="101"/>
      <c r="V130" s="101"/>
    </row>
    <row r="131" spans="1:22" ht="21" customHeight="1" x14ac:dyDescent="0.15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99"/>
      <c r="P131" s="100"/>
      <c r="Q131" s="101"/>
      <c r="R131" s="101"/>
      <c r="S131" s="101"/>
      <c r="T131" s="101"/>
      <c r="U131" s="101"/>
      <c r="V131" s="101"/>
    </row>
    <row r="132" spans="1:22" ht="21" customHeight="1" x14ac:dyDescent="0.15">
      <c r="A132" s="86"/>
      <c r="B132" s="86"/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99"/>
      <c r="P132" s="100"/>
      <c r="Q132" s="101"/>
      <c r="R132" s="101"/>
      <c r="S132" s="101"/>
      <c r="T132" s="101"/>
      <c r="U132" s="101"/>
      <c r="V132" s="101"/>
    </row>
    <row r="133" spans="1:22" ht="21" customHeight="1" x14ac:dyDescent="0.15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99"/>
      <c r="P133" s="100"/>
      <c r="Q133" s="101"/>
      <c r="R133" s="101"/>
      <c r="S133" s="101"/>
      <c r="T133" s="101"/>
      <c r="U133" s="101"/>
      <c r="V133" s="101"/>
    </row>
    <row r="134" spans="1:22" ht="21" customHeight="1" x14ac:dyDescent="0.15">
      <c r="A134" s="86"/>
      <c r="B134" s="86"/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99"/>
      <c r="P134" s="100"/>
      <c r="Q134" s="101"/>
      <c r="R134" s="101"/>
      <c r="S134" s="101"/>
      <c r="T134" s="101"/>
      <c r="U134" s="101"/>
      <c r="V134" s="101"/>
    </row>
    <row r="135" spans="1:22" ht="21" customHeight="1" x14ac:dyDescent="0.15">
      <c r="A135" s="86"/>
      <c r="B135" s="86"/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99"/>
      <c r="P135" s="100"/>
      <c r="Q135" s="101"/>
      <c r="R135" s="101"/>
      <c r="S135" s="101"/>
      <c r="T135" s="101"/>
      <c r="U135" s="101"/>
      <c r="V135" s="101"/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G12" sqref="G1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input_565010</vt:lpstr>
      <vt:lpstr>tables_565010</vt:lpstr>
      <vt:lpstr>input_565100</vt:lpstr>
      <vt:lpstr>tables_565100</vt:lpstr>
      <vt:lpstr>tables_settle_565105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2017-04-06T06:21:15Z</dcterms:modified>
</cp:coreProperties>
</file>