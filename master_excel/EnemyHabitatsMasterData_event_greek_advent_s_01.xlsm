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720" yWindow="500" windowWidth="27320" windowHeight="1640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8" l="1"/>
  <c r="D15" i="18"/>
  <c r="C14" i="18"/>
  <c r="D14" i="18"/>
  <c r="C13" i="18"/>
  <c r="D13" i="18"/>
  <c r="O12" i="21"/>
  <c r="O11" i="21"/>
  <c r="O10" i="21"/>
  <c r="I13" i="21"/>
  <c r="J13" i="21"/>
  <c r="G13" i="21"/>
  <c r="F13" i="21"/>
  <c r="D13" i="21"/>
  <c r="C13" i="21"/>
  <c r="I12" i="21"/>
  <c r="J12" i="21"/>
  <c r="G12" i="21"/>
  <c r="F12" i="21"/>
  <c r="D12" i="21"/>
  <c r="C12" i="21"/>
  <c r="I11" i="21"/>
  <c r="J11" i="21"/>
  <c r="G11" i="21"/>
  <c r="F11" i="21"/>
  <c r="D11" i="21"/>
  <c r="C11" i="21"/>
  <c r="I10" i="21"/>
  <c r="J10" i="21"/>
  <c r="G10" i="21"/>
  <c r="F10" i="21"/>
  <c r="D10" i="21"/>
  <c r="C10" i="21"/>
  <c r="O4" i="21"/>
  <c r="I4" i="21"/>
  <c r="J4" i="21"/>
  <c r="G4" i="21"/>
  <c r="F4" i="21"/>
  <c r="D4" i="21"/>
  <c r="C4" i="21"/>
  <c r="O3" i="21"/>
  <c r="O5" i="21"/>
  <c r="O6" i="21"/>
  <c r="O7" i="21"/>
  <c r="O8" i="21"/>
  <c r="O9" i="21"/>
  <c r="O2" i="21"/>
  <c r="J67" i="11"/>
  <c r="O69" i="9"/>
  <c r="N69" i="9"/>
  <c r="M69" i="9"/>
  <c r="L69" i="9"/>
  <c r="K69" i="9"/>
  <c r="J69" i="9"/>
  <c r="I69" i="9"/>
  <c r="H69" i="9"/>
  <c r="G69" i="9"/>
  <c r="E69" i="9"/>
  <c r="D69" i="9"/>
  <c r="A69" i="9"/>
  <c r="J66" i="11"/>
  <c r="O68" i="9"/>
  <c r="N68" i="9"/>
  <c r="M68" i="9"/>
  <c r="L68" i="9"/>
  <c r="K68" i="9"/>
  <c r="J68" i="9"/>
  <c r="I68" i="9"/>
  <c r="H68" i="9"/>
  <c r="G68" i="9"/>
  <c r="E68" i="9"/>
  <c r="D68" i="9"/>
  <c r="A68" i="9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J7" i="11"/>
  <c r="O67" i="9"/>
  <c r="N67" i="9"/>
  <c r="M67" i="9"/>
  <c r="L67" i="9"/>
  <c r="K67" i="9"/>
  <c r="J67" i="9"/>
  <c r="I67" i="9"/>
  <c r="H67" i="9"/>
  <c r="G67" i="9"/>
  <c r="E67" i="9"/>
  <c r="D67" i="9"/>
  <c r="A67" i="9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J65" i="11"/>
  <c r="J64" i="11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I3" i="21"/>
  <c r="J3" i="21"/>
  <c r="G3" i="21"/>
  <c r="F3" i="21"/>
  <c r="D3" i="21"/>
  <c r="C3" i="21"/>
  <c r="I6" i="21"/>
  <c r="J6" i="21"/>
  <c r="G6" i="21"/>
  <c r="F6" i="21"/>
  <c r="D6" i="21"/>
  <c r="C6" i="21"/>
  <c r="I9" i="21"/>
  <c r="J9" i="21"/>
  <c r="G9" i="21"/>
  <c r="F9" i="21"/>
  <c r="D9" i="21"/>
  <c r="C9" i="21"/>
  <c r="I8" i="21"/>
  <c r="J8" i="21"/>
  <c r="G8" i="21"/>
  <c r="F8" i="21"/>
  <c r="D8" i="21"/>
  <c r="C8" i="21"/>
  <c r="I7" i="21"/>
  <c r="J7" i="21"/>
  <c r="G7" i="21"/>
  <c r="F7" i="21"/>
  <c r="D7" i="21"/>
  <c r="C7" i="21"/>
  <c r="I5" i="21"/>
  <c r="J5" i="21"/>
  <c r="G5" i="21"/>
  <c r="F5" i="21"/>
  <c r="D5" i="21"/>
  <c r="C5" i="21"/>
  <c r="J63" i="11"/>
  <c r="O64" i="9"/>
  <c r="N64" i="9"/>
  <c r="M64" i="9"/>
  <c r="L64" i="9"/>
  <c r="K64" i="9"/>
  <c r="J64" i="9"/>
  <c r="I64" i="9"/>
  <c r="H64" i="9"/>
  <c r="G64" i="9"/>
  <c r="E64" i="9"/>
  <c r="D64" i="9"/>
  <c r="A64" i="9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9" i="9"/>
  <c r="H9" i="9"/>
  <c r="I9" i="9"/>
  <c r="J9" i="9"/>
  <c r="K9" i="9"/>
  <c r="L9" i="9"/>
  <c r="M9" i="9"/>
  <c r="N9" i="9"/>
  <c r="G12" i="9"/>
  <c r="H12" i="9"/>
  <c r="I12" i="9"/>
  <c r="J12" i="9"/>
  <c r="K12" i="9"/>
  <c r="L12" i="9"/>
  <c r="M12" i="9"/>
  <c r="N12" i="9"/>
  <c r="G13" i="9"/>
  <c r="H13" i="9"/>
  <c r="I13" i="9"/>
  <c r="J13" i="9"/>
  <c r="K13" i="9"/>
  <c r="L13" i="9"/>
  <c r="M13" i="9"/>
  <c r="N13" i="9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G20" i="9"/>
  <c r="H20" i="9"/>
  <c r="I20" i="9"/>
  <c r="J20" i="9"/>
  <c r="K20" i="9"/>
  <c r="L20" i="9"/>
  <c r="M20" i="9"/>
  <c r="N20" i="9"/>
  <c r="G21" i="9"/>
  <c r="H21" i="9"/>
  <c r="I21" i="9"/>
  <c r="J21" i="9"/>
  <c r="K21" i="9"/>
  <c r="L21" i="9"/>
  <c r="M21" i="9"/>
  <c r="N21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G18" i="9"/>
  <c r="H18" i="9"/>
  <c r="I18" i="9"/>
  <c r="J18" i="9"/>
  <c r="K18" i="9"/>
  <c r="L18" i="9"/>
  <c r="M18" i="9"/>
  <c r="N18" i="9"/>
  <c r="G19" i="9"/>
  <c r="H19" i="9"/>
  <c r="I19" i="9"/>
  <c r="J19" i="9"/>
  <c r="K19" i="9"/>
  <c r="L19" i="9"/>
  <c r="M19" i="9"/>
  <c r="N19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G31" i="9"/>
  <c r="H31" i="9"/>
  <c r="I31" i="9"/>
  <c r="J31" i="9"/>
  <c r="K31" i="9"/>
  <c r="L31" i="9"/>
  <c r="M31" i="9"/>
  <c r="N31" i="9"/>
  <c r="G32" i="9"/>
  <c r="H32" i="9"/>
  <c r="I32" i="9"/>
  <c r="J32" i="9"/>
  <c r="K32" i="9"/>
  <c r="L32" i="9"/>
  <c r="M32" i="9"/>
  <c r="N32" i="9"/>
  <c r="G33" i="9"/>
  <c r="H33" i="9"/>
  <c r="I33" i="9"/>
  <c r="J33" i="9"/>
  <c r="K33" i="9"/>
  <c r="L33" i="9"/>
  <c r="M33" i="9"/>
  <c r="N33" i="9"/>
  <c r="G34" i="9"/>
  <c r="H34" i="9"/>
  <c r="I34" i="9"/>
  <c r="J34" i="9"/>
  <c r="K34" i="9"/>
  <c r="L34" i="9"/>
  <c r="M34" i="9"/>
  <c r="N34" i="9"/>
  <c r="G35" i="9"/>
  <c r="H35" i="9"/>
  <c r="I35" i="9"/>
  <c r="J35" i="9"/>
  <c r="K35" i="9"/>
  <c r="L35" i="9"/>
  <c r="M35" i="9"/>
  <c r="N35" i="9"/>
  <c r="G36" i="9"/>
  <c r="H36" i="9"/>
  <c r="I36" i="9"/>
  <c r="J36" i="9"/>
  <c r="K36" i="9"/>
  <c r="L36" i="9"/>
  <c r="M36" i="9"/>
  <c r="N36" i="9"/>
  <c r="G37" i="9"/>
  <c r="H37" i="9"/>
  <c r="I37" i="9"/>
  <c r="J37" i="9"/>
  <c r="K37" i="9"/>
  <c r="L37" i="9"/>
  <c r="M37" i="9"/>
  <c r="N37" i="9"/>
  <c r="G38" i="9"/>
  <c r="H38" i="9"/>
  <c r="I38" i="9"/>
  <c r="J38" i="9"/>
  <c r="K38" i="9"/>
  <c r="L38" i="9"/>
  <c r="M38" i="9"/>
  <c r="N38" i="9"/>
  <c r="G39" i="9"/>
  <c r="H39" i="9"/>
  <c r="I39" i="9"/>
  <c r="J39" i="9"/>
  <c r="K39" i="9"/>
  <c r="L39" i="9"/>
  <c r="M39" i="9"/>
  <c r="N39" i="9"/>
  <c r="G40" i="9"/>
  <c r="H40" i="9"/>
  <c r="I40" i="9"/>
  <c r="J40" i="9"/>
  <c r="K40" i="9"/>
  <c r="L40" i="9"/>
  <c r="M40" i="9"/>
  <c r="N40" i="9"/>
  <c r="G41" i="9"/>
  <c r="H41" i="9"/>
  <c r="I41" i="9"/>
  <c r="J41" i="9"/>
  <c r="K41" i="9"/>
  <c r="L41" i="9"/>
  <c r="M41" i="9"/>
  <c r="N41" i="9"/>
  <c r="G42" i="9"/>
  <c r="H42" i="9"/>
  <c r="I42" i="9"/>
  <c r="J42" i="9"/>
  <c r="K42" i="9"/>
  <c r="L42" i="9"/>
  <c r="M42" i="9"/>
  <c r="N42" i="9"/>
  <c r="G43" i="9"/>
  <c r="H43" i="9"/>
  <c r="I43" i="9"/>
  <c r="J43" i="9"/>
  <c r="K43" i="9"/>
  <c r="L43" i="9"/>
  <c r="M43" i="9"/>
  <c r="N43" i="9"/>
  <c r="G44" i="9"/>
  <c r="H44" i="9"/>
  <c r="I44" i="9"/>
  <c r="J44" i="9"/>
  <c r="K44" i="9"/>
  <c r="L44" i="9"/>
  <c r="M44" i="9"/>
  <c r="N44" i="9"/>
  <c r="G45" i="9"/>
  <c r="H45" i="9"/>
  <c r="I45" i="9"/>
  <c r="J45" i="9"/>
  <c r="K45" i="9"/>
  <c r="L45" i="9"/>
  <c r="M45" i="9"/>
  <c r="N45" i="9"/>
  <c r="G46" i="9"/>
  <c r="H46" i="9"/>
  <c r="I46" i="9"/>
  <c r="J46" i="9"/>
  <c r="K46" i="9"/>
  <c r="L46" i="9"/>
  <c r="M46" i="9"/>
  <c r="N46" i="9"/>
  <c r="G47" i="9"/>
  <c r="H47" i="9"/>
  <c r="I47" i="9"/>
  <c r="J47" i="9"/>
  <c r="K47" i="9"/>
  <c r="L47" i="9"/>
  <c r="M47" i="9"/>
  <c r="N47" i="9"/>
  <c r="G48" i="9"/>
  <c r="H48" i="9"/>
  <c r="I48" i="9"/>
  <c r="J48" i="9"/>
  <c r="K48" i="9"/>
  <c r="L48" i="9"/>
  <c r="M48" i="9"/>
  <c r="N48" i="9"/>
  <c r="G49" i="9"/>
  <c r="H49" i="9"/>
  <c r="I49" i="9"/>
  <c r="J49" i="9"/>
  <c r="K49" i="9"/>
  <c r="L49" i="9"/>
  <c r="M49" i="9"/>
  <c r="N49" i="9"/>
  <c r="G50" i="9"/>
  <c r="H50" i="9"/>
  <c r="I50" i="9"/>
  <c r="J50" i="9"/>
  <c r="K50" i="9"/>
  <c r="L50" i="9"/>
  <c r="M50" i="9"/>
  <c r="N50" i="9"/>
  <c r="G51" i="9"/>
  <c r="H51" i="9"/>
  <c r="I51" i="9"/>
  <c r="J51" i="9"/>
  <c r="K51" i="9"/>
  <c r="L51" i="9"/>
  <c r="M51" i="9"/>
  <c r="N51" i="9"/>
  <c r="G52" i="9"/>
  <c r="H52" i="9"/>
  <c r="I52" i="9"/>
  <c r="J52" i="9"/>
  <c r="K52" i="9"/>
  <c r="L52" i="9"/>
  <c r="M52" i="9"/>
  <c r="N52" i="9"/>
  <c r="G53" i="9"/>
  <c r="H53" i="9"/>
  <c r="I53" i="9"/>
  <c r="J53" i="9"/>
  <c r="K53" i="9"/>
  <c r="L53" i="9"/>
  <c r="M53" i="9"/>
  <c r="N53" i="9"/>
  <c r="G54" i="9"/>
  <c r="H54" i="9"/>
  <c r="I54" i="9"/>
  <c r="J54" i="9"/>
  <c r="K54" i="9"/>
  <c r="L54" i="9"/>
  <c r="M54" i="9"/>
  <c r="N54" i="9"/>
  <c r="G55" i="9"/>
  <c r="H55" i="9"/>
  <c r="I55" i="9"/>
  <c r="J55" i="9"/>
  <c r="K55" i="9"/>
  <c r="L55" i="9"/>
  <c r="M55" i="9"/>
  <c r="N55" i="9"/>
  <c r="G56" i="9"/>
  <c r="H56" i="9"/>
  <c r="I56" i="9"/>
  <c r="J56" i="9"/>
  <c r="K56" i="9"/>
  <c r="L56" i="9"/>
  <c r="M56" i="9"/>
  <c r="N56" i="9"/>
  <c r="G57" i="9"/>
  <c r="H57" i="9"/>
  <c r="I57" i="9"/>
  <c r="J57" i="9"/>
  <c r="K57" i="9"/>
  <c r="L57" i="9"/>
  <c r="M57" i="9"/>
  <c r="N57" i="9"/>
  <c r="G58" i="9"/>
  <c r="H58" i="9"/>
  <c r="I58" i="9"/>
  <c r="J58" i="9"/>
  <c r="K58" i="9"/>
  <c r="L58" i="9"/>
  <c r="M58" i="9"/>
  <c r="N58" i="9"/>
  <c r="G59" i="9"/>
  <c r="H59" i="9"/>
  <c r="I59" i="9"/>
  <c r="J59" i="9"/>
  <c r="K59" i="9"/>
  <c r="L59" i="9"/>
  <c r="M59" i="9"/>
  <c r="N59" i="9"/>
  <c r="G60" i="9"/>
  <c r="H60" i="9"/>
  <c r="I60" i="9"/>
  <c r="J60" i="9"/>
  <c r="K60" i="9"/>
  <c r="L60" i="9"/>
  <c r="M60" i="9"/>
  <c r="N60" i="9"/>
  <c r="G61" i="9"/>
  <c r="H61" i="9"/>
  <c r="I61" i="9"/>
  <c r="J61" i="9"/>
  <c r="K61" i="9"/>
  <c r="L61" i="9"/>
  <c r="M61" i="9"/>
  <c r="N61" i="9"/>
  <c r="G62" i="9"/>
  <c r="H62" i="9"/>
  <c r="I62" i="9"/>
  <c r="J62" i="9"/>
  <c r="K62" i="9"/>
  <c r="L62" i="9"/>
  <c r="M62" i="9"/>
  <c r="N62" i="9"/>
  <c r="G63" i="9"/>
  <c r="H63" i="9"/>
  <c r="I63" i="9"/>
  <c r="J63" i="9"/>
  <c r="K63" i="9"/>
  <c r="L63" i="9"/>
  <c r="M63" i="9"/>
  <c r="N63" i="9"/>
  <c r="G65" i="9"/>
  <c r="H65" i="9"/>
  <c r="I65" i="9"/>
  <c r="J65" i="9"/>
  <c r="K65" i="9"/>
  <c r="L65" i="9"/>
  <c r="M65" i="9"/>
  <c r="N65" i="9"/>
  <c r="G66" i="9"/>
  <c r="H66" i="9"/>
  <c r="I66" i="9"/>
  <c r="J66" i="9"/>
  <c r="K66" i="9"/>
  <c r="L66" i="9"/>
  <c r="M66" i="9"/>
  <c r="N66" i="9"/>
  <c r="J3" i="11"/>
  <c r="J4" i="11"/>
  <c r="J5" i="11"/>
  <c r="J6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O66" i="9"/>
  <c r="E66" i="9"/>
  <c r="D66" i="9"/>
  <c r="A66" i="9"/>
  <c r="O65" i="9"/>
  <c r="E65" i="9"/>
  <c r="D65" i="9"/>
  <c r="A65" i="9"/>
  <c r="O63" i="9"/>
  <c r="E63" i="9"/>
  <c r="D63" i="9"/>
  <c r="A63" i="9"/>
  <c r="O62" i="9"/>
  <c r="E62" i="9"/>
  <c r="D62" i="9"/>
  <c r="A62" i="9"/>
  <c r="O61" i="9"/>
  <c r="E61" i="9"/>
  <c r="D61" i="9"/>
  <c r="A61" i="9"/>
  <c r="O60" i="9"/>
  <c r="E60" i="9"/>
  <c r="D60" i="9"/>
  <c r="A60" i="9"/>
  <c r="O59" i="9"/>
  <c r="E59" i="9"/>
  <c r="D59" i="9"/>
  <c r="A59" i="9"/>
  <c r="O58" i="9"/>
  <c r="E58" i="9"/>
  <c r="D58" i="9"/>
  <c r="A58" i="9"/>
  <c r="O57" i="9"/>
  <c r="E57" i="9"/>
  <c r="D57" i="9"/>
  <c r="A57" i="9"/>
  <c r="O56" i="9"/>
  <c r="E56" i="9"/>
  <c r="D56" i="9"/>
  <c r="A56" i="9"/>
  <c r="O55" i="9"/>
  <c r="E55" i="9"/>
  <c r="D55" i="9"/>
  <c r="A55" i="9"/>
  <c r="O54" i="9"/>
  <c r="E54" i="9"/>
  <c r="D54" i="9"/>
  <c r="A54" i="9"/>
  <c r="O53" i="9"/>
  <c r="E53" i="9"/>
  <c r="D53" i="9"/>
  <c r="A53" i="9"/>
  <c r="O52" i="9"/>
  <c r="E52" i="9"/>
  <c r="D52" i="9"/>
  <c r="A52" i="9"/>
  <c r="O51" i="9"/>
  <c r="E51" i="9"/>
  <c r="D51" i="9"/>
  <c r="A51" i="9"/>
  <c r="O50" i="9"/>
  <c r="E50" i="9"/>
  <c r="D50" i="9"/>
  <c r="A50" i="9"/>
  <c r="O49" i="9"/>
  <c r="E49" i="9"/>
  <c r="D49" i="9"/>
  <c r="A49" i="9"/>
  <c r="O48" i="9"/>
  <c r="E48" i="9"/>
  <c r="D48" i="9"/>
  <c r="A48" i="9"/>
  <c r="O47" i="9"/>
  <c r="E47" i="9"/>
  <c r="D47" i="9"/>
  <c r="A47" i="9"/>
  <c r="O46" i="9"/>
  <c r="E46" i="9"/>
  <c r="D46" i="9"/>
  <c r="A46" i="9"/>
  <c r="O45" i="9"/>
  <c r="E45" i="9"/>
  <c r="D45" i="9"/>
  <c r="A45" i="9"/>
  <c r="O44" i="9"/>
  <c r="E44" i="9"/>
  <c r="D44" i="9"/>
  <c r="A44" i="9"/>
  <c r="O43" i="9"/>
  <c r="E43" i="9"/>
  <c r="D43" i="9"/>
  <c r="A43" i="9"/>
  <c r="O42" i="9"/>
  <c r="E42" i="9"/>
  <c r="D42" i="9"/>
  <c r="A42" i="9"/>
  <c r="O41" i="9"/>
  <c r="E41" i="9"/>
  <c r="D41" i="9"/>
  <c r="A41" i="9"/>
  <c r="O40" i="9"/>
  <c r="E40" i="9"/>
  <c r="D40" i="9"/>
  <c r="A40" i="9"/>
  <c r="O39" i="9"/>
  <c r="E39" i="9"/>
  <c r="D39" i="9"/>
  <c r="A39" i="9"/>
  <c r="O38" i="9"/>
  <c r="E38" i="9"/>
  <c r="D38" i="9"/>
  <c r="A38" i="9"/>
  <c r="O37" i="9"/>
  <c r="E37" i="9"/>
  <c r="D37" i="9"/>
  <c r="A37" i="9"/>
  <c r="O36" i="9"/>
  <c r="E36" i="9"/>
  <c r="D36" i="9"/>
  <c r="A36" i="9"/>
  <c r="O35" i="9"/>
  <c r="E35" i="9"/>
  <c r="D35" i="9"/>
  <c r="A35" i="9"/>
  <c r="O34" i="9"/>
  <c r="E34" i="9"/>
  <c r="D34" i="9"/>
  <c r="A34" i="9"/>
  <c r="O33" i="9"/>
  <c r="E33" i="9"/>
  <c r="D33" i="9"/>
  <c r="A33" i="9"/>
  <c r="O32" i="9"/>
  <c r="E32" i="9"/>
  <c r="D32" i="9"/>
  <c r="A32" i="9"/>
  <c r="O31" i="9"/>
  <c r="E31" i="9"/>
  <c r="D31" i="9"/>
  <c r="A31" i="9"/>
  <c r="O30" i="9"/>
  <c r="E30" i="9"/>
  <c r="D30" i="9"/>
  <c r="A30" i="9"/>
  <c r="O29" i="9"/>
  <c r="E29" i="9"/>
  <c r="D29" i="9"/>
  <c r="A29" i="9"/>
  <c r="O28" i="9"/>
  <c r="E28" i="9"/>
  <c r="D28" i="9"/>
  <c r="A28" i="9"/>
  <c r="O27" i="9"/>
  <c r="E27" i="9"/>
  <c r="D27" i="9"/>
  <c r="A27" i="9"/>
  <c r="O26" i="9"/>
  <c r="E26" i="9"/>
  <c r="D26" i="9"/>
  <c r="A26" i="9"/>
  <c r="O25" i="9"/>
  <c r="E25" i="9"/>
  <c r="D25" i="9"/>
  <c r="A25" i="9"/>
  <c r="O19" i="9"/>
  <c r="E19" i="9"/>
  <c r="D19" i="9"/>
  <c r="A19" i="9"/>
  <c r="O18" i="9"/>
  <c r="E18" i="9"/>
  <c r="D18" i="9"/>
  <c r="A18" i="9"/>
  <c r="O17" i="9"/>
  <c r="E17" i="9"/>
  <c r="D17" i="9"/>
  <c r="A17" i="9"/>
  <c r="O16" i="9"/>
  <c r="E16" i="9"/>
  <c r="D16" i="9"/>
  <c r="A16" i="9"/>
  <c r="O24" i="9"/>
  <c r="E24" i="9"/>
  <c r="D24" i="9"/>
  <c r="A24" i="9"/>
  <c r="O23" i="9"/>
  <c r="E23" i="9"/>
  <c r="D23" i="9"/>
  <c r="A23" i="9"/>
  <c r="O22" i="9"/>
  <c r="E22" i="9"/>
  <c r="D22" i="9"/>
  <c r="A22" i="9"/>
  <c r="O21" i="9"/>
  <c r="E21" i="9"/>
  <c r="D21" i="9"/>
  <c r="A21" i="9"/>
  <c r="O20" i="9"/>
  <c r="E20" i="9"/>
  <c r="D20" i="9"/>
  <c r="A20" i="9"/>
  <c r="O15" i="9"/>
  <c r="E15" i="9"/>
  <c r="D15" i="9"/>
  <c r="A15" i="9"/>
  <c r="O14" i="9"/>
  <c r="E14" i="9"/>
  <c r="D14" i="9"/>
  <c r="A14" i="9"/>
  <c r="O13" i="9"/>
  <c r="E13" i="9"/>
  <c r="D13" i="9"/>
  <c r="A13" i="9"/>
  <c r="O12" i="9"/>
  <c r="E12" i="9"/>
  <c r="D12" i="9"/>
  <c r="A12" i="9"/>
  <c r="O9" i="9"/>
  <c r="E9" i="9"/>
  <c r="D9" i="9"/>
  <c r="A9" i="9"/>
  <c r="O8" i="9"/>
  <c r="E8" i="9"/>
  <c r="D8" i="9"/>
  <c r="A8" i="9"/>
  <c r="O7" i="9"/>
  <c r="E7" i="9"/>
  <c r="D7" i="9"/>
  <c r="A7" i="9"/>
  <c r="O6" i="9"/>
  <c r="E6" i="9"/>
  <c r="D6" i="9"/>
  <c r="A6" i="9"/>
  <c r="O5" i="9"/>
  <c r="E5" i="9"/>
  <c r="D5" i="9"/>
  <c r="A5" i="9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R4" i="7"/>
  <c r="Q4" i="7"/>
  <c r="P4" i="7"/>
  <c r="O4" i="7"/>
  <c r="N4" i="7"/>
  <c r="H4" i="7"/>
  <c r="G3" i="2"/>
  <c r="A3" i="2"/>
  <c r="G4" i="2"/>
  <c r="A4" i="2"/>
  <c r="G5" i="2"/>
  <c r="A5" i="2"/>
  <c r="G2" i="2"/>
  <c r="A2" i="2"/>
  <c r="J4" i="7"/>
  <c r="I4" i="7"/>
  <c r="D4" i="7"/>
  <c r="F4" i="7"/>
  <c r="E4" i="7"/>
  <c r="A4" i="7"/>
  <c r="R3" i="7"/>
  <c r="Q3" i="7"/>
  <c r="P3" i="7"/>
  <c r="O3" i="7"/>
  <c r="N3" i="7"/>
  <c r="H3" i="7"/>
  <c r="J3" i="7"/>
  <c r="I3" i="7"/>
  <c r="D3" i="7"/>
  <c r="F3" i="7"/>
  <c r="E3" i="7"/>
  <c r="A3" i="7"/>
  <c r="AD8" i="1"/>
  <c r="AG8" i="1"/>
  <c r="AE8" i="1"/>
  <c r="AC8" i="1"/>
  <c r="V8" i="1"/>
  <c r="Q8" i="1"/>
  <c r="P8" i="1"/>
  <c r="O8" i="1"/>
  <c r="N8" i="1"/>
  <c r="M8" i="1"/>
  <c r="H8" i="1"/>
  <c r="J8" i="1"/>
  <c r="I8" i="1"/>
  <c r="D8" i="1"/>
  <c r="F8" i="1"/>
  <c r="E8" i="1"/>
  <c r="A8" i="1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2" i="1"/>
  <c r="AD2" i="1"/>
  <c r="AG2" i="1"/>
  <c r="AE2" i="1"/>
  <c r="AC2" i="1"/>
  <c r="E2" i="9"/>
  <c r="V2" i="1"/>
  <c r="Q2" i="1"/>
  <c r="P2" i="1"/>
  <c r="O2" i="1"/>
  <c r="N2" i="1"/>
  <c r="M2" i="1"/>
  <c r="H2" i="1"/>
  <c r="J2" i="1"/>
  <c r="I2" i="1"/>
  <c r="D2" i="1"/>
  <c r="F2" i="1"/>
  <c r="E2" i="1"/>
  <c r="A2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V4" i="1"/>
  <c r="Q4" i="1"/>
  <c r="P4" i="1"/>
  <c r="O4" i="1"/>
  <c r="N4" i="1"/>
  <c r="M4" i="1"/>
  <c r="H4" i="1"/>
  <c r="J4" i="1"/>
  <c r="I4" i="1"/>
  <c r="D4" i="1"/>
  <c r="F4" i="1"/>
  <c r="E4" i="1"/>
  <c r="A4" i="1"/>
  <c r="H5" i="2"/>
  <c r="E5" i="2"/>
  <c r="D5" i="2"/>
  <c r="H3" i="1"/>
  <c r="B5" i="2"/>
  <c r="H4" i="2"/>
  <c r="E4" i="2"/>
  <c r="D4" i="2"/>
  <c r="B4" i="2"/>
  <c r="H3" i="2"/>
  <c r="E3" i="2"/>
  <c r="D3" i="2"/>
  <c r="B3" i="2"/>
  <c r="C13" i="16"/>
  <c r="E13" i="16"/>
  <c r="C12" i="16"/>
  <c r="I2" i="21"/>
  <c r="J2" i="21"/>
  <c r="G2" i="21"/>
  <c r="F2" i="21"/>
  <c r="D2" i="21"/>
  <c r="C2" i="21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R2" i="7"/>
  <c r="Q2" i="7"/>
  <c r="P2" i="7"/>
  <c r="O2" i="7"/>
  <c r="N2" i="7"/>
  <c r="AB3" i="1"/>
  <c r="AE3" i="1"/>
  <c r="AD3" i="1"/>
  <c r="AC3" i="1"/>
  <c r="V3" i="1"/>
  <c r="Q3" i="1"/>
  <c r="P3" i="1"/>
  <c r="O3" i="1"/>
  <c r="N3" i="1"/>
  <c r="M3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3" i="1"/>
  <c r="AG3" i="1"/>
  <c r="A2" i="9"/>
  <c r="J3" i="1"/>
  <c r="I3" i="1"/>
  <c r="D3" i="1"/>
  <c r="F3" i="1"/>
  <c r="E3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<sst xmlns="http://schemas.openxmlformats.org/spreadsheetml/2006/main" count="978" uniqueCount="444">
  <si>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</si>
  <si>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</si>
  <si>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</si>
  <si>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</si>
  <si>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</si>
  <si>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</si>
  <si>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</si>
  <si>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</si>
  <si>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</si>
  <si>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</si>
  <si>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</si>
  <si>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</si>
  <si>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</si>
  <si>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</si>
  <si>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</si>
  <si>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</si>
  <si>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</si>
  <si>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</si>
  <si>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</si>
  <si>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</si>
  <si>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</si>
  <si>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</si>
  <si>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</si>
  <si>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</si>
  <si>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</si>
  <si>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</si>
  <si>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</si>
  <si>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</si>
  <si>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</si>
  <si>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</si>
  <si>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</si>
  <si>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</si>
  <si>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</si>
  <si>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</si>
  <si>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</si>
  <si>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</si>
  <si>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</si>
  <si>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</si>
  <si>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</si>
  <si>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</si>
  <si>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</si>
  <si>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</si>
  <si>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</si>
  <si>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</si>
  <si>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</si>
  <si>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</si>
  <si>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</si>
  <si>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</si>
  <si>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</si>
  <si>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</si>
  <si>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</si>
  <si>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</si>
  <si>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</si>
  <si>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</si>
  <si>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</si>
  <si>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</si>
  <si>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</si>
  <si>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</si>
  <si>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</si>
  <si>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</si>
  <si>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</si>
  <si>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</si>
  <si>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</si>
  <si>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</si>
  <si>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</si>
  <si>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</si>
  <si>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</si>
  <si>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</si>
  <si>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</si>
  <si>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</si>
  <si>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</si>
  <si>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</si>
  <si>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</si>
  <si>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</si>
  <si>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</si>
  <si>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</si>
  <si>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</si>
  <si>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</si>
  <si>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</si>
  <si>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</si>
  <si>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</si>
  <si>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</si>
  <si>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</si>
  <si>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</si>
  <si>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</si>
  <si>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</si>
  <si>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</si>
  <si>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</si>
  <si>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</si>
  <si>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</si>
  <si>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</si>
  <si>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</si>
  <si>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</si>
  <si>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</si>
  <si>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</si>
  <si>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</si>
  <si>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</si>
  <si>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</si>
  <si>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</si>
  <si>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</si>
  <si>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</si>
  <si>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</si>
  <si>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</si>
  <si>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</si>
  <si>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</si>
  <si>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</si>
  <si>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</si>
  <si>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</si>
  <si>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</si>
  <si>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</si>
  <si>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</si>
  <si>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</si>
  <si>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</si>
  <si>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</si>
  <si>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</si>
  <si>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</si>
  <si>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</si>
  <si>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</si>
  <si>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</si>
  <si>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</si>
  <si>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</si>
  <si>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</si>
  <si>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</si>
  <si>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</si>
  <si>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</si>
  <si>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</si>
  <si>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</si>
  <si>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</si>
  <si>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</si>
  <si>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</si>
  <si>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</si>
  <si>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</si>
  <si>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</si>
  <si>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</si>
  <si>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</si>
  <si>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</si>
  <si>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</si>
  <si>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</si>
  <si>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</si>
  <si>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</si>
  <si>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</si>
  <si>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</si>
  <si>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</si>
  <si>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</si>
  <si>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</si>
  <si>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</si>
  <si>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</si>
  <si>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</si>
  <si>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</si>
  <si>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</si>
  <si>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</si>
  <si>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</si>
  <si>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</si>
  <si>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</si>
  <si>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</si>
  <si>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</si>
  <si>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</si>
  <si>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</si>
  <si>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</si>
  <si>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</si>
  <si>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</si>
  <si>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</si>
  <si>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</si>
  <si>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</si>
  <si>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</si>
  <si>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</si>
  <si>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</si>
  <si>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</si>
  <si>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</si>
  <si>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</si>
  <si>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</si>
  <si>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</si>
  <si>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</si>
  <si>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</si>
  <si>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</si>
  <si>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</si>
  <si>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</si>
  <si>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</si>
  <si>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</si>
  <si>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</si>
  <si>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</si>
  <si>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</si>
  <si>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</si>
  <si>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</si>
  <si>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</si>
  <si>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</si>
  <si>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</si>
  <si>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</si>
  <si>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</si>
  <si>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</si>
  <si>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</si>
  <si>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</si>
  <si>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</si>
  <si>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</si>
  <si>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</si>
  <si>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</si>
  <si>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</si>
  <si>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</si>
  <si>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</si>
  <si>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</si>
  <si>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</si>
  <si>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</si>
  <si>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</si>
  <si>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</si>
  <si>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</si>
  <si>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</si>
  <si>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</si>
  <si>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</si>
  <si>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</si>
  <si>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</si>
  <si>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</si>
  <si>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</si>
  <si>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</si>
  <si>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</si>
  <si>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</si>
  <si>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</si>
  <si>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</si>
  <si>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</si>
  <si>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</si>
  <si>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</si>
  <si>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</si>
  <si>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</si>
  <si>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</si>
  <si>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</si>
  <si>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</si>
  <si>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</si>
  <si>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</si>
  <si>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</si>
  <si>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</si>
  <si>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</si>
  <si>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</si>
  <si>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</si>
  <si>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</si>
  <si>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</si>
  <si>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</si>
  <si>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</si>
  <si>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</si>
  <si>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</si>
  <si>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</si>
  <si>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</si>
  <si>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</si>
  <si>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</si>
  <si>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</si>
  <si>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</si>
  <si>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</si>
  <si>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</si>
  <si>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</si>
  <si>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null</t>
    <phoneticPr fontId="5"/>
  </si>
  <si>
    <t>[effect:nothing]</t>
    <phoneticPr fontId="5"/>
  </si>
  <si>
    <t>全体攻撃</t>
    <rPh sb="0" eb="2">
      <t>ゼンタイ</t>
    </rPh>
    <rPh sb="2" eb="4">
      <t>コウゲキ</t>
    </rPh>
    <phoneticPr fontId="5"/>
  </si>
  <si>
    <t>3回連続攻撃</t>
    <rPh sb="1" eb="2">
      <t>カイ</t>
    </rPh>
    <rPh sb="2" eb="6">
      <t>レンゾクコウゲキ</t>
    </rPh>
    <phoneticPr fontId="5"/>
  </si>
  <si>
    <t>6回連続攻撃</t>
    <rPh sb="1" eb="2">
      <t>カイ</t>
    </rPh>
    <rPh sb="2" eb="6">
      <t>レンゾクコウゲキ</t>
    </rPh>
    <phoneticPr fontId="5"/>
  </si>
  <si>
    <t>全体攻撃</t>
    <rPh sb="0" eb="4">
      <t>ゼンタイコウゲキ</t>
    </rPh>
    <phoneticPr fontId="5"/>
  </si>
  <si>
    <t>8回連続攻撃</t>
    <rPh sb="1" eb="2">
      <t>カイ</t>
    </rPh>
    <rPh sb="2" eb="6">
      <t>レンゾクコウゲキ</t>
    </rPh>
    <phoneticPr fontId="5"/>
  </si>
  <si>
    <t>5ターン攻撃頻度が1にUP</t>
    <rPh sb="4" eb="8">
      <t>コウゲキヒンド</t>
    </rPh>
    <phoneticPr fontId="5"/>
  </si>
  <si>
    <t>赤パネル吸収攻撃（最大20個）</t>
    <rPh sb="0" eb="1">
      <t>アカ</t>
    </rPh>
    <rPh sb="4" eb="8">
      <t>キュウシュウコウゲキ</t>
    </rPh>
    <rPh sb="9" eb="11">
      <t>サイダイ</t>
    </rPh>
    <rPh sb="13" eb="14">
      <t>コ</t>
    </rPh>
    <phoneticPr fontId="5"/>
  </si>
  <si>
    <t>青パネル吸収攻撃（最大20個）</t>
    <rPh sb="0" eb="1">
      <t>アオ</t>
    </rPh>
    <rPh sb="4" eb="8">
      <t>キュウシュウコウゲキ</t>
    </rPh>
    <rPh sb="9" eb="11">
      <t>サイダイ</t>
    </rPh>
    <rPh sb="13" eb="14">
      <t>コ</t>
    </rPh>
    <phoneticPr fontId="5"/>
  </si>
  <si>
    <t>黄パネル吸収攻撃（最大20個）</t>
    <rPh sb="0" eb="1">
      <t>キイロ</t>
    </rPh>
    <rPh sb="4" eb="8">
      <t>キュウシュウコウゲキ</t>
    </rPh>
    <rPh sb="9" eb="11">
      <t>サイダイ</t>
    </rPh>
    <rPh sb="13" eb="14">
      <t>コ</t>
    </rPh>
    <phoneticPr fontId="5"/>
  </si>
  <si>
    <t>2回連続攻撃</t>
    <rPh sb="1" eb="2">
      <t>カイ</t>
    </rPh>
    <rPh sb="2" eb="6">
      <t>レンゾクコウゲキ</t>
    </rPh>
    <phoneticPr fontId="5"/>
  </si>
  <si>
    <t>赤・黄パネル吸収攻撃（最大20個）</t>
    <rPh sb="0" eb="1">
      <t>アカ</t>
    </rPh>
    <rPh sb="2" eb="3">
      <t>キイロ</t>
    </rPh>
    <rPh sb="6" eb="10">
      <t>キュウシュウコウゲキ</t>
    </rPh>
    <rPh sb="11" eb="13">
      <t>サイダイ</t>
    </rPh>
    <rPh sb="15" eb="16">
      <t>コ</t>
    </rPh>
    <phoneticPr fontId="5"/>
  </si>
  <si>
    <t>青・黄パネル吸収攻撃（最大20個）</t>
    <rPh sb="0" eb="1">
      <t>アオ</t>
    </rPh>
    <rPh sb="2" eb="3">
      <t>キイロ</t>
    </rPh>
    <rPh sb="6" eb="10">
      <t>キュウシュウコウゲキ</t>
    </rPh>
    <rPh sb="11" eb="13">
      <t>サイダイ</t>
    </rPh>
    <rPh sb="15" eb="16">
      <t>コ</t>
    </rPh>
    <phoneticPr fontId="5"/>
  </si>
  <si>
    <t>強力な緑パネル吸収攻撃</t>
    <rPh sb="0" eb="2">
      <t>キョウリョクナ</t>
    </rPh>
    <rPh sb="3" eb="4">
      <t>ミドリ</t>
    </rPh>
    <rPh sb="7" eb="9">
      <t>キュウシュウ</t>
    </rPh>
    <rPh sb="9" eb="11">
      <t>コウゲキ</t>
    </rPh>
    <phoneticPr fontId="5"/>
  </si>
  <si>
    <t>お邪魔パネル大量生成+フィーバー減少</t>
    <rPh sb="6" eb="10">
      <t>タイリョウセイセイ</t>
    </rPh>
    <rPh sb="16" eb="18">
      <t>ゲンショウ</t>
    </rPh>
    <phoneticPr fontId="5"/>
  </si>
  <si>
    <t>old</t>
  </si>
  <si>
    <t>null</t>
    <phoneticPr fontId="5"/>
  </si>
  <si>
    <t>null</t>
    <phoneticPr fontId="5"/>
  </si>
  <si>
    <t>null</t>
    <phoneticPr fontId="5"/>
  </si>
  <si>
    <t>[effect:change_panel_ratio, turn:5, block_type:red, val:0.5],[effect:change_panel_ratio, turn:5, block_type:yellow, val:0.5, animation:block_incidence04]</t>
    <phoneticPr fontId="5"/>
  </si>
  <si>
    <t>…私の見込み違いだったか？</t>
    <rPh sb="1" eb="2">
      <t>ワタシノ</t>
    </rPh>
    <rPh sb="3" eb="5">
      <t>ミコミチガイ</t>
    </rPh>
    <phoneticPr fontId="5"/>
  </si>
  <si>
    <t>[effect:spread, val:0.3]</t>
    <phoneticPr fontId="5"/>
  </si>
  <si>
    <t>[effect:critical, val:1.5]</t>
    <phoneticPr fontId="5"/>
  </si>
  <si>
    <t>[effect:hp_spend, val:1, animation:spend_hp]</t>
    <phoneticPr fontId="5"/>
  </si>
  <si>
    <t>[effect:fix_speed, target:myself, turn:1]</t>
    <phoneticPr fontId="5"/>
  </si>
  <si>
    <t>[effect:fix_speed, target:myself, turn:2],[effect:critical, val:2.0]</t>
    <phoneticPr fontId="5"/>
  </si>
  <si>
    <t>[effect:rush, count:6, val:0.25]</t>
    <phoneticPr fontId="5"/>
  </si>
  <si>
    <t>[effect:enhance_enemy, target:myself, turn:3, status:attack, val:0.4, animation:enemy_enhance_attack]</t>
    <phoneticPr fontId="5"/>
  </si>
  <si>
    <t>[effect:rush, count:8, val:0.2]</t>
    <phoneticPr fontId="5"/>
  </si>
  <si>
    <t>[effect:freq_turn, target:myself, turn:5, val:1, animation:enemy_freq_turn]</t>
    <phoneticPr fontId="5"/>
  </si>
  <si>
    <t>3ターン攻撃力大UP</t>
    <rPh sb="4" eb="7">
      <t>コウゲキリョク</t>
    </rPh>
    <rPh sb="7" eb="8">
      <t>ダイ</t>
    </rPh>
    <phoneticPr fontId="5"/>
  </si>
  <si>
    <t>此度の試練は終了だ　再戦を待っているよ</t>
    <rPh sb="0" eb="2">
      <t>コタビ</t>
    </rPh>
    <rPh sb="3" eb="5">
      <t>シレンハ</t>
    </rPh>
    <rPh sb="6" eb="8">
      <t>シュウリョウ</t>
    </rPh>
    <rPh sb="10" eb="12">
      <t>サイセン</t>
    </rPh>
    <rPh sb="13" eb="14">
      <t>マッテイル</t>
    </rPh>
    <phoneticPr fontId="5"/>
  </si>
  <si>
    <t>[effect:enhance_enemy, target:myself, turn:-1, status:defense, val:5000, calc:add, animation:enemy_enhance_defense]</t>
    <phoneticPr fontId="5"/>
  </si>
  <si>
    <t>unit</t>
  </si>
  <si>
    <t>[effect:rush, count:3, val:0.4]</t>
    <phoneticPr fontId="5"/>
  </si>
  <si>
    <t>[effect:panel_freeze, target:block_yellow, count:30],[effect:rush, count:1, val:1.0]</t>
    <phoneticPr fontId="5"/>
  </si>
  <si>
    <t>[effect:panel_freeze, target:block_red, count:30],[effect:rush, count:1, val:1.0]</t>
    <phoneticPr fontId="5"/>
  </si>
  <si>
    <t>5ターン自身の攻撃力大UP</t>
    <rPh sb="4" eb="6">
      <t>ジシンノ</t>
    </rPh>
    <rPh sb="7" eb="10">
      <t>コウゲキリョク</t>
    </rPh>
    <rPh sb="10" eb="11">
      <t>ダイ</t>
    </rPh>
    <phoneticPr fontId="5"/>
  </si>
  <si>
    <t>自身の防御力超大UP</t>
    <rPh sb="0" eb="2">
      <t>ジシンノ</t>
    </rPh>
    <rPh sb="3" eb="6">
      <t>ボウギョリョク</t>
    </rPh>
    <rPh sb="6" eb="8">
      <t>チョウダイ</t>
    </rPh>
    <phoneticPr fontId="5"/>
  </si>
  <si>
    <t>[effect:hp_spend, val:1, animation:spend_hp]</t>
    <phoneticPr fontId="5"/>
  </si>
  <si>
    <t>5ターン暗闇+Cパネル生成超大延長</t>
    <rPh sb="4" eb="6">
      <t>クラヤミ</t>
    </rPh>
    <rPh sb="11" eb="13">
      <t>セイセイ</t>
    </rPh>
    <rPh sb="13" eb="15">
      <t>チョウダイ</t>
    </rPh>
    <rPh sb="15" eb="17">
      <t>エンチョウ</t>
    </rPh>
    <phoneticPr fontId="5"/>
  </si>
  <si>
    <t>[effect:rush, count:2, val:0.7]</t>
    <phoneticPr fontId="5"/>
  </si>
  <si>
    <t>[effect:enhance_enemy, target:myself, turn:5, status:attack, val:0.3, animation:enemy_enhance_attack]</t>
    <phoneticPr fontId="5"/>
  </si>
  <si>
    <t>赤パネル30個プロテクト+黄パネル吸収攻撃</t>
    <rPh sb="0" eb="1">
      <t>アカ</t>
    </rPh>
    <rPh sb="6" eb="7">
      <t>コ</t>
    </rPh>
    <rPh sb="13" eb="14">
      <t>キイロ</t>
    </rPh>
    <rPh sb="17" eb="19">
      <t>キュウシュウ</t>
    </rPh>
    <rPh sb="19" eb="21">
      <t>コウゲキ</t>
    </rPh>
    <phoneticPr fontId="5"/>
  </si>
  <si>
    <t>黄パネル30個プロテクト+赤パネル吸収攻撃</t>
    <rPh sb="0" eb="1">
      <t>キイロ</t>
    </rPh>
    <rPh sb="6" eb="7">
      <t>コ</t>
    </rPh>
    <rPh sb="13" eb="14">
      <t>アカ</t>
    </rPh>
    <rPh sb="17" eb="19">
      <t>キュウシュウ</t>
    </rPh>
    <rPh sb="19" eb="21">
      <t>コウゲキ</t>
    </rPh>
    <phoneticPr fontId="5"/>
  </si>
  <si>
    <t>お邪魔パネル6個生成+攻撃</t>
    <rPh sb="7" eb="8">
      <t>コ</t>
    </rPh>
    <rPh sb="8" eb="10">
      <t>セイセイ</t>
    </rPh>
    <rPh sb="11" eb="13">
      <t>コウゲキ</t>
    </rPh>
    <phoneticPr fontId="5"/>
  </si>
  <si>
    <t>[effect:break_attack, val:0.08, lowest_val:8000, count:20, block01:block_red, block02:block_yellow, target:unit_one]</t>
    <phoneticPr fontId="5"/>
  </si>
  <si>
    <t>[effect:break_attack, val:0.08, lowest_val:8000, count:20, block01:block_blue, block02:block_yellow, target:unit_one]</t>
    <phoneticPr fontId="5"/>
  </si>
  <si>
    <t>[effect:break_attack, val:0.08, lowest_val:8000, count:20, block:block_red, target:unit_one]</t>
    <phoneticPr fontId="5"/>
  </si>
  <si>
    <t>[effect:break_attack, val:0.08, lowest_val:8000, count:20, block:block_blue, target:unit_one]</t>
    <phoneticPr fontId="5"/>
  </si>
  <si>
    <t>[effect:break_attack, val:0.08, lowest_val:8000, count:20, block:block_yellow, target:unit_one]</t>
    <phoneticPr fontId="5"/>
  </si>
  <si>
    <t>[effect:break_attack, val:0.08, lowest_val:8000, count:-1, block:block_green, target:unit_one]</t>
    <phoneticPr fontId="5"/>
  </si>
  <si>
    <t>[effect:rush, count:1, val:1.0]</t>
    <phoneticPr fontId="5"/>
  </si>
  <si>
    <t>[effect:critical, val:1.25]</t>
    <phoneticPr fontId="5"/>
  </si>
  <si>
    <t>20回連続攻撃</t>
    <rPh sb="2" eb="3">
      <t>カイ</t>
    </rPh>
    <rPh sb="3" eb="5">
      <t>レンゾク</t>
    </rPh>
    <rPh sb="5" eb="7">
      <t>コウゲキ</t>
    </rPh>
    <phoneticPr fontId="5"/>
  </si>
  <si>
    <t>[effect:critical, val:1.5]</t>
    <phoneticPr fontId="5"/>
  </si>
  <si>
    <t>[effect:critical, val:1.75]</t>
    <phoneticPr fontId="5"/>
  </si>
  <si>
    <t>[effect:break_enchance_enemy, val:0.02, lowest_val:0.2, count:20, status:attack, turn:3, block:block_green, target:myself, calc:mul, animation:enemy_enhance_attack]</t>
    <phoneticPr fontId="5"/>
  </si>
  <si>
    <t>[effect:break_attack, val:0.06, lowest_val:0.5, count:20, block01:block_red, block02:block_yellow, target:unit_one]</t>
    <phoneticPr fontId="5"/>
  </si>
  <si>
    <t>赤・黄パネル吸収攻撃（最大20個）</t>
    <rPh sb="0" eb="1">
      <t>アカ</t>
    </rPh>
    <rPh sb="2" eb="3">
      <t>キイロ</t>
    </rPh>
    <rPh sb="6" eb="8">
      <t>キュウシュウ</t>
    </rPh>
    <rPh sb="8" eb="10">
      <t>コウゲキ</t>
    </rPh>
    <rPh sb="11" eb="13">
      <t>サイダイ</t>
    </rPh>
    <rPh sb="15" eb="16">
      <t>コ</t>
    </rPh>
    <phoneticPr fontId="5"/>
  </si>
  <si>
    <t>[effect:fix_speed, target:myself, turn:2]</t>
    <phoneticPr fontId="5"/>
  </si>
  <si>
    <t>[effect:fix_speed, target:myself, turn:2]</t>
    <phoneticPr fontId="5"/>
  </si>
  <si>
    <t>&lt;これでトドメなんだから！&gt;</t>
    <phoneticPr fontId="5"/>
  </si>
  <si>
    <t>&lt;海の凄さを認めなさーい！&gt;</t>
    <phoneticPr fontId="5"/>
  </si>
  <si>
    <t>&lt;見なさい！奇跡の誕生を！&gt;</t>
    <phoneticPr fontId="5"/>
  </si>
  <si>
    <t>お邪魔パネル4個生成+全体攻撃</t>
    <rPh sb="7" eb="8">
      <t>コ</t>
    </rPh>
    <rPh sb="8" eb="10">
      <t>セイセイ</t>
    </rPh>
    <phoneticPr fontId="5"/>
  </si>
  <si>
    <t>[effect:panel_freeze, target:block_red, count:30],[effect:break_attack, val:0.1, lowest_val:6000, count:-1, block:block_yellow, target:unit_one]</t>
    <phoneticPr fontId="5"/>
  </si>
  <si>
    <t>[effect:panel_freeze, target:block_yellow, count:30],[effect:break_attack, val:0.1, lowest_val:6000, count:-1, block:block_red, target:unit_one]</t>
    <phoneticPr fontId="5"/>
  </si>
  <si>
    <t>ようこそ　私の領域へ</t>
    <rPh sb="5" eb="6">
      <t>ワタシノ</t>
    </rPh>
    <rPh sb="7" eb="9">
      <t>リョウイキ</t>
    </rPh>
    <phoneticPr fontId="5"/>
  </si>
  <si>
    <t>5ターン赤・黄パネルの出現率大UP</t>
    <rPh sb="4" eb="5">
      <t>アカ</t>
    </rPh>
    <rPh sb="6" eb="7">
      <t>キイロ</t>
    </rPh>
    <rPh sb="11" eb="14">
      <t>シュツゲンリツ</t>
    </rPh>
    <rPh sb="14" eb="15">
      <t>ダイ</t>
    </rPh>
    <phoneticPr fontId="5"/>
  </si>
  <si>
    <t>集え　ALICEの天光よ</t>
    <rPh sb="0" eb="1">
      <t>ツドエ</t>
    </rPh>
    <rPh sb="9" eb="11">
      <t>テンコウ</t>
    </rPh>
    <phoneticPr fontId="5"/>
  </si>
  <si>
    <t>エクリプス</t>
    <phoneticPr fontId="5"/>
  </si>
  <si>
    <t>&lt;この瞬間を待ってたぜッ！&gt;</t>
    <rPh sb="3" eb="5">
      <t>シュンカンヲ</t>
    </rPh>
    <rPh sb="6" eb="7">
      <t>マッテイタ</t>
    </rPh>
    <phoneticPr fontId="5"/>
  </si>
  <si>
    <t>血炎斬首・天地沸騰</t>
    <phoneticPr fontId="5"/>
  </si>
  <si>
    <t>烈火斬突・暴走</t>
    <phoneticPr fontId="5"/>
  </si>
  <si>
    <t>クリティカル！</t>
    <phoneticPr fontId="5"/>
  </si>
  <si>
    <t>ギガンティック・ヘル</t>
    <phoneticPr fontId="5"/>
  </si>
  <si>
    <t>絶滅契約</t>
    <phoneticPr fontId="5"/>
  </si>
  <si>
    <t>メイド・イン・アビス</t>
    <phoneticPr fontId="5"/>
  </si>
  <si>
    <t>&lt;藻屑にしてあげるよー！&gt;</t>
    <rPh sb="1" eb="3">
      <t>モクズニ</t>
    </rPh>
    <phoneticPr fontId="5"/>
  </si>
  <si>
    <t>トリプレットターゲット</t>
    <phoneticPr fontId="5"/>
  </si>
  <si>
    <t>&lt;形勢逆転しちゃうわよ…！&gt;</t>
    <phoneticPr fontId="5"/>
  </si>
  <si>
    <t>ヘキサゴナルインパクト</t>
    <phoneticPr fontId="5"/>
  </si>
  <si>
    <t>神母の連弾</t>
    <rPh sb="0" eb="1">
      <t>カミ</t>
    </rPh>
    <phoneticPr fontId="5"/>
  </si>
  <si>
    <t>烈輝の奇環連砲</t>
    <phoneticPr fontId="5"/>
  </si>
  <si>
    <t>&lt;あたしを怒らせたわね！&gt;</t>
    <phoneticPr fontId="5"/>
  </si>
  <si>
    <t>次のターン強力な攻撃</t>
    <rPh sb="0" eb="1">
      <t>ツギノ</t>
    </rPh>
    <rPh sb="5" eb="7">
      <t>キョウリョクナ</t>
    </rPh>
    <rPh sb="8" eb="10">
      <t>コウゲキ</t>
    </rPh>
    <phoneticPr fontId="5"/>
  </si>
  <si>
    <t>強力なクリティカル！</t>
    <rPh sb="0" eb="2">
      <t>キョウリョクナ</t>
    </rPh>
    <phoneticPr fontId="5"/>
  </si>
  <si>
    <t>&lt;地獄の始まりだぜッ！&gt;</t>
    <phoneticPr fontId="5"/>
  </si>
  <si>
    <t>剥奪の龍息【朱】</t>
    <phoneticPr fontId="5"/>
  </si>
  <si>
    <t>剥奪の龍息【蒼】</t>
    <phoneticPr fontId="5"/>
  </si>
  <si>
    <t>剥奪の龍息【金】</t>
    <rPh sb="6" eb="7">
      <t>キn</t>
    </rPh>
    <phoneticPr fontId="5"/>
  </si>
  <si>
    <t>&lt;全テ奪ウ…全テダ！！&gt;</t>
    <phoneticPr fontId="5"/>
  </si>
  <si>
    <t>崩天牙撃</t>
    <phoneticPr fontId="5"/>
  </si>
  <si>
    <t>&lt;抵抗ハ無意味ダ！&gt;</t>
    <rPh sb="1" eb="3">
      <t>テイコウ</t>
    </rPh>
    <rPh sb="4" eb="5">
      <t>ムダ</t>
    </rPh>
    <rPh sb="5" eb="7">
      <t>イミ</t>
    </rPh>
    <phoneticPr fontId="5"/>
  </si>
  <si>
    <t>&lt;傷一ツ付ケラレン！&gt;</t>
    <rPh sb="1" eb="2">
      <t>キズ</t>
    </rPh>
    <rPh sb="2" eb="3">
      <t>ヒトツ</t>
    </rPh>
    <rPh sb="4" eb="5">
      <t>ツケ</t>
    </rPh>
    <phoneticPr fontId="5"/>
  </si>
  <si>
    <t>剥奪の龍息【朱金】</t>
    <rPh sb="6" eb="7">
      <t>シュイロ</t>
    </rPh>
    <rPh sb="7" eb="8">
      <t>キン</t>
    </rPh>
    <phoneticPr fontId="5"/>
  </si>
  <si>
    <t>剥奪の龍息【蒼金】</t>
    <rPh sb="6" eb="7">
      <t>アオ</t>
    </rPh>
    <phoneticPr fontId="5"/>
  </si>
  <si>
    <t>&lt;灰燼ト化セ！！&gt;</t>
    <rPh sb="1" eb="3">
      <t>カイジン</t>
    </rPh>
    <rPh sb="4" eb="5">
      <t>ヘンカ</t>
    </rPh>
    <phoneticPr fontId="5"/>
  </si>
  <si>
    <t>&lt;ドウシタ…ソノ程度カ！？&gt;</t>
    <rPh sb="8" eb="10">
      <t>テイド</t>
    </rPh>
    <phoneticPr fontId="5"/>
  </si>
  <si>
    <t>&lt;コレデ終ワラセテヤロウ！&gt;</t>
    <rPh sb="4" eb="5">
      <t>オワラセテ</t>
    </rPh>
    <phoneticPr fontId="5"/>
  </si>
  <si>
    <t>&lt;望ミ通リ…蹂躙シテヤロウ！&gt;</t>
    <phoneticPr fontId="5"/>
  </si>
  <si>
    <t>5ターン全ユニットの攻撃力&amp;回復力50%DOWN</t>
    <rPh sb="4" eb="5">
      <t>ゼン</t>
    </rPh>
    <rPh sb="10" eb="13">
      <t>コウゲキリョク</t>
    </rPh>
    <rPh sb="14" eb="17">
      <t>カイフクリョク</t>
    </rPh>
    <phoneticPr fontId="5"/>
  </si>
  <si>
    <t>[effect:fix_speed, target:myself, turn:1]</t>
    <phoneticPr fontId="5"/>
  </si>
  <si>
    <t>[effect:fix_speed, target:myself, turn:1],[effect:degrade_unit, target:unit_all, turn:5, status:attack, val:0.5],[effect:degrade_unit, target:unit_all, turn:5, status:heal, val:0.5, animation:degrade_unit_all_heal]</t>
    <phoneticPr fontId="5"/>
  </si>
  <si>
    <t>肩慣らしは出来たようだね</t>
    <rPh sb="0" eb="2">
      <t>カタナラシハ</t>
    </rPh>
    <rPh sb="5" eb="7">
      <t>デキタ</t>
    </rPh>
    <phoneticPr fontId="5"/>
  </si>
  <si>
    <t>先へ進むといい　私は最上階で待っているよ</t>
    <rPh sb="0" eb="1">
      <t>サキ</t>
    </rPh>
    <rPh sb="2" eb="3">
      <t>ススム</t>
    </rPh>
    <rPh sb="8" eb="9">
      <t>ワタシハ</t>
    </rPh>
    <rPh sb="10" eb="13">
      <t>サイジョウカイ</t>
    </rPh>
    <rPh sb="14" eb="15">
      <t>マッテ</t>
    </rPh>
    <phoneticPr fontId="5"/>
  </si>
  <si>
    <t>黄パネル30個プロテクト+攻撃</t>
    <rPh sb="0" eb="1">
      <t>キイロ</t>
    </rPh>
    <rPh sb="6" eb="7">
      <t>コ</t>
    </rPh>
    <rPh sb="13" eb="15">
      <t>コウゲキ</t>
    </rPh>
    <phoneticPr fontId="5"/>
  </si>
  <si>
    <t>赤パネル30個プロテクト+攻撃</t>
    <rPh sb="0" eb="1">
      <t>アカ</t>
    </rPh>
    <rPh sb="6" eb="7">
      <t>コ</t>
    </rPh>
    <rPh sb="13" eb="15">
      <t>コウゲキ</t>
    </rPh>
    <phoneticPr fontId="5"/>
  </si>
  <si>
    <t>ロストパーティクル</t>
    <phoneticPr fontId="5"/>
  </si>
  <si>
    <t>エクリプスフォール</t>
    <phoneticPr fontId="5"/>
  </si>
  <si>
    <t>まずはウォーミングアップといこうじゃないか
【6ターン以内にHPを削りきれ！】</t>
    <rPh sb="27" eb="29">
      <t>イナイ</t>
    </rPh>
    <rPh sb="33" eb="34">
      <t>ケズリキレ</t>
    </rPh>
    <phoneticPr fontId="5"/>
  </si>
  <si>
    <t>【！】試練終了まで残り1ターン【！】</t>
    <rPh sb="3" eb="5">
      <t>シレン</t>
    </rPh>
    <rPh sb="5" eb="7">
      <t>シュウリョウ</t>
    </rPh>
    <rPh sb="9" eb="10">
      <t>ノコリ</t>
    </rPh>
    <phoneticPr fontId="5"/>
  </si>
  <si>
    <t>腕を磨いてくるといい　再戦を待っているよ</t>
    <rPh sb="0" eb="1">
      <t>ウデヲ</t>
    </rPh>
    <rPh sb="2" eb="3">
      <t>ミガイテ</t>
    </rPh>
    <rPh sb="11" eb="13">
      <t>サイセンハ</t>
    </rPh>
    <rPh sb="14" eb="15">
      <t>マッテイル</t>
    </rPh>
    <phoneticPr fontId="5"/>
  </si>
  <si>
    <t>…これ以上は厳しいようだな</t>
    <rPh sb="6" eb="7">
      <t>キビシイ</t>
    </rPh>
    <phoneticPr fontId="5"/>
  </si>
  <si>
    <t>…惰性で続けるのも良くないか</t>
    <rPh sb="1" eb="3">
      <t>ダセイデ</t>
    </rPh>
    <rPh sb="4" eb="5">
      <t>ツヅケル</t>
    </rPh>
    <rPh sb="9" eb="10">
      <t>ヨクナイナ</t>
    </rPh>
    <phoneticPr fontId="5"/>
  </si>
  <si>
    <t>3ターン防御力激烈UP
【！】次のターン強力な連続攻撃【！】</t>
    <rPh sb="4" eb="7">
      <t>ボウギョリョク</t>
    </rPh>
    <rPh sb="7" eb="9">
      <t>ゲキレツ</t>
    </rPh>
    <rPh sb="15" eb="16">
      <t>ツギノ</t>
    </rPh>
    <rPh sb="20" eb="22">
      <t>キョウリョクナ</t>
    </rPh>
    <rPh sb="23" eb="27">
      <t>レンゾクコウゲキ</t>
    </rPh>
    <phoneticPr fontId="5"/>
  </si>
  <si>
    <t>全能楯『イージス』</t>
    <rPh sb="0" eb="2">
      <t>ゼンノウ</t>
    </rPh>
    <phoneticPr fontId="5"/>
  </si>
  <si>
    <t>超雷霆『ケラウノス』</t>
    <rPh sb="0" eb="1">
      <t>チョウ</t>
    </rPh>
    <rPh sb="1" eb="3">
      <t>ライテイ</t>
    </rPh>
    <phoneticPr fontId="5"/>
  </si>
  <si>
    <t>…あと一歩が足りないようだね</t>
    <rPh sb="3" eb="5">
      <t>イッポ</t>
    </rPh>
    <rPh sb="6" eb="7">
      <t>タラナイ</t>
    </rPh>
    <phoneticPr fontId="5"/>
  </si>
  <si>
    <t>さすがだと言っておこうか</t>
    <rPh sb="5" eb="6">
      <t>イッテオコウ</t>
    </rPh>
    <phoneticPr fontId="5"/>
  </si>
  <si>
    <t>ブラックアウト</t>
    <phoneticPr fontId="5"/>
  </si>
  <si>
    <t>ダーククラウド</t>
    <phoneticPr fontId="5"/>
  </si>
  <si>
    <t>スーパーセル</t>
    <phoneticPr fontId="5"/>
  </si>
  <si>
    <t>次のターンお邪魔パネル大量生成+フィーバー減少</t>
    <rPh sb="0" eb="1">
      <t>ツギノ</t>
    </rPh>
    <rPh sb="11" eb="13">
      <t>タイリョウ</t>
    </rPh>
    <rPh sb="13" eb="15">
      <t>セイセイ</t>
    </rPh>
    <rPh sb="21" eb="23">
      <t>ゲンショウ</t>
    </rPh>
    <phoneticPr fontId="5"/>
  </si>
  <si>
    <t>アダマントブレイカー</t>
    <phoneticPr fontId="5"/>
  </si>
  <si>
    <t>HPが低いほど強くなる攻撃！</t>
    <rPh sb="3" eb="4">
      <t>ヒクイ</t>
    </rPh>
    <rPh sb="7" eb="8">
      <t>ツヨクナル</t>
    </rPh>
    <rPh sb="11" eb="13">
      <t>コウゲキ</t>
    </rPh>
    <phoneticPr fontId="5"/>
  </si>
  <si>
    <t>3ターン緑パネル出現率大UP</t>
    <rPh sb="4" eb="5">
      <t>ミドリ</t>
    </rPh>
    <rPh sb="8" eb="11">
      <t>シュツゲンリツ</t>
    </rPh>
    <rPh sb="11" eb="12">
      <t>ダイ</t>
    </rPh>
    <phoneticPr fontId="5"/>
  </si>
  <si>
    <t>君なら道は開けるだろう…再戦を待っているよ</t>
    <rPh sb="0" eb="1">
      <t>キミ</t>
    </rPh>
    <rPh sb="3" eb="4">
      <t>ミチ</t>
    </rPh>
    <rPh sb="12" eb="14">
      <t>サイセンハ</t>
    </rPh>
    <rPh sb="15" eb="16">
      <t>マッテイル</t>
    </rPh>
    <phoneticPr fontId="5"/>
  </si>
  <si>
    <t>[effect:change_panel_ratio, turn:3, block_type:green, val:0.6, animation:block_incidence04]</t>
    <phoneticPr fontId="5"/>
  </si>
  <si>
    <t>[effect:enemy_message, val1:1.0, val2:2.2, dead_type:escape],[effect:enhance_enemy, target:myself, turn:3, status:defense, val:15000, calc:add, animation:enemy_enhance_defense]</t>
    <phoneticPr fontId="5"/>
  </si>
  <si>
    <t>種族マシンに5ターンスキルバインド+全体攻撃</t>
    <rPh sb="0" eb="2">
      <t>シュゾク</t>
    </rPh>
    <rPh sb="18" eb="20">
      <t>ゼンタイ</t>
    </rPh>
    <rPh sb="20" eb="22">
      <t>コウゲキ</t>
    </rPh>
    <phoneticPr fontId="5"/>
  </si>
  <si>
    <t>[effect:rush, count:20, val:0.09]</t>
    <phoneticPr fontId="5"/>
  </si>
  <si>
    <t>3ターン赤パネル無効+クリティカル！</t>
    <rPh sb="4" eb="5">
      <t>アカ</t>
    </rPh>
    <rPh sb="8" eb="10">
      <t>ムコウ</t>
    </rPh>
    <phoneticPr fontId="5"/>
  </si>
  <si>
    <t>3ターン黄パネル無効+クリティカル！</t>
    <rPh sb="4" eb="5">
      <t>キイロ</t>
    </rPh>
    <rPh sb="8" eb="10">
      <t>ムコウ</t>
    </rPh>
    <phoneticPr fontId="5"/>
  </si>
  <si>
    <t>[effect:dis_panel, target:block_red, turn:3, animation:enemy_dis_red],[effect:rush, count:1, val:1.1]</t>
    <phoneticPr fontId="5"/>
  </si>
  <si>
    <t>[effect:dis_panel, target:block_yellow, turn:3, animation:enemy_dis_yellow],[effect:rush, count:1, val:1.1]</t>
    <phoneticPr fontId="5"/>
  </si>
  <si>
    <t>[effect:enemy_message, val1:1.0, val2:2.6, dead_type:escape],[effect:fix_speed, target:myself, turn:1],[effect:tolerance, target:myself, turn:-1, tolerance_effect:all, count:-1, animation:enemy_tolerance],[effect:enhance_fever, val:1000.0, animation:fevergauge_up04]</t>
    <phoneticPr fontId="5"/>
  </si>
  <si>
    <t>[effect:enemy_message, val1:1.0, val2:2.6, dead_type:escape],[effect:fix_speed, target:myself, turn:1],[effect:tolerance, target:myself, turn:-1, tolerance_effect:all, count:-1, animation:enemy_tolerance],[effect:force_change_block, new_block:block_heart, target:jammer, count:-1, val:0, animation:change_block]</t>
    <phoneticPr fontId="5"/>
  </si>
  <si>
    <t>[effect:enemy_message, val1:1.0, val2:2.6, dead_type:escape],[effect:break_enchance_enemy, val:0.03, lowest_val:0.3, count:-1, status:attack, turn:-1, block:block_green, target:myself, calc:mul, animation:enemy_enhance_attack]</t>
    <phoneticPr fontId="5"/>
  </si>
  <si>
    <t>[effect:hungup, target:unit_machine, turn:5, rate:1, animation:hungup01],[effect:spread, val:0.2]</t>
    <phoneticPr fontId="5"/>
  </si>
  <si>
    <t>3ターン緑パネルを吸収して攻撃力UP（最大20個）</t>
    <rPh sb="4" eb="5">
      <t>ミドリ</t>
    </rPh>
    <rPh sb="9" eb="11">
      <t>キュウシュウ</t>
    </rPh>
    <rPh sb="13" eb="16">
      <t>コウゲキリョク</t>
    </rPh>
    <rPh sb="19" eb="21">
      <t>サイダイ</t>
    </rPh>
    <rPh sb="23" eb="24">
      <t>コ</t>
    </rPh>
    <phoneticPr fontId="5"/>
  </si>
  <si>
    <t>緑パネルを吸収して攻撃力UP
【！】次のターン強力な緑パネル破壊攻撃【！】</t>
    <rPh sb="0" eb="1">
      <t>ミドリ</t>
    </rPh>
    <rPh sb="5" eb="7">
      <t>キュウシュウ</t>
    </rPh>
    <rPh sb="9" eb="12">
      <t>コウゲキリョク</t>
    </rPh>
    <rPh sb="18" eb="19">
      <t>ツギノ</t>
    </rPh>
    <rPh sb="23" eb="25">
      <t>キョウリョクナ</t>
    </rPh>
    <rPh sb="26" eb="27">
      <t>ミドリ</t>
    </rPh>
    <rPh sb="30" eb="32">
      <t>ハカイ</t>
    </rPh>
    <rPh sb="32" eb="34">
      <t>コウゲキ</t>
    </rPh>
    <phoneticPr fontId="5"/>
  </si>
  <si>
    <t>可能性は感じられたな</t>
    <rPh sb="0" eb="3">
      <t>カノウセイハ</t>
    </rPh>
    <rPh sb="4" eb="5">
      <t>カンジラレタ</t>
    </rPh>
    <phoneticPr fontId="5"/>
  </si>
  <si>
    <t>まあ　気に病む必要はないさ</t>
    <rPh sb="3" eb="4">
      <t>キニヤム</t>
    </rPh>
    <rPh sb="7" eb="9">
      <t>ヒツヨウハ</t>
    </rPh>
    <phoneticPr fontId="5"/>
  </si>
  <si>
    <t>試練はこれにて終了だ　再戦を待っているよ</t>
    <rPh sb="0" eb="2">
      <t>シレン</t>
    </rPh>
    <rPh sb="7" eb="9">
      <t>シュウリョウ</t>
    </rPh>
    <rPh sb="11" eb="13">
      <t>サイセンハ</t>
    </rPh>
    <rPh sb="14" eb="15">
      <t>マッテイル</t>
    </rPh>
    <phoneticPr fontId="5"/>
  </si>
  <si>
    <t>少し時間をかけすぎたね</t>
    <rPh sb="0" eb="1">
      <t>スコシ</t>
    </rPh>
    <rPh sb="2" eb="4">
      <t>ジカン</t>
    </rPh>
    <phoneticPr fontId="5"/>
  </si>
  <si>
    <t>どうやら杞憂だったようだね</t>
    <rPh sb="4" eb="6">
      <t>キユウ</t>
    </rPh>
    <phoneticPr fontId="5"/>
  </si>
  <si>
    <t>穿て　ALICEの雷光よ</t>
    <rPh sb="0" eb="1">
      <t>ウガテ</t>
    </rPh>
    <rPh sb="10" eb="11">
      <t>ヒカリ</t>
    </rPh>
    <phoneticPr fontId="5"/>
  </si>
  <si>
    <t>これでも受け切れるかい？</t>
    <rPh sb="4" eb="5">
      <t>ウケキレルカ</t>
    </rPh>
    <phoneticPr fontId="5"/>
  </si>
  <si>
    <t>真実を見抜いてみせよ</t>
    <rPh sb="0" eb="2">
      <t>シンジツヲ</t>
    </rPh>
    <rPh sb="3" eb="5">
      <t>ミヌケル</t>
    </rPh>
    <phoneticPr fontId="5"/>
  </si>
  <si>
    <t>いいね　文句なしの経過だよ</t>
    <rPh sb="4" eb="6">
      <t>モンク</t>
    </rPh>
    <rPh sb="9" eb="11">
      <t>ケイカ</t>
    </rPh>
    <phoneticPr fontId="5"/>
  </si>
  <si>
    <t>素晴らしい結果じゃないか</t>
    <rPh sb="0" eb="2">
      <t>スバラシイ</t>
    </rPh>
    <rPh sb="5" eb="7">
      <t>ケッカ</t>
    </rPh>
    <phoneticPr fontId="5"/>
  </si>
  <si>
    <t>己の在り方を…理解したのだな</t>
    <rPh sb="0" eb="1">
      <t>オノレノ</t>
    </rPh>
    <rPh sb="2" eb="3">
      <t>アリカタヲ</t>
    </rPh>
    <rPh sb="7" eb="9">
      <t>リカイ</t>
    </rPh>
    <phoneticPr fontId="5"/>
  </si>
  <si>
    <t>[effect:enemy_message, val1:1.4, val2:2.4, dead_type:escape]</t>
    <phoneticPr fontId="5"/>
  </si>
  <si>
    <t>[effect:enemy_message, val1:1.4, val2:2.2, dead_type:escape]</t>
    <phoneticPr fontId="5"/>
  </si>
  <si>
    <t>テュポーンの基本的なパネル吸収攻撃は
赤・青・黄の3色のパネルが対象となります
盤面をうまく操作して被害を抑えましょう</t>
    <rPh sb="6" eb="8">
      <t>キホン</t>
    </rPh>
    <rPh sb="8" eb="9">
      <t>テキナ</t>
    </rPh>
    <rPh sb="13" eb="15">
      <t>キュウシュウ</t>
    </rPh>
    <rPh sb="15" eb="17">
      <t>コウゲキ</t>
    </rPh>
    <rPh sb="19" eb="20">
      <t>アカ</t>
    </rPh>
    <rPh sb="21" eb="22">
      <t>アオ</t>
    </rPh>
    <rPh sb="23" eb="24">
      <t>キイロ</t>
    </rPh>
    <rPh sb="26" eb="27">
      <t>イロ</t>
    </rPh>
    <rPh sb="32" eb="34">
      <t>タイショウ</t>
    </rPh>
    <rPh sb="41" eb="43">
      <t>バンメン</t>
    </rPh>
    <rPh sb="47" eb="49">
      <t>ソウサ</t>
    </rPh>
    <rPh sb="51" eb="53">
      <t>ヒガイヲ</t>
    </rPh>
    <rPh sb="54" eb="55">
      <t>オサエ</t>
    </rPh>
    <phoneticPr fontId="5"/>
  </si>
  <si>
    <t>フロア4のゼウスとの戦闘では
各ゲージにターン数の制限が課されます
攻め時を見失わないよう意識しましょう</t>
    <rPh sb="10" eb="12">
      <t>セントウ</t>
    </rPh>
    <rPh sb="15" eb="16">
      <t>カク</t>
    </rPh>
    <rPh sb="23" eb="24">
      <t>カズ</t>
    </rPh>
    <rPh sb="25" eb="27">
      <t>セイゲン</t>
    </rPh>
    <rPh sb="28" eb="29">
      <t>カサレマス</t>
    </rPh>
    <rPh sb="35" eb="36">
      <t>セメドキ</t>
    </rPh>
    <rPh sb="37" eb="38">
      <t>トキ</t>
    </rPh>
    <rPh sb="39" eb="41">
      <t>ミウシナワナイ</t>
    </rPh>
    <rPh sb="46" eb="48">
      <t>イシキ</t>
    </rPh>
    <phoneticPr fontId="5"/>
  </si>
  <si>
    <t>では…次は君の「器」を見せてもらうよ
【10ターン以内にHPを削りきれ！】</t>
    <rPh sb="3" eb="4">
      <t>ツギハ</t>
    </rPh>
    <rPh sb="5" eb="6">
      <t>キミノ</t>
    </rPh>
    <rPh sb="8" eb="9">
      <t>キリョウ</t>
    </rPh>
    <rPh sb="11" eb="12">
      <t>ミセテ</t>
    </rPh>
    <phoneticPr fontId="5"/>
  </si>
  <si>
    <t>さぁ…まずは君の「知恵」を見せてもらおう
【10ターン以内にHPを削りきれ！】</t>
    <rPh sb="6" eb="7">
      <t>キミノ</t>
    </rPh>
    <rPh sb="9" eb="11">
      <t>チエ</t>
    </rPh>
    <rPh sb="13" eb="14">
      <t>ミセテ</t>
    </rPh>
    <rPh sb="27" eb="29">
      <t>イナイ</t>
    </rPh>
    <rPh sb="33" eb="34">
      <t>ケズリキレ</t>
    </rPh>
    <phoneticPr fontId="5"/>
  </si>
  <si>
    <t>さて…最後に君の「力」を見せてくれ
【10ターン以内にHPを削りきれ！】</t>
    <rPh sb="3" eb="5">
      <t>サイゴニ</t>
    </rPh>
    <rPh sb="6" eb="7">
      <t>キミノ</t>
    </rPh>
    <rPh sb="9" eb="10">
      <t>ジツリョク</t>
    </rPh>
    <rPh sb="12" eb="13">
      <t>ミセテ</t>
    </rPh>
    <phoneticPr fontId="5"/>
  </si>
  <si>
    <t>「器の試練」では盤面のリセットが重要です
お邪魔パネルが際限なく増え続けるので
フィーバー以外にも対策を用意しましょう</t>
    <rPh sb="1" eb="2">
      <t>ウツワ</t>
    </rPh>
    <rPh sb="3" eb="5">
      <t>シレン</t>
    </rPh>
    <rPh sb="8" eb="10">
      <t>バンメン</t>
    </rPh>
    <rPh sb="16" eb="18">
      <t>ジュウヨウ</t>
    </rPh>
    <rPh sb="29" eb="31">
      <t>サイゲンナク</t>
    </rPh>
    <rPh sb="33" eb="34">
      <t>フエツヅケル</t>
    </rPh>
    <rPh sb="46" eb="48">
      <t>イガイ</t>
    </rPh>
    <rPh sb="50" eb="52">
      <t>タイサク</t>
    </rPh>
    <rPh sb="53" eb="55">
      <t>ヨウイ</t>
    </rPh>
    <phoneticPr fontId="5"/>
  </si>
  <si>
    <t>「力の試練」では純粋な実力が問われます
攻撃・防御・回復・スキル・フィーバー
あらゆる手段を用いて全力を尽くしましょう</t>
    <rPh sb="1" eb="2">
      <t>チカラ</t>
    </rPh>
    <rPh sb="3" eb="5">
      <t>シレn</t>
    </rPh>
    <rPh sb="8" eb="10">
      <t>ジュンスイ</t>
    </rPh>
    <rPh sb="11" eb="13">
      <t>ジツリョク</t>
    </rPh>
    <rPh sb="14" eb="15">
      <t>トワレマス</t>
    </rPh>
    <rPh sb="21" eb="23">
      <t>コウゲキ</t>
    </rPh>
    <rPh sb="24" eb="26">
      <t>ボウギョ</t>
    </rPh>
    <rPh sb="27" eb="29">
      <t>カイフク</t>
    </rPh>
    <rPh sb="44" eb="46">
      <t>シュダン</t>
    </rPh>
    <rPh sb="47" eb="48">
      <t>モチイテ</t>
    </rPh>
    <rPh sb="50" eb="52">
      <t>ゼンリョクヲ</t>
    </rPh>
    <rPh sb="53" eb="54">
      <t>ツクシマショウ</t>
    </rPh>
    <phoneticPr fontId="5"/>
  </si>
  <si>
    <t>フロア2に登場する敵は
4種類の中からランダムに選定されています
動きがそれぞれ異なるので注意しましょう</t>
    <rPh sb="5" eb="7">
      <t>トウジョウ</t>
    </rPh>
    <rPh sb="9" eb="10">
      <t>テキ</t>
    </rPh>
    <rPh sb="13" eb="15">
      <t>シュルイ</t>
    </rPh>
    <rPh sb="16" eb="17">
      <t>ナカカラ</t>
    </rPh>
    <rPh sb="24" eb="26">
      <t>センテイ</t>
    </rPh>
    <rPh sb="34" eb="35">
      <t>ウゴキガ</t>
    </rPh>
    <rPh sb="41" eb="42">
      <t>コトナル</t>
    </rPh>
    <rPh sb="46" eb="48">
      <t>チュウイ</t>
    </rPh>
    <phoneticPr fontId="5"/>
  </si>
  <si>
    <t>フロア2に登場する敵は
HPが半分になると強力なスキルを使います
こちらもスキルを温存して対抗しましょう</t>
    <rPh sb="5" eb="7">
      <t>トウジョウ</t>
    </rPh>
    <rPh sb="9" eb="10">
      <t>テキ</t>
    </rPh>
    <rPh sb="15" eb="17">
      <t>ハンブン</t>
    </rPh>
    <rPh sb="21" eb="23">
      <t>キョウリョクナ</t>
    </rPh>
    <rPh sb="28" eb="29">
      <t>ツカイ</t>
    </rPh>
    <rPh sb="42" eb="44">
      <t>オンゾn</t>
    </rPh>
    <rPh sb="46" eb="48">
      <t>タイコウ</t>
    </rPh>
    <phoneticPr fontId="5"/>
  </si>
  <si>
    <t>「知恵の試練」ではパネル操作が重要です
赤・黄パネルへの干渉を多用してくるので
一歩先回りするようにして対策しましょう</t>
    <rPh sb="1" eb="3">
      <t>チエノ</t>
    </rPh>
    <rPh sb="4" eb="6">
      <t>シレン</t>
    </rPh>
    <rPh sb="12" eb="14">
      <t>ソウサ</t>
    </rPh>
    <rPh sb="15" eb="17">
      <t>ジュウヨウ</t>
    </rPh>
    <rPh sb="21" eb="22">
      <t>アカ</t>
    </rPh>
    <rPh sb="23" eb="24">
      <t>キイロ</t>
    </rPh>
    <rPh sb="29" eb="31">
      <t>カンショウ</t>
    </rPh>
    <rPh sb="32" eb="34">
      <t>タヨウ</t>
    </rPh>
    <rPh sb="41" eb="43">
      <t>イッポ</t>
    </rPh>
    <rPh sb="43" eb="45">
      <t>サキマワリシテ</t>
    </rPh>
    <rPh sb="53" eb="55">
      <t>タイサク</t>
    </rPh>
    <phoneticPr fontId="5"/>
  </si>
  <si>
    <t>ゼウスの登場フロアでは戦闘開始時に
緑属性ユニットのスキルがチャージされます
規定ターンでの突破に不可欠な要素です</t>
    <rPh sb="4" eb="6">
      <t>トウジョウ</t>
    </rPh>
    <rPh sb="11" eb="15">
      <t>セントウカイシ</t>
    </rPh>
    <rPh sb="15" eb="16">
      <t>ジニ</t>
    </rPh>
    <rPh sb="18" eb="21">
      <t>ミドリゾクセイ</t>
    </rPh>
    <rPh sb="40" eb="42">
      <t>キテイ</t>
    </rPh>
    <rPh sb="47" eb="49">
      <t>トッパ</t>
    </rPh>
    <rPh sb="50" eb="53">
      <t>フカケツ</t>
    </rPh>
    <rPh sb="54" eb="56">
      <t>ヨウソ</t>
    </rPh>
    <phoneticPr fontId="5"/>
  </si>
  <si>
    <t>君ならば「ALICE」の意志も…
理解できるかもしれないね…</t>
    <rPh sb="0" eb="1">
      <t>キミナラバ</t>
    </rPh>
    <rPh sb="12" eb="14">
      <t>イシ</t>
    </rPh>
    <rPh sb="17" eb="19">
      <t>リカイ</t>
    </rPh>
    <phoneticPr fontId="5"/>
  </si>
  <si>
    <t>君ならば「ALICE」の意志を…
理解できるかもしれないね…</t>
    <rPh sb="0" eb="1">
      <t>キミナラバ</t>
    </rPh>
    <rPh sb="12" eb="14">
      <t>イシ</t>
    </rPh>
    <rPh sb="17" eb="19">
      <t>リカイ</t>
    </rPh>
    <phoneticPr fontId="5"/>
  </si>
  <si>
    <t>熱環の大逆聖 ベリアルが現れた！</t>
    <rPh sb="12" eb="13">
      <t>アラワレタ</t>
    </rPh>
    <phoneticPr fontId="5"/>
  </si>
  <si>
    <t>襲愛の真公爵 フォルネウスが現れた！</t>
    <rPh sb="14" eb="15">
      <t>アラワレタ</t>
    </rPh>
    <phoneticPr fontId="5"/>
  </si>
  <si>
    <t>全解の預智聖 オセが現れた！</t>
    <rPh sb="10" eb="11">
      <t>アラワレタ</t>
    </rPh>
    <phoneticPr fontId="5"/>
  </si>
  <si>
    <t>天地万物の烈神母 イザナミが現れた！</t>
    <rPh sb="14" eb="15">
      <t>アラワレタ</t>
    </rPh>
    <phoneticPr fontId="5"/>
  </si>
  <si>
    <t>皆滅の戦鬼 テュポーンが現れた！</t>
    <rPh sb="12" eb="13">
      <t>アラワレタ</t>
    </rPh>
    <phoneticPr fontId="5"/>
  </si>
  <si>
    <t>skip</t>
  </si>
  <si>
    <t>ゼウスはALICEの環境構築を担っています
その権限でコピーしたアバターを使役して
適合者に試練を与えています</t>
    <phoneticPr fontId="5"/>
  </si>
  <si>
    <t>ゼウスの力</t>
    <rPh sb="4" eb="5">
      <t>チカｒ</t>
    </rPh>
    <phoneticPr fontId="5"/>
  </si>
  <si>
    <t>ゼウスの試練の突破おめでとうございます
彼の力を借りて平和を取り戻しましょう</t>
    <phoneticPr fontId="5"/>
  </si>
  <si>
    <t>試練の突破</t>
    <phoneticPr fontId="5"/>
  </si>
  <si>
    <t>ゼウスは試練を突破したアナタに
特別な期待を寄せているようです</t>
    <phoneticPr fontId="5"/>
  </si>
  <si>
    <t>ゼウスからの伝言を承りました
「これからもALICEを頼むよ」だそうです</t>
    <phoneticPr fontId="5"/>
  </si>
  <si>
    <t>ゼウスの期待</t>
    <phoneticPr fontId="5"/>
  </si>
  <si>
    <t>メッセージ</t>
    <phoneticPr fontId="5"/>
  </si>
  <si>
    <t>[effect:dark, target:unit_all, turn:5, animation:enemy_dark],[effect:crash_condition, target:unit_all, val:6, turn:5],[effect:enemy_message, val1:1, val2:2]</t>
    <phoneticPr fontId="5"/>
  </si>
  <si>
    <t>[effect:enemy_message, val1:1.2, val2:2.6],[effect:fix_speed, target:myself, turn:1],[effect:tolerance, target:myself, turn:-1, tolerance_effect:all, count:-1, animation:enemy_tolerance],[effect:sp_boost, target:unit_green, val:99, animation:sp_boost_one03]</t>
    <phoneticPr fontId="5"/>
  </si>
  <si>
    <t>[effect:enemy_message, val1:1.0, val2:2.6, dead_type:escape],[effect:fix_speed, target:myself, turn:1],[effect:tolerance, target:myself, turn:-1, tolerance_effect:all, count:-1, animation:enemy_tolerance],[effect:sp_boost, target:unit_green, val:99, animation:sp_boost_one03]</t>
    <phoneticPr fontId="5"/>
  </si>
  <si>
    <t>よくぞここまで辿り着いた</t>
    <rPh sb="7" eb="8">
      <t>タドリツイタ</t>
    </rPh>
    <phoneticPr fontId="5"/>
  </si>
  <si>
    <t>[effect:enemy_message, val1:1.2, val2:2.6],[effect:fix_speed, target:myself, turn:1],[effect:tolerance, target:myself, turn:-1, tolerance_effect:all, count:-1, animation:enemy_tolerance],[effect:sp_boost, target:unit_green, val:99, animation:sp_boost_one03]</t>
    <phoneticPr fontId="5"/>
  </si>
  <si>
    <t>[effect:enemy_message, val1:1.4, val2:2.2, dead_type:escape]</t>
    <phoneticPr fontId="5"/>
  </si>
  <si>
    <t>[effect:hp_spend, val:1, animation:spend_hp],[effect:enemy_message, val1:1.75, val2:2.0, dead_type:escape]</t>
    <phoneticPr fontId="5"/>
  </si>
  <si>
    <t>ほう…その娘は…？</t>
    <phoneticPr fontId="5"/>
  </si>
  <si>
    <t>……制御できるのかい？
【6ターン以内にHPを削りきれ！】</t>
    <rPh sb="2" eb="4">
      <t>セイギョ</t>
    </rPh>
    <rPh sb="17" eb="19">
      <t>イナイ</t>
    </rPh>
    <rPh sb="23" eb="24">
      <t>ケズリキレ</t>
    </rPh>
    <phoneticPr fontId="5"/>
  </si>
  <si>
    <t>[effect:force_change_block, new_block:jammer, target:block_all,  ignore01:crash, ignore02:jammer, ignore03:color_break, ignore04:magnet, count:6, val:0, animation:change_block],[effect:rush, count:1, val:0.9]</t>
    <phoneticPr fontId="5"/>
  </si>
  <si>
    <t>[effect:force_change_block, new_block:jammer, target:block_all, ignore01:crash, ignore02:jammer, ignore03:color_break, ignore04:magnet, count:4, val:0, animation:change_block],[effect:spread, val:0.25]</t>
    <phoneticPr fontId="5"/>
  </si>
  <si>
    <t>[effect:force_change_block, new_block:jammer, target:block_all, ignore01:crash, ignore02:jammer, ignore03:color_break, ignore04:magnet, count:23, val:0, animation:change_block],[effect:degrade_fever, val:500, animation:fevergauge_down]</t>
    <phoneticPr fontId="5"/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</si>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</sst>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9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2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6" fillId="31" borderId="3" xfId="0" applyFont="1" applyFill="1" applyBorder="1" applyAlignment="1">
      <alignment vertical="center"/>
    </xf>
    <xf numFmtId="0" fontId="6" fillId="31" borderId="11" xfId="0" applyFont="1" applyFill="1" applyBorder="1" applyAlignment="1">
      <alignment vertical="center"/>
    </xf>
    <xf numFmtId="0" fontId="6" fillId="31" borderId="9" xfId="0" applyFont="1" applyFill="1" applyBorder="1" applyAlignment="1">
      <alignment vertical="center"/>
    </xf>
    <xf numFmtId="0" fontId="6" fillId="13" borderId="3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4" fillId="13" borderId="1" xfId="0" applyFont="1" applyFill="1" applyBorder="1" applyAlignment="1">
      <alignment vertical="center"/>
    </xf>
    <xf numFmtId="0" fontId="52" fillId="0" borderId="7" xfId="0" applyFont="1" applyFill="1" applyBorder="1" applyAlignment="1">
      <alignment vertical="center"/>
    </xf>
    <xf numFmtId="0" fontId="52" fillId="0" borderId="7" xfId="0" applyFont="1" applyFill="1" applyBorder="1" applyAlignment="1">
      <alignment horizontal="left" vertical="center"/>
    </xf>
    <xf numFmtId="0" fontId="52" fillId="0" borderId="7" xfId="0" applyFont="1" applyFill="1" applyBorder="1" applyAlignment="1">
      <alignment horizontal="left" vertical="center" wrapText="1"/>
    </xf>
    <xf numFmtId="0" fontId="52" fillId="3" borderId="7" xfId="0" applyFont="1" applyFill="1" applyBorder="1" applyAlignment="1">
      <alignment vertical="center"/>
    </xf>
    <xf numFmtId="0" fontId="52" fillId="3" borderId="7" xfId="0" applyFont="1" applyFill="1" applyBorder="1" applyAlignment="1">
      <alignment horizontal="left" vertical="center"/>
    </xf>
    <xf numFmtId="0" fontId="53" fillId="0" borderId="7" xfId="0" applyFont="1" applyFill="1" applyBorder="1" applyAlignment="1">
      <alignment vertical="center"/>
    </xf>
    <xf numFmtId="0" fontId="53" fillId="0" borderId="7" xfId="0" applyFont="1" applyFill="1" applyBorder="1" applyAlignment="1">
      <alignment horizontal="left" vertical="center"/>
    </xf>
    <xf numFmtId="0" fontId="53" fillId="0" borderId="7" xfId="0" applyFont="1" applyFill="1" applyBorder="1" applyAlignment="1">
      <alignment horizontal="left" vertical="center" wrapText="1"/>
    </xf>
    <xf numFmtId="38" fontId="16" fillId="0" borderId="7" xfId="628" applyFont="1" applyFill="1" applyBorder="1" applyAlignment="1">
      <alignment wrapText="1"/>
    </xf>
  </cellXfs>
  <cellStyles count="69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赤字強調" xfId="431"/>
    <cellStyle name="青字強調" xfId="43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60031</v>
          </cell>
        </row>
        <row r="354">
          <cell r="A354">
            <v>65523</v>
          </cell>
        </row>
        <row r="355">
          <cell r="A355">
            <v>65524</v>
          </cell>
        </row>
        <row r="356">
          <cell r="A356">
            <v>65525</v>
          </cell>
        </row>
        <row r="357">
          <cell r="A357">
            <v>65526</v>
          </cell>
        </row>
        <row r="358">
          <cell r="A358">
            <v>65527</v>
          </cell>
        </row>
        <row r="359">
          <cell r="A359">
            <v>65528</v>
          </cell>
        </row>
        <row r="360">
          <cell r="A360">
            <v>65529</v>
          </cell>
        </row>
        <row r="361">
          <cell r="A361">
            <v>65530</v>
          </cell>
        </row>
        <row r="362">
          <cell r="A362">
            <v>65531</v>
          </cell>
        </row>
        <row r="363">
          <cell r="A363">
            <v>65532</v>
          </cell>
        </row>
        <row r="364">
          <cell r="A364">
            <v>65533</v>
          </cell>
        </row>
        <row r="365">
          <cell r="A365">
            <v>65534</v>
          </cell>
        </row>
        <row r="366">
          <cell r="A366">
            <v>65535</v>
          </cell>
        </row>
        <row r="367">
          <cell r="A367">
            <v>60021</v>
          </cell>
        </row>
        <row r="368">
          <cell r="A368">
            <v>60022</v>
          </cell>
        </row>
        <row r="369">
          <cell r="A369">
            <v>60023</v>
          </cell>
        </row>
        <row r="370">
          <cell r="A37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47013_3</v>
          </cell>
        </row>
        <row r="874">
          <cell r="A874" t="str">
            <v>47013_4</v>
          </cell>
        </row>
        <row r="875">
          <cell r="A875" t="str">
            <v>48001_1</v>
          </cell>
        </row>
        <row r="876">
          <cell r="A876" t="str">
            <v>48002_1</v>
          </cell>
        </row>
        <row r="877">
          <cell r="A877" t="str">
            <v>48002_2</v>
          </cell>
        </row>
        <row r="878">
          <cell r="A878" t="str">
            <v>48002_3</v>
          </cell>
        </row>
        <row r="879">
          <cell r="A879" t="str">
            <v>48003_1</v>
          </cell>
        </row>
        <row r="880">
          <cell r="A880" t="str">
            <v>48003_2</v>
          </cell>
        </row>
        <row r="881">
          <cell r="A881" t="str">
            <v>48004_1</v>
          </cell>
        </row>
        <row r="882">
          <cell r="A882" t="str">
            <v>48004_2</v>
          </cell>
        </row>
        <row r="883">
          <cell r="A883" t="str">
            <v>48005_1</v>
          </cell>
        </row>
        <row r="884">
          <cell r="A884" t="str">
            <v>48005_2</v>
          </cell>
        </row>
        <row r="885">
          <cell r="A885" t="str">
            <v>48006_1</v>
          </cell>
        </row>
        <row r="886">
          <cell r="A886" t="str">
            <v>48006_2</v>
          </cell>
        </row>
        <row r="887">
          <cell r="A887" t="str">
            <v>48007_1</v>
          </cell>
        </row>
        <row r="888">
          <cell r="A888" t="str">
            <v>48007_2</v>
          </cell>
        </row>
        <row r="889">
          <cell r="A889" t="str">
            <v>48008_1</v>
          </cell>
        </row>
        <row r="890">
          <cell r="A890" t="str">
            <v>48008_2</v>
          </cell>
        </row>
        <row r="891">
          <cell r="A891" t="str">
            <v>48009_1</v>
          </cell>
        </row>
        <row r="892">
          <cell r="A892" t="str">
            <v>48009_2</v>
          </cell>
        </row>
        <row r="893">
          <cell r="A893" t="str">
            <v>48010_1</v>
          </cell>
        </row>
        <row r="894">
          <cell r="A894" t="str">
            <v>48011_1</v>
          </cell>
        </row>
        <row r="895">
          <cell r="A895" t="str">
            <v>48011_2</v>
          </cell>
        </row>
        <row r="896">
          <cell r="A896" t="str">
            <v>48012_1</v>
          </cell>
        </row>
        <row r="897">
          <cell r="A897" t="str">
            <v>48012_2</v>
          </cell>
        </row>
        <row r="898">
          <cell r="A898" t="str">
            <v>48013_1</v>
          </cell>
        </row>
        <row r="899">
          <cell r="A899" t="str">
            <v>48013_2</v>
          </cell>
        </row>
        <row r="900">
          <cell r="A900" t="str">
            <v>48014_1</v>
          </cell>
        </row>
        <row r="901">
          <cell r="A901" t="str">
            <v>48014_2</v>
          </cell>
        </row>
        <row r="902">
          <cell r="A902" t="str">
            <v>48501_1</v>
          </cell>
        </row>
        <row r="903">
          <cell r="A903" t="str">
            <v>48501_2</v>
          </cell>
        </row>
        <row r="904">
          <cell r="A904" t="str">
            <v>48502_1</v>
          </cell>
        </row>
        <row r="905">
          <cell r="A905" t="str">
            <v>48502_2</v>
          </cell>
        </row>
        <row r="906">
          <cell r="A906" t="str">
            <v>48503_1</v>
          </cell>
        </row>
        <row r="907">
          <cell r="A907" t="str">
            <v>48503_2</v>
          </cell>
        </row>
        <row r="908">
          <cell r="A908" t="str">
            <v>48701_1</v>
          </cell>
        </row>
        <row r="909">
          <cell r="A909" t="str">
            <v>48701_2</v>
          </cell>
        </row>
        <row r="910">
          <cell r="A910" t="str">
            <v>48702_1</v>
          </cell>
        </row>
        <row r="911">
          <cell r="A911" t="str">
            <v>48702_2</v>
          </cell>
        </row>
        <row r="912">
          <cell r="A912" t="str">
            <v>49001_1</v>
          </cell>
        </row>
        <row r="913">
          <cell r="A913" t="str">
            <v>49002_1</v>
          </cell>
        </row>
        <row r="914">
          <cell r="A914" t="str">
            <v>49002_2</v>
          </cell>
        </row>
        <row r="915">
          <cell r="A915" t="str">
            <v>49003_1</v>
          </cell>
        </row>
        <row r="916">
          <cell r="A916" t="str">
            <v>49003_2</v>
          </cell>
        </row>
        <row r="917">
          <cell r="A917" t="str">
            <v>49004_1</v>
          </cell>
        </row>
        <row r="918">
          <cell r="A918" t="str">
            <v>49004_2</v>
          </cell>
        </row>
        <row r="919">
          <cell r="A919" t="str">
            <v>49004_3</v>
          </cell>
        </row>
        <row r="920">
          <cell r="A920" t="str">
            <v>49005_1</v>
          </cell>
        </row>
        <row r="921">
          <cell r="A921" t="str">
            <v>49006_1</v>
          </cell>
        </row>
        <row r="922">
          <cell r="A922" t="str">
            <v>49006_2</v>
          </cell>
        </row>
        <row r="923">
          <cell r="A923" t="str">
            <v>49007_1</v>
          </cell>
        </row>
        <row r="924">
          <cell r="A924" t="str">
            <v>49007_2</v>
          </cell>
        </row>
        <row r="925">
          <cell r="A925" t="str">
            <v>49007_3</v>
          </cell>
        </row>
        <row r="926">
          <cell r="A926" t="str">
            <v>49008_1</v>
          </cell>
        </row>
        <row r="927">
          <cell r="A927" t="str">
            <v>49009_1</v>
          </cell>
        </row>
        <row r="928">
          <cell r="A928" t="str">
            <v>49010_1</v>
          </cell>
        </row>
        <row r="929">
          <cell r="A929" t="str">
            <v>49011_1</v>
          </cell>
        </row>
        <row r="930">
          <cell r="A930" t="str">
            <v>49012_1</v>
          </cell>
        </row>
        <row r="931">
          <cell r="A931" t="str">
            <v>49013_1</v>
          </cell>
        </row>
        <row r="932">
          <cell r="A932" t="str">
            <v>49014_1</v>
          </cell>
        </row>
        <row r="933">
          <cell r="A933" t="str">
            <v>49014_2</v>
          </cell>
        </row>
        <row r="934">
          <cell r="A934" t="str">
            <v>49015_1</v>
          </cell>
        </row>
        <row r="935">
          <cell r="A935" t="str">
            <v>49015_2</v>
          </cell>
        </row>
        <row r="936">
          <cell r="A936" t="str">
            <v>49015_3</v>
          </cell>
        </row>
        <row r="937">
          <cell r="A937" t="str">
            <v>49016_1</v>
          </cell>
        </row>
        <row r="938">
          <cell r="A938" t="str">
            <v>49016_2</v>
          </cell>
        </row>
        <row r="939">
          <cell r="A939" t="str">
            <v>50001_1</v>
          </cell>
        </row>
        <row r="940">
          <cell r="A940" t="str">
            <v>50002_1</v>
          </cell>
        </row>
        <row r="941">
          <cell r="A941" t="str">
            <v>50003_1</v>
          </cell>
        </row>
        <row r="942">
          <cell r="A942" t="str">
            <v>50004_1</v>
          </cell>
        </row>
        <row r="943">
          <cell r="A943" t="str">
            <v>50005_1</v>
          </cell>
        </row>
        <row r="944">
          <cell r="A944" t="str">
            <v>50006_1</v>
          </cell>
        </row>
        <row r="945">
          <cell r="A945" t="str">
            <v>50007_1</v>
          </cell>
        </row>
        <row r="946">
          <cell r="A946" t="str">
            <v>50008_1</v>
          </cell>
        </row>
        <row r="947">
          <cell r="A947" t="str">
            <v>50009_1</v>
          </cell>
        </row>
        <row r="948">
          <cell r="A948" t="str">
            <v>50010_1</v>
          </cell>
        </row>
        <row r="949">
          <cell r="A949" t="str">
            <v>50011_1</v>
          </cell>
        </row>
        <row r="950">
          <cell r="A950" t="str">
            <v>50012_1</v>
          </cell>
        </row>
        <row r="951">
          <cell r="A951" t="str">
            <v>50013_1</v>
          </cell>
        </row>
        <row r="952">
          <cell r="A952" t="str">
            <v>50014_1</v>
          </cell>
        </row>
        <row r="953">
          <cell r="A953" t="str">
            <v>50015_1</v>
          </cell>
        </row>
        <row r="954">
          <cell r="A954" t="str">
            <v>50016_1</v>
          </cell>
        </row>
        <row r="955">
          <cell r="A955" t="str">
            <v>51001_1</v>
          </cell>
        </row>
        <row r="956">
          <cell r="A956" t="str">
            <v>51002_1</v>
          </cell>
        </row>
        <row r="957">
          <cell r="A957" t="str">
            <v>58001_1</v>
          </cell>
        </row>
        <row r="958">
          <cell r="A958" t="str">
            <v>58002_1</v>
          </cell>
        </row>
        <row r="959">
          <cell r="A959" t="str">
            <v>59001_1</v>
          </cell>
        </row>
        <row r="960">
          <cell r="A960" t="str">
            <v>59002_1</v>
          </cell>
        </row>
        <row r="961">
          <cell r="A961" t="str">
            <v>59003_1</v>
          </cell>
        </row>
        <row r="962">
          <cell r="A962" t="str">
            <v>59003_2</v>
          </cell>
        </row>
        <row r="963">
          <cell r="A963" t="str">
            <v>60001_1</v>
          </cell>
        </row>
        <row r="964">
          <cell r="A964" t="str">
            <v>60002_1</v>
          </cell>
        </row>
        <row r="965">
          <cell r="A965" t="str">
            <v>60002_2</v>
          </cell>
        </row>
        <row r="966">
          <cell r="A966" t="str">
            <v>60003_1</v>
          </cell>
        </row>
        <row r="967">
          <cell r="A967" t="str">
            <v>60003_2</v>
          </cell>
        </row>
        <row r="968">
          <cell r="A968" t="str">
            <v>60003_3</v>
          </cell>
        </row>
        <row r="969">
          <cell r="A969" t="str">
            <v>60004_1</v>
          </cell>
        </row>
        <row r="970">
          <cell r="A970" t="str">
            <v>60005_1</v>
          </cell>
        </row>
        <row r="971">
          <cell r="A971" t="str">
            <v>60006_1</v>
          </cell>
        </row>
        <row r="972">
          <cell r="A972" t="str">
            <v>60006_2</v>
          </cell>
        </row>
        <row r="973">
          <cell r="A973" t="str">
            <v>60006_3</v>
          </cell>
        </row>
        <row r="974">
          <cell r="A974" t="str">
            <v>60007_1</v>
          </cell>
        </row>
        <row r="975">
          <cell r="A975" t="str">
            <v>60007_2</v>
          </cell>
        </row>
        <row r="976">
          <cell r="A976" t="str">
            <v>60007_3</v>
          </cell>
        </row>
        <row r="977">
          <cell r="A977" t="str">
            <v>60010_1</v>
          </cell>
        </row>
        <row r="978">
          <cell r="A978" t="str">
            <v>60011_1</v>
          </cell>
        </row>
        <row r="979">
          <cell r="A979" t="str">
            <v>60011_2</v>
          </cell>
        </row>
        <row r="980">
          <cell r="A980" t="str">
            <v>60012_1</v>
          </cell>
        </row>
        <row r="981">
          <cell r="A981" t="str">
            <v>60013_1</v>
          </cell>
        </row>
        <row r="982">
          <cell r="A982" t="str">
            <v>60013_2</v>
          </cell>
        </row>
        <row r="983">
          <cell r="A983" t="str">
            <v>60013_3</v>
          </cell>
        </row>
        <row r="984">
          <cell r="A984" t="str">
            <v>60014_1</v>
          </cell>
        </row>
        <row r="985">
          <cell r="A985" t="str">
            <v>60015_1</v>
          </cell>
        </row>
        <row r="986">
          <cell r="A986" t="str">
            <v>60016_1</v>
          </cell>
        </row>
        <row r="987">
          <cell r="A987" t="str">
            <v>60017_1</v>
          </cell>
        </row>
        <row r="988">
          <cell r="A988" t="str">
            <v>60018_1</v>
          </cell>
        </row>
        <row r="989">
          <cell r="A989" t="str">
            <v>60019_1</v>
          </cell>
        </row>
        <row r="990">
          <cell r="A990" t="str">
            <v>60020_1</v>
          </cell>
        </row>
        <row r="991">
          <cell r="A991" t="str">
            <v>60021_3</v>
          </cell>
        </row>
        <row r="992">
          <cell r="A992" t="str">
            <v>60022_3</v>
          </cell>
        </row>
        <row r="993">
          <cell r="A993" t="str">
            <v>60023_3</v>
          </cell>
        </row>
        <row r="994">
          <cell r="A994" t="str">
            <v>60024_3</v>
          </cell>
        </row>
        <row r="995">
          <cell r="A995" t="str">
            <v>60025_1</v>
          </cell>
        </row>
        <row r="996">
          <cell r="A996" t="str">
            <v>60026_1</v>
          </cell>
        </row>
        <row r="997">
          <cell r="A997" t="str">
            <v>61011_1</v>
          </cell>
        </row>
        <row r="998">
          <cell r="A998" t="str">
            <v>60027_1</v>
          </cell>
        </row>
        <row r="999">
          <cell r="A999" t="str">
            <v>60028_1</v>
          </cell>
        </row>
        <row r="1000">
          <cell r="A1000" t="str">
            <v>60029_1</v>
          </cell>
        </row>
        <row r="1001">
          <cell r="A1001" t="str">
            <v>60030_1</v>
          </cell>
        </row>
        <row r="1002">
          <cell r="A1002" t="str">
            <v>60031_1</v>
          </cell>
        </row>
        <row r="1003">
          <cell r="A1003" t="str">
            <v>65523_1</v>
          </cell>
        </row>
        <row r="1004">
          <cell r="A1004" t="str">
            <v>65523_2</v>
          </cell>
        </row>
        <row r="1005">
          <cell r="A1005" t="str">
            <v>65523_3</v>
          </cell>
        </row>
        <row r="1006">
          <cell r="A1006" t="str">
            <v>65524_1</v>
          </cell>
        </row>
        <row r="1007">
          <cell r="A1007" t="str">
            <v>65524_2</v>
          </cell>
        </row>
        <row r="1008">
          <cell r="A1008" t="str">
            <v>65525_1</v>
          </cell>
        </row>
        <row r="1009">
          <cell r="A1009" t="str">
            <v>65526_1</v>
          </cell>
        </row>
        <row r="1010">
          <cell r="A1010" t="str">
            <v>65526_2</v>
          </cell>
        </row>
        <row r="1011">
          <cell r="A1011" t="str">
            <v>65527_1</v>
          </cell>
        </row>
        <row r="1012">
          <cell r="A1012" t="str">
            <v>65528_1</v>
          </cell>
        </row>
        <row r="1013">
          <cell r="A1013" t="str">
            <v>65529_1</v>
          </cell>
        </row>
        <row r="1014">
          <cell r="A1014" t="str">
            <v>65530_1</v>
          </cell>
        </row>
        <row r="1015">
          <cell r="A1015" t="str">
            <v>65531_1</v>
          </cell>
        </row>
        <row r="1016">
          <cell r="A1016" t="str">
            <v>65531_2</v>
          </cell>
        </row>
        <row r="1017">
          <cell r="A1017" t="str">
            <v>65532_1</v>
          </cell>
        </row>
        <row r="1018">
          <cell r="A1018" t="str">
            <v>65532_2</v>
          </cell>
        </row>
        <row r="1019">
          <cell r="A1019" t="str">
            <v>65533_1</v>
          </cell>
        </row>
        <row r="1020">
          <cell r="A1020" t="str">
            <v>65533_2</v>
          </cell>
        </row>
        <row r="1021">
          <cell r="A1021" t="str">
            <v>65534_1</v>
          </cell>
        </row>
        <row r="1022">
          <cell r="A1022" t="str">
            <v>65534_2</v>
          </cell>
        </row>
        <row r="1023">
          <cell r="A1023" t="str">
            <v>65535_1</v>
          </cell>
        </row>
        <row r="1024">
          <cell r="A1024" t="str">
            <v>65535_2</v>
          </cell>
        </row>
        <row r="1025">
          <cell r="A1025" t="str">
            <v>65535_3</v>
          </cell>
        </row>
        <row r="1026">
          <cell r="A1026" t="str">
            <v>65535_4</v>
          </cell>
        </row>
        <row r="1027">
          <cell r="A1027" t="str">
            <v>65535_5</v>
          </cell>
        </row>
        <row r="1028">
          <cell r="A1028" t="str">
            <v>65535_6</v>
          </cell>
        </row>
        <row r="1029">
          <cell r="A1029" t="str">
            <v>65535_7</v>
          </cell>
        </row>
        <row r="1030">
          <cell r="A1030" t="str">
            <v>65535_8</v>
          </cell>
        </row>
        <row r="1031">
          <cell r="A1031" t="str">
            <v>65535_9</v>
          </cell>
        </row>
        <row r="1032">
          <cell r="A103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9001</v>
          </cell>
        </row>
        <row r="1572">
          <cell r="A1572">
            <v>9002</v>
          </cell>
        </row>
        <row r="1573">
          <cell r="A1573">
            <v>9003</v>
          </cell>
        </row>
        <row r="1574">
          <cell r="A1574">
            <v>9004</v>
          </cell>
        </row>
        <row r="1575">
          <cell r="A1575">
            <v>9005</v>
          </cell>
        </row>
        <row r="1576">
          <cell r="A1576">
            <v>9006</v>
          </cell>
        </row>
        <row r="1577">
          <cell r="A1577">
            <v>9007</v>
          </cell>
        </row>
        <row r="1578">
          <cell r="A1578">
            <v>9008</v>
          </cell>
        </row>
        <row r="1579">
          <cell r="A1579">
            <v>10101</v>
          </cell>
        </row>
        <row r="1580">
          <cell r="A1580">
            <v>10102</v>
          </cell>
        </row>
        <row r="1581">
          <cell r="A1581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H25" sqref="H25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129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263</v>
      </c>
      <c r="B2" s="57" t="s">
        <v>105</v>
      </c>
      <c r="C2" s="62">
        <v>50005</v>
      </c>
      <c r="D2" s="57" t="s">
        <v>106</v>
      </c>
      <c r="E2" s="56" t="str">
        <f>B2&amp;C2&amp;D2</f>
        <v>floors_50005.tmp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263</v>
      </c>
      <c r="B3" s="57" t="s">
        <v>108</v>
      </c>
      <c r="C3" s="62">
        <f>C$2</f>
        <v>50005</v>
      </c>
      <c r="D3" s="57" t="s">
        <v>106</v>
      </c>
      <c r="E3" s="56" t="str">
        <f>B3&amp;C3&amp;D3</f>
        <v>enemy_habitats_50005.tmp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178</v>
      </c>
    </row>
    <row r="4" spans="1:30" x14ac:dyDescent="0.15">
      <c r="A4" s="61" t="s">
        <v>263</v>
      </c>
      <c r="B4" s="57" t="s">
        <v>110</v>
      </c>
      <c r="C4" s="62">
        <f t="shared" ref="C4:C13" si="0">C$2</f>
        <v>50005</v>
      </c>
      <c r="D4" s="57" t="s">
        <v>106</v>
      </c>
      <c r="E4" s="56" t="str">
        <f>B4&amp;C4&amp;D4</f>
        <v>enemy_habitat_S_50005.tmp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263</v>
      </c>
      <c r="B5" s="57" t="s">
        <v>112</v>
      </c>
      <c r="C5" s="62">
        <f t="shared" si="0"/>
        <v>50005</v>
      </c>
      <c r="D5" s="57" t="s">
        <v>106</v>
      </c>
      <c r="E5" s="56" t="str">
        <f>B5&amp;C5&amp;D5</f>
        <v>enemy_skill_sets_50005.tmp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263</v>
      </c>
      <c r="B6" s="57" t="s">
        <v>114</v>
      </c>
      <c r="C6" s="62">
        <f t="shared" si="0"/>
        <v>50005</v>
      </c>
      <c r="D6" s="57" t="s">
        <v>115</v>
      </c>
      <c r="E6" s="56" t="str">
        <f t="shared" ref="E6:E10" si="1">B6&amp;C6&amp;D6</f>
        <v>enemy_skills_tmp_50005.tmp</v>
      </c>
      <c r="F6" s="57" t="s">
        <v>89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263</v>
      </c>
      <c r="B7" s="57" t="s">
        <v>116</v>
      </c>
      <c r="C7" s="62">
        <f t="shared" si="0"/>
        <v>50005</v>
      </c>
      <c r="D7" s="57" t="s">
        <v>106</v>
      </c>
      <c r="E7" s="56" t="str">
        <f>B7&amp;C7&amp;D7</f>
        <v>enemy_skills_i18n_50005.tmp</v>
      </c>
      <c r="F7" s="57" t="s">
        <v>117</v>
      </c>
      <c r="G7" s="58" t="s">
        <v>78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263</v>
      </c>
      <c r="B8" s="57" t="s">
        <v>118</v>
      </c>
      <c r="C8" s="62">
        <f t="shared" si="0"/>
        <v>50005</v>
      </c>
      <c r="D8" s="57" t="s">
        <v>119</v>
      </c>
      <c r="E8" s="56" t="str">
        <f t="shared" si="1"/>
        <v>enemy_skill_triggers_50005.tmp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263</v>
      </c>
      <c r="B9" s="67" t="s">
        <v>177</v>
      </c>
      <c r="C9" s="62">
        <f t="shared" si="0"/>
        <v>50005</v>
      </c>
      <c r="D9" s="67" t="s">
        <v>171</v>
      </c>
      <c r="E9" s="68" t="str">
        <f t="shared" si="1"/>
        <v>stage_bug_bonuses_50005.tmp</v>
      </c>
      <c r="F9" s="67" t="s">
        <v>172</v>
      </c>
      <c r="G9" s="64" t="s">
        <v>149</v>
      </c>
      <c r="H9" s="64" t="s">
        <v>173</v>
      </c>
      <c r="I9" s="64" t="s">
        <v>174</v>
      </c>
      <c r="J9" s="66" t="s">
        <v>175</v>
      </c>
      <c r="K9" s="64" t="s">
        <v>176</v>
      </c>
      <c r="L9" s="64" t="s">
        <v>155</v>
      </c>
      <c r="M9" s="64" t="s">
        <v>156</v>
      </c>
      <c r="N9" s="64" t="s">
        <v>157</v>
      </c>
      <c r="O9" s="64" t="s">
        <v>158</v>
      </c>
      <c r="P9" s="64" t="s">
        <v>159</v>
      </c>
      <c r="Q9" s="64" t="s">
        <v>160</v>
      </c>
      <c r="R9" s="64" t="s">
        <v>161</v>
      </c>
      <c r="S9" s="64" t="s">
        <v>162</v>
      </c>
      <c r="T9" s="64" t="s">
        <v>163</v>
      </c>
      <c r="U9" s="64" t="s">
        <v>164</v>
      </c>
      <c r="V9" s="64" t="s">
        <v>165</v>
      </c>
      <c r="W9" s="64" t="s">
        <v>166</v>
      </c>
      <c r="X9" s="57"/>
      <c r="Y9" s="57"/>
      <c r="Z9" s="57"/>
      <c r="AA9" s="57"/>
      <c r="AB9" s="57"/>
      <c r="AC9" s="57"/>
      <c r="AD9" s="57"/>
    </row>
    <row r="10" spans="1:30" s="74" customFormat="1" x14ac:dyDescent="0.15">
      <c r="A10" s="61" t="s">
        <v>263</v>
      </c>
      <c r="B10" s="67" t="s">
        <v>201</v>
      </c>
      <c r="C10" s="62">
        <f>C$2</f>
        <v>50005</v>
      </c>
      <c r="D10" s="67" t="s">
        <v>180</v>
      </c>
      <c r="E10" s="68" t="str">
        <f t="shared" si="1"/>
        <v>stage_hints_data_c_50005.tmp</v>
      </c>
      <c r="F10" s="67" t="s">
        <v>209</v>
      </c>
      <c r="G10" s="72" t="s">
        <v>181</v>
      </c>
      <c r="H10" s="72" t="s">
        <v>173</v>
      </c>
      <c r="I10" s="73" t="s">
        <v>182</v>
      </c>
      <c r="J10" s="66" t="s">
        <v>183</v>
      </c>
      <c r="K10" s="66" t="s">
        <v>184</v>
      </c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</row>
    <row r="11" spans="1:30" s="74" customFormat="1" x14ac:dyDescent="0.15">
      <c r="A11" s="61" t="s">
        <v>263</v>
      </c>
      <c r="B11" s="67" t="s">
        <v>202</v>
      </c>
      <c r="C11" s="62">
        <f t="shared" si="0"/>
        <v>50005</v>
      </c>
      <c r="D11" s="67" t="s">
        <v>171</v>
      </c>
      <c r="E11" s="68" t="str">
        <f t="shared" ref="E11:E13" si="2">B11&amp;C11&amp;D11</f>
        <v>stage_hints_data_f_50005.tmp</v>
      </c>
      <c r="F11" s="67" t="s">
        <v>210</v>
      </c>
      <c r="G11" s="72" t="s">
        <v>181</v>
      </c>
      <c r="H11" s="72" t="s">
        <v>173</v>
      </c>
      <c r="I11" s="73" t="s">
        <v>182</v>
      </c>
      <c r="J11" s="66" t="s">
        <v>183</v>
      </c>
      <c r="K11" s="66" t="s">
        <v>184</v>
      </c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</row>
    <row r="12" spans="1:30" s="74" customFormat="1" x14ac:dyDescent="0.15">
      <c r="A12" s="61" t="s">
        <v>263</v>
      </c>
      <c r="B12" s="67" t="s">
        <v>203</v>
      </c>
      <c r="C12" s="62">
        <f t="shared" si="0"/>
        <v>50005</v>
      </c>
      <c r="D12" s="67" t="s">
        <v>171</v>
      </c>
      <c r="E12" s="68" t="str">
        <f t="shared" si="2"/>
        <v>stage_hints_i18n_50005.tmp</v>
      </c>
      <c r="F12" s="67" t="s">
        <v>211</v>
      </c>
      <c r="G12" s="73" t="s">
        <v>204</v>
      </c>
      <c r="H12" s="92" t="s">
        <v>205</v>
      </c>
      <c r="I12" s="72" t="s">
        <v>206</v>
      </c>
      <c r="J12" s="96" t="s">
        <v>207</v>
      </c>
      <c r="K12" s="66" t="s">
        <v>208</v>
      </c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</row>
    <row r="13" spans="1:30" s="74" customFormat="1" x14ac:dyDescent="0.15">
      <c r="A13" s="61" t="s">
        <v>422</v>
      </c>
      <c r="B13" s="67" t="s">
        <v>246</v>
      </c>
      <c r="C13" s="62">
        <f t="shared" si="0"/>
        <v>50005</v>
      </c>
      <c r="D13" s="67" t="s">
        <v>227</v>
      </c>
      <c r="E13" s="68" t="str">
        <f t="shared" si="2"/>
        <v>stage_bonuses_50005.tmp</v>
      </c>
      <c r="F13" s="67" t="s">
        <v>226</v>
      </c>
      <c r="G13" s="72" t="s">
        <v>228</v>
      </c>
      <c r="H13" s="72" t="s">
        <v>229</v>
      </c>
      <c r="I13" s="72" t="s">
        <v>230</v>
      </c>
      <c r="J13" s="72" t="s">
        <v>231</v>
      </c>
      <c r="K13" s="72" t="s">
        <v>232</v>
      </c>
      <c r="L13" s="72" t="s">
        <v>233</v>
      </c>
      <c r="M13" s="72" t="s">
        <v>234</v>
      </c>
      <c r="N13" s="72" t="s">
        <v>235</v>
      </c>
      <c r="O13" s="72" t="s">
        <v>236</v>
      </c>
      <c r="P13" s="72" t="s">
        <v>237</v>
      </c>
      <c r="Q13" s="72" t="s">
        <v>238</v>
      </c>
      <c r="R13" s="72" t="s">
        <v>239</v>
      </c>
      <c r="S13" s="72" t="s">
        <v>240</v>
      </c>
      <c r="T13" s="72" t="s">
        <v>241</v>
      </c>
      <c r="U13" s="72" t="s">
        <v>242</v>
      </c>
      <c r="V13" s="72" t="s">
        <v>243</v>
      </c>
      <c r="W13" s="72" t="s">
        <v>244</v>
      </c>
      <c r="X13" s="72" t="s">
        <v>245</v>
      </c>
      <c r="Y13" s="95"/>
      <c r="Z13" s="95"/>
      <c r="AA13" s="95"/>
      <c r="AB13" s="95"/>
      <c r="AC13" s="95"/>
      <c r="AD13" s="95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N16" sqref="N16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50005_1-1</v>
      </c>
      <c r="B2" s="16" t="str">
        <f>IF(COUNTIF(enemy_habitats!$H:$H,A2),"OK","NG")</f>
        <v>OK</v>
      </c>
      <c r="C2" s="7">
        <v>50005</v>
      </c>
      <c r="D2" s="11" t="str">
        <f ca="1">VLOOKUP($C2,OFFSET([2]quests!$A$1,0,0,COUNTA([2]quests!$A:$A),MATCH(D$1,[2]quests!$1:$1,0)-MATCH($C$1,[2]quests!$1:$1,0)+1),MATCH(D$1,[2]quests!$1:$1,0)-MATCH($C$1,[2]quests!$1:$1,0)+1,FALSE)</f>
        <v>ゼウス襲来！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超降臨5</v>
      </c>
      <c r="F2" s="21">
        <v>1</v>
      </c>
      <c r="G2" s="23" t="str">
        <f>C2&amp;"_"&amp;F2</f>
        <v>50005_1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【超ウィザード級】ゼウス襲来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50005_1-2</v>
      </c>
      <c r="B3" s="16" t="str">
        <f>IF(COUNTIF(enemy_habitats!$H:$H,A3),"OK","NG")</f>
        <v>OK</v>
      </c>
      <c r="C3" s="7">
        <v>50005</v>
      </c>
      <c r="D3" s="11" t="str">
        <f ca="1">VLOOKUP($C3,OFFSET([2]quests!$A$1,0,0,COUNTA([2]quests!$A:$A),MATCH(D$1,[2]quests!$1:$1,0)-MATCH($C$1,[2]quests!$1:$1,0)+1),MATCH(D$1,[2]quests!$1:$1,0)-MATCH($C$1,[2]quests!$1:$1,0)+1,FALSE)</f>
        <v>ゼウス襲来！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超降臨5</v>
      </c>
      <c r="F3" s="21">
        <v>1</v>
      </c>
      <c r="G3" s="23" t="str">
        <f>C3&amp;"_"&amp;F3</f>
        <v>50005_1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【超ウィザード級】ゼウス襲来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50005_1-3</v>
      </c>
      <c r="B4" s="16" t="str">
        <f>IF(COUNTIF(enemy_habitats!$H:$H,A4),"OK","NG")</f>
        <v>OK</v>
      </c>
      <c r="C4" s="7">
        <v>50005</v>
      </c>
      <c r="D4" s="11" t="str">
        <f ca="1">VLOOKUP($C4,OFFSET([2]quests!$A$1,0,0,COUNTA([2]quests!$A:$A),MATCH(D$1,[2]quests!$1:$1,0)-MATCH($C$1,[2]quests!$1:$1,0)+1),MATCH(D$1,[2]quests!$1:$1,0)-MATCH($C$1,[2]quests!$1:$1,0)+1,FALSE)</f>
        <v>ゼウス襲来！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超降臨5</v>
      </c>
      <c r="F4" s="21">
        <v>1</v>
      </c>
      <c r="G4" s="23" t="str">
        <f>C4&amp;"_"&amp;F4</f>
        <v>50005_1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【超ウィザード級】ゼウス襲来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>G5&amp;"-"&amp;I5</f>
        <v>50005_1-4</v>
      </c>
      <c r="B5" s="16" t="str">
        <f>IF(COUNTIF(enemy_habitats!$H:$H,A5),"OK","NG")</f>
        <v>OK</v>
      </c>
      <c r="C5" s="7">
        <v>50005</v>
      </c>
      <c r="D5" s="11" t="str">
        <f ca="1">VLOOKUP($C5,OFFSET([2]quests!$A$1,0,0,COUNTA([2]quests!$A:$A),MATCH(D$1,[2]quests!$1:$1,0)-MATCH($C$1,[2]quests!$1:$1,0)+1),MATCH(D$1,[2]quests!$1:$1,0)-MATCH($C$1,[2]quests!$1:$1,0)+1,FALSE)</f>
        <v>ゼウス襲来！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超降臨5</v>
      </c>
      <c r="F5" s="21">
        <v>1</v>
      </c>
      <c r="G5" s="23" t="str">
        <f>C5&amp;"_"&amp;F5</f>
        <v>50005_1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【超ウィザード級】ゼウス襲来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8"/>
  <sheetViews>
    <sheetView showGridLines="0" tabSelected="1" zoomScale="90" zoomScaleNormal="90" zoomScalePageLayoutView="90" workbookViewId="0">
      <pane xSplit="17" ySplit="1" topLeftCell="AA2" activePane="bottomRight" state="frozen"/>
      <selection pane="topRight" activeCell="N1" sqref="N1"/>
      <selection pane="bottomLeft" activeCell="A2" sqref="A2"/>
      <selection pane="bottomRight" activeCell="AB19" sqref="AB19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179</v>
      </c>
    </row>
    <row r="2" spans="1:40" ht="21" customHeight="1" x14ac:dyDescent="0.15">
      <c r="A2" s="16" t="str">
        <f t="shared" ref="A2:A8" si="0">B2&amp;"_"&amp;C2&amp;"-"&amp;G2&amp;"/"&amp;L2&amp;"&lt;lv"&amp;R2&amp;"&gt;s"&amp;AA2</f>
        <v>50005_1-1/929&lt;lv60&gt;s1</v>
      </c>
      <c r="B2" s="22">
        <v>50005</v>
      </c>
      <c r="C2" s="21">
        <v>1</v>
      </c>
      <c r="D2" s="2" t="str">
        <f t="shared" ref="D2:D8" si="1">B2&amp;"_"&amp;C2</f>
        <v>50005_1</v>
      </c>
      <c r="E2" s="4" t="str">
        <f ca="1">VLOOKUP($B2,OFFSET([2]quests!$A$1,0,0,COUNTA([2]quests!$A:$A),MATCH(E$1,[2]quests!$1:$1,0)-MATCH($B$1,[2]quests!$1:$1,0)+1),MATCH(E$1,[2]quests!$1:$1,0)-MATCH($B$1,[2]quests!$1:$1,0)+1,FALSE)</f>
        <v>ゼウス襲来！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【超ウィザード級】ゼウス襲来</v>
      </c>
      <c r="G2" s="21">
        <v>1</v>
      </c>
      <c r="H2" s="15" t="str">
        <f t="shared" ref="H2:H8" si="2">B2&amp;"_"&amp;C2&amp;"-"&amp;G2</f>
        <v>50005_1-1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247</v>
      </c>
      <c r="L2" s="20">
        <v>929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ゼウス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DropWizSS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god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60</v>
      </c>
      <c r="S2" s="25">
        <v>6.5</v>
      </c>
      <c r="T2" s="25">
        <v>1.8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まずはウォーミングアップといこうじゃないか_x000D_【6ターン以内にHPを削りきれ！】</v>
      </c>
      <c r="W2" s="100">
        <v>50005001</v>
      </c>
      <c r="X2" s="6">
        <v>0</v>
      </c>
      <c r="Y2" s="6">
        <v>100</v>
      </c>
      <c r="Z2" s="6">
        <v>0</v>
      </c>
      <c r="AA2" s="99">
        <v>1</v>
      </c>
      <c r="AB2" s="24">
        <f t="shared" ref="AB2:AB7" si="3">L2</f>
        <v>929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ゼウス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5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DropWizSS</v>
      </c>
      <c r="AF2" s="7">
        <v>1</v>
      </c>
      <c r="AG2" s="24">
        <f t="shared" ref="AG2:AG8" ca="1" si="4">AD2</f>
        <v>5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 t="shared" si="0"/>
        <v>50005_1-2/805&lt;lv60&gt;s2</v>
      </c>
      <c r="B3" s="22">
        <v>50005</v>
      </c>
      <c r="C3" s="21">
        <v>1</v>
      </c>
      <c r="D3" s="2" t="str">
        <f t="shared" si="1"/>
        <v>50005_1</v>
      </c>
      <c r="E3" s="4" t="str">
        <f ca="1">VLOOKUP($B3,OFFSET([2]quests!$A$1,0,0,COUNTA([2]quests!$A:$A),MATCH(E$1,[2]quests!$1:$1,0)-MATCH($B$1,[2]quests!$1:$1,0)+1),MATCH(E$1,[2]quests!$1:$1,0)-MATCH($B$1,[2]quests!$1:$1,0)+1,FALSE)</f>
        <v>ゼウス襲来！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【超ウィザード級】ゼウス襲来</v>
      </c>
      <c r="G3" s="21">
        <v>2</v>
      </c>
      <c r="H3" s="15" t="str">
        <f t="shared" si="2"/>
        <v>50005_1-2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247</v>
      </c>
      <c r="L3" s="20">
        <v>805</v>
      </c>
      <c r="M3" s="17" t="str">
        <f ca="1">VLOOKUP($L3,OFFSET([3]enemies!$A$1,0,0,COUNTA([3]enemies!$A:$A),MATCH(M$1,[3]enemies!$1:$1,0)-MATCH($L$1,[3]enemies!$1:$1,0)+1),MATCH(M$1,[3]enemies!$1:$1,0)-MATCH($L$1,[3]enemies!$1:$1,0)+1,FALSE)</f>
        <v>熱環の大逆聖 ベリアル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god</v>
      </c>
      <c r="Q3" s="17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60</v>
      </c>
      <c r="S3" s="25">
        <v>4.2</v>
      </c>
      <c r="T3" s="25">
        <v>1.3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熱環の大逆聖 ベリアルが現れた！</v>
      </c>
      <c r="W3" s="100">
        <v>50005002</v>
      </c>
      <c r="X3" s="6">
        <v>0</v>
      </c>
      <c r="Y3" s="6">
        <v>100</v>
      </c>
      <c r="Z3" s="6">
        <v>0</v>
      </c>
      <c r="AA3" s="99">
        <v>2</v>
      </c>
      <c r="AB3" s="24">
        <f t="shared" si="3"/>
        <v>805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熱環の大逆聖 ベリアル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6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3" s="7">
        <v>1</v>
      </c>
      <c r="AG3" s="24">
        <f t="shared" ca="1" si="4"/>
        <v>6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 t="shared" si="0"/>
        <v>50005_1-2/806&lt;lv60&gt;s2</v>
      </c>
      <c r="B4" s="22">
        <v>50005</v>
      </c>
      <c r="C4" s="21">
        <v>1</v>
      </c>
      <c r="D4" s="2" t="str">
        <f t="shared" si="1"/>
        <v>50005_1</v>
      </c>
      <c r="E4" s="4" t="str">
        <f ca="1">VLOOKUP($B4,OFFSET([2]quests!$A$1,0,0,COUNTA([2]quests!$A:$A),MATCH(E$1,[2]quests!$1:$1,0)-MATCH($B$1,[2]quests!$1:$1,0)+1),MATCH(E$1,[2]quests!$1:$1,0)-MATCH($B$1,[2]quests!$1:$1,0)+1,FALSE)</f>
        <v>ゼウス襲来！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【超ウィザード級】ゼウス襲来</v>
      </c>
      <c r="G4" s="21">
        <v>2</v>
      </c>
      <c r="H4" s="15" t="str">
        <f t="shared" si="2"/>
        <v>50005_1-2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247</v>
      </c>
      <c r="L4" s="20">
        <v>806</v>
      </c>
      <c r="M4" s="17" t="str">
        <f ca="1">VLOOKUP($L4,OFFSET([3]enemies!$A$1,0,0,COUNTA([3]enemies!$A:$A),MATCH(M$1,[3]enemies!$1:$1,0)-MATCH($L$1,[3]enemies!$1:$1,0)+1),MATCH(M$1,[3]enemies!$1:$1,0)-MATCH($L$1,[3]enemies!$1:$1,0)+1,FALSE)</f>
        <v>全解の預智聖 オセ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god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60</v>
      </c>
      <c r="S4" s="25">
        <v>6</v>
      </c>
      <c r="T4" s="25">
        <v>1.8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全解の預智聖 オセが現れた！</v>
      </c>
      <c r="W4" s="100">
        <v>50005003</v>
      </c>
      <c r="X4" s="6">
        <v>0</v>
      </c>
      <c r="Y4" s="6">
        <v>100</v>
      </c>
      <c r="Z4" s="6">
        <v>0</v>
      </c>
      <c r="AA4" s="99">
        <v>2</v>
      </c>
      <c r="AB4" s="24">
        <f t="shared" si="3"/>
        <v>806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全解の預智聖 オセ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6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4" s="7">
        <v>1</v>
      </c>
      <c r="AG4" s="24">
        <f t="shared" ca="1" si="4"/>
        <v>6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t="shared" si="0"/>
        <v>50005_1-2/807&lt;lv60&gt;s2</v>
      </c>
      <c r="B5" s="22">
        <v>50005</v>
      </c>
      <c r="C5" s="21">
        <v>1</v>
      </c>
      <c r="D5" s="2" t="str">
        <f t="shared" si="1"/>
        <v>50005_1</v>
      </c>
      <c r="E5" s="4" t="str">
        <f ca="1">VLOOKUP($B5,OFFSET([2]quests!$A$1,0,0,COUNTA([2]quests!$A:$A),MATCH(E$1,[2]quests!$1:$1,0)-MATCH($B$1,[2]quests!$1:$1,0)+1),MATCH(E$1,[2]quests!$1:$1,0)-MATCH($B$1,[2]quests!$1:$1,0)+1,FALSE)</f>
        <v>ゼウス襲来！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【超ウィザード級】ゼウス襲来</v>
      </c>
      <c r="G5" s="21">
        <v>2</v>
      </c>
      <c r="H5" s="15" t="str">
        <f t="shared" si="2"/>
        <v>50005_1-2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247</v>
      </c>
      <c r="L5" s="20">
        <v>807</v>
      </c>
      <c r="M5" s="17" t="str">
        <f ca="1">VLOOKUP($L5,OFFSET([3]enemies!$A$1,0,0,COUNTA([3]enemies!$A:$A),MATCH(M$1,[3]enemies!$1:$1,0)-MATCH($L$1,[3]enemies!$1:$1,0)+1),MATCH(M$1,[3]enemies!$1:$1,0)-MATCH($L$1,[3]enemies!$1:$1,0)+1,FALSE)</f>
        <v>襲愛の真公爵 フォルネウス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60</v>
      </c>
      <c r="S5" s="25">
        <v>6</v>
      </c>
      <c r="T5" s="25">
        <v>1.8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襲愛の真公爵 フォルネウスが現れた！</v>
      </c>
      <c r="W5" s="100">
        <v>50005004</v>
      </c>
      <c r="X5" s="6">
        <v>0</v>
      </c>
      <c r="Y5" s="6">
        <v>100</v>
      </c>
      <c r="Z5" s="6">
        <v>0</v>
      </c>
      <c r="AA5" s="99">
        <v>2</v>
      </c>
      <c r="AB5" s="24">
        <f t="shared" si="3"/>
        <v>807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襲愛の真公爵 フォルネウス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6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5" s="7">
        <v>1</v>
      </c>
      <c r="AG5" s="24">
        <f t="shared" ca="1" si="4"/>
        <v>6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si="0"/>
        <v>50005_1-2/808&lt;lv60&gt;s2</v>
      </c>
      <c r="B6" s="22">
        <v>50005</v>
      </c>
      <c r="C6" s="21">
        <v>1</v>
      </c>
      <c r="D6" s="2" t="str">
        <f t="shared" si="1"/>
        <v>50005_1</v>
      </c>
      <c r="E6" s="4" t="str">
        <f ca="1">VLOOKUP($B6,OFFSET([2]quests!$A$1,0,0,COUNTA([2]quests!$A:$A),MATCH(E$1,[2]quests!$1:$1,0)-MATCH($B$1,[2]quests!$1:$1,0)+1),MATCH(E$1,[2]quests!$1:$1,0)-MATCH($B$1,[2]quests!$1:$1,0)+1,FALSE)</f>
        <v>ゼウス襲来！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【超ウィザード級】ゼウス襲来</v>
      </c>
      <c r="G6" s="21">
        <v>2</v>
      </c>
      <c r="H6" s="15" t="str">
        <f t="shared" si="2"/>
        <v>50005_1-2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247</v>
      </c>
      <c r="L6" s="20">
        <v>808</v>
      </c>
      <c r="M6" s="17" t="str">
        <f ca="1">VLOOKUP($L6,OFFSET([3]enemies!$A$1,0,0,COUNTA([3]enemies!$A:$A),MATCH(M$1,[3]enemies!$1:$1,0)-MATCH($L$1,[3]enemies!$1:$1,0)+1),MATCH(M$1,[3]enemies!$1:$1,0)-MATCH($L$1,[3]enemies!$1:$1,0)+1,FALSE)</f>
        <v>天地万物の烈神母 イザナミ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60</v>
      </c>
      <c r="S6" s="25">
        <v>7.8</v>
      </c>
      <c r="T6" s="25">
        <v>2.4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天地万物の烈神母 イザナミが現れた！</v>
      </c>
      <c r="W6" s="100">
        <v>50005005</v>
      </c>
      <c r="X6" s="6">
        <v>0</v>
      </c>
      <c r="Y6" s="6">
        <v>100</v>
      </c>
      <c r="Z6" s="6">
        <v>0</v>
      </c>
      <c r="AA6" s="99">
        <v>2</v>
      </c>
      <c r="AB6" s="24">
        <f t="shared" si="3"/>
        <v>808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天地万物の烈神母 イザナミ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6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6" s="7">
        <v>1</v>
      </c>
      <c r="AG6" s="24">
        <f t="shared" ca="1" si="4"/>
        <v>6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 t="shared" si="0"/>
        <v>50005_1-3/741&lt;lv60&gt;s1</v>
      </c>
      <c r="B7" s="22">
        <v>50005</v>
      </c>
      <c r="C7" s="21">
        <v>1</v>
      </c>
      <c r="D7" s="2" t="str">
        <f t="shared" si="1"/>
        <v>50005_1</v>
      </c>
      <c r="E7" s="4" t="str">
        <f ca="1">VLOOKUP($B7,OFFSET([2]quests!$A$1,0,0,COUNTA([2]quests!$A:$A),MATCH(E$1,[2]quests!$1:$1,0)-MATCH($B$1,[2]quests!$1:$1,0)+1),MATCH(E$1,[2]quests!$1:$1,0)-MATCH($B$1,[2]quests!$1:$1,0)+1,FALSE)</f>
        <v>ゼウス襲来！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【超ウィザード級】ゼウス襲来</v>
      </c>
      <c r="G7" s="21">
        <v>3</v>
      </c>
      <c r="H7" s="15" t="str">
        <f t="shared" si="2"/>
        <v>50005_1-3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1</v>
      </c>
      <c r="L7" s="20">
        <v>741</v>
      </c>
      <c r="M7" s="17" t="str">
        <f ca="1">VLOOKUP($L7,OFFSET([3]enemies!$A$1,0,0,COUNTA([3]enemies!$A:$A),MATCH(M$1,[3]enemies!$1:$1,0)-MATCH($L$1,[3]enemies!$1:$1,0)+1),MATCH(M$1,[3]enemies!$1:$1,0)-MATCH($L$1,[3]enemies!$1:$1,0)+1,FALSE)</f>
        <v>皆滅の戦鬼 テュポーン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dragon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60</v>
      </c>
      <c r="S7" s="25">
        <v>5</v>
      </c>
      <c r="T7" s="25">
        <v>1.2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皆滅の戦鬼 テュポーンが現れた！</v>
      </c>
      <c r="W7" s="100">
        <v>50005006</v>
      </c>
      <c r="X7" s="6">
        <v>0</v>
      </c>
      <c r="Y7" s="6">
        <v>100</v>
      </c>
      <c r="Z7" s="6">
        <v>0</v>
      </c>
      <c r="AA7" s="99">
        <v>1</v>
      </c>
      <c r="AB7" s="24">
        <f t="shared" si="3"/>
        <v>741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皆滅の戦鬼 テュポーン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6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7" s="7">
        <v>1</v>
      </c>
      <c r="AG7" s="24">
        <f t="shared" ca="1" si="4"/>
        <v>6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 x14ac:dyDescent="0.15">
      <c r="A8" s="16" t="str">
        <f t="shared" si="0"/>
        <v>50005_1-4/930&lt;lv60&gt;s1</v>
      </c>
      <c r="B8" s="22">
        <v>50005</v>
      </c>
      <c r="C8" s="21">
        <v>1</v>
      </c>
      <c r="D8" s="2" t="str">
        <f t="shared" si="1"/>
        <v>50005_1</v>
      </c>
      <c r="E8" s="4" t="str">
        <f ca="1">VLOOKUP($B8,OFFSET([2]quests!$A$1,0,0,COUNTA([2]quests!$A:$A),MATCH(E$1,[2]quests!$1:$1,0)-MATCH($B$1,[2]quests!$1:$1,0)+1),MATCH(E$1,[2]quests!$1:$1,0)-MATCH($B$1,[2]quests!$1:$1,0)+1,FALSE)</f>
        <v>ゼウス襲来！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【超ウィザード級】ゼウス襲来</v>
      </c>
      <c r="G8" s="21">
        <v>4</v>
      </c>
      <c r="H8" s="15" t="str">
        <f t="shared" si="2"/>
        <v>50005_1-4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2</v>
      </c>
      <c r="L8" s="20">
        <v>930</v>
      </c>
      <c r="M8" s="17" t="str">
        <f ca="1">VLOOKUP($L8,OFFSET([3]enemies!$A$1,0,0,COUNTA([3]enemies!$A:$A),MATCH(M$1,[3]enemies!$1:$1,0)-MATCH($L$1,[3]enemies!$1:$1,0)+1),MATCH(M$1,[3]enemies!$1:$1,0)-MATCH($L$1,[3]enemies!$1:$1,0)+1,FALSE)</f>
        <v>烙雷の全能神 ゼウス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DropWizSS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60</v>
      </c>
      <c r="S8" s="25">
        <v>7.5</v>
      </c>
      <c r="T8" s="25">
        <v>1.9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さぁ…まずは君の「知恵」を見せてもらおう_x000D_【10ターン以内にHPを削りきれ！】</v>
      </c>
      <c r="W8" s="100">
        <v>50005008</v>
      </c>
      <c r="X8" s="6">
        <v>0</v>
      </c>
      <c r="Y8" s="6">
        <v>100</v>
      </c>
      <c r="Z8" s="6">
        <v>0</v>
      </c>
      <c r="AA8" s="99">
        <v>1</v>
      </c>
      <c r="AB8" s="102">
        <v>929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ゼウス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5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DropWizSS</v>
      </c>
      <c r="AF8" s="7">
        <v>1</v>
      </c>
      <c r="AG8" s="24">
        <f t="shared" ca="1" si="4"/>
        <v>5</v>
      </c>
      <c r="AH8" s="8">
        <v>85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90" zoomScaleNormal="90" zoomScalePageLayoutView="9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18" sqref="T18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128</v>
      </c>
      <c r="X1" s="29" t="s">
        <v>127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50005_1-3/741&lt;lv60&gt;sq1st2</v>
      </c>
      <c r="B2" s="22">
        <v>50005</v>
      </c>
      <c r="C2" s="21">
        <v>1</v>
      </c>
      <c r="D2" s="2" t="str">
        <f>B2&amp;"_"&amp;C2</f>
        <v>50005_1</v>
      </c>
      <c r="E2" s="4" t="str">
        <f ca="1">VLOOKUP($B2,OFFSET([2]quests!$A$1,0,0,COUNTA([2]quests!$A:$A),MATCH(E$1,[2]quests!$1:$1,0)-MATCH($B$1,[2]quests!$1:$1,0)+1),MATCH(E$1,[2]quests!$1:$1,0)-MATCH($B$1,[2]quests!$1:$1,0)+1,FALSE)</f>
        <v>ゼウス襲来！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【超ウィザード級】ゼウス襲来</v>
      </c>
      <c r="G2" s="21">
        <v>3</v>
      </c>
      <c r="H2" s="15" t="str">
        <f>B2&amp;"_"&amp;C2&amp;"-"&amp;G2</f>
        <v>50005_1-3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741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皆滅の戦鬼 テュポーン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60</v>
      </c>
      <c r="T2" s="25">
        <v>5.2</v>
      </c>
      <c r="U2" s="25">
        <v>1.2</v>
      </c>
      <c r="V2" s="5">
        <v>0</v>
      </c>
      <c r="W2" s="4" t="e">
        <v>#VALUE!</v>
      </c>
      <c r="X2" s="97">
        <v>50005007</v>
      </c>
      <c r="Y2" s="98">
        <v>1</v>
      </c>
    </row>
    <row r="3" spans="1:25" ht="21" customHeight="1" x14ac:dyDescent="0.15">
      <c r="A3" s="16" t="str">
        <f>B3&amp;"_"&amp;C3&amp;"-"&amp;G3&amp;"/"&amp;M3&amp;"&lt;lv"&amp;S3&amp;"&gt;sq"&amp;K3&amp;"st"&amp;L3</f>
        <v>50005_1-4/930&lt;lv60&gt;sq2st2</v>
      </c>
      <c r="B3" s="22">
        <v>50005</v>
      </c>
      <c r="C3" s="21">
        <v>1</v>
      </c>
      <c r="D3" s="2" t="str">
        <f>B3&amp;"_"&amp;C3</f>
        <v>50005_1</v>
      </c>
      <c r="E3" s="4" t="str">
        <f ca="1">VLOOKUP($B3,OFFSET([2]quests!$A$1,0,0,COUNTA([2]quests!$A:$A),MATCH(E$1,[2]quests!$1:$1,0)-MATCH($B$1,[2]quests!$1:$1,0)+1),MATCH(E$1,[2]quests!$1:$1,0)-MATCH($B$1,[2]quests!$1:$1,0)+1,FALSE)</f>
        <v>ゼウス襲来！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【超ウィザード級】ゼウス襲来</v>
      </c>
      <c r="G3" s="21">
        <v>4</v>
      </c>
      <c r="H3" s="15" t="str">
        <f>B3&amp;"_"&amp;C3&amp;"-"&amp;G3</f>
        <v>50005_1-4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930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烙雷の全能神 ゼウス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60</v>
      </c>
      <c r="T3" s="25">
        <v>7.5</v>
      </c>
      <c r="U3" s="25">
        <v>1.9</v>
      </c>
      <c r="V3" s="5">
        <v>0</v>
      </c>
      <c r="W3" s="4" t="e">
        <v>#VALUE!</v>
      </c>
      <c r="X3" s="97">
        <v>50005009</v>
      </c>
      <c r="Y3" s="98">
        <v>1</v>
      </c>
    </row>
    <row r="4" spans="1:25" ht="21" customHeight="1" x14ac:dyDescent="0.15">
      <c r="A4" s="16" t="str">
        <f>B4&amp;"_"&amp;C4&amp;"-"&amp;G4&amp;"/"&amp;M4&amp;"&lt;lv"&amp;S4&amp;"&gt;sq"&amp;K4&amp;"st"&amp;L4</f>
        <v>50005_1-4/930&lt;lv60&gt;sq2st3</v>
      </c>
      <c r="B4" s="22">
        <v>50005</v>
      </c>
      <c r="C4" s="21">
        <v>1</v>
      </c>
      <c r="D4" s="2" t="str">
        <f>B4&amp;"_"&amp;C4</f>
        <v>50005_1</v>
      </c>
      <c r="E4" s="4" t="str">
        <f ca="1">VLOOKUP($B4,OFFSET([2]quests!$A$1,0,0,COUNTA([2]quests!$A:$A),MATCH(E$1,[2]quests!$1:$1,0)-MATCH($B$1,[2]quests!$1:$1,0)+1),MATCH(E$1,[2]quests!$1:$1,0)-MATCH($B$1,[2]quests!$1:$1,0)+1,FALSE)</f>
        <v>ゼウス襲来！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【超ウィザード級】ゼウス襲来</v>
      </c>
      <c r="G4" s="21">
        <v>4</v>
      </c>
      <c r="H4" s="15" t="str">
        <f>B4&amp;"_"&amp;C4&amp;"-"&amp;G4</f>
        <v>50005_1-4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930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烙雷の全能神 ゼウス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60</v>
      </c>
      <c r="T4" s="25">
        <v>8</v>
      </c>
      <c r="U4" s="25">
        <v>2.1</v>
      </c>
      <c r="V4" s="5">
        <v>0</v>
      </c>
      <c r="W4" s="4" t="e">
        <v>#VALUE!</v>
      </c>
      <c r="X4" s="97">
        <v>50005010</v>
      </c>
      <c r="Y4" s="98"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69"/>
  <sheetViews>
    <sheetView showGridLines="0" zoomScale="90" zoomScaleNormal="90" zoomScalePageLayoutView="90" workbookViewId="0">
      <pane xSplit="5" ySplit="1" topLeftCell="F2" activePane="bottomRight" state="frozen"/>
      <selection pane="topRight"/>
      <selection pane="bottomLeft"/>
      <selection pane="bottomRight" activeCell="F11" sqref="F11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50005001_50005001</v>
      </c>
      <c r="B2" s="47">
        <v>50005001</v>
      </c>
      <c r="C2" s="47">
        <v>50005001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ようこそ　私の領域へ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まずはウォーミングアップといこうじゃないか_x000D_【6ターン以内にHPを削りきれ！】</v>
      </c>
      <c r="F2" s="47">
        <v>50005001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" si="1">B3&amp;"_"&amp;C3</f>
        <v>50005001_50005066</v>
      </c>
      <c r="B3" s="103">
        <v>50005001</v>
      </c>
      <c r="C3" s="103">
        <v>50005066</v>
      </c>
      <c r="D3" s="107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ほう…その娘は…？</v>
      </c>
      <c r="E3" s="107" t="str">
        <f ca="1">VLOOKUP($C3,OFFSET(enemy_skills!$A$1,0,0,COUNTA(enemy_skills!$A:$A),MATCH(E$1,enemy_skills!$1:$1,0)-MATCH("enemy_skill_id",enemy_skills!$1:$1,0)+1),MATCH(E$1,enemy_skills!$1:$1,0)-MATCH("enemy_skill_id",enemy_skills!$1:$1,0)+1,FALSE)</f>
        <v>……制御できるのかい？_x000D_【6ターン以内にHPを削りきれ！】</v>
      </c>
      <c r="F3" s="103">
        <v>50005063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846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" si="2">B4&amp;"_"&amp;C4</f>
        <v>50005001_50005066</v>
      </c>
      <c r="B4" s="103">
        <v>50005001</v>
      </c>
      <c r="C4" s="103">
        <v>50005066</v>
      </c>
      <c r="D4" s="107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ほう…その娘は…？</v>
      </c>
      <c r="E4" s="107" t="str">
        <f ca="1">VLOOKUP($C4,OFFSET(enemy_skills!$A$1,0,0,COUNTA(enemy_skills!$A:$A),MATCH(E$1,enemy_skills!$1:$1,0)-MATCH("enemy_skill_id",enemy_skills!$1:$1,0)+1),MATCH(E$1,enemy_skills!$1:$1,0)-MATCH("enemy_skill_id",enemy_skills!$1:$1,0)+1,FALSE)</f>
        <v>……制御できるのかい？_x000D_【6ターン以内にHPを削りきれ！】</v>
      </c>
      <c r="F4" s="103">
        <v>50005064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847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ref="A5:A9" si="3">B5&amp;"_"&amp;C5</f>
        <v>50005001_50005002</v>
      </c>
      <c r="B5" s="47">
        <v>50005001</v>
      </c>
      <c r="C5" s="47">
        <v>50005002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集え　ALICEの天光よ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5ターン赤・黄パネルの出現率大UP</v>
      </c>
      <c r="F5" s="47">
        <v>50005002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3"/>
        <v>50005001_50005003</v>
      </c>
      <c r="B6" s="47">
        <v>50005001</v>
      </c>
      <c r="C6" s="47">
        <v>50005003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エクリプス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黄パネル30個プロテクト+攻撃</v>
      </c>
      <c r="F6" s="47">
        <v>50005003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3"/>
        <v>50005001_50005004</v>
      </c>
      <c r="B7" s="47">
        <v>50005001</v>
      </c>
      <c r="C7" s="47">
        <v>50005004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エクリプス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赤パネル30個プロテクト+攻撃</v>
      </c>
      <c r="F7" s="47">
        <v>50005004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3"/>
        <v>50005001_50005005</v>
      </c>
      <c r="B8" s="47">
        <v>50005001</v>
      </c>
      <c r="C8" s="47">
        <v>50005005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…私の見込み違いだったか？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此度の試練は終了だ　再戦を待っているよ</v>
      </c>
      <c r="F8" s="47">
        <v>50005005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3"/>
        <v>50005001_50005006</v>
      </c>
      <c r="B9" s="47">
        <v>50005001</v>
      </c>
      <c r="C9" s="47">
        <v>50005006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肩慣らしは出来たようだね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先へ進むといい　私は最上階で待っているよ</v>
      </c>
      <c r="F9" s="47">
        <v>50005006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ref="A10" si="4">B10&amp;"_"&amp;C10</f>
        <v>50005001_50005067</v>
      </c>
      <c r="B10" s="103">
        <v>50005001</v>
      </c>
      <c r="C10" s="103">
        <v>50005067</v>
      </c>
      <c r="D10" s="107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どうやら杞憂だったようだね</v>
      </c>
      <c r="E10" s="107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先へ進むといい　私は最上階で待っているよ</v>
      </c>
      <c r="F10" s="103">
        <v>50005065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846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ref="A11" si="5">B11&amp;"_"&amp;C11</f>
        <v>50005001_50005067</v>
      </c>
      <c r="B11" s="103">
        <v>50005001</v>
      </c>
      <c r="C11" s="103">
        <v>50005067</v>
      </c>
      <c r="D11" s="107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どうやら杞憂だったようだね</v>
      </c>
      <c r="E11" s="107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先へ進むといい　私は最上階で待っているよ</v>
      </c>
      <c r="F11" s="103">
        <v>50005066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847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ref="A12:A26" si="6">B12&amp;"_"&amp;C12</f>
        <v>50005002_50005007</v>
      </c>
      <c r="B12" s="47">
        <v>50005002</v>
      </c>
      <c r="C12" s="47">
        <v>50005007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&lt;地獄の始まりだぜッ！&gt;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熱環の大逆聖 ベリアルが現れた！</v>
      </c>
      <c r="F12" s="47">
        <v>50005007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6"/>
        <v>50005002_50005008</v>
      </c>
      <c r="B13" s="47">
        <v>50005002</v>
      </c>
      <c r="C13" s="47">
        <v>50005008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烈火斬突・暴走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3" s="47">
        <v>50005008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6"/>
        <v>50005002_50005009</v>
      </c>
      <c r="B14" s="47">
        <v>50005002</v>
      </c>
      <c r="C14" s="47">
        <v>50005009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血炎斬首・天地沸騰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4" s="47">
        <v>50005009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6"/>
        <v>50005002_50005010</v>
      </c>
      <c r="B15" s="47">
        <v>50005002</v>
      </c>
      <c r="C15" s="47">
        <v>50005010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&lt;この瞬間を待ってたぜッ！&gt;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3ターン緑パネルを吸収して攻撃力UP（最大20個）</v>
      </c>
      <c r="F15" s="47">
        <v>50005010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>B16&amp;"_"&amp;C16</f>
        <v>50005003_50005016</v>
      </c>
      <c r="B16" s="47">
        <v>50005003</v>
      </c>
      <c r="C16" s="47">
        <v>50005016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&lt;これでトドメなんだから！&gt;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全解の預智聖 オセが現れた！</v>
      </c>
      <c r="F16" s="47">
        <v>50005016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>B17&amp;"_"&amp;C17</f>
        <v>50005003_50005017</v>
      </c>
      <c r="B17" s="47">
        <v>50005003</v>
      </c>
      <c r="C17" s="47">
        <v>50005017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トリプレットターゲット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7" s="47">
        <v>50005017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>B18&amp;"_"&amp;C18</f>
        <v>50005003_50005018</v>
      </c>
      <c r="B18" s="47">
        <v>50005003</v>
      </c>
      <c r="C18" s="47">
        <v>50005018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ヘキサゴナルインパクト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18" s="47">
        <v>50005018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>B19&amp;"_"&amp;C19</f>
        <v>50005003_50005019</v>
      </c>
      <c r="B19" s="47">
        <v>50005003</v>
      </c>
      <c r="C19" s="47">
        <v>50005019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&lt;形勢逆転しちゃうわよ…！&gt;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3ターン攻撃力大UP</v>
      </c>
      <c r="F19" s="47">
        <v>50005019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6"/>
        <v>50005004_50005011</v>
      </c>
      <c r="B20" s="47">
        <v>50005004</v>
      </c>
      <c r="C20" s="47">
        <v>50005011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&lt;海の凄さを認めなさーい！&gt;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襲愛の真公爵 フォルネウスが現れた！</v>
      </c>
      <c r="F20" s="47">
        <v>50005011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6"/>
        <v>50005004_50005012</v>
      </c>
      <c r="B21" s="47">
        <v>50005004</v>
      </c>
      <c r="C21" s="47">
        <v>50005012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絶滅契約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1" s="47">
        <v>50005012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6"/>
        <v>50005004_50005013</v>
      </c>
      <c r="B22" s="47">
        <v>50005004</v>
      </c>
      <c r="C22" s="47">
        <v>50005013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メイド・イン・アビス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赤・黄パネル吸収攻撃（最大20個）</v>
      </c>
      <c r="F22" s="47">
        <v>50005013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6"/>
        <v>50005004_50005014</v>
      </c>
      <c r="B23" s="47">
        <v>50005004</v>
      </c>
      <c r="C23" s="47">
        <v>50005014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&lt;藻屑にしてあげるよー！&gt;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23" s="47">
        <v>50005014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6"/>
        <v>50005004_50005015</v>
      </c>
      <c r="B24" s="47">
        <v>50005004</v>
      </c>
      <c r="C24" s="47">
        <v>50005015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ギガンティック・ヘル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強力なクリティカル！</v>
      </c>
      <c r="F24" s="47">
        <v>50005015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69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6"/>
        <v>50005005_50005020</v>
      </c>
      <c r="B25" s="47">
        <v>50005005</v>
      </c>
      <c r="C25" s="47">
        <v>50005020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&lt;見なさい！奇跡の誕生を！&gt;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天地万物の烈神母 イザナミが現れた！</v>
      </c>
      <c r="F25" s="47">
        <v>50005020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6"/>
        <v>50005005_50005021</v>
      </c>
      <c r="B26" s="47">
        <v>50005005</v>
      </c>
      <c r="C26" s="47">
        <v>50005021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烈輝の奇環連砲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6" s="47">
        <v>50005021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ref="A27:A65" si="7">B27&amp;"_"&amp;C27</f>
        <v>50005005_50005022</v>
      </c>
      <c r="B27" s="47">
        <v>50005005</v>
      </c>
      <c r="C27" s="47">
        <v>50005022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神母の連弾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27" s="47">
        <v>50005022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7"/>
        <v>50005005_50005023</v>
      </c>
      <c r="B28" s="47">
        <v>50005005</v>
      </c>
      <c r="C28" s="47">
        <v>50005023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&lt;あたしを怒らせたわね！&gt;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5ターン攻撃頻度が1にUP</v>
      </c>
      <c r="F28" s="47">
        <v>50005023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7"/>
        <v>50005006_50005024</v>
      </c>
      <c r="B29" s="47">
        <v>50005006</v>
      </c>
      <c r="C29" s="47">
        <v>50005024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&lt;望ミ通リ…蹂躙シテヤロウ！&gt;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皆滅の戦鬼 テュポーンが現れた！</v>
      </c>
      <c r="F29" s="47">
        <v>50005024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7"/>
        <v>50005006_50005025</v>
      </c>
      <c r="B30" s="47">
        <v>50005006</v>
      </c>
      <c r="C30" s="47">
        <v>50005025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剥奪の龍息【朱】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赤パネル吸収攻撃（最大20個）</v>
      </c>
      <c r="F30" s="47">
        <v>50005025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30" s="47"/>
      <c r="Q30" s="47"/>
      <c r="R30" s="47"/>
    </row>
    <row r="31" spans="1:18" ht="21" customHeight="1" x14ac:dyDescent="0.15">
      <c r="A31" s="39" t="str">
        <f t="shared" si="7"/>
        <v>50005006_50005026</v>
      </c>
      <c r="B31" s="47">
        <v>50005006</v>
      </c>
      <c r="C31" s="47">
        <v>50005026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剥奪の龍息【蒼】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青パネル吸収攻撃（最大20個）</v>
      </c>
      <c r="F31" s="47">
        <v>50005026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1" s="47"/>
      <c r="Q31" s="47"/>
      <c r="R31" s="47"/>
    </row>
    <row r="32" spans="1:18" ht="21" customHeight="1" x14ac:dyDescent="0.15">
      <c r="A32" s="39" t="str">
        <f t="shared" si="7"/>
        <v>50005006_50005027</v>
      </c>
      <c r="B32" s="47">
        <v>50005006</v>
      </c>
      <c r="C32" s="47">
        <v>50005027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剥奪の龍息【金】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黄パネル吸収攻撃（最大20個）</v>
      </c>
      <c r="F32" s="47">
        <v>50005027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7"/>
        <v>50005006_50005028</v>
      </c>
      <c r="B33" s="47">
        <v>50005006</v>
      </c>
      <c r="C33" s="47">
        <v>50005028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&lt;抵抗ハ無意味ダ！&gt;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5ターン自身の攻撃力大UP</v>
      </c>
      <c r="F33" s="47">
        <v>50005028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7"/>
        <v>50005006_50005029</v>
      </c>
      <c r="B34" s="47">
        <v>50005006</v>
      </c>
      <c r="C34" s="47">
        <v>50005029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崩天牙撃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4" s="47">
        <v>50005029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7"/>
        <v>50005007_50005030</v>
      </c>
      <c r="B35" s="47">
        <v>50005007</v>
      </c>
      <c r="C35" s="47">
        <v>50005030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&lt;全テ奪ウ…全テダ！！&gt;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5ターン全ユニットの攻撃力&amp;回復力50%DOWN</v>
      </c>
      <c r="F35" s="47">
        <v>50005030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7"/>
        <v>50005007_50005031</v>
      </c>
      <c r="B36" s="47">
        <v>50005007</v>
      </c>
      <c r="C36" s="47">
        <v>50005031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&lt;傷一ツ付ケラレン！&gt;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自身の防御力超大UP</v>
      </c>
      <c r="F36" s="47">
        <v>50005031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7"/>
        <v>50005007_50005032</v>
      </c>
      <c r="B37" s="47">
        <v>50005007</v>
      </c>
      <c r="C37" s="47">
        <v>50005032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剥奪の龍息【朱金】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赤・黄パネル吸収攻撃（最大20個）</v>
      </c>
      <c r="F37" s="47">
        <v>50005032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7" s="47"/>
      <c r="Q37" s="47"/>
      <c r="R37" s="47"/>
    </row>
    <row r="38" spans="1:18" ht="21" customHeight="1" x14ac:dyDescent="0.15">
      <c r="A38" s="39" t="str">
        <f t="shared" si="7"/>
        <v>50005007_50005033</v>
      </c>
      <c r="B38" s="47">
        <v>50005007</v>
      </c>
      <c r="C38" s="47">
        <v>50005033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剥奪の龍息【蒼金】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青・黄パネル吸収攻撃（最大20個）</v>
      </c>
      <c r="F38" s="47">
        <v>50005033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7"/>
        <v>50005007_50005034</v>
      </c>
      <c r="B39" s="47">
        <v>50005007</v>
      </c>
      <c r="C39" s="47">
        <v>50005034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&lt;ドウシタ…ソノ程度カ！？&gt;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3ターン緑パネル出現率大UP</v>
      </c>
      <c r="F39" s="47">
        <v>50005034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7"/>
        <v>50005007_50005035</v>
      </c>
      <c r="B40" s="47">
        <v>50005007</v>
      </c>
      <c r="C40" s="47">
        <v>50005035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&lt;コレデ終ワラセテヤロウ！&gt;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緑パネルを吸収して攻撃力UP_x000D_【！】次のターン強力な緑パネル破壊攻撃【！】</v>
      </c>
      <c r="F40" s="47">
        <v>50005035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59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7"/>
        <v>50005007_50005036</v>
      </c>
      <c r="B41" s="47">
        <v>50005007</v>
      </c>
      <c r="C41" s="47">
        <v>50005036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&lt;灰燼ト化セ！！&gt;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強力な緑パネル吸収攻撃</v>
      </c>
      <c r="F41" s="47">
        <v>50005036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58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7"/>
        <v>50005008_50005037</v>
      </c>
      <c r="B42" s="101">
        <v>50005008</v>
      </c>
      <c r="C42" s="101">
        <v>50005037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よくぞここまで辿り着いた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さぁ…まずは君の「知恵」を見せてもらおう_x000D_【10ターン以内にHPを削りきれ！】</v>
      </c>
      <c r="F42" s="47">
        <v>50005037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7"/>
        <v>50005008_50005039</v>
      </c>
      <c r="B43" s="101">
        <v>50005008</v>
      </c>
      <c r="C43" s="101">
        <v>50005039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ロストパーティクル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3ターン赤パネル無効+クリティカル！</v>
      </c>
      <c r="F43" s="47">
        <v>50005038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3" s="47"/>
      <c r="Q43" s="47"/>
      <c r="R43" s="47"/>
    </row>
    <row r="44" spans="1:18" ht="21" customHeight="1" x14ac:dyDescent="0.15">
      <c r="A44" s="39" t="str">
        <f t="shared" si="7"/>
        <v>50005008_50005040</v>
      </c>
      <c r="B44" s="101">
        <v>50005008</v>
      </c>
      <c r="C44" s="101">
        <v>50005040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ロストパーティクル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3ターン黄パネル無効+クリティカル！</v>
      </c>
      <c r="F44" s="47">
        <v>50005039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7"/>
        <v>50005008_50005041</v>
      </c>
      <c r="B45" s="101">
        <v>50005008</v>
      </c>
      <c r="C45" s="101">
        <v>50005041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エクリプスフォール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赤パネル30個プロテクト+黄パネル吸収攻撃</v>
      </c>
      <c r="F45" s="47">
        <v>50005040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7"/>
        <v>50005008_50005042</v>
      </c>
      <c r="B46" s="101">
        <v>50005008</v>
      </c>
      <c r="C46" s="101">
        <v>50005042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エクリプスフォール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黄パネル30個プロテクト+赤パネル吸収攻撃</v>
      </c>
      <c r="F46" s="47">
        <v>50005041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7"/>
        <v>50005008_50005043</v>
      </c>
      <c r="B47" s="101">
        <v>50005008</v>
      </c>
      <c r="C47" s="101">
        <v>50005043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真実を見抜いてみせよ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5ターン暗闇+Cパネル生成超大延長</v>
      </c>
      <c r="F47" s="47">
        <v>50005042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7"/>
        <v>50005008_50005044</v>
      </c>
      <c r="B48" s="101">
        <v>50005008</v>
      </c>
      <c r="C48" s="101">
        <v>50005044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…惰性で続けるのも良くないか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【！】試練終了まで残り1ターン【！】</v>
      </c>
      <c r="F48" s="47">
        <v>50005043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7"/>
        <v>50005008_50005045</v>
      </c>
      <c r="B49" s="101">
        <v>50005008</v>
      </c>
      <c r="C49" s="101">
        <v>50005045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少し時間をかけすぎたね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試練はこれにて終了だ　再戦を待っているよ</v>
      </c>
      <c r="F49" s="47">
        <v>50005044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7"/>
        <v>50005009_50005047</v>
      </c>
      <c r="B50" s="101">
        <v>50005009</v>
      </c>
      <c r="C50" s="101">
        <v>50005047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さすがだと言っておこうか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では…次は君の「器」を見せてもらうよ_x000D_【10ターン以内にHPを削りきれ！】</v>
      </c>
      <c r="F50" s="47">
        <v>50005045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7"/>
        <v>50005009_50005048</v>
      </c>
      <c r="B51" s="101">
        <v>50005009</v>
      </c>
      <c r="C51" s="101">
        <v>50005048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ブラックアウト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お邪魔パネル6個生成+攻撃</v>
      </c>
      <c r="F51" s="47">
        <v>50005046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1" s="47"/>
      <c r="Q51" s="47"/>
      <c r="R51" s="47"/>
    </row>
    <row r="52" spans="1:18" ht="21" customHeight="1" x14ac:dyDescent="0.15">
      <c r="A52" s="39" t="str">
        <f t="shared" si="7"/>
        <v>50005009_50005049</v>
      </c>
      <c r="B52" s="101">
        <v>50005009</v>
      </c>
      <c r="C52" s="101">
        <v>50005049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ダーククラウド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お邪魔パネル4個生成+全体攻撃</v>
      </c>
      <c r="F52" s="47">
        <v>50005047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7"/>
        <v>50005009_50005050</v>
      </c>
      <c r="B53" s="101">
        <v>50005009</v>
      </c>
      <c r="C53" s="101">
        <v>50005050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これでも受け切れるかい？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次のターンお邪魔パネル大量生成+フィーバー減少</v>
      </c>
      <c r="F53" s="47">
        <v>50005048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7"/>
        <v>50005009_50005051</v>
      </c>
      <c r="B54" s="101">
        <v>50005009</v>
      </c>
      <c r="C54" s="101">
        <v>50005051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スーパーセル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お邪魔パネル大量生成+フィーバー減少</v>
      </c>
      <c r="F54" s="47">
        <v>50005049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59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7"/>
        <v>50005009_50005052</v>
      </c>
      <c r="B55" s="101">
        <v>50005009</v>
      </c>
      <c r="C55" s="101">
        <v>50005052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…これ以上は厳しいようだな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【！】試練終了まで残り1ターン【！】</v>
      </c>
      <c r="F55" s="47">
        <v>50005050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8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7"/>
        <v>50005009_50005053</v>
      </c>
      <c r="B56" s="101">
        <v>50005009</v>
      </c>
      <c r="C56" s="101">
        <v>50005053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まあ　気に病む必要はないさ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腕を磨いてくるといい　再戦を待っているよ</v>
      </c>
      <c r="F56" s="47">
        <v>50005051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7"/>
        <v>50005010_50005055</v>
      </c>
      <c r="B57" s="101">
        <v>50005010</v>
      </c>
      <c r="C57" s="101">
        <v>50005055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いいね　文句なしの経過だよ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さて…最後に君の「力」を見せてくれ_x000D_【10ターン以内にHPを削りきれ！】</v>
      </c>
      <c r="F57" s="47">
        <v>50005052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7"/>
        <v>50005010_50005057</v>
      </c>
      <c r="B58" s="101">
        <v>50005010</v>
      </c>
      <c r="C58" s="101">
        <v>50005057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アダマントブレイカー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HPが低いほど強くなる攻撃！</v>
      </c>
      <c r="F58" s="47">
        <v>50005054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75</v>
      </c>
      <c r="L58" s="48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7"/>
        <v>50005010_50005058</v>
      </c>
      <c r="B59" s="101">
        <v>50005010</v>
      </c>
      <c r="C59" s="101">
        <v>50005058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アダマントブレイカー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HPが低いほど強くなる攻撃！</v>
      </c>
      <c r="F59" s="47">
        <v>50005055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59" s="48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9" s="48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7"/>
        <v>50005010_50005059</v>
      </c>
      <c r="B60" s="101">
        <v>50005010</v>
      </c>
      <c r="C60" s="101">
        <v>50005059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アダマントブレイカー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HPが低いほど強くなる攻撃！</v>
      </c>
      <c r="F60" s="47">
        <v>50005056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52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0" s="48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60" s="48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7"/>
        <v>50005010_50005060</v>
      </c>
      <c r="B61" s="101">
        <v>50005010</v>
      </c>
      <c r="C61" s="101">
        <v>50005060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アダマントブレイカー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HPが低いほど強くなる攻撃！</v>
      </c>
      <c r="F61" s="47">
        <v>50005057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53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7"/>
        <v>50005010_50005056</v>
      </c>
      <c r="B62" s="101">
        <v>50005010</v>
      </c>
      <c r="C62" s="101">
        <v>50005056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穿て　ALICEの雷光よ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種族マシンに5ターンスキルバインド+全体攻撃</v>
      </c>
      <c r="F62" s="47">
        <v>50005058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7"/>
        <v>50005010_50005062</v>
      </c>
      <c r="B63" s="101">
        <v>50005010</v>
      </c>
      <c r="C63" s="101">
        <v>50005062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全能楯『イージス』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3ターン防御力激烈UP_x000D_【！】次のターン強力な連続攻撃【！】</v>
      </c>
      <c r="F63" s="47">
        <v>50005059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ref="A64" si="8">B64&amp;"_"&amp;C64</f>
        <v>50005010_50005065</v>
      </c>
      <c r="B64" s="101">
        <v>50005010</v>
      </c>
      <c r="C64" s="101">
        <v>50005065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超雷霆『ケラウノス』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20回連続攻撃</v>
      </c>
      <c r="F64" s="47">
        <v>50005062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69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7"/>
        <v>50005010_50005063</v>
      </c>
      <c r="B65" s="101">
        <v>50005010</v>
      </c>
      <c r="C65" s="101">
        <v>50005063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…あと一歩が足りないようだね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【！】試練終了まで残り1ターン【！】</v>
      </c>
      <c r="F65" s="47">
        <v>50005060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 t="str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5" s="48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ref="A66:A67" si="9">B66&amp;"_"&amp;C66</f>
        <v>50005010_50005064</v>
      </c>
      <c r="B66" s="101">
        <v>50005010</v>
      </c>
      <c r="C66" s="101">
        <v>50005064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可能性は感じられたな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君なら道は開けるだろう…再戦を待っているよ</v>
      </c>
      <c r="F66" s="47">
        <v>50005061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 t="str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6" s="48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9"/>
        <v>50005010_50005068</v>
      </c>
      <c r="B67" s="101">
        <v>50005010</v>
      </c>
      <c r="C67" s="101">
        <v>50005068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素晴らしい結果じゃないか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君ならば「ALICE」の意志を…_x000D_理解できるかもしれないね…</v>
      </c>
      <c r="F67" s="47">
        <v>50005006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ref="A68" si="10">B68&amp;"_"&amp;C68</f>
        <v>50005010_50005069</v>
      </c>
      <c r="B68" s="101">
        <v>50005010</v>
      </c>
      <c r="C68" s="101">
        <v>50005069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己の在り方を…理解したのだな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君ならば「ALICE」の意志も…_x000D_理解できるかもしれないね…</v>
      </c>
      <c r="F68" s="103">
        <v>50005065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846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ref="A69" si="11">B69&amp;"_"&amp;C69</f>
        <v>50005010_50005069</v>
      </c>
      <c r="B69" s="101">
        <v>50005010</v>
      </c>
      <c r="C69" s="101">
        <v>50005069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己の在り方を…理解したのだな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君ならば「ALICE」の意志も…_x000D_理解できるかもしれないね…</v>
      </c>
      <c r="F69" s="103">
        <v>50005066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847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66"/>
  <sheetViews>
    <sheetView showGridLines="0" zoomScale="110" zoomScaleNormal="110" zoomScalePageLayoutView="110" workbookViewId="0">
      <pane ySplit="1" topLeftCell="A20" activePane="bottomLeft" state="frozenSplit"/>
      <selection pane="bottomLeft" activeCell="B35" sqref="B35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125</v>
      </c>
      <c r="E1" s="40" t="s">
        <v>81</v>
      </c>
      <c r="F1" s="40" t="s">
        <v>82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47">
        <v>50005001</v>
      </c>
      <c r="B2" s="47" t="s">
        <v>432</v>
      </c>
      <c r="C2" s="50">
        <v>3</v>
      </c>
      <c r="D2" s="50" t="s">
        <v>126</v>
      </c>
      <c r="E2" s="51" t="s">
        <v>316</v>
      </c>
      <c r="F2" s="51" t="s">
        <v>359</v>
      </c>
      <c r="G2" s="63" t="str">
        <f t="shared" ref="G2:G33" si="0">IFERROR(LEFT(B2,FIND("],",B2)),B2)</f>
        <v>[effect:enemy_message, val1:1.2, val2:2.6]</v>
      </c>
      <c r="H2" s="63">
        <f t="shared" ref="H2:H33" si="1">FIND("effect:",G2)+7</f>
        <v>9</v>
      </c>
      <c r="I2" s="63">
        <f t="shared" ref="I2:I33" si="2">IFERROR(FIND(",",G2),LEN(G2))</f>
        <v>22</v>
      </c>
      <c r="J2" s="63" t="e">
        <f t="shared" ref="J2:J33" si="3">FIND("target:",G2)+7</f>
        <v>#VALUE!</v>
      </c>
      <c r="K2" s="63">
        <f t="shared" ref="K2:K33" si="4">FIND(",",G2,I2+1)</f>
        <v>32</v>
      </c>
      <c r="L2" s="63" t="str">
        <f>IFERROR(VLOOKUP(MID(G2,J2,K2-J2),[5]skilldef!$C:$D,2,FALSE),"-") &amp; " / " &amp; IFERROR(VLOOKUP(MID(G2,H2,I2-H2),[5]skilldef!$A:$B,2,FALSE),"-")</f>
        <v>- / -</v>
      </c>
      <c r="M2" s="63" t="str">
        <f t="shared" ref="M2:M33" si="5">IFERROR(RIGHT(B2,LEN(B2)-FIND("],",B2)-1),"none")</f>
        <v>[effect:fix_speed, target:myself, turn:1],[effect:tolerance, target:myself, turn:-1, tolerance_effect:all, count:-1, animation:enemy_tolerance],[effect:sp_boost, target:unit_green, val:99, animation:sp_boost_one03]</v>
      </c>
      <c r="N2" s="48" t="str">
        <f t="shared" ref="N2:N28" si="6">IFERROR(LEFT(M2,FIND("],",M2)+S12),M2)</f>
        <v>[effect:fix_speed, target:myself, turn:1],[effect:tolerance, target:myself, turn:-1, tolerance_effect:all, count:-1, animation:enemy_tolerance],[effect:sp_boost, target:unit_green, val:99, animation:sp_boost_one03]</v>
      </c>
      <c r="O2" s="63">
        <f t="shared" ref="O2:O33" si="7">FIND("effect:",N2)+7</f>
        <v>9</v>
      </c>
      <c r="P2" s="63">
        <f t="shared" ref="P2:P33" si="8">IFERROR(FIND(",",N2),LEN(N2))</f>
        <v>18</v>
      </c>
      <c r="Q2" s="63">
        <f t="shared" ref="Q2:Q33" si="9">FIND("target:",N2)+7</f>
        <v>27</v>
      </c>
      <c r="R2" s="63">
        <f t="shared" ref="R2:R33" si="10">FIND(",",N2,P2+1)</f>
        <v>33</v>
      </c>
      <c r="S2" s="63" t="str">
        <f>IFERROR(VLOOKUP(MID(N2,Q2,R2-Q2),[5]skilldef!$C:$D,2,FALSE),"-") &amp; " / " &amp; IFERROR(VLOOKUP(MID(N2,O2,P2-O2),[5]skilldef!$A:$B,2,FALSE),"-")</f>
        <v>自分自身に / 行動値設定</v>
      </c>
      <c r="T2" s="48" t="str">
        <f t="shared" ref="T2:T33" si="11">IFERROR(RIGHT(M2,LEN(M2)-FIND("],",M2)-1),"none")</f>
        <v>[effect:tolerance, target:myself, turn:-1, tolerance_effect:all, count:-1, animation:enemy_tolerance],[effect:sp_boost, target:unit_green, val:99, animation:sp_boost_one03]</v>
      </c>
      <c r="U2" s="63">
        <f t="shared" ref="U2:U33" si="12">FIND("effect:",T2)+7</f>
        <v>9</v>
      </c>
      <c r="V2" s="63">
        <f t="shared" ref="V2:V33" si="13">IFERROR(FIND(",",T2),LEN(T2))</f>
        <v>18</v>
      </c>
      <c r="W2" s="63">
        <f t="shared" ref="W2:W33" si="14">FIND("target:",T2)+7</f>
        <v>27</v>
      </c>
      <c r="X2" s="63">
        <f t="shared" ref="X2:X33" si="15">FIND(",",T2,V2+1)</f>
        <v>33</v>
      </c>
      <c r="Y2" s="63" t="str">
        <f>IFERROR(VLOOKUP(MID(T2,W2,X2-W2),[5]skilldef!$C:$D,2,FALSE),"-") &amp; " / " &amp; IFERROR(VLOOKUP(MID(T2,U2,V2-U2),[5]skilldef!$A:$B,2,FALSE),"-")</f>
        <v>自分自身に / 状態異常耐性</v>
      </c>
      <c r="Z2" s="50"/>
      <c r="AA2" s="52"/>
      <c r="AB2" s="50"/>
    </row>
    <row r="3" spans="1:28" ht="21" customHeight="1" x14ac:dyDescent="0.15">
      <c r="A3" s="47">
        <v>50005002</v>
      </c>
      <c r="B3" s="47" t="s">
        <v>267</v>
      </c>
      <c r="C3" s="50">
        <v>3</v>
      </c>
      <c r="D3" s="50" t="s">
        <v>126</v>
      </c>
      <c r="E3" s="51" t="s">
        <v>318</v>
      </c>
      <c r="F3" s="51" t="s">
        <v>317</v>
      </c>
      <c r="G3" s="63" t="str">
        <f t="shared" si="0"/>
        <v>[effect:change_panel_ratio, turn:5, block_type:red, val:0.5]</v>
      </c>
      <c r="H3" s="63">
        <f t="shared" si="1"/>
        <v>9</v>
      </c>
      <c r="I3" s="63">
        <f t="shared" si="2"/>
        <v>27</v>
      </c>
      <c r="J3" s="63" t="e">
        <f t="shared" si="3"/>
        <v>#VALUE!</v>
      </c>
      <c r="K3" s="63">
        <f t="shared" si="4"/>
        <v>35</v>
      </c>
      <c r="L3" s="63" t="str">
        <f>IFERROR(VLOOKUP(MID(G3,J3,K3-J3),[5]skilldef!$C:$D,2,FALSE),"-") &amp; " / " &amp; IFERROR(VLOOKUP(MID(G3,H3,I3-H3),[5]skilldef!$A:$B,2,FALSE),"-")</f>
        <v>- / -</v>
      </c>
      <c r="M3" s="63" t="str">
        <f t="shared" si="5"/>
        <v>[effect:change_panel_ratio, turn:5, block_type:yellow, val:0.5, animation:block_incidence04]</v>
      </c>
      <c r="N3" s="48" t="str">
        <f t="shared" si="6"/>
        <v>[effect:change_panel_ratio, turn:5, block_type:yellow, val:0.5, animation:block_incidence04]</v>
      </c>
      <c r="O3" s="63">
        <f t="shared" si="7"/>
        <v>9</v>
      </c>
      <c r="P3" s="63">
        <f t="shared" si="8"/>
        <v>27</v>
      </c>
      <c r="Q3" s="63" t="e">
        <f t="shared" si="9"/>
        <v>#VALUE!</v>
      </c>
      <c r="R3" s="63">
        <f t="shared" si="10"/>
        <v>35</v>
      </c>
      <c r="S3" s="63" t="str">
        <f>IFERROR(VLOOKUP(MID(N3,Q3,R3-Q3),[5]skilldef!$C:$D,2,FALSE),"-") &amp; " / " &amp; IFERROR(VLOOKUP(MID(N3,O3,P3-O3),[5]skilldef!$A:$B,2,FALSE),"-")</f>
        <v>- / -</v>
      </c>
      <c r="T3" s="48" t="str">
        <f t="shared" si="11"/>
        <v>none</v>
      </c>
      <c r="U3" s="63" t="e">
        <f t="shared" si="12"/>
        <v>#VALUE!</v>
      </c>
      <c r="V3" s="63">
        <f t="shared" si="13"/>
        <v>4</v>
      </c>
      <c r="W3" s="63" t="e">
        <f t="shared" si="14"/>
        <v>#VALUE!</v>
      </c>
      <c r="X3" s="63" t="e">
        <f t="shared" si="15"/>
        <v>#VALUE!</v>
      </c>
      <c r="Y3" s="63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47">
        <v>50005003</v>
      </c>
      <c r="B4" s="47" t="s">
        <v>283</v>
      </c>
      <c r="C4" s="50">
        <v>3</v>
      </c>
      <c r="D4" s="50" t="s">
        <v>126</v>
      </c>
      <c r="E4" s="51" t="s">
        <v>319</v>
      </c>
      <c r="F4" s="51" t="s">
        <v>355</v>
      </c>
      <c r="G4" s="63" t="str">
        <f t="shared" si="0"/>
        <v>[effect:panel_freeze, target:block_yellow, count:30]</v>
      </c>
      <c r="H4" s="63">
        <f t="shared" si="1"/>
        <v>9</v>
      </c>
      <c r="I4" s="63">
        <f t="shared" si="2"/>
        <v>21</v>
      </c>
      <c r="J4" s="63">
        <f t="shared" si="3"/>
        <v>30</v>
      </c>
      <c r="K4" s="63">
        <f t="shared" si="4"/>
        <v>42</v>
      </c>
      <c r="L4" s="63" t="str">
        <f>IFERROR(VLOOKUP(MID(G4,J4,K4-J4),[5]skilldef!$C:$D,2,FALSE),"-") &amp; " / " &amp; IFERROR(VLOOKUP(MID(G4,H4,I4-H4),[5]skilldef!$A:$B,2,FALSE),"-")</f>
        <v>黄色パネルを / -</v>
      </c>
      <c r="M4" s="63" t="str">
        <f t="shared" si="5"/>
        <v>[effect:rush, count:1, val:1.0]</v>
      </c>
      <c r="N4" s="48" t="str">
        <f t="shared" si="6"/>
        <v>[effect:rush, count:1, val:1.0]</v>
      </c>
      <c r="O4" s="63">
        <f t="shared" si="7"/>
        <v>9</v>
      </c>
      <c r="P4" s="63">
        <f t="shared" si="8"/>
        <v>13</v>
      </c>
      <c r="Q4" s="63" t="e">
        <f t="shared" si="9"/>
        <v>#VALUE!</v>
      </c>
      <c r="R4" s="63">
        <f t="shared" si="10"/>
        <v>22</v>
      </c>
      <c r="S4" s="63" t="str">
        <f>IFERROR(VLOOKUP(MID(N4,Q4,R4-Q4),[5]skilldef!$C:$D,2,FALSE),"-") &amp; " / " &amp; IFERROR(VLOOKUP(MID(N4,O4,P4-O4),[5]skilldef!$A:$B,2,FALSE),"-")</f>
        <v>- / 連続攻撃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47">
        <v>50005004</v>
      </c>
      <c r="B5" s="47" t="s">
        <v>284</v>
      </c>
      <c r="C5" s="50">
        <v>3</v>
      </c>
      <c r="D5" s="50" t="s">
        <v>126</v>
      </c>
      <c r="E5" s="51" t="s">
        <v>319</v>
      </c>
      <c r="F5" s="51" t="s">
        <v>356</v>
      </c>
      <c r="G5" s="63" t="str">
        <f t="shared" si="0"/>
        <v>[effect:panel_freeze, target:block_red, count:30]</v>
      </c>
      <c r="H5" s="63">
        <f t="shared" si="1"/>
        <v>9</v>
      </c>
      <c r="I5" s="63">
        <f t="shared" si="2"/>
        <v>21</v>
      </c>
      <c r="J5" s="63">
        <f t="shared" si="3"/>
        <v>30</v>
      </c>
      <c r="K5" s="63">
        <f t="shared" si="4"/>
        <v>39</v>
      </c>
      <c r="L5" s="63" t="str">
        <f>IFERROR(VLOOKUP(MID(G5,J5,K5-J5),[5]skilldef!$C:$D,2,FALSE),"-") &amp; " / " &amp; IFERROR(VLOOKUP(MID(G5,H5,I5-H5),[5]skilldef!$A:$B,2,FALSE),"-")</f>
        <v>赤パネルを / -</v>
      </c>
      <c r="M5" s="63" t="str">
        <f t="shared" si="5"/>
        <v>[effect:rush, count:1, val:1.0]</v>
      </c>
      <c r="N5" s="48" t="str">
        <f t="shared" si="6"/>
        <v>[effect:rush, count:1, val:1.0]</v>
      </c>
      <c r="O5" s="63">
        <f t="shared" si="7"/>
        <v>9</v>
      </c>
      <c r="P5" s="63">
        <f t="shared" si="8"/>
        <v>13</v>
      </c>
      <c r="Q5" s="63" t="e">
        <f t="shared" si="9"/>
        <v>#VALUE!</v>
      </c>
      <c r="R5" s="63">
        <f t="shared" si="10"/>
        <v>22</v>
      </c>
      <c r="S5" s="63" t="str">
        <f>IFERROR(VLOOKUP(MID(N5,Q5,R5-Q5),[5]skilldef!$C:$D,2,FALSE),"-") &amp; " / " &amp; IFERROR(VLOOKUP(MID(N5,O5,P5-O5),[5]skilldef!$A:$B,2,FALSE),"-")</f>
        <v>- / 連続攻撃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47">
        <v>50005005</v>
      </c>
      <c r="B6" s="47" t="s">
        <v>437</v>
      </c>
      <c r="C6" s="50">
        <v>3</v>
      </c>
      <c r="D6" s="50" t="s">
        <v>126</v>
      </c>
      <c r="E6" s="51" t="s">
        <v>268</v>
      </c>
      <c r="F6" s="51" t="s">
        <v>279</v>
      </c>
      <c r="G6" s="63" t="str">
        <f t="shared" si="0"/>
        <v>[effect:hp_spend, val:1, animation:spend_hp]</v>
      </c>
      <c r="H6" s="63">
        <f t="shared" si="1"/>
        <v>9</v>
      </c>
      <c r="I6" s="63">
        <f t="shared" si="2"/>
        <v>17</v>
      </c>
      <c r="J6" s="63" t="e">
        <f t="shared" si="3"/>
        <v>#VALUE!</v>
      </c>
      <c r="K6" s="63">
        <f t="shared" si="4"/>
        <v>24</v>
      </c>
      <c r="L6" s="63" t="str">
        <f>IFERROR(VLOOKUP(MID(G6,J6,K6-J6),[5]skilldef!$C:$D,2,FALSE),"-") &amp; " / " &amp; IFERROR(VLOOKUP(MID(G6,H6,I6-H6),[5]skilldef!$A:$B,2,FALSE),"-")</f>
        <v>- / -</v>
      </c>
      <c r="M6" s="63" t="str">
        <f t="shared" si="5"/>
        <v>[effect:enemy_message, val1:1.75, val2:2.0, dead_type:escape]</v>
      </c>
      <c r="N6" s="48" t="str">
        <f t="shared" si="6"/>
        <v>[effect:enemy_message, val1:1.75, val2:2.0, dead_type:escape]</v>
      </c>
      <c r="O6" s="63">
        <f t="shared" si="7"/>
        <v>9</v>
      </c>
      <c r="P6" s="63">
        <f t="shared" si="8"/>
        <v>22</v>
      </c>
      <c r="Q6" s="63" t="e">
        <f t="shared" si="9"/>
        <v>#VALUE!</v>
      </c>
      <c r="R6" s="63">
        <f t="shared" si="10"/>
        <v>33</v>
      </c>
      <c r="S6" s="63" t="str">
        <f>IFERROR(VLOOKUP(MID(N6,Q6,R6-Q6),[5]skilldef!$C:$D,2,FALSE),"-") &amp; " / " &amp; IFERROR(VLOOKUP(MID(N6,O6,P6-O6),[5]skilldef!$A:$B,2,FALSE),"-")</f>
        <v>-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47">
        <v>50005006</v>
      </c>
      <c r="B7" s="47" t="s">
        <v>436</v>
      </c>
      <c r="C7" s="50">
        <v>3</v>
      </c>
      <c r="D7" s="50" t="s">
        <v>126</v>
      </c>
      <c r="E7" s="51" t="s">
        <v>353</v>
      </c>
      <c r="F7" s="51" t="s">
        <v>354</v>
      </c>
      <c r="G7" s="63" t="str">
        <f t="shared" si="0"/>
        <v>[effect:enemy_message, val1:1.4, val2:2.2, dead_type:escape]</v>
      </c>
      <c r="H7" s="63">
        <f t="shared" si="1"/>
        <v>9</v>
      </c>
      <c r="I7" s="63">
        <f t="shared" si="2"/>
        <v>22</v>
      </c>
      <c r="J7" s="63" t="e">
        <f t="shared" si="3"/>
        <v>#VALUE!</v>
      </c>
      <c r="K7" s="63">
        <f t="shared" si="4"/>
        <v>32</v>
      </c>
      <c r="L7" s="63" t="str">
        <f>IFERROR(VLOOKUP(MID(G7,J7,K7-J7),[5]skilldef!$C:$D,2,FALSE),"-") &amp; " / " &amp; IFERROR(VLOOKUP(MID(G7,H7,I7-H7),[5]skilldef!$A:$B,2,FALSE),"-")</f>
        <v>- / -</v>
      </c>
      <c r="M7" s="63" t="str">
        <f t="shared" si="5"/>
        <v>none</v>
      </c>
      <c r="N7" s="48" t="str">
        <f t="shared" si="6"/>
        <v>none</v>
      </c>
      <c r="O7" s="63" t="e">
        <f t="shared" si="7"/>
        <v>#VALUE!</v>
      </c>
      <c r="P7" s="63">
        <f t="shared" si="8"/>
        <v>4</v>
      </c>
      <c r="Q7" s="63" t="e">
        <f t="shared" si="9"/>
        <v>#VALUE!</v>
      </c>
      <c r="R7" s="63" t="e">
        <f t="shared" si="10"/>
        <v>#VALUE!</v>
      </c>
      <c r="S7" s="63" t="str">
        <f>IFERROR(VLOOKUP(MID(N7,Q7,R7-Q7),[5]skilldef!$C:$D,2,FALSE),"-") &amp; " / " &amp; IFERROR(VLOOKUP(MID(N7,O7,P7-O7),[5]skilldef!$A:$B,2,FALSE),"-")</f>
        <v>- / -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47">
        <v>50005007</v>
      </c>
      <c r="B8" s="47" t="s">
        <v>308</v>
      </c>
      <c r="C8" s="50">
        <v>3</v>
      </c>
      <c r="D8" s="50" t="s">
        <v>126</v>
      </c>
      <c r="E8" s="51" t="s">
        <v>336</v>
      </c>
      <c r="F8" s="51" t="s">
        <v>417</v>
      </c>
      <c r="G8" s="63" t="str">
        <f t="shared" si="0"/>
        <v>[effect:fix_speed, target:myself, turn:2]</v>
      </c>
      <c r="H8" s="63">
        <f t="shared" si="1"/>
        <v>9</v>
      </c>
      <c r="I8" s="63">
        <f t="shared" si="2"/>
        <v>18</v>
      </c>
      <c r="J8" s="63">
        <f t="shared" si="3"/>
        <v>27</v>
      </c>
      <c r="K8" s="63">
        <f t="shared" si="4"/>
        <v>33</v>
      </c>
      <c r="L8" s="63" t="str">
        <f>IFERROR(VLOOKUP(MID(G8,J8,K8-J8),[5]skilldef!$C:$D,2,FALSE),"-") &amp; " / " &amp; IFERROR(VLOOKUP(MID(G8,H8,I8-H8),[5]skilldef!$A:$B,2,FALSE),"-")</f>
        <v>自分自身に / 行動値設定</v>
      </c>
      <c r="M8" s="63" t="str">
        <f t="shared" si="5"/>
        <v>none</v>
      </c>
      <c r="N8" s="48" t="str">
        <f t="shared" si="6"/>
        <v>none</v>
      </c>
      <c r="O8" s="63" t="e">
        <f t="shared" si="7"/>
        <v>#VALUE!</v>
      </c>
      <c r="P8" s="63">
        <f t="shared" si="8"/>
        <v>4</v>
      </c>
      <c r="Q8" s="63" t="e">
        <f t="shared" si="9"/>
        <v>#VALUE!</v>
      </c>
      <c r="R8" s="63" t="e">
        <f t="shared" si="10"/>
        <v>#VALUE!</v>
      </c>
      <c r="S8" s="63" t="str">
        <f>IFERROR(VLOOKUP(MID(N8,Q8,R8-Q8),[5]skilldef!$C:$D,2,FALSE),"-") &amp; " / " &amp; IFERROR(VLOOKUP(MID(N8,O8,P8-O8),[5]skilldef!$A:$B,2,FALSE),"-")</f>
        <v>- / -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50005008</v>
      </c>
      <c r="B9" s="47" t="s">
        <v>269</v>
      </c>
      <c r="C9" s="50">
        <v>3</v>
      </c>
      <c r="D9" s="50" t="s">
        <v>126</v>
      </c>
      <c r="E9" s="51" t="s">
        <v>322</v>
      </c>
      <c r="F9" s="51" t="s">
        <v>249</v>
      </c>
      <c r="G9" s="63" t="str">
        <f t="shared" si="0"/>
        <v>[effect:spread, val:0.3]</v>
      </c>
      <c r="H9" s="63">
        <f t="shared" si="1"/>
        <v>9</v>
      </c>
      <c r="I9" s="63">
        <f t="shared" si="2"/>
        <v>15</v>
      </c>
      <c r="J9" s="63" t="e">
        <f t="shared" si="3"/>
        <v>#VALUE!</v>
      </c>
      <c r="K9" s="63" t="e">
        <f t="shared" si="4"/>
        <v>#VALUE!</v>
      </c>
      <c r="L9" s="63" t="str">
        <f>IFERROR(VLOOKUP(MID(G9,J9,K9-J9),[5]skilldef!$C:$D,2,FALSE),"-") &amp; " / " &amp; IFERROR(VLOOKUP(MID(G9,H9,I9-H9),[5]skilldef!$A:$B,2,FALSE),"-")</f>
        <v>- / 全体攻撃</v>
      </c>
      <c r="M9" s="63" t="str">
        <f t="shared" si="5"/>
        <v>none</v>
      </c>
      <c r="N9" s="48" t="str">
        <f t="shared" si="6"/>
        <v>none</v>
      </c>
      <c r="O9" s="63" t="e">
        <f t="shared" si="7"/>
        <v>#VALUE!</v>
      </c>
      <c r="P9" s="63">
        <f t="shared" si="8"/>
        <v>4</v>
      </c>
      <c r="Q9" s="63" t="e">
        <f t="shared" si="9"/>
        <v>#VALUE!</v>
      </c>
      <c r="R9" s="63" t="e">
        <f t="shared" si="10"/>
        <v>#VALUE!</v>
      </c>
      <c r="S9" s="63" t="str">
        <f>IFERROR(VLOOKUP(MID(N9,Q9,R9-Q9),[5]skilldef!$C:$D,2,FALSE),"-") &amp; " / " &amp; IFERROR(VLOOKUP(MID(N9,O9,P9-O9),[5]skilldef!$A:$B,2,FALSE),"-")</f>
        <v>- / -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47">
        <v>50005009</v>
      </c>
      <c r="B10" s="47" t="s">
        <v>270</v>
      </c>
      <c r="C10" s="50">
        <v>3</v>
      </c>
      <c r="D10" s="50" t="s">
        <v>126</v>
      </c>
      <c r="E10" s="51" t="s">
        <v>321</v>
      </c>
      <c r="F10" s="51" t="s">
        <v>323</v>
      </c>
      <c r="G10" s="63" t="str">
        <f t="shared" si="0"/>
        <v>[effect:critical, val:1.5]</v>
      </c>
      <c r="H10" s="63">
        <f t="shared" si="1"/>
        <v>9</v>
      </c>
      <c r="I10" s="63">
        <f t="shared" si="2"/>
        <v>17</v>
      </c>
      <c r="J10" s="63" t="e">
        <f t="shared" si="3"/>
        <v>#VALUE!</v>
      </c>
      <c r="K10" s="63" t="e">
        <f t="shared" si="4"/>
        <v>#VALUE!</v>
      </c>
      <c r="L10" s="63" t="str">
        <f>IFERROR(VLOOKUP(MID(G10,J10,K10-J10),[5]skilldef!$C:$D,2,FALSE),"-") &amp; " / " &amp; IFERROR(VLOOKUP(MID(G10,H10,I10-H10),[5]skilldef!$A:$B,2,FALSE),"-")</f>
        <v>- / 大攻撃</v>
      </c>
      <c r="M10" s="63" t="str">
        <f t="shared" si="5"/>
        <v>none</v>
      </c>
      <c r="N10" s="48" t="str">
        <f t="shared" si="6"/>
        <v>none</v>
      </c>
      <c r="O10" s="63" t="e">
        <f t="shared" si="7"/>
        <v>#VALUE!</v>
      </c>
      <c r="P10" s="63">
        <f t="shared" si="8"/>
        <v>4</v>
      </c>
      <c r="Q10" s="63" t="e">
        <f t="shared" si="9"/>
        <v>#VALUE!</v>
      </c>
      <c r="R10" s="63" t="e">
        <f t="shared" si="10"/>
        <v>#VALUE!</v>
      </c>
      <c r="S10" s="63" t="str">
        <f>IFERROR(VLOOKUP(MID(N10,Q10,R10-Q10),[5]skilldef!$C:$D,2,FALSE),"-") &amp; " / " &amp; IFERROR(VLOOKUP(MID(N10,O10,P10-O10),[5]skilldef!$A:$B,2,FALSE),"-")</f>
        <v>- / -</v>
      </c>
      <c r="T10" s="48" t="str">
        <f t="shared" si="11"/>
        <v>none</v>
      </c>
      <c r="U10" s="63" t="e">
        <f t="shared" si="12"/>
        <v>#VALUE!</v>
      </c>
      <c r="V10" s="63">
        <f t="shared" si="13"/>
        <v>4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15">
      <c r="A11" s="47">
        <v>50005010</v>
      </c>
      <c r="B11" s="47" t="s">
        <v>305</v>
      </c>
      <c r="C11" s="50">
        <v>3</v>
      </c>
      <c r="D11" s="50" t="s">
        <v>126</v>
      </c>
      <c r="E11" s="51" t="s">
        <v>320</v>
      </c>
      <c r="F11" s="51" t="s">
        <v>389</v>
      </c>
      <c r="G11" s="63" t="str">
        <f t="shared" si="0"/>
        <v>[effect:break_enchance_enemy, val:0.02, lowest_val:0.2, count:20, status:attack, turn:3, block:block_green, target:myself, calc:mul, animation:enemy_enhance_attack]</v>
      </c>
      <c r="H11" s="63">
        <f t="shared" si="1"/>
        <v>9</v>
      </c>
      <c r="I11" s="63">
        <f t="shared" si="2"/>
        <v>29</v>
      </c>
      <c r="J11" s="63">
        <f t="shared" si="3"/>
        <v>116</v>
      </c>
      <c r="K11" s="63">
        <f t="shared" si="4"/>
        <v>39</v>
      </c>
      <c r="L11" s="63" t="str">
        <f>IFERROR(VLOOKUP(MID(G11,J11,K11-J11),[5]skilldef!$C:$D,2,FALSE),"-") &amp; " / " &amp; IFERROR(VLOOKUP(MID(G11,H11,I11-H11),[5]skilldef!$A:$B,2,FALSE),"-")</f>
        <v>- / -</v>
      </c>
      <c r="M11" s="63" t="str">
        <f t="shared" si="5"/>
        <v>none</v>
      </c>
      <c r="N11" s="48" t="str">
        <f t="shared" si="6"/>
        <v>none</v>
      </c>
      <c r="O11" s="63" t="e">
        <f t="shared" si="7"/>
        <v>#VALUE!</v>
      </c>
      <c r="P11" s="63">
        <f t="shared" si="8"/>
        <v>4</v>
      </c>
      <c r="Q11" s="63" t="e">
        <f t="shared" si="9"/>
        <v>#VALUE!</v>
      </c>
      <c r="R11" s="63" t="e">
        <f t="shared" si="10"/>
        <v>#VALUE!</v>
      </c>
      <c r="S11" s="63" t="str">
        <f>IFERROR(VLOOKUP(MID(N11,Q11,R11-Q11),[5]skilldef!$C:$D,2,FALSE),"-") &amp; " / " &amp; IFERROR(VLOOKUP(MID(N11,O11,P11-O11),[5]skilldef!$A:$B,2,FALSE),"-")</f>
        <v>- / -</v>
      </c>
      <c r="T11" s="48" t="str">
        <f t="shared" si="11"/>
        <v>none</v>
      </c>
      <c r="U11" s="63" t="e">
        <f t="shared" si="12"/>
        <v>#VALUE!</v>
      </c>
      <c r="V11" s="63">
        <f t="shared" si="13"/>
        <v>4</v>
      </c>
      <c r="W11" s="63" t="e">
        <f t="shared" si="14"/>
        <v>#VALUE!</v>
      </c>
      <c r="X11" s="63" t="e">
        <f t="shared" si="15"/>
        <v>#VALUE!</v>
      </c>
      <c r="Y11" s="63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21" customHeight="1" x14ac:dyDescent="0.15">
      <c r="A12" s="47">
        <v>50005011</v>
      </c>
      <c r="B12" s="47" t="s">
        <v>308</v>
      </c>
      <c r="C12" s="50">
        <v>3</v>
      </c>
      <c r="D12" s="50" t="s">
        <v>126</v>
      </c>
      <c r="E12" s="51" t="s">
        <v>311</v>
      </c>
      <c r="F12" s="51" t="s">
        <v>418</v>
      </c>
      <c r="G12" s="63" t="str">
        <f t="shared" si="0"/>
        <v>[effect:fix_speed, target:myself, turn:2]</v>
      </c>
      <c r="H12" s="63">
        <f t="shared" si="1"/>
        <v>9</v>
      </c>
      <c r="I12" s="63">
        <f t="shared" si="2"/>
        <v>18</v>
      </c>
      <c r="J12" s="63">
        <f t="shared" si="3"/>
        <v>27</v>
      </c>
      <c r="K12" s="63">
        <f t="shared" si="4"/>
        <v>33</v>
      </c>
      <c r="L12" s="63" t="str">
        <f>IFERROR(VLOOKUP(MID(G12,J12,K12-J12),[5]skilldef!$C:$D,2,FALSE),"-") &amp; " / " &amp; IFERROR(VLOOKUP(MID(G12,H12,I12-H12),[5]skilldef!$A:$B,2,FALSE),"-")</f>
        <v>自分自身に / 行動値設定</v>
      </c>
      <c r="M12" s="63" t="str">
        <f t="shared" si="5"/>
        <v>none</v>
      </c>
      <c r="N12" s="48" t="str">
        <f t="shared" si="6"/>
        <v>none</v>
      </c>
      <c r="O12" s="63" t="e">
        <f t="shared" si="7"/>
        <v>#VALUE!</v>
      </c>
      <c r="P12" s="63">
        <f t="shared" si="8"/>
        <v>4</v>
      </c>
      <c r="Q12" s="63" t="e">
        <f t="shared" si="9"/>
        <v>#VALUE!</v>
      </c>
      <c r="R12" s="63" t="e">
        <f t="shared" si="10"/>
        <v>#VALUE!</v>
      </c>
      <c r="S12" s="63" t="str">
        <f>IFERROR(VLOOKUP(MID(N12,Q12,R12-Q12),[5]skilldef!$C:$D,2,FALSE),"-") &amp; " / " &amp; IFERROR(VLOOKUP(MID(N12,O12,P12-O12),[5]skilldef!$A:$B,2,FALSE),"-")</f>
        <v>- / -</v>
      </c>
      <c r="T12" s="48" t="str">
        <f t="shared" si="11"/>
        <v>none</v>
      </c>
      <c r="U12" s="63" t="e">
        <f t="shared" si="12"/>
        <v>#VALUE!</v>
      </c>
      <c r="V12" s="63">
        <f t="shared" si="13"/>
        <v>4</v>
      </c>
      <c r="W12" s="63" t="e">
        <f t="shared" si="14"/>
        <v>#VALUE!</v>
      </c>
      <c r="X12" s="63" t="e">
        <f t="shared" si="15"/>
        <v>#VALUE!</v>
      </c>
      <c r="Y12" s="63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21" customHeight="1" x14ac:dyDescent="0.15">
      <c r="A13" s="47">
        <v>50005012</v>
      </c>
      <c r="B13" s="47" t="s">
        <v>269</v>
      </c>
      <c r="C13" s="50">
        <v>3</v>
      </c>
      <c r="D13" s="50" t="s">
        <v>126</v>
      </c>
      <c r="E13" s="51" t="s">
        <v>325</v>
      </c>
      <c r="F13" s="51" t="s">
        <v>249</v>
      </c>
      <c r="G13" s="63" t="str">
        <f t="shared" si="0"/>
        <v>[effect:spread, val:0.3]</v>
      </c>
      <c r="H13" s="63">
        <f t="shared" si="1"/>
        <v>9</v>
      </c>
      <c r="I13" s="63">
        <f t="shared" si="2"/>
        <v>15</v>
      </c>
      <c r="J13" s="63" t="e">
        <f t="shared" si="3"/>
        <v>#VALUE!</v>
      </c>
      <c r="K13" s="63" t="e">
        <f t="shared" si="4"/>
        <v>#VALUE!</v>
      </c>
      <c r="L13" s="63" t="str">
        <f>IFERROR(VLOOKUP(MID(G13,J13,K13-J13),[5]skilldef!$C:$D,2,FALSE),"-") &amp; " / " &amp; IFERROR(VLOOKUP(MID(G13,H13,I13-H13),[5]skilldef!$A:$B,2,FALSE),"-")</f>
        <v>- / 全体攻撃</v>
      </c>
      <c r="M13" s="63" t="str">
        <f t="shared" si="5"/>
        <v>none</v>
      </c>
      <c r="N13" s="48" t="str">
        <f t="shared" si="6"/>
        <v>none</v>
      </c>
      <c r="O13" s="63" t="e">
        <f t="shared" si="7"/>
        <v>#VALUE!</v>
      </c>
      <c r="P13" s="63">
        <f t="shared" si="8"/>
        <v>4</v>
      </c>
      <c r="Q13" s="63" t="e">
        <f t="shared" si="9"/>
        <v>#VALUE!</v>
      </c>
      <c r="R13" s="63" t="e">
        <f t="shared" si="10"/>
        <v>#VALUE!</v>
      </c>
      <c r="S13" s="63" t="str">
        <f>IFERROR(VLOOKUP(MID(N13,Q13,R13-Q13),[5]skilldef!$C:$D,2,FALSE),"-") &amp; " / " &amp; IFERROR(VLOOKUP(MID(N13,O13,P13-O13),[5]skilldef!$A:$B,2,FALSE),"-")</f>
        <v>- / -</v>
      </c>
      <c r="T13" s="48" t="str">
        <f t="shared" si="11"/>
        <v>none</v>
      </c>
      <c r="U13" s="63" t="e">
        <f t="shared" si="12"/>
        <v>#VALUE!</v>
      </c>
      <c r="V13" s="63">
        <f t="shared" si="13"/>
        <v>4</v>
      </c>
      <c r="W13" s="63" t="e">
        <f t="shared" si="14"/>
        <v>#VALUE!</v>
      </c>
      <c r="X13" s="63" t="e">
        <f t="shared" si="15"/>
        <v>#VALUE!</v>
      </c>
      <c r="Y13" s="63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 x14ac:dyDescent="0.15">
      <c r="A14" s="47">
        <v>50005013</v>
      </c>
      <c r="B14" s="47" t="s">
        <v>306</v>
      </c>
      <c r="C14" s="50">
        <v>3</v>
      </c>
      <c r="D14" s="50" t="s">
        <v>126</v>
      </c>
      <c r="E14" s="51" t="s">
        <v>326</v>
      </c>
      <c r="F14" s="51" t="s">
        <v>307</v>
      </c>
      <c r="G14" s="63" t="str">
        <f t="shared" si="0"/>
        <v>[effect:break_attack, val:0.06, lowest_val:0.5, count:20, block01:block_red, block02:block_yellow, target:unit_one]</v>
      </c>
      <c r="H14" s="63">
        <f t="shared" si="1"/>
        <v>9</v>
      </c>
      <c r="I14" s="63">
        <f t="shared" si="2"/>
        <v>21</v>
      </c>
      <c r="J14" s="63">
        <f t="shared" si="3"/>
        <v>107</v>
      </c>
      <c r="K14" s="63">
        <f t="shared" si="4"/>
        <v>31</v>
      </c>
      <c r="L14" s="63" t="str">
        <f>IFERROR(VLOOKUP(MID(G14,J14,K14-J14),[5]skilldef!$C:$D,2,FALSE),"-") &amp; " / " &amp; IFERROR(VLOOKUP(MID(G14,H14,I14-H14),[5]skilldef!$A:$B,2,FALSE),"-")</f>
        <v>- / -</v>
      </c>
      <c r="M14" s="63" t="str">
        <f t="shared" si="5"/>
        <v>none</v>
      </c>
      <c r="N14" s="48" t="str">
        <f t="shared" si="6"/>
        <v>none</v>
      </c>
      <c r="O14" s="63" t="e">
        <f t="shared" si="7"/>
        <v>#VALUE!</v>
      </c>
      <c r="P14" s="63">
        <f t="shared" si="8"/>
        <v>4</v>
      </c>
      <c r="Q14" s="63" t="e">
        <f t="shared" si="9"/>
        <v>#VALUE!</v>
      </c>
      <c r="R14" s="63" t="e">
        <f t="shared" si="10"/>
        <v>#VALUE!</v>
      </c>
      <c r="S14" s="63" t="str">
        <f>IFERROR(VLOOKUP(MID(N14,Q14,R14-Q14),[5]skilldef!$C:$D,2,FALSE),"-") &amp; " / " &amp; IFERROR(VLOOKUP(MID(N14,O14,P14-O14),[5]skilldef!$A:$B,2,FALSE),"-")</f>
        <v>- / -</v>
      </c>
      <c r="T14" s="48" t="str">
        <f t="shared" si="11"/>
        <v>none</v>
      </c>
      <c r="U14" s="63" t="e">
        <f t="shared" si="12"/>
        <v>#VALUE!</v>
      </c>
      <c r="V14" s="63">
        <f t="shared" si="13"/>
        <v>4</v>
      </c>
      <c r="W14" s="63" t="e">
        <f t="shared" si="14"/>
        <v>#VALUE!</v>
      </c>
      <c r="X14" s="63" t="e">
        <f t="shared" si="15"/>
        <v>#VALUE!</v>
      </c>
      <c r="Y14" s="63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47">
        <v>50005014</v>
      </c>
      <c r="B15" s="47" t="s">
        <v>272</v>
      </c>
      <c r="C15" s="50">
        <v>3</v>
      </c>
      <c r="D15" s="50" t="s">
        <v>126</v>
      </c>
      <c r="E15" s="51" t="s">
        <v>327</v>
      </c>
      <c r="F15" s="51" t="s">
        <v>334</v>
      </c>
      <c r="G15" s="63" t="str">
        <f t="shared" si="0"/>
        <v>[effect:fix_speed, target:myself, turn:1]</v>
      </c>
      <c r="H15" s="63">
        <f t="shared" si="1"/>
        <v>9</v>
      </c>
      <c r="I15" s="63">
        <f t="shared" si="2"/>
        <v>18</v>
      </c>
      <c r="J15" s="63">
        <f t="shared" si="3"/>
        <v>27</v>
      </c>
      <c r="K15" s="63">
        <f t="shared" si="4"/>
        <v>33</v>
      </c>
      <c r="L15" s="63" t="str">
        <f>IFERROR(VLOOKUP(MID(G15,J15,K15-J15),[5]skilldef!$C:$D,2,FALSE),"-") &amp; " / " &amp; IFERROR(VLOOKUP(MID(G15,H15,I15-H15),[5]skilldef!$A:$B,2,FALSE),"-")</f>
        <v>自分自身に / 行動値設定</v>
      </c>
      <c r="M15" s="63" t="str">
        <f t="shared" si="5"/>
        <v>none</v>
      </c>
      <c r="N15" s="48" t="str">
        <f t="shared" si="6"/>
        <v>none</v>
      </c>
      <c r="O15" s="63" t="e">
        <f t="shared" si="7"/>
        <v>#VALUE!</v>
      </c>
      <c r="P15" s="63">
        <f t="shared" si="8"/>
        <v>4</v>
      </c>
      <c r="Q15" s="63" t="e">
        <f t="shared" si="9"/>
        <v>#VALUE!</v>
      </c>
      <c r="R15" s="63" t="e">
        <f t="shared" si="10"/>
        <v>#VALUE!</v>
      </c>
      <c r="S15" s="63" t="str">
        <f>IFERROR(VLOOKUP(MID(N15,Q15,R15-Q15),[5]skilldef!$C:$D,2,FALSE),"-") &amp; " / " &amp; IFERROR(VLOOKUP(MID(N15,O15,P15-O15),[5]skilldef!$A:$B,2,FALSE),"-")</f>
        <v>- / -</v>
      </c>
      <c r="T15" s="48" t="str">
        <f t="shared" si="11"/>
        <v>none</v>
      </c>
      <c r="U15" s="63" t="e">
        <f t="shared" si="12"/>
        <v>#VALUE!</v>
      </c>
      <c r="V15" s="63">
        <f t="shared" si="13"/>
        <v>4</v>
      </c>
      <c r="W15" s="63" t="e">
        <f t="shared" si="14"/>
        <v>#VALUE!</v>
      </c>
      <c r="X15" s="63" t="e">
        <f t="shared" si="15"/>
        <v>#VALUE!</v>
      </c>
      <c r="Y15" s="63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 x14ac:dyDescent="0.15">
      <c r="A16" s="47">
        <v>50005015</v>
      </c>
      <c r="B16" s="47" t="s">
        <v>273</v>
      </c>
      <c r="C16" s="50">
        <v>3</v>
      </c>
      <c r="D16" s="50" t="s">
        <v>126</v>
      </c>
      <c r="E16" s="51" t="s">
        <v>324</v>
      </c>
      <c r="F16" s="51" t="s">
        <v>335</v>
      </c>
      <c r="G16" s="63" t="str">
        <f t="shared" si="0"/>
        <v>[effect:fix_speed, target:myself, turn:2]</v>
      </c>
      <c r="H16" s="63">
        <f t="shared" si="1"/>
        <v>9</v>
      </c>
      <c r="I16" s="63">
        <f t="shared" si="2"/>
        <v>18</v>
      </c>
      <c r="J16" s="63">
        <f t="shared" si="3"/>
        <v>27</v>
      </c>
      <c r="K16" s="63">
        <f t="shared" si="4"/>
        <v>33</v>
      </c>
      <c r="L16" s="63" t="str">
        <f>IFERROR(VLOOKUP(MID(G16,J16,K16-J16),[5]skilldef!$C:$D,2,FALSE),"-") &amp; " / " &amp; IFERROR(VLOOKUP(MID(G16,H16,I16-H16),[5]skilldef!$A:$B,2,FALSE),"-")</f>
        <v>自分自身に / 行動値設定</v>
      </c>
      <c r="M16" s="63" t="str">
        <f t="shared" si="5"/>
        <v>[effect:critical, val:2.0]</v>
      </c>
      <c r="N16" s="48" t="str">
        <f t="shared" si="6"/>
        <v>[effect:critical, val:2.0]</v>
      </c>
      <c r="O16" s="63">
        <f t="shared" si="7"/>
        <v>9</v>
      </c>
      <c r="P16" s="63">
        <f t="shared" si="8"/>
        <v>17</v>
      </c>
      <c r="Q16" s="63" t="e">
        <f t="shared" si="9"/>
        <v>#VALUE!</v>
      </c>
      <c r="R16" s="63" t="e">
        <f t="shared" si="10"/>
        <v>#VALUE!</v>
      </c>
      <c r="S16" s="63" t="str">
        <f>IFERROR(VLOOKUP(MID(N16,Q16,R16-Q16),[5]skilldef!$C:$D,2,FALSE),"-") &amp; " / " &amp; IFERROR(VLOOKUP(MID(N16,O16,P16-O16),[5]skilldef!$A:$B,2,FALSE),"-")</f>
        <v>- / 大攻撃</v>
      </c>
      <c r="T16" s="48" t="str">
        <f t="shared" si="11"/>
        <v>none</v>
      </c>
      <c r="U16" s="63" t="e">
        <f t="shared" si="12"/>
        <v>#VALUE!</v>
      </c>
      <c r="V16" s="63">
        <f t="shared" si="13"/>
        <v>4</v>
      </c>
      <c r="W16" s="63" t="e">
        <f t="shared" si="14"/>
        <v>#VALUE!</v>
      </c>
      <c r="X16" s="63" t="e">
        <f t="shared" si="15"/>
        <v>#VALUE!</v>
      </c>
      <c r="Y16" s="63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 x14ac:dyDescent="0.15">
      <c r="A17" s="47">
        <v>50005016</v>
      </c>
      <c r="B17" s="47" t="s">
        <v>309</v>
      </c>
      <c r="C17" s="50">
        <v>3</v>
      </c>
      <c r="D17" s="50" t="s">
        <v>126</v>
      </c>
      <c r="E17" s="51" t="s">
        <v>310</v>
      </c>
      <c r="F17" s="51" t="s">
        <v>419</v>
      </c>
      <c r="G17" s="63" t="str">
        <f t="shared" si="0"/>
        <v>[effect:fix_speed, target:myself, turn:2]</v>
      </c>
      <c r="H17" s="63">
        <f t="shared" si="1"/>
        <v>9</v>
      </c>
      <c r="I17" s="63">
        <f t="shared" si="2"/>
        <v>18</v>
      </c>
      <c r="J17" s="63">
        <f t="shared" si="3"/>
        <v>27</v>
      </c>
      <c r="K17" s="63">
        <f t="shared" si="4"/>
        <v>33</v>
      </c>
      <c r="L17" s="63" t="str">
        <f>IFERROR(VLOOKUP(MID(G17,J17,K17-J17),[5]skilldef!$C:$D,2,FALSE),"-") &amp; " / " &amp; IFERROR(VLOOKUP(MID(G17,H17,I17-H17),[5]skilldef!$A:$B,2,FALSE),"-")</f>
        <v>自分自身に / 行動値設定</v>
      </c>
      <c r="M17" s="63" t="str">
        <f t="shared" si="5"/>
        <v>none</v>
      </c>
      <c r="N17" s="48" t="str">
        <f t="shared" si="6"/>
        <v>none</v>
      </c>
      <c r="O17" s="63" t="e">
        <f t="shared" si="7"/>
        <v>#VALUE!</v>
      </c>
      <c r="P17" s="63">
        <f t="shared" si="8"/>
        <v>4</v>
      </c>
      <c r="Q17" s="63" t="e">
        <f t="shared" si="9"/>
        <v>#VALUE!</v>
      </c>
      <c r="R17" s="63" t="e">
        <f t="shared" si="10"/>
        <v>#VALUE!</v>
      </c>
      <c r="S17" s="63" t="str">
        <f>IFERROR(VLOOKUP(MID(N17,Q17,R17-Q17),[5]skilldef!$C:$D,2,FALSE),"-") &amp; " / " &amp; IFERROR(VLOOKUP(MID(N17,O17,P17-O17),[5]skilldef!$A:$B,2,FALSE),"-")</f>
        <v>- / -</v>
      </c>
      <c r="T17" s="48" t="str">
        <f t="shared" si="11"/>
        <v>none</v>
      </c>
      <c r="U17" s="63" t="e">
        <f t="shared" si="12"/>
        <v>#VALUE!</v>
      </c>
      <c r="V17" s="63">
        <f t="shared" si="13"/>
        <v>4</v>
      </c>
      <c r="W17" s="63" t="e">
        <f t="shared" si="14"/>
        <v>#VALUE!</v>
      </c>
      <c r="X17" s="63" t="e">
        <f t="shared" si="15"/>
        <v>#VALUE!</v>
      </c>
      <c r="Y17" s="63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1" customHeight="1" x14ac:dyDescent="0.15">
      <c r="A18" s="47">
        <v>50005017</v>
      </c>
      <c r="B18" s="47" t="s">
        <v>282</v>
      </c>
      <c r="C18" s="50">
        <v>3</v>
      </c>
      <c r="D18" s="50" t="s">
        <v>126</v>
      </c>
      <c r="E18" s="51" t="s">
        <v>328</v>
      </c>
      <c r="F18" s="51" t="s">
        <v>250</v>
      </c>
      <c r="G18" s="63" t="str">
        <f t="shared" si="0"/>
        <v>[effect:rush, count:3, val:0.4]</v>
      </c>
      <c r="H18" s="63">
        <f t="shared" si="1"/>
        <v>9</v>
      </c>
      <c r="I18" s="63">
        <f t="shared" si="2"/>
        <v>13</v>
      </c>
      <c r="J18" s="63" t="e">
        <f t="shared" si="3"/>
        <v>#VALUE!</v>
      </c>
      <c r="K18" s="63">
        <f t="shared" si="4"/>
        <v>22</v>
      </c>
      <c r="L18" s="63" t="str">
        <f>IFERROR(VLOOKUP(MID(G18,J18,K18-J18),[5]skilldef!$C:$D,2,FALSE),"-") &amp; " / " &amp; IFERROR(VLOOKUP(MID(G18,H18,I18-H18),[5]skilldef!$A:$B,2,FALSE),"-")</f>
        <v>- / 連続攻撃</v>
      </c>
      <c r="M18" s="63" t="str">
        <f t="shared" si="5"/>
        <v>none</v>
      </c>
      <c r="N18" s="48" t="str">
        <f t="shared" si="6"/>
        <v>none</v>
      </c>
      <c r="O18" s="63" t="e">
        <f t="shared" si="7"/>
        <v>#VALUE!</v>
      </c>
      <c r="P18" s="63">
        <f t="shared" si="8"/>
        <v>4</v>
      </c>
      <c r="Q18" s="63" t="e">
        <f t="shared" si="9"/>
        <v>#VALUE!</v>
      </c>
      <c r="R18" s="63" t="e">
        <f t="shared" si="10"/>
        <v>#VALUE!</v>
      </c>
      <c r="S18" s="63" t="str">
        <f>IFERROR(VLOOKUP(MID(N18,Q18,R18-Q18),[5]skilldef!$C:$D,2,FALSE),"-") &amp; " / " &amp; IFERROR(VLOOKUP(MID(N18,O18,P18-O18),[5]skilldef!$A:$B,2,FALSE),"-")</f>
        <v>- / -</v>
      </c>
      <c r="T18" s="48" t="str">
        <f t="shared" si="11"/>
        <v>none</v>
      </c>
      <c r="U18" s="63" t="e">
        <f t="shared" si="12"/>
        <v>#VALUE!</v>
      </c>
      <c r="V18" s="63">
        <f t="shared" si="13"/>
        <v>4</v>
      </c>
      <c r="W18" s="63" t="e">
        <f t="shared" si="14"/>
        <v>#VALUE!</v>
      </c>
      <c r="X18" s="63" t="e">
        <f t="shared" si="15"/>
        <v>#VALUE!</v>
      </c>
      <c r="Y18" s="63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21" customHeight="1" x14ac:dyDescent="0.15">
      <c r="A19" s="47">
        <v>50005018</v>
      </c>
      <c r="B19" s="47" t="s">
        <v>274</v>
      </c>
      <c r="C19" s="50">
        <v>3</v>
      </c>
      <c r="D19" s="50" t="s">
        <v>126</v>
      </c>
      <c r="E19" s="51" t="s">
        <v>330</v>
      </c>
      <c r="F19" s="51" t="s">
        <v>251</v>
      </c>
      <c r="G19" s="63" t="str">
        <f t="shared" si="0"/>
        <v>[effect:rush, count:6, val:0.25]</v>
      </c>
      <c r="H19" s="63">
        <f t="shared" si="1"/>
        <v>9</v>
      </c>
      <c r="I19" s="63">
        <f t="shared" si="2"/>
        <v>13</v>
      </c>
      <c r="J19" s="63" t="e">
        <f t="shared" si="3"/>
        <v>#VALUE!</v>
      </c>
      <c r="K19" s="63">
        <f t="shared" si="4"/>
        <v>22</v>
      </c>
      <c r="L19" s="63" t="str">
        <f>IFERROR(VLOOKUP(MID(G19,J19,K19-J19),[5]skilldef!$C:$D,2,FALSE),"-") &amp; " / " &amp; IFERROR(VLOOKUP(MID(G19,H19,I19-H19),[5]skilldef!$A:$B,2,FALSE),"-")</f>
        <v>- / 連続攻撃</v>
      </c>
      <c r="M19" s="63" t="str">
        <f t="shared" si="5"/>
        <v>none</v>
      </c>
      <c r="N19" s="48" t="str">
        <f t="shared" si="6"/>
        <v>none</v>
      </c>
      <c r="O19" s="63" t="e">
        <f t="shared" si="7"/>
        <v>#VALUE!</v>
      </c>
      <c r="P19" s="63">
        <f t="shared" si="8"/>
        <v>4</v>
      </c>
      <c r="Q19" s="63" t="e">
        <f t="shared" si="9"/>
        <v>#VALUE!</v>
      </c>
      <c r="R19" s="63" t="e">
        <f t="shared" si="10"/>
        <v>#VALUE!</v>
      </c>
      <c r="S19" s="63" t="str">
        <f>IFERROR(VLOOKUP(MID(N19,Q19,R19-Q19),[5]skilldef!$C:$D,2,FALSE),"-") &amp; " / " &amp; IFERROR(VLOOKUP(MID(N19,O19,P19-O19),[5]skilldef!$A:$B,2,FALSE),"-")</f>
        <v>- / -</v>
      </c>
      <c r="T19" s="48" t="str">
        <f t="shared" si="11"/>
        <v>none</v>
      </c>
      <c r="U19" s="63" t="e">
        <f t="shared" si="12"/>
        <v>#VALUE!</v>
      </c>
      <c r="V19" s="63">
        <f t="shared" si="13"/>
        <v>4</v>
      </c>
      <c r="W19" s="63" t="e">
        <f t="shared" si="14"/>
        <v>#VALUE!</v>
      </c>
      <c r="X19" s="63" t="e">
        <f t="shared" si="15"/>
        <v>#VALUE!</v>
      </c>
      <c r="Y19" s="63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47">
        <v>50005019</v>
      </c>
      <c r="B20" s="47" t="s">
        <v>275</v>
      </c>
      <c r="C20" s="50">
        <v>3</v>
      </c>
      <c r="D20" s="50" t="s">
        <v>126</v>
      </c>
      <c r="E20" s="51" t="s">
        <v>329</v>
      </c>
      <c r="F20" s="51" t="s">
        <v>278</v>
      </c>
      <c r="G20" s="63" t="str">
        <f t="shared" si="0"/>
        <v>[effect:enhance_enemy, target:myself, turn:3, status:attack, val:0.4, animation:enemy_enhance_attack]</v>
      </c>
      <c r="H20" s="63">
        <f t="shared" si="1"/>
        <v>9</v>
      </c>
      <c r="I20" s="63">
        <f t="shared" si="2"/>
        <v>22</v>
      </c>
      <c r="J20" s="63">
        <f t="shared" si="3"/>
        <v>31</v>
      </c>
      <c r="K20" s="63">
        <f t="shared" si="4"/>
        <v>37</v>
      </c>
      <c r="L20" s="63" t="str">
        <f>IFERROR(VLOOKUP(MID(G20,J20,K20-J20),[5]skilldef!$C:$D,2,FALSE),"-") &amp; " / " &amp; IFERROR(VLOOKUP(MID(G20,H20,I20-H20),[5]skilldef!$A:$B,2,FALSE),"-")</f>
        <v>自分自身に / ステータス強化</v>
      </c>
      <c r="M20" s="63" t="str">
        <f t="shared" si="5"/>
        <v>none</v>
      </c>
      <c r="N20" s="48" t="str">
        <f t="shared" si="6"/>
        <v>none</v>
      </c>
      <c r="O20" s="63" t="e">
        <f t="shared" si="7"/>
        <v>#VALUE!</v>
      </c>
      <c r="P20" s="63">
        <f t="shared" si="8"/>
        <v>4</v>
      </c>
      <c r="Q20" s="63" t="e">
        <f t="shared" si="9"/>
        <v>#VALUE!</v>
      </c>
      <c r="R20" s="63" t="e">
        <f t="shared" si="10"/>
        <v>#VALUE!</v>
      </c>
      <c r="S20" s="63" t="str">
        <f>IFERROR(VLOOKUP(MID(N20,Q20,R20-Q20),[5]skilldef!$C:$D,2,FALSE),"-") &amp; " / " &amp; IFERROR(VLOOKUP(MID(N20,O20,P20-O20),[5]skilldef!$A:$B,2,FALSE),"-")</f>
        <v>- / -</v>
      </c>
      <c r="T20" s="48" t="str">
        <f t="shared" si="11"/>
        <v>none</v>
      </c>
      <c r="U20" s="63" t="e">
        <f t="shared" si="12"/>
        <v>#VALUE!</v>
      </c>
      <c r="V20" s="63">
        <f t="shared" si="13"/>
        <v>4</v>
      </c>
      <c r="W20" s="63" t="e">
        <f t="shared" si="14"/>
        <v>#VALUE!</v>
      </c>
      <c r="X20" s="63" t="e">
        <f t="shared" si="15"/>
        <v>#VALUE!</v>
      </c>
      <c r="Y20" s="63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15">
      <c r="A21" s="47">
        <v>50005020</v>
      </c>
      <c r="B21" s="47" t="s">
        <v>308</v>
      </c>
      <c r="C21" s="50">
        <v>3</v>
      </c>
      <c r="D21" s="50" t="s">
        <v>126</v>
      </c>
      <c r="E21" s="51" t="s">
        <v>312</v>
      </c>
      <c r="F21" s="51" t="s">
        <v>420</v>
      </c>
      <c r="G21" s="63" t="str">
        <f t="shared" si="0"/>
        <v>[effect:fix_speed, target:myself, turn:2]</v>
      </c>
      <c r="H21" s="63">
        <f t="shared" si="1"/>
        <v>9</v>
      </c>
      <c r="I21" s="63">
        <f t="shared" si="2"/>
        <v>18</v>
      </c>
      <c r="J21" s="63">
        <f t="shared" si="3"/>
        <v>27</v>
      </c>
      <c r="K21" s="63">
        <f t="shared" si="4"/>
        <v>33</v>
      </c>
      <c r="L21" s="63" t="str">
        <f>IFERROR(VLOOKUP(MID(G21,J21,K21-J21),[5]skilldef!$C:$D,2,FALSE),"-") &amp; " / " &amp; IFERROR(VLOOKUP(MID(G21,H21,I21-H21),[5]skilldef!$A:$B,2,FALSE),"-")</f>
        <v>自分自身に / 行動値設定</v>
      </c>
      <c r="M21" s="63" t="str">
        <f t="shared" si="5"/>
        <v>none</v>
      </c>
      <c r="N21" s="48" t="str">
        <f t="shared" si="6"/>
        <v>none</v>
      </c>
      <c r="O21" s="63" t="e">
        <f t="shared" si="7"/>
        <v>#VALUE!</v>
      </c>
      <c r="P21" s="63">
        <f t="shared" si="8"/>
        <v>4</v>
      </c>
      <c r="Q21" s="63" t="e">
        <f t="shared" si="9"/>
        <v>#VALUE!</v>
      </c>
      <c r="R21" s="63" t="e">
        <f t="shared" si="10"/>
        <v>#VALUE!</v>
      </c>
      <c r="S21" s="63" t="str">
        <f>IFERROR(VLOOKUP(MID(N21,Q21,R21-Q21),[5]skilldef!$C:$D,2,FALSE),"-") &amp; " / " &amp; IFERROR(VLOOKUP(MID(N21,O21,P21-O21),[5]skilldef!$A:$B,2,FALSE),"-")</f>
        <v>- / -</v>
      </c>
      <c r="T21" s="48" t="str">
        <f t="shared" si="11"/>
        <v>none</v>
      </c>
      <c r="U21" s="63" t="e">
        <f t="shared" si="12"/>
        <v>#VALUE!</v>
      </c>
      <c r="V21" s="63">
        <f t="shared" si="13"/>
        <v>4</v>
      </c>
      <c r="W21" s="63" t="e">
        <f t="shared" si="14"/>
        <v>#VALUE!</v>
      </c>
      <c r="X21" s="63" t="e">
        <f t="shared" si="15"/>
        <v>#VALUE!</v>
      </c>
      <c r="Y21" s="63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 x14ac:dyDescent="0.15">
      <c r="A22" s="47">
        <v>50005021</v>
      </c>
      <c r="B22" s="47" t="s">
        <v>269</v>
      </c>
      <c r="C22" s="50">
        <v>3</v>
      </c>
      <c r="D22" s="50" t="s">
        <v>126</v>
      </c>
      <c r="E22" s="51" t="s">
        <v>332</v>
      </c>
      <c r="F22" s="51" t="s">
        <v>252</v>
      </c>
      <c r="G22" s="63" t="str">
        <f t="shared" si="0"/>
        <v>[effect:spread, val:0.3]</v>
      </c>
      <c r="H22" s="63">
        <f t="shared" si="1"/>
        <v>9</v>
      </c>
      <c r="I22" s="63">
        <f t="shared" si="2"/>
        <v>15</v>
      </c>
      <c r="J22" s="63" t="e">
        <f t="shared" si="3"/>
        <v>#VALUE!</v>
      </c>
      <c r="K22" s="63" t="e">
        <f t="shared" si="4"/>
        <v>#VALUE!</v>
      </c>
      <c r="L22" s="63" t="str">
        <f>IFERROR(VLOOKUP(MID(G22,J22,K22-J22),[5]skilldef!$C:$D,2,FALSE),"-") &amp; " / " &amp; IFERROR(VLOOKUP(MID(G22,H22,I22-H22),[5]skilldef!$A:$B,2,FALSE),"-")</f>
        <v>- / 全体攻撃</v>
      </c>
      <c r="M22" s="63" t="str">
        <f t="shared" si="5"/>
        <v>none</v>
      </c>
      <c r="N22" s="48" t="str">
        <f t="shared" si="6"/>
        <v>none</v>
      </c>
      <c r="O22" s="63" t="e">
        <f t="shared" si="7"/>
        <v>#VALUE!</v>
      </c>
      <c r="P22" s="63">
        <f t="shared" si="8"/>
        <v>4</v>
      </c>
      <c r="Q22" s="63" t="e">
        <f t="shared" si="9"/>
        <v>#VALUE!</v>
      </c>
      <c r="R22" s="63" t="e">
        <f t="shared" si="10"/>
        <v>#VALUE!</v>
      </c>
      <c r="S22" s="63" t="str">
        <f>IFERROR(VLOOKUP(MID(N22,Q22,R22-Q22),[5]skilldef!$C:$D,2,FALSE),"-") &amp; " / " &amp; IFERROR(VLOOKUP(MID(N22,O22,P22-O22),[5]skilldef!$A:$B,2,FALSE),"-")</f>
        <v>- / -</v>
      </c>
      <c r="T22" s="48" t="str">
        <f t="shared" si="11"/>
        <v>none</v>
      </c>
      <c r="U22" s="63" t="e">
        <f t="shared" si="12"/>
        <v>#VALUE!</v>
      </c>
      <c r="V22" s="63">
        <f t="shared" si="13"/>
        <v>4</v>
      </c>
      <c r="W22" s="63" t="e">
        <f t="shared" si="14"/>
        <v>#VALUE!</v>
      </c>
      <c r="X22" s="63" t="e">
        <f t="shared" si="15"/>
        <v>#VALUE!</v>
      </c>
      <c r="Y22" s="63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 x14ac:dyDescent="0.15">
      <c r="A23" s="47">
        <v>50005022</v>
      </c>
      <c r="B23" s="47" t="s">
        <v>276</v>
      </c>
      <c r="C23" s="50">
        <v>3</v>
      </c>
      <c r="D23" s="50" t="s">
        <v>126</v>
      </c>
      <c r="E23" s="51" t="s">
        <v>331</v>
      </c>
      <c r="F23" s="51" t="s">
        <v>253</v>
      </c>
      <c r="G23" s="63" t="str">
        <f t="shared" si="0"/>
        <v>[effect:rush, count:8, val:0.2]</v>
      </c>
      <c r="H23" s="63">
        <f t="shared" si="1"/>
        <v>9</v>
      </c>
      <c r="I23" s="63">
        <f t="shared" si="2"/>
        <v>13</v>
      </c>
      <c r="J23" s="63" t="e">
        <f t="shared" si="3"/>
        <v>#VALUE!</v>
      </c>
      <c r="K23" s="63">
        <f t="shared" si="4"/>
        <v>22</v>
      </c>
      <c r="L23" s="63" t="str">
        <f>IFERROR(VLOOKUP(MID(G23,J23,K23-J23),[5]skilldef!$C:$D,2,FALSE),"-") &amp; " / " &amp; IFERROR(VLOOKUP(MID(G23,H23,I23-H23),[5]skilldef!$A:$B,2,FALSE),"-")</f>
        <v>- / 連続攻撃</v>
      </c>
      <c r="M23" s="63" t="str">
        <f t="shared" si="5"/>
        <v>none</v>
      </c>
      <c r="N23" s="48" t="str">
        <f t="shared" si="6"/>
        <v>none</v>
      </c>
      <c r="O23" s="63" t="e">
        <f t="shared" si="7"/>
        <v>#VALUE!</v>
      </c>
      <c r="P23" s="63">
        <f t="shared" si="8"/>
        <v>4</v>
      </c>
      <c r="Q23" s="63" t="e">
        <f t="shared" si="9"/>
        <v>#VALUE!</v>
      </c>
      <c r="R23" s="63" t="e">
        <f t="shared" si="10"/>
        <v>#VALUE!</v>
      </c>
      <c r="S23" s="63" t="str">
        <f>IFERROR(VLOOKUP(MID(N23,Q23,R23-Q23),[5]skilldef!$C:$D,2,FALSE),"-") &amp; " / " &amp; IFERROR(VLOOKUP(MID(N23,O23,P23-O23),[5]skilldef!$A:$B,2,FALSE),"-")</f>
        <v>- / -</v>
      </c>
      <c r="T23" s="48" t="str">
        <f t="shared" si="11"/>
        <v>none</v>
      </c>
      <c r="U23" s="63" t="e">
        <f t="shared" si="12"/>
        <v>#VALUE!</v>
      </c>
      <c r="V23" s="63">
        <f t="shared" si="13"/>
        <v>4</v>
      </c>
      <c r="W23" s="63" t="e">
        <f t="shared" si="14"/>
        <v>#VALUE!</v>
      </c>
      <c r="X23" s="63" t="e">
        <f t="shared" si="15"/>
        <v>#VALUE!</v>
      </c>
      <c r="Y23" s="63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 x14ac:dyDescent="0.15">
      <c r="A24" s="47">
        <v>50005023</v>
      </c>
      <c r="B24" s="47" t="s">
        <v>277</v>
      </c>
      <c r="C24" s="50">
        <v>3</v>
      </c>
      <c r="D24" s="50" t="s">
        <v>126</v>
      </c>
      <c r="E24" s="51" t="s">
        <v>333</v>
      </c>
      <c r="F24" s="51" t="s">
        <v>254</v>
      </c>
      <c r="G24" s="63" t="str">
        <f t="shared" si="0"/>
        <v>[effect:freq_turn, target:myself, turn:5, val:1, animation:enemy_freq_turn]</v>
      </c>
      <c r="H24" s="63">
        <f t="shared" si="1"/>
        <v>9</v>
      </c>
      <c r="I24" s="63">
        <f t="shared" si="2"/>
        <v>18</v>
      </c>
      <c r="J24" s="63">
        <f t="shared" si="3"/>
        <v>27</v>
      </c>
      <c r="K24" s="63">
        <f t="shared" si="4"/>
        <v>33</v>
      </c>
      <c r="L24" s="63" t="str">
        <f>IFERROR(VLOOKUP(MID(G24,J24,K24-J24),[5]skilldef!$C:$D,2,FALSE),"-") &amp; " / " &amp; IFERROR(VLOOKUP(MID(G24,H24,I24-H24),[5]skilldef!$A:$B,2,FALSE),"-")</f>
        <v>自分自身に / 攻撃頻度がUP</v>
      </c>
      <c r="M24" s="63" t="str">
        <f t="shared" si="5"/>
        <v>none</v>
      </c>
      <c r="N24" s="48" t="str">
        <f t="shared" si="6"/>
        <v>none</v>
      </c>
      <c r="O24" s="63" t="e">
        <f t="shared" si="7"/>
        <v>#VALUE!</v>
      </c>
      <c r="P24" s="63">
        <f t="shared" si="8"/>
        <v>4</v>
      </c>
      <c r="Q24" s="63" t="e">
        <f t="shared" si="9"/>
        <v>#VALUE!</v>
      </c>
      <c r="R24" s="63" t="e">
        <f t="shared" si="10"/>
        <v>#VALUE!</v>
      </c>
      <c r="S24" s="63" t="str">
        <f>IFERROR(VLOOKUP(MID(N24,Q24,R24-Q24),[5]skilldef!$C:$D,2,FALSE),"-") &amp; " / " &amp; IFERROR(VLOOKUP(MID(N24,O24,P24-O24),[5]skilldef!$A:$B,2,FALSE),"-")</f>
        <v>- / -</v>
      </c>
      <c r="T24" s="48" t="str">
        <f t="shared" si="11"/>
        <v>none</v>
      </c>
      <c r="U24" s="63" t="e">
        <f t="shared" si="12"/>
        <v>#VALUE!</v>
      </c>
      <c r="V24" s="63">
        <f t="shared" si="13"/>
        <v>4</v>
      </c>
      <c r="W24" s="63" t="e">
        <f t="shared" si="14"/>
        <v>#VALUE!</v>
      </c>
      <c r="X24" s="63" t="e">
        <f t="shared" si="15"/>
        <v>#VALUE!</v>
      </c>
      <c r="Y24" s="63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 x14ac:dyDescent="0.15">
      <c r="A25" s="47">
        <v>50005024</v>
      </c>
      <c r="B25" s="47" t="s">
        <v>351</v>
      </c>
      <c r="C25" s="50">
        <v>3</v>
      </c>
      <c r="D25" s="50" t="s">
        <v>126</v>
      </c>
      <c r="E25" s="51" t="s">
        <v>349</v>
      </c>
      <c r="F25" s="51" t="s">
        <v>421</v>
      </c>
      <c r="G25" s="63" t="str">
        <f t="shared" si="0"/>
        <v>[effect:fix_speed, target:myself, turn:1]</v>
      </c>
      <c r="H25" s="63">
        <f t="shared" si="1"/>
        <v>9</v>
      </c>
      <c r="I25" s="63">
        <f t="shared" si="2"/>
        <v>18</v>
      </c>
      <c r="J25" s="63">
        <f t="shared" si="3"/>
        <v>27</v>
      </c>
      <c r="K25" s="63">
        <f t="shared" si="4"/>
        <v>33</v>
      </c>
      <c r="L25" s="63" t="str">
        <f>IFERROR(VLOOKUP(MID(G25,J25,K25-J25),[5]skilldef!$C:$D,2,FALSE),"-") &amp; " / " &amp; IFERROR(VLOOKUP(MID(G25,H25,I25-H25),[5]skilldef!$A:$B,2,FALSE),"-")</f>
        <v>自分自身に / 行動値設定</v>
      </c>
      <c r="M25" s="63" t="str">
        <f t="shared" si="5"/>
        <v>none</v>
      </c>
      <c r="N25" s="48" t="str">
        <f t="shared" si="6"/>
        <v>none</v>
      </c>
      <c r="O25" s="63" t="e">
        <f t="shared" si="7"/>
        <v>#VALUE!</v>
      </c>
      <c r="P25" s="63">
        <f t="shared" si="8"/>
        <v>4</v>
      </c>
      <c r="Q25" s="63" t="e">
        <f t="shared" si="9"/>
        <v>#VALUE!</v>
      </c>
      <c r="R25" s="63" t="e">
        <f t="shared" si="10"/>
        <v>#VALUE!</v>
      </c>
      <c r="S25" s="63" t="str">
        <f>IFERROR(VLOOKUP(MID(N25,Q25,R25-Q25),[5]skilldef!$C:$D,2,FALSE),"-") &amp; " / " &amp; IFERROR(VLOOKUP(MID(N25,O25,P25-O25),[5]skilldef!$A:$B,2,FALSE),"-")</f>
        <v>- / -</v>
      </c>
      <c r="T25" s="48" t="str">
        <f t="shared" si="11"/>
        <v>none</v>
      </c>
      <c r="U25" s="63" t="e">
        <f t="shared" si="12"/>
        <v>#VALUE!</v>
      </c>
      <c r="V25" s="63">
        <f t="shared" si="13"/>
        <v>4</v>
      </c>
      <c r="W25" s="63" t="e">
        <f t="shared" si="14"/>
        <v>#VALUE!</v>
      </c>
      <c r="X25" s="63" t="e">
        <f t="shared" si="15"/>
        <v>#VALUE!</v>
      </c>
      <c r="Y25" s="63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21" customHeight="1" x14ac:dyDescent="0.15">
      <c r="A26" s="47">
        <v>50005025</v>
      </c>
      <c r="B26" s="47" t="s">
        <v>296</v>
      </c>
      <c r="C26" s="50">
        <v>3</v>
      </c>
      <c r="D26" s="50" t="s">
        <v>126</v>
      </c>
      <c r="E26" s="51" t="s">
        <v>337</v>
      </c>
      <c r="F26" s="51" t="s">
        <v>255</v>
      </c>
      <c r="G26" s="63" t="str">
        <f t="shared" si="0"/>
        <v>[effect:break_attack, val:0.08, lowest_val:8000, count:20, block:block_red, target:unit_one]</v>
      </c>
      <c r="H26" s="63">
        <f t="shared" si="1"/>
        <v>9</v>
      </c>
      <c r="I26" s="63">
        <f t="shared" si="2"/>
        <v>21</v>
      </c>
      <c r="J26" s="63">
        <f t="shared" si="3"/>
        <v>84</v>
      </c>
      <c r="K26" s="63">
        <f t="shared" si="4"/>
        <v>31</v>
      </c>
      <c r="L26" s="63" t="str">
        <f>IFERROR(VLOOKUP(MID(G26,J26,K26-J26),[5]skilldef!$C:$D,2,FALSE),"-") &amp; " / " &amp; IFERROR(VLOOKUP(MID(G26,H26,I26-H26),[5]skilldef!$A:$B,2,FALSE),"-")</f>
        <v>- / -</v>
      </c>
      <c r="M26" s="63" t="str">
        <f t="shared" si="5"/>
        <v>none</v>
      </c>
      <c r="N26" s="48" t="str">
        <f t="shared" si="6"/>
        <v>none</v>
      </c>
      <c r="O26" s="63" t="e">
        <f t="shared" si="7"/>
        <v>#VALUE!</v>
      </c>
      <c r="P26" s="63">
        <f t="shared" si="8"/>
        <v>4</v>
      </c>
      <c r="Q26" s="63" t="e">
        <f t="shared" si="9"/>
        <v>#VALUE!</v>
      </c>
      <c r="R26" s="63" t="e">
        <f t="shared" si="10"/>
        <v>#VALUE!</v>
      </c>
      <c r="S26" s="63" t="str">
        <f>IFERROR(VLOOKUP(MID(N26,Q26,R26-Q26),[5]skilldef!$C:$D,2,FALSE),"-") &amp; " / " &amp; IFERROR(VLOOKUP(MID(N26,O26,P26-O26),[5]skilldef!$A:$B,2,FALSE),"-")</f>
        <v>- / -</v>
      </c>
      <c r="T26" s="48" t="str">
        <f t="shared" si="11"/>
        <v>none</v>
      </c>
      <c r="U26" s="63" t="e">
        <f t="shared" si="12"/>
        <v>#VALUE!</v>
      </c>
      <c r="V26" s="63">
        <f t="shared" si="13"/>
        <v>4</v>
      </c>
      <c r="W26" s="63" t="e">
        <f t="shared" si="14"/>
        <v>#VALUE!</v>
      </c>
      <c r="X26" s="63" t="e">
        <f t="shared" si="15"/>
        <v>#VALUE!</v>
      </c>
      <c r="Y26" s="63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21" customHeight="1" x14ac:dyDescent="0.15">
      <c r="A27" s="47">
        <v>50005026</v>
      </c>
      <c r="B27" s="47" t="s">
        <v>297</v>
      </c>
      <c r="C27" s="50">
        <v>3</v>
      </c>
      <c r="D27" s="50" t="s">
        <v>126</v>
      </c>
      <c r="E27" s="51" t="s">
        <v>338</v>
      </c>
      <c r="F27" s="51" t="s">
        <v>256</v>
      </c>
      <c r="G27" s="63" t="str">
        <f t="shared" si="0"/>
        <v>[effect:break_attack, val:0.08, lowest_val:8000, count:20, block:block_blue, target:unit_one]</v>
      </c>
      <c r="H27" s="63">
        <f t="shared" si="1"/>
        <v>9</v>
      </c>
      <c r="I27" s="63">
        <f t="shared" si="2"/>
        <v>21</v>
      </c>
      <c r="J27" s="63">
        <f t="shared" si="3"/>
        <v>85</v>
      </c>
      <c r="K27" s="63">
        <f t="shared" si="4"/>
        <v>31</v>
      </c>
      <c r="L27" s="63" t="str">
        <f>IFERROR(VLOOKUP(MID(G27,J27,K27-J27),[5]skilldef!$C:$D,2,FALSE),"-") &amp; " / " &amp; IFERROR(VLOOKUP(MID(G27,H27,I27-H27),[5]skilldef!$A:$B,2,FALSE),"-")</f>
        <v>- / -</v>
      </c>
      <c r="M27" s="63" t="str">
        <f t="shared" si="5"/>
        <v>none</v>
      </c>
      <c r="N27" s="48" t="str">
        <f t="shared" si="6"/>
        <v>none</v>
      </c>
      <c r="O27" s="63" t="e">
        <f t="shared" si="7"/>
        <v>#VALUE!</v>
      </c>
      <c r="P27" s="63">
        <f t="shared" si="8"/>
        <v>4</v>
      </c>
      <c r="Q27" s="63" t="e">
        <f t="shared" si="9"/>
        <v>#VALUE!</v>
      </c>
      <c r="R27" s="63" t="e">
        <f t="shared" si="10"/>
        <v>#VALUE!</v>
      </c>
      <c r="S27" s="63" t="str">
        <f>IFERROR(VLOOKUP(MID(N27,Q27,R27-Q27),[5]skilldef!$C:$D,2,FALSE),"-") &amp; " / " &amp; IFERROR(VLOOKUP(MID(N27,O27,P27-O27),[5]skilldef!$A:$B,2,FALSE),"-")</f>
        <v>- / -</v>
      </c>
      <c r="T27" s="48" t="str">
        <f t="shared" si="11"/>
        <v>none</v>
      </c>
      <c r="U27" s="63" t="e">
        <f t="shared" si="12"/>
        <v>#VALUE!</v>
      </c>
      <c r="V27" s="63">
        <f t="shared" si="13"/>
        <v>4</v>
      </c>
      <c r="W27" s="63" t="e">
        <f t="shared" si="14"/>
        <v>#VALUE!</v>
      </c>
      <c r="X27" s="63" t="e">
        <f t="shared" si="15"/>
        <v>#VALUE!</v>
      </c>
      <c r="Y27" s="63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21" customHeight="1" x14ac:dyDescent="0.15">
      <c r="A28" s="47">
        <v>50005027</v>
      </c>
      <c r="B28" s="47" t="s">
        <v>298</v>
      </c>
      <c r="C28" s="50">
        <v>3</v>
      </c>
      <c r="D28" s="50" t="s">
        <v>126</v>
      </c>
      <c r="E28" s="51" t="s">
        <v>339</v>
      </c>
      <c r="F28" s="51" t="s">
        <v>257</v>
      </c>
      <c r="G28" s="63" t="str">
        <f t="shared" si="0"/>
        <v>[effect:break_attack, val:0.08, lowest_val:8000, count:20, block:block_yellow, target:unit_one]</v>
      </c>
      <c r="H28" s="63">
        <f t="shared" si="1"/>
        <v>9</v>
      </c>
      <c r="I28" s="63">
        <f t="shared" si="2"/>
        <v>21</v>
      </c>
      <c r="J28" s="63">
        <f t="shared" si="3"/>
        <v>87</v>
      </c>
      <c r="K28" s="63">
        <f t="shared" si="4"/>
        <v>31</v>
      </c>
      <c r="L28" s="63" t="str">
        <f>IFERROR(VLOOKUP(MID(G28,J28,K28-J28),[5]skilldef!$C:$D,2,FALSE),"-") &amp; " / " &amp; IFERROR(VLOOKUP(MID(G28,H28,I28-H28),[5]skilldef!$A:$B,2,FALSE),"-")</f>
        <v>- / -</v>
      </c>
      <c r="M28" s="63" t="str">
        <f t="shared" si="5"/>
        <v>none</v>
      </c>
      <c r="N28" s="48" t="str">
        <f t="shared" si="6"/>
        <v>none</v>
      </c>
      <c r="O28" s="63" t="e">
        <f t="shared" si="7"/>
        <v>#VALUE!</v>
      </c>
      <c r="P28" s="63">
        <f t="shared" si="8"/>
        <v>4</v>
      </c>
      <c r="Q28" s="63" t="e">
        <f t="shared" si="9"/>
        <v>#VALUE!</v>
      </c>
      <c r="R28" s="63" t="e">
        <f t="shared" si="10"/>
        <v>#VALUE!</v>
      </c>
      <c r="S28" s="63" t="str">
        <f>IFERROR(VLOOKUP(MID(N28,Q28,R28-Q28),[5]skilldef!$C:$D,2,FALSE),"-") &amp; " / " &amp; IFERROR(VLOOKUP(MID(N28,O28,P28-O28),[5]skilldef!$A:$B,2,FALSE),"-")</f>
        <v>- / -</v>
      </c>
      <c r="T28" s="48" t="str">
        <f t="shared" si="11"/>
        <v>none</v>
      </c>
      <c r="U28" s="63" t="e">
        <f t="shared" si="12"/>
        <v>#VALUE!</v>
      </c>
      <c r="V28" s="63">
        <f t="shared" si="13"/>
        <v>4</v>
      </c>
      <c r="W28" s="63" t="e">
        <f t="shared" si="14"/>
        <v>#VALUE!</v>
      </c>
      <c r="X28" s="63" t="e">
        <f t="shared" si="15"/>
        <v>#VALUE!</v>
      </c>
      <c r="Y28" s="63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  <row r="29" spans="1:28" ht="21" customHeight="1" x14ac:dyDescent="0.15">
      <c r="A29" s="47">
        <v>50005028</v>
      </c>
      <c r="B29" s="47" t="s">
        <v>290</v>
      </c>
      <c r="C29" s="50">
        <v>3</v>
      </c>
      <c r="D29" s="50" t="s">
        <v>126</v>
      </c>
      <c r="E29" s="51" t="s">
        <v>342</v>
      </c>
      <c r="F29" s="51" t="s">
        <v>285</v>
      </c>
      <c r="G29" s="63" t="str">
        <f t="shared" si="0"/>
        <v>[effect:enhance_enemy, target:myself, turn:5, status:attack, val:0.3, animation:enemy_enhance_attack]</v>
      </c>
      <c r="H29" s="63">
        <f t="shared" si="1"/>
        <v>9</v>
      </c>
      <c r="I29" s="63">
        <f t="shared" si="2"/>
        <v>22</v>
      </c>
      <c r="J29" s="63">
        <f t="shared" si="3"/>
        <v>31</v>
      </c>
      <c r="K29" s="63">
        <f t="shared" si="4"/>
        <v>37</v>
      </c>
      <c r="L29" s="63" t="str">
        <f>IFERROR(VLOOKUP(MID(G29,J29,K29-J29),[5]skilldef!$C:$D,2,FALSE),"-") &amp; " / " &amp; IFERROR(VLOOKUP(MID(G29,H29,I29-H29),[5]skilldef!$A:$B,2,FALSE),"-")</f>
        <v>自分自身に / ステータス強化</v>
      </c>
      <c r="M29" s="63" t="str">
        <f t="shared" si="5"/>
        <v>none</v>
      </c>
      <c r="N29" s="48" t="str">
        <f>IFERROR(LEFT(M29,FIND("],",M29)+#REF!),M29)</f>
        <v>none</v>
      </c>
      <c r="O29" s="63" t="e">
        <f t="shared" si="7"/>
        <v>#VALUE!</v>
      </c>
      <c r="P29" s="63">
        <f t="shared" si="8"/>
        <v>4</v>
      </c>
      <c r="Q29" s="63" t="e">
        <f t="shared" si="9"/>
        <v>#VALUE!</v>
      </c>
      <c r="R29" s="63" t="e">
        <f t="shared" si="10"/>
        <v>#VALUE!</v>
      </c>
      <c r="S29" s="63" t="str">
        <f>IFERROR(VLOOKUP(MID(N29,Q29,R29-Q29),[5]skilldef!$C:$D,2,FALSE),"-") &amp; " / " &amp; IFERROR(VLOOKUP(MID(N29,O29,P29-O29),[5]skilldef!$A:$B,2,FALSE),"-")</f>
        <v>- / -</v>
      </c>
      <c r="T29" s="48" t="str">
        <f t="shared" si="11"/>
        <v>none</v>
      </c>
      <c r="U29" s="63" t="e">
        <f t="shared" si="12"/>
        <v>#VALUE!</v>
      </c>
      <c r="V29" s="63">
        <f t="shared" si="13"/>
        <v>4</v>
      </c>
      <c r="W29" s="63" t="e">
        <f t="shared" si="14"/>
        <v>#VALUE!</v>
      </c>
      <c r="X29" s="63" t="e">
        <f t="shared" si="15"/>
        <v>#VALUE!</v>
      </c>
      <c r="Y29" s="63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  <row r="30" spans="1:28" ht="21" customHeight="1" x14ac:dyDescent="0.15">
      <c r="A30" s="47">
        <v>50005029</v>
      </c>
      <c r="B30" s="47" t="s">
        <v>289</v>
      </c>
      <c r="C30" s="50">
        <v>3</v>
      </c>
      <c r="D30" s="50" t="s">
        <v>126</v>
      </c>
      <c r="E30" s="51" t="s">
        <v>341</v>
      </c>
      <c r="F30" s="51" t="s">
        <v>258</v>
      </c>
      <c r="G30" s="63" t="str">
        <f t="shared" si="0"/>
        <v>[effect:rush, count:2, val:0.7]</v>
      </c>
      <c r="H30" s="63">
        <f t="shared" si="1"/>
        <v>9</v>
      </c>
      <c r="I30" s="63">
        <f t="shared" si="2"/>
        <v>13</v>
      </c>
      <c r="J30" s="63" t="e">
        <f t="shared" si="3"/>
        <v>#VALUE!</v>
      </c>
      <c r="K30" s="63">
        <f t="shared" si="4"/>
        <v>22</v>
      </c>
      <c r="L30" s="63" t="str">
        <f>IFERROR(VLOOKUP(MID(G30,J30,K30-J30),[5]skilldef!$C:$D,2,FALSE),"-") &amp; " / " &amp; IFERROR(VLOOKUP(MID(G30,H30,I30-H30),[5]skilldef!$A:$B,2,FALSE),"-")</f>
        <v>- / 連続攻撃</v>
      </c>
      <c r="M30" s="63" t="str">
        <f t="shared" si="5"/>
        <v>none</v>
      </c>
      <c r="N30" s="48" t="str">
        <f t="shared" ref="N30:N36" si="16">IFERROR(LEFT(M30,FIND("],",M30)+S39),M30)</f>
        <v>none</v>
      </c>
      <c r="O30" s="63" t="e">
        <f t="shared" si="7"/>
        <v>#VALUE!</v>
      </c>
      <c r="P30" s="63">
        <f t="shared" si="8"/>
        <v>4</v>
      </c>
      <c r="Q30" s="63" t="e">
        <f t="shared" si="9"/>
        <v>#VALUE!</v>
      </c>
      <c r="R30" s="63" t="e">
        <f t="shared" si="10"/>
        <v>#VALUE!</v>
      </c>
      <c r="S30" s="63" t="str">
        <f>IFERROR(VLOOKUP(MID(N30,Q30,R30-Q30),[5]skilldef!$C:$D,2,FALSE),"-") &amp; " / " &amp; IFERROR(VLOOKUP(MID(N30,O30,P30-O30),[5]skilldef!$A:$B,2,FALSE),"-")</f>
        <v>- / -</v>
      </c>
      <c r="T30" s="48" t="str">
        <f t="shared" si="11"/>
        <v>none</v>
      </c>
      <c r="U30" s="63" t="e">
        <f t="shared" si="12"/>
        <v>#VALUE!</v>
      </c>
      <c r="V30" s="63">
        <f t="shared" si="13"/>
        <v>4</v>
      </c>
      <c r="W30" s="63" t="e">
        <f t="shared" si="14"/>
        <v>#VALUE!</v>
      </c>
      <c r="X30" s="63" t="e">
        <f t="shared" si="15"/>
        <v>#VALUE!</v>
      </c>
      <c r="Y30" s="63" t="str">
        <f>IFERROR(VLOOKUP(MID(T30,W30,X30-W30),[5]skilldef!$C:$D,2,FALSE),"-") &amp; " / " &amp; IFERROR(VLOOKUP(MID(T30,U30,V30-U30),[5]skilldef!$A:$B,2,FALSE),"-")</f>
        <v>- / -</v>
      </c>
      <c r="Z30" s="50"/>
      <c r="AA30" s="52"/>
      <c r="AB30" s="50"/>
    </row>
    <row r="31" spans="1:28" ht="21" customHeight="1" x14ac:dyDescent="0.15">
      <c r="A31" s="47">
        <v>50005030</v>
      </c>
      <c r="B31" s="47" t="s">
        <v>352</v>
      </c>
      <c r="C31" s="50">
        <v>3</v>
      </c>
      <c r="D31" s="50" t="s">
        <v>126</v>
      </c>
      <c r="E31" s="51" t="s">
        <v>340</v>
      </c>
      <c r="F31" s="51" t="s">
        <v>350</v>
      </c>
      <c r="G31" s="63" t="str">
        <f t="shared" si="0"/>
        <v>[effect:fix_speed, target:myself, turn:1]</v>
      </c>
      <c r="H31" s="63">
        <f t="shared" si="1"/>
        <v>9</v>
      </c>
      <c r="I31" s="63">
        <f t="shared" si="2"/>
        <v>18</v>
      </c>
      <c r="J31" s="63">
        <f t="shared" si="3"/>
        <v>27</v>
      </c>
      <c r="K31" s="63">
        <f t="shared" si="4"/>
        <v>33</v>
      </c>
      <c r="L31" s="63" t="str">
        <f>IFERROR(VLOOKUP(MID(G31,J31,K31-J31),[5]skilldef!$C:$D,2,FALSE),"-") &amp; " / " &amp; IFERROR(VLOOKUP(MID(G31,H31,I31-H31),[5]skilldef!$A:$B,2,FALSE),"-")</f>
        <v>自分自身に / 行動値設定</v>
      </c>
      <c r="M31" s="63" t="str">
        <f t="shared" si="5"/>
        <v>[effect:degrade_unit, target:unit_all, turn:5, status:attack, val:0.5],[effect:degrade_unit, target:unit_all, turn:5, status:heal, val:0.5, animation:degrade_unit_all_heal]</v>
      </c>
      <c r="N31" s="48" t="str">
        <f t="shared" si="16"/>
        <v>[effect:degrade_unit, target:unit_all, turn:5, status:attack, val:0.5],[effect:degrade_unit, target:unit_all, turn:5, status:heal, val:0.5, animation:degrade_unit_all_heal]</v>
      </c>
      <c r="O31" s="63">
        <f t="shared" si="7"/>
        <v>9</v>
      </c>
      <c r="P31" s="63">
        <f t="shared" si="8"/>
        <v>21</v>
      </c>
      <c r="Q31" s="63">
        <f t="shared" si="9"/>
        <v>30</v>
      </c>
      <c r="R31" s="63">
        <f t="shared" si="10"/>
        <v>38</v>
      </c>
      <c r="S31" s="63" t="str">
        <f>IFERROR(VLOOKUP(MID(N31,Q31,R31-Q31),[5]skilldef!$C:$D,2,FALSE),"-") &amp; " / " &amp; IFERROR(VLOOKUP(MID(N31,O31,P31-O31),[5]skilldef!$A:$B,2,FALSE),"-")</f>
        <v>味方全体に / ステータスDOWN</v>
      </c>
      <c r="T31" s="48" t="str">
        <f t="shared" si="11"/>
        <v>[effect:degrade_unit, target:unit_all, turn:5, status:heal, val:0.5, animation:degrade_unit_all_heal]</v>
      </c>
      <c r="U31" s="63">
        <f t="shared" si="12"/>
        <v>9</v>
      </c>
      <c r="V31" s="63">
        <f t="shared" si="13"/>
        <v>21</v>
      </c>
      <c r="W31" s="63">
        <f t="shared" si="14"/>
        <v>30</v>
      </c>
      <c r="X31" s="63">
        <f t="shared" si="15"/>
        <v>38</v>
      </c>
      <c r="Y31" s="63" t="str">
        <f>IFERROR(VLOOKUP(MID(T31,W31,X31-W31),[5]skilldef!$C:$D,2,FALSE),"-") &amp; " / " &amp; IFERROR(VLOOKUP(MID(T31,U31,V31-U31),[5]skilldef!$A:$B,2,FALSE),"-")</f>
        <v>味方全体に / ステータスDOWN</v>
      </c>
      <c r="Z31" s="50"/>
      <c r="AA31" s="52"/>
      <c r="AB31" s="50"/>
    </row>
    <row r="32" spans="1:28" ht="21" customHeight="1" x14ac:dyDescent="0.15">
      <c r="A32" s="47">
        <v>50005031</v>
      </c>
      <c r="B32" s="47" t="s">
        <v>280</v>
      </c>
      <c r="C32" s="50">
        <v>3</v>
      </c>
      <c r="D32" s="50" t="s">
        <v>126</v>
      </c>
      <c r="E32" s="51" t="s">
        <v>343</v>
      </c>
      <c r="F32" s="51" t="s">
        <v>286</v>
      </c>
      <c r="G32" s="63" t="str">
        <f t="shared" si="0"/>
        <v>[effect:enhance_enemy, target:myself, turn:-1, status:defense, val:5000, calc:add, animation:enemy_enhance_defense]</v>
      </c>
      <c r="H32" s="63">
        <f t="shared" si="1"/>
        <v>9</v>
      </c>
      <c r="I32" s="63">
        <f t="shared" si="2"/>
        <v>22</v>
      </c>
      <c r="J32" s="63">
        <f t="shared" si="3"/>
        <v>31</v>
      </c>
      <c r="K32" s="63">
        <f t="shared" si="4"/>
        <v>37</v>
      </c>
      <c r="L32" s="63" t="str">
        <f>IFERROR(VLOOKUP(MID(G32,J32,K32-J32),[5]skilldef!$C:$D,2,FALSE),"-") &amp; " / " &amp; IFERROR(VLOOKUP(MID(G32,H32,I32-H32),[5]skilldef!$A:$B,2,FALSE),"-")</f>
        <v>自分自身に / ステータス強化</v>
      </c>
      <c r="M32" s="63" t="str">
        <f t="shared" si="5"/>
        <v>none</v>
      </c>
      <c r="N32" s="48" t="str">
        <f t="shared" si="16"/>
        <v>none</v>
      </c>
      <c r="O32" s="63" t="e">
        <f t="shared" si="7"/>
        <v>#VALUE!</v>
      </c>
      <c r="P32" s="63">
        <f t="shared" si="8"/>
        <v>4</v>
      </c>
      <c r="Q32" s="63" t="e">
        <f t="shared" si="9"/>
        <v>#VALUE!</v>
      </c>
      <c r="R32" s="63" t="e">
        <f t="shared" si="10"/>
        <v>#VALUE!</v>
      </c>
      <c r="S32" s="63" t="str">
        <f>IFERROR(VLOOKUP(MID(N32,Q32,R32-Q32),[5]skilldef!$C:$D,2,FALSE),"-") &amp; " / " &amp; IFERROR(VLOOKUP(MID(N32,O32,P32-O32),[5]skilldef!$A:$B,2,FALSE),"-")</f>
        <v>- / -</v>
      </c>
      <c r="T32" s="48" t="str">
        <f t="shared" si="11"/>
        <v>none</v>
      </c>
      <c r="U32" s="63" t="e">
        <f t="shared" si="12"/>
        <v>#VALUE!</v>
      </c>
      <c r="V32" s="63">
        <f t="shared" si="13"/>
        <v>4</v>
      </c>
      <c r="W32" s="63" t="e">
        <f t="shared" si="14"/>
        <v>#VALUE!</v>
      </c>
      <c r="X32" s="63" t="e">
        <f t="shared" si="15"/>
        <v>#VALUE!</v>
      </c>
      <c r="Y32" s="63" t="str">
        <f>IFERROR(VLOOKUP(MID(T32,W32,X32-W32),[5]skilldef!$C:$D,2,FALSE),"-") &amp; " / " &amp; IFERROR(VLOOKUP(MID(T32,U32,V32-U32),[5]skilldef!$A:$B,2,FALSE),"-")</f>
        <v>- / -</v>
      </c>
      <c r="Z32" s="50"/>
      <c r="AA32" s="52"/>
      <c r="AB32" s="50"/>
    </row>
    <row r="33" spans="1:28" ht="21" customHeight="1" x14ac:dyDescent="0.15">
      <c r="A33" s="47">
        <v>50005032</v>
      </c>
      <c r="B33" s="47" t="s">
        <v>294</v>
      </c>
      <c r="C33" s="50">
        <v>3</v>
      </c>
      <c r="D33" s="50" t="s">
        <v>126</v>
      </c>
      <c r="E33" s="51" t="s">
        <v>344</v>
      </c>
      <c r="F33" s="51" t="s">
        <v>259</v>
      </c>
      <c r="G33" s="63" t="str">
        <f t="shared" si="0"/>
        <v>[effect:break_attack, val:0.08, lowest_val:8000, count:20, block01:block_red, block02:block_yellow, target:unit_one]</v>
      </c>
      <c r="H33" s="63">
        <f t="shared" si="1"/>
        <v>9</v>
      </c>
      <c r="I33" s="63">
        <f t="shared" si="2"/>
        <v>21</v>
      </c>
      <c r="J33" s="63">
        <f t="shared" si="3"/>
        <v>108</v>
      </c>
      <c r="K33" s="63">
        <f t="shared" si="4"/>
        <v>31</v>
      </c>
      <c r="L33" s="63" t="str">
        <f>IFERROR(VLOOKUP(MID(G33,J33,K33-J33),[5]skilldef!$C:$D,2,FALSE),"-") &amp; " / " &amp; IFERROR(VLOOKUP(MID(G33,H33,I33-H33),[5]skilldef!$A:$B,2,FALSE),"-")</f>
        <v>- / -</v>
      </c>
      <c r="M33" s="63" t="str">
        <f t="shared" si="5"/>
        <v>none</v>
      </c>
      <c r="N33" s="48" t="str">
        <f t="shared" si="16"/>
        <v>none</v>
      </c>
      <c r="O33" s="63" t="e">
        <f t="shared" si="7"/>
        <v>#VALUE!</v>
      </c>
      <c r="P33" s="63">
        <f t="shared" si="8"/>
        <v>4</v>
      </c>
      <c r="Q33" s="63" t="e">
        <f t="shared" si="9"/>
        <v>#VALUE!</v>
      </c>
      <c r="R33" s="63" t="e">
        <f t="shared" si="10"/>
        <v>#VALUE!</v>
      </c>
      <c r="S33" s="63" t="str">
        <f>IFERROR(VLOOKUP(MID(N33,Q33,R33-Q33),[5]skilldef!$C:$D,2,FALSE),"-") &amp; " / " &amp; IFERROR(VLOOKUP(MID(N33,O33,P33-O33),[5]skilldef!$A:$B,2,FALSE),"-")</f>
        <v>- / -</v>
      </c>
      <c r="T33" s="48" t="str">
        <f t="shared" si="11"/>
        <v>none</v>
      </c>
      <c r="U33" s="63" t="e">
        <f t="shared" si="12"/>
        <v>#VALUE!</v>
      </c>
      <c r="V33" s="63">
        <f t="shared" si="13"/>
        <v>4</v>
      </c>
      <c r="W33" s="63" t="e">
        <f t="shared" si="14"/>
        <v>#VALUE!</v>
      </c>
      <c r="X33" s="63" t="e">
        <f t="shared" si="15"/>
        <v>#VALUE!</v>
      </c>
      <c r="Y33" s="63" t="str">
        <f>IFERROR(VLOOKUP(MID(T33,W33,X33-W33),[5]skilldef!$C:$D,2,FALSE),"-") &amp; " / " &amp; IFERROR(VLOOKUP(MID(T33,U33,V33-U33),[5]skilldef!$A:$B,2,FALSE),"-")</f>
        <v>- / -</v>
      </c>
      <c r="Z33" s="50"/>
      <c r="AA33" s="52"/>
      <c r="AB33" s="50"/>
    </row>
    <row r="34" spans="1:28" ht="21" customHeight="1" x14ac:dyDescent="0.15">
      <c r="A34" s="47">
        <v>50005033</v>
      </c>
      <c r="B34" s="47" t="s">
        <v>295</v>
      </c>
      <c r="C34" s="50">
        <v>3</v>
      </c>
      <c r="D34" s="50" t="s">
        <v>126</v>
      </c>
      <c r="E34" s="51" t="s">
        <v>345</v>
      </c>
      <c r="F34" s="51" t="s">
        <v>260</v>
      </c>
      <c r="G34" s="63" t="str">
        <f t="shared" ref="G34:G61" si="17">IFERROR(LEFT(B34,FIND("],",B34)),B34)</f>
        <v>[effect:break_attack, val:0.08, lowest_val:8000, count:20, block01:block_blue, block02:block_yellow, target:unit_one]</v>
      </c>
      <c r="H34" s="63">
        <f t="shared" ref="H34:H61" si="18">FIND("effect:",G34)+7</f>
        <v>9</v>
      </c>
      <c r="I34" s="63">
        <f t="shared" ref="I34:I61" si="19">IFERROR(FIND(",",G34),LEN(G34))</f>
        <v>21</v>
      </c>
      <c r="J34" s="63">
        <f t="shared" ref="J34:J61" si="20">FIND("target:",G34)+7</f>
        <v>109</v>
      </c>
      <c r="K34" s="63">
        <f t="shared" ref="K34:K61" si="21">FIND(",",G34,I34+1)</f>
        <v>31</v>
      </c>
      <c r="L34" s="63" t="str">
        <f>IFERROR(VLOOKUP(MID(G34,J34,K34-J34),[5]skilldef!$C:$D,2,FALSE),"-") &amp; " / " &amp; IFERROR(VLOOKUP(MID(G34,H34,I34-H34),[5]skilldef!$A:$B,2,FALSE),"-")</f>
        <v>- / -</v>
      </c>
      <c r="M34" s="63" t="str">
        <f t="shared" ref="M34:M61" si="22">IFERROR(RIGHT(B34,LEN(B34)-FIND("],",B34)-1),"none")</f>
        <v>none</v>
      </c>
      <c r="N34" s="48" t="str">
        <f t="shared" si="16"/>
        <v>none</v>
      </c>
      <c r="O34" s="63" t="e">
        <f t="shared" ref="O34:O61" si="23">FIND("effect:",N34)+7</f>
        <v>#VALUE!</v>
      </c>
      <c r="P34" s="63">
        <f t="shared" ref="P34:P61" si="24">IFERROR(FIND(",",N34),LEN(N34))</f>
        <v>4</v>
      </c>
      <c r="Q34" s="63" t="e">
        <f t="shared" ref="Q34:Q61" si="25">FIND("target:",N34)+7</f>
        <v>#VALUE!</v>
      </c>
      <c r="R34" s="63" t="e">
        <f t="shared" ref="R34:R61" si="26">FIND(",",N34,P34+1)</f>
        <v>#VALUE!</v>
      </c>
      <c r="S34" s="63" t="str">
        <f>IFERROR(VLOOKUP(MID(N34,Q34,R34-Q34),[5]skilldef!$C:$D,2,FALSE),"-") &amp; " / " &amp; IFERROR(VLOOKUP(MID(N34,O34,P34-O34),[5]skilldef!$A:$B,2,FALSE),"-")</f>
        <v>- / -</v>
      </c>
      <c r="T34" s="48" t="str">
        <f t="shared" ref="T34:T61" si="27">IFERROR(RIGHT(M34,LEN(M34)-FIND("],",M34)-1),"none")</f>
        <v>none</v>
      </c>
      <c r="U34" s="63" t="e">
        <f t="shared" ref="U34:U61" si="28">FIND("effect:",T34)+7</f>
        <v>#VALUE!</v>
      </c>
      <c r="V34" s="63">
        <f t="shared" ref="V34:V61" si="29">IFERROR(FIND(",",T34),LEN(T34))</f>
        <v>4</v>
      </c>
      <c r="W34" s="63" t="e">
        <f t="shared" ref="W34:W61" si="30">FIND("target:",T34)+7</f>
        <v>#VALUE!</v>
      </c>
      <c r="X34" s="63" t="e">
        <f t="shared" ref="X34:X61" si="31">FIND(",",T34,V34+1)</f>
        <v>#VALUE!</v>
      </c>
      <c r="Y34" s="63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</row>
    <row r="35" spans="1:28" ht="21" customHeight="1" x14ac:dyDescent="0.15">
      <c r="A35" s="47">
        <v>50005034</v>
      </c>
      <c r="B35" s="47" t="s">
        <v>377</v>
      </c>
      <c r="C35" s="50">
        <v>3</v>
      </c>
      <c r="D35" s="50" t="s">
        <v>126</v>
      </c>
      <c r="E35" s="51" t="s">
        <v>347</v>
      </c>
      <c r="F35" s="51" t="s">
        <v>375</v>
      </c>
      <c r="G35" s="63" t="str">
        <f t="shared" si="17"/>
        <v>[effect:change_panel_ratio, turn:3, block_type:green, val:0.6, animation:block_incidence04]</v>
      </c>
      <c r="H35" s="63">
        <f t="shared" si="18"/>
        <v>9</v>
      </c>
      <c r="I35" s="63">
        <f t="shared" si="19"/>
        <v>27</v>
      </c>
      <c r="J35" s="63" t="e">
        <f t="shared" si="20"/>
        <v>#VALUE!</v>
      </c>
      <c r="K35" s="63">
        <f t="shared" si="21"/>
        <v>35</v>
      </c>
      <c r="L35" s="63" t="str">
        <f>IFERROR(VLOOKUP(MID(G35,J35,K35-J35),[5]skilldef!$C:$D,2,FALSE),"-") &amp; " / " &amp; IFERROR(VLOOKUP(MID(G35,H35,I35-H35),[5]skilldef!$A:$B,2,FALSE),"-")</f>
        <v>- / -</v>
      </c>
      <c r="M35" s="63" t="str">
        <f t="shared" si="22"/>
        <v>none</v>
      </c>
      <c r="N35" s="48" t="str">
        <f t="shared" si="16"/>
        <v>none</v>
      </c>
      <c r="O35" s="63" t="e">
        <f t="shared" si="23"/>
        <v>#VALUE!</v>
      </c>
      <c r="P35" s="63">
        <f t="shared" si="24"/>
        <v>4</v>
      </c>
      <c r="Q35" s="63" t="e">
        <f t="shared" si="25"/>
        <v>#VALUE!</v>
      </c>
      <c r="R35" s="63" t="e">
        <f t="shared" si="26"/>
        <v>#VALUE!</v>
      </c>
      <c r="S35" s="63" t="str">
        <f>IFERROR(VLOOKUP(MID(N35,Q35,R35-Q35),[5]skilldef!$C:$D,2,FALSE),"-") &amp; " / " &amp; IFERROR(VLOOKUP(MID(N35,O35,P35-O35),[5]skilldef!$A:$B,2,FALSE),"-")</f>
        <v>- / -</v>
      </c>
      <c r="T35" s="48" t="str">
        <f t="shared" si="27"/>
        <v>none</v>
      </c>
      <c r="U35" s="63" t="e">
        <f t="shared" si="28"/>
        <v>#VALUE!</v>
      </c>
      <c r="V35" s="63">
        <f t="shared" si="29"/>
        <v>4</v>
      </c>
      <c r="W35" s="63" t="e">
        <f t="shared" si="30"/>
        <v>#VALUE!</v>
      </c>
      <c r="X35" s="63" t="e">
        <f t="shared" si="31"/>
        <v>#VALUE!</v>
      </c>
      <c r="Y35" s="63" t="str">
        <f>IFERROR(VLOOKUP(MID(T35,W35,X35-W35),[5]skilldef!$C:$D,2,FALSE),"-") &amp; " / " &amp; IFERROR(VLOOKUP(MID(T35,U35,V35-U35),[5]skilldef!$A:$B,2,FALSE),"-")</f>
        <v>- / -</v>
      </c>
      <c r="Z35" s="50"/>
      <c r="AA35" s="52"/>
      <c r="AB35" s="50"/>
    </row>
    <row r="36" spans="1:28" ht="21" customHeight="1" x14ac:dyDescent="0.15">
      <c r="A36" s="47">
        <v>50005035</v>
      </c>
      <c r="B36" s="47" t="s">
        <v>387</v>
      </c>
      <c r="C36" s="50">
        <v>3</v>
      </c>
      <c r="D36" s="50" t="s">
        <v>126</v>
      </c>
      <c r="E36" s="51" t="s">
        <v>348</v>
      </c>
      <c r="F36" s="51" t="s">
        <v>390</v>
      </c>
      <c r="G36" s="63" t="str">
        <f t="shared" si="17"/>
        <v>[effect:enemy_message, val1:1.0, val2:2.6, dead_type:escape]</v>
      </c>
      <c r="H36" s="63">
        <f t="shared" si="18"/>
        <v>9</v>
      </c>
      <c r="I36" s="63">
        <f t="shared" si="19"/>
        <v>22</v>
      </c>
      <c r="J36" s="63" t="e">
        <f t="shared" si="20"/>
        <v>#VALUE!</v>
      </c>
      <c r="K36" s="63">
        <f t="shared" si="21"/>
        <v>32</v>
      </c>
      <c r="L36" s="63" t="str">
        <f>IFERROR(VLOOKUP(MID(G36,J36,K36-J36),[5]skilldef!$C:$D,2,FALSE),"-") &amp; " / " &amp; IFERROR(VLOOKUP(MID(G36,H36,I36-H36),[5]skilldef!$A:$B,2,FALSE),"-")</f>
        <v>- / -</v>
      </c>
      <c r="M36" s="63" t="str">
        <f t="shared" si="22"/>
        <v>[effect:break_enchance_enemy, val:0.03, lowest_val:0.3, count:-1, status:attack, turn:-1, block:block_green, target:myself, calc:mul, animation:enemy_enhance_attack]</v>
      </c>
      <c r="N36" s="48" t="str">
        <f t="shared" si="16"/>
        <v>[effect:break_enchance_enemy, val:0.03, lowest_val:0.3, count:-1, status:attack, turn:-1, block:block_green, target:myself, calc:mul, animation:enemy_enhance_attack]</v>
      </c>
      <c r="O36" s="63">
        <f t="shared" si="23"/>
        <v>9</v>
      </c>
      <c r="P36" s="63">
        <f t="shared" si="24"/>
        <v>29</v>
      </c>
      <c r="Q36" s="63">
        <f t="shared" si="25"/>
        <v>117</v>
      </c>
      <c r="R36" s="63">
        <f t="shared" si="26"/>
        <v>39</v>
      </c>
      <c r="S36" s="63" t="str">
        <f>IFERROR(VLOOKUP(MID(N36,Q36,R36-Q36),[5]skilldef!$C:$D,2,FALSE),"-") &amp; " / " &amp; IFERROR(VLOOKUP(MID(N36,O36,P36-O36),[5]skilldef!$A:$B,2,FALSE),"-")</f>
        <v>- / -</v>
      </c>
      <c r="T36" s="48" t="str">
        <f t="shared" si="27"/>
        <v>none</v>
      </c>
      <c r="U36" s="63" t="e">
        <f t="shared" si="28"/>
        <v>#VALUE!</v>
      </c>
      <c r="V36" s="63">
        <f t="shared" si="29"/>
        <v>4</v>
      </c>
      <c r="W36" s="63" t="e">
        <f t="shared" si="30"/>
        <v>#VALUE!</v>
      </c>
      <c r="X36" s="63" t="e">
        <f t="shared" si="31"/>
        <v>#VALUE!</v>
      </c>
      <c r="Y36" s="63" t="str">
        <f>IFERROR(VLOOKUP(MID(T36,W36,X36-W36),[5]skilldef!$C:$D,2,FALSE),"-") &amp; " / " &amp; IFERROR(VLOOKUP(MID(T36,U36,V36-U36),[5]skilldef!$A:$B,2,FALSE),"-")</f>
        <v>- / -</v>
      </c>
      <c r="Z36" s="50"/>
      <c r="AA36" s="52"/>
      <c r="AB36" s="50"/>
    </row>
    <row r="37" spans="1:28" ht="21" customHeight="1" x14ac:dyDescent="0.15">
      <c r="A37" s="47">
        <v>50005036</v>
      </c>
      <c r="B37" s="47" t="s">
        <v>299</v>
      </c>
      <c r="C37" s="50">
        <v>3</v>
      </c>
      <c r="D37" s="50" t="s">
        <v>126</v>
      </c>
      <c r="E37" s="51" t="s">
        <v>346</v>
      </c>
      <c r="F37" s="51" t="s">
        <v>261</v>
      </c>
      <c r="G37" s="63" t="str">
        <f t="shared" si="17"/>
        <v>[effect:break_attack, val:0.08, lowest_val:8000, count:-1, block:block_green, target:unit_one]</v>
      </c>
      <c r="H37" s="63">
        <f t="shared" si="18"/>
        <v>9</v>
      </c>
      <c r="I37" s="63">
        <f t="shared" si="19"/>
        <v>21</v>
      </c>
      <c r="J37" s="63">
        <f t="shared" si="20"/>
        <v>86</v>
      </c>
      <c r="K37" s="63">
        <f t="shared" si="21"/>
        <v>31</v>
      </c>
      <c r="L37" s="63" t="str">
        <f>IFERROR(VLOOKUP(MID(G37,J37,K37-J37),[5]skilldef!$C:$D,2,FALSE),"-") &amp; " / " &amp; IFERROR(VLOOKUP(MID(G37,H37,I37-H37),[5]skilldef!$A:$B,2,FALSE),"-")</f>
        <v>- / -</v>
      </c>
      <c r="M37" s="63" t="str">
        <f t="shared" si="22"/>
        <v>none</v>
      </c>
      <c r="N37" s="48" t="str">
        <f>IFERROR(LEFT(M37,FIND("],",M37)+#REF!),M37)</f>
        <v>none</v>
      </c>
      <c r="O37" s="63" t="e">
        <f t="shared" si="23"/>
        <v>#VALUE!</v>
      </c>
      <c r="P37" s="63">
        <f t="shared" si="24"/>
        <v>4</v>
      </c>
      <c r="Q37" s="63" t="e">
        <f t="shared" si="25"/>
        <v>#VALUE!</v>
      </c>
      <c r="R37" s="63" t="e">
        <f t="shared" si="26"/>
        <v>#VALUE!</v>
      </c>
      <c r="S37" s="63" t="str">
        <f>IFERROR(VLOOKUP(MID(N37,Q37,R37-Q37),[5]skilldef!$C:$D,2,FALSE),"-") &amp; " / " &amp; IFERROR(VLOOKUP(MID(N37,O37,P37-O37),[5]skilldef!$A:$B,2,FALSE),"-")</f>
        <v>- / -</v>
      </c>
      <c r="T37" s="48" t="str">
        <f t="shared" si="27"/>
        <v>none</v>
      </c>
      <c r="U37" s="63" t="e">
        <f t="shared" si="28"/>
        <v>#VALUE!</v>
      </c>
      <c r="V37" s="63">
        <f t="shared" si="29"/>
        <v>4</v>
      </c>
      <c r="W37" s="63" t="e">
        <f t="shared" si="30"/>
        <v>#VALUE!</v>
      </c>
      <c r="X37" s="63" t="e">
        <f t="shared" si="31"/>
        <v>#VALUE!</v>
      </c>
      <c r="Y37" s="63" t="str">
        <f>IFERROR(VLOOKUP(MID(T37,W37,X37-W37),[5]skilldef!$C:$D,2,FALSE),"-") &amp; " / " &amp; IFERROR(VLOOKUP(MID(T37,U37,V37-U37),[5]skilldef!$A:$B,2,FALSE),"-")</f>
        <v>- / -</v>
      </c>
      <c r="Z37" s="50"/>
      <c r="AA37" s="52"/>
      <c r="AB37" s="50"/>
    </row>
    <row r="38" spans="1:28" ht="21" customHeight="1" x14ac:dyDescent="0.15">
      <c r="A38" s="47">
        <v>50005037</v>
      </c>
      <c r="B38" s="47" t="s">
        <v>433</v>
      </c>
      <c r="C38" s="50">
        <v>3</v>
      </c>
      <c r="D38" s="50" t="s">
        <v>126</v>
      </c>
      <c r="E38" s="51" t="s">
        <v>434</v>
      </c>
      <c r="F38" s="51" t="s">
        <v>407</v>
      </c>
      <c r="G38" s="63" t="str">
        <f t="shared" si="17"/>
        <v>[effect:enemy_message, val1:1.0, val2:2.6, dead_type:escape]</v>
      </c>
      <c r="H38" s="63">
        <f t="shared" si="18"/>
        <v>9</v>
      </c>
      <c r="I38" s="63">
        <f t="shared" si="19"/>
        <v>22</v>
      </c>
      <c r="J38" s="63" t="e">
        <f t="shared" si="20"/>
        <v>#VALUE!</v>
      </c>
      <c r="K38" s="63">
        <f t="shared" si="21"/>
        <v>32</v>
      </c>
      <c r="L38" s="63" t="str">
        <f>IFERROR(VLOOKUP(MID(G38,J38,K38-J38),[5]skilldef!$C:$D,2,FALSE),"-") &amp; " / " &amp; IFERROR(VLOOKUP(MID(G38,H38,I38-H38),[5]skilldef!$A:$B,2,FALSE),"-")</f>
        <v>- / -</v>
      </c>
      <c r="M38" s="63" t="str">
        <f t="shared" si="22"/>
        <v>[effect:fix_speed, target:myself, turn:1],[effect:tolerance, target:myself, turn:-1, tolerance_effect:all, count:-1, animation:enemy_tolerance],[effect:sp_boost, target:unit_green, val:99, animation:sp_boost_one03]</v>
      </c>
      <c r="N38" s="48" t="str">
        <f>IFERROR(LEFT(M38,FIND("],",M38)+S46),M38)</f>
        <v>[effect:fix_speed, target:myself, turn:1],[effect:tolerance, target:myself, turn:-1, tolerance_effect:all, count:-1, animation:enemy_tolerance],[effect:sp_boost, target:unit_green, val:99, animation:sp_boost_one03]</v>
      </c>
      <c r="O38" s="63">
        <f t="shared" si="23"/>
        <v>9</v>
      </c>
      <c r="P38" s="63">
        <f t="shared" si="24"/>
        <v>18</v>
      </c>
      <c r="Q38" s="63">
        <f t="shared" si="25"/>
        <v>27</v>
      </c>
      <c r="R38" s="63">
        <f t="shared" si="26"/>
        <v>33</v>
      </c>
      <c r="S38" s="63" t="str">
        <f>IFERROR(VLOOKUP(MID(N38,Q38,R38-Q38),[5]skilldef!$C:$D,2,FALSE),"-") &amp; " / " &amp; IFERROR(VLOOKUP(MID(N38,O38,P38-O38),[5]skilldef!$A:$B,2,FALSE),"-")</f>
        <v>自分自身に / 行動値設定</v>
      </c>
      <c r="T38" s="48" t="str">
        <f t="shared" si="27"/>
        <v>[effect:tolerance, target:myself, turn:-1, tolerance_effect:all, count:-1, animation:enemy_tolerance],[effect:sp_boost, target:unit_green, val:99, animation:sp_boost_one03]</v>
      </c>
      <c r="U38" s="63">
        <f t="shared" si="28"/>
        <v>9</v>
      </c>
      <c r="V38" s="63">
        <f t="shared" si="29"/>
        <v>18</v>
      </c>
      <c r="W38" s="63">
        <f t="shared" si="30"/>
        <v>27</v>
      </c>
      <c r="X38" s="63">
        <f t="shared" si="31"/>
        <v>33</v>
      </c>
      <c r="Y38" s="63" t="str">
        <f>IFERROR(VLOOKUP(MID(T38,W38,X38-W38),[5]skilldef!$C:$D,2,FALSE),"-") &amp; " / " &amp; IFERROR(VLOOKUP(MID(T38,U38,V38-U38),[5]skilldef!$A:$B,2,FALSE),"-")</f>
        <v>自分自身に / 状態異常耐性</v>
      </c>
      <c r="Z38" s="50"/>
      <c r="AA38" s="52"/>
      <c r="AB38" s="50"/>
    </row>
    <row r="39" spans="1:28" ht="21" customHeight="1" x14ac:dyDescent="0.15">
      <c r="A39" s="47">
        <v>50005039</v>
      </c>
      <c r="B39" s="47" t="s">
        <v>383</v>
      </c>
      <c r="C39" s="50">
        <v>3</v>
      </c>
      <c r="D39" s="50" t="s">
        <v>126</v>
      </c>
      <c r="E39" s="51" t="s">
        <v>357</v>
      </c>
      <c r="F39" s="51" t="s">
        <v>381</v>
      </c>
      <c r="G39" s="63" t="str">
        <f t="shared" si="17"/>
        <v>[effect:dis_panel, target:block_red, turn:3, animation:enemy_dis_red]</v>
      </c>
      <c r="H39" s="63">
        <f t="shared" si="18"/>
        <v>9</v>
      </c>
      <c r="I39" s="63">
        <f t="shared" si="19"/>
        <v>18</v>
      </c>
      <c r="J39" s="63">
        <f t="shared" si="20"/>
        <v>27</v>
      </c>
      <c r="K39" s="63">
        <f t="shared" si="21"/>
        <v>36</v>
      </c>
      <c r="L39" s="63" t="str">
        <f>IFERROR(VLOOKUP(MID(G39,J39,K39-J39),[5]skilldef!$C:$D,2,FALSE),"-") &amp; " / " &amp; IFERROR(VLOOKUP(MID(G39,H39,I39-H39),[5]skilldef!$A:$B,2,FALSE),"-")</f>
        <v>赤パネルを / ディスパネル</v>
      </c>
      <c r="M39" s="63" t="str">
        <f t="shared" si="22"/>
        <v>[effect:rush, count:1, val:1.1]</v>
      </c>
      <c r="N39" s="48" t="str">
        <f>IFERROR(LEFT(M39,FIND("],",M39)+S48),M39)</f>
        <v>[effect:rush, count:1, val:1.1]</v>
      </c>
      <c r="O39" s="63">
        <f t="shared" si="23"/>
        <v>9</v>
      </c>
      <c r="P39" s="63">
        <f t="shared" si="24"/>
        <v>13</v>
      </c>
      <c r="Q39" s="63" t="e">
        <f t="shared" si="25"/>
        <v>#VALUE!</v>
      </c>
      <c r="R39" s="63">
        <f t="shared" si="26"/>
        <v>22</v>
      </c>
      <c r="S39" s="63" t="str">
        <f>IFERROR(VLOOKUP(MID(N39,Q39,R39-Q39),[5]skilldef!$C:$D,2,FALSE),"-") &amp; " / " &amp; IFERROR(VLOOKUP(MID(N39,O39,P39-O39),[5]skilldef!$A:$B,2,FALSE),"-")</f>
        <v>- / 連続攻撃</v>
      </c>
      <c r="T39" s="48" t="str">
        <f t="shared" si="27"/>
        <v>none</v>
      </c>
      <c r="U39" s="63" t="e">
        <f t="shared" si="28"/>
        <v>#VALUE!</v>
      </c>
      <c r="V39" s="63">
        <f t="shared" si="29"/>
        <v>4</v>
      </c>
      <c r="W39" s="63" t="e">
        <f t="shared" si="30"/>
        <v>#VALUE!</v>
      </c>
      <c r="X39" s="63" t="e">
        <f t="shared" si="31"/>
        <v>#VALUE!</v>
      </c>
      <c r="Y39" s="63" t="str">
        <f>IFERROR(VLOOKUP(MID(T39,W39,X39-W39),[5]skilldef!$C:$D,2,FALSE),"-") &amp; " / " &amp; IFERROR(VLOOKUP(MID(T39,U39,V39-U39),[5]skilldef!$A:$B,2,FALSE),"-")</f>
        <v>- / -</v>
      </c>
      <c r="Z39" s="50"/>
      <c r="AA39" s="52"/>
      <c r="AB39" s="50"/>
    </row>
    <row r="40" spans="1:28" ht="21" customHeight="1" x14ac:dyDescent="0.15">
      <c r="A40" s="47">
        <v>50005040</v>
      </c>
      <c r="B40" s="47" t="s">
        <v>384</v>
      </c>
      <c r="C40" s="50">
        <v>3</v>
      </c>
      <c r="D40" s="50" t="s">
        <v>126</v>
      </c>
      <c r="E40" s="51" t="s">
        <v>357</v>
      </c>
      <c r="F40" s="51" t="s">
        <v>382</v>
      </c>
      <c r="G40" s="63" t="str">
        <f t="shared" si="17"/>
        <v>[effect:dis_panel, target:block_yellow, turn:3, animation:enemy_dis_yellow]</v>
      </c>
      <c r="H40" s="63">
        <f t="shared" si="18"/>
        <v>9</v>
      </c>
      <c r="I40" s="63">
        <f t="shared" si="19"/>
        <v>18</v>
      </c>
      <c r="J40" s="63">
        <f t="shared" si="20"/>
        <v>27</v>
      </c>
      <c r="K40" s="63">
        <f t="shared" si="21"/>
        <v>39</v>
      </c>
      <c r="L40" s="63" t="str">
        <f>IFERROR(VLOOKUP(MID(G40,J40,K40-J40),[5]skilldef!$C:$D,2,FALSE),"-") &amp; " / " &amp; IFERROR(VLOOKUP(MID(G40,H40,I40-H40),[5]skilldef!$A:$B,2,FALSE),"-")</f>
        <v>黄色パネルを / ディスパネル</v>
      </c>
      <c r="M40" s="63" t="str">
        <f t="shared" si="22"/>
        <v>[effect:rush, count:1, val:1.1]</v>
      </c>
      <c r="N40" s="48" t="str">
        <f>IFERROR(LEFT(M40,FIND("],",M40)+S49),M40)</f>
        <v>[effect:rush, count:1, val:1.1]</v>
      </c>
      <c r="O40" s="63">
        <f t="shared" si="23"/>
        <v>9</v>
      </c>
      <c r="P40" s="63">
        <f t="shared" si="24"/>
        <v>13</v>
      </c>
      <c r="Q40" s="63" t="e">
        <f t="shared" si="25"/>
        <v>#VALUE!</v>
      </c>
      <c r="R40" s="63">
        <f t="shared" si="26"/>
        <v>22</v>
      </c>
      <c r="S40" s="63" t="str">
        <f>IFERROR(VLOOKUP(MID(N40,Q40,R40-Q40),[5]skilldef!$C:$D,2,FALSE),"-") &amp; " / " &amp; IFERROR(VLOOKUP(MID(N40,O40,P40-O40),[5]skilldef!$A:$B,2,FALSE),"-")</f>
        <v>- / 連続攻撃</v>
      </c>
      <c r="T40" s="48" t="str">
        <f t="shared" si="27"/>
        <v>none</v>
      </c>
      <c r="U40" s="63" t="e">
        <f t="shared" si="28"/>
        <v>#VALUE!</v>
      </c>
      <c r="V40" s="63">
        <f t="shared" si="29"/>
        <v>4</v>
      </c>
      <c r="W40" s="63" t="e">
        <f t="shared" si="30"/>
        <v>#VALUE!</v>
      </c>
      <c r="X40" s="63" t="e">
        <f t="shared" si="31"/>
        <v>#VALUE!</v>
      </c>
      <c r="Y40" s="63" t="str">
        <f>IFERROR(VLOOKUP(MID(T40,W40,X40-W40),[5]skilldef!$C:$D,2,FALSE),"-") &amp; " / " &amp; IFERROR(VLOOKUP(MID(T40,U40,V40-U40),[5]skilldef!$A:$B,2,FALSE),"-")</f>
        <v>- / -</v>
      </c>
      <c r="Z40" s="50"/>
      <c r="AA40" s="52"/>
      <c r="AB40" s="50"/>
    </row>
    <row r="41" spans="1:28" ht="21" customHeight="1" x14ac:dyDescent="0.15">
      <c r="A41" s="47">
        <v>50005041</v>
      </c>
      <c r="B41" s="47" t="s">
        <v>314</v>
      </c>
      <c r="C41" s="50">
        <v>3</v>
      </c>
      <c r="D41" s="50" t="s">
        <v>126</v>
      </c>
      <c r="E41" s="51" t="s">
        <v>358</v>
      </c>
      <c r="F41" s="51" t="s">
        <v>291</v>
      </c>
      <c r="G41" s="63" t="str">
        <f t="shared" si="17"/>
        <v>[effect:panel_freeze, target:block_red, count:30]</v>
      </c>
      <c r="H41" s="63">
        <f t="shared" si="18"/>
        <v>9</v>
      </c>
      <c r="I41" s="63">
        <f t="shared" si="19"/>
        <v>21</v>
      </c>
      <c r="J41" s="63">
        <f t="shared" si="20"/>
        <v>30</v>
      </c>
      <c r="K41" s="63">
        <f t="shared" si="21"/>
        <v>39</v>
      </c>
      <c r="L41" s="63" t="str">
        <f>IFERROR(VLOOKUP(MID(G41,J41,K41-J41),[5]skilldef!$C:$D,2,FALSE),"-") &amp; " / " &amp; IFERROR(VLOOKUP(MID(G41,H41,I41-H41),[5]skilldef!$A:$B,2,FALSE),"-")</f>
        <v>赤パネルを / -</v>
      </c>
      <c r="M41" s="63" t="str">
        <f t="shared" si="22"/>
        <v>[effect:break_attack, val:0.1, lowest_val:6000, count:-1, block:block_yellow, target:unit_one]</v>
      </c>
      <c r="N41" s="48" t="str">
        <f>IFERROR(LEFT(M41,FIND("],",M41)+S50),M41)</f>
        <v>[effect:break_attack, val:0.1, lowest_val:6000, count:-1, block:block_yellow, target:unit_one]</v>
      </c>
      <c r="O41" s="63">
        <f t="shared" si="23"/>
        <v>9</v>
      </c>
      <c r="P41" s="63">
        <f t="shared" si="24"/>
        <v>21</v>
      </c>
      <c r="Q41" s="63">
        <f t="shared" si="25"/>
        <v>86</v>
      </c>
      <c r="R41" s="63">
        <f t="shared" si="26"/>
        <v>30</v>
      </c>
      <c r="S41" s="63" t="str">
        <f>IFERROR(VLOOKUP(MID(N41,Q41,R41-Q41),[5]skilldef!$C:$D,2,FALSE),"-") &amp; " / " &amp; IFERROR(VLOOKUP(MID(N41,O41,P41-O41),[5]skilldef!$A:$B,2,FALSE),"-")</f>
        <v>- / -</v>
      </c>
      <c r="T41" s="48" t="str">
        <f t="shared" si="27"/>
        <v>none</v>
      </c>
      <c r="U41" s="63" t="e">
        <f t="shared" si="28"/>
        <v>#VALUE!</v>
      </c>
      <c r="V41" s="63">
        <f t="shared" si="29"/>
        <v>4</v>
      </c>
      <c r="W41" s="63" t="e">
        <f t="shared" si="30"/>
        <v>#VALUE!</v>
      </c>
      <c r="X41" s="63" t="e">
        <f t="shared" si="31"/>
        <v>#VALUE!</v>
      </c>
      <c r="Y41" s="63" t="str">
        <f>IFERROR(VLOOKUP(MID(T41,W41,X41-W41),[5]skilldef!$C:$D,2,FALSE),"-") &amp; " / " &amp; IFERROR(VLOOKUP(MID(T41,U41,V41-U41),[5]skilldef!$A:$B,2,FALSE),"-")</f>
        <v>- / -</v>
      </c>
      <c r="Z41" s="50"/>
      <c r="AA41" s="52"/>
      <c r="AB41" s="50"/>
    </row>
    <row r="42" spans="1:28" ht="21" customHeight="1" x14ac:dyDescent="0.15">
      <c r="A42" s="47">
        <v>50005042</v>
      </c>
      <c r="B42" s="47" t="s">
        <v>315</v>
      </c>
      <c r="C42" s="50">
        <v>3</v>
      </c>
      <c r="D42" s="50" t="s">
        <v>126</v>
      </c>
      <c r="E42" s="51" t="s">
        <v>358</v>
      </c>
      <c r="F42" s="51" t="s">
        <v>292</v>
      </c>
      <c r="G42" s="63" t="str">
        <f t="shared" si="17"/>
        <v>[effect:panel_freeze, target:block_yellow, count:30]</v>
      </c>
      <c r="H42" s="63">
        <f t="shared" si="18"/>
        <v>9</v>
      </c>
      <c r="I42" s="63">
        <f t="shared" si="19"/>
        <v>21</v>
      </c>
      <c r="J42" s="63">
        <f t="shared" si="20"/>
        <v>30</v>
      </c>
      <c r="K42" s="63">
        <f t="shared" si="21"/>
        <v>42</v>
      </c>
      <c r="L42" s="63" t="str">
        <f>IFERROR(VLOOKUP(MID(G42,J42,K42-J42),[5]skilldef!$C:$D,2,FALSE),"-") &amp; " / " &amp; IFERROR(VLOOKUP(MID(G42,H42,I42-H42),[5]skilldef!$A:$B,2,FALSE),"-")</f>
        <v>黄色パネルを / -</v>
      </c>
      <c r="M42" s="63" t="str">
        <f t="shared" si="22"/>
        <v>[effect:break_attack, val:0.1, lowest_val:6000, count:-1, block:block_red, target:unit_one]</v>
      </c>
      <c r="N42" s="48" t="str">
        <f>IFERROR(LEFT(M42,FIND("],",M42)+S51),M42)</f>
        <v>[effect:break_attack, val:0.1, lowest_val:6000, count:-1, block:block_red, target:unit_one]</v>
      </c>
      <c r="O42" s="63">
        <f t="shared" si="23"/>
        <v>9</v>
      </c>
      <c r="P42" s="63">
        <f t="shared" si="24"/>
        <v>21</v>
      </c>
      <c r="Q42" s="63">
        <f t="shared" si="25"/>
        <v>83</v>
      </c>
      <c r="R42" s="63">
        <f t="shared" si="26"/>
        <v>30</v>
      </c>
      <c r="S42" s="63" t="str">
        <f>IFERROR(VLOOKUP(MID(N42,Q42,R42-Q42),[5]skilldef!$C:$D,2,FALSE),"-") &amp; " / " &amp; IFERROR(VLOOKUP(MID(N42,O42,P42-O42),[5]skilldef!$A:$B,2,FALSE),"-")</f>
        <v>- / -</v>
      </c>
      <c r="T42" s="48" t="str">
        <f t="shared" si="27"/>
        <v>none</v>
      </c>
      <c r="U42" s="63" t="e">
        <f t="shared" si="28"/>
        <v>#VALUE!</v>
      </c>
      <c r="V42" s="63">
        <f t="shared" si="29"/>
        <v>4</v>
      </c>
      <c r="W42" s="63" t="e">
        <f t="shared" si="30"/>
        <v>#VALUE!</v>
      </c>
      <c r="X42" s="63" t="e">
        <f t="shared" si="31"/>
        <v>#VALUE!</v>
      </c>
      <c r="Y42" s="63" t="str">
        <f>IFERROR(VLOOKUP(MID(T42,W42,X42-W42),[5]skilldef!$C:$D,2,FALSE),"-") &amp; " / " &amp; IFERROR(VLOOKUP(MID(T42,U42,V42-U42),[5]skilldef!$A:$B,2,FALSE),"-")</f>
        <v>- / -</v>
      </c>
      <c r="Z42" s="50"/>
      <c r="AA42" s="52"/>
      <c r="AB42" s="50"/>
    </row>
    <row r="43" spans="1:28" ht="21" customHeight="1" x14ac:dyDescent="0.15">
      <c r="A43" s="47">
        <v>50005043</v>
      </c>
      <c r="B43" s="47" t="s">
        <v>431</v>
      </c>
      <c r="C43" s="50">
        <v>3</v>
      </c>
      <c r="D43" s="50" t="s">
        <v>126</v>
      </c>
      <c r="E43" s="51" t="s">
        <v>398</v>
      </c>
      <c r="F43" s="51" t="s">
        <v>288</v>
      </c>
      <c r="G43" s="63" t="str">
        <f t="shared" si="17"/>
        <v>[effect:dark, target:unit_all, turn:5, animation:enemy_dark]</v>
      </c>
      <c r="H43" s="63">
        <f t="shared" si="18"/>
        <v>9</v>
      </c>
      <c r="I43" s="63">
        <f t="shared" si="19"/>
        <v>13</v>
      </c>
      <c r="J43" s="63">
        <f t="shared" si="20"/>
        <v>22</v>
      </c>
      <c r="K43" s="63">
        <f t="shared" si="21"/>
        <v>30</v>
      </c>
      <c r="L43" s="63" t="str">
        <f>IFERROR(VLOOKUP(MID(G43,J43,K43-J43),[5]skilldef!$C:$D,2,FALSE),"-") &amp; " / " &amp; IFERROR(VLOOKUP(MID(G43,H43,I43-H43),[5]skilldef!$A:$B,2,FALSE),"-")</f>
        <v>味方全体に / 暗黒</v>
      </c>
      <c r="M43" s="63" t="str">
        <f t="shared" si="22"/>
        <v>[effect:crash_condition, target:unit_all, val:6, turn:5],[effect:enemy_message, val1:1, val2:2]</v>
      </c>
      <c r="N43" s="48" t="str">
        <f>IFERROR(LEFT(M43,FIND("],",M43)+S52),M43)</f>
        <v>[effect:crash_condition, target:unit_all, val:6, turn:5],[effect:enemy_message, val1:1, val2:2]</v>
      </c>
      <c r="O43" s="63">
        <f t="shared" si="23"/>
        <v>9</v>
      </c>
      <c r="P43" s="63">
        <f t="shared" si="24"/>
        <v>24</v>
      </c>
      <c r="Q43" s="63">
        <f t="shared" si="25"/>
        <v>33</v>
      </c>
      <c r="R43" s="63">
        <f t="shared" si="26"/>
        <v>41</v>
      </c>
      <c r="S43" s="63" t="str">
        <f>IFERROR(VLOOKUP(MID(N43,Q43,R43-Q43),[5]skilldef!$C:$D,2,FALSE),"-") &amp; " / " &amp; IFERROR(VLOOKUP(MID(N43,O43,P43-O43),[5]skilldef!$A:$B,2,FALSE),"-")</f>
        <v>味方全体に / -</v>
      </c>
      <c r="T43" s="48" t="str">
        <f t="shared" si="27"/>
        <v>[effect:enemy_message, val1:1, val2:2]</v>
      </c>
      <c r="U43" s="63">
        <f t="shared" si="28"/>
        <v>9</v>
      </c>
      <c r="V43" s="63">
        <f t="shared" si="29"/>
        <v>22</v>
      </c>
      <c r="W43" s="63" t="e">
        <f t="shared" si="30"/>
        <v>#VALUE!</v>
      </c>
      <c r="X43" s="63">
        <f t="shared" si="31"/>
        <v>30</v>
      </c>
      <c r="Y43" s="63" t="str">
        <f>IFERROR(VLOOKUP(MID(T43,W43,X43-W43),[5]skilldef!$C:$D,2,FALSE),"-") &amp; " / " &amp; IFERROR(VLOOKUP(MID(T43,U43,V43-U43),[5]skilldef!$A:$B,2,FALSE),"-")</f>
        <v>- / -</v>
      </c>
      <c r="Z43" s="50"/>
      <c r="AA43" s="52"/>
      <c r="AB43" s="50"/>
    </row>
    <row r="44" spans="1:28" ht="21" customHeight="1" x14ac:dyDescent="0.15">
      <c r="A44" s="47">
        <v>50005044</v>
      </c>
      <c r="B44" s="47" t="s">
        <v>248</v>
      </c>
      <c r="C44" s="50">
        <v>3</v>
      </c>
      <c r="D44" s="50" t="s">
        <v>126</v>
      </c>
      <c r="E44" s="51" t="s">
        <v>363</v>
      </c>
      <c r="F44" s="51" t="s">
        <v>360</v>
      </c>
      <c r="G44" s="63" t="str">
        <f t="shared" si="17"/>
        <v>[effect:nothing]</v>
      </c>
      <c r="H44" s="63">
        <f t="shared" si="18"/>
        <v>9</v>
      </c>
      <c r="I44" s="63">
        <f t="shared" si="19"/>
        <v>16</v>
      </c>
      <c r="J44" s="63" t="e">
        <f t="shared" si="20"/>
        <v>#VALUE!</v>
      </c>
      <c r="K44" s="63" t="e">
        <f t="shared" si="21"/>
        <v>#VALUE!</v>
      </c>
      <c r="L44" s="63" t="str">
        <f>IFERROR(VLOOKUP(MID(G44,J44,K44-J44),[5]skilldef!$C:$D,2,FALSE),"-") &amp; " / " &amp; IFERROR(VLOOKUP(MID(G44,H44,I44-H44),[5]skilldef!$A:$B,2,FALSE),"-")</f>
        <v>- / 何もしない</v>
      </c>
      <c r="M44" s="63" t="str">
        <f t="shared" si="22"/>
        <v>none</v>
      </c>
      <c r="N44" s="48" t="str">
        <f>IFERROR(LEFT(M44,FIND("],",M44)+#REF!),M44)</f>
        <v>none</v>
      </c>
      <c r="O44" s="63" t="e">
        <f t="shared" si="23"/>
        <v>#VALUE!</v>
      </c>
      <c r="P44" s="63">
        <f t="shared" si="24"/>
        <v>4</v>
      </c>
      <c r="Q44" s="63" t="e">
        <f t="shared" si="25"/>
        <v>#VALUE!</v>
      </c>
      <c r="R44" s="63" t="e">
        <f t="shared" si="26"/>
        <v>#VALUE!</v>
      </c>
      <c r="S44" s="63" t="str">
        <f>IFERROR(VLOOKUP(MID(N44,Q44,R44-Q44),[5]skilldef!$C:$D,2,FALSE),"-") &amp; " / " &amp; IFERROR(VLOOKUP(MID(N44,O44,P44-O44),[5]skilldef!$A:$B,2,FALSE),"-")</f>
        <v>- / -</v>
      </c>
      <c r="T44" s="48" t="str">
        <f t="shared" si="27"/>
        <v>none</v>
      </c>
      <c r="U44" s="63" t="e">
        <f t="shared" si="28"/>
        <v>#VALUE!</v>
      </c>
      <c r="V44" s="63">
        <f t="shared" si="29"/>
        <v>4</v>
      </c>
      <c r="W44" s="63" t="e">
        <f t="shared" si="30"/>
        <v>#VALUE!</v>
      </c>
      <c r="X44" s="63" t="e">
        <f t="shared" si="31"/>
        <v>#VALUE!</v>
      </c>
      <c r="Y44" s="63" t="str">
        <f>IFERROR(VLOOKUP(MID(T44,W44,X44-W44),[5]skilldef!$C:$D,2,FALSE),"-") &amp; " / " &amp; IFERROR(VLOOKUP(MID(T44,U44,V44-U44),[5]skilldef!$A:$B,2,FALSE),"-")</f>
        <v>- / -</v>
      </c>
      <c r="Z44" s="50"/>
      <c r="AA44" s="52"/>
      <c r="AB44" s="50"/>
    </row>
    <row r="45" spans="1:28" ht="21" customHeight="1" x14ac:dyDescent="0.15">
      <c r="A45" s="47">
        <v>50005045</v>
      </c>
      <c r="B45" s="47" t="s">
        <v>271</v>
      </c>
      <c r="C45" s="50">
        <v>3</v>
      </c>
      <c r="D45" s="50" t="s">
        <v>126</v>
      </c>
      <c r="E45" s="51" t="s">
        <v>394</v>
      </c>
      <c r="F45" s="51" t="s">
        <v>393</v>
      </c>
      <c r="G45" s="63" t="str">
        <f t="shared" si="17"/>
        <v>[effect:hp_spend, val:1, animation:spend_hp]</v>
      </c>
      <c r="H45" s="63">
        <f t="shared" si="18"/>
        <v>9</v>
      </c>
      <c r="I45" s="63">
        <f t="shared" si="19"/>
        <v>17</v>
      </c>
      <c r="J45" s="63" t="e">
        <f t="shared" si="20"/>
        <v>#VALUE!</v>
      </c>
      <c r="K45" s="63">
        <f t="shared" si="21"/>
        <v>24</v>
      </c>
      <c r="L45" s="63" t="str">
        <f>IFERROR(VLOOKUP(MID(G45,J45,K45-J45),[5]skilldef!$C:$D,2,FALSE),"-") &amp; " / " &amp; IFERROR(VLOOKUP(MID(G45,H45,I45-H45),[5]skilldef!$A:$B,2,FALSE),"-")</f>
        <v>- / -</v>
      </c>
      <c r="M45" s="63" t="str">
        <f t="shared" si="22"/>
        <v>none</v>
      </c>
      <c r="N45" s="48" t="str">
        <f>IFERROR(LEFT(M45,FIND("],",M45)+S53),M45)</f>
        <v>none</v>
      </c>
      <c r="O45" s="63" t="e">
        <f t="shared" si="23"/>
        <v>#VALUE!</v>
      </c>
      <c r="P45" s="63">
        <f t="shared" si="24"/>
        <v>4</v>
      </c>
      <c r="Q45" s="63" t="e">
        <f t="shared" si="25"/>
        <v>#VALUE!</v>
      </c>
      <c r="R45" s="63" t="e">
        <f t="shared" si="26"/>
        <v>#VALUE!</v>
      </c>
      <c r="S45" s="63" t="str">
        <f>IFERROR(VLOOKUP(MID(N45,Q45,R45-Q45),[5]skilldef!$C:$D,2,FALSE),"-") &amp; " / " &amp; IFERROR(VLOOKUP(MID(N45,O45,P45-O45),[5]skilldef!$A:$B,2,FALSE),"-")</f>
        <v>- / -</v>
      </c>
      <c r="T45" s="48" t="str">
        <f t="shared" si="27"/>
        <v>none</v>
      </c>
      <c r="U45" s="63" t="e">
        <f t="shared" si="28"/>
        <v>#VALUE!</v>
      </c>
      <c r="V45" s="63">
        <f t="shared" si="29"/>
        <v>4</v>
      </c>
      <c r="W45" s="63" t="e">
        <f t="shared" si="30"/>
        <v>#VALUE!</v>
      </c>
      <c r="X45" s="63" t="e">
        <f t="shared" si="31"/>
        <v>#VALUE!</v>
      </c>
      <c r="Y45" s="63" t="str">
        <f>IFERROR(VLOOKUP(MID(T45,W45,X45-W45),[5]skilldef!$C:$D,2,FALSE),"-") &amp; " / " &amp; IFERROR(VLOOKUP(MID(T45,U45,V45-U45),[5]skilldef!$A:$B,2,FALSE),"-")</f>
        <v>- / -</v>
      </c>
      <c r="Z45" s="50"/>
      <c r="AA45" s="52"/>
      <c r="AB45" s="50"/>
    </row>
    <row r="46" spans="1:28" ht="21" customHeight="1" x14ac:dyDescent="0.15">
      <c r="A46" s="47">
        <v>50005047</v>
      </c>
      <c r="B46" s="47" t="s">
        <v>385</v>
      </c>
      <c r="C46" s="50">
        <v>3</v>
      </c>
      <c r="D46" s="50" t="s">
        <v>126</v>
      </c>
      <c r="E46" s="51" t="s">
        <v>368</v>
      </c>
      <c r="F46" s="51" t="s">
        <v>406</v>
      </c>
      <c r="G46" s="63" t="str">
        <f t="shared" si="17"/>
        <v>[effect:enemy_message, val1:1.0, val2:2.6, dead_type:escape]</v>
      </c>
      <c r="H46" s="63">
        <f t="shared" si="18"/>
        <v>9</v>
      </c>
      <c r="I46" s="63">
        <f t="shared" si="19"/>
        <v>22</v>
      </c>
      <c r="J46" s="63" t="e">
        <f t="shared" si="20"/>
        <v>#VALUE!</v>
      </c>
      <c r="K46" s="63">
        <f t="shared" si="21"/>
        <v>32</v>
      </c>
      <c r="L46" s="63" t="str">
        <f>IFERROR(VLOOKUP(MID(G46,J46,K46-J46),[5]skilldef!$C:$D,2,FALSE),"-") &amp; " / " &amp; IFERROR(VLOOKUP(MID(G46,H46,I46-H46),[5]skilldef!$A:$B,2,FALSE),"-")</f>
        <v>- / -</v>
      </c>
      <c r="M46" s="63" t="str">
        <f t="shared" si="22"/>
        <v>[effect:fix_speed, target:myself, turn:1],[effect:tolerance, target:myself, turn:-1, tolerance_effect:all, count:-1, animation:enemy_tolerance],[effect:enhance_fever, val:1000.0, animation:fevergauge_up04]</v>
      </c>
      <c r="N46" s="48" t="str">
        <f>IFERROR(LEFT(M46,FIND("],",M46)+S55),M46)</f>
        <v>[effect:fix_speed, target:myself, turn:1],[effect:tolerance, target:myself, turn:-1, tolerance_effect:all, count:-1, animation:enemy_tolerance],[effect:enhance_fever, val:1000.0, animation:fevergauge_up04]</v>
      </c>
      <c r="O46" s="63">
        <f t="shared" si="23"/>
        <v>9</v>
      </c>
      <c r="P46" s="63">
        <f t="shared" si="24"/>
        <v>18</v>
      </c>
      <c r="Q46" s="63">
        <f t="shared" si="25"/>
        <v>27</v>
      </c>
      <c r="R46" s="63">
        <f t="shared" si="26"/>
        <v>33</v>
      </c>
      <c r="S46" s="63" t="str">
        <f>IFERROR(VLOOKUP(MID(N46,Q46,R46-Q46),[5]skilldef!$C:$D,2,FALSE),"-") &amp; " / " &amp; IFERROR(VLOOKUP(MID(N46,O46,P46-O46),[5]skilldef!$A:$B,2,FALSE),"-")</f>
        <v>自分自身に / 行動値設定</v>
      </c>
      <c r="T46" s="48" t="str">
        <f t="shared" si="27"/>
        <v>[effect:tolerance, target:myself, turn:-1, tolerance_effect:all, count:-1, animation:enemy_tolerance],[effect:enhance_fever, val:1000.0, animation:fevergauge_up04]</v>
      </c>
      <c r="U46" s="63">
        <f t="shared" si="28"/>
        <v>9</v>
      </c>
      <c r="V46" s="63">
        <f t="shared" si="29"/>
        <v>18</v>
      </c>
      <c r="W46" s="63">
        <f t="shared" si="30"/>
        <v>27</v>
      </c>
      <c r="X46" s="63">
        <f t="shared" si="31"/>
        <v>33</v>
      </c>
      <c r="Y46" s="63" t="str">
        <f>IFERROR(VLOOKUP(MID(T46,W46,X46-W46),[5]skilldef!$C:$D,2,FALSE),"-") &amp; " / " &amp; IFERROR(VLOOKUP(MID(T46,U46,V46-U46),[5]skilldef!$A:$B,2,FALSE),"-")</f>
        <v>自分自身に / 状態異常耐性</v>
      </c>
      <c r="Z46" s="50"/>
      <c r="AA46" s="52"/>
      <c r="AB46" s="50"/>
    </row>
    <row r="47" spans="1:28" ht="21" customHeight="1" x14ac:dyDescent="0.15">
      <c r="A47" s="47">
        <v>50005048</v>
      </c>
      <c r="B47" s="47" t="s">
        <v>440</v>
      </c>
      <c r="C47" s="50">
        <v>3</v>
      </c>
      <c r="D47" s="50" t="s">
        <v>126</v>
      </c>
      <c r="E47" s="51" t="s">
        <v>369</v>
      </c>
      <c r="F47" s="51" t="s">
        <v>293</v>
      </c>
      <c r="G47" s="63" t="str">
        <f t="shared" si="17"/>
        <v>[effect:force_change_block, new_block:jammer, target:block_all,  ignore01:crash, ignore02:jammer, ignore03:color_break, ignore04:magnet, count:6, val:0, animation:change_block]</v>
      </c>
      <c r="H47" s="63">
        <f t="shared" si="18"/>
        <v>9</v>
      </c>
      <c r="I47" s="63">
        <f t="shared" si="19"/>
        <v>27</v>
      </c>
      <c r="J47" s="63">
        <f t="shared" si="20"/>
        <v>54</v>
      </c>
      <c r="K47" s="63">
        <f t="shared" si="21"/>
        <v>45</v>
      </c>
      <c r="L47" s="63" t="str">
        <f>IFERROR(VLOOKUP(MID(G47,J47,K47-J47),[5]skilldef!$C:$D,2,FALSE),"-") &amp; " / " &amp; IFERROR(VLOOKUP(MID(G47,H47,I47-H47),[5]skilldef!$A:$B,2,FALSE),"-")</f>
        <v>- / -</v>
      </c>
      <c r="M47" s="63" t="str">
        <f t="shared" si="22"/>
        <v>[effect:rush, count:1, val:0.9]</v>
      </c>
      <c r="N47" s="48" t="str">
        <f>IFERROR(LEFT(M47,FIND("],",M47)+S56),M47)</f>
        <v>[effect:rush, count:1, val:0.9]</v>
      </c>
      <c r="O47" s="63">
        <f t="shared" si="23"/>
        <v>9</v>
      </c>
      <c r="P47" s="63">
        <f t="shared" si="24"/>
        <v>13</v>
      </c>
      <c r="Q47" s="63" t="e">
        <f t="shared" si="25"/>
        <v>#VALUE!</v>
      </c>
      <c r="R47" s="63">
        <f t="shared" si="26"/>
        <v>22</v>
      </c>
      <c r="S47" s="63" t="str">
        <f>IFERROR(VLOOKUP(MID(N47,Q47,R47-Q47),[5]skilldef!$C:$D,2,FALSE),"-") &amp; " / " &amp; IFERROR(VLOOKUP(MID(N47,O47,P47-O47),[5]skilldef!$A:$B,2,FALSE),"-")</f>
        <v>- / 連続攻撃</v>
      </c>
      <c r="T47" s="48" t="str">
        <f t="shared" si="27"/>
        <v>none</v>
      </c>
      <c r="U47" s="63" t="e">
        <f t="shared" si="28"/>
        <v>#VALUE!</v>
      </c>
      <c r="V47" s="63">
        <f t="shared" si="29"/>
        <v>4</v>
      </c>
      <c r="W47" s="63" t="e">
        <f t="shared" si="30"/>
        <v>#VALUE!</v>
      </c>
      <c r="X47" s="63" t="e">
        <f t="shared" si="31"/>
        <v>#VALUE!</v>
      </c>
      <c r="Y47" s="63" t="str">
        <f>IFERROR(VLOOKUP(MID(T47,W47,X47-W47),[5]skilldef!$C:$D,2,FALSE),"-") &amp; " / " &amp; IFERROR(VLOOKUP(MID(T47,U47,V47-U47),[5]skilldef!$A:$B,2,FALSE),"-")</f>
        <v>- / -</v>
      </c>
      <c r="Z47" s="50"/>
      <c r="AA47" s="52"/>
      <c r="AB47" s="50"/>
    </row>
    <row r="48" spans="1:28" ht="21" customHeight="1" x14ac:dyDescent="0.15">
      <c r="A48" s="47">
        <v>50005049</v>
      </c>
      <c r="B48" s="47" t="s">
        <v>441</v>
      </c>
      <c r="C48" s="50">
        <v>3</v>
      </c>
      <c r="D48" s="50" t="s">
        <v>126</v>
      </c>
      <c r="E48" s="51" t="s">
        <v>370</v>
      </c>
      <c r="F48" s="51" t="s">
        <v>313</v>
      </c>
      <c r="G48" s="63" t="str">
        <f t="shared" si="17"/>
        <v>[effect:force_change_block, new_block:jammer, target:block_all, ignore01:crash, ignore02:jammer, ignore03:color_break, ignore04:magnet, count:4, val:0, animation:change_block]</v>
      </c>
      <c r="H48" s="63">
        <f t="shared" si="18"/>
        <v>9</v>
      </c>
      <c r="I48" s="63">
        <f t="shared" si="19"/>
        <v>27</v>
      </c>
      <c r="J48" s="63">
        <f t="shared" si="20"/>
        <v>54</v>
      </c>
      <c r="K48" s="63">
        <f t="shared" si="21"/>
        <v>45</v>
      </c>
      <c r="L48" s="63" t="str">
        <f>IFERROR(VLOOKUP(MID(G48,J48,K48-J48),[5]skilldef!$C:$D,2,FALSE),"-") &amp; " / " &amp; IFERROR(VLOOKUP(MID(G48,H48,I48-H48),[5]skilldef!$A:$B,2,FALSE),"-")</f>
        <v>- / -</v>
      </c>
      <c r="M48" s="63" t="str">
        <f t="shared" si="22"/>
        <v>[effect:spread, val:0.25]</v>
      </c>
      <c r="N48" s="48" t="str">
        <f>IFERROR(LEFT(M48,FIND("],",M48)+S57),M48)</f>
        <v>[effect:spread, val:0.25]</v>
      </c>
      <c r="O48" s="63">
        <f t="shared" si="23"/>
        <v>9</v>
      </c>
      <c r="P48" s="63">
        <f t="shared" si="24"/>
        <v>15</v>
      </c>
      <c r="Q48" s="63" t="e">
        <f t="shared" si="25"/>
        <v>#VALUE!</v>
      </c>
      <c r="R48" s="63" t="e">
        <f t="shared" si="26"/>
        <v>#VALUE!</v>
      </c>
      <c r="S48" s="63" t="str">
        <f>IFERROR(VLOOKUP(MID(N48,Q48,R48-Q48),[5]skilldef!$C:$D,2,FALSE),"-") &amp; " / " &amp; IFERROR(VLOOKUP(MID(N48,O48,P48-O48),[5]skilldef!$A:$B,2,FALSE),"-")</f>
        <v>- / 全体攻撃</v>
      </c>
      <c r="T48" s="48" t="str">
        <f t="shared" si="27"/>
        <v>none</v>
      </c>
      <c r="U48" s="63" t="e">
        <f t="shared" si="28"/>
        <v>#VALUE!</v>
      </c>
      <c r="V48" s="63">
        <f t="shared" si="29"/>
        <v>4</v>
      </c>
      <c r="W48" s="63" t="e">
        <f t="shared" si="30"/>
        <v>#VALUE!</v>
      </c>
      <c r="X48" s="63" t="e">
        <f t="shared" si="31"/>
        <v>#VALUE!</v>
      </c>
      <c r="Y48" s="63" t="str">
        <f>IFERROR(VLOOKUP(MID(T48,W48,X48-W48),[5]skilldef!$C:$D,2,FALSE),"-") &amp; " / " &amp; IFERROR(VLOOKUP(MID(T48,U48,V48-U48),[5]skilldef!$A:$B,2,FALSE),"-")</f>
        <v>- / -</v>
      </c>
      <c r="Z48" s="50"/>
      <c r="AA48" s="52"/>
      <c r="AB48" s="50"/>
    </row>
    <row r="49" spans="1:28" ht="21" customHeight="1" x14ac:dyDescent="0.15">
      <c r="A49" s="47">
        <v>50005050</v>
      </c>
      <c r="B49" s="47" t="s">
        <v>248</v>
      </c>
      <c r="C49" s="50">
        <v>3</v>
      </c>
      <c r="D49" s="50" t="s">
        <v>126</v>
      </c>
      <c r="E49" s="51" t="s">
        <v>397</v>
      </c>
      <c r="F49" s="51" t="s">
        <v>372</v>
      </c>
      <c r="G49" s="63" t="str">
        <f t="shared" si="17"/>
        <v>[effect:nothing]</v>
      </c>
      <c r="H49" s="63">
        <f t="shared" si="18"/>
        <v>9</v>
      </c>
      <c r="I49" s="63">
        <f t="shared" si="19"/>
        <v>16</v>
      </c>
      <c r="J49" s="63" t="e">
        <f t="shared" si="20"/>
        <v>#VALUE!</v>
      </c>
      <c r="K49" s="63" t="e">
        <f t="shared" si="21"/>
        <v>#VALUE!</v>
      </c>
      <c r="L49" s="63" t="str">
        <f>IFERROR(VLOOKUP(MID(G49,J49,K49-J49),[5]skilldef!$C:$D,2,FALSE),"-") &amp; " / " &amp; IFERROR(VLOOKUP(MID(G49,H49,I49-H49),[5]skilldef!$A:$B,2,FALSE),"-")</f>
        <v>- / 何もしない</v>
      </c>
      <c r="M49" s="63" t="str">
        <f t="shared" si="22"/>
        <v>none</v>
      </c>
      <c r="N49" s="48" t="str">
        <f>IFERROR(LEFT(M49,FIND("],",M49)+S58),M49)</f>
        <v>none</v>
      </c>
      <c r="O49" s="63" t="e">
        <f t="shared" si="23"/>
        <v>#VALUE!</v>
      </c>
      <c r="P49" s="63">
        <f t="shared" si="24"/>
        <v>4</v>
      </c>
      <c r="Q49" s="63" t="e">
        <f t="shared" si="25"/>
        <v>#VALUE!</v>
      </c>
      <c r="R49" s="63" t="e">
        <f t="shared" si="26"/>
        <v>#VALUE!</v>
      </c>
      <c r="S49" s="63" t="str">
        <f>IFERROR(VLOOKUP(MID(N49,Q49,R49-Q49),[5]skilldef!$C:$D,2,FALSE),"-") &amp; " / " &amp; IFERROR(VLOOKUP(MID(N49,O49,P49-O49),[5]skilldef!$A:$B,2,FALSE),"-")</f>
        <v>- / -</v>
      </c>
      <c r="T49" s="48" t="str">
        <f t="shared" si="27"/>
        <v>none</v>
      </c>
      <c r="U49" s="63" t="e">
        <f t="shared" si="28"/>
        <v>#VALUE!</v>
      </c>
      <c r="V49" s="63">
        <f t="shared" si="29"/>
        <v>4</v>
      </c>
      <c r="W49" s="63" t="e">
        <f t="shared" si="30"/>
        <v>#VALUE!</v>
      </c>
      <c r="X49" s="63" t="e">
        <f t="shared" si="31"/>
        <v>#VALUE!</v>
      </c>
      <c r="Y49" s="63" t="str">
        <f>IFERROR(VLOOKUP(MID(T49,W49,X49-W49),[5]skilldef!$C:$D,2,FALSE),"-") &amp; " / " &amp; IFERROR(VLOOKUP(MID(T49,U49,V49-U49),[5]skilldef!$A:$B,2,FALSE),"-")</f>
        <v>- / -</v>
      </c>
      <c r="Z49" s="50"/>
      <c r="AA49" s="52"/>
      <c r="AB49" s="50"/>
    </row>
    <row r="50" spans="1:28" ht="21" customHeight="1" x14ac:dyDescent="0.15">
      <c r="A50" s="47">
        <v>50005051</v>
      </c>
      <c r="B50" s="47" t="s">
        <v>442</v>
      </c>
      <c r="C50" s="50">
        <v>3</v>
      </c>
      <c r="D50" s="50" t="s">
        <v>126</v>
      </c>
      <c r="E50" s="51" t="s">
        <v>371</v>
      </c>
      <c r="F50" s="51" t="s">
        <v>262</v>
      </c>
      <c r="G50" s="63" t="str">
        <f t="shared" si="17"/>
        <v>[effect:force_change_block, new_block:jammer, target:block_all, ignore01:crash, ignore02:jammer, ignore03:color_break, ignore04:magnet, count:23, val:0, animation:change_block]</v>
      </c>
      <c r="H50" s="63">
        <f t="shared" si="18"/>
        <v>9</v>
      </c>
      <c r="I50" s="63">
        <f t="shared" si="19"/>
        <v>27</v>
      </c>
      <c r="J50" s="63">
        <f t="shared" si="20"/>
        <v>54</v>
      </c>
      <c r="K50" s="63">
        <f t="shared" si="21"/>
        <v>45</v>
      </c>
      <c r="L50" s="63" t="str">
        <f>IFERROR(VLOOKUP(MID(G50,J50,K50-J50),[5]skilldef!$C:$D,2,FALSE),"-") &amp; " / " &amp; IFERROR(VLOOKUP(MID(G50,H50,I50-H50),[5]skilldef!$A:$B,2,FALSE),"-")</f>
        <v>- / -</v>
      </c>
      <c r="M50" s="63" t="str">
        <f t="shared" si="22"/>
        <v>[effect:degrade_fever, val:500, animation:fevergauge_down]</v>
      </c>
      <c r="N50" s="48" t="str">
        <f>IFERROR(LEFT(M50,FIND("],",M50)+#REF!),M50)</f>
        <v>[effect:degrade_fever, val:500, animation:fevergauge_down]</v>
      </c>
      <c r="O50" s="63">
        <f t="shared" si="23"/>
        <v>9</v>
      </c>
      <c r="P50" s="63">
        <f t="shared" si="24"/>
        <v>22</v>
      </c>
      <c r="Q50" s="63" t="e">
        <f t="shared" si="25"/>
        <v>#VALUE!</v>
      </c>
      <c r="R50" s="63">
        <f t="shared" si="26"/>
        <v>31</v>
      </c>
      <c r="S50" s="63" t="str">
        <f>IFERROR(VLOOKUP(MID(N50,Q50,R50-Q50),[5]skilldef!$C:$D,2,FALSE),"-") &amp; " / " &amp; IFERROR(VLOOKUP(MID(N50,O50,P50-O50),[5]skilldef!$A:$B,2,FALSE),"-")</f>
        <v>- / フィーバーゲージ減少</v>
      </c>
      <c r="T50" s="48" t="str">
        <f t="shared" si="27"/>
        <v>none</v>
      </c>
      <c r="U50" s="63" t="e">
        <f t="shared" si="28"/>
        <v>#VALUE!</v>
      </c>
      <c r="V50" s="63">
        <f t="shared" si="29"/>
        <v>4</v>
      </c>
      <c r="W50" s="63" t="e">
        <f t="shared" si="30"/>
        <v>#VALUE!</v>
      </c>
      <c r="X50" s="63" t="e">
        <f t="shared" si="31"/>
        <v>#VALUE!</v>
      </c>
      <c r="Y50" s="63" t="str">
        <f>IFERROR(VLOOKUP(MID(T50,W50,X50-W50),[5]skilldef!$C:$D,2,FALSE),"-") &amp; " / " &amp; IFERROR(VLOOKUP(MID(T50,U50,V50-U50),[5]skilldef!$A:$B,2,FALSE),"-")</f>
        <v>- / -</v>
      </c>
      <c r="Z50" s="50"/>
      <c r="AA50" s="52"/>
      <c r="AB50" s="50"/>
    </row>
    <row r="51" spans="1:28" ht="21" customHeight="1" x14ac:dyDescent="0.15">
      <c r="A51" s="47">
        <v>50005052</v>
      </c>
      <c r="B51" s="47" t="s">
        <v>248</v>
      </c>
      <c r="C51" s="50">
        <v>3</v>
      </c>
      <c r="D51" s="50" t="s">
        <v>126</v>
      </c>
      <c r="E51" s="51" t="s">
        <v>362</v>
      </c>
      <c r="F51" s="51" t="s">
        <v>360</v>
      </c>
      <c r="G51" s="63" t="str">
        <f t="shared" si="17"/>
        <v>[effect:nothing]</v>
      </c>
      <c r="H51" s="63">
        <f t="shared" si="18"/>
        <v>9</v>
      </c>
      <c r="I51" s="63">
        <f t="shared" si="19"/>
        <v>16</v>
      </c>
      <c r="J51" s="63" t="e">
        <f t="shared" si="20"/>
        <v>#VALUE!</v>
      </c>
      <c r="K51" s="63" t="e">
        <f t="shared" si="21"/>
        <v>#VALUE!</v>
      </c>
      <c r="L51" s="63" t="str">
        <f>IFERROR(VLOOKUP(MID(G51,J51,K51-J51),[5]skilldef!$C:$D,2,FALSE),"-") &amp; " / " &amp; IFERROR(VLOOKUP(MID(G51,H51,I51-H51),[5]skilldef!$A:$B,2,FALSE),"-")</f>
        <v>- / 何もしない</v>
      </c>
      <c r="M51" s="63" t="str">
        <f t="shared" si="22"/>
        <v>none</v>
      </c>
      <c r="N51" s="48" t="str">
        <f>IFERROR(LEFT(M51,FIND("],",M51)+S59),M51)</f>
        <v>none</v>
      </c>
      <c r="O51" s="63" t="e">
        <f t="shared" si="23"/>
        <v>#VALUE!</v>
      </c>
      <c r="P51" s="63">
        <f t="shared" si="24"/>
        <v>4</v>
      </c>
      <c r="Q51" s="63" t="e">
        <f t="shared" si="25"/>
        <v>#VALUE!</v>
      </c>
      <c r="R51" s="63" t="e">
        <f t="shared" si="26"/>
        <v>#VALUE!</v>
      </c>
      <c r="S51" s="63" t="str">
        <f>IFERROR(VLOOKUP(MID(N51,Q51,R51-Q51),[5]skilldef!$C:$D,2,FALSE),"-") &amp; " / " &amp; IFERROR(VLOOKUP(MID(N51,O51,P51-O51),[5]skilldef!$A:$B,2,FALSE),"-")</f>
        <v>- / -</v>
      </c>
      <c r="T51" s="48" t="str">
        <f t="shared" si="27"/>
        <v>none</v>
      </c>
      <c r="U51" s="63" t="e">
        <f t="shared" si="28"/>
        <v>#VALUE!</v>
      </c>
      <c r="V51" s="63">
        <f t="shared" si="29"/>
        <v>4</v>
      </c>
      <c r="W51" s="63" t="e">
        <f t="shared" si="30"/>
        <v>#VALUE!</v>
      </c>
      <c r="X51" s="63" t="e">
        <f t="shared" si="31"/>
        <v>#VALUE!</v>
      </c>
      <c r="Y51" s="63" t="str">
        <f>IFERROR(VLOOKUP(MID(T51,W51,X51-W51),[5]skilldef!$C:$D,2,FALSE),"-") &amp; " / " &amp; IFERROR(VLOOKUP(MID(T51,U51,V51-U51),[5]skilldef!$A:$B,2,FALSE),"-")</f>
        <v>- / -</v>
      </c>
      <c r="Z51" s="50"/>
      <c r="AA51" s="52"/>
      <c r="AB51" s="50"/>
    </row>
    <row r="52" spans="1:28" ht="21" customHeight="1" x14ac:dyDescent="0.15">
      <c r="A52" s="47">
        <v>50005053</v>
      </c>
      <c r="B52" s="47" t="s">
        <v>287</v>
      </c>
      <c r="C52" s="50">
        <v>3</v>
      </c>
      <c r="D52" s="50" t="s">
        <v>126</v>
      </c>
      <c r="E52" s="51" t="s">
        <v>392</v>
      </c>
      <c r="F52" s="51" t="s">
        <v>361</v>
      </c>
      <c r="G52" s="63" t="str">
        <f t="shared" si="17"/>
        <v>[effect:hp_spend, val:1, animation:spend_hp]</v>
      </c>
      <c r="H52" s="63">
        <f t="shared" si="18"/>
        <v>9</v>
      </c>
      <c r="I52" s="63">
        <f t="shared" si="19"/>
        <v>17</v>
      </c>
      <c r="J52" s="63" t="e">
        <f t="shared" si="20"/>
        <v>#VALUE!</v>
      </c>
      <c r="K52" s="63">
        <f t="shared" si="21"/>
        <v>24</v>
      </c>
      <c r="L52" s="63" t="str">
        <f>IFERROR(VLOOKUP(MID(G52,J52,K52-J52),[5]skilldef!$C:$D,2,FALSE),"-") &amp; " / " &amp; IFERROR(VLOOKUP(MID(G52,H52,I52-H52),[5]skilldef!$A:$B,2,FALSE),"-")</f>
        <v>- / -</v>
      </c>
      <c r="M52" s="63" t="str">
        <f t="shared" si="22"/>
        <v>none</v>
      </c>
      <c r="N52" s="48" t="str">
        <f>IFERROR(LEFT(M52,FIND("],",M52)+S60),M52)</f>
        <v>none</v>
      </c>
      <c r="O52" s="63" t="e">
        <f t="shared" si="23"/>
        <v>#VALUE!</v>
      </c>
      <c r="P52" s="63">
        <f t="shared" si="24"/>
        <v>4</v>
      </c>
      <c r="Q52" s="63" t="e">
        <f t="shared" si="25"/>
        <v>#VALUE!</v>
      </c>
      <c r="R52" s="63" t="e">
        <f t="shared" si="26"/>
        <v>#VALUE!</v>
      </c>
      <c r="S52" s="63" t="str">
        <f>IFERROR(VLOOKUP(MID(N52,Q52,R52-Q52),[5]skilldef!$C:$D,2,FALSE),"-") &amp; " / " &amp; IFERROR(VLOOKUP(MID(N52,O52,P52-O52),[5]skilldef!$A:$B,2,FALSE),"-")</f>
        <v>- / -</v>
      </c>
      <c r="T52" s="48" t="str">
        <f t="shared" si="27"/>
        <v>none</v>
      </c>
      <c r="U52" s="63" t="e">
        <f t="shared" si="28"/>
        <v>#VALUE!</v>
      </c>
      <c r="V52" s="63">
        <f t="shared" si="29"/>
        <v>4</v>
      </c>
      <c r="W52" s="63" t="e">
        <f t="shared" si="30"/>
        <v>#VALUE!</v>
      </c>
      <c r="X52" s="63" t="e">
        <f t="shared" si="31"/>
        <v>#VALUE!</v>
      </c>
      <c r="Y52" s="63" t="str">
        <f>IFERROR(VLOOKUP(MID(T52,W52,X52-W52),[5]skilldef!$C:$D,2,FALSE),"-") &amp; " / " &amp; IFERROR(VLOOKUP(MID(T52,U52,V52-U52),[5]skilldef!$A:$B,2,FALSE),"-")</f>
        <v>- / -</v>
      </c>
      <c r="Z52" s="50"/>
      <c r="AA52" s="52"/>
      <c r="AB52" s="50"/>
    </row>
    <row r="53" spans="1:28" ht="21" customHeight="1" x14ac:dyDescent="0.15">
      <c r="A53" s="47">
        <v>50005055</v>
      </c>
      <c r="B53" s="47" t="s">
        <v>386</v>
      </c>
      <c r="C53" s="50">
        <v>3</v>
      </c>
      <c r="D53" s="50" t="s">
        <v>126</v>
      </c>
      <c r="E53" s="51" t="s">
        <v>399</v>
      </c>
      <c r="F53" s="51" t="s">
        <v>408</v>
      </c>
      <c r="G53" s="63" t="str">
        <f t="shared" si="17"/>
        <v>[effect:enemy_message, val1:1.0, val2:2.6, dead_type:escape]</v>
      </c>
      <c r="H53" s="63">
        <f t="shared" si="18"/>
        <v>9</v>
      </c>
      <c r="I53" s="63">
        <f t="shared" si="19"/>
        <v>22</v>
      </c>
      <c r="J53" s="63" t="e">
        <f t="shared" si="20"/>
        <v>#VALUE!</v>
      </c>
      <c r="K53" s="63">
        <f t="shared" si="21"/>
        <v>32</v>
      </c>
      <c r="L53" s="63" t="str">
        <f>IFERROR(VLOOKUP(MID(G53,J53,K53-J53),[5]skilldef!$C:$D,2,FALSE),"-") &amp; " / " &amp; IFERROR(VLOOKUP(MID(G53,H53,I53-H53),[5]skilldef!$A:$B,2,FALSE),"-")</f>
        <v>- / -</v>
      </c>
      <c r="M53" s="63" t="str">
        <f t="shared" si="22"/>
        <v>[effect:fix_speed, target:myself, turn:1],[effect:tolerance, target:myself, turn:-1, tolerance_effect:all, count:-1, animation:enemy_tolerance],[effect:force_change_block, new_block:block_heart, target:jammer, count:-1, val:0, animation:change_block]</v>
      </c>
      <c r="N53" s="48" t="str">
        <f>IFERROR(LEFT(M53,FIND("],",M53)+S62),M53)</f>
        <v>[effect:fix_speed, target:myself, turn:1],[effect:tolerance, target:myself, turn:-1, tolerance_effect:all, count:-1, animation:enemy_tolerance],[effect:force_change_block, new_block:block_heart, target:jammer, count:-1, val:0, animation:change_block]</v>
      </c>
      <c r="O53" s="63">
        <f t="shared" si="23"/>
        <v>9</v>
      </c>
      <c r="P53" s="63">
        <f t="shared" si="24"/>
        <v>18</v>
      </c>
      <c r="Q53" s="63">
        <f t="shared" si="25"/>
        <v>27</v>
      </c>
      <c r="R53" s="63">
        <f t="shared" si="26"/>
        <v>33</v>
      </c>
      <c r="S53" s="63" t="str">
        <f>IFERROR(VLOOKUP(MID(N53,Q53,R53-Q53),[5]skilldef!$C:$D,2,FALSE),"-") &amp; " / " &amp; IFERROR(VLOOKUP(MID(N53,O53,P53-O53),[5]skilldef!$A:$B,2,FALSE),"-")</f>
        <v>自分自身に / 行動値設定</v>
      </c>
      <c r="T53" s="48" t="str">
        <f t="shared" si="27"/>
        <v>[effect:tolerance, target:myself, turn:-1, tolerance_effect:all, count:-1, animation:enemy_tolerance],[effect:force_change_block, new_block:block_heart, target:jammer, count:-1, val:0, animation:change_block]</v>
      </c>
      <c r="U53" s="63">
        <f t="shared" si="28"/>
        <v>9</v>
      </c>
      <c r="V53" s="63">
        <f t="shared" si="29"/>
        <v>18</v>
      </c>
      <c r="W53" s="63">
        <f t="shared" si="30"/>
        <v>27</v>
      </c>
      <c r="X53" s="63">
        <f t="shared" si="31"/>
        <v>33</v>
      </c>
      <c r="Y53" s="63" t="str">
        <f>IFERROR(VLOOKUP(MID(T53,W53,X53-W53),[5]skilldef!$C:$D,2,FALSE),"-") &amp; " / " &amp; IFERROR(VLOOKUP(MID(T53,U53,V53-U53),[5]skilldef!$A:$B,2,FALSE),"-")</f>
        <v>自分自身に / 状態異常耐性</v>
      </c>
      <c r="Z53" s="50"/>
      <c r="AA53" s="52"/>
      <c r="AB53" s="50"/>
    </row>
    <row r="54" spans="1:28" ht="21" customHeight="1" x14ac:dyDescent="0.15">
      <c r="A54" s="47">
        <v>50005056</v>
      </c>
      <c r="B54" s="47" t="s">
        <v>388</v>
      </c>
      <c r="C54" s="50">
        <v>3</v>
      </c>
      <c r="D54" s="50" t="s">
        <v>126</v>
      </c>
      <c r="E54" s="51" t="s">
        <v>396</v>
      </c>
      <c r="F54" s="51" t="s">
        <v>379</v>
      </c>
      <c r="G54" s="63" t="str">
        <f t="shared" si="17"/>
        <v>[effect:hungup, target:unit_machine, turn:5, rate:1, animation:hungup01]</v>
      </c>
      <c r="H54" s="63">
        <f t="shared" si="18"/>
        <v>9</v>
      </c>
      <c r="I54" s="63">
        <f t="shared" si="19"/>
        <v>15</v>
      </c>
      <c r="J54" s="63">
        <f t="shared" si="20"/>
        <v>24</v>
      </c>
      <c r="K54" s="63">
        <f t="shared" si="21"/>
        <v>36</v>
      </c>
      <c r="L54" s="63" t="str">
        <f>IFERROR(VLOOKUP(MID(G54,J54,K54-J54),[5]skilldef!$C:$D,2,FALSE),"-") &amp; " / " &amp; IFERROR(VLOOKUP(MID(G54,H54,I54-H54),[5]skilldef!$A:$B,2,FALSE),"-")</f>
        <v>- / ハングアップ</v>
      </c>
      <c r="M54" s="63" t="str">
        <f t="shared" si="22"/>
        <v>[effect:spread, val:0.2]</v>
      </c>
      <c r="N54" s="48" t="str">
        <f>IFERROR(LEFT(M54,FIND("],",M54)+#REF!),M54)</f>
        <v>[effect:spread, val:0.2]</v>
      </c>
      <c r="O54" s="63">
        <f t="shared" si="23"/>
        <v>9</v>
      </c>
      <c r="P54" s="63">
        <f t="shared" si="24"/>
        <v>15</v>
      </c>
      <c r="Q54" s="63" t="e">
        <f t="shared" si="25"/>
        <v>#VALUE!</v>
      </c>
      <c r="R54" s="63" t="e">
        <f t="shared" si="26"/>
        <v>#VALUE!</v>
      </c>
      <c r="S54" s="63" t="str">
        <f>IFERROR(VLOOKUP(MID(N54,Q54,R54-Q54),[5]skilldef!$C:$D,2,FALSE),"-") &amp; " / " &amp; IFERROR(VLOOKUP(MID(N54,O54,P54-O54),[5]skilldef!$A:$B,2,FALSE),"-")</f>
        <v>- / 全体攻撃</v>
      </c>
      <c r="T54" s="48" t="str">
        <f t="shared" si="27"/>
        <v>none</v>
      </c>
      <c r="U54" s="63" t="e">
        <f t="shared" si="28"/>
        <v>#VALUE!</v>
      </c>
      <c r="V54" s="63">
        <f t="shared" si="29"/>
        <v>4</v>
      </c>
      <c r="W54" s="63" t="e">
        <f t="shared" si="30"/>
        <v>#VALUE!</v>
      </c>
      <c r="X54" s="63" t="e">
        <f t="shared" si="31"/>
        <v>#VALUE!</v>
      </c>
      <c r="Y54" s="63" t="str">
        <f>IFERROR(VLOOKUP(MID(T54,W54,X54-W54),[5]skilldef!$C:$D,2,FALSE),"-") &amp; " / " &amp; IFERROR(VLOOKUP(MID(T54,U54,V54-U54),[5]skilldef!$A:$B,2,FALSE),"-")</f>
        <v>- / -</v>
      </c>
      <c r="Z54" s="50"/>
      <c r="AA54" s="52"/>
      <c r="AB54" s="50"/>
    </row>
    <row r="55" spans="1:28" ht="21" customHeight="1" x14ac:dyDescent="0.15">
      <c r="A55" s="47">
        <v>50005057</v>
      </c>
      <c r="B55" s="47" t="s">
        <v>300</v>
      </c>
      <c r="C55" s="50">
        <v>3</v>
      </c>
      <c r="D55" s="50" t="s">
        <v>126</v>
      </c>
      <c r="E55" s="51" t="s">
        <v>373</v>
      </c>
      <c r="F55" s="51" t="s">
        <v>374</v>
      </c>
      <c r="G55" s="63" t="str">
        <f t="shared" si="17"/>
        <v>[effect:rush, count:1, val:1.0]</v>
      </c>
      <c r="H55" s="63">
        <f t="shared" si="18"/>
        <v>9</v>
      </c>
      <c r="I55" s="63">
        <f t="shared" si="19"/>
        <v>13</v>
      </c>
      <c r="J55" s="63" t="e">
        <f t="shared" si="20"/>
        <v>#VALUE!</v>
      </c>
      <c r="K55" s="63">
        <f t="shared" si="21"/>
        <v>22</v>
      </c>
      <c r="L55" s="63" t="str">
        <f>IFERROR(VLOOKUP(MID(G55,J55,K55-J55),[5]skilldef!$C:$D,2,FALSE),"-") &amp; " / " &amp; IFERROR(VLOOKUP(MID(G55,H55,I55-H55),[5]skilldef!$A:$B,2,FALSE),"-")</f>
        <v>- / 連続攻撃</v>
      </c>
      <c r="M55" s="63" t="str">
        <f t="shared" si="22"/>
        <v>none</v>
      </c>
      <c r="N55" s="48" t="str">
        <f>IFERROR(LEFT(M55,FIND("],",M55)+S63),M55)</f>
        <v>none</v>
      </c>
      <c r="O55" s="63" t="e">
        <f t="shared" si="23"/>
        <v>#VALUE!</v>
      </c>
      <c r="P55" s="63">
        <f t="shared" si="24"/>
        <v>4</v>
      </c>
      <c r="Q55" s="63" t="e">
        <f t="shared" si="25"/>
        <v>#VALUE!</v>
      </c>
      <c r="R55" s="63" t="e">
        <f t="shared" si="26"/>
        <v>#VALUE!</v>
      </c>
      <c r="S55" s="63" t="str">
        <f>IFERROR(VLOOKUP(MID(N55,Q55,R55-Q55),[5]skilldef!$C:$D,2,FALSE),"-") &amp; " / " &amp; IFERROR(VLOOKUP(MID(N55,O55,P55-O55),[5]skilldef!$A:$B,2,FALSE),"-")</f>
        <v>- / -</v>
      </c>
      <c r="T55" s="48" t="str">
        <f t="shared" si="27"/>
        <v>none</v>
      </c>
      <c r="U55" s="63" t="e">
        <f t="shared" si="28"/>
        <v>#VALUE!</v>
      </c>
      <c r="V55" s="63">
        <f t="shared" si="29"/>
        <v>4</v>
      </c>
      <c r="W55" s="63" t="e">
        <f t="shared" si="30"/>
        <v>#VALUE!</v>
      </c>
      <c r="X55" s="63" t="e">
        <f t="shared" si="31"/>
        <v>#VALUE!</v>
      </c>
      <c r="Y55" s="63" t="str">
        <f>IFERROR(VLOOKUP(MID(T55,W55,X55-W55),[5]skilldef!$C:$D,2,FALSE),"-") &amp; " / " &amp; IFERROR(VLOOKUP(MID(T55,U55,V55-U55),[5]skilldef!$A:$B,2,FALSE),"-")</f>
        <v>- / -</v>
      </c>
      <c r="Z55" s="50"/>
      <c r="AA55" s="52"/>
      <c r="AB55" s="50"/>
    </row>
    <row r="56" spans="1:28" ht="21" customHeight="1" x14ac:dyDescent="0.15">
      <c r="A56" s="47">
        <v>50005058</v>
      </c>
      <c r="B56" s="47" t="s">
        <v>301</v>
      </c>
      <c r="C56" s="50">
        <v>3</v>
      </c>
      <c r="D56" s="50" t="s">
        <v>126</v>
      </c>
      <c r="E56" s="51" t="s">
        <v>373</v>
      </c>
      <c r="F56" s="51" t="s">
        <v>374</v>
      </c>
      <c r="G56" s="63" t="str">
        <f t="shared" si="17"/>
        <v>[effect:critical, val:1.25]</v>
      </c>
      <c r="H56" s="63">
        <f t="shared" si="18"/>
        <v>9</v>
      </c>
      <c r="I56" s="63">
        <f t="shared" si="19"/>
        <v>17</v>
      </c>
      <c r="J56" s="63" t="e">
        <f t="shared" si="20"/>
        <v>#VALUE!</v>
      </c>
      <c r="K56" s="63" t="e">
        <f t="shared" si="21"/>
        <v>#VALUE!</v>
      </c>
      <c r="L56" s="63" t="str">
        <f>IFERROR(VLOOKUP(MID(G56,J56,K56-J56),[5]skilldef!$C:$D,2,FALSE),"-") &amp; " / " &amp; IFERROR(VLOOKUP(MID(G56,H56,I56-H56),[5]skilldef!$A:$B,2,FALSE),"-")</f>
        <v>- / 大攻撃</v>
      </c>
      <c r="M56" s="63" t="str">
        <f t="shared" si="22"/>
        <v>none</v>
      </c>
      <c r="N56" s="48" t="str">
        <f>IFERROR(LEFT(M56,FIND("],",M56)+S64),M56)</f>
        <v>none</v>
      </c>
      <c r="O56" s="63" t="e">
        <f t="shared" si="23"/>
        <v>#VALUE!</v>
      </c>
      <c r="P56" s="63">
        <f t="shared" si="24"/>
        <v>4</v>
      </c>
      <c r="Q56" s="63" t="e">
        <f t="shared" si="25"/>
        <v>#VALUE!</v>
      </c>
      <c r="R56" s="63" t="e">
        <f t="shared" si="26"/>
        <v>#VALUE!</v>
      </c>
      <c r="S56" s="63" t="str">
        <f>IFERROR(VLOOKUP(MID(N56,Q56,R56-Q56),[5]skilldef!$C:$D,2,FALSE),"-") &amp; " / " &amp; IFERROR(VLOOKUP(MID(N56,O56,P56-O56),[5]skilldef!$A:$B,2,FALSE),"-")</f>
        <v>- / -</v>
      </c>
      <c r="T56" s="48" t="str">
        <f t="shared" si="27"/>
        <v>none</v>
      </c>
      <c r="U56" s="63" t="e">
        <f t="shared" si="28"/>
        <v>#VALUE!</v>
      </c>
      <c r="V56" s="63">
        <f t="shared" si="29"/>
        <v>4</v>
      </c>
      <c r="W56" s="63" t="e">
        <f t="shared" si="30"/>
        <v>#VALUE!</v>
      </c>
      <c r="X56" s="63" t="e">
        <f t="shared" si="31"/>
        <v>#VALUE!</v>
      </c>
      <c r="Y56" s="63" t="str">
        <f>IFERROR(VLOOKUP(MID(T56,W56,X56-W56),[5]skilldef!$C:$D,2,FALSE),"-") &amp; " / " &amp; IFERROR(VLOOKUP(MID(T56,U56,V56-U56),[5]skilldef!$A:$B,2,FALSE),"-")</f>
        <v>- / -</v>
      </c>
      <c r="Z56" s="50"/>
      <c r="AA56" s="52"/>
      <c r="AB56" s="50"/>
    </row>
    <row r="57" spans="1:28" ht="21" customHeight="1" x14ac:dyDescent="0.15">
      <c r="A57" s="47">
        <v>50005059</v>
      </c>
      <c r="B57" s="47" t="s">
        <v>303</v>
      </c>
      <c r="C57" s="50">
        <v>3</v>
      </c>
      <c r="D57" s="50" t="s">
        <v>126</v>
      </c>
      <c r="E57" s="51" t="s">
        <v>373</v>
      </c>
      <c r="F57" s="51" t="s">
        <v>374</v>
      </c>
      <c r="G57" s="63" t="str">
        <f t="shared" si="17"/>
        <v>[effect:critical, val:1.5]</v>
      </c>
      <c r="H57" s="63">
        <f t="shared" si="18"/>
        <v>9</v>
      </c>
      <c r="I57" s="63">
        <f t="shared" si="19"/>
        <v>17</v>
      </c>
      <c r="J57" s="63" t="e">
        <f t="shared" si="20"/>
        <v>#VALUE!</v>
      </c>
      <c r="K57" s="63" t="e">
        <f t="shared" si="21"/>
        <v>#VALUE!</v>
      </c>
      <c r="L57" s="63" t="str">
        <f>IFERROR(VLOOKUP(MID(G57,J57,K57-J57),[5]skilldef!$C:$D,2,FALSE),"-") &amp; " / " &amp; IFERROR(VLOOKUP(MID(G57,H57,I57-H57),[5]skilldef!$A:$B,2,FALSE),"-")</f>
        <v>- / 大攻撃</v>
      </c>
      <c r="M57" s="63" t="str">
        <f t="shared" si="22"/>
        <v>none</v>
      </c>
      <c r="N57" s="48" t="str">
        <f>IFERROR(LEFT(M57,FIND("],",M57)+S65),M57)</f>
        <v>none</v>
      </c>
      <c r="O57" s="63" t="e">
        <f t="shared" si="23"/>
        <v>#VALUE!</v>
      </c>
      <c r="P57" s="63">
        <f t="shared" si="24"/>
        <v>4</v>
      </c>
      <c r="Q57" s="63" t="e">
        <f t="shared" si="25"/>
        <v>#VALUE!</v>
      </c>
      <c r="R57" s="63" t="e">
        <f t="shared" si="26"/>
        <v>#VALUE!</v>
      </c>
      <c r="S57" s="63" t="str">
        <f>IFERROR(VLOOKUP(MID(N57,Q57,R57-Q57),[5]skilldef!$C:$D,2,FALSE),"-") &amp; " / " &amp; IFERROR(VLOOKUP(MID(N57,O57,P57-O57),[5]skilldef!$A:$B,2,FALSE),"-")</f>
        <v>- / -</v>
      </c>
      <c r="T57" s="48" t="str">
        <f t="shared" si="27"/>
        <v>none</v>
      </c>
      <c r="U57" s="63" t="e">
        <f t="shared" si="28"/>
        <v>#VALUE!</v>
      </c>
      <c r="V57" s="63">
        <f t="shared" si="29"/>
        <v>4</v>
      </c>
      <c r="W57" s="63" t="e">
        <f t="shared" si="30"/>
        <v>#VALUE!</v>
      </c>
      <c r="X57" s="63" t="e">
        <f t="shared" si="31"/>
        <v>#VALUE!</v>
      </c>
      <c r="Y57" s="63" t="str">
        <f>IFERROR(VLOOKUP(MID(T57,W57,X57-W57),[5]skilldef!$C:$D,2,FALSE),"-") &amp; " / " &amp; IFERROR(VLOOKUP(MID(T57,U57,V57-U57),[5]skilldef!$A:$B,2,FALSE),"-")</f>
        <v>- / -</v>
      </c>
      <c r="Z57" s="50"/>
      <c r="AA57" s="52"/>
      <c r="AB57" s="50"/>
    </row>
    <row r="58" spans="1:28" ht="21" customHeight="1" x14ac:dyDescent="0.15">
      <c r="A58" s="47">
        <v>50005060</v>
      </c>
      <c r="B58" s="47" t="s">
        <v>304</v>
      </c>
      <c r="C58" s="50">
        <v>3</v>
      </c>
      <c r="D58" s="50" t="s">
        <v>126</v>
      </c>
      <c r="E58" s="51" t="s">
        <v>373</v>
      </c>
      <c r="F58" s="51" t="s">
        <v>374</v>
      </c>
      <c r="G58" s="63" t="str">
        <f t="shared" si="17"/>
        <v>[effect:critical, val:1.75]</v>
      </c>
      <c r="H58" s="63">
        <f t="shared" si="18"/>
        <v>9</v>
      </c>
      <c r="I58" s="63">
        <f t="shared" si="19"/>
        <v>17</v>
      </c>
      <c r="J58" s="63" t="e">
        <f t="shared" si="20"/>
        <v>#VALUE!</v>
      </c>
      <c r="K58" s="63" t="e">
        <f t="shared" si="21"/>
        <v>#VALUE!</v>
      </c>
      <c r="L58" s="63" t="str">
        <f>IFERROR(VLOOKUP(MID(G58,J58,K58-J58),[5]skilldef!$C:$D,2,FALSE),"-") &amp; " / " &amp; IFERROR(VLOOKUP(MID(G58,H58,I58-H58),[5]skilldef!$A:$B,2,FALSE),"-")</f>
        <v>- / 大攻撃</v>
      </c>
      <c r="M58" s="63" t="str">
        <f t="shared" si="22"/>
        <v>none</v>
      </c>
      <c r="N58" s="48" t="str">
        <f>IFERROR(LEFT(M58,FIND("],",M58)+S66),M58)</f>
        <v>none</v>
      </c>
      <c r="O58" s="63" t="e">
        <f t="shared" si="23"/>
        <v>#VALUE!</v>
      </c>
      <c r="P58" s="63">
        <f t="shared" si="24"/>
        <v>4</v>
      </c>
      <c r="Q58" s="63" t="e">
        <f t="shared" si="25"/>
        <v>#VALUE!</v>
      </c>
      <c r="R58" s="63" t="e">
        <f t="shared" si="26"/>
        <v>#VALUE!</v>
      </c>
      <c r="S58" s="63" t="str">
        <f>IFERROR(VLOOKUP(MID(N58,Q58,R58-Q58),[5]skilldef!$C:$D,2,FALSE),"-") &amp; " / " &amp; IFERROR(VLOOKUP(MID(N58,O58,P58-O58),[5]skilldef!$A:$B,2,FALSE),"-")</f>
        <v>- / -</v>
      </c>
      <c r="T58" s="48" t="str">
        <f t="shared" si="27"/>
        <v>none</v>
      </c>
      <c r="U58" s="63" t="e">
        <f t="shared" si="28"/>
        <v>#VALUE!</v>
      </c>
      <c r="V58" s="63">
        <f t="shared" si="29"/>
        <v>4</v>
      </c>
      <c r="W58" s="63" t="e">
        <f t="shared" si="30"/>
        <v>#VALUE!</v>
      </c>
      <c r="X58" s="63" t="e">
        <f t="shared" si="31"/>
        <v>#VALUE!</v>
      </c>
      <c r="Y58" s="63" t="str">
        <f>IFERROR(VLOOKUP(MID(T58,W58,X58-W58),[5]skilldef!$C:$D,2,FALSE),"-") &amp; " / " &amp; IFERROR(VLOOKUP(MID(T58,U58,V58-U58),[5]skilldef!$A:$B,2,FALSE),"-")</f>
        <v>- / -</v>
      </c>
      <c r="Z58" s="50"/>
      <c r="AA58" s="52"/>
      <c r="AB58" s="50"/>
    </row>
    <row r="59" spans="1:28" ht="21" customHeight="1" x14ac:dyDescent="0.15">
      <c r="A59" s="47">
        <v>50005062</v>
      </c>
      <c r="B59" s="47" t="s">
        <v>378</v>
      </c>
      <c r="C59" s="50">
        <v>3</v>
      </c>
      <c r="D59" s="50" t="s">
        <v>126</v>
      </c>
      <c r="E59" s="51" t="s">
        <v>365</v>
      </c>
      <c r="F59" s="51" t="s">
        <v>364</v>
      </c>
      <c r="G59" s="63" t="str">
        <f t="shared" si="17"/>
        <v>[effect:enemy_message, val1:1.0, val2:2.2, dead_type:escape]</v>
      </c>
      <c r="H59" s="63">
        <f t="shared" si="18"/>
        <v>9</v>
      </c>
      <c r="I59" s="63">
        <f t="shared" si="19"/>
        <v>22</v>
      </c>
      <c r="J59" s="63" t="e">
        <f t="shared" si="20"/>
        <v>#VALUE!</v>
      </c>
      <c r="K59" s="63">
        <f t="shared" si="21"/>
        <v>32</v>
      </c>
      <c r="L59" s="63" t="str">
        <f>IFERROR(VLOOKUP(MID(G59,J59,K59-J59),[5]skilldef!$C:$D,2,FALSE),"-") &amp; " / " &amp; IFERROR(VLOOKUP(MID(G59,H59,I59-H59),[5]skilldef!$A:$B,2,FALSE),"-")</f>
        <v>- / -</v>
      </c>
      <c r="M59" s="63" t="str">
        <f t="shared" si="22"/>
        <v>[effect:enhance_enemy, target:myself, turn:3, status:defense, val:15000, calc:add, animation:enemy_enhance_defense]</v>
      </c>
      <c r="N59" s="48" t="str">
        <f t="shared" ref="N59:N62" si="32">IFERROR(LEFT(M59,FIND("],",M59)+S68),M59)</f>
        <v>[effect:enhance_enemy, target:myself, turn:3, status:defense, val:15000, calc:add, animation:enemy_enhance_defense]</v>
      </c>
      <c r="O59" s="63">
        <f t="shared" si="23"/>
        <v>9</v>
      </c>
      <c r="P59" s="63">
        <f t="shared" si="24"/>
        <v>22</v>
      </c>
      <c r="Q59" s="63">
        <f t="shared" si="25"/>
        <v>31</v>
      </c>
      <c r="R59" s="63">
        <f t="shared" si="26"/>
        <v>37</v>
      </c>
      <c r="S59" s="63" t="str">
        <f>IFERROR(VLOOKUP(MID(N59,Q59,R59-Q59),[5]skilldef!$C:$D,2,FALSE),"-") &amp; " / " &amp; IFERROR(VLOOKUP(MID(N59,O59,P59-O59),[5]skilldef!$A:$B,2,FALSE),"-")</f>
        <v>自分自身に / ステータス強化</v>
      </c>
      <c r="T59" s="48" t="str">
        <f t="shared" si="27"/>
        <v>none</v>
      </c>
      <c r="U59" s="63" t="e">
        <f t="shared" si="28"/>
        <v>#VALUE!</v>
      </c>
      <c r="V59" s="63">
        <f t="shared" si="29"/>
        <v>4</v>
      </c>
      <c r="W59" s="63" t="e">
        <f t="shared" si="30"/>
        <v>#VALUE!</v>
      </c>
      <c r="X59" s="63" t="e">
        <f t="shared" si="31"/>
        <v>#VALUE!</v>
      </c>
      <c r="Y59" s="63" t="str">
        <f>IFERROR(VLOOKUP(MID(T59,W59,X59-W59),[5]skilldef!$C:$D,2,FALSE),"-") &amp; " / " &amp; IFERROR(VLOOKUP(MID(T59,U59,V59-U59),[5]skilldef!$A:$B,2,FALSE),"-")</f>
        <v>- / -</v>
      </c>
      <c r="Z59" s="50"/>
      <c r="AA59" s="52"/>
      <c r="AB59" s="50"/>
    </row>
    <row r="60" spans="1:28" ht="21" customHeight="1" x14ac:dyDescent="0.15">
      <c r="A60" s="47">
        <v>50005063</v>
      </c>
      <c r="B60" s="47" t="s">
        <v>248</v>
      </c>
      <c r="C60" s="50">
        <v>3</v>
      </c>
      <c r="D60" s="50" t="s">
        <v>126</v>
      </c>
      <c r="E60" s="51" t="s">
        <v>367</v>
      </c>
      <c r="F60" s="51" t="s">
        <v>360</v>
      </c>
      <c r="G60" s="63" t="str">
        <f t="shared" si="17"/>
        <v>[effect:nothing]</v>
      </c>
      <c r="H60" s="63">
        <f t="shared" si="18"/>
        <v>9</v>
      </c>
      <c r="I60" s="63">
        <f t="shared" si="19"/>
        <v>16</v>
      </c>
      <c r="J60" s="63" t="e">
        <f t="shared" si="20"/>
        <v>#VALUE!</v>
      </c>
      <c r="K60" s="63" t="e">
        <f t="shared" si="21"/>
        <v>#VALUE!</v>
      </c>
      <c r="L60" s="63" t="str">
        <f>IFERROR(VLOOKUP(MID(G60,J60,K60-J60),[5]skilldef!$C:$D,2,FALSE),"-") &amp; " / " &amp; IFERROR(VLOOKUP(MID(G60,H60,I60-H60),[5]skilldef!$A:$B,2,FALSE),"-")</f>
        <v>- / 何もしない</v>
      </c>
      <c r="M60" s="63" t="str">
        <f t="shared" si="22"/>
        <v>none</v>
      </c>
      <c r="N60" s="48" t="str">
        <f t="shared" si="32"/>
        <v>none</v>
      </c>
      <c r="O60" s="63" t="e">
        <f t="shared" si="23"/>
        <v>#VALUE!</v>
      </c>
      <c r="P60" s="63">
        <f t="shared" si="24"/>
        <v>4</v>
      </c>
      <c r="Q60" s="63" t="e">
        <f t="shared" si="25"/>
        <v>#VALUE!</v>
      </c>
      <c r="R60" s="63" t="e">
        <f t="shared" si="26"/>
        <v>#VALUE!</v>
      </c>
      <c r="S60" s="63" t="str">
        <f>IFERROR(VLOOKUP(MID(N60,Q60,R60-Q60),[5]skilldef!$C:$D,2,FALSE),"-") &amp; " / " &amp; IFERROR(VLOOKUP(MID(N60,O60,P60-O60),[5]skilldef!$A:$B,2,FALSE),"-")</f>
        <v>- / -</v>
      </c>
      <c r="T60" s="48" t="str">
        <f t="shared" si="27"/>
        <v>none</v>
      </c>
      <c r="U60" s="63" t="e">
        <f t="shared" si="28"/>
        <v>#VALUE!</v>
      </c>
      <c r="V60" s="63">
        <f t="shared" si="29"/>
        <v>4</v>
      </c>
      <c r="W60" s="63" t="e">
        <f t="shared" si="30"/>
        <v>#VALUE!</v>
      </c>
      <c r="X60" s="63" t="e">
        <f t="shared" si="31"/>
        <v>#VALUE!</v>
      </c>
      <c r="Y60" s="63" t="str">
        <f>IFERROR(VLOOKUP(MID(T60,W60,X60-W60),[5]skilldef!$C:$D,2,FALSE),"-") &amp; " / " &amp; IFERROR(VLOOKUP(MID(T60,U60,V60-U60),[5]skilldef!$A:$B,2,FALSE),"-")</f>
        <v>- / -</v>
      </c>
      <c r="Z60" s="50"/>
      <c r="AA60" s="52"/>
      <c r="AB60" s="50"/>
    </row>
    <row r="61" spans="1:28" ht="21" customHeight="1" x14ac:dyDescent="0.15">
      <c r="A61" s="47">
        <v>50005064</v>
      </c>
      <c r="B61" s="47" t="s">
        <v>271</v>
      </c>
      <c r="C61" s="50">
        <v>3</v>
      </c>
      <c r="D61" s="50" t="s">
        <v>126</v>
      </c>
      <c r="E61" s="51" t="s">
        <v>391</v>
      </c>
      <c r="F61" s="51" t="s">
        <v>376</v>
      </c>
      <c r="G61" s="63" t="str">
        <f t="shared" si="17"/>
        <v>[effect:hp_spend, val:1, animation:spend_hp]</v>
      </c>
      <c r="H61" s="63">
        <f t="shared" si="18"/>
        <v>9</v>
      </c>
      <c r="I61" s="63">
        <f t="shared" si="19"/>
        <v>17</v>
      </c>
      <c r="J61" s="63" t="e">
        <f t="shared" si="20"/>
        <v>#VALUE!</v>
      </c>
      <c r="K61" s="63">
        <f t="shared" si="21"/>
        <v>24</v>
      </c>
      <c r="L61" s="63" t="str">
        <f>IFERROR(VLOOKUP(MID(G61,J61,K61-J61),[5]skilldef!$C:$D,2,FALSE),"-") &amp; " / " &amp; IFERROR(VLOOKUP(MID(G61,H61,I61-H61),[5]skilldef!$A:$B,2,FALSE),"-")</f>
        <v>- / -</v>
      </c>
      <c r="M61" s="63" t="str">
        <f t="shared" si="22"/>
        <v>none</v>
      </c>
      <c r="N61" s="48" t="str">
        <f t="shared" si="32"/>
        <v>none</v>
      </c>
      <c r="O61" s="63" t="e">
        <f t="shared" si="23"/>
        <v>#VALUE!</v>
      </c>
      <c r="P61" s="63">
        <f t="shared" si="24"/>
        <v>4</v>
      </c>
      <c r="Q61" s="63" t="e">
        <f t="shared" si="25"/>
        <v>#VALUE!</v>
      </c>
      <c r="R61" s="63" t="e">
        <f t="shared" si="26"/>
        <v>#VALUE!</v>
      </c>
      <c r="S61" s="63" t="str">
        <f>IFERROR(VLOOKUP(MID(N61,Q61,R61-Q61),[5]skilldef!$C:$D,2,FALSE),"-") &amp; " / " &amp; IFERROR(VLOOKUP(MID(N61,O61,P61-O61),[5]skilldef!$A:$B,2,FALSE),"-")</f>
        <v>- / -</v>
      </c>
      <c r="T61" s="48" t="str">
        <f t="shared" si="27"/>
        <v>none</v>
      </c>
      <c r="U61" s="63" t="e">
        <f t="shared" si="28"/>
        <v>#VALUE!</v>
      </c>
      <c r="V61" s="63">
        <f t="shared" si="29"/>
        <v>4</v>
      </c>
      <c r="W61" s="63" t="e">
        <f t="shared" si="30"/>
        <v>#VALUE!</v>
      </c>
      <c r="X61" s="63" t="e">
        <f t="shared" si="31"/>
        <v>#VALUE!</v>
      </c>
      <c r="Y61" s="63" t="str">
        <f>IFERROR(VLOOKUP(MID(T61,W61,X61-W61),[5]skilldef!$C:$D,2,FALSE),"-") &amp; " / " &amp; IFERROR(VLOOKUP(MID(T61,U61,V61-U61),[5]skilldef!$A:$B,2,FALSE),"-")</f>
        <v>- / -</v>
      </c>
      <c r="Z61" s="50"/>
      <c r="AA61" s="52"/>
      <c r="AB61" s="50"/>
    </row>
    <row r="62" spans="1:28" ht="21" customHeight="1" x14ac:dyDescent="0.15">
      <c r="A62" s="47">
        <v>50005065</v>
      </c>
      <c r="B62" s="47" t="s">
        <v>380</v>
      </c>
      <c r="C62" s="50">
        <v>3</v>
      </c>
      <c r="D62" s="50" t="s">
        <v>126</v>
      </c>
      <c r="E62" s="51" t="s">
        <v>366</v>
      </c>
      <c r="F62" s="51" t="s">
        <v>302</v>
      </c>
      <c r="G62" s="63" t="str">
        <f t="shared" ref="G62:G63" si="33">IFERROR(LEFT(B62,FIND("],",B62)),B62)</f>
        <v>[effect:rush, count:20, val:0.09]</v>
      </c>
      <c r="H62" s="63">
        <f t="shared" ref="H62:H63" si="34">FIND("effect:",G62)+7</f>
        <v>9</v>
      </c>
      <c r="I62" s="63">
        <f t="shared" ref="I62:I63" si="35">IFERROR(FIND(",",G62),LEN(G62))</f>
        <v>13</v>
      </c>
      <c r="J62" s="63" t="e">
        <f t="shared" ref="J62:J63" si="36">FIND("target:",G62)+7</f>
        <v>#VALUE!</v>
      </c>
      <c r="K62" s="63">
        <f t="shared" ref="K62:K63" si="37">FIND(",",G62,I62+1)</f>
        <v>23</v>
      </c>
      <c r="L62" s="63" t="str">
        <f>IFERROR(VLOOKUP(MID(G62,J62,K62-J62),[5]skilldef!$C:$D,2,FALSE),"-") &amp; " / " &amp; IFERROR(VLOOKUP(MID(G62,H62,I62-H62),[5]skilldef!$A:$B,2,FALSE),"-")</f>
        <v>- / 連続攻撃</v>
      </c>
      <c r="M62" s="63" t="str">
        <f t="shared" ref="M62:M63" si="38">IFERROR(RIGHT(B62,LEN(B62)-FIND("],",B62)-1),"none")</f>
        <v>none</v>
      </c>
      <c r="N62" s="48" t="str">
        <f t="shared" si="32"/>
        <v>none</v>
      </c>
      <c r="O62" s="63" t="e">
        <f t="shared" ref="O62:O63" si="39">FIND("effect:",N62)+7</f>
        <v>#VALUE!</v>
      </c>
      <c r="P62" s="63">
        <f t="shared" ref="P62:P63" si="40">IFERROR(FIND(",",N62),LEN(N62))</f>
        <v>4</v>
      </c>
      <c r="Q62" s="63" t="e">
        <f t="shared" ref="Q62:Q63" si="41">FIND("target:",N62)+7</f>
        <v>#VALUE!</v>
      </c>
      <c r="R62" s="63" t="e">
        <f t="shared" ref="R62:R63" si="42">FIND(",",N62,P62+1)</f>
        <v>#VALUE!</v>
      </c>
      <c r="S62" s="63" t="str">
        <f>IFERROR(VLOOKUP(MID(N62,Q62,R62-Q62),[5]skilldef!$C:$D,2,FALSE),"-") &amp; " / " &amp; IFERROR(VLOOKUP(MID(N62,O62,P62-O62),[5]skilldef!$A:$B,2,FALSE),"-")</f>
        <v>- / -</v>
      </c>
      <c r="T62" s="48" t="str">
        <f t="shared" ref="T62:T63" si="43">IFERROR(RIGHT(M62,LEN(M62)-FIND("],",M62)-1),"none")</f>
        <v>none</v>
      </c>
      <c r="U62" s="63" t="e">
        <f t="shared" ref="U62:U63" si="44">FIND("effect:",T62)+7</f>
        <v>#VALUE!</v>
      </c>
      <c r="V62" s="63">
        <f t="shared" ref="V62:V63" si="45">IFERROR(FIND(",",T62),LEN(T62))</f>
        <v>4</v>
      </c>
      <c r="W62" s="63" t="e">
        <f t="shared" ref="W62:W63" si="46">FIND("target:",T62)+7</f>
        <v>#VALUE!</v>
      </c>
      <c r="X62" s="63" t="e">
        <f t="shared" ref="X62:X63" si="47">FIND(",",T62,V62+1)</f>
        <v>#VALUE!</v>
      </c>
      <c r="Y62" s="63" t="str">
        <f>IFERROR(VLOOKUP(MID(T62,W62,X62-W62),[5]skilldef!$C:$D,2,FALSE),"-") &amp; " / " &amp; IFERROR(VLOOKUP(MID(T62,U62,V62-U62),[5]skilldef!$A:$B,2,FALSE),"-")</f>
        <v>- / -</v>
      </c>
      <c r="Z62" s="50"/>
      <c r="AA62" s="52"/>
      <c r="AB62" s="50"/>
    </row>
    <row r="63" spans="1:28" ht="21" customHeight="1" x14ac:dyDescent="0.15">
      <c r="A63" s="103">
        <v>50005066</v>
      </c>
      <c r="B63" s="103" t="s">
        <v>435</v>
      </c>
      <c r="C63" s="104">
        <v>3</v>
      </c>
      <c r="D63" s="104" t="s">
        <v>126</v>
      </c>
      <c r="E63" s="105" t="s">
        <v>438</v>
      </c>
      <c r="F63" s="105" t="s">
        <v>439</v>
      </c>
      <c r="G63" s="63" t="str">
        <f t="shared" si="33"/>
        <v>[effect:enemy_message, val1:1.2, val2:2.6]</v>
      </c>
      <c r="H63" s="63">
        <f t="shared" si="34"/>
        <v>9</v>
      </c>
      <c r="I63" s="63">
        <f t="shared" si="35"/>
        <v>22</v>
      </c>
      <c r="J63" s="63" t="e">
        <f t="shared" si="36"/>
        <v>#VALUE!</v>
      </c>
      <c r="K63" s="63">
        <f t="shared" si="37"/>
        <v>32</v>
      </c>
      <c r="L63" s="63" t="str">
        <f>IFERROR(VLOOKUP(MID(G63,J63,K63-J63),[5]skilldef!$C:$D,2,FALSE),"-") &amp; " / " &amp; IFERROR(VLOOKUP(MID(G63,H63,I63-H63),[5]skilldef!$A:$B,2,FALSE),"-")</f>
        <v>- / -</v>
      </c>
      <c r="M63" s="63" t="str">
        <f t="shared" si="38"/>
        <v>[effect:fix_speed, target:myself, turn:1],[effect:tolerance, target:myself, turn:-1, tolerance_effect:all, count:-1, animation:enemy_tolerance],[effect:sp_boost, target:unit_green, val:99, animation:sp_boost_one03]</v>
      </c>
      <c r="N63" s="48" t="str">
        <f t="shared" ref="N63" si="48">IFERROR(LEFT(M63,FIND("],",M63)+S73),M63)</f>
        <v>[effect:fix_speed, target:myself, turn:1]</v>
      </c>
      <c r="O63" s="63">
        <f t="shared" si="39"/>
        <v>9</v>
      </c>
      <c r="P63" s="63">
        <f t="shared" si="40"/>
        <v>18</v>
      </c>
      <c r="Q63" s="63">
        <f t="shared" si="41"/>
        <v>27</v>
      </c>
      <c r="R63" s="63">
        <f t="shared" si="42"/>
        <v>33</v>
      </c>
      <c r="S63" s="63" t="str">
        <f>IFERROR(VLOOKUP(MID(N63,Q63,R63-Q63),[5]skilldef!$C:$D,2,FALSE),"-") &amp; " / " &amp; IFERROR(VLOOKUP(MID(N63,O63,P63-O63),[5]skilldef!$A:$B,2,FALSE),"-")</f>
        <v>自分自身に / 行動値設定</v>
      </c>
      <c r="T63" s="48" t="str">
        <f t="shared" si="43"/>
        <v>[effect:tolerance, target:myself, turn:-1, tolerance_effect:all, count:-1, animation:enemy_tolerance],[effect:sp_boost, target:unit_green, val:99, animation:sp_boost_one03]</v>
      </c>
      <c r="U63" s="63">
        <f t="shared" si="44"/>
        <v>9</v>
      </c>
      <c r="V63" s="63">
        <f t="shared" si="45"/>
        <v>18</v>
      </c>
      <c r="W63" s="63">
        <f t="shared" si="46"/>
        <v>27</v>
      </c>
      <c r="X63" s="63">
        <f t="shared" si="47"/>
        <v>33</v>
      </c>
      <c r="Y63" s="63" t="str">
        <f>IFERROR(VLOOKUP(MID(T63,W63,X63-W63),[5]skilldef!$C:$D,2,FALSE),"-") &amp; " / " &amp; IFERROR(VLOOKUP(MID(T63,U63,V63-U63),[5]skilldef!$A:$B,2,FALSE),"-")</f>
        <v>自分自身に / 状態異常耐性</v>
      </c>
      <c r="Z63" s="50"/>
      <c r="AA63" s="52"/>
      <c r="AB63" s="50"/>
    </row>
    <row r="64" spans="1:28" ht="21" customHeight="1" x14ac:dyDescent="0.15">
      <c r="A64" s="103">
        <v>50005067</v>
      </c>
      <c r="B64" s="103" t="s">
        <v>403</v>
      </c>
      <c r="C64" s="104">
        <v>3</v>
      </c>
      <c r="D64" s="104" t="s">
        <v>126</v>
      </c>
      <c r="E64" s="105" t="s">
        <v>395</v>
      </c>
      <c r="F64" s="105" t="s">
        <v>354</v>
      </c>
      <c r="G64" s="63" t="str">
        <f t="shared" ref="G64" si="49">IFERROR(LEFT(B64,FIND("],",B64)),B64)</f>
        <v>[effect:enemy_message, val1:1.4, val2:2.2, dead_type:escape]</v>
      </c>
      <c r="H64" s="63">
        <f t="shared" ref="H64" si="50">FIND("effect:",G64)+7</f>
        <v>9</v>
      </c>
      <c r="I64" s="63">
        <f t="shared" ref="I64" si="51">IFERROR(FIND(",",G64),LEN(G64))</f>
        <v>22</v>
      </c>
      <c r="J64" s="63" t="e">
        <f t="shared" ref="J64" si="52">FIND("target:",G64)+7</f>
        <v>#VALUE!</v>
      </c>
      <c r="K64" s="63">
        <f t="shared" ref="K64" si="53">FIND(",",G64,I64+1)</f>
        <v>32</v>
      </c>
      <c r="L64" s="63" t="str">
        <f>IFERROR(VLOOKUP(MID(G64,J64,K64-J64),[5]skilldef!$C:$D,2,FALSE),"-") &amp; " / " &amp; IFERROR(VLOOKUP(MID(G64,H64,I64-H64),[5]skilldef!$A:$B,2,FALSE),"-")</f>
        <v>- / -</v>
      </c>
      <c r="M64" s="63" t="str">
        <f t="shared" ref="M64" si="54">IFERROR(RIGHT(B64,LEN(B64)-FIND("],",B64)-1),"none")</f>
        <v>none</v>
      </c>
      <c r="N64" s="48" t="str">
        <f t="shared" ref="N64" si="55">IFERROR(LEFT(M64,FIND("],",M64)+S74),M64)</f>
        <v>none</v>
      </c>
      <c r="O64" s="63" t="e">
        <f t="shared" ref="O64" si="56">FIND("effect:",N64)+7</f>
        <v>#VALUE!</v>
      </c>
      <c r="P64" s="63">
        <f t="shared" ref="P64" si="57">IFERROR(FIND(",",N64),LEN(N64))</f>
        <v>4</v>
      </c>
      <c r="Q64" s="63" t="e">
        <f t="shared" ref="Q64" si="58">FIND("target:",N64)+7</f>
        <v>#VALUE!</v>
      </c>
      <c r="R64" s="63" t="e">
        <f t="shared" ref="R64" si="59">FIND(",",N64,P64+1)</f>
        <v>#VALUE!</v>
      </c>
      <c r="S64" s="63" t="str">
        <f>IFERROR(VLOOKUP(MID(N64,Q64,R64-Q64),[5]skilldef!$C:$D,2,FALSE),"-") &amp; " / " &amp; IFERROR(VLOOKUP(MID(N64,O64,P64-O64),[5]skilldef!$A:$B,2,FALSE),"-")</f>
        <v>- / -</v>
      </c>
      <c r="T64" s="48" t="str">
        <f t="shared" ref="T64" si="60">IFERROR(RIGHT(M64,LEN(M64)-FIND("],",M64)-1),"none")</f>
        <v>none</v>
      </c>
      <c r="U64" s="63" t="e">
        <f t="shared" ref="U64" si="61">FIND("effect:",T64)+7</f>
        <v>#VALUE!</v>
      </c>
      <c r="V64" s="63">
        <f t="shared" ref="V64" si="62">IFERROR(FIND(",",T64),LEN(T64))</f>
        <v>4</v>
      </c>
      <c r="W64" s="63" t="e">
        <f t="shared" ref="W64" si="63">FIND("target:",T64)+7</f>
        <v>#VALUE!</v>
      </c>
      <c r="X64" s="63" t="e">
        <f t="shared" ref="X64" si="64">FIND(",",T64,V64+1)</f>
        <v>#VALUE!</v>
      </c>
      <c r="Y64" s="63" t="str">
        <f>IFERROR(VLOOKUP(MID(T64,W64,X64-W64),[5]skilldef!$C:$D,2,FALSE),"-") &amp; " / " &amp; IFERROR(VLOOKUP(MID(T64,U64,V64-U64),[5]skilldef!$A:$B,2,FALSE),"-")</f>
        <v>- / -</v>
      </c>
      <c r="Z64" s="50"/>
      <c r="AA64" s="52"/>
      <c r="AB64" s="50"/>
    </row>
    <row r="65" spans="1:28" ht="21" customHeight="1" x14ac:dyDescent="0.15">
      <c r="A65" s="108">
        <v>50005068</v>
      </c>
      <c r="B65" s="108" t="s">
        <v>402</v>
      </c>
      <c r="C65" s="109">
        <v>3</v>
      </c>
      <c r="D65" s="109" t="s">
        <v>126</v>
      </c>
      <c r="E65" s="110" t="s">
        <v>400</v>
      </c>
      <c r="F65" s="110" t="s">
        <v>416</v>
      </c>
      <c r="G65" s="63" t="str">
        <f t="shared" ref="G65" si="65">IFERROR(LEFT(B65,FIND("],",B65)),B65)</f>
        <v>[effect:enemy_message, val1:1.4, val2:2.4, dead_type:escape]</v>
      </c>
      <c r="H65" s="63">
        <f t="shared" ref="H65" si="66">FIND("effect:",G65)+7</f>
        <v>9</v>
      </c>
      <c r="I65" s="63">
        <f t="shared" ref="I65" si="67">IFERROR(FIND(",",G65),LEN(G65))</f>
        <v>22</v>
      </c>
      <c r="J65" s="63" t="e">
        <f t="shared" ref="J65" si="68">FIND("target:",G65)+7</f>
        <v>#VALUE!</v>
      </c>
      <c r="K65" s="63">
        <f t="shared" ref="K65" si="69">FIND(",",G65,I65+1)</f>
        <v>32</v>
      </c>
      <c r="L65" s="63" t="str">
        <f>IFERROR(VLOOKUP(MID(G65,J65,K65-J65),[5]skilldef!$C:$D,2,FALSE),"-") &amp; " / " &amp; IFERROR(VLOOKUP(MID(G65,H65,I65-H65),[5]skilldef!$A:$B,2,FALSE),"-")</f>
        <v>- / -</v>
      </c>
      <c r="M65" s="63" t="str">
        <f t="shared" ref="M65" si="70">IFERROR(RIGHT(B65,LEN(B65)-FIND("],",B65)-1),"none")</f>
        <v>none</v>
      </c>
      <c r="N65" s="48" t="str">
        <f t="shared" ref="N65" si="71">IFERROR(LEFT(M65,FIND("],",M65)+S75),M65)</f>
        <v>none</v>
      </c>
      <c r="O65" s="63" t="e">
        <f t="shared" ref="O65" si="72">FIND("effect:",N65)+7</f>
        <v>#VALUE!</v>
      </c>
      <c r="P65" s="63">
        <f t="shared" ref="P65" si="73">IFERROR(FIND(",",N65),LEN(N65))</f>
        <v>4</v>
      </c>
      <c r="Q65" s="63" t="e">
        <f t="shared" ref="Q65" si="74">FIND("target:",N65)+7</f>
        <v>#VALUE!</v>
      </c>
      <c r="R65" s="63" t="e">
        <f t="shared" ref="R65" si="75">FIND(",",N65,P65+1)</f>
        <v>#VALUE!</v>
      </c>
      <c r="S65" s="63" t="str">
        <f>IFERROR(VLOOKUP(MID(N65,Q65,R65-Q65),[5]skilldef!$C:$D,2,FALSE),"-") &amp; " / " &amp; IFERROR(VLOOKUP(MID(N65,O65,P65-O65),[5]skilldef!$A:$B,2,FALSE),"-")</f>
        <v>- / -</v>
      </c>
      <c r="T65" s="48" t="str">
        <f t="shared" ref="T65" si="76">IFERROR(RIGHT(M65,LEN(M65)-FIND("],",M65)-1),"none")</f>
        <v>none</v>
      </c>
      <c r="U65" s="63" t="e">
        <f t="shared" ref="U65" si="77">FIND("effect:",T65)+7</f>
        <v>#VALUE!</v>
      </c>
      <c r="V65" s="63">
        <f t="shared" ref="V65" si="78">IFERROR(FIND(",",T65),LEN(T65))</f>
        <v>4</v>
      </c>
      <c r="W65" s="63" t="e">
        <f t="shared" ref="W65" si="79">FIND("target:",T65)+7</f>
        <v>#VALUE!</v>
      </c>
      <c r="X65" s="63" t="e">
        <f t="shared" ref="X65" si="80">FIND(",",T65,V65+1)</f>
        <v>#VALUE!</v>
      </c>
      <c r="Y65" s="63" t="str">
        <f>IFERROR(VLOOKUP(MID(T65,W65,X65-W65),[5]skilldef!$C:$D,2,FALSE),"-") &amp; " / " &amp; IFERROR(VLOOKUP(MID(T65,U65,V65-U65),[5]skilldef!$A:$B,2,FALSE),"-")</f>
        <v>- / -</v>
      </c>
      <c r="Z65" s="50"/>
      <c r="AA65" s="52"/>
      <c r="AB65" s="50"/>
    </row>
    <row r="66" spans="1:28" ht="21" customHeight="1" x14ac:dyDescent="0.15">
      <c r="A66" s="108">
        <v>50005069</v>
      </c>
      <c r="B66" s="108" t="s">
        <v>402</v>
      </c>
      <c r="C66" s="109">
        <v>3</v>
      </c>
      <c r="D66" s="109" t="s">
        <v>126</v>
      </c>
      <c r="E66" s="110" t="s">
        <v>401</v>
      </c>
      <c r="F66" s="110" t="s">
        <v>415</v>
      </c>
      <c r="G66" s="63" t="str">
        <f t="shared" ref="G66" si="81">IFERROR(LEFT(B66,FIND("],",B66)),B66)</f>
        <v>[effect:enemy_message, val1:1.4, val2:2.4, dead_type:escape]</v>
      </c>
      <c r="H66" s="63">
        <f t="shared" ref="H66" si="82">FIND("effect:",G66)+7</f>
        <v>9</v>
      </c>
      <c r="I66" s="63">
        <f t="shared" ref="I66" si="83">IFERROR(FIND(",",G66),LEN(G66))</f>
        <v>22</v>
      </c>
      <c r="J66" s="63" t="e">
        <f t="shared" ref="J66" si="84">FIND("target:",G66)+7</f>
        <v>#VALUE!</v>
      </c>
      <c r="K66" s="63">
        <f t="shared" ref="K66" si="85">FIND(",",G66,I66+1)</f>
        <v>32</v>
      </c>
      <c r="L66" s="63" t="str">
        <f>IFERROR(VLOOKUP(MID(G66,J66,K66-J66),[5]skilldef!$C:$D,2,FALSE),"-") &amp; " / " &amp; IFERROR(VLOOKUP(MID(G66,H66,I66-H66),[5]skilldef!$A:$B,2,FALSE),"-")</f>
        <v>- / -</v>
      </c>
      <c r="M66" s="63" t="str">
        <f t="shared" ref="M66" si="86">IFERROR(RIGHT(B66,LEN(B66)-FIND("],",B66)-1),"none")</f>
        <v>none</v>
      </c>
      <c r="N66" s="48" t="str">
        <f t="shared" ref="N66" si="87">IFERROR(LEFT(M66,FIND("],",M66)+S76),M66)</f>
        <v>none</v>
      </c>
      <c r="O66" s="63" t="e">
        <f t="shared" ref="O66" si="88">FIND("effect:",N66)+7</f>
        <v>#VALUE!</v>
      </c>
      <c r="P66" s="63">
        <f t="shared" ref="P66" si="89">IFERROR(FIND(",",N66),LEN(N66))</f>
        <v>4</v>
      </c>
      <c r="Q66" s="63" t="e">
        <f t="shared" ref="Q66" si="90">FIND("target:",N66)+7</f>
        <v>#VALUE!</v>
      </c>
      <c r="R66" s="63" t="e">
        <f t="shared" ref="R66" si="91">FIND(",",N66,P66+1)</f>
        <v>#VALUE!</v>
      </c>
      <c r="S66" s="63" t="str">
        <f>IFERROR(VLOOKUP(MID(N66,Q66,R66-Q66),[5]skilldef!$C:$D,2,FALSE),"-") &amp; " / " &amp; IFERROR(VLOOKUP(MID(N66,O66,P66-O66),[5]skilldef!$A:$B,2,FALSE),"-")</f>
        <v>- / -</v>
      </c>
      <c r="T66" s="48" t="str">
        <f t="shared" ref="T66" si="92">IFERROR(RIGHT(M66,LEN(M66)-FIND("],",M66)-1),"none")</f>
        <v>none</v>
      </c>
      <c r="U66" s="63" t="e">
        <f t="shared" ref="U66" si="93">FIND("effect:",T66)+7</f>
        <v>#VALUE!</v>
      </c>
      <c r="V66" s="63">
        <f t="shared" ref="V66" si="94">IFERROR(FIND(",",T66),LEN(T66))</f>
        <v>4</v>
      </c>
      <c r="W66" s="63" t="e">
        <f t="shared" ref="W66" si="95">FIND("target:",T66)+7</f>
        <v>#VALUE!</v>
      </c>
      <c r="X66" s="63" t="e">
        <f t="shared" ref="X66" si="96">FIND(",",T66,V66+1)</f>
        <v>#VALUE!</v>
      </c>
      <c r="Y66" s="63" t="str">
        <f>IFERROR(VLOOKUP(MID(T66,W66,X66-W66),[5]skilldef!$C:$D,2,FALSE),"-") &amp; " / " &amp; IFERROR(VLOOKUP(MID(T66,U66,V66-U66),[5]skilldef!$A:$B,2,FALSE),"-")</f>
        <v>- / -</v>
      </c>
      <c r="Z66" s="50"/>
      <c r="AA66" s="52"/>
      <c r="AB66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67"/>
  <sheetViews>
    <sheetView showGridLines="0" zoomScale="75" zoomScaleNormal="75" zoomScalePageLayoutView="75" workbookViewId="0">
      <pane ySplit="1" topLeftCell="A45" activePane="bottomLeft" state="frozenSplit"/>
      <selection pane="bottomLeft" activeCell="C70" sqref="C70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1" ht="21" customHeight="1" x14ac:dyDescent="0.15">
      <c r="A2" s="47">
        <v>50005001</v>
      </c>
      <c r="B2" s="47">
        <v>1</v>
      </c>
      <c r="C2" s="47">
        <v>100</v>
      </c>
      <c r="D2" s="47">
        <v>100</v>
      </c>
      <c r="E2" s="47" t="s">
        <v>88</v>
      </c>
      <c r="F2" s="47" t="s">
        <v>88</v>
      </c>
      <c r="G2" s="47">
        <v>1</v>
      </c>
      <c r="H2" s="47" t="s">
        <v>88</v>
      </c>
      <c r="I2" s="47" t="s">
        <v>88</v>
      </c>
      <c r="J2" s="48">
        <f t="shared" ref="J2:J62" si="0">D2</f>
        <v>100</v>
      </c>
    </row>
    <row r="3" spans="1:11" ht="21" customHeight="1" x14ac:dyDescent="0.15">
      <c r="A3" s="47">
        <v>50005002</v>
      </c>
      <c r="B3" s="47">
        <v>0</v>
      </c>
      <c r="C3" s="47">
        <v>50</v>
      </c>
      <c r="D3" s="47">
        <v>100</v>
      </c>
      <c r="E3" s="47" t="s">
        <v>264</v>
      </c>
      <c r="F3" s="47" t="s">
        <v>265</v>
      </c>
      <c r="G3" s="47">
        <v>1</v>
      </c>
      <c r="H3" s="47">
        <v>1</v>
      </c>
      <c r="I3" s="47" t="s">
        <v>266</v>
      </c>
      <c r="J3" s="48">
        <f t="shared" si="0"/>
        <v>100</v>
      </c>
    </row>
    <row r="4" spans="1:11" ht="21" customHeight="1" x14ac:dyDescent="0.15">
      <c r="A4" s="47">
        <v>50005003</v>
      </c>
      <c r="B4" s="47">
        <v>0</v>
      </c>
      <c r="C4" s="47">
        <v>41</v>
      </c>
      <c r="D4" s="47">
        <v>100</v>
      </c>
      <c r="E4" s="47" t="s">
        <v>264</v>
      </c>
      <c r="F4" s="47" t="s">
        <v>265</v>
      </c>
      <c r="G4" s="47">
        <v>2</v>
      </c>
      <c r="H4" s="47">
        <v>2</v>
      </c>
      <c r="I4" s="47" t="s">
        <v>266</v>
      </c>
      <c r="J4" s="48">
        <f t="shared" si="0"/>
        <v>100</v>
      </c>
    </row>
    <row r="5" spans="1:11" ht="21" customHeight="1" x14ac:dyDescent="0.15">
      <c r="A5" s="47">
        <v>50005004</v>
      </c>
      <c r="B5" s="47">
        <v>0</v>
      </c>
      <c r="C5" s="47">
        <v>40</v>
      </c>
      <c r="D5" s="47">
        <v>100</v>
      </c>
      <c r="E5" s="47" t="s">
        <v>264</v>
      </c>
      <c r="F5" s="47" t="s">
        <v>265</v>
      </c>
      <c r="G5" s="47">
        <v>2</v>
      </c>
      <c r="H5" s="47">
        <v>1</v>
      </c>
      <c r="I5" s="47" t="s">
        <v>266</v>
      </c>
      <c r="J5" s="48">
        <f t="shared" si="0"/>
        <v>100</v>
      </c>
    </row>
    <row r="6" spans="1:11" ht="21" customHeight="1" x14ac:dyDescent="0.15">
      <c r="A6" s="47">
        <v>50005005</v>
      </c>
      <c r="B6" s="47">
        <v>0</v>
      </c>
      <c r="C6" s="47">
        <v>30</v>
      </c>
      <c r="D6" s="47">
        <v>100</v>
      </c>
      <c r="E6" s="47" t="s">
        <v>264</v>
      </c>
      <c r="F6" s="47" t="s">
        <v>265</v>
      </c>
      <c r="G6" s="47" t="s">
        <v>266</v>
      </c>
      <c r="H6" s="47" t="s">
        <v>168</v>
      </c>
      <c r="I6" s="47" t="s">
        <v>266</v>
      </c>
      <c r="J6" s="48">
        <f t="shared" si="0"/>
        <v>100</v>
      </c>
    </row>
    <row r="7" spans="1:11" ht="21" customHeight="1" x14ac:dyDescent="0.15">
      <c r="A7" s="47">
        <v>50005006</v>
      </c>
      <c r="B7" s="47">
        <v>0</v>
      </c>
      <c r="C7" s="47">
        <v>100</v>
      </c>
      <c r="D7" s="47">
        <v>100</v>
      </c>
      <c r="E7" s="47" t="s">
        <v>264</v>
      </c>
      <c r="F7" s="47" t="s">
        <v>265</v>
      </c>
      <c r="G7" s="47">
        <v>0</v>
      </c>
      <c r="H7" s="47" t="s">
        <v>168</v>
      </c>
      <c r="I7" s="47">
        <v>0</v>
      </c>
      <c r="J7" s="48">
        <f t="shared" si="0"/>
        <v>100</v>
      </c>
    </row>
    <row r="8" spans="1:11" ht="21" customHeight="1" x14ac:dyDescent="0.15">
      <c r="A8" s="47">
        <v>50005007</v>
      </c>
      <c r="B8" s="47">
        <v>1</v>
      </c>
      <c r="C8" s="47">
        <v>100</v>
      </c>
      <c r="D8" s="47">
        <v>100</v>
      </c>
      <c r="E8" s="47" t="s">
        <v>264</v>
      </c>
      <c r="F8" s="47" t="s">
        <v>265</v>
      </c>
      <c r="G8" s="47">
        <v>1</v>
      </c>
      <c r="H8" s="47" t="s">
        <v>168</v>
      </c>
      <c r="I8" s="47" t="s">
        <v>266</v>
      </c>
      <c r="J8" s="48">
        <f t="shared" si="0"/>
        <v>100</v>
      </c>
    </row>
    <row r="9" spans="1:11" ht="21" customHeight="1" x14ac:dyDescent="0.15">
      <c r="A9" s="47">
        <v>50005008</v>
      </c>
      <c r="B9" s="47">
        <v>0</v>
      </c>
      <c r="C9" s="47">
        <v>50</v>
      </c>
      <c r="D9" s="47">
        <v>100</v>
      </c>
      <c r="E9" s="47" t="s">
        <v>264</v>
      </c>
      <c r="F9" s="47" t="s">
        <v>265</v>
      </c>
      <c r="G9" s="47" t="s">
        <v>266</v>
      </c>
      <c r="H9" s="47" t="s">
        <v>168</v>
      </c>
      <c r="I9" s="47" t="s">
        <v>266</v>
      </c>
      <c r="J9" s="48">
        <f t="shared" si="0"/>
        <v>100</v>
      </c>
    </row>
    <row r="10" spans="1:11" ht="21" customHeight="1" x14ac:dyDescent="0.15">
      <c r="A10" s="47">
        <v>50005009</v>
      </c>
      <c r="B10" s="47">
        <v>0</v>
      </c>
      <c r="C10" s="47">
        <v>60</v>
      </c>
      <c r="D10" s="47">
        <v>100</v>
      </c>
      <c r="E10" s="47" t="s">
        <v>264</v>
      </c>
      <c r="F10" s="47" t="s">
        <v>265</v>
      </c>
      <c r="G10" s="47" t="s">
        <v>266</v>
      </c>
      <c r="H10" s="47">
        <v>3</v>
      </c>
      <c r="I10" s="47" t="s">
        <v>266</v>
      </c>
      <c r="J10" s="48">
        <f t="shared" si="0"/>
        <v>100</v>
      </c>
    </row>
    <row r="11" spans="1:11" ht="21" customHeight="1" x14ac:dyDescent="0.15">
      <c r="A11" s="47">
        <v>50005010</v>
      </c>
      <c r="B11" s="47">
        <v>0</v>
      </c>
      <c r="C11" s="47">
        <v>70</v>
      </c>
      <c r="D11" s="47">
        <v>100</v>
      </c>
      <c r="E11" s="47">
        <v>50</v>
      </c>
      <c r="F11" s="47" t="s">
        <v>265</v>
      </c>
      <c r="G11" s="47">
        <v>1</v>
      </c>
      <c r="H11" s="47">
        <v>1</v>
      </c>
      <c r="I11" s="47" t="s">
        <v>266</v>
      </c>
      <c r="J11" s="48">
        <f t="shared" si="0"/>
        <v>100</v>
      </c>
    </row>
    <row r="12" spans="1:11" ht="21" customHeight="1" x14ac:dyDescent="0.15">
      <c r="A12" s="47">
        <v>50005011</v>
      </c>
      <c r="B12" s="47">
        <v>1</v>
      </c>
      <c r="C12" s="47">
        <v>100</v>
      </c>
      <c r="D12" s="47">
        <v>100</v>
      </c>
      <c r="E12" s="47" t="s">
        <v>264</v>
      </c>
      <c r="F12" s="47" t="s">
        <v>265</v>
      </c>
      <c r="G12" s="47">
        <v>1</v>
      </c>
      <c r="H12" s="47" t="s">
        <v>168</v>
      </c>
      <c r="I12" s="47" t="s">
        <v>266</v>
      </c>
      <c r="J12" s="48">
        <f t="shared" si="0"/>
        <v>100</v>
      </c>
    </row>
    <row r="13" spans="1:11" ht="21" customHeight="1" x14ac:dyDescent="0.15">
      <c r="A13" s="47">
        <v>50005012</v>
      </c>
      <c r="B13" s="47">
        <v>0</v>
      </c>
      <c r="C13" s="47">
        <v>50</v>
      </c>
      <c r="D13" s="47">
        <v>100</v>
      </c>
      <c r="E13" s="47" t="s">
        <v>264</v>
      </c>
      <c r="F13" s="47" t="s">
        <v>265</v>
      </c>
      <c r="G13" s="47" t="s">
        <v>266</v>
      </c>
      <c r="H13" s="47" t="s">
        <v>168</v>
      </c>
      <c r="I13" s="47" t="s">
        <v>266</v>
      </c>
      <c r="J13" s="48">
        <f t="shared" si="0"/>
        <v>100</v>
      </c>
    </row>
    <row r="14" spans="1:11" ht="21" customHeight="1" x14ac:dyDescent="0.15">
      <c r="A14" s="47">
        <v>50005013</v>
      </c>
      <c r="B14" s="47">
        <v>0</v>
      </c>
      <c r="C14" s="47">
        <v>60</v>
      </c>
      <c r="D14" s="47">
        <v>100</v>
      </c>
      <c r="E14" s="47" t="s">
        <v>264</v>
      </c>
      <c r="F14" s="47" t="s">
        <v>265</v>
      </c>
      <c r="G14" s="47" t="s">
        <v>266</v>
      </c>
      <c r="H14" s="47">
        <v>3</v>
      </c>
      <c r="I14" s="47" t="s">
        <v>266</v>
      </c>
      <c r="J14" s="48">
        <f t="shared" si="0"/>
        <v>100</v>
      </c>
    </row>
    <row r="15" spans="1:11" ht="21" customHeight="1" x14ac:dyDescent="0.15">
      <c r="A15" s="47">
        <v>50005014</v>
      </c>
      <c r="B15" s="47">
        <v>0</v>
      </c>
      <c r="C15" s="47">
        <v>70</v>
      </c>
      <c r="D15" s="47">
        <v>100</v>
      </c>
      <c r="E15" s="47">
        <v>50</v>
      </c>
      <c r="F15" s="47" t="s">
        <v>265</v>
      </c>
      <c r="G15" s="47">
        <v>1</v>
      </c>
      <c r="H15" s="47">
        <v>1</v>
      </c>
      <c r="I15" s="47" t="s">
        <v>266</v>
      </c>
      <c r="J15" s="48">
        <f t="shared" si="0"/>
        <v>100</v>
      </c>
    </row>
    <row r="16" spans="1:11" ht="21" customHeight="1" x14ac:dyDescent="0.15">
      <c r="A16" s="47">
        <v>50005015</v>
      </c>
      <c r="B16" s="47">
        <v>0</v>
      </c>
      <c r="C16" s="47">
        <v>69</v>
      </c>
      <c r="D16" s="47">
        <v>100</v>
      </c>
      <c r="E16" s="47">
        <v>50</v>
      </c>
      <c r="F16" s="47" t="s">
        <v>265</v>
      </c>
      <c r="G16" s="47">
        <v>1</v>
      </c>
      <c r="H16" s="47">
        <v>1</v>
      </c>
      <c r="I16" s="47" t="s">
        <v>266</v>
      </c>
      <c r="J16" s="48">
        <f t="shared" si="0"/>
        <v>100</v>
      </c>
    </row>
    <row r="17" spans="1:10" ht="21" customHeight="1" x14ac:dyDescent="0.15">
      <c r="A17" s="47">
        <v>50005016</v>
      </c>
      <c r="B17" s="47">
        <v>1</v>
      </c>
      <c r="C17" s="47">
        <v>100</v>
      </c>
      <c r="D17" s="47">
        <v>100</v>
      </c>
      <c r="E17" s="47" t="s">
        <v>264</v>
      </c>
      <c r="F17" s="47" t="s">
        <v>265</v>
      </c>
      <c r="G17" s="47">
        <v>1</v>
      </c>
      <c r="H17" s="47" t="s">
        <v>168</v>
      </c>
      <c r="I17" s="47" t="s">
        <v>266</v>
      </c>
      <c r="J17" s="48">
        <f t="shared" si="0"/>
        <v>100</v>
      </c>
    </row>
    <row r="18" spans="1:10" ht="21" customHeight="1" x14ac:dyDescent="0.15">
      <c r="A18" s="47">
        <v>50005017</v>
      </c>
      <c r="B18" s="47">
        <v>0</v>
      </c>
      <c r="C18" s="47">
        <v>50</v>
      </c>
      <c r="D18" s="47">
        <v>100</v>
      </c>
      <c r="E18" s="47" t="s">
        <v>264</v>
      </c>
      <c r="F18" s="47" t="s">
        <v>265</v>
      </c>
      <c r="G18" s="47" t="s">
        <v>266</v>
      </c>
      <c r="H18" s="47" t="s">
        <v>168</v>
      </c>
      <c r="I18" s="47" t="s">
        <v>266</v>
      </c>
      <c r="J18" s="48">
        <f t="shared" si="0"/>
        <v>100</v>
      </c>
    </row>
    <row r="19" spans="1:10" ht="21" customHeight="1" x14ac:dyDescent="0.15">
      <c r="A19" s="47">
        <v>50005018</v>
      </c>
      <c r="B19" s="47">
        <v>0</v>
      </c>
      <c r="C19" s="47">
        <v>60</v>
      </c>
      <c r="D19" s="47">
        <v>100</v>
      </c>
      <c r="E19" s="47" t="s">
        <v>264</v>
      </c>
      <c r="F19" s="47" t="s">
        <v>265</v>
      </c>
      <c r="G19" s="47" t="s">
        <v>266</v>
      </c>
      <c r="H19" s="47">
        <v>3</v>
      </c>
      <c r="I19" s="47" t="s">
        <v>266</v>
      </c>
      <c r="J19" s="48">
        <f t="shared" si="0"/>
        <v>100</v>
      </c>
    </row>
    <row r="20" spans="1:10" ht="21" customHeight="1" x14ac:dyDescent="0.15">
      <c r="A20" s="47">
        <v>50005019</v>
      </c>
      <c r="B20" s="47">
        <v>0</v>
      </c>
      <c r="C20" s="47">
        <v>70</v>
      </c>
      <c r="D20" s="47">
        <v>100</v>
      </c>
      <c r="E20" s="47">
        <v>50</v>
      </c>
      <c r="F20" s="47" t="s">
        <v>265</v>
      </c>
      <c r="G20" s="47">
        <v>1</v>
      </c>
      <c r="H20" s="47">
        <v>1</v>
      </c>
      <c r="I20" s="47" t="s">
        <v>266</v>
      </c>
      <c r="J20" s="48">
        <f t="shared" si="0"/>
        <v>100</v>
      </c>
    </row>
    <row r="21" spans="1:10" ht="21" customHeight="1" x14ac:dyDescent="0.15">
      <c r="A21" s="47">
        <v>50005020</v>
      </c>
      <c r="B21" s="47">
        <v>1</v>
      </c>
      <c r="C21" s="47">
        <v>100</v>
      </c>
      <c r="D21" s="47">
        <v>100</v>
      </c>
      <c r="E21" s="47" t="s">
        <v>264</v>
      </c>
      <c r="F21" s="47" t="s">
        <v>265</v>
      </c>
      <c r="G21" s="47">
        <v>1</v>
      </c>
      <c r="H21" s="47" t="s">
        <v>168</v>
      </c>
      <c r="I21" s="47" t="s">
        <v>266</v>
      </c>
      <c r="J21" s="48">
        <f t="shared" si="0"/>
        <v>100</v>
      </c>
    </row>
    <row r="22" spans="1:10" ht="21" customHeight="1" x14ac:dyDescent="0.15">
      <c r="A22" s="47">
        <v>50005021</v>
      </c>
      <c r="B22" s="47">
        <v>0</v>
      </c>
      <c r="C22" s="47">
        <v>50</v>
      </c>
      <c r="D22" s="47">
        <v>100</v>
      </c>
      <c r="E22" s="47" t="s">
        <v>264</v>
      </c>
      <c r="F22" s="47" t="s">
        <v>265</v>
      </c>
      <c r="G22" s="47" t="s">
        <v>266</v>
      </c>
      <c r="H22" s="47" t="s">
        <v>168</v>
      </c>
      <c r="I22" s="47" t="s">
        <v>266</v>
      </c>
      <c r="J22" s="48">
        <f t="shared" si="0"/>
        <v>100</v>
      </c>
    </row>
    <row r="23" spans="1:10" ht="21" customHeight="1" x14ac:dyDescent="0.15">
      <c r="A23" s="47">
        <v>50005022</v>
      </c>
      <c r="B23" s="47">
        <v>0</v>
      </c>
      <c r="C23" s="47">
        <v>60</v>
      </c>
      <c r="D23" s="47">
        <v>100</v>
      </c>
      <c r="E23" s="47" t="s">
        <v>264</v>
      </c>
      <c r="F23" s="47" t="s">
        <v>265</v>
      </c>
      <c r="G23" s="47" t="s">
        <v>266</v>
      </c>
      <c r="H23" s="47">
        <v>3</v>
      </c>
      <c r="I23" s="47" t="s">
        <v>266</v>
      </c>
      <c r="J23" s="48">
        <f t="shared" si="0"/>
        <v>100</v>
      </c>
    </row>
    <row r="24" spans="1:10" ht="21" customHeight="1" x14ac:dyDescent="0.15">
      <c r="A24" s="47">
        <v>50005023</v>
      </c>
      <c r="B24" s="47">
        <v>0</v>
      </c>
      <c r="C24" s="47">
        <v>70</v>
      </c>
      <c r="D24" s="47">
        <v>100</v>
      </c>
      <c r="E24" s="47">
        <v>50</v>
      </c>
      <c r="F24" s="47" t="s">
        <v>265</v>
      </c>
      <c r="G24" s="47">
        <v>1</v>
      </c>
      <c r="H24" s="47">
        <v>1</v>
      </c>
      <c r="I24" s="47" t="s">
        <v>266</v>
      </c>
      <c r="J24" s="48">
        <f t="shared" si="0"/>
        <v>100</v>
      </c>
    </row>
    <row r="25" spans="1:10" ht="21" customHeight="1" x14ac:dyDescent="0.15">
      <c r="A25" s="47">
        <v>50005024</v>
      </c>
      <c r="B25" s="47">
        <v>1</v>
      </c>
      <c r="C25" s="47">
        <v>100</v>
      </c>
      <c r="D25" s="47">
        <v>100</v>
      </c>
      <c r="E25" s="47" t="s">
        <v>264</v>
      </c>
      <c r="F25" s="47" t="s">
        <v>265</v>
      </c>
      <c r="G25" s="47">
        <v>1</v>
      </c>
      <c r="H25" s="47" t="s">
        <v>168</v>
      </c>
      <c r="I25" s="47" t="s">
        <v>266</v>
      </c>
      <c r="J25" s="48">
        <f t="shared" si="0"/>
        <v>100</v>
      </c>
    </row>
    <row r="26" spans="1:10" ht="21" customHeight="1" x14ac:dyDescent="0.15">
      <c r="A26" s="47">
        <v>50005025</v>
      </c>
      <c r="B26" s="47">
        <v>0</v>
      </c>
      <c r="C26" s="47">
        <v>50</v>
      </c>
      <c r="D26" s="47">
        <v>33</v>
      </c>
      <c r="E26" s="47" t="s">
        <v>264</v>
      </c>
      <c r="F26" s="47" t="s">
        <v>265</v>
      </c>
      <c r="G26" s="47" t="s">
        <v>266</v>
      </c>
      <c r="H26" s="47" t="s">
        <v>168</v>
      </c>
      <c r="I26" s="47" t="s">
        <v>266</v>
      </c>
      <c r="J26" s="48">
        <f t="shared" si="0"/>
        <v>33</v>
      </c>
    </row>
    <row r="27" spans="1:10" ht="21" customHeight="1" x14ac:dyDescent="0.15">
      <c r="A27" s="47">
        <v>50005026</v>
      </c>
      <c r="B27" s="47">
        <v>0</v>
      </c>
      <c r="C27" s="47">
        <v>49</v>
      </c>
      <c r="D27" s="47">
        <v>50</v>
      </c>
      <c r="E27" s="47" t="s">
        <v>264</v>
      </c>
      <c r="F27" s="47" t="s">
        <v>265</v>
      </c>
      <c r="G27" s="47" t="s">
        <v>266</v>
      </c>
      <c r="H27" s="47" t="s">
        <v>168</v>
      </c>
      <c r="I27" s="47" t="s">
        <v>266</v>
      </c>
      <c r="J27" s="48">
        <f t="shared" si="0"/>
        <v>50</v>
      </c>
    </row>
    <row r="28" spans="1:10" ht="21" customHeight="1" x14ac:dyDescent="0.15">
      <c r="A28" s="47">
        <v>50005027</v>
      </c>
      <c r="B28" s="47">
        <v>0</v>
      </c>
      <c r="C28" s="47">
        <v>48</v>
      </c>
      <c r="D28" s="47">
        <v>100</v>
      </c>
      <c r="E28" s="47" t="s">
        <v>264</v>
      </c>
      <c r="F28" s="47" t="s">
        <v>265</v>
      </c>
      <c r="G28" s="47" t="s">
        <v>266</v>
      </c>
      <c r="H28" s="47" t="s">
        <v>168</v>
      </c>
      <c r="I28" s="47" t="s">
        <v>266</v>
      </c>
      <c r="J28" s="48">
        <f t="shared" si="0"/>
        <v>100</v>
      </c>
    </row>
    <row r="29" spans="1:10" ht="21" customHeight="1" x14ac:dyDescent="0.15">
      <c r="A29" s="47">
        <v>50005028</v>
      </c>
      <c r="B29" s="47">
        <v>0</v>
      </c>
      <c r="C29" s="47">
        <v>70</v>
      </c>
      <c r="D29" s="47">
        <v>100</v>
      </c>
      <c r="E29" s="47">
        <v>50</v>
      </c>
      <c r="F29" s="47" t="s">
        <v>265</v>
      </c>
      <c r="G29" s="47">
        <v>1</v>
      </c>
      <c r="H29" s="47" t="s">
        <v>168</v>
      </c>
      <c r="I29" s="47" t="s">
        <v>266</v>
      </c>
      <c r="J29" s="48">
        <f t="shared" si="0"/>
        <v>100</v>
      </c>
    </row>
    <row r="30" spans="1:10" ht="21" customHeight="1" x14ac:dyDescent="0.15">
      <c r="A30" s="47">
        <v>50005029</v>
      </c>
      <c r="B30" s="47">
        <v>0</v>
      </c>
      <c r="C30" s="47">
        <v>60</v>
      </c>
      <c r="D30" s="47">
        <v>100</v>
      </c>
      <c r="E30" s="47">
        <v>50</v>
      </c>
      <c r="F30" s="47" t="s">
        <v>265</v>
      </c>
      <c r="G30" s="47">
        <v>3</v>
      </c>
      <c r="H30" s="47" t="s">
        <v>168</v>
      </c>
      <c r="I30" s="47" t="s">
        <v>266</v>
      </c>
      <c r="J30" s="48">
        <f t="shared" si="0"/>
        <v>100</v>
      </c>
    </row>
    <row r="31" spans="1:10" ht="21" customHeight="1" x14ac:dyDescent="0.15">
      <c r="A31" s="47">
        <v>50005030</v>
      </c>
      <c r="B31" s="47">
        <v>1</v>
      </c>
      <c r="C31" s="47">
        <v>100</v>
      </c>
      <c r="D31" s="47">
        <v>100</v>
      </c>
      <c r="E31" s="47" t="s">
        <v>264</v>
      </c>
      <c r="F31" s="47" t="s">
        <v>265</v>
      </c>
      <c r="G31" s="47">
        <v>1</v>
      </c>
      <c r="H31" s="47" t="s">
        <v>168</v>
      </c>
      <c r="I31" s="47" t="s">
        <v>266</v>
      </c>
      <c r="J31" s="48">
        <f t="shared" si="0"/>
        <v>100</v>
      </c>
    </row>
    <row r="32" spans="1:10" ht="21" customHeight="1" x14ac:dyDescent="0.15">
      <c r="A32" s="47">
        <v>50005031</v>
      </c>
      <c r="B32" s="47">
        <v>0</v>
      </c>
      <c r="C32" s="47">
        <v>90</v>
      </c>
      <c r="D32" s="47">
        <v>100</v>
      </c>
      <c r="E32" s="47" t="s">
        <v>264</v>
      </c>
      <c r="F32" s="47" t="s">
        <v>265</v>
      </c>
      <c r="G32" s="47">
        <v>1</v>
      </c>
      <c r="H32" s="47">
        <v>1</v>
      </c>
      <c r="I32" s="47" t="s">
        <v>266</v>
      </c>
      <c r="J32" s="48">
        <f t="shared" si="0"/>
        <v>100</v>
      </c>
    </row>
    <row r="33" spans="1:10" ht="21" customHeight="1" x14ac:dyDescent="0.15">
      <c r="A33" s="47">
        <v>50005032</v>
      </c>
      <c r="B33" s="47">
        <v>0</v>
      </c>
      <c r="C33" s="47">
        <v>50</v>
      </c>
      <c r="D33" s="47">
        <v>50</v>
      </c>
      <c r="E33" s="47" t="s">
        <v>264</v>
      </c>
      <c r="F33" s="47" t="s">
        <v>265</v>
      </c>
      <c r="G33" s="47" t="s">
        <v>266</v>
      </c>
      <c r="H33" s="47" t="s">
        <v>168</v>
      </c>
      <c r="I33" s="47" t="s">
        <v>266</v>
      </c>
      <c r="J33" s="48">
        <f t="shared" si="0"/>
        <v>50</v>
      </c>
    </row>
    <row r="34" spans="1:10" ht="21" customHeight="1" x14ac:dyDescent="0.15">
      <c r="A34" s="47">
        <v>50005033</v>
      </c>
      <c r="B34" s="47">
        <v>0</v>
      </c>
      <c r="C34" s="47">
        <v>49</v>
      </c>
      <c r="D34" s="47">
        <v>100</v>
      </c>
      <c r="E34" s="47" t="s">
        <v>264</v>
      </c>
      <c r="F34" s="47" t="s">
        <v>265</v>
      </c>
      <c r="G34" s="47" t="s">
        <v>266</v>
      </c>
      <c r="H34" s="47" t="s">
        <v>168</v>
      </c>
      <c r="I34" s="47" t="s">
        <v>266</v>
      </c>
      <c r="J34" s="48">
        <f t="shared" si="0"/>
        <v>100</v>
      </c>
    </row>
    <row r="35" spans="1:10" ht="21" customHeight="1" x14ac:dyDescent="0.15">
      <c r="A35" s="47">
        <v>50005034</v>
      </c>
      <c r="B35" s="47">
        <v>0</v>
      </c>
      <c r="C35" s="47">
        <v>60</v>
      </c>
      <c r="D35" s="47">
        <v>100</v>
      </c>
      <c r="E35" s="47">
        <v>50</v>
      </c>
      <c r="F35" s="47" t="s">
        <v>265</v>
      </c>
      <c r="G35" s="47">
        <v>1</v>
      </c>
      <c r="H35" s="47" t="s">
        <v>168</v>
      </c>
      <c r="I35" s="47" t="s">
        <v>266</v>
      </c>
      <c r="J35" s="48">
        <f t="shared" si="0"/>
        <v>100</v>
      </c>
    </row>
    <row r="36" spans="1:10" ht="21" customHeight="1" x14ac:dyDescent="0.15">
      <c r="A36" s="47">
        <v>50005035</v>
      </c>
      <c r="B36" s="47">
        <v>0</v>
      </c>
      <c r="C36" s="47">
        <v>59</v>
      </c>
      <c r="D36" s="47">
        <v>100</v>
      </c>
      <c r="E36" s="47">
        <v>50</v>
      </c>
      <c r="F36" s="47" t="s">
        <v>265</v>
      </c>
      <c r="G36" s="47">
        <v>1</v>
      </c>
      <c r="H36" s="47" t="s">
        <v>168</v>
      </c>
      <c r="I36" s="47" t="s">
        <v>266</v>
      </c>
      <c r="J36" s="48">
        <f t="shared" si="0"/>
        <v>100</v>
      </c>
    </row>
    <row r="37" spans="1:10" ht="21" customHeight="1" x14ac:dyDescent="0.15">
      <c r="A37" s="47">
        <v>50005036</v>
      </c>
      <c r="B37" s="47">
        <v>0</v>
      </c>
      <c r="C37" s="47">
        <v>58</v>
      </c>
      <c r="D37" s="47">
        <v>100</v>
      </c>
      <c r="E37" s="47">
        <v>50</v>
      </c>
      <c r="F37" s="47" t="s">
        <v>265</v>
      </c>
      <c r="G37" s="47">
        <v>1</v>
      </c>
      <c r="H37" s="47" t="s">
        <v>168</v>
      </c>
      <c r="I37" s="47" t="s">
        <v>266</v>
      </c>
      <c r="J37" s="48">
        <f t="shared" si="0"/>
        <v>100</v>
      </c>
    </row>
    <row r="38" spans="1:10" ht="21" customHeight="1" x14ac:dyDescent="0.15">
      <c r="A38" s="47">
        <v>50005037</v>
      </c>
      <c r="B38" s="47">
        <v>1</v>
      </c>
      <c r="C38" s="47">
        <v>100</v>
      </c>
      <c r="D38" s="47">
        <v>100</v>
      </c>
      <c r="E38" s="47" t="s">
        <v>264</v>
      </c>
      <c r="F38" s="47" t="s">
        <v>265</v>
      </c>
      <c r="G38" s="47">
        <v>1</v>
      </c>
      <c r="H38" s="47" t="s">
        <v>168</v>
      </c>
      <c r="I38" s="47" t="s">
        <v>266</v>
      </c>
      <c r="J38" s="48">
        <f t="shared" si="0"/>
        <v>100</v>
      </c>
    </row>
    <row r="39" spans="1:10" ht="21" customHeight="1" x14ac:dyDescent="0.15">
      <c r="A39" s="47">
        <v>50005038</v>
      </c>
      <c r="B39" s="47">
        <v>0</v>
      </c>
      <c r="C39" s="47">
        <v>50</v>
      </c>
      <c r="D39" s="47">
        <v>50</v>
      </c>
      <c r="E39" s="47" t="s">
        <v>264</v>
      </c>
      <c r="F39" s="47" t="s">
        <v>265</v>
      </c>
      <c r="G39" s="47" t="s">
        <v>266</v>
      </c>
      <c r="H39" s="47">
        <v>1</v>
      </c>
      <c r="I39" s="47" t="s">
        <v>266</v>
      </c>
      <c r="J39" s="48">
        <f t="shared" si="0"/>
        <v>50</v>
      </c>
    </row>
    <row r="40" spans="1:10" ht="21" customHeight="1" x14ac:dyDescent="0.15">
      <c r="A40" s="47">
        <v>50005039</v>
      </c>
      <c r="B40" s="47">
        <v>0</v>
      </c>
      <c r="C40" s="47">
        <v>49</v>
      </c>
      <c r="D40" s="47">
        <v>100</v>
      </c>
      <c r="E40" s="47" t="s">
        <v>264</v>
      </c>
      <c r="F40" s="47" t="s">
        <v>265</v>
      </c>
      <c r="G40" s="47" t="s">
        <v>266</v>
      </c>
      <c r="H40" s="47">
        <v>1</v>
      </c>
      <c r="I40" s="47" t="s">
        <v>266</v>
      </c>
      <c r="J40" s="48">
        <f t="shared" si="0"/>
        <v>100</v>
      </c>
    </row>
    <row r="41" spans="1:10" ht="21" customHeight="1" x14ac:dyDescent="0.15">
      <c r="A41" s="47">
        <v>50005040</v>
      </c>
      <c r="B41" s="47">
        <v>0</v>
      </c>
      <c r="C41" s="47">
        <v>60</v>
      </c>
      <c r="D41" s="47">
        <v>100</v>
      </c>
      <c r="E41" s="47" t="s">
        <v>264</v>
      </c>
      <c r="F41" s="47" t="s">
        <v>265</v>
      </c>
      <c r="G41" s="47" t="s">
        <v>266</v>
      </c>
      <c r="H41" s="47">
        <v>2</v>
      </c>
      <c r="I41" s="47" t="s">
        <v>266</v>
      </c>
      <c r="J41" s="48">
        <f t="shared" si="0"/>
        <v>100</v>
      </c>
    </row>
    <row r="42" spans="1:10" ht="21" customHeight="1" x14ac:dyDescent="0.15">
      <c r="A42" s="47">
        <v>50005041</v>
      </c>
      <c r="B42" s="47">
        <v>0</v>
      </c>
      <c r="C42" s="47">
        <v>61</v>
      </c>
      <c r="D42" s="47">
        <v>100</v>
      </c>
      <c r="E42" s="47" t="s">
        <v>264</v>
      </c>
      <c r="F42" s="47" t="s">
        <v>265</v>
      </c>
      <c r="G42" s="47" t="s">
        <v>266</v>
      </c>
      <c r="H42" s="47">
        <v>4</v>
      </c>
      <c r="I42" s="47" t="s">
        <v>266</v>
      </c>
      <c r="J42" s="48">
        <f t="shared" si="0"/>
        <v>100</v>
      </c>
    </row>
    <row r="43" spans="1:10" ht="21" customHeight="1" x14ac:dyDescent="0.15">
      <c r="A43" s="47">
        <v>50005042</v>
      </c>
      <c r="B43" s="47">
        <v>0</v>
      </c>
      <c r="C43" s="47">
        <v>70</v>
      </c>
      <c r="D43" s="47">
        <v>100</v>
      </c>
      <c r="E43" s="47">
        <v>50</v>
      </c>
      <c r="F43" s="47" t="s">
        <v>265</v>
      </c>
      <c r="G43" s="47">
        <v>1</v>
      </c>
      <c r="H43" s="47">
        <v>1</v>
      </c>
      <c r="I43" s="47" t="s">
        <v>266</v>
      </c>
      <c r="J43" s="48">
        <f t="shared" si="0"/>
        <v>100</v>
      </c>
    </row>
    <row r="44" spans="1:10" ht="21" customHeight="1" x14ac:dyDescent="0.15">
      <c r="A44" s="47">
        <v>50005043</v>
      </c>
      <c r="B44" s="47">
        <v>0</v>
      </c>
      <c r="C44" s="47">
        <v>99</v>
      </c>
      <c r="D44" s="47">
        <v>100</v>
      </c>
      <c r="E44" s="47" t="s">
        <v>264</v>
      </c>
      <c r="F44" s="47" t="s">
        <v>265</v>
      </c>
      <c r="G44" s="47" t="s">
        <v>266</v>
      </c>
      <c r="H44" s="47">
        <v>9</v>
      </c>
      <c r="I44" s="47" t="s">
        <v>266</v>
      </c>
      <c r="J44" s="48">
        <f t="shared" si="0"/>
        <v>100</v>
      </c>
    </row>
    <row r="45" spans="1:10" ht="21" customHeight="1" x14ac:dyDescent="0.15">
      <c r="A45" s="47">
        <v>50005044</v>
      </c>
      <c r="B45" s="47">
        <v>0</v>
      </c>
      <c r="C45" s="47">
        <v>99</v>
      </c>
      <c r="D45" s="47">
        <v>100</v>
      </c>
      <c r="E45" s="47" t="s">
        <v>264</v>
      </c>
      <c r="F45" s="47" t="s">
        <v>265</v>
      </c>
      <c r="G45" s="47" t="s">
        <v>266</v>
      </c>
      <c r="H45" s="47">
        <v>10</v>
      </c>
      <c r="I45" s="47" t="s">
        <v>266</v>
      </c>
      <c r="J45" s="48">
        <f t="shared" si="0"/>
        <v>100</v>
      </c>
    </row>
    <row r="46" spans="1:10" ht="21" customHeight="1" x14ac:dyDescent="0.15">
      <c r="A46" s="47">
        <v>50005045</v>
      </c>
      <c r="B46" s="47">
        <v>1</v>
      </c>
      <c r="C46" s="47">
        <v>100</v>
      </c>
      <c r="D46" s="47">
        <v>100</v>
      </c>
      <c r="E46" s="47" t="s">
        <v>264</v>
      </c>
      <c r="F46" s="47" t="s">
        <v>265</v>
      </c>
      <c r="G46" s="47">
        <v>1</v>
      </c>
      <c r="H46" s="47" t="s">
        <v>168</v>
      </c>
      <c r="I46" s="47" t="s">
        <v>266</v>
      </c>
      <c r="J46" s="48">
        <f t="shared" si="0"/>
        <v>100</v>
      </c>
    </row>
    <row r="47" spans="1:10" ht="21" customHeight="1" x14ac:dyDescent="0.15">
      <c r="A47" s="47">
        <v>50005046</v>
      </c>
      <c r="B47" s="47">
        <v>0</v>
      </c>
      <c r="C47" s="47">
        <v>50</v>
      </c>
      <c r="D47" s="47">
        <v>50</v>
      </c>
      <c r="E47" s="47" t="s">
        <v>264</v>
      </c>
      <c r="F47" s="47" t="s">
        <v>265</v>
      </c>
      <c r="G47" s="47" t="s">
        <v>266</v>
      </c>
      <c r="H47" s="47" t="s">
        <v>168</v>
      </c>
      <c r="I47" s="47" t="s">
        <v>266</v>
      </c>
      <c r="J47" s="48">
        <f t="shared" si="0"/>
        <v>50</v>
      </c>
    </row>
    <row r="48" spans="1:10" ht="21" customHeight="1" x14ac:dyDescent="0.15">
      <c r="A48" s="47">
        <v>50005047</v>
      </c>
      <c r="B48" s="47">
        <v>0</v>
      </c>
      <c r="C48" s="47">
        <v>49</v>
      </c>
      <c r="D48" s="47">
        <v>100</v>
      </c>
      <c r="E48" s="47" t="s">
        <v>264</v>
      </c>
      <c r="F48" s="47" t="s">
        <v>265</v>
      </c>
      <c r="G48" s="47" t="s">
        <v>266</v>
      </c>
      <c r="H48" s="47" t="s">
        <v>168</v>
      </c>
      <c r="I48" s="47" t="s">
        <v>266</v>
      </c>
      <c r="J48" s="48">
        <f t="shared" si="0"/>
        <v>100</v>
      </c>
    </row>
    <row r="49" spans="1:10" ht="21" customHeight="1" x14ac:dyDescent="0.15">
      <c r="A49" s="47">
        <v>50005048</v>
      </c>
      <c r="B49" s="47">
        <v>0</v>
      </c>
      <c r="C49" s="47">
        <v>60</v>
      </c>
      <c r="D49" s="47">
        <v>100</v>
      </c>
      <c r="E49" s="47">
        <v>50</v>
      </c>
      <c r="F49" s="47" t="s">
        <v>265</v>
      </c>
      <c r="G49" s="47">
        <v>1</v>
      </c>
      <c r="H49" s="47" t="s">
        <v>168</v>
      </c>
      <c r="I49" s="47" t="s">
        <v>266</v>
      </c>
      <c r="J49" s="48">
        <f t="shared" si="0"/>
        <v>100</v>
      </c>
    </row>
    <row r="50" spans="1:10" ht="21" customHeight="1" x14ac:dyDescent="0.15">
      <c r="A50" s="47">
        <v>50005049</v>
      </c>
      <c r="B50" s="47">
        <v>0</v>
      </c>
      <c r="C50" s="47">
        <v>59</v>
      </c>
      <c r="D50" s="47">
        <v>100</v>
      </c>
      <c r="E50" s="47">
        <v>50</v>
      </c>
      <c r="F50" s="47" t="s">
        <v>265</v>
      </c>
      <c r="G50" s="47">
        <v>1</v>
      </c>
      <c r="H50" s="47" t="s">
        <v>168</v>
      </c>
      <c r="I50" s="47" t="s">
        <v>266</v>
      </c>
      <c r="J50" s="48">
        <f t="shared" si="0"/>
        <v>100</v>
      </c>
    </row>
    <row r="51" spans="1:10" ht="21" customHeight="1" x14ac:dyDescent="0.15">
      <c r="A51" s="47">
        <v>50005050</v>
      </c>
      <c r="B51" s="47">
        <v>0</v>
      </c>
      <c r="C51" s="47">
        <v>99</v>
      </c>
      <c r="D51" s="47">
        <v>100</v>
      </c>
      <c r="E51" s="47" t="s">
        <v>264</v>
      </c>
      <c r="F51" s="47" t="s">
        <v>265</v>
      </c>
      <c r="G51" s="47" t="s">
        <v>266</v>
      </c>
      <c r="H51" s="47">
        <v>9</v>
      </c>
      <c r="I51" s="47" t="s">
        <v>266</v>
      </c>
      <c r="J51" s="48">
        <f t="shared" si="0"/>
        <v>100</v>
      </c>
    </row>
    <row r="52" spans="1:10" ht="21" customHeight="1" x14ac:dyDescent="0.15">
      <c r="A52" s="47">
        <v>50005051</v>
      </c>
      <c r="B52" s="47">
        <v>0</v>
      </c>
      <c r="C52" s="47">
        <v>99</v>
      </c>
      <c r="D52" s="47">
        <v>100</v>
      </c>
      <c r="E52" s="47" t="s">
        <v>264</v>
      </c>
      <c r="F52" s="47" t="s">
        <v>265</v>
      </c>
      <c r="G52" s="47" t="s">
        <v>266</v>
      </c>
      <c r="H52" s="47">
        <v>10</v>
      </c>
      <c r="I52" s="47" t="s">
        <v>266</v>
      </c>
      <c r="J52" s="48">
        <f t="shared" si="0"/>
        <v>100</v>
      </c>
    </row>
    <row r="53" spans="1:10" ht="21" customHeight="1" x14ac:dyDescent="0.15">
      <c r="A53" s="47">
        <v>50005052</v>
      </c>
      <c r="B53" s="47">
        <v>1</v>
      </c>
      <c r="C53" s="47">
        <v>100</v>
      </c>
      <c r="D53" s="47">
        <v>100</v>
      </c>
      <c r="E53" s="47" t="s">
        <v>264</v>
      </c>
      <c r="F53" s="47" t="s">
        <v>265</v>
      </c>
      <c r="G53" s="47">
        <v>1</v>
      </c>
      <c r="H53" s="47" t="s">
        <v>168</v>
      </c>
      <c r="I53" s="47" t="s">
        <v>266</v>
      </c>
      <c r="J53" s="48">
        <f t="shared" si="0"/>
        <v>100</v>
      </c>
    </row>
    <row r="54" spans="1:10" ht="21" customHeight="1" x14ac:dyDescent="0.15">
      <c r="A54" s="47">
        <v>50005053</v>
      </c>
      <c r="B54" s="47">
        <v>0</v>
      </c>
      <c r="C54" s="47">
        <v>90</v>
      </c>
      <c r="D54" s="47">
        <v>100</v>
      </c>
      <c r="E54" s="47" t="s">
        <v>264</v>
      </c>
      <c r="F54" s="47" t="s">
        <v>265</v>
      </c>
      <c r="G54" s="47">
        <v>1</v>
      </c>
      <c r="H54" s="47">
        <v>1</v>
      </c>
      <c r="I54" s="47" t="s">
        <v>266</v>
      </c>
      <c r="J54" s="48">
        <f t="shared" si="0"/>
        <v>100</v>
      </c>
    </row>
    <row r="55" spans="1:10" ht="21" customHeight="1" x14ac:dyDescent="0.15">
      <c r="A55" s="47">
        <v>50005054</v>
      </c>
      <c r="B55" s="47">
        <v>0</v>
      </c>
      <c r="C55" s="47">
        <v>50</v>
      </c>
      <c r="D55" s="47">
        <v>100</v>
      </c>
      <c r="E55" s="47" t="s">
        <v>264</v>
      </c>
      <c r="F55" s="47">
        <v>75</v>
      </c>
      <c r="G55" s="47" t="s">
        <v>266</v>
      </c>
      <c r="H55" s="47" t="s">
        <v>168</v>
      </c>
      <c r="I55" s="47" t="s">
        <v>266</v>
      </c>
      <c r="J55" s="48">
        <f t="shared" si="0"/>
        <v>100</v>
      </c>
    </row>
    <row r="56" spans="1:10" ht="21" customHeight="1" x14ac:dyDescent="0.15">
      <c r="A56" s="47">
        <v>50005055</v>
      </c>
      <c r="B56" s="47">
        <v>0</v>
      </c>
      <c r="C56" s="47">
        <v>51</v>
      </c>
      <c r="D56" s="47">
        <v>100</v>
      </c>
      <c r="E56" s="47">
        <v>75</v>
      </c>
      <c r="F56" s="47">
        <v>50</v>
      </c>
      <c r="G56" s="47" t="s">
        <v>266</v>
      </c>
      <c r="H56" s="47" t="s">
        <v>168</v>
      </c>
      <c r="I56" s="47" t="s">
        <v>266</v>
      </c>
      <c r="J56" s="48">
        <f t="shared" si="0"/>
        <v>100</v>
      </c>
    </row>
    <row r="57" spans="1:10" ht="21" customHeight="1" x14ac:dyDescent="0.15">
      <c r="A57" s="47">
        <v>50005056</v>
      </c>
      <c r="B57" s="47">
        <v>0</v>
      </c>
      <c r="C57" s="47">
        <v>52</v>
      </c>
      <c r="D57" s="47">
        <v>100</v>
      </c>
      <c r="E57" s="47">
        <v>50</v>
      </c>
      <c r="F57" s="47">
        <v>25</v>
      </c>
      <c r="G57" s="47" t="s">
        <v>266</v>
      </c>
      <c r="H57" s="47" t="s">
        <v>168</v>
      </c>
      <c r="I57" s="47" t="s">
        <v>266</v>
      </c>
      <c r="J57" s="48">
        <f t="shared" si="0"/>
        <v>100</v>
      </c>
    </row>
    <row r="58" spans="1:10" ht="21" customHeight="1" x14ac:dyDescent="0.15">
      <c r="A58" s="47">
        <v>50005057</v>
      </c>
      <c r="B58" s="47">
        <v>0</v>
      </c>
      <c r="C58" s="47">
        <v>53</v>
      </c>
      <c r="D58" s="47">
        <v>100</v>
      </c>
      <c r="E58" s="47">
        <v>25</v>
      </c>
      <c r="F58" s="47" t="s">
        <v>265</v>
      </c>
      <c r="G58" s="47" t="s">
        <v>266</v>
      </c>
      <c r="H58" s="47" t="s">
        <v>168</v>
      </c>
      <c r="I58" s="47" t="s">
        <v>266</v>
      </c>
      <c r="J58" s="48">
        <f t="shared" si="0"/>
        <v>100</v>
      </c>
    </row>
    <row r="59" spans="1:10" ht="21" customHeight="1" x14ac:dyDescent="0.15">
      <c r="A59" s="47">
        <v>50005058</v>
      </c>
      <c r="B59" s="47">
        <v>0</v>
      </c>
      <c r="C59" s="47">
        <v>60</v>
      </c>
      <c r="D59" s="47">
        <v>100</v>
      </c>
      <c r="E59" s="47" t="s">
        <v>264</v>
      </c>
      <c r="F59" s="47" t="s">
        <v>265</v>
      </c>
      <c r="G59" s="47">
        <v>1</v>
      </c>
      <c r="H59" s="47">
        <v>1</v>
      </c>
      <c r="I59" s="47" t="s">
        <v>266</v>
      </c>
      <c r="J59" s="48">
        <f t="shared" si="0"/>
        <v>100</v>
      </c>
    </row>
    <row r="60" spans="1:10" ht="21" customHeight="1" x14ac:dyDescent="0.15">
      <c r="A60" s="47">
        <v>50005059</v>
      </c>
      <c r="B60" s="47">
        <v>0</v>
      </c>
      <c r="C60" s="47">
        <v>70</v>
      </c>
      <c r="D60" s="47">
        <v>100</v>
      </c>
      <c r="E60" s="47" t="s">
        <v>264</v>
      </c>
      <c r="F60" s="47" t="s">
        <v>265</v>
      </c>
      <c r="G60" s="47">
        <v>1</v>
      </c>
      <c r="H60" s="47">
        <v>6</v>
      </c>
      <c r="I60" s="47" t="s">
        <v>266</v>
      </c>
      <c r="J60" s="48">
        <f t="shared" si="0"/>
        <v>100</v>
      </c>
    </row>
    <row r="61" spans="1:10" ht="21" customHeight="1" x14ac:dyDescent="0.15">
      <c r="A61" s="47">
        <v>50005060</v>
      </c>
      <c r="B61" s="47">
        <v>0</v>
      </c>
      <c r="C61" s="47">
        <v>99</v>
      </c>
      <c r="D61" s="47">
        <v>100</v>
      </c>
      <c r="E61" s="47" t="s">
        <v>264</v>
      </c>
      <c r="F61" s="47" t="s">
        <v>265</v>
      </c>
      <c r="G61" s="47" t="s">
        <v>266</v>
      </c>
      <c r="H61" s="47">
        <v>9</v>
      </c>
      <c r="I61" s="47" t="s">
        <v>266</v>
      </c>
      <c r="J61" s="48">
        <f t="shared" si="0"/>
        <v>100</v>
      </c>
    </row>
    <row r="62" spans="1:10" ht="21" customHeight="1" x14ac:dyDescent="0.15">
      <c r="A62" s="47">
        <v>50005061</v>
      </c>
      <c r="B62" s="47">
        <v>0</v>
      </c>
      <c r="C62" s="47">
        <v>99</v>
      </c>
      <c r="D62" s="47">
        <v>100</v>
      </c>
      <c r="E62" s="47" t="s">
        <v>264</v>
      </c>
      <c r="F62" s="47" t="s">
        <v>265</v>
      </c>
      <c r="G62" s="47" t="s">
        <v>266</v>
      </c>
      <c r="H62" s="47">
        <v>10</v>
      </c>
      <c r="I62" s="47" t="s">
        <v>266</v>
      </c>
      <c r="J62" s="48">
        <f t="shared" si="0"/>
        <v>100</v>
      </c>
    </row>
    <row r="63" spans="1:10" ht="21" customHeight="1" x14ac:dyDescent="0.15">
      <c r="A63" s="47">
        <v>50005062</v>
      </c>
      <c r="B63" s="47">
        <v>0</v>
      </c>
      <c r="C63" s="47">
        <v>69</v>
      </c>
      <c r="D63" s="47">
        <v>100</v>
      </c>
      <c r="E63" s="47" t="s">
        <v>264</v>
      </c>
      <c r="F63" s="47" t="s">
        <v>265</v>
      </c>
      <c r="G63" s="47">
        <v>1</v>
      </c>
      <c r="H63" s="47">
        <v>7</v>
      </c>
      <c r="I63" s="47" t="s">
        <v>266</v>
      </c>
      <c r="J63" s="48">
        <f t="shared" ref="J63:J64" si="1">D63</f>
        <v>100</v>
      </c>
    </row>
    <row r="64" spans="1:10" ht="21" customHeight="1" x14ac:dyDescent="0.15">
      <c r="A64" s="103">
        <v>50005063</v>
      </c>
      <c r="B64" s="103">
        <v>1</v>
      </c>
      <c r="C64" s="103">
        <v>101</v>
      </c>
      <c r="D64" s="103">
        <v>100</v>
      </c>
      <c r="E64" s="103" t="s">
        <v>88</v>
      </c>
      <c r="F64" s="103" t="s">
        <v>88</v>
      </c>
      <c r="G64" s="103">
        <v>1</v>
      </c>
      <c r="H64" s="103" t="s">
        <v>88</v>
      </c>
      <c r="I64" s="103">
        <v>846</v>
      </c>
      <c r="J64" s="106">
        <f t="shared" si="1"/>
        <v>100</v>
      </c>
    </row>
    <row r="65" spans="1:10" ht="21" customHeight="1" x14ac:dyDescent="0.15">
      <c r="A65" s="103">
        <v>50005064</v>
      </c>
      <c r="B65" s="103">
        <v>1</v>
      </c>
      <c r="C65" s="103">
        <v>101</v>
      </c>
      <c r="D65" s="103">
        <v>100</v>
      </c>
      <c r="E65" s="103" t="s">
        <v>88</v>
      </c>
      <c r="F65" s="103" t="s">
        <v>88</v>
      </c>
      <c r="G65" s="103">
        <v>1</v>
      </c>
      <c r="H65" s="103" t="s">
        <v>88</v>
      </c>
      <c r="I65" s="103">
        <v>847</v>
      </c>
      <c r="J65" s="106">
        <f t="shared" ref="J65:J66" si="2">D65</f>
        <v>100</v>
      </c>
    </row>
    <row r="66" spans="1:10" ht="21" customHeight="1" x14ac:dyDescent="0.15">
      <c r="A66" s="103">
        <v>50005065</v>
      </c>
      <c r="B66" s="103">
        <v>0</v>
      </c>
      <c r="C66" s="103">
        <v>101</v>
      </c>
      <c r="D66" s="103">
        <v>100</v>
      </c>
      <c r="E66" s="103" t="s">
        <v>264</v>
      </c>
      <c r="F66" s="103" t="s">
        <v>265</v>
      </c>
      <c r="G66" s="103">
        <v>0</v>
      </c>
      <c r="H66" s="103" t="s">
        <v>168</v>
      </c>
      <c r="I66" s="103">
        <v>846</v>
      </c>
      <c r="J66" s="106">
        <f t="shared" si="2"/>
        <v>100</v>
      </c>
    </row>
    <row r="67" spans="1:10" ht="21" customHeight="1" x14ac:dyDescent="0.15">
      <c r="A67" s="103">
        <v>50005066</v>
      </c>
      <c r="B67" s="103">
        <v>0</v>
      </c>
      <c r="C67" s="103">
        <v>101</v>
      </c>
      <c r="D67" s="103">
        <v>100</v>
      </c>
      <c r="E67" s="103" t="s">
        <v>264</v>
      </c>
      <c r="F67" s="103" t="s">
        <v>265</v>
      </c>
      <c r="G67" s="103">
        <v>0</v>
      </c>
      <c r="H67" s="103" t="s">
        <v>168</v>
      </c>
      <c r="I67" s="103">
        <v>847</v>
      </c>
      <c r="J67" s="106">
        <f t="shared" ref="J67" si="3">D67</f>
        <v>100</v>
      </c>
    </row>
  </sheetData>
  <autoFilter ref="A1:G1"/>
  <phoneticPr fontId="5"/>
  <conditionalFormatting sqref="K1:K62 K65 K67:K1048576">
    <cfRule type="duplicateValues" dxfId="3" priority="4"/>
  </conditionalFormatting>
  <conditionalFormatting sqref="K63">
    <cfRule type="duplicateValues" dxfId="2" priority="3"/>
  </conditionalFormatting>
  <conditionalFormatting sqref="K64">
    <cfRule type="duplicateValues" dxfId="1" priority="2"/>
  </conditionalFormatting>
  <conditionalFormatting sqref="K6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5"/>
  <sheetViews>
    <sheetView workbookViewId="0">
      <selection activeCell="F18" sqref="F18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149</v>
      </c>
      <c r="B1" s="64" t="s">
        <v>150</v>
      </c>
      <c r="C1" s="65" t="s">
        <v>151</v>
      </c>
      <c r="D1" s="71" t="s">
        <v>152</v>
      </c>
      <c r="E1" s="66" t="s">
        <v>153</v>
      </c>
      <c r="F1" s="64" t="s">
        <v>154</v>
      </c>
      <c r="G1" s="64" t="s">
        <v>155</v>
      </c>
      <c r="H1" s="64" t="s">
        <v>156</v>
      </c>
      <c r="I1" s="64" t="s">
        <v>157</v>
      </c>
      <c r="J1" s="64" t="s">
        <v>158</v>
      </c>
      <c r="K1" s="64" t="s">
        <v>159</v>
      </c>
      <c r="L1" s="64" t="s">
        <v>160</v>
      </c>
      <c r="M1" s="64" t="s">
        <v>161</v>
      </c>
      <c r="N1" s="64" t="s">
        <v>162</v>
      </c>
      <c r="O1" s="64" t="s">
        <v>163</v>
      </c>
      <c r="P1" s="64" t="s">
        <v>164</v>
      </c>
      <c r="Q1" s="64" t="s">
        <v>165</v>
      </c>
      <c r="R1" s="64" t="s">
        <v>166</v>
      </c>
    </row>
    <row r="2" spans="1:18" x14ac:dyDescent="0.15">
      <c r="A2" s="57">
        <v>50005</v>
      </c>
      <c r="B2" s="57">
        <v>1</v>
      </c>
      <c r="C2" s="70" t="str">
        <f>A2&amp; "_"&amp;B2</f>
        <v>50005_1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80" t="s">
        <v>167</v>
      </c>
      <c r="G2" s="80">
        <v>65000</v>
      </c>
      <c r="H2" s="80" t="s">
        <v>443</v>
      </c>
      <c r="I2" s="80">
        <v>1</v>
      </c>
      <c r="J2" s="80">
        <v>1</v>
      </c>
      <c r="K2" s="80">
        <v>0</v>
      </c>
      <c r="L2" s="80">
        <v>0</v>
      </c>
      <c r="M2" s="80">
        <v>0</v>
      </c>
      <c r="N2" s="80">
        <v>0</v>
      </c>
      <c r="O2" s="80">
        <v>1</v>
      </c>
      <c r="P2" s="80">
        <v>50</v>
      </c>
      <c r="Q2" s="57" t="s">
        <v>169</v>
      </c>
      <c r="R2" s="57" t="s">
        <v>170</v>
      </c>
    </row>
    <row r="3" spans="1:18" x14ac:dyDescent="0.15">
      <c r="A3" s="57">
        <v>50005</v>
      </c>
      <c r="B3" s="57">
        <v>1</v>
      </c>
      <c r="C3" s="70" t="str">
        <f t="shared" ref="C3:C12" si="0">A3&amp; "_"&amp;B3</f>
        <v>50005_1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80" t="s">
        <v>281</v>
      </c>
      <c r="G3" s="80">
        <v>347</v>
      </c>
      <c r="H3" s="80">
        <v>1</v>
      </c>
      <c r="I3" s="80">
        <v>1</v>
      </c>
      <c r="J3" s="80">
        <v>1</v>
      </c>
      <c r="K3" s="80">
        <v>0</v>
      </c>
      <c r="L3" s="80">
        <v>0</v>
      </c>
      <c r="M3" s="80">
        <v>0</v>
      </c>
      <c r="N3" s="80">
        <v>0</v>
      </c>
      <c r="O3" s="80">
        <v>1</v>
      </c>
      <c r="P3" s="80">
        <v>250</v>
      </c>
      <c r="Q3" s="57" t="s">
        <v>169</v>
      </c>
      <c r="R3" s="57" t="s">
        <v>170</v>
      </c>
    </row>
    <row r="4" spans="1:18" x14ac:dyDescent="0.15">
      <c r="A4" s="57">
        <v>50005</v>
      </c>
      <c r="B4" s="57">
        <v>1</v>
      </c>
      <c r="C4" s="70" t="str">
        <f t="shared" si="0"/>
        <v>50005_1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80" t="s">
        <v>281</v>
      </c>
      <c r="G4" s="80">
        <v>355</v>
      </c>
      <c r="H4" s="80">
        <v>1</v>
      </c>
      <c r="I4" s="80">
        <v>1</v>
      </c>
      <c r="J4" s="80">
        <v>1</v>
      </c>
      <c r="K4" s="80">
        <v>0</v>
      </c>
      <c r="L4" s="80">
        <v>0</v>
      </c>
      <c r="M4" s="80">
        <v>0</v>
      </c>
      <c r="N4" s="80">
        <v>0</v>
      </c>
      <c r="O4" s="80">
        <v>1</v>
      </c>
      <c r="P4" s="80">
        <v>50</v>
      </c>
      <c r="Q4" s="57" t="s">
        <v>169</v>
      </c>
      <c r="R4" s="57" t="s">
        <v>170</v>
      </c>
    </row>
    <row r="5" spans="1:18" x14ac:dyDescent="0.15">
      <c r="A5" s="57">
        <v>50005</v>
      </c>
      <c r="B5" s="57">
        <v>1</v>
      </c>
      <c r="C5" s="70" t="str">
        <f t="shared" si="0"/>
        <v>50005_1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80" t="s">
        <v>281</v>
      </c>
      <c r="G5" s="80">
        <v>125</v>
      </c>
      <c r="H5" s="80">
        <v>1</v>
      </c>
      <c r="I5" s="80">
        <v>1</v>
      </c>
      <c r="J5" s="80">
        <v>1</v>
      </c>
      <c r="K5" s="80">
        <v>0</v>
      </c>
      <c r="L5" s="80">
        <v>0</v>
      </c>
      <c r="M5" s="80">
        <v>0</v>
      </c>
      <c r="N5" s="80">
        <v>0</v>
      </c>
      <c r="O5" s="80">
        <v>1</v>
      </c>
      <c r="P5" s="80">
        <v>30</v>
      </c>
      <c r="Q5" s="57" t="s">
        <v>169</v>
      </c>
      <c r="R5" s="57" t="s">
        <v>170</v>
      </c>
    </row>
    <row r="6" spans="1:18" x14ac:dyDescent="0.15">
      <c r="A6" s="57">
        <v>50005</v>
      </c>
      <c r="B6" s="57">
        <v>1</v>
      </c>
      <c r="C6" s="70" t="str">
        <f t="shared" si="0"/>
        <v>50005_1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80" t="s">
        <v>281</v>
      </c>
      <c r="G6" s="80">
        <v>607</v>
      </c>
      <c r="H6" s="80">
        <v>1</v>
      </c>
      <c r="I6" s="80">
        <v>1</v>
      </c>
      <c r="J6" s="80">
        <v>1</v>
      </c>
      <c r="K6" s="80">
        <v>0</v>
      </c>
      <c r="L6" s="80">
        <v>0</v>
      </c>
      <c r="M6" s="80">
        <v>0</v>
      </c>
      <c r="N6" s="80">
        <v>0</v>
      </c>
      <c r="O6" s="80">
        <v>1</v>
      </c>
      <c r="P6" s="80">
        <v>80</v>
      </c>
      <c r="Q6" s="57" t="s">
        <v>169</v>
      </c>
      <c r="R6" s="57" t="s">
        <v>170</v>
      </c>
    </row>
    <row r="7" spans="1:18" x14ac:dyDescent="0.15">
      <c r="A7" s="57">
        <v>50005</v>
      </c>
      <c r="B7" s="57">
        <v>1</v>
      </c>
      <c r="C7" s="70" t="str">
        <f t="shared" si="0"/>
        <v>50005_1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80" t="s">
        <v>281</v>
      </c>
      <c r="G7" s="80">
        <v>608</v>
      </c>
      <c r="H7" s="80">
        <v>1</v>
      </c>
      <c r="I7" s="80">
        <v>1</v>
      </c>
      <c r="J7" s="80">
        <v>1</v>
      </c>
      <c r="K7" s="80">
        <v>0</v>
      </c>
      <c r="L7" s="80">
        <v>0</v>
      </c>
      <c r="M7" s="80">
        <v>0</v>
      </c>
      <c r="N7" s="80">
        <v>0</v>
      </c>
      <c r="O7" s="80">
        <v>1</v>
      </c>
      <c r="P7" s="80">
        <v>80</v>
      </c>
      <c r="Q7" s="57" t="s">
        <v>169</v>
      </c>
      <c r="R7" s="57" t="s">
        <v>170</v>
      </c>
    </row>
    <row r="8" spans="1:18" x14ac:dyDescent="0.15">
      <c r="A8" s="57">
        <v>50005</v>
      </c>
      <c r="B8" s="57">
        <v>1</v>
      </c>
      <c r="C8" s="70" t="str">
        <f t="shared" si="0"/>
        <v>50005_1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80" t="s">
        <v>281</v>
      </c>
      <c r="G8" s="80">
        <v>609</v>
      </c>
      <c r="H8" s="80">
        <v>1</v>
      </c>
      <c r="I8" s="80">
        <v>1</v>
      </c>
      <c r="J8" s="80">
        <v>1</v>
      </c>
      <c r="K8" s="80">
        <v>0</v>
      </c>
      <c r="L8" s="80">
        <v>0</v>
      </c>
      <c r="M8" s="80">
        <v>0</v>
      </c>
      <c r="N8" s="80">
        <v>0</v>
      </c>
      <c r="O8" s="80">
        <v>1</v>
      </c>
      <c r="P8" s="80">
        <v>80</v>
      </c>
      <c r="Q8" s="57" t="s">
        <v>169</v>
      </c>
      <c r="R8" s="57" t="s">
        <v>170</v>
      </c>
    </row>
    <row r="9" spans="1:18" x14ac:dyDescent="0.15">
      <c r="A9" s="57">
        <v>50005</v>
      </c>
      <c r="B9" s="57">
        <v>1</v>
      </c>
      <c r="C9" s="70" t="str">
        <f t="shared" si="0"/>
        <v>50005_1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80" t="s">
        <v>281</v>
      </c>
      <c r="G9" s="80">
        <v>610</v>
      </c>
      <c r="H9" s="80">
        <v>1</v>
      </c>
      <c r="I9" s="80">
        <v>1</v>
      </c>
      <c r="J9" s="80">
        <v>1</v>
      </c>
      <c r="K9" s="80">
        <v>0</v>
      </c>
      <c r="L9" s="80">
        <v>0</v>
      </c>
      <c r="M9" s="80">
        <v>0</v>
      </c>
      <c r="N9" s="80">
        <v>0</v>
      </c>
      <c r="O9" s="80">
        <v>1</v>
      </c>
      <c r="P9" s="80">
        <v>20</v>
      </c>
      <c r="Q9" s="57" t="s">
        <v>169</v>
      </c>
      <c r="R9" s="57" t="s">
        <v>170</v>
      </c>
    </row>
    <row r="10" spans="1:18" x14ac:dyDescent="0.15">
      <c r="A10" s="57">
        <v>50005</v>
      </c>
      <c r="B10" s="57">
        <v>1</v>
      </c>
      <c r="C10" s="70" t="str">
        <f t="shared" si="0"/>
        <v>50005_1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80" t="s">
        <v>281</v>
      </c>
      <c r="G10" s="80">
        <v>611</v>
      </c>
      <c r="H10" s="80">
        <v>1</v>
      </c>
      <c r="I10" s="80">
        <v>1</v>
      </c>
      <c r="J10" s="80">
        <v>1</v>
      </c>
      <c r="K10" s="80">
        <v>0</v>
      </c>
      <c r="L10" s="80">
        <v>0</v>
      </c>
      <c r="M10" s="80">
        <v>0</v>
      </c>
      <c r="N10" s="80">
        <v>0</v>
      </c>
      <c r="O10" s="80">
        <v>1</v>
      </c>
      <c r="P10" s="80">
        <v>30</v>
      </c>
      <c r="Q10" s="57" t="s">
        <v>169</v>
      </c>
      <c r="R10" s="57" t="s">
        <v>170</v>
      </c>
    </row>
    <row r="11" spans="1:18" x14ac:dyDescent="0.15">
      <c r="A11" s="57">
        <v>50005</v>
      </c>
      <c r="B11" s="57">
        <v>1</v>
      </c>
      <c r="C11" s="70" t="str">
        <f t="shared" si="0"/>
        <v>50005_1</v>
      </c>
      <c r="D11" s="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80" t="s">
        <v>281</v>
      </c>
      <c r="G11" s="80">
        <v>612</v>
      </c>
      <c r="H11" s="80">
        <v>1</v>
      </c>
      <c r="I11" s="80">
        <v>1</v>
      </c>
      <c r="J11" s="80">
        <v>1</v>
      </c>
      <c r="K11" s="80">
        <v>0</v>
      </c>
      <c r="L11" s="80">
        <v>0</v>
      </c>
      <c r="M11" s="80">
        <v>0</v>
      </c>
      <c r="N11" s="80">
        <v>0</v>
      </c>
      <c r="O11" s="80">
        <v>1</v>
      </c>
      <c r="P11" s="80">
        <v>30</v>
      </c>
      <c r="Q11" s="57" t="s">
        <v>169</v>
      </c>
      <c r="R11" s="57" t="s">
        <v>170</v>
      </c>
    </row>
    <row r="12" spans="1:18" x14ac:dyDescent="0.15">
      <c r="A12" s="57">
        <v>50005</v>
      </c>
      <c r="B12" s="57">
        <v>1</v>
      </c>
      <c r="C12" s="70" t="str">
        <f t="shared" si="0"/>
        <v>50005_1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11</v>
      </c>
      <c r="F12" s="80" t="s">
        <v>281</v>
      </c>
      <c r="G12" s="80">
        <v>613</v>
      </c>
      <c r="H12" s="80">
        <v>1</v>
      </c>
      <c r="I12" s="80">
        <v>1</v>
      </c>
      <c r="J12" s="80">
        <v>1</v>
      </c>
      <c r="K12" s="80">
        <v>0</v>
      </c>
      <c r="L12" s="80">
        <v>0</v>
      </c>
      <c r="M12" s="80">
        <v>0</v>
      </c>
      <c r="N12" s="80">
        <v>0</v>
      </c>
      <c r="O12" s="80">
        <v>1</v>
      </c>
      <c r="P12" s="80">
        <v>30</v>
      </c>
      <c r="Q12" s="57" t="s">
        <v>169</v>
      </c>
      <c r="R12" s="57" t="s">
        <v>170</v>
      </c>
    </row>
    <row r="13" spans="1:18" x14ac:dyDescent="0.15">
      <c r="A13" s="57">
        <v>50005</v>
      </c>
      <c r="B13" s="57">
        <v>1</v>
      </c>
      <c r="C13" s="70" t="str">
        <f t="shared" ref="C13:C15" si="1">A13&amp; "_"&amp;B13</f>
        <v>50005_1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80" t="s">
        <v>281</v>
      </c>
      <c r="G13" s="80">
        <v>614</v>
      </c>
      <c r="H13" s="80">
        <v>1</v>
      </c>
      <c r="I13" s="80">
        <v>1</v>
      </c>
      <c r="J13" s="80">
        <v>1</v>
      </c>
      <c r="K13" s="80">
        <v>0</v>
      </c>
      <c r="L13" s="80">
        <v>0</v>
      </c>
      <c r="M13" s="80">
        <v>0</v>
      </c>
      <c r="N13" s="80">
        <v>0</v>
      </c>
      <c r="O13" s="80">
        <v>1</v>
      </c>
      <c r="P13" s="80">
        <v>10</v>
      </c>
      <c r="Q13" s="57" t="s">
        <v>169</v>
      </c>
      <c r="R13" s="57" t="s">
        <v>170</v>
      </c>
    </row>
    <row r="14" spans="1:18" x14ac:dyDescent="0.15">
      <c r="A14" s="57">
        <v>50005</v>
      </c>
      <c r="B14" s="57">
        <v>1</v>
      </c>
      <c r="C14" s="70" t="str">
        <f t="shared" si="1"/>
        <v>50005_1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80" t="s">
        <v>281</v>
      </c>
      <c r="G14" s="80">
        <v>837</v>
      </c>
      <c r="H14" s="80">
        <v>1</v>
      </c>
      <c r="I14" s="80">
        <v>1</v>
      </c>
      <c r="J14" s="80">
        <v>1</v>
      </c>
      <c r="K14" s="80">
        <v>0</v>
      </c>
      <c r="L14" s="80">
        <v>0</v>
      </c>
      <c r="M14" s="80">
        <v>0</v>
      </c>
      <c r="N14" s="80">
        <v>0</v>
      </c>
      <c r="O14" s="80">
        <v>1</v>
      </c>
      <c r="P14" s="80">
        <v>10</v>
      </c>
      <c r="Q14" s="57" t="s">
        <v>169</v>
      </c>
      <c r="R14" s="57" t="s">
        <v>170</v>
      </c>
    </row>
    <row r="15" spans="1:18" x14ac:dyDescent="0.15">
      <c r="A15" s="57">
        <v>50005</v>
      </c>
      <c r="B15" s="57">
        <v>1</v>
      </c>
      <c r="C15" s="70" t="str">
        <f t="shared" si="1"/>
        <v>50005_1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14</v>
      </c>
      <c r="F15" s="80" t="s">
        <v>281</v>
      </c>
      <c r="G15" s="80">
        <v>929</v>
      </c>
      <c r="H15" s="80">
        <v>1</v>
      </c>
      <c r="I15" s="80">
        <v>1</v>
      </c>
      <c r="J15" s="80">
        <v>1</v>
      </c>
      <c r="K15" s="80">
        <v>0</v>
      </c>
      <c r="L15" s="80">
        <v>0</v>
      </c>
      <c r="M15" s="80">
        <v>0</v>
      </c>
      <c r="N15" s="80">
        <v>0</v>
      </c>
      <c r="O15" s="80">
        <v>1</v>
      </c>
      <c r="P15" s="80">
        <v>250</v>
      </c>
      <c r="Q15" s="57" t="s">
        <v>169</v>
      </c>
      <c r="R15" s="57" t="s">
        <v>170</v>
      </c>
    </row>
  </sheetData>
  <phoneticPr fontId="5"/>
  <dataValidations count="1">
    <dataValidation type="list" allowBlank="1" showInputMessage="1" showErrorMessage="1" sqref="F2:F15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I8" sqref="I8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187</v>
      </c>
      <c r="B1" s="72" t="s">
        <v>188</v>
      </c>
      <c r="C1" s="76" t="s">
        <v>189</v>
      </c>
      <c r="D1" s="76" t="s">
        <v>33</v>
      </c>
      <c r="E1" s="72" t="s">
        <v>190</v>
      </c>
      <c r="F1" s="76" t="s">
        <v>191</v>
      </c>
      <c r="G1" s="76" t="s">
        <v>33</v>
      </c>
      <c r="H1" s="72" t="s">
        <v>192</v>
      </c>
      <c r="I1" s="90" t="s">
        <v>194</v>
      </c>
      <c r="J1" s="78" t="s">
        <v>125</v>
      </c>
      <c r="K1" s="77" t="s">
        <v>186</v>
      </c>
      <c r="L1" s="91" t="s">
        <v>185</v>
      </c>
      <c r="M1" s="79" t="s">
        <v>195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3"/>
  <sheetViews>
    <sheetView showGridLines="0" workbookViewId="0">
      <pane ySplit="1" topLeftCell="A7" activePane="bottomLeft" state="frozen"/>
      <selection pane="bottomLeft" activeCell="P20" sqref="P20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5" t="s">
        <v>187</v>
      </c>
      <c r="B1" s="72" t="s">
        <v>149</v>
      </c>
      <c r="C1" s="76" t="s">
        <v>189</v>
      </c>
      <c r="D1" s="76" t="s">
        <v>33</v>
      </c>
      <c r="E1" s="72" t="s">
        <v>190</v>
      </c>
      <c r="F1" s="76" t="s">
        <v>18</v>
      </c>
      <c r="G1" s="76" t="s">
        <v>33</v>
      </c>
      <c r="H1" s="72" t="s">
        <v>192</v>
      </c>
      <c r="I1" s="88" t="s">
        <v>193</v>
      </c>
      <c r="J1" s="90" t="s">
        <v>194</v>
      </c>
      <c r="K1" s="78" t="s">
        <v>125</v>
      </c>
      <c r="L1" s="77" t="s">
        <v>186</v>
      </c>
      <c r="M1" s="91" t="s">
        <v>185</v>
      </c>
      <c r="N1" s="79" t="s">
        <v>195</v>
      </c>
    </row>
    <row r="2" spans="1:15" ht="56" x14ac:dyDescent="0.15">
      <c r="A2" s="80" t="s">
        <v>196</v>
      </c>
      <c r="B2" s="81">
        <v>50005</v>
      </c>
      <c r="C2" s="82" t="str">
        <f ca="1">VLOOKUP($B2,OFFSET([2]quests!$A$1,0,0,COUNTA([2]quests!$A:$A),MATCH(C$1,[2]quests!$1:$1,0)-MATCH($B$1,[2]quests!$1:$1,0)+1),MATCH(C$1,[2]quests!$1:$1,0)-MATCH($B$1,[2]quests!$1:$1,0)+1,FALSE)</f>
        <v>ゼウス襲来！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超降臨5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【超ウィザード級】ゼウス襲来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超降臨5</v>
      </c>
      <c r="H2" s="84">
        <v>1</v>
      </c>
      <c r="I2" s="89">
        <f t="shared" ref="I2:I13" si="0">ROW()-1</f>
        <v>1</v>
      </c>
      <c r="J2" s="85" t="str">
        <f t="shared" ref="J2:J9" si="1">B2&amp;TEXT(I2,"00")</f>
        <v>5000501</v>
      </c>
      <c r="K2" s="83" t="s">
        <v>197</v>
      </c>
      <c r="L2" s="86" t="s">
        <v>198</v>
      </c>
      <c r="M2" s="111" t="s">
        <v>414</v>
      </c>
      <c r="N2" s="57" t="s">
        <v>199</v>
      </c>
      <c r="O2">
        <f>LEN(M2)</f>
        <v>58</v>
      </c>
    </row>
    <row r="3" spans="1:15" ht="56" x14ac:dyDescent="0.15">
      <c r="A3" s="80" t="s">
        <v>196</v>
      </c>
      <c r="B3" s="81">
        <v>50005</v>
      </c>
      <c r="C3" s="82" t="str">
        <f ca="1">VLOOKUP($B3,OFFSET([2]quests!$A$1,0,0,COUNTA([2]quests!$A:$A),MATCH(C$1,[2]quests!$1:$1,0)-MATCH($B$1,[2]quests!$1:$1,0)+1),MATCH(C$1,[2]quests!$1:$1,0)-MATCH($B$1,[2]quests!$1:$1,0)+1,FALSE)</f>
        <v>ゼウス襲来！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超降臨5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【超ウィザード級】ゼウス襲来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超降臨5</v>
      </c>
      <c r="H3" s="84">
        <v>2</v>
      </c>
      <c r="I3" s="89">
        <f t="shared" si="0"/>
        <v>2</v>
      </c>
      <c r="J3" s="85" t="str">
        <f t="shared" si="1"/>
        <v>5000502</v>
      </c>
      <c r="K3" s="83" t="s">
        <v>197</v>
      </c>
      <c r="L3" s="86" t="s">
        <v>198</v>
      </c>
      <c r="M3" s="111" t="s">
        <v>411</v>
      </c>
      <c r="N3" s="57" t="s">
        <v>199</v>
      </c>
      <c r="O3">
        <f t="shared" ref="O3:O12" si="2">LEN(M3)</f>
        <v>53</v>
      </c>
    </row>
    <row r="4" spans="1:15" ht="56" x14ac:dyDescent="0.15">
      <c r="A4" s="80" t="s">
        <v>196</v>
      </c>
      <c r="B4" s="81">
        <v>50005</v>
      </c>
      <c r="C4" s="82" t="str">
        <f ca="1">VLOOKUP($B4,OFFSET([2]quests!$A$1,0,0,COUNTA([2]quests!$A:$A),MATCH(C$1,[2]quests!$1:$1,0)-MATCH($B$1,[2]quests!$1:$1,0)+1),MATCH(C$1,[2]quests!$1:$1,0)-MATCH($B$1,[2]quests!$1:$1,0)+1,FALSE)</f>
        <v>ゼウス襲来！</v>
      </c>
      <c r="D4" s="82" t="str">
        <f ca="1">VLOOKUP($B4,OFFSET([2]quests!$A$1,0,0,COUNTA([2]quests!$A:$A),MATCH(D$1,[2]quests!$1:$1,0)-MATCH($B$1,[2]quests!$1:$1,0)+1),MATCH(D$1,[2]quests!$1:$1,0)-MATCH($B$1,[2]quests!$1:$1,0)+1,FALSE)</f>
        <v>超降臨5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【超ウィザード級】ゼウス襲来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超降臨5</v>
      </c>
      <c r="H4" s="84">
        <v>2</v>
      </c>
      <c r="I4" s="89">
        <f t="shared" si="0"/>
        <v>3</v>
      </c>
      <c r="J4" s="85" t="str">
        <f t="shared" ref="J4" si="3">B4&amp;TEXT(I4,"00")</f>
        <v>5000503</v>
      </c>
      <c r="K4" s="83" t="s">
        <v>197</v>
      </c>
      <c r="L4" s="86" t="s">
        <v>198</v>
      </c>
      <c r="M4" s="111" t="s">
        <v>412</v>
      </c>
      <c r="N4" s="57" t="s">
        <v>199</v>
      </c>
      <c r="O4">
        <f t="shared" ref="O4" si="4">LEN(M4)</f>
        <v>53</v>
      </c>
    </row>
    <row r="5" spans="1:15" ht="56" x14ac:dyDescent="0.15">
      <c r="A5" s="80" t="s">
        <v>196</v>
      </c>
      <c r="B5" s="81">
        <v>50005</v>
      </c>
      <c r="C5" s="82" t="str">
        <f ca="1">VLOOKUP($B5,OFFSET([2]quests!$A$1,0,0,COUNTA([2]quests!$A:$A),MATCH(C$1,[2]quests!$1:$1,0)-MATCH($B$1,[2]quests!$1:$1,0)+1),MATCH(C$1,[2]quests!$1:$1,0)-MATCH($B$1,[2]quests!$1:$1,0)+1,FALSE)</f>
        <v>ゼウス襲来！</v>
      </c>
      <c r="D5" s="82" t="str">
        <f ca="1">VLOOKUP($B5,OFFSET([2]quests!$A$1,0,0,COUNTA([2]quests!$A:$A),MATCH(D$1,[2]quests!$1:$1,0)-MATCH($B$1,[2]quests!$1:$1,0)+1),MATCH(D$1,[2]quests!$1:$1,0)-MATCH($B$1,[2]quests!$1:$1,0)+1,FALSE)</f>
        <v>超降臨5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【超ウィザード級】ゼウス襲来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超降臨5</v>
      </c>
      <c r="H5" s="84">
        <v>3</v>
      </c>
      <c r="I5" s="89">
        <f t="shared" si="0"/>
        <v>4</v>
      </c>
      <c r="J5" s="85" t="str">
        <f t="shared" si="1"/>
        <v>5000504</v>
      </c>
      <c r="K5" s="83" t="s">
        <v>197</v>
      </c>
      <c r="L5" s="86" t="s">
        <v>198</v>
      </c>
      <c r="M5" s="111" t="s">
        <v>404</v>
      </c>
      <c r="N5" s="57" t="s">
        <v>199</v>
      </c>
      <c r="O5">
        <f t="shared" si="2"/>
        <v>60</v>
      </c>
    </row>
    <row r="6" spans="1:15" ht="56" x14ac:dyDescent="0.15">
      <c r="A6" s="80" t="s">
        <v>196</v>
      </c>
      <c r="B6" s="81">
        <v>50005</v>
      </c>
      <c r="C6" s="82" t="str">
        <f ca="1">VLOOKUP($B6,OFFSET([2]quests!$A$1,0,0,COUNTA([2]quests!$A:$A),MATCH(C$1,[2]quests!$1:$1,0)-MATCH($B$1,[2]quests!$1:$1,0)+1),MATCH(C$1,[2]quests!$1:$1,0)-MATCH($B$1,[2]quests!$1:$1,0)+1,FALSE)</f>
        <v>ゼウス襲来！</v>
      </c>
      <c r="D6" s="82" t="str">
        <f ca="1">VLOOKUP($B6,OFFSET([2]quests!$A$1,0,0,COUNTA([2]quests!$A:$A),MATCH(D$1,[2]quests!$1:$1,0)-MATCH($B$1,[2]quests!$1:$1,0)+1),MATCH(D$1,[2]quests!$1:$1,0)-MATCH($B$1,[2]quests!$1:$1,0)+1,FALSE)</f>
        <v>超降臨5</v>
      </c>
      <c r="E6" s="83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【超ウィザード級】ゼウス襲来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超降臨5</v>
      </c>
      <c r="H6" s="84">
        <v>4</v>
      </c>
      <c r="I6" s="89">
        <f t="shared" si="0"/>
        <v>5</v>
      </c>
      <c r="J6" s="85" t="str">
        <f t="shared" si="1"/>
        <v>5000505</v>
      </c>
      <c r="K6" s="83" t="s">
        <v>197</v>
      </c>
      <c r="L6" s="86" t="s">
        <v>198</v>
      </c>
      <c r="M6" s="111" t="s">
        <v>405</v>
      </c>
      <c r="N6" s="57" t="s">
        <v>199</v>
      </c>
      <c r="O6">
        <f t="shared" si="2"/>
        <v>53</v>
      </c>
    </row>
    <row r="7" spans="1:15" ht="56" x14ac:dyDescent="0.15">
      <c r="A7" s="80" t="s">
        <v>196</v>
      </c>
      <c r="B7" s="81">
        <v>50005</v>
      </c>
      <c r="C7" s="82" t="str">
        <f ca="1">VLOOKUP($B7,OFFSET([2]quests!$A$1,0,0,COUNTA([2]quests!$A:$A),MATCH(C$1,[2]quests!$1:$1,0)-MATCH($B$1,[2]quests!$1:$1,0)+1),MATCH(C$1,[2]quests!$1:$1,0)-MATCH($B$1,[2]quests!$1:$1,0)+1,FALSE)</f>
        <v>ゼウス襲来！</v>
      </c>
      <c r="D7" s="82" t="str">
        <f ca="1">VLOOKUP($B7,OFFSET([2]quests!$A$1,0,0,COUNTA([2]quests!$A:$A),MATCH(D$1,[2]quests!$1:$1,0)-MATCH($B$1,[2]quests!$1:$1,0)+1),MATCH(D$1,[2]quests!$1:$1,0)-MATCH($B$1,[2]quests!$1:$1,0)+1,FALSE)</f>
        <v>超降臨5</v>
      </c>
      <c r="E7" s="83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【超ウィザード級】ゼウス襲来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超降臨5</v>
      </c>
      <c r="H7" s="84">
        <v>4</v>
      </c>
      <c r="I7" s="89">
        <f t="shared" si="0"/>
        <v>6</v>
      </c>
      <c r="J7" s="85" t="str">
        <f t="shared" si="1"/>
        <v>5000506</v>
      </c>
      <c r="K7" s="83" t="s">
        <v>197</v>
      </c>
      <c r="L7" s="86" t="s">
        <v>198</v>
      </c>
      <c r="M7" s="111" t="s">
        <v>413</v>
      </c>
      <c r="N7" s="57" t="s">
        <v>199</v>
      </c>
      <c r="O7">
        <f t="shared" si="2"/>
        <v>60</v>
      </c>
    </row>
    <row r="8" spans="1:15" ht="56" x14ac:dyDescent="0.15">
      <c r="A8" s="80" t="s">
        <v>196</v>
      </c>
      <c r="B8" s="81">
        <v>50005</v>
      </c>
      <c r="C8" s="82" t="str">
        <f ca="1">VLOOKUP($B8,OFFSET([2]quests!$A$1,0,0,COUNTA([2]quests!$A:$A),MATCH(C$1,[2]quests!$1:$1,0)-MATCH($B$1,[2]quests!$1:$1,0)+1),MATCH(C$1,[2]quests!$1:$1,0)-MATCH($B$1,[2]quests!$1:$1,0)+1,FALSE)</f>
        <v>ゼウス襲来！</v>
      </c>
      <c r="D8" s="82" t="str">
        <f ca="1">VLOOKUP($B8,OFFSET([2]quests!$A$1,0,0,COUNTA([2]quests!$A:$A),MATCH(D$1,[2]quests!$1:$1,0)-MATCH($B$1,[2]quests!$1:$1,0)+1),MATCH(D$1,[2]quests!$1:$1,0)-MATCH($B$1,[2]quests!$1:$1,0)+1,FALSE)</f>
        <v>超降臨5</v>
      </c>
      <c r="E8" s="83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【超ウィザード級】ゼウス襲来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超降臨5</v>
      </c>
      <c r="H8" s="84">
        <v>4</v>
      </c>
      <c r="I8" s="89">
        <f t="shared" si="0"/>
        <v>7</v>
      </c>
      <c r="J8" s="85" t="str">
        <f t="shared" si="1"/>
        <v>5000507</v>
      </c>
      <c r="K8" s="83" t="s">
        <v>197</v>
      </c>
      <c r="L8" s="86" t="s">
        <v>198</v>
      </c>
      <c r="M8" s="111" t="s">
        <v>409</v>
      </c>
      <c r="N8" s="57" t="s">
        <v>199</v>
      </c>
      <c r="O8">
        <f t="shared" si="2"/>
        <v>60</v>
      </c>
    </row>
    <row r="9" spans="1:15" ht="56" x14ac:dyDescent="0.15">
      <c r="A9" s="80" t="s">
        <v>196</v>
      </c>
      <c r="B9" s="81">
        <v>50005</v>
      </c>
      <c r="C9" s="82" t="str">
        <f ca="1">VLOOKUP($B9,OFFSET([2]quests!$A$1,0,0,COUNTA([2]quests!$A:$A),MATCH(C$1,[2]quests!$1:$1,0)-MATCH($B$1,[2]quests!$1:$1,0)+1),MATCH(C$1,[2]quests!$1:$1,0)-MATCH($B$1,[2]quests!$1:$1,0)+1,FALSE)</f>
        <v>ゼウス襲来！</v>
      </c>
      <c r="D9" s="82" t="str">
        <f ca="1">VLOOKUP($B9,OFFSET([2]quests!$A$1,0,0,COUNTA([2]quests!$A:$A),MATCH(D$1,[2]quests!$1:$1,0)-MATCH($B$1,[2]quests!$1:$1,0)+1),MATCH(D$1,[2]quests!$1:$1,0)-MATCH($B$1,[2]quests!$1:$1,0)+1,FALSE)</f>
        <v>超降臨5</v>
      </c>
      <c r="E9" s="83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【超ウィザード級】ゼウス襲来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超降臨5</v>
      </c>
      <c r="H9" s="84">
        <v>4</v>
      </c>
      <c r="I9" s="89">
        <f t="shared" si="0"/>
        <v>8</v>
      </c>
      <c r="J9" s="85" t="str">
        <f t="shared" si="1"/>
        <v>5000508</v>
      </c>
      <c r="K9" s="83" t="s">
        <v>197</v>
      </c>
      <c r="L9" s="86" t="s">
        <v>198</v>
      </c>
      <c r="M9" s="111" t="s">
        <v>410</v>
      </c>
      <c r="N9" s="57" t="s">
        <v>199</v>
      </c>
      <c r="O9">
        <f t="shared" si="2"/>
        <v>60</v>
      </c>
    </row>
    <row r="10" spans="1:15" ht="28" x14ac:dyDescent="0.15">
      <c r="A10" s="80" t="s">
        <v>200</v>
      </c>
      <c r="B10" s="81">
        <v>50005</v>
      </c>
      <c r="C10" s="82" t="str">
        <f ca="1">VLOOKUP($B10,OFFSET([2]quests!$A$1,0,0,COUNTA([2]quests!$A:$A),MATCH(C$1,[2]quests!$1:$1,0)-MATCH($B$1,[2]quests!$1:$1,0)+1),MATCH(C$1,[2]quests!$1:$1,0)-MATCH($B$1,[2]quests!$1:$1,0)+1,FALSE)</f>
        <v>ゼウス襲来！</v>
      </c>
      <c r="D10" s="82" t="str">
        <f ca="1">VLOOKUP($B10,OFFSET([2]quests!$A$1,0,0,COUNTA([2]quests!$A:$A),MATCH(D$1,[2]quests!$1:$1,0)-MATCH($B$1,[2]quests!$1:$1,0)+1),MATCH(D$1,[2]quests!$1:$1,0)-MATCH($B$1,[2]quests!$1:$1,0)+1,FALSE)</f>
        <v>超降臨5</v>
      </c>
      <c r="E10" s="83">
        <v>1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【超ウィザード級】ゼウス襲来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超降臨5</v>
      </c>
      <c r="H10" s="84">
        <v>0</v>
      </c>
      <c r="I10" s="89">
        <f t="shared" si="0"/>
        <v>9</v>
      </c>
      <c r="J10" s="85" t="str">
        <f t="shared" ref="J10" si="5">B10&amp;TEXT(I10,"00")</f>
        <v>5000509</v>
      </c>
      <c r="K10" s="83" t="s">
        <v>197</v>
      </c>
      <c r="L10" s="86" t="s">
        <v>426</v>
      </c>
      <c r="M10" s="111" t="s">
        <v>425</v>
      </c>
      <c r="N10" s="57" t="s">
        <v>199</v>
      </c>
      <c r="O10">
        <f t="shared" si="2"/>
        <v>38</v>
      </c>
    </row>
    <row r="11" spans="1:15" ht="28" x14ac:dyDescent="0.15">
      <c r="A11" s="80" t="s">
        <v>200</v>
      </c>
      <c r="B11" s="81">
        <v>50005</v>
      </c>
      <c r="C11" s="82" t="str">
        <f ca="1">VLOOKUP($B11,OFFSET([2]quests!$A$1,0,0,COUNTA([2]quests!$A:$A),MATCH(C$1,[2]quests!$1:$1,0)-MATCH($B$1,[2]quests!$1:$1,0)+1),MATCH(C$1,[2]quests!$1:$1,0)-MATCH($B$1,[2]quests!$1:$1,0)+1,FALSE)</f>
        <v>ゼウス襲来！</v>
      </c>
      <c r="D11" s="82" t="str">
        <f ca="1">VLOOKUP($B11,OFFSET([2]quests!$A$1,0,0,COUNTA([2]quests!$A:$A),MATCH(D$1,[2]quests!$1:$1,0)-MATCH($B$1,[2]quests!$1:$1,0)+1),MATCH(D$1,[2]quests!$1:$1,0)-MATCH($B$1,[2]quests!$1:$1,0)+1,FALSE)</f>
        <v>超降臨5</v>
      </c>
      <c r="E11" s="83">
        <v>1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【超ウィザード級】ゼウス襲来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超降臨5</v>
      </c>
      <c r="H11" s="84">
        <v>0</v>
      </c>
      <c r="I11" s="89">
        <f t="shared" si="0"/>
        <v>10</v>
      </c>
      <c r="J11" s="85" t="str">
        <f t="shared" ref="J11:J13" si="6">B11&amp;TEXT(I11,"00")</f>
        <v>5000510</v>
      </c>
      <c r="K11" s="83" t="s">
        <v>197</v>
      </c>
      <c r="L11" s="86" t="s">
        <v>429</v>
      </c>
      <c r="M11" s="111" t="s">
        <v>427</v>
      </c>
      <c r="N11" s="57" t="s">
        <v>199</v>
      </c>
      <c r="O11">
        <f t="shared" si="2"/>
        <v>31</v>
      </c>
    </row>
    <row r="12" spans="1:15" ht="28" x14ac:dyDescent="0.15">
      <c r="A12" s="80" t="s">
        <v>200</v>
      </c>
      <c r="B12" s="81">
        <v>50005</v>
      </c>
      <c r="C12" s="82" t="str">
        <f ca="1">VLOOKUP($B12,OFFSET([2]quests!$A$1,0,0,COUNTA([2]quests!$A:$A),MATCH(C$1,[2]quests!$1:$1,0)-MATCH($B$1,[2]quests!$1:$1,0)+1),MATCH(C$1,[2]quests!$1:$1,0)-MATCH($B$1,[2]quests!$1:$1,0)+1,FALSE)</f>
        <v>ゼウス襲来！</v>
      </c>
      <c r="D12" s="82" t="str">
        <f ca="1">VLOOKUP($B12,OFFSET([2]quests!$A$1,0,0,COUNTA([2]quests!$A:$A),MATCH(D$1,[2]quests!$1:$1,0)-MATCH($B$1,[2]quests!$1:$1,0)+1),MATCH(D$1,[2]quests!$1:$1,0)-MATCH($B$1,[2]quests!$1:$1,0)+1,FALSE)</f>
        <v>超降臨5</v>
      </c>
      <c r="E12" s="83">
        <v>1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【超ウィザード級】ゼウス襲来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超降臨5</v>
      </c>
      <c r="H12" s="84">
        <v>0</v>
      </c>
      <c r="I12" s="89">
        <f t="shared" si="0"/>
        <v>11</v>
      </c>
      <c r="J12" s="85" t="str">
        <f t="shared" si="6"/>
        <v>5000511</v>
      </c>
      <c r="K12" s="83" t="s">
        <v>197</v>
      </c>
      <c r="L12" s="86" t="s">
        <v>430</v>
      </c>
      <c r="M12" s="111" t="s">
        <v>428</v>
      </c>
      <c r="N12" s="57" t="s">
        <v>199</v>
      </c>
      <c r="O12">
        <f t="shared" si="2"/>
        <v>36</v>
      </c>
    </row>
    <row r="13" spans="1:15" ht="42" x14ac:dyDescent="0.15">
      <c r="A13" s="80" t="s">
        <v>200</v>
      </c>
      <c r="B13" s="81">
        <v>50005</v>
      </c>
      <c r="C13" s="82" t="str">
        <f ca="1">VLOOKUP($B13,OFFSET([2]quests!$A$1,0,0,COUNTA([2]quests!$A:$A),MATCH(C$1,[2]quests!$1:$1,0)-MATCH($B$1,[2]quests!$1:$1,0)+1),MATCH(C$1,[2]quests!$1:$1,0)-MATCH($B$1,[2]quests!$1:$1,0)+1,FALSE)</f>
        <v>ゼウス襲来！</v>
      </c>
      <c r="D13" s="82" t="str">
        <f ca="1">VLOOKUP($B13,OFFSET([2]quests!$A$1,0,0,COUNTA([2]quests!$A:$A),MATCH(D$1,[2]quests!$1:$1,0)-MATCH($B$1,[2]quests!$1:$1,0)+1),MATCH(D$1,[2]quests!$1:$1,0)-MATCH($B$1,[2]quests!$1:$1,0)+1,FALSE)</f>
        <v>超降臨5</v>
      </c>
      <c r="E13" s="83">
        <v>1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【超ウィザード級】ゼウス襲来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超降臨5</v>
      </c>
      <c r="H13" s="84">
        <v>0</v>
      </c>
      <c r="I13" s="89">
        <f t="shared" si="0"/>
        <v>12</v>
      </c>
      <c r="J13" s="85" t="str">
        <f t="shared" si="6"/>
        <v>5000512</v>
      </c>
      <c r="K13" s="83" t="s">
        <v>197</v>
      </c>
      <c r="L13" s="86" t="s">
        <v>424</v>
      </c>
      <c r="M13" s="111" t="s">
        <v>423</v>
      </c>
      <c r="N13" s="57" t="s">
        <v>199</v>
      </c>
    </row>
  </sheetData>
  <phoneticPr fontId="5"/>
  <dataValidations count="1">
    <dataValidation type="list" allowBlank="1" showInputMessage="1" showErrorMessage="1" sqref="A2:A1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"/>
  <sheetViews>
    <sheetView showGridLines="0" workbookViewId="0">
      <pane ySplit="1" topLeftCell="A2" activePane="bottomLeft" state="frozen"/>
      <selection pane="bottomLeft" activeCell="L20" sqref="L20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212</v>
      </c>
      <c r="B1" s="94" t="s">
        <v>213</v>
      </c>
      <c r="C1" s="76" t="s">
        <v>214</v>
      </c>
      <c r="D1" s="76" t="s">
        <v>33</v>
      </c>
      <c r="E1" s="94" t="s">
        <v>215</v>
      </c>
      <c r="F1" s="76" t="s">
        <v>216</v>
      </c>
      <c r="G1" s="76" t="s">
        <v>33</v>
      </c>
      <c r="H1" s="94" t="s">
        <v>217</v>
      </c>
      <c r="I1" s="94" t="s">
        <v>218</v>
      </c>
      <c r="J1" s="94" t="s">
        <v>219</v>
      </c>
      <c r="K1" s="72" t="s">
        <v>220</v>
      </c>
      <c r="L1" s="72" t="s">
        <v>221</v>
      </c>
      <c r="M1" s="72" t="s">
        <v>155</v>
      </c>
      <c r="N1" s="76" t="s">
        <v>16</v>
      </c>
      <c r="O1" s="72" t="s">
        <v>222</v>
      </c>
      <c r="P1" s="72" t="s">
        <v>56</v>
      </c>
      <c r="Q1" s="72" t="s">
        <v>223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224</v>
      </c>
      <c r="X1" s="72" t="s">
        <v>225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2017-05-08T08:00:17Z</dcterms:modified>
</cp:coreProperties>
</file>