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9/BULL_data/master_excel/"/>
    </mc:Choice>
  </mc:AlternateContent>
  <bookViews>
    <workbookView xWindow="6160" yWindow="1360" windowWidth="31720" windowHeight="201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enemy_skills!$A$1:$AC$1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5" i="10" l="1"/>
  <c r="B134" i="10"/>
  <c r="B133" i="10"/>
  <c r="B132" i="10"/>
  <c r="B131" i="10"/>
  <c r="B130" i="10"/>
  <c r="B129" i="10"/>
  <c r="B128" i="10"/>
  <c r="B121" i="10"/>
  <c r="B120" i="10"/>
  <c r="B119" i="10"/>
  <c r="B118" i="10"/>
  <c r="B117" i="10"/>
  <c r="B116" i="10"/>
  <c r="B115" i="10"/>
  <c r="B114" i="10"/>
  <c r="B113" i="10"/>
  <c r="B112" i="10"/>
  <c r="B29" i="10"/>
  <c r="B84" i="10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45" i="10"/>
  <c r="H45" i="10"/>
  <c r="I45" i="10"/>
  <c r="J45" i="10"/>
  <c r="K45" i="10"/>
  <c r="L45" i="10"/>
  <c r="M45" i="10"/>
  <c r="N45" i="10"/>
  <c r="B55" i="10"/>
  <c r="N55" i="10"/>
  <c r="T104" i="10"/>
  <c r="B94" i="10"/>
  <c r="N94" i="10"/>
  <c r="O94" i="10"/>
  <c r="R94" i="10"/>
  <c r="Q94" i="10"/>
  <c r="S94" i="10"/>
  <c r="P94" i="10"/>
  <c r="T94" i="10"/>
  <c r="O82" i="10"/>
  <c r="R82" i="10"/>
  <c r="Q82" i="10"/>
  <c r="S82" i="10"/>
  <c r="P82" i="10"/>
  <c r="T82" i="10"/>
  <c r="O74" i="10"/>
  <c r="R74" i="10"/>
  <c r="Q74" i="10"/>
  <c r="S74" i="10"/>
  <c r="P74" i="10"/>
  <c r="T74" i="10"/>
  <c r="O65" i="10"/>
  <c r="R65" i="10"/>
  <c r="Q65" i="10"/>
  <c r="S65" i="10"/>
  <c r="P65" i="10"/>
  <c r="T65" i="10"/>
  <c r="O57" i="10"/>
  <c r="R57" i="10"/>
  <c r="Q57" i="10"/>
  <c r="S57" i="10"/>
  <c r="P57" i="10"/>
  <c r="T57" i="10"/>
  <c r="O55" i="10"/>
  <c r="R55" i="10"/>
  <c r="Q55" i="10"/>
  <c r="S55" i="10"/>
  <c r="P55" i="10"/>
  <c r="T55" i="10"/>
  <c r="O45" i="10"/>
  <c r="P45" i="10"/>
  <c r="Q45" i="10"/>
  <c r="R45" i="10"/>
  <c r="S45" i="10"/>
  <c r="T45" i="10"/>
  <c r="U45" i="10"/>
  <c r="V45" i="10"/>
  <c r="W45" i="10"/>
  <c r="X45" i="10"/>
  <c r="Y45" i="10"/>
  <c r="Z45" i="10"/>
  <c r="B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Z46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Z47" i="10"/>
  <c r="B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Z48" i="10"/>
  <c r="B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Z49" i="10"/>
  <c r="AD50" i="10"/>
  <c r="B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Z50" i="10"/>
  <c r="B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Z51" i="10"/>
  <c r="T12" i="1"/>
  <c r="T3" i="1"/>
  <c r="T13" i="1"/>
  <c r="T4" i="1"/>
  <c r="T14" i="1"/>
  <c r="T5" i="1"/>
  <c r="T15" i="1"/>
  <c r="T6" i="1"/>
  <c r="T16" i="1"/>
  <c r="T7" i="1"/>
  <c r="T17" i="1"/>
  <c r="T8" i="1"/>
  <c r="T18" i="1"/>
  <c r="T9" i="1"/>
  <c r="T19" i="1"/>
  <c r="T10" i="1"/>
  <c r="T11" i="1"/>
  <c r="T2" i="1"/>
  <c r="H111" i="10"/>
  <c r="I111" i="10"/>
  <c r="B110" i="10"/>
  <c r="H110" i="10"/>
  <c r="I110" i="10"/>
  <c r="B109" i="10"/>
  <c r="H109" i="10"/>
  <c r="I109" i="10"/>
  <c r="B108" i="10"/>
  <c r="H108" i="10"/>
  <c r="I108" i="10"/>
  <c r="B107" i="10"/>
  <c r="H107" i="10"/>
  <c r="I107" i="10"/>
  <c r="B106" i="10"/>
  <c r="H106" i="10"/>
  <c r="I106" i="10"/>
  <c r="B105" i="10"/>
  <c r="H105" i="10"/>
  <c r="I105" i="10"/>
  <c r="B104" i="10"/>
  <c r="H104" i="10"/>
  <c r="I104" i="10"/>
  <c r="B103" i="10"/>
  <c r="H103" i="10"/>
  <c r="I103" i="10"/>
  <c r="H102" i="10"/>
  <c r="I102" i="10"/>
  <c r="B101" i="10"/>
  <c r="H101" i="10"/>
  <c r="I101" i="10"/>
  <c r="B100" i="10"/>
  <c r="H100" i="10"/>
  <c r="I100" i="10"/>
  <c r="B99" i="10"/>
  <c r="H99" i="10"/>
  <c r="I99" i="10"/>
  <c r="B97" i="10"/>
  <c r="H97" i="10"/>
  <c r="I97" i="10"/>
  <c r="B96" i="10"/>
  <c r="H96" i="10"/>
  <c r="I96" i="10"/>
  <c r="B95" i="10"/>
  <c r="H95" i="10"/>
  <c r="I95" i="10"/>
  <c r="H94" i="10"/>
  <c r="I94" i="10"/>
  <c r="B93" i="10"/>
  <c r="H93" i="10"/>
  <c r="I93" i="10"/>
  <c r="B91" i="10"/>
  <c r="H91" i="10"/>
  <c r="I91" i="10"/>
  <c r="B90" i="10"/>
  <c r="H90" i="10"/>
  <c r="I90" i="10"/>
  <c r="B89" i="10"/>
  <c r="H89" i="10"/>
  <c r="I89" i="10"/>
  <c r="B88" i="10"/>
  <c r="H88" i="10"/>
  <c r="I88" i="10"/>
  <c r="B87" i="10"/>
  <c r="H87" i="10"/>
  <c r="I87" i="10"/>
  <c r="B86" i="10"/>
  <c r="H86" i="10"/>
  <c r="I86" i="10"/>
  <c r="B85" i="10"/>
  <c r="H85" i="10"/>
  <c r="I85" i="10"/>
  <c r="H84" i="10"/>
  <c r="I84" i="10"/>
  <c r="B83" i="10"/>
  <c r="H83" i="10"/>
  <c r="I83" i="10"/>
  <c r="B82" i="10"/>
  <c r="H82" i="10"/>
  <c r="I82" i="10"/>
  <c r="B81" i="10"/>
  <c r="H81" i="10"/>
  <c r="I81" i="10"/>
  <c r="B80" i="10"/>
  <c r="H80" i="10"/>
  <c r="I80" i="10"/>
  <c r="B79" i="10"/>
  <c r="H79" i="10"/>
  <c r="I79" i="10"/>
  <c r="B78" i="10"/>
  <c r="H78" i="10"/>
  <c r="I78" i="10"/>
  <c r="B77" i="10"/>
  <c r="H77" i="10"/>
  <c r="I77" i="10"/>
  <c r="B76" i="10"/>
  <c r="H76" i="10"/>
  <c r="I76" i="10"/>
  <c r="B75" i="10"/>
  <c r="H75" i="10"/>
  <c r="I75" i="10"/>
  <c r="B74" i="10"/>
  <c r="H74" i="10"/>
  <c r="I74" i="10"/>
  <c r="B73" i="10"/>
  <c r="H73" i="10"/>
  <c r="I73" i="10"/>
  <c r="B72" i="10"/>
  <c r="H72" i="10"/>
  <c r="I72" i="10"/>
  <c r="B71" i="10"/>
  <c r="H71" i="10"/>
  <c r="I71" i="10"/>
  <c r="B70" i="10"/>
  <c r="H70" i="10"/>
  <c r="I70" i="10"/>
  <c r="B69" i="10"/>
  <c r="H69" i="10"/>
  <c r="I69" i="10"/>
  <c r="B68" i="10"/>
  <c r="H68" i="10"/>
  <c r="I68" i="10"/>
  <c r="B67" i="10"/>
  <c r="H67" i="10"/>
  <c r="I67" i="10"/>
  <c r="B66" i="10"/>
  <c r="H66" i="10"/>
  <c r="I66" i="10"/>
  <c r="B65" i="10"/>
  <c r="H65" i="10"/>
  <c r="I65" i="10"/>
  <c r="B64" i="10"/>
  <c r="H64" i="10"/>
  <c r="I64" i="10"/>
  <c r="B63" i="10"/>
  <c r="H63" i="10"/>
  <c r="I63" i="10"/>
  <c r="B62" i="10"/>
  <c r="H62" i="10"/>
  <c r="I62" i="10"/>
  <c r="B61" i="10"/>
  <c r="H61" i="10"/>
  <c r="I61" i="10"/>
  <c r="B60" i="10"/>
  <c r="H60" i="10"/>
  <c r="I60" i="10"/>
  <c r="B58" i="10"/>
  <c r="H58" i="10"/>
  <c r="I58" i="10"/>
  <c r="B57" i="10"/>
  <c r="H57" i="10"/>
  <c r="I57" i="10"/>
  <c r="H127" i="10"/>
  <c r="H126" i="10"/>
  <c r="H125" i="10"/>
  <c r="H124" i="10"/>
  <c r="H123" i="10"/>
  <c r="H122" i="10"/>
  <c r="H121" i="10"/>
  <c r="H120" i="10"/>
  <c r="H135" i="10"/>
  <c r="H134" i="10"/>
  <c r="H133" i="10"/>
  <c r="H132" i="10"/>
  <c r="H131" i="10"/>
  <c r="H130" i="10"/>
  <c r="H129" i="10"/>
  <c r="H128" i="10"/>
  <c r="AD105" i="10"/>
  <c r="H56" i="10"/>
  <c r="H55" i="10"/>
  <c r="B54" i="10"/>
  <c r="H54" i="10"/>
  <c r="B53" i="10"/>
  <c r="H53" i="10"/>
  <c r="B52" i="10"/>
  <c r="H52" i="10"/>
  <c r="B44" i="10"/>
  <c r="H44" i="10"/>
  <c r="B42" i="10"/>
  <c r="H42" i="10"/>
  <c r="B41" i="10"/>
  <c r="H41" i="10"/>
  <c r="B40" i="10"/>
  <c r="H40" i="10"/>
  <c r="B39" i="10"/>
  <c r="H39" i="10"/>
  <c r="B38" i="10"/>
  <c r="H38" i="10"/>
  <c r="B36" i="10"/>
  <c r="H36" i="10"/>
  <c r="B35" i="10"/>
  <c r="H35" i="10"/>
  <c r="B34" i="10"/>
  <c r="H34" i="10"/>
  <c r="B33" i="10"/>
  <c r="H33" i="10"/>
  <c r="B32" i="10"/>
  <c r="H32" i="10"/>
  <c r="B31" i="10"/>
  <c r="H31" i="10"/>
  <c r="B30" i="10"/>
  <c r="H30" i="10"/>
  <c r="H29" i="10"/>
  <c r="B28" i="10"/>
  <c r="H28" i="10"/>
  <c r="B27" i="10"/>
  <c r="H27" i="10"/>
  <c r="B26" i="10"/>
  <c r="H26" i="10"/>
  <c r="B25" i="10"/>
  <c r="H25" i="10"/>
  <c r="B24" i="10"/>
  <c r="H24" i="10"/>
  <c r="B23" i="10"/>
  <c r="H23" i="10"/>
  <c r="B22" i="10"/>
  <c r="H22" i="10"/>
  <c r="B21" i="10"/>
  <c r="H21" i="10"/>
  <c r="B20" i="10"/>
  <c r="H20" i="10"/>
  <c r="B19" i="10"/>
  <c r="H19" i="10"/>
  <c r="B18" i="10"/>
  <c r="H18" i="10"/>
  <c r="B17" i="10"/>
  <c r="H17" i="10"/>
  <c r="B16" i="10"/>
  <c r="H16" i="10"/>
  <c r="B15" i="10"/>
  <c r="H15" i="10"/>
  <c r="B14" i="10"/>
  <c r="H14" i="10"/>
  <c r="B13" i="10"/>
  <c r="H13" i="10"/>
  <c r="B12" i="10"/>
  <c r="H12" i="10"/>
  <c r="B11" i="10"/>
  <c r="H11" i="10"/>
  <c r="B10" i="10"/>
  <c r="H10" i="10"/>
  <c r="B9" i="10"/>
  <c r="H9" i="10"/>
  <c r="B8" i="10"/>
  <c r="H8" i="10"/>
  <c r="B7" i="10"/>
  <c r="H7" i="10"/>
  <c r="B6" i="10"/>
  <c r="H6" i="10"/>
  <c r="B5" i="10"/>
  <c r="H5" i="10"/>
  <c r="B3" i="10"/>
  <c r="H3" i="10"/>
  <c r="B2" i="10"/>
  <c r="H2" i="10"/>
  <c r="N127" i="10"/>
  <c r="U127" i="10"/>
  <c r="X127" i="10"/>
  <c r="W127" i="10"/>
  <c r="Y127" i="10"/>
  <c r="V127" i="10"/>
  <c r="Z127" i="10"/>
  <c r="O127" i="10"/>
  <c r="R127" i="10"/>
  <c r="Q127" i="10"/>
  <c r="S127" i="10"/>
  <c r="P127" i="10"/>
  <c r="T127" i="10"/>
  <c r="K127" i="10"/>
  <c r="J127" i="10"/>
  <c r="L127" i="10"/>
  <c r="I127" i="10"/>
  <c r="M127" i="10"/>
  <c r="N126" i="10"/>
  <c r="U126" i="10"/>
  <c r="X126" i="10"/>
  <c r="W126" i="10"/>
  <c r="Y126" i="10"/>
  <c r="V126" i="10"/>
  <c r="Z126" i="10"/>
  <c r="O126" i="10"/>
  <c r="R126" i="10"/>
  <c r="Q126" i="10"/>
  <c r="S126" i="10"/>
  <c r="P126" i="10"/>
  <c r="T126" i="10"/>
  <c r="K126" i="10"/>
  <c r="J126" i="10"/>
  <c r="L126" i="10"/>
  <c r="I126" i="10"/>
  <c r="M126" i="10"/>
  <c r="N125" i="10"/>
  <c r="U125" i="10"/>
  <c r="X125" i="10"/>
  <c r="W125" i="10"/>
  <c r="Y125" i="10"/>
  <c r="V125" i="10"/>
  <c r="Z125" i="10"/>
  <c r="O125" i="10"/>
  <c r="R125" i="10"/>
  <c r="Q125" i="10"/>
  <c r="S125" i="10"/>
  <c r="P125" i="10"/>
  <c r="T125" i="10"/>
  <c r="K125" i="10"/>
  <c r="J125" i="10"/>
  <c r="L125" i="10"/>
  <c r="I125" i="10"/>
  <c r="M125" i="10"/>
  <c r="N124" i="10"/>
  <c r="U124" i="10"/>
  <c r="X124" i="10"/>
  <c r="W124" i="10"/>
  <c r="Y124" i="10"/>
  <c r="V124" i="10"/>
  <c r="Z124" i="10"/>
  <c r="O124" i="10"/>
  <c r="R124" i="10"/>
  <c r="Q124" i="10"/>
  <c r="S124" i="10"/>
  <c r="P124" i="10"/>
  <c r="T124" i="10"/>
  <c r="K124" i="10"/>
  <c r="J124" i="10"/>
  <c r="L124" i="10"/>
  <c r="I124" i="10"/>
  <c r="M124" i="10"/>
  <c r="N123" i="10"/>
  <c r="U123" i="10"/>
  <c r="X123" i="10"/>
  <c r="W123" i="10"/>
  <c r="Y123" i="10"/>
  <c r="V123" i="10"/>
  <c r="Z123" i="10"/>
  <c r="O123" i="10"/>
  <c r="R123" i="10"/>
  <c r="Q123" i="10"/>
  <c r="S123" i="10"/>
  <c r="P123" i="10"/>
  <c r="T123" i="10"/>
  <c r="K123" i="10"/>
  <c r="J123" i="10"/>
  <c r="L123" i="10"/>
  <c r="I123" i="10"/>
  <c r="M123" i="10"/>
  <c r="N122" i="10"/>
  <c r="U122" i="10"/>
  <c r="X122" i="10"/>
  <c r="W122" i="10"/>
  <c r="Y122" i="10"/>
  <c r="V122" i="10"/>
  <c r="Z122" i="10"/>
  <c r="O122" i="10"/>
  <c r="R122" i="10"/>
  <c r="Q122" i="10"/>
  <c r="S122" i="10"/>
  <c r="P122" i="10"/>
  <c r="T122" i="10"/>
  <c r="K122" i="10"/>
  <c r="J122" i="10"/>
  <c r="L122" i="10"/>
  <c r="I122" i="10"/>
  <c r="M122" i="10"/>
  <c r="N121" i="10"/>
  <c r="U121" i="10"/>
  <c r="X121" i="10"/>
  <c r="W121" i="10"/>
  <c r="Y121" i="10"/>
  <c r="V121" i="10"/>
  <c r="Z121" i="10"/>
  <c r="O121" i="10"/>
  <c r="R121" i="10"/>
  <c r="Q121" i="10"/>
  <c r="S121" i="10"/>
  <c r="P121" i="10"/>
  <c r="T121" i="10"/>
  <c r="K121" i="10"/>
  <c r="J121" i="10"/>
  <c r="L121" i="10"/>
  <c r="I121" i="10"/>
  <c r="M121" i="10"/>
  <c r="N120" i="10"/>
  <c r="U120" i="10"/>
  <c r="X120" i="10"/>
  <c r="W120" i="10"/>
  <c r="Y120" i="10"/>
  <c r="V120" i="10"/>
  <c r="Z120" i="10"/>
  <c r="O120" i="10"/>
  <c r="R120" i="10"/>
  <c r="Q120" i="10"/>
  <c r="S120" i="10"/>
  <c r="P120" i="10"/>
  <c r="T120" i="10"/>
  <c r="K120" i="10"/>
  <c r="J120" i="10"/>
  <c r="L120" i="10"/>
  <c r="I120" i="10"/>
  <c r="M120" i="10"/>
  <c r="N56" i="10"/>
  <c r="U56" i="10"/>
  <c r="X56" i="10"/>
  <c r="W56" i="10"/>
  <c r="Y56" i="10"/>
  <c r="V56" i="10"/>
  <c r="Z56" i="10"/>
  <c r="N65" i="10"/>
  <c r="N74" i="10"/>
  <c r="N82" i="10"/>
  <c r="N104" i="10"/>
  <c r="O104" i="10"/>
  <c r="R104" i="10"/>
  <c r="Q104" i="10"/>
  <c r="S104" i="10"/>
  <c r="P104" i="10"/>
  <c r="O56" i="10"/>
  <c r="R56" i="10"/>
  <c r="Q56" i="10"/>
  <c r="S56" i="10"/>
  <c r="P56" i="10"/>
  <c r="T56" i="10"/>
  <c r="K56" i="10"/>
  <c r="J56" i="10"/>
  <c r="L56" i="10"/>
  <c r="I56" i="10"/>
  <c r="M56" i="10"/>
  <c r="U55" i="10"/>
  <c r="X55" i="10"/>
  <c r="W55" i="10"/>
  <c r="Y55" i="10"/>
  <c r="V55" i="10"/>
  <c r="Z55" i="10"/>
  <c r="N57" i="10"/>
  <c r="K55" i="10"/>
  <c r="J55" i="10"/>
  <c r="L55" i="10"/>
  <c r="I55" i="10"/>
  <c r="M55" i="10"/>
  <c r="N54" i="10"/>
  <c r="U54" i="10"/>
  <c r="X54" i="10"/>
  <c r="W54" i="10"/>
  <c r="Y54" i="10"/>
  <c r="V54" i="10"/>
  <c r="Z54" i="10"/>
  <c r="N60" i="10"/>
  <c r="N68" i="10"/>
  <c r="N77" i="10"/>
  <c r="N85" i="10"/>
  <c r="N97" i="10"/>
  <c r="O97" i="10"/>
  <c r="R97" i="10"/>
  <c r="Q97" i="10"/>
  <c r="S97" i="10"/>
  <c r="P97" i="10"/>
  <c r="T97" i="10"/>
  <c r="O85" i="10"/>
  <c r="R85" i="10"/>
  <c r="Q85" i="10"/>
  <c r="S85" i="10"/>
  <c r="P85" i="10"/>
  <c r="T85" i="10"/>
  <c r="O77" i="10"/>
  <c r="R77" i="10"/>
  <c r="Q77" i="10"/>
  <c r="S77" i="10"/>
  <c r="P77" i="10"/>
  <c r="T77" i="10"/>
  <c r="O68" i="10"/>
  <c r="R68" i="10"/>
  <c r="Q68" i="10"/>
  <c r="S68" i="10"/>
  <c r="P68" i="10"/>
  <c r="T68" i="10"/>
  <c r="O60" i="10"/>
  <c r="R60" i="10"/>
  <c r="Q60" i="10"/>
  <c r="S60" i="10"/>
  <c r="P60" i="10"/>
  <c r="T60" i="10"/>
  <c r="O54" i="10"/>
  <c r="R54" i="10"/>
  <c r="Q54" i="10"/>
  <c r="S54" i="10"/>
  <c r="P54" i="10"/>
  <c r="T54" i="10"/>
  <c r="K54" i="10"/>
  <c r="J54" i="10"/>
  <c r="L54" i="10"/>
  <c r="I54" i="10"/>
  <c r="M54" i="10"/>
  <c r="N53" i="10"/>
  <c r="U53" i="10"/>
  <c r="X53" i="10"/>
  <c r="W53" i="10"/>
  <c r="Y53" i="10"/>
  <c r="V53" i="10"/>
  <c r="Z53" i="10"/>
  <c r="O53" i="10"/>
  <c r="R53" i="10"/>
  <c r="Q53" i="10"/>
  <c r="S53" i="10"/>
  <c r="P53" i="10"/>
  <c r="T53" i="10"/>
  <c r="K53" i="10"/>
  <c r="J53" i="10"/>
  <c r="L53" i="10"/>
  <c r="I53" i="10"/>
  <c r="M53" i="10"/>
  <c r="N52" i="10"/>
  <c r="U52" i="10"/>
  <c r="X52" i="10"/>
  <c r="W52" i="10"/>
  <c r="Y52" i="10"/>
  <c r="V52" i="10"/>
  <c r="Z52" i="10"/>
  <c r="N84" i="10"/>
  <c r="N96" i="10"/>
  <c r="N106" i="10"/>
  <c r="O106" i="10"/>
  <c r="R106" i="10"/>
  <c r="Q106" i="10"/>
  <c r="S106" i="10"/>
  <c r="P106" i="10"/>
  <c r="T106" i="10"/>
  <c r="O96" i="10"/>
  <c r="R96" i="10"/>
  <c r="Q96" i="10"/>
  <c r="S96" i="10"/>
  <c r="P96" i="10"/>
  <c r="T96" i="10"/>
  <c r="O84" i="10"/>
  <c r="R84" i="10"/>
  <c r="Q84" i="10"/>
  <c r="S84" i="10"/>
  <c r="P84" i="10"/>
  <c r="T84" i="10"/>
  <c r="N76" i="10"/>
  <c r="O76" i="10"/>
  <c r="R76" i="10"/>
  <c r="Q76" i="10"/>
  <c r="S76" i="10"/>
  <c r="P76" i="10"/>
  <c r="T76" i="10"/>
  <c r="N67" i="10"/>
  <c r="O67" i="10"/>
  <c r="R67" i="10"/>
  <c r="Q67" i="10"/>
  <c r="S67" i="10"/>
  <c r="P67" i="10"/>
  <c r="T67" i="10"/>
  <c r="N58" i="10"/>
  <c r="O58" i="10"/>
  <c r="R58" i="10"/>
  <c r="Q58" i="10"/>
  <c r="S58" i="10"/>
  <c r="P58" i="10"/>
  <c r="T58" i="10"/>
  <c r="O52" i="10"/>
  <c r="R52" i="10"/>
  <c r="Q52" i="10"/>
  <c r="S52" i="10"/>
  <c r="P52" i="10"/>
  <c r="T52" i="10"/>
  <c r="K52" i="10"/>
  <c r="J52" i="10"/>
  <c r="L52" i="10"/>
  <c r="I52" i="10"/>
  <c r="M52" i="10"/>
  <c r="N44" i="10"/>
  <c r="U44" i="10"/>
  <c r="X44" i="10"/>
  <c r="W44" i="10"/>
  <c r="Y44" i="10"/>
  <c r="V44" i="10"/>
  <c r="Z44" i="10"/>
  <c r="O44" i="10"/>
  <c r="R44" i="10"/>
  <c r="Q44" i="10"/>
  <c r="S44" i="10"/>
  <c r="P44" i="10"/>
  <c r="T44" i="10"/>
  <c r="K44" i="10"/>
  <c r="J44" i="10"/>
  <c r="L44" i="10"/>
  <c r="I44" i="10"/>
  <c r="M44" i="10"/>
  <c r="B43" i="10"/>
  <c r="N43" i="10"/>
  <c r="U43" i="10"/>
  <c r="X43" i="10"/>
  <c r="W43" i="10"/>
  <c r="Y43" i="10"/>
  <c r="V43" i="10"/>
  <c r="Z43" i="10"/>
  <c r="O43" i="10"/>
  <c r="R43" i="10"/>
  <c r="Q43" i="10"/>
  <c r="S43" i="10"/>
  <c r="P43" i="10"/>
  <c r="T43" i="10"/>
  <c r="K43" i="10"/>
  <c r="J43" i="10"/>
  <c r="L43" i="10"/>
  <c r="M43" i="10"/>
  <c r="N42" i="10"/>
  <c r="U42" i="10"/>
  <c r="X42" i="10"/>
  <c r="W42" i="10"/>
  <c r="Y42" i="10"/>
  <c r="V42" i="10"/>
  <c r="Z42" i="10"/>
  <c r="O42" i="10"/>
  <c r="R42" i="10"/>
  <c r="Q42" i="10"/>
  <c r="S42" i="10"/>
  <c r="P42" i="10"/>
  <c r="T42" i="10"/>
  <c r="K42" i="10"/>
  <c r="J42" i="10"/>
  <c r="L42" i="10"/>
  <c r="I42" i="10"/>
  <c r="M42" i="10"/>
  <c r="N41" i="10"/>
  <c r="U41" i="10"/>
  <c r="X41" i="10"/>
  <c r="W41" i="10"/>
  <c r="Y41" i="10"/>
  <c r="V41" i="10"/>
  <c r="Z41" i="10"/>
  <c r="O41" i="10"/>
  <c r="R41" i="10"/>
  <c r="Q41" i="10"/>
  <c r="S41" i="10"/>
  <c r="P41" i="10"/>
  <c r="T41" i="10"/>
  <c r="K41" i="10"/>
  <c r="J41" i="10"/>
  <c r="L41" i="10"/>
  <c r="I41" i="10"/>
  <c r="M41" i="10"/>
  <c r="N40" i="10"/>
  <c r="U40" i="10"/>
  <c r="X40" i="10"/>
  <c r="W40" i="10"/>
  <c r="Y40" i="10"/>
  <c r="V40" i="10"/>
  <c r="Z40" i="10"/>
  <c r="O40" i="10"/>
  <c r="R40" i="10"/>
  <c r="Q40" i="10"/>
  <c r="S40" i="10"/>
  <c r="P40" i="10"/>
  <c r="T40" i="10"/>
  <c r="K40" i="10"/>
  <c r="J40" i="10"/>
  <c r="L40" i="10"/>
  <c r="I40" i="10"/>
  <c r="M40" i="10"/>
  <c r="N39" i="10"/>
  <c r="U39" i="10"/>
  <c r="X39" i="10"/>
  <c r="W39" i="10"/>
  <c r="Y39" i="10"/>
  <c r="V39" i="10"/>
  <c r="Z39" i="10"/>
  <c r="O39" i="10"/>
  <c r="R39" i="10"/>
  <c r="Q39" i="10"/>
  <c r="S39" i="10"/>
  <c r="P39" i="10"/>
  <c r="T39" i="10"/>
  <c r="K39" i="10"/>
  <c r="J39" i="10"/>
  <c r="L39" i="10"/>
  <c r="I39" i="10"/>
  <c r="M39" i="10"/>
  <c r="N38" i="10"/>
  <c r="U38" i="10"/>
  <c r="X38" i="10"/>
  <c r="W38" i="10"/>
  <c r="Y38" i="10"/>
  <c r="V38" i="10"/>
  <c r="Z38" i="10"/>
  <c r="O38" i="10"/>
  <c r="R38" i="10"/>
  <c r="Q38" i="10"/>
  <c r="S38" i="10"/>
  <c r="P38" i="10"/>
  <c r="T38" i="10"/>
  <c r="K38" i="10"/>
  <c r="J38" i="10"/>
  <c r="L38" i="10"/>
  <c r="I38" i="10"/>
  <c r="M38" i="10"/>
  <c r="N36" i="10"/>
  <c r="U36" i="10"/>
  <c r="X36" i="10"/>
  <c r="W36" i="10"/>
  <c r="Y36" i="10"/>
  <c r="V36" i="10"/>
  <c r="Z36" i="10"/>
  <c r="O36" i="10"/>
  <c r="R36" i="10"/>
  <c r="Q36" i="10"/>
  <c r="S36" i="10"/>
  <c r="P36" i="10"/>
  <c r="T36" i="10"/>
  <c r="K36" i="10"/>
  <c r="J36" i="10"/>
  <c r="L36" i="10"/>
  <c r="I36" i="10"/>
  <c r="M36" i="10"/>
  <c r="N35" i="10"/>
  <c r="U35" i="10"/>
  <c r="X35" i="10"/>
  <c r="W35" i="10"/>
  <c r="Y35" i="10"/>
  <c r="V35" i="10"/>
  <c r="Z35" i="10"/>
  <c r="O35" i="10"/>
  <c r="R35" i="10"/>
  <c r="Q35" i="10"/>
  <c r="S35" i="10"/>
  <c r="P35" i="10"/>
  <c r="T35" i="10"/>
  <c r="K35" i="10"/>
  <c r="J35" i="10"/>
  <c r="L35" i="10"/>
  <c r="I35" i="10"/>
  <c r="M35" i="10"/>
  <c r="N34" i="10"/>
  <c r="U34" i="10"/>
  <c r="X34" i="10"/>
  <c r="W34" i="10"/>
  <c r="Y34" i="10"/>
  <c r="V34" i="10"/>
  <c r="Z34" i="10"/>
  <c r="O34" i="10"/>
  <c r="R34" i="10"/>
  <c r="Q34" i="10"/>
  <c r="S34" i="10"/>
  <c r="P34" i="10"/>
  <c r="T34" i="10"/>
  <c r="K34" i="10"/>
  <c r="J34" i="10"/>
  <c r="L34" i="10"/>
  <c r="I34" i="10"/>
  <c r="M34" i="10"/>
  <c r="N33" i="10"/>
  <c r="U33" i="10"/>
  <c r="X33" i="10"/>
  <c r="W33" i="10"/>
  <c r="Y33" i="10"/>
  <c r="V33" i="10"/>
  <c r="Z33" i="10"/>
  <c r="O33" i="10"/>
  <c r="R33" i="10"/>
  <c r="Q33" i="10"/>
  <c r="S33" i="10"/>
  <c r="P33" i="10"/>
  <c r="T33" i="10"/>
  <c r="K33" i="10"/>
  <c r="J33" i="10"/>
  <c r="L33" i="10"/>
  <c r="I33" i="10"/>
  <c r="M33" i="10"/>
  <c r="N32" i="10"/>
  <c r="U32" i="10"/>
  <c r="X32" i="10"/>
  <c r="W32" i="10"/>
  <c r="Y32" i="10"/>
  <c r="V32" i="10"/>
  <c r="Z32" i="10"/>
  <c r="O32" i="10"/>
  <c r="R32" i="10"/>
  <c r="Q32" i="10"/>
  <c r="S32" i="10"/>
  <c r="P32" i="10"/>
  <c r="T32" i="10"/>
  <c r="K32" i="10"/>
  <c r="J32" i="10"/>
  <c r="L32" i="10"/>
  <c r="I32" i="10"/>
  <c r="M32" i="10"/>
  <c r="N31" i="10"/>
  <c r="U31" i="10"/>
  <c r="X31" i="10"/>
  <c r="W31" i="10"/>
  <c r="Y31" i="10"/>
  <c r="V31" i="10"/>
  <c r="Z31" i="10"/>
  <c r="O31" i="10"/>
  <c r="R31" i="10"/>
  <c r="Q31" i="10"/>
  <c r="S31" i="10"/>
  <c r="P31" i="10"/>
  <c r="T31" i="10"/>
  <c r="K31" i="10"/>
  <c r="J31" i="10"/>
  <c r="L31" i="10"/>
  <c r="I31" i="10"/>
  <c r="M31" i="10"/>
  <c r="N30" i="10"/>
  <c r="U30" i="10"/>
  <c r="X30" i="10"/>
  <c r="W30" i="10"/>
  <c r="Y30" i="10"/>
  <c r="V30" i="10"/>
  <c r="Z30" i="10"/>
  <c r="O30" i="10"/>
  <c r="R30" i="10"/>
  <c r="Q30" i="10"/>
  <c r="S30" i="10"/>
  <c r="P30" i="10"/>
  <c r="T30" i="10"/>
  <c r="K30" i="10"/>
  <c r="J30" i="10"/>
  <c r="L30" i="10"/>
  <c r="I30" i="10"/>
  <c r="M30" i="10"/>
  <c r="N29" i="10"/>
  <c r="U29" i="10"/>
  <c r="X29" i="10"/>
  <c r="W29" i="10"/>
  <c r="Y29" i="10"/>
  <c r="V29" i="10"/>
  <c r="Z29" i="10"/>
  <c r="O29" i="10"/>
  <c r="R29" i="10"/>
  <c r="Q29" i="10"/>
  <c r="S29" i="10"/>
  <c r="P29" i="10"/>
  <c r="T29" i="10"/>
  <c r="K29" i="10"/>
  <c r="J29" i="10"/>
  <c r="L29" i="10"/>
  <c r="I29" i="10"/>
  <c r="M29" i="10"/>
  <c r="N28" i="10"/>
  <c r="U28" i="10"/>
  <c r="X28" i="10"/>
  <c r="W28" i="10"/>
  <c r="Y28" i="10"/>
  <c r="V28" i="10"/>
  <c r="Z28" i="10"/>
  <c r="O28" i="10"/>
  <c r="R28" i="10"/>
  <c r="Q28" i="10"/>
  <c r="S28" i="10"/>
  <c r="P28" i="10"/>
  <c r="T28" i="10"/>
  <c r="K28" i="10"/>
  <c r="J28" i="10"/>
  <c r="L28" i="10"/>
  <c r="I28" i="10"/>
  <c r="M28" i="10"/>
  <c r="N27" i="10"/>
  <c r="U27" i="10"/>
  <c r="X27" i="10"/>
  <c r="W27" i="10"/>
  <c r="Y27" i="10"/>
  <c r="V27" i="10"/>
  <c r="Z27" i="10"/>
  <c r="O27" i="10"/>
  <c r="R27" i="10"/>
  <c r="Q27" i="10"/>
  <c r="S27" i="10"/>
  <c r="P27" i="10"/>
  <c r="T27" i="10"/>
  <c r="K27" i="10"/>
  <c r="J27" i="10"/>
  <c r="L27" i="10"/>
  <c r="I27" i="10"/>
  <c r="M27" i="10"/>
  <c r="N26" i="10"/>
  <c r="U26" i="10"/>
  <c r="X26" i="10"/>
  <c r="W26" i="10"/>
  <c r="Y26" i="10"/>
  <c r="V26" i="10"/>
  <c r="Z26" i="10"/>
  <c r="O26" i="10"/>
  <c r="R26" i="10"/>
  <c r="Q26" i="10"/>
  <c r="S26" i="10"/>
  <c r="P26" i="10"/>
  <c r="T26" i="10"/>
  <c r="K26" i="10"/>
  <c r="J26" i="10"/>
  <c r="L26" i="10"/>
  <c r="I26" i="10"/>
  <c r="M26" i="10"/>
  <c r="N25" i="10"/>
  <c r="U25" i="10"/>
  <c r="X25" i="10"/>
  <c r="W25" i="10"/>
  <c r="Y25" i="10"/>
  <c r="V25" i="10"/>
  <c r="Z25" i="10"/>
  <c r="O25" i="10"/>
  <c r="R25" i="10"/>
  <c r="Q25" i="10"/>
  <c r="S25" i="10"/>
  <c r="P25" i="10"/>
  <c r="T25" i="10"/>
  <c r="K25" i="10"/>
  <c r="J25" i="10"/>
  <c r="L25" i="10"/>
  <c r="I25" i="10"/>
  <c r="M25" i="10"/>
  <c r="N24" i="10"/>
  <c r="U24" i="10"/>
  <c r="X24" i="10"/>
  <c r="W24" i="10"/>
  <c r="Y24" i="10"/>
  <c r="V24" i="10"/>
  <c r="Z24" i="10"/>
  <c r="O24" i="10"/>
  <c r="R24" i="10"/>
  <c r="Q24" i="10"/>
  <c r="S24" i="10"/>
  <c r="P24" i="10"/>
  <c r="T24" i="10"/>
  <c r="K24" i="10"/>
  <c r="J24" i="10"/>
  <c r="L24" i="10"/>
  <c r="I24" i="10"/>
  <c r="M24" i="10"/>
  <c r="N23" i="10"/>
  <c r="U23" i="10"/>
  <c r="X23" i="10"/>
  <c r="W23" i="10"/>
  <c r="Y23" i="10"/>
  <c r="V23" i="10"/>
  <c r="Z23" i="10"/>
  <c r="O23" i="10"/>
  <c r="R23" i="10"/>
  <c r="Q23" i="10"/>
  <c r="S23" i="10"/>
  <c r="P23" i="10"/>
  <c r="T23" i="10"/>
  <c r="K23" i="10"/>
  <c r="J23" i="10"/>
  <c r="L23" i="10"/>
  <c r="I23" i="10"/>
  <c r="M23" i="10"/>
  <c r="N22" i="10"/>
  <c r="U22" i="10"/>
  <c r="X22" i="10"/>
  <c r="W22" i="10"/>
  <c r="Y22" i="10"/>
  <c r="V22" i="10"/>
  <c r="Z22" i="10"/>
  <c r="O22" i="10"/>
  <c r="R22" i="10"/>
  <c r="Q22" i="10"/>
  <c r="S22" i="10"/>
  <c r="P22" i="10"/>
  <c r="T22" i="10"/>
  <c r="K22" i="10"/>
  <c r="J22" i="10"/>
  <c r="L22" i="10"/>
  <c r="I22" i="10"/>
  <c r="M22" i="10"/>
  <c r="N21" i="10"/>
  <c r="U21" i="10"/>
  <c r="X21" i="10"/>
  <c r="W21" i="10"/>
  <c r="Y21" i="10"/>
  <c r="V21" i="10"/>
  <c r="Z21" i="10"/>
  <c r="O21" i="10"/>
  <c r="R21" i="10"/>
  <c r="Q21" i="10"/>
  <c r="S21" i="10"/>
  <c r="P21" i="10"/>
  <c r="T21" i="10"/>
  <c r="K21" i="10"/>
  <c r="J21" i="10"/>
  <c r="L21" i="10"/>
  <c r="I21" i="10"/>
  <c r="M21" i="10"/>
  <c r="N20" i="10"/>
  <c r="U20" i="10"/>
  <c r="X20" i="10"/>
  <c r="W20" i="10"/>
  <c r="Y20" i="10"/>
  <c r="V20" i="10"/>
  <c r="Z20" i="10"/>
  <c r="O20" i="10"/>
  <c r="R20" i="10"/>
  <c r="Q20" i="10"/>
  <c r="S20" i="10"/>
  <c r="P20" i="10"/>
  <c r="T20" i="10"/>
  <c r="K20" i="10"/>
  <c r="J20" i="10"/>
  <c r="L20" i="10"/>
  <c r="I20" i="10"/>
  <c r="M20" i="10"/>
  <c r="N19" i="10"/>
  <c r="U19" i="10"/>
  <c r="X19" i="10"/>
  <c r="W19" i="10"/>
  <c r="Y19" i="10"/>
  <c r="V19" i="10"/>
  <c r="Z19" i="10"/>
  <c r="O19" i="10"/>
  <c r="R19" i="10"/>
  <c r="Q19" i="10"/>
  <c r="S19" i="10"/>
  <c r="P19" i="10"/>
  <c r="T19" i="10"/>
  <c r="K19" i="10"/>
  <c r="J19" i="10"/>
  <c r="L19" i="10"/>
  <c r="I19" i="10"/>
  <c r="M19" i="10"/>
  <c r="N18" i="10"/>
  <c r="U18" i="10"/>
  <c r="X18" i="10"/>
  <c r="W18" i="10"/>
  <c r="Y18" i="10"/>
  <c r="V18" i="10"/>
  <c r="Z18" i="10"/>
  <c r="O18" i="10"/>
  <c r="R18" i="10"/>
  <c r="Q18" i="10"/>
  <c r="S18" i="10"/>
  <c r="P18" i="10"/>
  <c r="T18" i="10"/>
  <c r="K18" i="10"/>
  <c r="J18" i="10"/>
  <c r="L18" i="10"/>
  <c r="I18" i="10"/>
  <c r="M18" i="10"/>
  <c r="N17" i="10"/>
  <c r="U17" i="10"/>
  <c r="X17" i="10"/>
  <c r="W17" i="10"/>
  <c r="Y17" i="10"/>
  <c r="V17" i="10"/>
  <c r="Z17" i="10"/>
  <c r="O17" i="10"/>
  <c r="R17" i="10"/>
  <c r="Q17" i="10"/>
  <c r="S17" i="10"/>
  <c r="P17" i="10"/>
  <c r="T17" i="10"/>
  <c r="K17" i="10"/>
  <c r="J17" i="10"/>
  <c r="L17" i="10"/>
  <c r="I17" i="10"/>
  <c r="M17" i="10"/>
  <c r="N16" i="10"/>
  <c r="U16" i="10"/>
  <c r="X16" i="10"/>
  <c r="W16" i="10"/>
  <c r="Y16" i="10"/>
  <c r="V16" i="10"/>
  <c r="Z16" i="10"/>
  <c r="O16" i="10"/>
  <c r="R16" i="10"/>
  <c r="Q16" i="10"/>
  <c r="S16" i="10"/>
  <c r="P16" i="10"/>
  <c r="T16" i="10"/>
  <c r="K16" i="10"/>
  <c r="J16" i="10"/>
  <c r="L16" i="10"/>
  <c r="I16" i="10"/>
  <c r="M16" i="10"/>
  <c r="N15" i="10"/>
  <c r="U15" i="10"/>
  <c r="X15" i="10"/>
  <c r="W15" i="10"/>
  <c r="Y15" i="10"/>
  <c r="V15" i="10"/>
  <c r="Z15" i="10"/>
  <c r="O15" i="10"/>
  <c r="R15" i="10"/>
  <c r="Q15" i="10"/>
  <c r="S15" i="10"/>
  <c r="P15" i="10"/>
  <c r="T15" i="10"/>
  <c r="K15" i="10"/>
  <c r="J15" i="10"/>
  <c r="L15" i="10"/>
  <c r="I15" i="10"/>
  <c r="M15" i="10"/>
  <c r="N14" i="10"/>
  <c r="U14" i="10"/>
  <c r="X14" i="10"/>
  <c r="W14" i="10"/>
  <c r="Y14" i="10"/>
  <c r="V14" i="10"/>
  <c r="Z14" i="10"/>
  <c r="O14" i="10"/>
  <c r="R14" i="10"/>
  <c r="Q14" i="10"/>
  <c r="S14" i="10"/>
  <c r="P14" i="10"/>
  <c r="T14" i="10"/>
  <c r="K14" i="10"/>
  <c r="J14" i="10"/>
  <c r="L14" i="10"/>
  <c r="I14" i="10"/>
  <c r="M14" i="10"/>
  <c r="N13" i="10"/>
  <c r="U13" i="10"/>
  <c r="X13" i="10"/>
  <c r="W13" i="10"/>
  <c r="Y13" i="10"/>
  <c r="V13" i="10"/>
  <c r="Z13" i="10"/>
  <c r="O13" i="10"/>
  <c r="R13" i="10"/>
  <c r="Q13" i="10"/>
  <c r="S13" i="10"/>
  <c r="P13" i="10"/>
  <c r="T13" i="10"/>
  <c r="K13" i="10"/>
  <c r="J13" i="10"/>
  <c r="L13" i="10"/>
  <c r="I13" i="10"/>
  <c r="M13" i="10"/>
  <c r="N12" i="10"/>
  <c r="U12" i="10"/>
  <c r="X12" i="10"/>
  <c r="W12" i="10"/>
  <c r="Y12" i="10"/>
  <c r="V12" i="10"/>
  <c r="Z12" i="10"/>
  <c r="O12" i="10"/>
  <c r="R12" i="10"/>
  <c r="Q12" i="10"/>
  <c r="S12" i="10"/>
  <c r="P12" i="10"/>
  <c r="T12" i="10"/>
  <c r="K12" i="10"/>
  <c r="J12" i="10"/>
  <c r="L12" i="10"/>
  <c r="I12" i="10"/>
  <c r="M12" i="10"/>
  <c r="N11" i="10"/>
  <c r="U11" i="10"/>
  <c r="X11" i="10"/>
  <c r="W11" i="10"/>
  <c r="Y11" i="10"/>
  <c r="V11" i="10"/>
  <c r="Z11" i="10"/>
  <c r="O11" i="10"/>
  <c r="R11" i="10"/>
  <c r="Q11" i="10"/>
  <c r="S11" i="10"/>
  <c r="P11" i="10"/>
  <c r="T11" i="10"/>
  <c r="K11" i="10"/>
  <c r="J11" i="10"/>
  <c r="L11" i="10"/>
  <c r="I11" i="10"/>
  <c r="M11" i="10"/>
  <c r="N10" i="10"/>
  <c r="U10" i="10"/>
  <c r="X10" i="10"/>
  <c r="W10" i="10"/>
  <c r="Y10" i="10"/>
  <c r="V10" i="10"/>
  <c r="Z10" i="10"/>
  <c r="O10" i="10"/>
  <c r="R10" i="10"/>
  <c r="Q10" i="10"/>
  <c r="S10" i="10"/>
  <c r="P10" i="10"/>
  <c r="T10" i="10"/>
  <c r="K10" i="10"/>
  <c r="J10" i="10"/>
  <c r="L10" i="10"/>
  <c r="I10" i="10"/>
  <c r="M10" i="10"/>
  <c r="N9" i="10"/>
  <c r="U9" i="10"/>
  <c r="X9" i="10"/>
  <c r="W9" i="10"/>
  <c r="Y9" i="10"/>
  <c r="V9" i="10"/>
  <c r="Z9" i="10"/>
  <c r="O9" i="10"/>
  <c r="R9" i="10"/>
  <c r="Q9" i="10"/>
  <c r="S9" i="10"/>
  <c r="P9" i="10"/>
  <c r="T9" i="10"/>
  <c r="K9" i="10"/>
  <c r="J9" i="10"/>
  <c r="L9" i="10"/>
  <c r="I9" i="10"/>
  <c r="M9" i="10"/>
  <c r="N8" i="10"/>
  <c r="U8" i="10"/>
  <c r="X8" i="10"/>
  <c r="W8" i="10"/>
  <c r="Y8" i="10"/>
  <c r="V8" i="10"/>
  <c r="Z8" i="10"/>
  <c r="O8" i="10"/>
  <c r="R8" i="10"/>
  <c r="Q8" i="10"/>
  <c r="S8" i="10"/>
  <c r="P8" i="10"/>
  <c r="T8" i="10"/>
  <c r="K8" i="10"/>
  <c r="J8" i="10"/>
  <c r="L8" i="10"/>
  <c r="I8" i="10"/>
  <c r="M8" i="10"/>
  <c r="N7" i="10"/>
  <c r="U7" i="10"/>
  <c r="X7" i="10"/>
  <c r="W7" i="10"/>
  <c r="Y7" i="10"/>
  <c r="V7" i="10"/>
  <c r="Z7" i="10"/>
  <c r="O7" i="10"/>
  <c r="R7" i="10"/>
  <c r="Q7" i="10"/>
  <c r="S7" i="10"/>
  <c r="P7" i="10"/>
  <c r="T7" i="10"/>
  <c r="K7" i="10"/>
  <c r="J7" i="10"/>
  <c r="L7" i="10"/>
  <c r="I7" i="10"/>
  <c r="M7" i="10"/>
  <c r="N6" i="10"/>
  <c r="U6" i="10"/>
  <c r="X6" i="10"/>
  <c r="W6" i="10"/>
  <c r="Y6" i="10"/>
  <c r="V6" i="10"/>
  <c r="Z6" i="10"/>
  <c r="O6" i="10"/>
  <c r="R6" i="10"/>
  <c r="Q6" i="10"/>
  <c r="S6" i="10"/>
  <c r="P6" i="10"/>
  <c r="T6" i="10"/>
  <c r="K6" i="10"/>
  <c r="J6" i="10"/>
  <c r="L6" i="10"/>
  <c r="I6" i="10"/>
  <c r="M6" i="10"/>
  <c r="N5" i="10"/>
  <c r="U5" i="10"/>
  <c r="X5" i="10"/>
  <c r="W5" i="10"/>
  <c r="Y5" i="10"/>
  <c r="V5" i="10"/>
  <c r="Z5" i="10"/>
  <c r="O5" i="10"/>
  <c r="R5" i="10"/>
  <c r="Q5" i="10"/>
  <c r="S5" i="10"/>
  <c r="P5" i="10"/>
  <c r="T5" i="10"/>
  <c r="K5" i="10"/>
  <c r="J5" i="10"/>
  <c r="L5" i="10"/>
  <c r="I5" i="10"/>
  <c r="M5" i="10"/>
  <c r="N3" i="10"/>
  <c r="U3" i="10"/>
  <c r="X3" i="10"/>
  <c r="W3" i="10"/>
  <c r="Y3" i="10"/>
  <c r="V3" i="10"/>
  <c r="Z3" i="10"/>
  <c r="O3" i="10"/>
  <c r="R3" i="10"/>
  <c r="Q3" i="10"/>
  <c r="S3" i="10"/>
  <c r="P3" i="10"/>
  <c r="T3" i="10"/>
  <c r="K3" i="10"/>
  <c r="J3" i="10"/>
  <c r="L3" i="10"/>
  <c r="I3" i="10"/>
  <c r="M3" i="10"/>
  <c r="N2" i="10"/>
  <c r="U2" i="10"/>
  <c r="X2" i="10"/>
  <c r="W2" i="10"/>
  <c r="Y2" i="10"/>
  <c r="V2" i="10"/>
  <c r="Z2" i="10"/>
  <c r="O2" i="10"/>
  <c r="R2" i="10"/>
  <c r="Q2" i="10"/>
  <c r="S2" i="10"/>
  <c r="P2" i="10"/>
  <c r="T2" i="10"/>
  <c r="K2" i="10"/>
  <c r="J2" i="10"/>
  <c r="L2" i="10"/>
  <c r="I2" i="10"/>
  <c r="M2" i="10"/>
  <c r="N135" i="10"/>
  <c r="U135" i="10"/>
  <c r="X135" i="10"/>
  <c r="W135" i="10"/>
  <c r="Y135" i="10"/>
  <c r="V135" i="10"/>
  <c r="Z135" i="10"/>
  <c r="O135" i="10"/>
  <c r="R135" i="10"/>
  <c r="Q135" i="10"/>
  <c r="S135" i="10"/>
  <c r="P135" i="10"/>
  <c r="T135" i="10"/>
  <c r="K135" i="10"/>
  <c r="J135" i="10"/>
  <c r="L135" i="10"/>
  <c r="I135" i="10"/>
  <c r="M135" i="10"/>
  <c r="N134" i="10"/>
  <c r="U134" i="10"/>
  <c r="X134" i="10"/>
  <c r="W134" i="10"/>
  <c r="Y134" i="10"/>
  <c r="V134" i="10"/>
  <c r="Z134" i="10"/>
  <c r="O134" i="10"/>
  <c r="R134" i="10"/>
  <c r="Q134" i="10"/>
  <c r="S134" i="10"/>
  <c r="P134" i="10"/>
  <c r="T134" i="10"/>
  <c r="K134" i="10"/>
  <c r="J134" i="10"/>
  <c r="L134" i="10"/>
  <c r="I134" i="10"/>
  <c r="M134" i="10"/>
  <c r="N133" i="10"/>
  <c r="U133" i="10"/>
  <c r="X133" i="10"/>
  <c r="W133" i="10"/>
  <c r="Y133" i="10"/>
  <c r="V133" i="10"/>
  <c r="Z133" i="10"/>
  <c r="O133" i="10"/>
  <c r="R133" i="10"/>
  <c r="Q133" i="10"/>
  <c r="S133" i="10"/>
  <c r="P133" i="10"/>
  <c r="T133" i="10"/>
  <c r="K133" i="10"/>
  <c r="J133" i="10"/>
  <c r="L133" i="10"/>
  <c r="I133" i="10"/>
  <c r="M133" i="10"/>
  <c r="N132" i="10"/>
  <c r="U132" i="10"/>
  <c r="X132" i="10"/>
  <c r="W132" i="10"/>
  <c r="Y132" i="10"/>
  <c r="V132" i="10"/>
  <c r="Z132" i="10"/>
  <c r="O132" i="10"/>
  <c r="R132" i="10"/>
  <c r="Q132" i="10"/>
  <c r="S132" i="10"/>
  <c r="P132" i="10"/>
  <c r="T132" i="10"/>
  <c r="K132" i="10"/>
  <c r="J132" i="10"/>
  <c r="L132" i="10"/>
  <c r="I132" i="10"/>
  <c r="M132" i="10"/>
  <c r="N131" i="10"/>
  <c r="U131" i="10"/>
  <c r="X131" i="10"/>
  <c r="W131" i="10"/>
  <c r="Y131" i="10"/>
  <c r="V131" i="10"/>
  <c r="Z131" i="10"/>
  <c r="N143" i="10"/>
  <c r="O143" i="10"/>
  <c r="R143" i="10"/>
  <c r="Q143" i="10"/>
  <c r="S143" i="10"/>
  <c r="P143" i="10"/>
  <c r="T143" i="10"/>
  <c r="O131" i="10"/>
  <c r="R131" i="10"/>
  <c r="Q131" i="10"/>
  <c r="S131" i="10"/>
  <c r="P131" i="10"/>
  <c r="T131" i="10"/>
  <c r="K131" i="10"/>
  <c r="J131" i="10"/>
  <c r="L131" i="10"/>
  <c r="I131" i="10"/>
  <c r="M131" i="10"/>
  <c r="N130" i="10"/>
  <c r="U130" i="10"/>
  <c r="X130" i="10"/>
  <c r="W130" i="10"/>
  <c r="Y130" i="10"/>
  <c r="V130" i="10"/>
  <c r="Z130" i="10"/>
  <c r="N142" i="10"/>
  <c r="O142" i="10"/>
  <c r="R142" i="10"/>
  <c r="Q142" i="10"/>
  <c r="S142" i="10"/>
  <c r="P142" i="10"/>
  <c r="T142" i="10"/>
  <c r="O130" i="10"/>
  <c r="R130" i="10"/>
  <c r="Q130" i="10"/>
  <c r="S130" i="10"/>
  <c r="P130" i="10"/>
  <c r="T130" i="10"/>
  <c r="K130" i="10"/>
  <c r="J130" i="10"/>
  <c r="L130" i="10"/>
  <c r="I130" i="10"/>
  <c r="M130" i="10"/>
  <c r="N129" i="10"/>
  <c r="U129" i="10"/>
  <c r="X129" i="10"/>
  <c r="W129" i="10"/>
  <c r="Y129" i="10"/>
  <c r="V129" i="10"/>
  <c r="Z129" i="10"/>
  <c r="N141" i="10"/>
  <c r="O141" i="10"/>
  <c r="R141" i="10"/>
  <c r="Q141" i="10"/>
  <c r="S141" i="10"/>
  <c r="P141" i="10"/>
  <c r="T141" i="10"/>
  <c r="O129" i="10"/>
  <c r="R129" i="10"/>
  <c r="Q129" i="10"/>
  <c r="S129" i="10"/>
  <c r="P129" i="10"/>
  <c r="T129" i="10"/>
  <c r="K129" i="10"/>
  <c r="J129" i="10"/>
  <c r="L129" i="10"/>
  <c r="I129" i="10"/>
  <c r="M129" i="10"/>
  <c r="N128" i="10"/>
  <c r="U128" i="10"/>
  <c r="X128" i="10"/>
  <c r="W128" i="10"/>
  <c r="Y128" i="10"/>
  <c r="V128" i="10"/>
  <c r="Z128" i="10"/>
  <c r="N140" i="10"/>
  <c r="O140" i="10"/>
  <c r="R140" i="10"/>
  <c r="Q140" i="10"/>
  <c r="S140" i="10"/>
  <c r="P140" i="10"/>
  <c r="T140" i="10"/>
  <c r="O128" i="10"/>
  <c r="R128" i="10"/>
  <c r="Q128" i="10"/>
  <c r="S128" i="10"/>
  <c r="P128" i="10"/>
  <c r="T128" i="10"/>
  <c r="K128" i="10"/>
  <c r="J128" i="10"/>
  <c r="L128" i="10"/>
  <c r="I128" i="10"/>
  <c r="M128" i="10"/>
  <c r="N100" i="10"/>
  <c r="U100" i="10"/>
  <c r="X100" i="10"/>
  <c r="W100" i="10"/>
  <c r="Y100" i="10"/>
  <c r="V100" i="10"/>
  <c r="Z100" i="10"/>
  <c r="N110" i="10"/>
  <c r="O110" i="10"/>
  <c r="R110" i="10"/>
  <c r="Q110" i="10"/>
  <c r="S110" i="10"/>
  <c r="P110" i="10"/>
  <c r="T110" i="10"/>
  <c r="O100" i="10"/>
  <c r="R100" i="10"/>
  <c r="Q100" i="10"/>
  <c r="S100" i="10"/>
  <c r="P100" i="10"/>
  <c r="T100" i="10"/>
  <c r="K100" i="10"/>
  <c r="J100" i="10"/>
  <c r="L100" i="10"/>
  <c r="M100" i="10"/>
  <c r="P19" i="21"/>
  <c r="O19" i="21"/>
  <c r="I19" i="21"/>
  <c r="J19" i="21"/>
  <c r="G19" i="21"/>
  <c r="F19" i="21"/>
  <c r="D19" i="21"/>
  <c r="C19" i="21"/>
  <c r="P18" i="21"/>
  <c r="O18" i="21"/>
  <c r="I18" i="21"/>
  <c r="J18" i="21"/>
  <c r="G18" i="21"/>
  <c r="F18" i="21"/>
  <c r="D18" i="21"/>
  <c r="C18" i="21"/>
  <c r="P17" i="21"/>
  <c r="O17" i="21"/>
  <c r="I17" i="21"/>
  <c r="J17" i="21"/>
  <c r="G17" i="21"/>
  <c r="F17" i="21"/>
  <c r="D17" i="21"/>
  <c r="C17" i="21"/>
  <c r="P16" i="21"/>
  <c r="O16" i="21"/>
  <c r="I16" i="21"/>
  <c r="J16" i="21"/>
  <c r="G16" i="21"/>
  <c r="F16" i="21"/>
  <c r="D16" i="21"/>
  <c r="C16" i="21"/>
  <c r="P15" i="21"/>
  <c r="O15" i="21"/>
  <c r="I15" i="21"/>
  <c r="J15" i="21"/>
  <c r="G15" i="21"/>
  <c r="F15" i="21"/>
  <c r="D15" i="21"/>
  <c r="C15" i="21"/>
  <c r="P14" i="21"/>
  <c r="O14" i="21"/>
  <c r="I14" i="21"/>
  <c r="J14" i="21"/>
  <c r="G14" i="21"/>
  <c r="F14" i="21"/>
  <c r="D14" i="21"/>
  <c r="C14" i="21"/>
  <c r="P13" i="21"/>
  <c r="O13" i="21"/>
  <c r="I13" i="21"/>
  <c r="J13" i="21"/>
  <c r="G13" i="21"/>
  <c r="F13" i="21"/>
  <c r="D13" i="21"/>
  <c r="C13" i="21"/>
  <c r="P12" i="21"/>
  <c r="O12" i="21"/>
  <c r="I12" i="21"/>
  <c r="J12" i="21"/>
  <c r="G12" i="21"/>
  <c r="F12" i="21"/>
  <c r="D12" i="21"/>
  <c r="C12" i="21"/>
  <c r="P11" i="21"/>
  <c r="O11" i="21"/>
  <c r="I11" i="21"/>
  <c r="J11" i="21"/>
  <c r="G11" i="21"/>
  <c r="F11" i="21"/>
  <c r="D11" i="21"/>
  <c r="C11" i="21"/>
  <c r="J112" i="11"/>
  <c r="O221" i="9"/>
  <c r="N221" i="9"/>
  <c r="M221" i="9"/>
  <c r="L221" i="9"/>
  <c r="K221" i="9"/>
  <c r="J221" i="9"/>
  <c r="I221" i="9"/>
  <c r="H221" i="9"/>
  <c r="G221" i="9"/>
  <c r="E221" i="9"/>
  <c r="D221" i="9"/>
  <c r="A221" i="9"/>
  <c r="J111" i="11"/>
  <c r="O220" i="9"/>
  <c r="N220" i="9"/>
  <c r="M220" i="9"/>
  <c r="L220" i="9"/>
  <c r="K220" i="9"/>
  <c r="J220" i="9"/>
  <c r="I220" i="9"/>
  <c r="H220" i="9"/>
  <c r="G220" i="9"/>
  <c r="E220" i="9"/>
  <c r="D220" i="9"/>
  <c r="A220" i="9"/>
  <c r="J110" i="11"/>
  <c r="O219" i="9"/>
  <c r="N219" i="9"/>
  <c r="M219" i="9"/>
  <c r="L219" i="9"/>
  <c r="K219" i="9"/>
  <c r="J219" i="9"/>
  <c r="I219" i="9"/>
  <c r="H219" i="9"/>
  <c r="G219" i="9"/>
  <c r="E219" i="9"/>
  <c r="D219" i="9"/>
  <c r="A219" i="9"/>
  <c r="J109" i="11"/>
  <c r="O218" i="9"/>
  <c r="N218" i="9"/>
  <c r="M218" i="9"/>
  <c r="L218" i="9"/>
  <c r="K218" i="9"/>
  <c r="J218" i="9"/>
  <c r="I218" i="9"/>
  <c r="H218" i="9"/>
  <c r="G218" i="9"/>
  <c r="E218" i="9"/>
  <c r="D218" i="9"/>
  <c r="A218" i="9"/>
  <c r="J108" i="11"/>
  <c r="O217" i="9"/>
  <c r="N217" i="9"/>
  <c r="M217" i="9"/>
  <c r="L217" i="9"/>
  <c r="K217" i="9"/>
  <c r="J217" i="9"/>
  <c r="I217" i="9"/>
  <c r="H217" i="9"/>
  <c r="G217" i="9"/>
  <c r="E217" i="9"/>
  <c r="D217" i="9"/>
  <c r="A217" i="9"/>
  <c r="J107" i="11"/>
  <c r="O216" i="9"/>
  <c r="N216" i="9"/>
  <c r="M216" i="9"/>
  <c r="L216" i="9"/>
  <c r="K216" i="9"/>
  <c r="J216" i="9"/>
  <c r="I216" i="9"/>
  <c r="H216" i="9"/>
  <c r="G216" i="9"/>
  <c r="E216" i="9"/>
  <c r="D216" i="9"/>
  <c r="A216" i="9"/>
  <c r="J106" i="11"/>
  <c r="O215" i="9"/>
  <c r="N215" i="9"/>
  <c r="M215" i="9"/>
  <c r="L215" i="9"/>
  <c r="K215" i="9"/>
  <c r="J215" i="9"/>
  <c r="I215" i="9"/>
  <c r="H215" i="9"/>
  <c r="G215" i="9"/>
  <c r="E215" i="9"/>
  <c r="D215" i="9"/>
  <c r="A215" i="9"/>
  <c r="J105" i="11"/>
  <c r="O214" i="9"/>
  <c r="N214" i="9"/>
  <c r="M214" i="9"/>
  <c r="L214" i="9"/>
  <c r="K214" i="9"/>
  <c r="J214" i="9"/>
  <c r="I214" i="9"/>
  <c r="H214" i="9"/>
  <c r="G214" i="9"/>
  <c r="E214" i="9"/>
  <c r="D214" i="9"/>
  <c r="A214" i="9"/>
  <c r="J104" i="11"/>
  <c r="O213" i="9"/>
  <c r="N213" i="9"/>
  <c r="M213" i="9"/>
  <c r="L213" i="9"/>
  <c r="K213" i="9"/>
  <c r="J213" i="9"/>
  <c r="I213" i="9"/>
  <c r="H213" i="9"/>
  <c r="G213" i="9"/>
  <c r="E213" i="9"/>
  <c r="D213" i="9"/>
  <c r="A213" i="9"/>
  <c r="J103" i="11"/>
  <c r="O212" i="9"/>
  <c r="N212" i="9"/>
  <c r="M212" i="9"/>
  <c r="L212" i="9"/>
  <c r="K212" i="9"/>
  <c r="J212" i="9"/>
  <c r="I212" i="9"/>
  <c r="H212" i="9"/>
  <c r="G212" i="9"/>
  <c r="E212" i="9"/>
  <c r="D212" i="9"/>
  <c r="A212" i="9"/>
  <c r="J102" i="11"/>
  <c r="O211" i="9"/>
  <c r="N211" i="9"/>
  <c r="M211" i="9"/>
  <c r="L211" i="9"/>
  <c r="K211" i="9"/>
  <c r="J211" i="9"/>
  <c r="I211" i="9"/>
  <c r="H211" i="9"/>
  <c r="G211" i="9"/>
  <c r="E211" i="9"/>
  <c r="D211" i="9"/>
  <c r="A211" i="9"/>
  <c r="J101" i="11"/>
  <c r="O210" i="9"/>
  <c r="N210" i="9"/>
  <c r="M210" i="9"/>
  <c r="L210" i="9"/>
  <c r="K210" i="9"/>
  <c r="J210" i="9"/>
  <c r="I210" i="9"/>
  <c r="H210" i="9"/>
  <c r="G210" i="9"/>
  <c r="E210" i="9"/>
  <c r="D210" i="9"/>
  <c r="A210" i="9"/>
  <c r="J100" i="11"/>
  <c r="O209" i="9"/>
  <c r="N209" i="9"/>
  <c r="M209" i="9"/>
  <c r="L209" i="9"/>
  <c r="K209" i="9"/>
  <c r="J209" i="9"/>
  <c r="I209" i="9"/>
  <c r="H209" i="9"/>
  <c r="G209" i="9"/>
  <c r="E209" i="9"/>
  <c r="D209" i="9"/>
  <c r="A209" i="9"/>
  <c r="J99" i="11"/>
  <c r="O208" i="9"/>
  <c r="N208" i="9"/>
  <c r="M208" i="9"/>
  <c r="L208" i="9"/>
  <c r="K208" i="9"/>
  <c r="J208" i="9"/>
  <c r="I208" i="9"/>
  <c r="H208" i="9"/>
  <c r="G208" i="9"/>
  <c r="E208" i="9"/>
  <c r="D208" i="9"/>
  <c r="A208" i="9"/>
  <c r="J98" i="11"/>
  <c r="O207" i="9"/>
  <c r="N207" i="9"/>
  <c r="M207" i="9"/>
  <c r="L207" i="9"/>
  <c r="K207" i="9"/>
  <c r="J207" i="9"/>
  <c r="I207" i="9"/>
  <c r="H207" i="9"/>
  <c r="G207" i="9"/>
  <c r="E207" i="9"/>
  <c r="D207" i="9"/>
  <c r="A207" i="9"/>
  <c r="J97" i="11"/>
  <c r="O206" i="9"/>
  <c r="N206" i="9"/>
  <c r="M206" i="9"/>
  <c r="L206" i="9"/>
  <c r="K206" i="9"/>
  <c r="J206" i="9"/>
  <c r="I206" i="9"/>
  <c r="H206" i="9"/>
  <c r="G206" i="9"/>
  <c r="E206" i="9"/>
  <c r="D206" i="9"/>
  <c r="A206" i="9"/>
  <c r="J96" i="11"/>
  <c r="O205" i="9"/>
  <c r="N205" i="9"/>
  <c r="M205" i="9"/>
  <c r="L205" i="9"/>
  <c r="K205" i="9"/>
  <c r="J205" i="9"/>
  <c r="I205" i="9"/>
  <c r="H205" i="9"/>
  <c r="G205" i="9"/>
  <c r="E205" i="9"/>
  <c r="D205" i="9"/>
  <c r="A205" i="9"/>
  <c r="J95" i="11"/>
  <c r="O204" i="9"/>
  <c r="N204" i="9"/>
  <c r="M204" i="9"/>
  <c r="L204" i="9"/>
  <c r="K204" i="9"/>
  <c r="J204" i="9"/>
  <c r="I204" i="9"/>
  <c r="H204" i="9"/>
  <c r="G204" i="9"/>
  <c r="E204" i="9"/>
  <c r="D204" i="9"/>
  <c r="A204" i="9"/>
  <c r="J94" i="11"/>
  <c r="O203" i="9"/>
  <c r="N203" i="9"/>
  <c r="M203" i="9"/>
  <c r="L203" i="9"/>
  <c r="K203" i="9"/>
  <c r="J203" i="9"/>
  <c r="I203" i="9"/>
  <c r="H203" i="9"/>
  <c r="G203" i="9"/>
  <c r="E203" i="9"/>
  <c r="D203" i="9"/>
  <c r="A203" i="9"/>
  <c r="J93" i="11"/>
  <c r="O202" i="9"/>
  <c r="N202" i="9"/>
  <c r="M202" i="9"/>
  <c r="L202" i="9"/>
  <c r="K202" i="9"/>
  <c r="J202" i="9"/>
  <c r="I202" i="9"/>
  <c r="H202" i="9"/>
  <c r="G202" i="9"/>
  <c r="E202" i="9"/>
  <c r="D202" i="9"/>
  <c r="A202" i="9"/>
  <c r="J92" i="11"/>
  <c r="O201" i="9"/>
  <c r="N201" i="9"/>
  <c r="M201" i="9"/>
  <c r="L201" i="9"/>
  <c r="K201" i="9"/>
  <c r="J201" i="9"/>
  <c r="I201" i="9"/>
  <c r="H201" i="9"/>
  <c r="G201" i="9"/>
  <c r="E201" i="9"/>
  <c r="D201" i="9"/>
  <c r="A201" i="9"/>
  <c r="J91" i="11"/>
  <c r="O200" i="9"/>
  <c r="N200" i="9"/>
  <c r="M200" i="9"/>
  <c r="L200" i="9"/>
  <c r="K200" i="9"/>
  <c r="J200" i="9"/>
  <c r="I200" i="9"/>
  <c r="H200" i="9"/>
  <c r="G200" i="9"/>
  <c r="E200" i="9"/>
  <c r="D200" i="9"/>
  <c r="A200" i="9"/>
  <c r="J90" i="11"/>
  <c r="O199" i="9"/>
  <c r="N199" i="9"/>
  <c r="M199" i="9"/>
  <c r="L199" i="9"/>
  <c r="K199" i="9"/>
  <c r="J199" i="9"/>
  <c r="I199" i="9"/>
  <c r="H199" i="9"/>
  <c r="G199" i="9"/>
  <c r="E199" i="9"/>
  <c r="D199" i="9"/>
  <c r="A199" i="9"/>
  <c r="J89" i="11"/>
  <c r="O198" i="9"/>
  <c r="N198" i="9"/>
  <c r="M198" i="9"/>
  <c r="L198" i="9"/>
  <c r="K198" i="9"/>
  <c r="J198" i="9"/>
  <c r="I198" i="9"/>
  <c r="H198" i="9"/>
  <c r="G198" i="9"/>
  <c r="E198" i="9"/>
  <c r="D198" i="9"/>
  <c r="A198" i="9"/>
  <c r="J88" i="11"/>
  <c r="O197" i="9"/>
  <c r="N197" i="9"/>
  <c r="M197" i="9"/>
  <c r="L197" i="9"/>
  <c r="K197" i="9"/>
  <c r="J197" i="9"/>
  <c r="I197" i="9"/>
  <c r="H197" i="9"/>
  <c r="G197" i="9"/>
  <c r="E197" i="9"/>
  <c r="D197" i="9"/>
  <c r="A197" i="9"/>
  <c r="J87" i="11"/>
  <c r="O196" i="9"/>
  <c r="N196" i="9"/>
  <c r="M196" i="9"/>
  <c r="L196" i="9"/>
  <c r="K196" i="9"/>
  <c r="J196" i="9"/>
  <c r="I196" i="9"/>
  <c r="H196" i="9"/>
  <c r="G196" i="9"/>
  <c r="E196" i="9"/>
  <c r="D196" i="9"/>
  <c r="A196" i="9"/>
  <c r="J86" i="11"/>
  <c r="O195" i="9"/>
  <c r="N195" i="9"/>
  <c r="M195" i="9"/>
  <c r="L195" i="9"/>
  <c r="K195" i="9"/>
  <c r="J195" i="9"/>
  <c r="I195" i="9"/>
  <c r="H195" i="9"/>
  <c r="G195" i="9"/>
  <c r="E195" i="9"/>
  <c r="D195" i="9"/>
  <c r="A195" i="9"/>
  <c r="J85" i="11"/>
  <c r="O194" i="9"/>
  <c r="N194" i="9"/>
  <c r="M194" i="9"/>
  <c r="L194" i="9"/>
  <c r="K194" i="9"/>
  <c r="J194" i="9"/>
  <c r="I194" i="9"/>
  <c r="H194" i="9"/>
  <c r="G194" i="9"/>
  <c r="E194" i="9"/>
  <c r="D194" i="9"/>
  <c r="A194" i="9"/>
  <c r="J84" i="11"/>
  <c r="O193" i="9"/>
  <c r="N193" i="9"/>
  <c r="M193" i="9"/>
  <c r="L193" i="9"/>
  <c r="K193" i="9"/>
  <c r="J193" i="9"/>
  <c r="I193" i="9"/>
  <c r="H193" i="9"/>
  <c r="G193" i="9"/>
  <c r="E193" i="9"/>
  <c r="D193" i="9"/>
  <c r="A193" i="9"/>
  <c r="J83" i="11"/>
  <c r="O192" i="9"/>
  <c r="N192" i="9"/>
  <c r="M192" i="9"/>
  <c r="L192" i="9"/>
  <c r="K192" i="9"/>
  <c r="J192" i="9"/>
  <c r="I192" i="9"/>
  <c r="H192" i="9"/>
  <c r="G192" i="9"/>
  <c r="E192" i="9"/>
  <c r="D192" i="9"/>
  <c r="A192" i="9"/>
  <c r="J82" i="11"/>
  <c r="O191" i="9"/>
  <c r="N191" i="9"/>
  <c r="M191" i="9"/>
  <c r="L191" i="9"/>
  <c r="K191" i="9"/>
  <c r="J191" i="9"/>
  <c r="I191" i="9"/>
  <c r="H191" i="9"/>
  <c r="G191" i="9"/>
  <c r="E191" i="9"/>
  <c r="D191" i="9"/>
  <c r="A191" i="9"/>
  <c r="J81" i="11"/>
  <c r="O190" i="9"/>
  <c r="N190" i="9"/>
  <c r="M190" i="9"/>
  <c r="L190" i="9"/>
  <c r="K190" i="9"/>
  <c r="J190" i="9"/>
  <c r="I190" i="9"/>
  <c r="H190" i="9"/>
  <c r="G190" i="9"/>
  <c r="E190" i="9"/>
  <c r="D190" i="9"/>
  <c r="A190" i="9"/>
  <c r="J80" i="11"/>
  <c r="O189" i="9"/>
  <c r="N189" i="9"/>
  <c r="M189" i="9"/>
  <c r="L189" i="9"/>
  <c r="K189" i="9"/>
  <c r="J189" i="9"/>
  <c r="I189" i="9"/>
  <c r="H189" i="9"/>
  <c r="G189" i="9"/>
  <c r="E189" i="9"/>
  <c r="D189" i="9"/>
  <c r="A189" i="9"/>
  <c r="J79" i="11"/>
  <c r="O188" i="9"/>
  <c r="N188" i="9"/>
  <c r="M188" i="9"/>
  <c r="L188" i="9"/>
  <c r="K188" i="9"/>
  <c r="J188" i="9"/>
  <c r="I188" i="9"/>
  <c r="H188" i="9"/>
  <c r="G188" i="9"/>
  <c r="E188" i="9"/>
  <c r="D188" i="9"/>
  <c r="A188" i="9"/>
  <c r="J78" i="11"/>
  <c r="O187" i="9"/>
  <c r="N187" i="9"/>
  <c r="M187" i="9"/>
  <c r="L187" i="9"/>
  <c r="K187" i="9"/>
  <c r="J187" i="9"/>
  <c r="I187" i="9"/>
  <c r="H187" i="9"/>
  <c r="G187" i="9"/>
  <c r="E187" i="9"/>
  <c r="D187" i="9"/>
  <c r="A187" i="9"/>
  <c r="J77" i="11"/>
  <c r="O186" i="9"/>
  <c r="N186" i="9"/>
  <c r="M186" i="9"/>
  <c r="L186" i="9"/>
  <c r="K186" i="9"/>
  <c r="J186" i="9"/>
  <c r="I186" i="9"/>
  <c r="H186" i="9"/>
  <c r="G186" i="9"/>
  <c r="E186" i="9"/>
  <c r="D186" i="9"/>
  <c r="A186" i="9"/>
  <c r="J76" i="11"/>
  <c r="O185" i="9"/>
  <c r="N185" i="9"/>
  <c r="M185" i="9"/>
  <c r="L185" i="9"/>
  <c r="K185" i="9"/>
  <c r="J185" i="9"/>
  <c r="I185" i="9"/>
  <c r="H185" i="9"/>
  <c r="G185" i="9"/>
  <c r="E185" i="9"/>
  <c r="D185" i="9"/>
  <c r="A185" i="9"/>
  <c r="J75" i="11"/>
  <c r="O184" i="9"/>
  <c r="N184" i="9"/>
  <c r="M184" i="9"/>
  <c r="L184" i="9"/>
  <c r="K184" i="9"/>
  <c r="J184" i="9"/>
  <c r="I184" i="9"/>
  <c r="H184" i="9"/>
  <c r="G184" i="9"/>
  <c r="E184" i="9"/>
  <c r="D184" i="9"/>
  <c r="A184" i="9"/>
  <c r="J74" i="11"/>
  <c r="O183" i="9"/>
  <c r="N183" i="9"/>
  <c r="M183" i="9"/>
  <c r="L183" i="9"/>
  <c r="K183" i="9"/>
  <c r="J183" i="9"/>
  <c r="I183" i="9"/>
  <c r="H183" i="9"/>
  <c r="G183" i="9"/>
  <c r="E183" i="9"/>
  <c r="D183" i="9"/>
  <c r="A183" i="9"/>
  <c r="J73" i="11"/>
  <c r="O182" i="9"/>
  <c r="N182" i="9"/>
  <c r="M182" i="9"/>
  <c r="L182" i="9"/>
  <c r="K182" i="9"/>
  <c r="J182" i="9"/>
  <c r="I182" i="9"/>
  <c r="H182" i="9"/>
  <c r="G182" i="9"/>
  <c r="E182" i="9"/>
  <c r="D182" i="9"/>
  <c r="A182" i="9"/>
  <c r="J72" i="11"/>
  <c r="O181" i="9"/>
  <c r="N181" i="9"/>
  <c r="M181" i="9"/>
  <c r="L181" i="9"/>
  <c r="K181" i="9"/>
  <c r="J181" i="9"/>
  <c r="I181" i="9"/>
  <c r="H181" i="9"/>
  <c r="G181" i="9"/>
  <c r="E181" i="9"/>
  <c r="D181" i="9"/>
  <c r="A181" i="9"/>
  <c r="J71" i="11"/>
  <c r="O180" i="9"/>
  <c r="N180" i="9"/>
  <c r="M180" i="9"/>
  <c r="L180" i="9"/>
  <c r="K180" i="9"/>
  <c r="J180" i="9"/>
  <c r="I180" i="9"/>
  <c r="H180" i="9"/>
  <c r="G180" i="9"/>
  <c r="E180" i="9"/>
  <c r="D180" i="9"/>
  <c r="A180" i="9"/>
  <c r="J70" i="11"/>
  <c r="O179" i="9"/>
  <c r="N179" i="9"/>
  <c r="M179" i="9"/>
  <c r="L179" i="9"/>
  <c r="K179" i="9"/>
  <c r="J179" i="9"/>
  <c r="I179" i="9"/>
  <c r="H179" i="9"/>
  <c r="G179" i="9"/>
  <c r="E179" i="9"/>
  <c r="D179" i="9"/>
  <c r="A179" i="9"/>
  <c r="J69" i="11"/>
  <c r="O178" i="9"/>
  <c r="N178" i="9"/>
  <c r="M178" i="9"/>
  <c r="L178" i="9"/>
  <c r="K178" i="9"/>
  <c r="J178" i="9"/>
  <c r="I178" i="9"/>
  <c r="H178" i="9"/>
  <c r="G178" i="9"/>
  <c r="E178" i="9"/>
  <c r="D178" i="9"/>
  <c r="A178" i="9"/>
  <c r="J68" i="11"/>
  <c r="O177" i="9"/>
  <c r="N177" i="9"/>
  <c r="M177" i="9"/>
  <c r="L177" i="9"/>
  <c r="K177" i="9"/>
  <c r="J177" i="9"/>
  <c r="I177" i="9"/>
  <c r="H177" i="9"/>
  <c r="G177" i="9"/>
  <c r="E177" i="9"/>
  <c r="D177" i="9"/>
  <c r="A177" i="9"/>
  <c r="J67" i="11"/>
  <c r="O176" i="9"/>
  <c r="N176" i="9"/>
  <c r="M176" i="9"/>
  <c r="L176" i="9"/>
  <c r="K176" i="9"/>
  <c r="J176" i="9"/>
  <c r="I176" i="9"/>
  <c r="H176" i="9"/>
  <c r="G176" i="9"/>
  <c r="E176" i="9"/>
  <c r="D176" i="9"/>
  <c r="A176" i="9"/>
  <c r="J66" i="11"/>
  <c r="O175" i="9"/>
  <c r="N175" i="9"/>
  <c r="M175" i="9"/>
  <c r="L175" i="9"/>
  <c r="K175" i="9"/>
  <c r="J175" i="9"/>
  <c r="I175" i="9"/>
  <c r="H175" i="9"/>
  <c r="G175" i="9"/>
  <c r="E175" i="9"/>
  <c r="D175" i="9"/>
  <c r="A175" i="9"/>
  <c r="J65" i="11"/>
  <c r="O174" i="9"/>
  <c r="N174" i="9"/>
  <c r="M174" i="9"/>
  <c r="L174" i="9"/>
  <c r="K174" i="9"/>
  <c r="J174" i="9"/>
  <c r="I174" i="9"/>
  <c r="H174" i="9"/>
  <c r="G174" i="9"/>
  <c r="E174" i="9"/>
  <c r="D174" i="9"/>
  <c r="A174" i="9"/>
  <c r="J64" i="11"/>
  <c r="O173" i="9"/>
  <c r="N173" i="9"/>
  <c r="M173" i="9"/>
  <c r="L173" i="9"/>
  <c r="K173" i="9"/>
  <c r="J173" i="9"/>
  <c r="I173" i="9"/>
  <c r="H173" i="9"/>
  <c r="G173" i="9"/>
  <c r="E173" i="9"/>
  <c r="D173" i="9"/>
  <c r="A173" i="9"/>
  <c r="J63" i="11"/>
  <c r="O172" i="9"/>
  <c r="N172" i="9"/>
  <c r="M172" i="9"/>
  <c r="L172" i="9"/>
  <c r="K172" i="9"/>
  <c r="J172" i="9"/>
  <c r="I172" i="9"/>
  <c r="H172" i="9"/>
  <c r="G172" i="9"/>
  <c r="E172" i="9"/>
  <c r="D172" i="9"/>
  <c r="A172" i="9"/>
  <c r="J62" i="11"/>
  <c r="O171" i="9"/>
  <c r="N171" i="9"/>
  <c r="M171" i="9"/>
  <c r="L171" i="9"/>
  <c r="K171" i="9"/>
  <c r="J171" i="9"/>
  <c r="I171" i="9"/>
  <c r="H171" i="9"/>
  <c r="G171" i="9"/>
  <c r="E171" i="9"/>
  <c r="D171" i="9"/>
  <c r="A171" i="9"/>
  <c r="J61" i="11"/>
  <c r="O170" i="9"/>
  <c r="N170" i="9"/>
  <c r="M170" i="9"/>
  <c r="L170" i="9"/>
  <c r="K170" i="9"/>
  <c r="J170" i="9"/>
  <c r="I170" i="9"/>
  <c r="H170" i="9"/>
  <c r="G170" i="9"/>
  <c r="E170" i="9"/>
  <c r="D170" i="9"/>
  <c r="A170" i="9"/>
  <c r="J60" i="11"/>
  <c r="O169" i="9"/>
  <c r="N169" i="9"/>
  <c r="M169" i="9"/>
  <c r="L169" i="9"/>
  <c r="K169" i="9"/>
  <c r="J169" i="9"/>
  <c r="I169" i="9"/>
  <c r="H169" i="9"/>
  <c r="G169" i="9"/>
  <c r="E169" i="9"/>
  <c r="D169" i="9"/>
  <c r="A169" i="9"/>
  <c r="J59" i="11"/>
  <c r="O168" i="9"/>
  <c r="N168" i="9"/>
  <c r="M168" i="9"/>
  <c r="L168" i="9"/>
  <c r="K168" i="9"/>
  <c r="J168" i="9"/>
  <c r="I168" i="9"/>
  <c r="H168" i="9"/>
  <c r="G168" i="9"/>
  <c r="E168" i="9"/>
  <c r="D168" i="9"/>
  <c r="A168" i="9"/>
  <c r="J58" i="11"/>
  <c r="O167" i="9"/>
  <c r="N167" i="9"/>
  <c r="M167" i="9"/>
  <c r="L167" i="9"/>
  <c r="K167" i="9"/>
  <c r="J167" i="9"/>
  <c r="I167" i="9"/>
  <c r="H167" i="9"/>
  <c r="G167" i="9"/>
  <c r="E167" i="9"/>
  <c r="D167" i="9"/>
  <c r="A167" i="9"/>
  <c r="O164" i="9"/>
  <c r="N164" i="9"/>
  <c r="M164" i="9"/>
  <c r="L164" i="9"/>
  <c r="K164" i="9"/>
  <c r="J164" i="9"/>
  <c r="I164" i="9"/>
  <c r="H164" i="9"/>
  <c r="G164" i="9"/>
  <c r="E164" i="9"/>
  <c r="D164" i="9"/>
  <c r="A164" i="9"/>
  <c r="O160" i="9"/>
  <c r="N160" i="9"/>
  <c r="M160" i="9"/>
  <c r="L160" i="9"/>
  <c r="K160" i="9"/>
  <c r="J160" i="9"/>
  <c r="I160" i="9"/>
  <c r="H160" i="9"/>
  <c r="G160" i="9"/>
  <c r="E160" i="9"/>
  <c r="D160" i="9"/>
  <c r="A160" i="9"/>
  <c r="O159" i="9"/>
  <c r="N159" i="9"/>
  <c r="M159" i="9"/>
  <c r="L159" i="9"/>
  <c r="K159" i="9"/>
  <c r="J159" i="9"/>
  <c r="I159" i="9"/>
  <c r="H159" i="9"/>
  <c r="G159" i="9"/>
  <c r="E159" i="9"/>
  <c r="D159" i="9"/>
  <c r="A159" i="9"/>
  <c r="O158" i="9"/>
  <c r="N158" i="9"/>
  <c r="M158" i="9"/>
  <c r="L158" i="9"/>
  <c r="K158" i="9"/>
  <c r="J158" i="9"/>
  <c r="I158" i="9"/>
  <c r="H158" i="9"/>
  <c r="G158" i="9"/>
  <c r="E158" i="9"/>
  <c r="D158" i="9"/>
  <c r="A158" i="9"/>
  <c r="O157" i="9"/>
  <c r="N157" i="9"/>
  <c r="M157" i="9"/>
  <c r="L157" i="9"/>
  <c r="K157" i="9"/>
  <c r="J157" i="9"/>
  <c r="I157" i="9"/>
  <c r="H157" i="9"/>
  <c r="G157" i="9"/>
  <c r="E157" i="9"/>
  <c r="D157" i="9"/>
  <c r="A157" i="9"/>
  <c r="O156" i="9"/>
  <c r="N156" i="9"/>
  <c r="M156" i="9"/>
  <c r="L156" i="9"/>
  <c r="K156" i="9"/>
  <c r="J156" i="9"/>
  <c r="I156" i="9"/>
  <c r="H156" i="9"/>
  <c r="G156" i="9"/>
  <c r="E156" i="9"/>
  <c r="D156" i="9"/>
  <c r="A156" i="9"/>
  <c r="O149" i="9"/>
  <c r="N149" i="9"/>
  <c r="M149" i="9"/>
  <c r="L149" i="9"/>
  <c r="K149" i="9"/>
  <c r="J149" i="9"/>
  <c r="I149" i="9"/>
  <c r="H149" i="9"/>
  <c r="G149" i="9"/>
  <c r="E149" i="9"/>
  <c r="D149" i="9"/>
  <c r="A149" i="9"/>
  <c r="O148" i="9"/>
  <c r="N148" i="9"/>
  <c r="M148" i="9"/>
  <c r="L148" i="9"/>
  <c r="K148" i="9"/>
  <c r="J148" i="9"/>
  <c r="I148" i="9"/>
  <c r="H148" i="9"/>
  <c r="G148" i="9"/>
  <c r="E148" i="9"/>
  <c r="D148" i="9"/>
  <c r="A148" i="9"/>
  <c r="O147" i="9"/>
  <c r="N147" i="9"/>
  <c r="M147" i="9"/>
  <c r="L147" i="9"/>
  <c r="K147" i="9"/>
  <c r="J147" i="9"/>
  <c r="I147" i="9"/>
  <c r="H147" i="9"/>
  <c r="G147" i="9"/>
  <c r="E147" i="9"/>
  <c r="D147" i="9"/>
  <c r="A147" i="9"/>
  <c r="O146" i="9"/>
  <c r="N146" i="9"/>
  <c r="M146" i="9"/>
  <c r="L146" i="9"/>
  <c r="K146" i="9"/>
  <c r="J146" i="9"/>
  <c r="I146" i="9"/>
  <c r="H146" i="9"/>
  <c r="G146" i="9"/>
  <c r="E146" i="9"/>
  <c r="D146" i="9"/>
  <c r="A146" i="9"/>
  <c r="O145" i="9"/>
  <c r="N145" i="9"/>
  <c r="M145" i="9"/>
  <c r="L145" i="9"/>
  <c r="K145" i="9"/>
  <c r="J145" i="9"/>
  <c r="I145" i="9"/>
  <c r="H145" i="9"/>
  <c r="G145" i="9"/>
  <c r="E145" i="9"/>
  <c r="D145" i="9"/>
  <c r="A145" i="9"/>
  <c r="O144" i="9"/>
  <c r="N144" i="9"/>
  <c r="M144" i="9"/>
  <c r="L144" i="9"/>
  <c r="K144" i="9"/>
  <c r="J144" i="9"/>
  <c r="I144" i="9"/>
  <c r="H144" i="9"/>
  <c r="G144" i="9"/>
  <c r="E144" i="9"/>
  <c r="D144" i="9"/>
  <c r="A144" i="9"/>
  <c r="O143" i="9"/>
  <c r="N143" i="9"/>
  <c r="M143" i="9"/>
  <c r="L143" i="9"/>
  <c r="K143" i="9"/>
  <c r="J143" i="9"/>
  <c r="I143" i="9"/>
  <c r="H143" i="9"/>
  <c r="G143" i="9"/>
  <c r="E143" i="9"/>
  <c r="D143" i="9"/>
  <c r="A143" i="9"/>
  <c r="O142" i="9"/>
  <c r="N142" i="9"/>
  <c r="M142" i="9"/>
  <c r="L142" i="9"/>
  <c r="K142" i="9"/>
  <c r="J142" i="9"/>
  <c r="I142" i="9"/>
  <c r="H142" i="9"/>
  <c r="G142" i="9"/>
  <c r="E142" i="9"/>
  <c r="D142" i="9"/>
  <c r="A142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53" i="9"/>
  <c r="N153" i="9"/>
  <c r="M153" i="9"/>
  <c r="L153" i="9"/>
  <c r="K153" i="9"/>
  <c r="J153" i="9"/>
  <c r="I153" i="9"/>
  <c r="H153" i="9"/>
  <c r="G153" i="9"/>
  <c r="E153" i="9"/>
  <c r="D153" i="9"/>
  <c r="A153" i="9"/>
  <c r="O152" i="9"/>
  <c r="N152" i="9"/>
  <c r="M152" i="9"/>
  <c r="L152" i="9"/>
  <c r="K152" i="9"/>
  <c r="J152" i="9"/>
  <c r="I152" i="9"/>
  <c r="H152" i="9"/>
  <c r="G152" i="9"/>
  <c r="E152" i="9"/>
  <c r="D152" i="9"/>
  <c r="A152" i="9"/>
  <c r="O151" i="9"/>
  <c r="N151" i="9"/>
  <c r="M151" i="9"/>
  <c r="L151" i="9"/>
  <c r="K151" i="9"/>
  <c r="J151" i="9"/>
  <c r="I151" i="9"/>
  <c r="H151" i="9"/>
  <c r="G151" i="9"/>
  <c r="E151" i="9"/>
  <c r="D151" i="9"/>
  <c r="A151" i="9"/>
  <c r="O150" i="9"/>
  <c r="N150" i="9"/>
  <c r="M150" i="9"/>
  <c r="L150" i="9"/>
  <c r="K150" i="9"/>
  <c r="J150" i="9"/>
  <c r="I150" i="9"/>
  <c r="H150" i="9"/>
  <c r="G150" i="9"/>
  <c r="E150" i="9"/>
  <c r="D150" i="9"/>
  <c r="A150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O125" i="9"/>
  <c r="N125" i="9"/>
  <c r="M125" i="9"/>
  <c r="L125" i="9"/>
  <c r="K125" i="9"/>
  <c r="J125" i="9"/>
  <c r="I125" i="9"/>
  <c r="H125" i="9"/>
  <c r="G125" i="9"/>
  <c r="E125" i="9"/>
  <c r="D125" i="9"/>
  <c r="A125" i="9"/>
  <c r="O118" i="9"/>
  <c r="N118" i="9"/>
  <c r="M118" i="9"/>
  <c r="L118" i="9"/>
  <c r="K118" i="9"/>
  <c r="J118" i="9"/>
  <c r="I118" i="9"/>
  <c r="H118" i="9"/>
  <c r="G118" i="9"/>
  <c r="E118" i="9"/>
  <c r="D118" i="9"/>
  <c r="A118" i="9"/>
  <c r="O117" i="9"/>
  <c r="N117" i="9"/>
  <c r="M117" i="9"/>
  <c r="L117" i="9"/>
  <c r="K117" i="9"/>
  <c r="J117" i="9"/>
  <c r="I117" i="9"/>
  <c r="H117" i="9"/>
  <c r="G117" i="9"/>
  <c r="E117" i="9"/>
  <c r="D117" i="9"/>
  <c r="A117" i="9"/>
  <c r="O116" i="9"/>
  <c r="N116" i="9"/>
  <c r="M116" i="9"/>
  <c r="L116" i="9"/>
  <c r="K116" i="9"/>
  <c r="J116" i="9"/>
  <c r="I116" i="9"/>
  <c r="H116" i="9"/>
  <c r="G116" i="9"/>
  <c r="E116" i="9"/>
  <c r="D116" i="9"/>
  <c r="A116" i="9"/>
  <c r="O115" i="9"/>
  <c r="N115" i="9"/>
  <c r="M115" i="9"/>
  <c r="L115" i="9"/>
  <c r="K115" i="9"/>
  <c r="J115" i="9"/>
  <c r="I115" i="9"/>
  <c r="H115" i="9"/>
  <c r="G115" i="9"/>
  <c r="E115" i="9"/>
  <c r="D115" i="9"/>
  <c r="A115" i="9"/>
  <c r="O114" i="9"/>
  <c r="N114" i="9"/>
  <c r="M114" i="9"/>
  <c r="L114" i="9"/>
  <c r="K114" i="9"/>
  <c r="J114" i="9"/>
  <c r="I114" i="9"/>
  <c r="H114" i="9"/>
  <c r="G114" i="9"/>
  <c r="E114" i="9"/>
  <c r="D114" i="9"/>
  <c r="A114" i="9"/>
  <c r="O113" i="9"/>
  <c r="N113" i="9"/>
  <c r="M113" i="9"/>
  <c r="L113" i="9"/>
  <c r="K113" i="9"/>
  <c r="J113" i="9"/>
  <c r="I113" i="9"/>
  <c r="H113" i="9"/>
  <c r="G113" i="9"/>
  <c r="E113" i="9"/>
  <c r="D113" i="9"/>
  <c r="A113" i="9"/>
  <c r="O112" i="9"/>
  <c r="N112" i="9"/>
  <c r="M112" i="9"/>
  <c r="L112" i="9"/>
  <c r="K112" i="9"/>
  <c r="J112" i="9"/>
  <c r="I112" i="9"/>
  <c r="H112" i="9"/>
  <c r="G112" i="9"/>
  <c r="E112" i="9"/>
  <c r="D112" i="9"/>
  <c r="A112" i="9"/>
  <c r="O166" i="9"/>
  <c r="N166" i="9"/>
  <c r="M166" i="9"/>
  <c r="L166" i="9"/>
  <c r="K166" i="9"/>
  <c r="J166" i="9"/>
  <c r="I166" i="9"/>
  <c r="H166" i="9"/>
  <c r="G166" i="9"/>
  <c r="E166" i="9"/>
  <c r="D166" i="9"/>
  <c r="A166" i="9"/>
  <c r="O165" i="9"/>
  <c r="N165" i="9"/>
  <c r="M165" i="9"/>
  <c r="L165" i="9"/>
  <c r="K165" i="9"/>
  <c r="J165" i="9"/>
  <c r="I165" i="9"/>
  <c r="H165" i="9"/>
  <c r="G165" i="9"/>
  <c r="E165" i="9"/>
  <c r="D165" i="9"/>
  <c r="A165" i="9"/>
  <c r="O163" i="9"/>
  <c r="N163" i="9"/>
  <c r="M163" i="9"/>
  <c r="L163" i="9"/>
  <c r="K163" i="9"/>
  <c r="J163" i="9"/>
  <c r="I163" i="9"/>
  <c r="H163" i="9"/>
  <c r="G163" i="9"/>
  <c r="E163" i="9"/>
  <c r="D163" i="9"/>
  <c r="A163" i="9"/>
  <c r="O162" i="9"/>
  <c r="N162" i="9"/>
  <c r="M162" i="9"/>
  <c r="L162" i="9"/>
  <c r="K162" i="9"/>
  <c r="J162" i="9"/>
  <c r="I162" i="9"/>
  <c r="H162" i="9"/>
  <c r="G162" i="9"/>
  <c r="E162" i="9"/>
  <c r="D162" i="9"/>
  <c r="A162" i="9"/>
  <c r="O161" i="9"/>
  <c r="N161" i="9"/>
  <c r="M161" i="9"/>
  <c r="L161" i="9"/>
  <c r="K161" i="9"/>
  <c r="J161" i="9"/>
  <c r="I161" i="9"/>
  <c r="H161" i="9"/>
  <c r="G161" i="9"/>
  <c r="E161" i="9"/>
  <c r="D161" i="9"/>
  <c r="A161" i="9"/>
  <c r="O155" i="9"/>
  <c r="N155" i="9"/>
  <c r="M155" i="9"/>
  <c r="L155" i="9"/>
  <c r="K155" i="9"/>
  <c r="J155" i="9"/>
  <c r="I155" i="9"/>
  <c r="H155" i="9"/>
  <c r="G155" i="9"/>
  <c r="E155" i="9"/>
  <c r="D155" i="9"/>
  <c r="A155" i="9"/>
  <c r="O154" i="9"/>
  <c r="N154" i="9"/>
  <c r="M154" i="9"/>
  <c r="L154" i="9"/>
  <c r="K154" i="9"/>
  <c r="J154" i="9"/>
  <c r="I154" i="9"/>
  <c r="H154" i="9"/>
  <c r="G154" i="9"/>
  <c r="E154" i="9"/>
  <c r="D154" i="9"/>
  <c r="A154" i="9"/>
  <c r="A120" i="9"/>
  <c r="D120" i="9"/>
  <c r="E120" i="9"/>
  <c r="G120" i="9"/>
  <c r="H120" i="9"/>
  <c r="I120" i="9"/>
  <c r="J120" i="9"/>
  <c r="K120" i="9"/>
  <c r="L120" i="9"/>
  <c r="M120" i="9"/>
  <c r="N120" i="9"/>
  <c r="O120" i="9"/>
  <c r="A121" i="9"/>
  <c r="D121" i="9"/>
  <c r="E121" i="9"/>
  <c r="G121" i="9"/>
  <c r="H121" i="9"/>
  <c r="I121" i="9"/>
  <c r="J121" i="9"/>
  <c r="K121" i="9"/>
  <c r="L121" i="9"/>
  <c r="M121" i="9"/>
  <c r="N121" i="9"/>
  <c r="O121" i="9"/>
  <c r="A122" i="9"/>
  <c r="D122" i="9"/>
  <c r="E122" i="9"/>
  <c r="G122" i="9"/>
  <c r="H122" i="9"/>
  <c r="I122" i="9"/>
  <c r="J122" i="9"/>
  <c r="K122" i="9"/>
  <c r="L122" i="9"/>
  <c r="M122" i="9"/>
  <c r="N122" i="9"/>
  <c r="O122" i="9"/>
  <c r="A123" i="9"/>
  <c r="D123" i="9"/>
  <c r="E123" i="9"/>
  <c r="G123" i="9"/>
  <c r="H123" i="9"/>
  <c r="I123" i="9"/>
  <c r="J123" i="9"/>
  <c r="K123" i="9"/>
  <c r="L123" i="9"/>
  <c r="M123" i="9"/>
  <c r="N123" i="9"/>
  <c r="O123" i="9"/>
  <c r="A124" i="9"/>
  <c r="D124" i="9"/>
  <c r="E124" i="9"/>
  <c r="G124" i="9"/>
  <c r="H124" i="9"/>
  <c r="I124" i="9"/>
  <c r="J124" i="9"/>
  <c r="K124" i="9"/>
  <c r="L124" i="9"/>
  <c r="M124" i="9"/>
  <c r="N124" i="9"/>
  <c r="O124" i="9"/>
  <c r="B37" i="10"/>
  <c r="B4" i="10"/>
  <c r="H140" i="10"/>
  <c r="I140" i="10"/>
  <c r="J140" i="10"/>
  <c r="K140" i="10"/>
  <c r="L140" i="10"/>
  <c r="M140" i="10"/>
  <c r="U140" i="10"/>
  <c r="V140" i="10"/>
  <c r="W140" i="10"/>
  <c r="X140" i="10"/>
  <c r="Y140" i="10"/>
  <c r="Z140" i="10"/>
  <c r="H141" i="10"/>
  <c r="I141" i="10"/>
  <c r="J141" i="10"/>
  <c r="K141" i="10"/>
  <c r="L141" i="10"/>
  <c r="M141" i="10"/>
  <c r="U141" i="10"/>
  <c r="V141" i="10"/>
  <c r="W141" i="10"/>
  <c r="X141" i="10"/>
  <c r="Y141" i="10"/>
  <c r="Z141" i="10"/>
  <c r="H142" i="10"/>
  <c r="I142" i="10"/>
  <c r="J142" i="10"/>
  <c r="K142" i="10"/>
  <c r="L142" i="10"/>
  <c r="M142" i="10"/>
  <c r="U142" i="10"/>
  <c r="V142" i="10"/>
  <c r="W142" i="10"/>
  <c r="X142" i="10"/>
  <c r="Y142" i="10"/>
  <c r="Z142" i="10"/>
  <c r="H143" i="10"/>
  <c r="I143" i="10"/>
  <c r="J143" i="10"/>
  <c r="K143" i="10"/>
  <c r="L143" i="10"/>
  <c r="M143" i="10"/>
  <c r="U143" i="10"/>
  <c r="V143" i="10"/>
  <c r="W143" i="10"/>
  <c r="X143" i="10"/>
  <c r="Y143" i="10"/>
  <c r="Z143" i="10"/>
  <c r="J57" i="11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J55" i="11"/>
  <c r="O54" i="9"/>
  <c r="N54" i="9"/>
  <c r="M54" i="9"/>
  <c r="L54" i="9"/>
  <c r="K54" i="9"/>
  <c r="J54" i="9"/>
  <c r="I54" i="9"/>
  <c r="H54" i="9"/>
  <c r="G54" i="9"/>
  <c r="E54" i="9"/>
  <c r="D54" i="9"/>
  <c r="A54" i="9"/>
  <c r="J54" i="11"/>
  <c r="O53" i="9"/>
  <c r="N53" i="9"/>
  <c r="M53" i="9"/>
  <c r="L53" i="9"/>
  <c r="K53" i="9"/>
  <c r="J53" i="9"/>
  <c r="I53" i="9"/>
  <c r="H53" i="9"/>
  <c r="G53" i="9"/>
  <c r="E53" i="9"/>
  <c r="D53" i="9"/>
  <c r="A53" i="9"/>
  <c r="J53" i="11"/>
  <c r="O52" i="9"/>
  <c r="N52" i="9"/>
  <c r="M52" i="9"/>
  <c r="L52" i="9"/>
  <c r="K52" i="9"/>
  <c r="J52" i="9"/>
  <c r="I52" i="9"/>
  <c r="H52" i="9"/>
  <c r="G52" i="9"/>
  <c r="E52" i="9"/>
  <c r="D52" i="9"/>
  <c r="A52" i="9"/>
  <c r="J52" i="11"/>
  <c r="O51" i="9"/>
  <c r="N51" i="9"/>
  <c r="M51" i="9"/>
  <c r="L51" i="9"/>
  <c r="K51" i="9"/>
  <c r="J51" i="9"/>
  <c r="I51" i="9"/>
  <c r="H51" i="9"/>
  <c r="G51" i="9"/>
  <c r="E51" i="9"/>
  <c r="D51" i="9"/>
  <c r="A51" i="9"/>
  <c r="J51" i="11"/>
  <c r="O50" i="9"/>
  <c r="N50" i="9"/>
  <c r="M50" i="9"/>
  <c r="L50" i="9"/>
  <c r="K50" i="9"/>
  <c r="J50" i="9"/>
  <c r="I50" i="9"/>
  <c r="H50" i="9"/>
  <c r="G50" i="9"/>
  <c r="E50" i="9"/>
  <c r="D50" i="9"/>
  <c r="A50" i="9"/>
  <c r="J50" i="11"/>
  <c r="O49" i="9"/>
  <c r="N49" i="9"/>
  <c r="M49" i="9"/>
  <c r="L49" i="9"/>
  <c r="K49" i="9"/>
  <c r="J49" i="9"/>
  <c r="I49" i="9"/>
  <c r="H49" i="9"/>
  <c r="G49" i="9"/>
  <c r="E49" i="9"/>
  <c r="D49" i="9"/>
  <c r="A49" i="9"/>
  <c r="J49" i="11"/>
  <c r="O48" i="9"/>
  <c r="N48" i="9"/>
  <c r="M48" i="9"/>
  <c r="L48" i="9"/>
  <c r="K48" i="9"/>
  <c r="J48" i="9"/>
  <c r="I48" i="9"/>
  <c r="H48" i="9"/>
  <c r="G48" i="9"/>
  <c r="E48" i="9"/>
  <c r="D48" i="9"/>
  <c r="A48" i="9"/>
  <c r="J48" i="11"/>
  <c r="O47" i="9"/>
  <c r="N47" i="9"/>
  <c r="M47" i="9"/>
  <c r="L47" i="9"/>
  <c r="K47" i="9"/>
  <c r="J47" i="9"/>
  <c r="I47" i="9"/>
  <c r="H47" i="9"/>
  <c r="G47" i="9"/>
  <c r="E47" i="9"/>
  <c r="D47" i="9"/>
  <c r="A47" i="9"/>
  <c r="J47" i="11"/>
  <c r="O46" i="9"/>
  <c r="N46" i="9"/>
  <c r="M46" i="9"/>
  <c r="L46" i="9"/>
  <c r="K46" i="9"/>
  <c r="J46" i="9"/>
  <c r="I46" i="9"/>
  <c r="H46" i="9"/>
  <c r="G46" i="9"/>
  <c r="E46" i="9"/>
  <c r="D46" i="9"/>
  <c r="A46" i="9"/>
  <c r="J46" i="11"/>
  <c r="O45" i="9"/>
  <c r="N45" i="9"/>
  <c r="M45" i="9"/>
  <c r="L45" i="9"/>
  <c r="K45" i="9"/>
  <c r="J45" i="9"/>
  <c r="I45" i="9"/>
  <c r="H45" i="9"/>
  <c r="G45" i="9"/>
  <c r="E45" i="9"/>
  <c r="D45" i="9"/>
  <c r="A45" i="9"/>
  <c r="J45" i="11"/>
  <c r="O44" i="9"/>
  <c r="N44" i="9"/>
  <c r="M44" i="9"/>
  <c r="L44" i="9"/>
  <c r="K44" i="9"/>
  <c r="J44" i="9"/>
  <c r="I44" i="9"/>
  <c r="H44" i="9"/>
  <c r="G44" i="9"/>
  <c r="E44" i="9"/>
  <c r="D44" i="9"/>
  <c r="A44" i="9"/>
  <c r="J44" i="11"/>
  <c r="O43" i="9"/>
  <c r="N43" i="9"/>
  <c r="M43" i="9"/>
  <c r="L43" i="9"/>
  <c r="K43" i="9"/>
  <c r="J43" i="9"/>
  <c r="I43" i="9"/>
  <c r="H43" i="9"/>
  <c r="G43" i="9"/>
  <c r="E43" i="9"/>
  <c r="D43" i="9"/>
  <c r="A43" i="9"/>
  <c r="J43" i="11"/>
  <c r="O42" i="9"/>
  <c r="N42" i="9"/>
  <c r="M42" i="9"/>
  <c r="L42" i="9"/>
  <c r="K42" i="9"/>
  <c r="J42" i="9"/>
  <c r="I42" i="9"/>
  <c r="H42" i="9"/>
  <c r="G42" i="9"/>
  <c r="E42" i="9"/>
  <c r="D42" i="9"/>
  <c r="A42" i="9"/>
  <c r="J42" i="11"/>
  <c r="O41" i="9"/>
  <c r="N41" i="9"/>
  <c r="M41" i="9"/>
  <c r="L41" i="9"/>
  <c r="K41" i="9"/>
  <c r="J41" i="9"/>
  <c r="I41" i="9"/>
  <c r="H41" i="9"/>
  <c r="G41" i="9"/>
  <c r="E41" i="9"/>
  <c r="D41" i="9"/>
  <c r="A41" i="9"/>
  <c r="J41" i="11"/>
  <c r="O40" i="9"/>
  <c r="N40" i="9"/>
  <c r="M40" i="9"/>
  <c r="L40" i="9"/>
  <c r="K40" i="9"/>
  <c r="J40" i="9"/>
  <c r="I40" i="9"/>
  <c r="H40" i="9"/>
  <c r="G40" i="9"/>
  <c r="E40" i="9"/>
  <c r="D40" i="9"/>
  <c r="A40" i="9"/>
  <c r="J40" i="11"/>
  <c r="O39" i="9"/>
  <c r="N39" i="9"/>
  <c r="M39" i="9"/>
  <c r="L39" i="9"/>
  <c r="K39" i="9"/>
  <c r="J39" i="9"/>
  <c r="I39" i="9"/>
  <c r="H39" i="9"/>
  <c r="G39" i="9"/>
  <c r="E39" i="9"/>
  <c r="D39" i="9"/>
  <c r="A39" i="9"/>
  <c r="J39" i="11"/>
  <c r="O38" i="9"/>
  <c r="N38" i="9"/>
  <c r="M38" i="9"/>
  <c r="L38" i="9"/>
  <c r="K38" i="9"/>
  <c r="J38" i="9"/>
  <c r="I38" i="9"/>
  <c r="H38" i="9"/>
  <c r="G38" i="9"/>
  <c r="E38" i="9"/>
  <c r="D38" i="9"/>
  <c r="A38" i="9"/>
  <c r="J38" i="11"/>
  <c r="O37" i="9"/>
  <c r="N37" i="9"/>
  <c r="M37" i="9"/>
  <c r="L37" i="9"/>
  <c r="K37" i="9"/>
  <c r="J37" i="9"/>
  <c r="I37" i="9"/>
  <c r="H37" i="9"/>
  <c r="G37" i="9"/>
  <c r="E37" i="9"/>
  <c r="D37" i="9"/>
  <c r="A37" i="9"/>
  <c r="J37" i="11"/>
  <c r="O36" i="9"/>
  <c r="N36" i="9"/>
  <c r="M36" i="9"/>
  <c r="L36" i="9"/>
  <c r="K36" i="9"/>
  <c r="J36" i="9"/>
  <c r="I36" i="9"/>
  <c r="H36" i="9"/>
  <c r="G36" i="9"/>
  <c r="E36" i="9"/>
  <c r="D36" i="9"/>
  <c r="A36" i="9"/>
  <c r="J36" i="11"/>
  <c r="O35" i="9"/>
  <c r="N35" i="9"/>
  <c r="M35" i="9"/>
  <c r="L35" i="9"/>
  <c r="K35" i="9"/>
  <c r="J35" i="9"/>
  <c r="I35" i="9"/>
  <c r="H35" i="9"/>
  <c r="G35" i="9"/>
  <c r="E35" i="9"/>
  <c r="D35" i="9"/>
  <c r="A35" i="9"/>
  <c r="J35" i="11"/>
  <c r="O34" i="9"/>
  <c r="N34" i="9"/>
  <c r="M34" i="9"/>
  <c r="L34" i="9"/>
  <c r="K34" i="9"/>
  <c r="J34" i="9"/>
  <c r="I34" i="9"/>
  <c r="H34" i="9"/>
  <c r="G34" i="9"/>
  <c r="E34" i="9"/>
  <c r="D34" i="9"/>
  <c r="A34" i="9"/>
  <c r="J34" i="11"/>
  <c r="O33" i="9"/>
  <c r="N33" i="9"/>
  <c r="M33" i="9"/>
  <c r="L33" i="9"/>
  <c r="K33" i="9"/>
  <c r="J33" i="9"/>
  <c r="I33" i="9"/>
  <c r="H33" i="9"/>
  <c r="G33" i="9"/>
  <c r="E33" i="9"/>
  <c r="D33" i="9"/>
  <c r="A33" i="9"/>
  <c r="J33" i="11"/>
  <c r="O32" i="9"/>
  <c r="N32" i="9"/>
  <c r="M32" i="9"/>
  <c r="L32" i="9"/>
  <c r="K32" i="9"/>
  <c r="J32" i="9"/>
  <c r="I32" i="9"/>
  <c r="H32" i="9"/>
  <c r="G32" i="9"/>
  <c r="E32" i="9"/>
  <c r="D32" i="9"/>
  <c r="A32" i="9"/>
  <c r="J32" i="11"/>
  <c r="O31" i="9"/>
  <c r="N31" i="9"/>
  <c r="M31" i="9"/>
  <c r="L31" i="9"/>
  <c r="K31" i="9"/>
  <c r="J31" i="9"/>
  <c r="I31" i="9"/>
  <c r="H31" i="9"/>
  <c r="G31" i="9"/>
  <c r="E31" i="9"/>
  <c r="D31" i="9"/>
  <c r="A31" i="9"/>
  <c r="J31" i="11"/>
  <c r="O30" i="9"/>
  <c r="N30" i="9"/>
  <c r="M30" i="9"/>
  <c r="L30" i="9"/>
  <c r="K30" i="9"/>
  <c r="J30" i="9"/>
  <c r="I30" i="9"/>
  <c r="H30" i="9"/>
  <c r="G30" i="9"/>
  <c r="E30" i="9"/>
  <c r="D30" i="9"/>
  <c r="A30" i="9"/>
  <c r="J30" i="11"/>
  <c r="O29" i="9"/>
  <c r="N29" i="9"/>
  <c r="M29" i="9"/>
  <c r="L29" i="9"/>
  <c r="K29" i="9"/>
  <c r="J29" i="9"/>
  <c r="I29" i="9"/>
  <c r="H29" i="9"/>
  <c r="G29" i="9"/>
  <c r="E29" i="9"/>
  <c r="D29" i="9"/>
  <c r="A29" i="9"/>
  <c r="J29" i="11"/>
  <c r="O28" i="9"/>
  <c r="N28" i="9"/>
  <c r="M28" i="9"/>
  <c r="L28" i="9"/>
  <c r="K28" i="9"/>
  <c r="J28" i="9"/>
  <c r="I28" i="9"/>
  <c r="H28" i="9"/>
  <c r="G28" i="9"/>
  <c r="E28" i="9"/>
  <c r="D28" i="9"/>
  <c r="A28" i="9"/>
  <c r="J28" i="11"/>
  <c r="O27" i="9"/>
  <c r="N27" i="9"/>
  <c r="M27" i="9"/>
  <c r="L27" i="9"/>
  <c r="K27" i="9"/>
  <c r="J27" i="9"/>
  <c r="I27" i="9"/>
  <c r="H27" i="9"/>
  <c r="G27" i="9"/>
  <c r="E27" i="9"/>
  <c r="D27" i="9"/>
  <c r="A27" i="9"/>
  <c r="J27" i="11"/>
  <c r="O26" i="9"/>
  <c r="N26" i="9"/>
  <c r="M26" i="9"/>
  <c r="L26" i="9"/>
  <c r="K26" i="9"/>
  <c r="J26" i="9"/>
  <c r="I26" i="9"/>
  <c r="H26" i="9"/>
  <c r="G26" i="9"/>
  <c r="E26" i="9"/>
  <c r="D26" i="9"/>
  <c r="A26" i="9"/>
  <c r="J26" i="11"/>
  <c r="O25" i="9"/>
  <c r="N25" i="9"/>
  <c r="M25" i="9"/>
  <c r="L25" i="9"/>
  <c r="K25" i="9"/>
  <c r="J25" i="9"/>
  <c r="I25" i="9"/>
  <c r="H25" i="9"/>
  <c r="G25" i="9"/>
  <c r="E25" i="9"/>
  <c r="D25" i="9"/>
  <c r="A25" i="9"/>
  <c r="J25" i="11"/>
  <c r="O24" i="9"/>
  <c r="N24" i="9"/>
  <c r="M24" i="9"/>
  <c r="L24" i="9"/>
  <c r="K24" i="9"/>
  <c r="J24" i="9"/>
  <c r="I24" i="9"/>
  <c r="H24" i="9"/>
  <c r="G24" i="9"/>
  <c r="E24" i="9"/>
  <c r="D24" i="9"/>
  <c r="A24" i="9"/>
  <c r="J24" i="11"/>
  <c r="O23" i="9"/>
  <c r="N23" i="9"/>
  <c r="M23" i="9"/>
  <c r="L23" i="9"/>
  <c r="K23" i="9"/>
  <c r="J23" i="9"/>
  <c r="I23" i="9"/>
  <c r="H23" i="9"/>
  <c r="G23" i="9"/>
  <c r="E23" i="9"/>
  <c r="D23" i="9"/>
  <c r="A23" i="9"/>
  <c r="J23" i="11"/>
  <c r="O22" i="9"/>
  <c r="N22" i="9"/>
  <c r="M22" i="9"/>
  <c r="L22" i="9"/>
  <c r="K22" i="9"/>
  <c r="J22" i="9"/>
  <c r="I22" i="9"/>
  <c r="H22" i="9"/>
  <c r="G22" i="9"/>
  <c r="E22" i="9"/>
  <c r="D22" i="9"/>
  <c r="A22" i="9"/>
  <c r="J22" i="11"/>
  <c r="O21" i="9"/>
  <c r="N21" i="9"/>
  <c r="M21" i="9"/>
  <c r="L21" i="9"/>
  <c r="K21" i="9"/>
  <c r="J21" i="9"/>
  <c r="I21" i="9"/>
  <c r="H21" i="9"/>
  <c r="G21" i="9"/>
  <c r="E21" i="9"/>
  <c r="D21" i="9"/>
  <c r="A21" i="9"/>
  <c r="J21" i="11"/>
  <c r="O20" i="9"/>
  <c r="N20" i="9"/>
  <c r="M20" i="9"/>
  <c r="L20" i="9"/>
  <c r="K20" i="9"/>
  <c r="J20" i="9"/>
  <c r="I20" i="9"/>
  <c r="H20" i="9"/>
  <c r="G20" i="9"/>
  <c r="E20" i="9"/>
  <c r="D20" i="9"/>
  <c r="A20" i="9"/>
  <c r="J20" i="11"/>
  <c r="O19" i="9"/>
  <c r="N19" i="9"/>
  <c r="M19" i="9"/>
  <c r="L19" i="9"/>
  <c r="K19" i="9"/>
  <c r="J19" i="9"/>
  <c r="I19" i="9"/>
  <c r="H19" i="9"/>
  <c r="G19" i="9"/>
  <c r="E19" i="9"/>
  <c r="D19" i="9"/>
  <c r="A19" i="9"/>
  <c r="J19" i="11"/>
  <c r="O18" i="9"/>
  <c r="N18" i="9"/>
  <c r="M18" i="9"/>
  <c r="L18" i="9"/>
  <c r="K18" i="9"/>
  <c r="J18" i="9"/>
  <c r="I18" i="9"/>
  <c r="H18" i="9"/>
  <c r="G18" i="9"/>
  <c r="E18" i="9"/>
  <c r="D18" i="9"/>
  <c r="A18" i="9"/>
  <c r="J18" i="11"/>
  <c r="O17" i="9"/>
  <c r="N17" i="9"/>
  <c r="M17" i="9"/>
  <c r="L17" i="9"/>
  <c r="K17" i="9"/>
  <c r="J17" i="9"/>
  <c r="I17" i="9"/>
  <c r="H17" i="9"/>
  <c r="G17" i="9"/>
  <c r="E17" i="9"/>
  <c r="D17" i="9"/>
  <c r="A17" i="9"/>
  <c r="J17" i="11"/>
  <c r="O16" i="9"/>
  <c r="N16" i="9"/>
  <c r="M16" i="9"/>
  <c r="L16" i="9"/>
  <c r="K16" i="9"/>
  <c r="J16" i="9"/>
  <c r="I16" i="9"/>
  <c r="H16" i="9"/>
  <c r="G16" i="9"/>
  <c r="E16" i="9"/>
  <c r="D16" i="9"/>
  <c r="A16" i="9"/>
  <c r="J16" i="11"/>
  <c r="O15" i="9"/>
  <c r="N15" i="9"/>
  <c r="M15" i="9"/>
  <c r="L15" i="9"/>
  <c r="K15" i="9"/>
  <c r="J15" i="9"/>
  <c r="I15" i="9"/>
  <c r="H15" i="9"/>
  <c r="G15" i="9"/>
  <c r="E15" i="9"/>
  <c r="D15" i="9"/>
  <c r="A15" i="9"/>
  <c r="J15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2" i="11"/>
  <c r="O2" i="9"/>
  <c r="N2" i="9"/>
  <c r="M2" i="9"/>
  <c r="L2" i="9"/>
  <c r="K2" i="9"/>
  <c r="J2" i="9"/>
  <c r="I2" i="9"/>
  <c r="H2" i="9"/>
  <c r="G2" i="9"/>
  <c r="E2" i="9"/>
  <c r="D2" i="9"/>
  <c r="A2" i="9"/>
  <c r="Y5" i="7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D19" i="1"/>
  <c r="AF19" i="1"/>
  <c r="AI19" i="1"/>
  <c r="AG19" i="1"/>
  <c r="AE19" i="1"/>
  <c r="E84" i="9"/>
  <c r="X19" i="1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D18" i="1"/>
  <c r="AF18" i="1"/>
  <c r="AI18" i="1"/>
  <c r="AG18" i="1"/>
  <c r="AE18" i="1"/>
  <c r="E81" i="9"/>
  <c r="X18" i="1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D17" i="1"/>
  <c r="AF17" i="1"/>
  <c r="AI17" i="1"/>
  <c r="AG17" i="1"/>
  <c r="AE17" i="1"/>
  <c r="E78" i="9"/>
  <c r="X17" i="1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D16" i="1"/>
  <c r="AF16" i="1"/>
  <c r="AI16" i="1"/>
  <c r="AG16" i="1"/>
  <c r="AE16" i="1"/>
  <c r="E75" i="9"/>
  <c r="X16" i="1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F15" i="1"/>
  <c r="AI15" i="1"/>
  <c r="AG15" i="1"/>
  <c r="AE15" i="1"/>
  <c r="E72" i="9"/>
  <c r="X15" i="1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F14" i="1"/>
  <c r="AI14" i="1"/>
  <c r="AG14" i="1"/>
  <c r="AE14" i="1"/>
  <c r="E66" i="9"/>
  <c r="X14" i="1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D13" i="1"/>
  <c r="AF13" i="1"/>
  <c r="AI13" i="1"/>
  <c r="AG13" i="1"/>
  <c r="AE13" i="1"/>
  <c r="E63" i="9"/>
  <c r="X13" i="1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E60" i="9"/>
  <c r="X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E57" i="9"/>
  <c r="X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H9" i="2"/>
  <c r="E9" i="2"/>
  <c r="D9" i="2"/>
  <c r="H2" i="1"/>
  <c r="H3" i="1"/>
  <c r="H4" i="1"/>
  <c r="H5" i="1"/>
  <c r="H6" i="1"/>
  <c r="H7" i="1"/>
  <c r="H8" i="1"/>
  <c r="H9" i="1"/>
  <c r="H10" i="1"/>
  <c r="B9" i="2"/>
  <c r="H8" i="2"/>
  <c r="E8" i="2"/>
  <c r="D8" i="2"/>
  <c r="B8" i="2"/>
  <c r="H7" i="2"/>
  <c r="E7" i="2"/>
  <c r="D7" i="2"/>
  <c r="B7" i="2"/>
  <c r="H6" i="2"/>
  <c r="E6" i="2"/>
  <c r="D6" i="2"/>
  <c r="B6" i="2"/>
  <c r="A119" i="9"/>
  <c r="D119" i="9"/>
  <c r="E119" i="9"/>
  <c r="G119" i="9"/>
  <c r="H119" i="9"/>
  <c r="I119" i="9"/>
  <c r="J119" i="9"/>
  <c r="K119" i="9"/>
  <c r="L119" i="9"/>
  <c r="M119" i="9"/>
  <c r="N119" i="9"/>
  <c r="O119" i="9"/>
  <c r="N139" i="10"/>
  <c r="U139" i="10"/>
  <c r="X139" i="10"/>
  <c r="W139" i="10"/>
  <c r="Y139" i="10"/>
  <c r="V139" i="10"/>
  <c r="Z139" i="10"/>
  <c r="O139" i="10"/>
  <c r="R139" i="10"/>
  <c r="Q139" i="10"/>
  <c r="S139" i="10"/>
  <c r="P139" i="10"/>
  <c r="T139" i="10"/>
  <c r="H139" i="10"/>
  <c r="K139" i="10"/>
  <c r="J139" i="10"/>
  <c r="L139" i="10"/>
  <c r="I139" i="10"/>
  <c r="M139" i="10"/>
  <c r="N138" i="10"/>
  <c r="U138" i="10"/>
  <c r="X138" i="10"/>
  <c r="W138" i="10"/>
  <c r="Y138" i="10"/>
  <c r="V138" i="10"/>
  <c r="Z138" i="10"/>
  <c r="O138" i="10"/>
  <c r="R138" i="10"/>
  <c r="Q138" i="10"/>
  <c r="S138" i="10"/>
  <c r="P138" i="10"/>
  <c r="T138" i="10"/>
  <c r="H138" i="10"/>
  <c r="K138" i="10"/>
  <c r="J138" i="10"/>
  <c r="L138" i="10"/>
  <c r="I138" i="10"/>
  <c r="M138" i="10"/>
  <c r="N137" i="10"/>
  <c r="U137" i="10"/>
  <c r="X137" i="10"/>
  <c r="W137" i="10"/>
  <c r="Y137" i="10"/>
  <c r="V137" i="10"/>
  <c r="Z137" i="10"/>
  <c r="O137" i="10"/>
  <c r="R137" i="10"/>
  <c r="Q137" i="10"/>
  <c r="S137" i="10"/>
  <c r="P137" i="10"/>
  <c r="T137" i="10"/>
  <c r="H137" i="10"/>
  <c r="K137" i="10"/>
  <c r="J137" i="10"/>
  <c r="L137" i="10"/>
  <c r="I137" i="10"/>
  <c r="M137" i="10"/>
  <c r="N136" i="10"/>
  <c r="U136" i="10"/>
  <c r="X136" i="10"/>
  <c r="W136" i="10"/>
  <c r="Y136" i="10"/>
  <c r="V136" i="10"/>
  <c r="Z136" i="10"/>
  <c r="O136" i="10"/>
  <c r="R136" i="10"/>
  <c r="Q136" i="10"/>
  <c r="S136" i="10"/>
  <c r="P136" i="10"/>
  <c r="T136" i="10"/>
  <c r="H136" i="10"/>
  <c r="K136" i="10"/>
  <c r="J136" i="10"/>
  <c r="L136" i="10"/>
  <c r="I136" i="10"/>
  <c r="M136" i="10"/>
  <c r="O97" i="9"/>
  <c r="N97" i="9"/>
  <c r="M97" i="9"/>
  <c r="L97" i="9"/>
  <c r="K97" i="9"/>
  <c r="J97" i="9"/>
  <c r="I97" i="9"/>
  <c r="H97" i="9"/>
  <c r="G97" i="9"/>
  <c r="E97" i="9"/>
  <c r="D97" i="9"/>
  <c r="A97" i="9"/>
  <c r="B92" i="10"/>
  <c r="P3" i="21"/>
  <c r="P4" i="21"/>
  <c r="P5" i="21"/>
  <c r="P6" i="21"/>
  <c r="P7" i="21"/>
  <c r="P8" i="21"/>
  <c r="P9" i="21"/>
  <c r="P10" i="21"/>
  <c r="P2" i="21"/>
  <c r="C9" i="21"/>
  <c r="D9" i="21"/>
  <c r="F9" i="21"/>
  <c r="G9" i="21"/>
  <c r="I9" i="21"/>
  <c r="J9" i="21"/>
  <c r="O9" i="21"/>
  <c r="C10" i="21"/>
  <c r="D10" i="21"/>
  <c r="F10" i="21"/>
  <c r="G10" i="21"/>
  <c r="I10" i="21"/>
  <c r="J10" i="21"/>
  <c r="O10" i="21"/>
  <c r="O8" i="21"/>
  <c r="I8" i="21"/>
  <c r="J8" i="21"/>
  <c r="G8" i="21"/>
  <c r="F8" i="21"/>
  <c r="D8" i="21"/>
  <c r="C8" i="21"/>
  <c r="C6" i="21"/>
  <c r="D6" i="21"/>
  <c r="F6" i="21"/>
  <c r="G6" i="21"/>
  <c r="I6" i="21"/>
  <c r="J6" i="21"/>
  <c r="O6" i="21"/>
  <c r="C7" i="21"/>
  <c r="D7" i="21"/>
  <c r="F7" i="21"/>
  <c r="G7" i="21"/>
  <c r="I7" i="21"/>
  <c r="J7" i="21"/>
  <c r="O7" i="21"/>
  <c r="O3" i="21"/>
  <c r="O4" i="21"/>
  <c r="O5" i="21"/>
  <c r="O2" i="21"/>
  <c r="C3" i="21"/>
  <c r="D3" i="21"/>
  <c r="F3" i="21"/>
  <c r="G3" i="21"/>
  <c r="I3" i="21"/>
  <c r="J3" i="21"/>
  <c r="C4" i="21"/>
  <c r="D4" i="21"/>
  <c r="F4" i="21"/>
  <c r="G4" i="21"/>
  <c r="I4" i="21"/>
  <c r="J4" i="21"/>
  <c r="C5" i="21"/>
  <c r="D5" i="21"/>
  <c r="F5" i="21"/>
  <c r="G5" i="21"/>
  <c r="I5" i="21"/>
  <c r="J5" i="21"/>
  <c r="O59" i="9"/>
  <c r="N59" i="9"/>
  <c r="M59" i="9"/>
  <c r="L59" i="9"/>
  <c r="K59" i="9"/>
  <c r="J59" i="9"/>
  <c r="I59" i="9"/>
  <c r="H59" i="9"/>
  <c r="G59" i="9"/>
  <c r="E59" i="9"/>
  <c r="D59" i="9"/>
  <c r="A59" i="9"/>
  <c r="B59" i="10"/>
  <c r="N111" i="10"/>
  <c r="O111" i="10"/>
  <c r="R111" i="10"/>
  <c r="Q111" i="10"/>
  <c r="S111" i="10"/>
  <c r="P111" i="10"/>
  <c r="T111" i="10"/>
  <c r="A111" i="9"/>
  <c r="D111" i="9"/>
  <c r="E111" i="9"/>
  <c r="G111" i="9"/>
  <c r="H111" i="9"/>
  <c r="I111" i="9"/>
  <c r="J111" i="9"/>
  <c r="K111" i="9"/>
  <c r="L111" i="9"/>
  <c r="M111" i="9"/>
  <c r="N111" i="9"/>
  <c r="O111" i="9"/>
  <c r="J111" i="10"/>
  <c r="K111" i="10"/>
  <c r="L111" i="10"/>
  <c r="M111" i="10"/>
  <c r="U111" i="10"/>
  <c r="V111" i="10"/>
  <c r="W111" i="10"/>
  <c r="X111" i="10"/>
  <c r="Y111" i="10"/>
  <c r="Z111" i="10"/>
  <c r="B98" i="10"/>
  <c r="A58" i="9"/>
  <c r="D58" i="9"/>
  <c r="E58" i="9"/>
  <c r="G58" i="9"/>
  <c r="H58" i="9"/>
  <c r="I58" i="9"/>
  <c r="J58" i="9"/>
  <c r="K58" i="9"/>
  <c r="L58" i="9"/>
  <c r="M58" i="9"/>
  <c r="N58" i="9"/>
  <c r="O58" i="9"/>
  <c r="A60" i="9"/>
  <c r="D60" i="9"/>
  <c r="G60" i="9"/>
  <c r="H60" i="9"/>
  <c r="I60" i="9"/>
  <c r="J60" i="9"/>
  <c r="K60" i="9"/>
  <c r="L60" i="9"/>
  <c r="M60" i="9"/>
  <c r="N60" i="9"/>
  <c r="O60" i="9"/>
  <c r="A61" i="9"/>
  <c r="D61" i="9"/>
  <c r="E61" i="9"/>
  <c r="G61" i="9"/>
  <c r="H61" i="9"/>
  <c r="I61" i="9"/>
  <c r="J61" i="9"/>
  <c r="K61" i="9"/>
  <c r="L61" i="9"/>
  <c r="M61" i="9"/>
  <c r="N61" i="9"/>
  <c r="O61" i="9"/>
  <c r="A62" i="9"/>
  <c r="D62" i="9"/>
  <c r="E62" i="9"/>
  <c r="G62" i="9"/>
  <c r="H62" i="9"/>
  <c r="I62" i="9"/>
  <c r="J62" i="9"/>
  <c r="K62" i="9"/>
  <c r="L62" i="9"/>
  <c r="M62" i="9"/>
  <c r="N62" i="9"/>
  <c r="O62" i="9"/>
  <c r="A63" i="9"/>
  <c r="D63" i="9"/>
  <c r="G63" i="9"/>
  <c r="H63" i="9"/>
  <c r="I63" i="9"/>
  <c r="J63" i="9"/>
  <c r="K63" i="9"/>
  <c r="L63" i="9"/>
  <c r="M63" i="9"/>
  <c r="N63" i="9"/>
  <c r="O63" i="9"/>
  <c r="A64" i="9"/>
  <c r="D64" i="9"/>
  <c r="E64" i="9"/>
  <c r="G64" i="9"/>
  <c r="H64" i="9"/>
  <c r="I64" i="9"/>
  <c r="J64" i="9"/>
  <c r="K64" i="9"/>
  <c r="L64" i="9"/>
  <c r="M64" i="9"/>
  <c r="N64" i="9"/>
  <c r="O64" i="9"/>
  <c r="A65" i="9"/>
  <c r="D65" i="9"/>
  <c r="E65" i="9"/>
  <c r="G65" i="9"/>
  <c r="H65" i="9"/>
  <c r="I65" i="9"/>
  <c r="J65" i="9"/>
  <c r="K65" i="9"/>
  <c r="L65" i="9"/>
  <c r="M65" i="9"/>
  <c r="N65" i="9"/>
  <c r="O65" i="9"/>
  <c r="A66" i="9"/>
  <c r="D66" i="9"/>
  <c r="G66" i="9"/>
  <c r="H66" i="9"/>
  <c r="I66" i="9"/>
  <c r="J66" i="9"/>
  <c r="K66" i="9"/>
  <c r="L66" i="9"/>
  <c r="M66" i="9"/>
  <c r="N66" i="9"/>
  <c r="O66" i="9"/>
  <c r="A67" i="9"/>
  <c r="D67" i="9"/>
  <c r="E67" i="9"/>
  <c r="G67" i="9"/>
  <c r="H67" i="9"/>
  <c r="I67" i="9"/>
  <c r="J67" i="9"/>
  <c r="K67" i="9"/>
  <c r="L67" i="9"/>
  <c r="M67" i="9"/>
  <c r="N67" i="9"/>
  <c r="O67" i="9"/>
  <c r="A68" i="9"/>
  <c r="D68" i="9"/>
  <c r="E68" i="9"/>
  <c r="G68" i="9"/>
  <c r="H68" i="9"/>
  <c r="I68" i="9"/>
  <c r="J68" i="9"/>
  <c r="K68" i="9"/>
  <c r="L68" i="9"/>
  <c r="M68" i="9"/>
  <c r="N68" i="9"/>
  <c r="O68" i="9"/>
  <c r="J14" i="11"/>
  <c r="A69" i="9"/>
  <c r="D69" i="9"/>
  <c r="E69" i="9"/>
  <c r="G69" i="9"/>
  <c r="H69" i="9"/>
  <c r="I69" i="9"/>
  <c r="J69" i="9"/>
  <c r="K69" i="9"/>
  <c r="L69" i="9"/>
  <c r="M69" i="9"/>
  <c r="N69" i="9"/>
  <c r="O69" i="9"/>
  <c r="A70" i="9"/>
  <c r="D70" i="9"/>
  <c r="E70" i="9"/>
  <c r="G70" i="9"/>
  <c r="H70" i="9"/>
  <c r="I70" i="9"/>
  <c r="J70" i="9"/>
  <c r="K70" i="9"/>
  <c r="L70" i="9"/>
  <c r="M70" i="9"/>
  <c r="N70" i="9"/>
  <c r="O70" i="9"/>
  <c r="A71" i="9"/>
  <c r="D71" i="9"/>
  <c r="E71" i="9"/>
  <c r="G71" i="9"/>
  <c r="H71" i="9"/>
  <c r="I71" i="9"/>
  <c r="J71" i="9"/>
  <c r="K71" i="9"/>
  <c r="L71" i="9"/>
  <c r="M71" i="9"/>
  <c r="N71" i="9"/>
  <c r="O71" i="9"/>
  <c r="A72" i="9"/>
  <c r="D72" i="9"/>
  <c r="G72" i="9"/>
  <c r="H72" i="9"/>
  <c r="I72" i="9"/>
  <c r="J72" i="9"/>
  <c r="K72" i="9"/>
  <c r="L72" i="9"/>
  <c r="M72" i="9"/>
  <c r="N72" i="9"/>
  <c r="O72" i="9"/>
  <c r="A73" i="9"/>
  <c r="D73" i="9"/>
  <c r="E73" i="9"/>
  <c r="G73" i="9"/>
  <c r="H73" i="9"/>
  <c r="I73" i="9"/>
  <c r="J73" i="9"/>
  <c r="K73" i="9"/>
  <c r="L73" i="9"/>
  <c r="M73" i="9"/>
  <c r="N73" i="9"/>
  <c r="O73" i="9"/>
  <c r="A74" i="9"/>
  <c r="D74" i="9"/>
  <c r="E74" i="9"/>
  <c r="G74" i="9"/>
  <c r="H74" i="9"/>
  <c r="I74" i="9"/>
  <c r="J74" i="9"/>
  <c r="K74" i="9"/>
  <c r="L74" i="9"/>
  <c r="M74" i="9"/>
  <c r="N74" i="9"/>
  <c r="O74" i="9"/>
  <c r="A75" i="9"/>
  <c r="D75" i="9"/>
  <c r="G75" i="9"/>
  <c r="H75" i="9"/>
  <c r="I75" i="9"/>
  <c r="J75" i="9"/>
  <c r="K75" i="9"/>
  <c r="L75" i="9"/>
  <c r="M75" i="9"/>
  <c r="N75" i="9"/>
  <c r="O75" i="9"/>
  <c r="A76" i="9"/>
  <c r="D76" i="9"/>
  <c r="E76" i="9"/>
  <c r="G76" i="9"/>
  <c r="H76" i="9"/>
  <c r="I76" i="9"/>
  <c r="J76" i="9"/>
  <c r="K76" i="9"/>
  <c r="L76" i="9"/>
  <c r="M76" i="9"/>
  <c r="N76" i="9"/>
  <c r="O76" i="9"/>
  <c r="A77" i="9"/>
  <c r="D77" i="9"/>
  <c r="E77" i="9"/>
  <c r="G77" i="9"/>
  <c r="H77" i="9"/>
  <c r="I77" i="9"/>
  <c r="J77" i="9"/>
  <c r="K77" i="9"/>
  <c r="L77" i="9"/>
  <c r="M77" i="9"/>
  <c r="N77" i="9"/>
  <c r="O77" i="9"/>
  <c r="A78" i="9"/>
  <c r="D78" i="9"/>
  <c r="G78" i="9"/>
  <c r="H78" i="9"/>
  <c r="I78" i="9"/>
  <c r="J78" i="9"/>
  <c r="K78" i="9"/>
  <c r="L78" i="9"/>
  <c r="M78" i="9"/>
  <c r="N78" i="9"/>
  <c r="O78" i="9"/>
  <c r="A79" i="9"/>
  <c r="D79" i="9"/>
  <c r="E79" i="9"/>
  <c r="G79" i="9"/>
  <c r="H79" i="9"/>
  <c r="I79" i="9"/>
  <c r="J79" i="9"/>
  <c r="K79" i="9"/>
  <c r="L79" i="9"/>
  <c r="M79" i="9"/>
  <c r="N79" i="9"/>
  <c r="O79" i="9"/>
  <c r="A80" i="9"/>
  <c r="D80" i="9"/>
  <c r="E80" i="9"/>
  <c r="G80" i="9"/>
  <c r="H80" i="9"/>
  <c r="I80" i="9"/>
  <c r="J80" i="9"/>
  <c r="K80" i="9"/>
  <c r="L80" i="9"/>
  <c r="M80" i="9"/>
  <c r="N80" i="9"/>
  <c r="O80" i="9"/>
  <c r="A81" i="9"/>
  <c r="D81" i="9"/>
  <c r="G81" i="9"/>
  <c r="H81" i="9"/>
  <c r="I81" i="9"/>
  <c r="J81" i="9"/>
  <c r="K81" i="9"/>
  <c r="L81" i="9"/>
  <c r="M81" i="9"/>
  <c r="N81" i="9"/>
  <c r="O81" i="9"/>
  <c r="A82" i="9"/>
  <c r="D82" i="9"/>
  <c r="E82" i="9"/>
  <c r="G82" i="9"/>
  <c r="H82" i="9"/>
  <c r="I82" i="9"/>
  <c r="J82" i="9"/>
  <c r="K82" i="9"/>
  <c r="L82" i="9"/>
  <c r="M82" i="9"/>
  <c r="N82" i="9"/>
  <c r="O82" i="9"/>
  <c r="A83" i="9"/>
  <c r="D83" i="9"/>
  <c r="E83" i="9"/>
  <c r="G83" i="9"/>
  <c r="H83" i="9"/>
  <c r="I83" i="9"/>
  <c r="J83" i="9"/>
  <c r="K83" i="9"/>
  <c r="L83" i="9"/>
  <c r="M83" i="9"/>
  <c r="N83" i="9"/>
  <c r="O83" i="9"/>
  <c r="A84" i="9"/>
  <c r="D84" i="9"/>
  <c r="G84" i="9"/>
  <c r="H84" i="9"/>
  <c r="I84" i="9"/>
  <c r="J84" i="9"/>
  <c r="K84" i="9"/>
  <c r="L84" i="9"/>
  <c r="M84" i="9"/>
  <c r="N84" i="9"/>
  <c r="O84" i="9"/>
  <c r="A85" i="9"/>
  <c r="D85" i="9"/>
  <c r="E85" i="9"/>
  <c r="G85" i="9"/>
  <c r="H85" i="9"/>
  <c r="I85" i="9"/>
  <c r="J85" i="9"/>
  <c r="K85" i="9"/>
  <c r="L85" i="9"/>
  <c r="M85" i="9"/>
  <c r="N85" i="9"/>
  <c r="O85" i="9"/>
  <c r="A86" i="9"/>
  <c r="D86" i="9"/>
  <c r="E86" i="9"/>
  <c r="G86" i="9"/>
  <c r="H86" i="9"/>
  <c r="I86" i="9"/>
  <c r="J86" i="9"/>
  <c r="K86" i="9"/>
  <c r="L86" i="9"/>
  <c r="M86" i="9"/>
  <c r="N86" i="9"/>
  <c r="O86" i="9"/>
  <c r="A87" i="9"/>
  <c r="D87" i="9"/>
  <c r="E87" i="9"/>
  <c r="G87" i="9"/>
  <c r="H87" i="9"/>
  <c r="I87" i="9"/>
  <c r="J87" i="9"/>
  <c r="K87" i="9"/>
  <c r="L87" i="9"/>
  <c r="M87" i="9"/>
  <c r="N87" i="9"/>
  <c r="O87" i="9"/>
  <c r="A88" i="9"/>
  <c r="D88" i="9"/>
  <c r="E88" i="9"/>
  <c r="G88" i="9"/>
  <c r="H88" i="9"/>
  <c r="I88" i="9"/>
  <c r="J88" i="9"/>
  <c r="K88" i="9"/>
  <c r="L88" i="9"/>
  <c r="M88" i="9"/>
  <c r="N88" i="9"/>
  <c r="O88" i="9"/>
  <c r="A89" i="9"/>
  <c r="D89" i="9"/>
  <c r="E89" i="9"/>
  <c r="G89" i="9"/>
  <c r="H89" i="9"/>
  <c r="I89" i="9"/>
  <c r="J89" i="9"/>
  <c r="K89" i="9"/>
  <c r="L89" i="9"/>
  <c r="M89" i="9"/>
  <c r="N89" i="9"/>
  <c r="O89" i="9"/>
  <c r="A90" i="9"/>
  <c r="D90" i="9"/>
  <c r="E90" i="9"/>
  <c r="G90" i="9"/>
  <c r="H90" i="9"/>
  <c r="I90" i="9"/>
  <c r="J90" i="9"/>
  <c r="K90" i="9"/>
  <c r="L90" i="9"/>
  <c r="M90" i="9"/>
  <c r="N90" i="9"/>
  <c r="O90" i="9"/>
  <c r="A91" i="9"/>
  <c r="D91" i="9"/>
  <c r="E91" i="9"/>
  <c r="G91" i="9"/>
  <c r="H91" i="9"/>
  <c r="I91" i="9"/>
  <c r="J91" i="9"/>
  <c r="K91" i="9"/>
  <c r="L91" i="9"/>
  <c r="M91" i="9"/>
  <c r="N91" i="9"/>
  <c r="O91" i="9"/>
  <c r="A92" i="9"/>
  <c r="D92" i="9"/>
  <c r="E92" i="9"/>
  <c r="G92" i="9"/>
  <c r="H92" i="9"/>
  <c r="I92" i="9"/>
  <c r="J92" i="9"/>
  <c r="K92" i="9"/>
  <c r="L92" i="9"/>
  <c r="M92" i="9"/>
  <c r="N92" i="9"/>
  <c r="O92" i="9"/>
  <c r="A93" i="9"/>
  <c r="D93" i="9"/>
  <c r="E93" i="9"/>
  <c r="G93" i="9"/>
  <c r="H93" i="9"/>
  <c r="I93" i="9"/>
  <c r="J93" i="9"/>
  <c r="K93" i="9"/>
  <c r="L93" i="9"/>
  <c r="M93" i="9"/>
  <c r="N93" i="9"/>
  <c r="O93" i="9"/>
  <c r="A94" i="9"/>
  <c r="D94" i="9"/>
  <c r="E94" i="9"/>
  <c r="G94" i="9"/>
  <c r="H94" i="9"/>
  <c r="I94" i="9"/>
  <c r="J94" i="9"/>
  <c r="K94" i="9"/>
  <c r="L94" i="9"/>
  <c r="M94" i="9"/>
  <c r="N94" i="9"/>
  <c r="O94" i="9"/>
  <c r="A95" i="9"/>
  <c r="D95" i="9"/>
  <c r="E95" i="9"/>
  <c r="G95" i="9"/>
  <c r="H95" i="9"/>
  <c r="I95" i="9"/>
  <c r="J95" i="9"/>
  <c r="K95" i="9"/>
  <c r="L95" i="9"/>
  <c r="M95" i="9"/>
  <c r="N95" i="9"/>
  <c r="O95" i="9"/>
  <c r="A96" i="9"/>
  <c r="D96" i="9"/>
  <c r="E96" i="9"/>
  <c r="G96" i="9"/>
  <c r="H96" i="9"/>
  <c r="I96" i="9"/>
  <c r="J96" i="9"/>
  <c r="K96" i="9"/>
  <c r="L96" i="9"/>
  <c r="M96" i="9"/>
  <c r="N96" i="9"/>
  <c r="O96" i="9"/>
  <c r="A98" i="9"/>
  <c r="D98" i="9"/>
  <c r="E98" i="9"/>
  <c r="G98" i="9"/>
  <c r="H98" i="9"/>
  <c r="I98" i="9"/>
  <c r="J98" i="9"/>
  <c r="K98" i="9"/>
  <c r="L98" i="9"/>
  <c r="M98" i="9"/>
  <c r="N98" i="9"/>
  <c r="O98" i="9"/>
  <c r="A99" i="9"/>
  <c r="D99" i="9"/>
  <c r="E99" i="9"/>
  <c r="G99" i="9"/>
  <c r="H99" i="9"/>
  <c r="I99" i="9"/>
  <c r="J99" i="9"/>
  <c r="K99" i="9"/>
  <c r="L99" i="9"/>
  <c r="M99" i="9"/>
  <c r="N99" i="9"/>
  <c r="O99" i="9"/>
  <c r="A100" i="9"/>
  <c r="D100" i="9"/>
  <c r="E100" i="9"/>
  <c r="G100" i="9"/>
  <c r="H100" i="9"/>
  <c r="I100" i="9"/>
  <c r="J100" i="9"/>
  <c r="K100" i="9"/>
  <c r="L100" i="9"/>
  <c r="M100" i="9"/>
  <c r="N100" i="9"/>
  <c r="O100" i="9"/>
  <c r="A101" i="9"/>
  <c r="D101" i="9"/>
  <c r="E101" i="9"/>
  <c r="G101" i="9"/>
  <c r="H101" i="9"/>
  <c r="I101" i="9"/>
  <c r="J101" i="9"/>
  <c r="K101" i="9"/>
  <c r="L101" i="9"/>
  <c r="M101" i="9"/>
  <c r="N101" i="9"/>
  <c r="O101" i="9"/>
  <c r="A102" i="9"/>
  <c r="D102" i="9"/>
  <c r="E102" i="9"/>
  <c r="G102" i="9"/>
  <c r="H102" i="9"/>
  <c r="I102" i="9"/>
  <c r="J102" i="9"/>
  <c r="K102" i="9"/>
  <c r="L102" i="9"/>
  <c r="M102" i="9"/>
  <c r="N102" i="9"/>
  <c r="O102" i="9"/>
  <c r="A103" i="9"/>
  <c r="D103" i="9"/>
  <c r="E103" i="9"/>
  <c r="G103" i="9"/>
  <c r="H103" i="9"/>
  <c r="I103" i="9"/>
  <c r="J103" i="9"/>
  <c r="K103" i="9"/>
  <c r="L103" i="9"/>
  <c r="M103" i="9"/>
  <c r="N103" i="9"/>
  <c r="O103" i="9"/>
  <c r="A104" i="9"/>
  <c r="D104" i="9"/>
  <c r="E104" i="9"/>
  <c r="G104" i="9"/>
  <c r="H104" i="9"/>
  <c r="I104" i="9"/>
  <c r="J104" i="9"/>
  <c r="K104" i="9"/>
  <c r="L104" i="9"/>
  <c r="M104" i="9"/>
  <c r="N104" i="9"/>
  <c r="O104" i="9"/>
  <c r="A105" i="9"/>
  <c r="D105" i="9"/>
  <c r="E105" i="9"/>
  <c r="G105" i="9"/>
  <c r="H105" i="9"/>
  <c r="I105" i="9"/>
  <c r="J105" i="9"/>
  <c r="K105" i="9"/>
  <c r="L105" i="9"/>
  <c r="M105" i="9"/>
  <c r="N105" i="9"/>
  <c r="O105" i="9"/>
  <c r="A106" i="9"/>
  <c r="D106" i="9"/>
  <c r="E106" i="9"/>
  <c r="G106" i="9"/>
  <c r="H106" i="9"/>
  <c r="I106" i="9"/>
  <c r="J106" i="9"/>
  <c r="K106" i="9"/>
  <c r="L106" i="9"/>
  <c r="M106" i="9"/>
  <c r="N106" i="9"/>
  <c r="O106" i="9"/>
  <c r="A107" i="9"/>
  <c r="D107" i="9"/>
  <c r="E107" i="9"/>
  <c r="G107" i="9"/>
  <c r="H107" i="9"/>
  <c r="I107" i="9"/>
  <c r="J107" i="9"/>
  <c r="K107" i="9"/>
  <c r="L107" i="9"/>
  <c r="M107" i="9"/>
  <c r="N107" i="9"/>
  <c r="O107" i="9"/>
  <c r="A108" i="9"/>
  <c r="D108" i="9"/>
  <c r="E108" i="9"/>
  <c r="G108" i="9"/>
  <c r="H108" i="9"/>
  <c r="I108" i="9"/>
  <c r="J108" i="9"/>
  <c r="K108" i="9"/>
  <c r="L108" i="9"/>
  <c r="M108" i="9"/>
  <c r="N108" i="9"/>
  <c r="O108" i="9"/>
  <c r="A109" i="9"/>
  <c r="D109" i="9"/>
  <c r="E109" i="9"/>
  <c r="G109" i="9"/>
  <c r="H109" i="9"/>
  <c r="I109" i="9"/>
  <c r="J109" i="9"/>
  <c r="K109" i="9"/>
  <c r="L109" i="9"/>
  <c r="M109" i="9"/>
  <c r="N109" i="9"/>
  <c r="O109" i="9"/>
  <c r="A110" i="9"/>
  <c r="D110" i="9"/>
  <c r="E110" i="9"/>
  <c r="G110" i="9"/>
  <c r="H110" i="9"/>
  <c r="I110" i="9"/>
  <c r="J110" i="9"/>
  <c r="K110" i="9"/>
  <c r="L110" i="9"/>
  <c r="M110" i="9"/>
  <c r="N110" i="9"/>
  <c r="O110" i="9"/>
  <c r="N87" i="10"/>
  <c r="U87" i="10"/>
  <c r="X87" i="10"/>
  <c r="W87" i="10"/>
  <c r="Y87" i="10"/>
  <c r="V87" i="10"/>
  <c r="Z87" i="10"/>
  <c r="N99" i="10"/>
  <c r="N108" i="10"/>
  <c r="O108" i="10"/>
  <c r="R108" i="10"/>
  <c r="Q108" i="10"/>
  <c r="S108" i="10"/>
  <c r="P108" i="10"/>
  <c r="T108" i="10"/>
  <c r="O99" i="10"/>
  <c r="R99" i="10"/>
  <c r="Q99" i="10"/>
  <c r="S99" i="10"/>
  <c r="P99" i="10"/>
  <c r="T99" i="10"/>
  <c r="O87" i="10"/>
  <c r="R87" i="10"/>
  <c r="Q87" i="10"/>
  <c r="S87" i="10"/>
  <c r="P87" i="10"/>
  <c r="T87" i="10"/>
  <c r="K87" i="10"/>
  <c r="J87" i="10"/>
  <c r="L87" i="10"/>
  <c r="M87" i="10"/>
  <c r="J61" i="10"/>
  <c r="K61" i="10"/>
  <c r="L61" i="10"/>
  <c r="M6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Z61" i="10"/>
  <c r="J107" i="10"/>
  <c r="K107" i="10"/>
  <c r="L107" i="10"/>
  <c r="M107" i="10"/>
  <c r="N107" i="10"/>
  <c r="O107" i="10"/>
  <c r="P107" i="10"/>
  <c r="Q107" i="10"/>
  <c r="R107" i="10"/>
  <c r="S107" i="10"/>
  <c r="T107" i="10"/>
  <c r="U107" i="10"/>
  <c r="V107" i="10"/>
  <c r="W107" i="10"/>
  <c r="X107" i="10"/>
  <c r="Y107" i="10"/>
  <c r="Z107" i="10"/>
  <c r="J108" i="10"/>
  <c r="K108" i="10"/>
  <c r="L108" i="10"/>
  <c r="M108" i="10"/>
  <c r="U108" i="10"/>
  <c r="V108" i="10"/>
  <c r="W108" i="10"/>
  <c r="X108" i="10"/>
  <c r="Y108" i="10"/>
  <c r="Z108" i="10"/>
  <c r="J109" i="10"/>
  <c r="K109" i="10"/>
  <c r="L109" i="10"/>
  <c r="M109" i="10"/>
  <c r="N109" i="10"/>
  <c r="O109" i="10"/>
  <c r="P109" i="10"/>
  <c r="Q109" i="10"/>
  <c r="R109" i="10"/>
  <c r="S109" i="10"/>
  <c r="T109" i="10"/>
  <c r="U109" i="10"/>
  <c r="V109" i="10"/>
  <c r="W109" i="10"/>
  <c r="X109" i="10"/>
  <c r="Y109" i="10"/>
  <c r="Z109" i="10"/>
  <c r="J110" i="10"/>
  <c r="K110" i="10"/>
  <c r="L110" i="10"/>
  <c r="M110" i="10"/>
  <c r="U110" i="10"/>
  <c r="V110" i="10"/>
  <c r="W110" i="10"/>
  <c r="X110" i="10"/>
  <c r="Y110" i="10"/>
  <c r="Z110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Z101" i="10"/>
  <c r="J102" i="10"/>
  <c r="K102" i="10"/>
  <c r="L102" i="10"/>
  <c r="M102" i="10"/>
  <c r="N102" i="10"/>
  <c r="O102" i="10"/>
  <c r="P102" i="10"/>
  <c r="Q102" i="10"/>
  <c r="R102" i="10"/>
  <c r="S102" i="10"/>
  <c r="T102" i="10"/>
  <c r="U102" i="10"/>
  <c r="V102" i="10"/>
  <c r="W102" i="10"/>
  <c r="X102" i="10"/>
  <c r="Y102" i="10"/>
  <c r="Z102" i="10"/>
  <c r="J103" i="10"/>
  <c r="K103" i="10"/>
  <c r="L103" i="10"/>
  <c r="M103" i="10"/>
  <c r="N103" i="10"/>
  <c r="O103" i="10"/>
  <c r="P103" i="10"/>
  <c r="Q103" i="10"/>
  <c r="R103" i="10"/>
  <c r="S103" i="10"/>
  <c r="T103" i="10"/>
  <c r="U103" i="10"/>
  <c r="V103" i="10"/>
  <c r="W103" i="10"/>
  <c r="X103" i="10"/>
  <c r="Y103" i="10"/>
  <c r="Z103" i="10"/>
  <c r="J104" i="10"/>
  <c r="K104" i="10"/>
  <c r="L104" i="10"/>
  <c r="M104" i="10"/>
  <c r="U104" i="10"/>
  <c r="V104" i="10"/>
  <c r="W104" i="10"/>
  <c r="X104" i="10"/>
  <c r="Y104" i="10"/>
  <c r="Z104" i="10"/>
  <c r="J105" i="10"/>
  <c r="K105" i="10"/>
  <c r="L105" i="10"/>
  <c r="M105" i="10"/>
  <c r="N105" i="10"/>
  <c r="O105" i="10"/>
  <c r="P105" i="10"/>
  <c r="Q105" i="10"/>
  <c r="R105" i="10"/>
  <c r="S105" i="10"/>
  <c r="T105" i="10"/>
  <c r="U105" i="10"/>
  <c r="V105" i="10"/>
  <c r="W105" i="10"/>
  <c r="X105" i="10"/>
  <c r="Y105" i="10"/>
  <c r="Z105" i="10"/>
  <c r="J106" i="10"/>
  <c r="K106" i="10"/>
  <c r="L106" i="10"/>
  <c r="M106" i="10"/>
  <c r="U106" i="10"/>
  <c r="V106" i="10"/>
  <c r="W106" i="10"/>
  <c r="X106" i="10"/>
  <c r="Y106" i="10"/>
  <c r="Z106" i="10"/>
  <c r="N66" i="10"/>
  <c r="N75" i="10"/>
  <c r="N83" i="10"/>
  <c r="N95" i="10"/>
  <c r="O95" i="10"/>
  <c r="R95" i="10"/>
  <c r="Q95" i="10"/>
  <c r="S95" i="10"/>
  <c r="P95" i="10"/>
  <c r="T95" i="10"/>
  <c r="O83" i="10"/>
  <c r="R83" i="10"/>
  <c r="Q83" i="10"/>
  <c r="S83" i="10"/>
  <c r="P83" i="10"/>
  <c r="T83" i="10"/>
  <c r="O75" i="10"/>
  <c r="R75" i="10"/>
  <c r="Q75" i="10"/>
  <c r="S75" i="10"/>
  <c r="P75" i="10"/>
  <c r="T75" i="10"/>
  <c r="O66" i="10"/>
  <c r="R66" i="10"/>
  <c r="Q66" i="10"/>
  <c r="S66" i="10"/>
  <c r="P66" i="10"/>
  <c r="T66" i="10"/>
  <c r="J58" i="10"/>
  <c r="K58" i="10"/>
  <c r="L58" i="10"/>
  <c r="M58" i="10"/>
  <c r="U58" i="10"/>
  <c r="V58" i="10"/>
  <c r="W58" i="10"/>
  <c r="X58" i="10"/>
  <c r="Y58" i="10"/>
  <c r="Z58" i="10"/>
  <c r="J60" i="10"/>
  <c r="K60" i="10"/>
  <c r="L60" i="10"/>
  <c r="M60" i="10"/>
  <c r="U60" i="10"/>
  <c r="V60" i="10"/>
  <c r="W60" i="10"/>
  <c r="X60" i="10"/>
  <c r="Y60" i="10"/>
  <c r="Z60" i="10"/>
  <c r="N86" i="10"/>
  <c r="N98" i="10"/>
  <c r="O98" i="10"/>
  <c r="R98" i="10"/>
  <c r="Q98" i="10"/>
  <c r="S98" i="10"/>
  <c r="P98" i="10"/>
  <c r="T98" i="10"/>
  <c r="O86" i="10"/>
  <c r="R86" i="10"/>
  <c r="Q86" i="10"/>
  <c r="S86" i="10"/>
  <c r="P86" i="10"/>
  <c r="T86" i="10"/>
  <c r="J62" i="10"/>
  <c r="K62" i="10"/>
  <c r="L62" i="10"/>
  <c r="M62" i="10"/>
  <c r="N62" i="10"/>
  <c r="N69" i="10"/>
  <c r="N88" i="10"/>
  <c r="O88" i="10"/>
  <c r="R88" i="10"/>
  <c r="Q88" i="10"/>
  <c r="S88" i="10"/>
  <c r="P88" i="10"/>
  <c r="T88" i="10"/>
  <c r="O69" i="10"/>
  <c r="R69" i="10"/>
  <c r="Q69" i="10"/>
  <c r="S69" i="10"/>
  <c r="P69" i="10"/>
  <c r="T69" i="10"/>
  <c r="O62" i="10"/>
  <c r="P62" i="10"/>
  <c r="Q62" i="10"/>
  <c r="R62" i="10"/>
  <c r="S62" i="10"/>
  <c r="T62" i="10"/>
  <c r="U62" i="10"/>
  <c r="V62" i="10"/>
  <c r="W62" i="10"/>
  <c r="X62" i="10"/>
  <c r="Y62" i="10"/>
  <c r="Z62" i="10"/>
  <c r="N70" i="10"/>
  <c r="N78" i="10"/>
  <c r="N89" i="10"/>
  <c r="O89" i="10"/>
  <c r="R89" i="10"/>
  <c r="Q89" i="10"/>
  <c r="S89" i="10"/>
  <c r="P89" i="10"/>
  <c r="T89" i="10"/>
  <c r="O78" i="10"/>
  <c r="R78" i="10"/>
  <c r="Q78" i="10"/>
  <c r="S78" i="10"/>
  <c r="P78" i="10"/>
  <c r="T78" i="10"/>
  <c r="O70" i="10"/>
  <c r="R70" i="10"/>
  <c r="Q70" i="10"/>
  <c r="S70" i="10"/>
  <c r="P70" i="10"/>
  <c r="T70" i="10"/>
  <c r="J63" i="10"/>
  <c r="K63" i="10"/>
  <c r="L63" i="10"/>
  <c r="M63" i="10"/>
  <c r="N63" i="10"/>
  <c r="N71" i="10"/>
  <c r="N79" i="10"/>
  <c r="N90" i="10"/>
  <c r="O90" i="10"/>
  <c r="R90" i="10"/>
  <c r="Q90" i="10"/>
  <c r="S90" i="10"/>
  <c r="P90" i="10"/>
  <c r="T90" i="10"/>
  <c r="O79" i="10"/>
  <c r="R79" i="10"/>
  <c r="Q79" i="10"/>
  <c r="S79" i="10"/>
  <c r="P79" i="10"/>
  <c r="T79" i="10"/>
  <c r="O71" i="10"/>
  <c r="R71" i="10"/>
  <c r="Q71" i="10"/>
  <c r="S71" i="10"/>
  <c r="P71" i="10"/>
  <c r="T71" i="10"/>
  <c r="O63" i="10"/>
  <c r="P63" i="10"/>
  <c r="Q63" i="10"/>
  <c r="R63" i="10"/>
  <c r="S63" i="10"/>
  <c r="T63" i="10"/>
  <c r="U63" i="10"/>
  <c r="V63" i="10"/>
  <c r="W63" i="10"/>
  <c r="X63" i="10"/>
  <c r="Y63" i="10"/>
  <c r="Z63" i="10"/>
  <c r="N72" i="10"/>
  <c r="N80" i="10"/>
  <c r="N91" i="10"/>
  <c r="O91" i="10"/>
  <c r="R91" i="10"/>
  <c r="Q91" i="10"/>
  <c r="S91" i="10"/>
  <c r="P91" i="10"/>
  <c r="T91" i="10"/>
  <c r="O80" i="10"/>
  <c r="R80" i="10"/>
  <c r="Q80" i="10"/>
  <c r="S80" i="10"/>
  <c r="P80" i="10"/>
  <c r="T80" i="10"/>
  <c r="O72" i="10"/>
  <c r="R72" i="10"/>
  <c r="Q72" i="10"/>
  <c r="S72" i="10"/>
  <c r="P72" i="10"/>
  <c r="T72" i="10"/>
  <c r="J64" i="10"/>
  <c r="K64" i="10"/>
  <c r="L64" i="10"/>
  <c r="M64" i="10"/>
  <c r="N64" i="10"/>
  <c r="N73" i="10"/>
  <c r="N81" i="10"/>
  <c r="N93" i="10"/>
  <c r="O93" i="10"/>
  <c r="R93" i="10"/>
  <c r="Q93" i="10"/>
  <c r="S93" i="10"/>
  <c r="P93" i="10"/>
  <c r="T93" i="10"/>
  <c r="O81" i="10"/>
  <c r="R81" i="10"/>
  <c r="Q81" i="10"/>
  <c r="S81" i="10"/>
  <c r="P81" i="10"/>
  <c r="T81" i="10"/>
  <c r="O73" i="10"/>
  <c r="R73" i="10"/>
  <c r="Q73" i="10"/>
  <c r="S73" i="10"/>
  <c r="P73" i="10"/>
  <c r="T73" i="10"/>
  <c r="O64" i="10"/>
  <c r="P64" i="10"/>
  <c r="Q64" i="10"/>
  <c r="R64" i="10"/>
  <c r="S64" i="10"/>
  <c r="T64" i="10"/>
  <c r="U64" i="10"/>
  <c r="V64" i="10"/>
  <c r="W64" i="10"/>
  <c r="X64" i="10"/>
  <c r="Y64" i="10"/>
  <c r="Z64" i="10"/>
  <c r="J65" i="10"/>
  <c r="K65" i="10"/>
  <c r="L65" i="10"/>
  <c r="M65" i="10"/>
  <c r="U65" i="10"/>
  <c r="V65" i="10"/>
  <c r="W65" i="10"/>
  <c r="X65" i="10"/>
  <c r="Y65" i="10"/>
  <c r="Z65" i="10"/>
  <c r="J66" i="10"/>
  <c r="K66" i="10"/>
  <c r="L66" i="10"/>
  <c r="M66" i="10"/>
  <c r="U66" i="10"/>
  <c r="V66" i="10"/>
  <c r="W66" i="10"/>
  <c r="X66" i="10"/>
  <c r="Y66" i="10"/>
  <c r="Z66" i="10"/>
  <c r="J67" i="10"/>
  <c r="K67" i="10"/>
  <c r="L67" i="10"/>
  <c r="M67" i="10"/>
  <c r="U67" i="10"/>
  <c r="V67" i="10"/>
  <c r="W67" i="10"/>
  <c r="X67" i="10"/>
  <c r="Y67" i="10"/>
  <c r="Z67" i="10"/>
  <c r="J68" i="10"/>
  <c r="K68" i="10"/>
  <c r="L68" i="10"/>
  <c r="M68" i="10"/>
  <c r="U68" i="10"/>
  <c r="V68" i="10"/>
  <c r="W68" i="10"/>
  <c r="X68" i="10"/>
  <c r="Y68" i="10"/>
  <c r="Z68" i="10"/>
  <c r="J69" i="10"/>
  <c r="K69" i="10"/>
  <c r="L69" i="10"/>
  <c r="M69" i="10"/>
  <c r="U69" i="10"/>
  <c r="V69" i="10"/>
  <c r="W69" i="10"/>
  <c r="X69" i="10"/>
  <c r="Y69" i="10"/>
  <c r="Z69" i="10"/>
  <c r="J70" i="10"/>
  <c r="K70" i="10"/>
  <c r="L70" i="10"/>
  <c r="M70" i="10"/>
  <c r="U70" i="10"/>
  <c r="V70" i="10"/>
  <c r="W70" i="10"/>
  <c r="X70" i="10"/>
  <c r="Y70" i="10"/>
  <c r="Z70" i="10"/>
  <c r="J71" i="10"/>
  <c r="K71" i="10"/>
  <c r="L71" i="10"/>
  <c r="M71" i="10"/>
  <c r="U71" i="10"/>
  <c r="V71" i="10"/>
  <c r="W71" i="10"/>
  <c r="X71" i="10"/>
  <c r="Y71" i="10"/>
  <c r="Z71" i="10"/>
  <c r="J72" i="10"/>
  <c r="K72" i="10"/>
  <c r="L72" i="10"/>
  <c r="M72" i="10"/>
  <c r="U72" i="10"/>
  <c r="V72" i="10"/>
  <c r="W72" i="10"/>
  <c r="X72" i="10"/>
  <c r="Y72" i="10"/>
  <c r="Z72" i="10"/>
  <c r="J73" i="10"/>
  <c r="K73" i="10"/>
  <c r="L73" i="10"/>
  <c r="M73" i="10"/>
  <c r="U73" i="10"/>
  <c r="V73" i="10"/>
  <c r="W73" i="10"/>
  <c r="X73" i="10"/>
  <c r="Y73" i="10"/>
  <c r="Z73" i="10"/>
  <c r="J74" i="10"/>
  <c r="K74" i="10"/>
  <c r="L74" i="10"/>
  <c r="M74" i="10"/>
  <c r="U74" i="10"/>
  <c r="V74" i="10"/>
  <c r="W74" i="10"/>
  <c r="X74" i="10"/>
  <c r="Y74" i="10"/>
  <c r="Z74" i="10"/>
  <c r="J75" i="10"/>
  <c r="K75" i="10"/>
  <c r="L75" i="10"/>
  <c r="M75" i="10"/>
  <c r="U75" i="10"/>
  <c r="V75" i="10"/>
  <c r="W75" i="10"/>
  <c r="X75" i="10"/>
  <c r="Y75" i="10"/>
  <c r="Z75" i="10"/>
  <c r="J76" i="10"/>
  <c r="K76" i="10"/>
  <c r="L76" i="10"/>
  <c r="M76" i="10"/>
  <c r="U76" i="10"/>
  <c r="V76" i="10"/>
  <c r="W76" i="10"/>
  <c r="X76" i="10"/>
  <c r="Y76" i="10"/>
  <c r="Z76" i="10"/>
  <c r="J77" i="10"/>
  <c r="K77" i="10"/>
  <c r="L77" i="10"/>
  <c r="M77" i="10"/>
  <c r="U77" i="10"/>
  <c r="V77" i="10"/>
  <c r="W77" i="10"/>
  <c r="X77" i="10"/>
  <c r="Y77" i="10"/>
  <c r="Z77" i="10"/>
  <c r="J78" i="10"/>
  <c r="K78" i="10"/>
  <c r="L78" i="10"/>
  <c r="M78" i="10"/>
  <c r="U78" i="10"/>
  <c r="V78" i="10"/>
  <c r="W78" i="10"/>
  <c r="X78" i="10"/>
  <c r="Y78" i="10"/>
  <c r="Z78" i="10"/>
  <c r="J79" i="10"/>
  <c r="K79" i="10"/>
  <c r="L79" i="10"/>
  <c r="M79" i="10"/>
  <c r="U79" i="10"/>
  <c r="V79" i="10"/>
  <c r="W79" i="10"/>
  <c r="X79" i="10"/>
  <c r="Y79" i="10"/>
  <c r="Z79" i="10"/>
  <c r="J80" i="10"/>
  <c r="K80" i="10"/>
  <c r="L80" i="10"/>
  <c r="M80" i="10"/>
  <c r="U80" i="10"/>
  <c r="V80" i="10"/>
  <c r="W80" i="10"/>
  <c r="X80" i="10"/>
  <c r="Y80" i="10"/>
  <c r="Z80" i="10"/>
  <c r="J81" i="10"/>
  <c r="K81" i="10"/>
  <c r="L81" i="10"/>
  <c r="M81" i="10"/>
  <c r="U81" i="10"/>
  <c r="V81" i="10"/>
  <c r="W81" i="10"/>
  <c r="X81" i="10"/>
  <c r="Y81" i="10"/>
  <c r="Z81" i="10"/>
  <c r="J82" i="10"/>
  <c r="K82" i="10"/>
  <c r="L82" i="10"/>
  <c r="M82" i="10"/>
  <c r="U82" i="10"/>
  <c r="V82" i="10"/>
  <c r="W82" i="10"/>
  <c r="X82" i="10"/>
  <c r="Y82" i="10"/>
  <c r="Z82" i="10"/>
  <c r="J83" i="10"/>
  <c r="K83" i="10"/>
  <c r="L83" i="10"/>
  <c r="M83" i="10"/>
  <c r="U83" i="10"/>
  <c r="V83" i="10"/>
  <c r="W83" i="10"/>
  <c r="X83" i="10"/>
  <c r="Y83" i="10"/>
  <c r="Z83" i="10"/>
  <c r="J84" i="10"/>
  <c r="K84" i="10"/>
  <c r="L84" i="10"/>
  <c r="M84" i="10"/>
  <c r="U84" i="10"/>
  <c r="V84" i="10"/>
  <c r="W84" i="10"/>
  <c r="X84" i="10"/>
  <c r="Y84" i="10"/>
  <c r="Z84" i="10"/>
  <c r="J85" i="10"/>
  <c r="K85" i="10"/>
  <c r="L85" i="10"/>
  <c r="M85" i="10"/>
  <c r="U85" i="10"/>
  <c r="V85" i="10"/>
  <c r="W85" i="10"/>
  <c r="X85" i="10"/>
  <c r="Y85" i="10"/>
  <c r="Z85" i="10"/>
  <c r="J86" i="10"/>
  <c r="K86" i="10"/>
  <c r="L86" i="10"/>
  <c r="M86" i="10"/>
  <c r="U86" i="10"/>
  <c r="V86" i="10"/>
  <c r="W86" i="10"/>
  <c r="X86" i="10"/>
  <c r="Y86" i="10"/>
  <c r="Z86" i="10"/>
  <c r="J88" i="10"/>
  <c r="K88" i="10"/>
  <c r="L88" i="10"/>
  <c r="M88" i="10"/>
  <c r="U88" i="10"/>
  <c r="V88" i="10"/>
  <c r="W88" i="10"/>
  <c r="X88" i="10"/>
  <c r="Y88" i="10"/>
  <c r="Z88" i="10"/>
  <c r="J89" i="10"/>
  <c r="K89" i="10"/>
  <c r="L89" i="10"/>
  <c r="M89" i="10"/>
  <c r="U89" i="10"/>
  <c r="V89" i="10"/>
  <c r="W89" i="10"/>
  <c r="X89" i="10"/>
  <c r="Y89" i="10"/>
  <c r="Z89" i="10"/>
  <c r="J90" i="10"/>
  <c r="K90" i="10"/>
  <c r="L90" i="10"/>
  <c r="M90" i="10"/>
  <c r="U90" i="10"/>
  <c r="V90" i="10"/>
  <c r="W90" i="10"/>
  <c r="X90" i="10"/>
  <c r="Y90" i="10"/>
  <c r="Z90" i="10"/>
  <c r="J91" i="10"/>
  <c r="K91" i="10"/>
  <c r="L91" i="10"/>
  <c r="M91" i="10"/>
  <c r="U91" i="10"/>
  <c r="V91" i="10"/>
  <c r="W91" i="10"/>
  <c r="X91" i="10"/>
  <c r="Y91" i="10"/>
  <c r="Z91" i="10"/>
  <c r="J93" i="10"/>
  <c r="K93" i="10"/>
  <c r="L93" i="10"/>
  <c r="M93" i="10"/>
  <c r="U93" i="10"/>
  <c r="V93" i="10"/>
  <c r="W93" i="10"/>
  <c r="X93" i="10"/>
  <c r="Y93" i="10"/>
  <c r="Z93" i="10"/>
  <c r="J94" i="10"/>
  <c r="K94" i="10"/>
  <c r="L94" i="10"/>
  <c r="M94" i="10"/>
  <c r="U94" i="10"/>
  <c r="V94" i="10"/>
  <c r="W94" i="10"/>
  <c r="X94" i="10"/>
  <c r="Y94" i="10"/>
  <c r="Z94" i="10"/>
  <c r="J95" i="10"/>
  <c r="K95" i="10"/>
  <c r="L95" i="10"/>
  <c r="M95" i="10"/>
  <c r="U95" i="10"/>
  <c r="V95" i="10"/>
  <c r="W95" i="10"/>
  <c r="X95" i="10"/>
  <c r="Y95" i="10"/>
  <c r="Z95" i="10"/>
  <c r="J96" i="10"/>
  <c r="K96" i="10"/>
  <c r="L96" i="10"/>
  <c r="M96" i="10"/>
  <c r="U96" i="10"/>
  <c r="V96" i="10"/>
  <c r="W96" i="10"/>
  <c r="X96" i="10"/>
  <c r="Y96" i="10"/>
  <c r="Z96" i="10"/>
  <c r="J97" i="10"/>
  <c r="K97" i="10"/>
  <c r="L97" i="10"/>
  <c r="M97" i="10"/>
  <c r="U97" i="10"/>
  <c r="V97" i="10"/>
  <c r="W97" i="10"/>
  <c r="X97" i="10"/>
  <c r="Y97" i="10"/>
  <c r="Z97" i="10"/>
  <c r="J98" i="10"/>
  <c r="K98" i="10"/>
  <c r="L98" i="10"/>
  <c r="M98" i="10"/>
  <c r="U98" i="10"/>
  <c r="V98" i="10"/>
  <c r="W98" i="10"/>
  <c r="X98" i="10"/>
  <c r="Y98" i="10"/>
  <c r="Z98" i="10"/>
  <c r="J99" i="10"/>
  <c r="K99" i="10"/>
  <c r="L99" i="10"/>
  <c r="M99" i="10"/>
  <c r="U99" i="10"/>
  <c r="V99" i="10"/>
  <c r="W99" i="10"/>
  <c r="X99" i="10"/>
  <c r="Y99" i="10"/>
  <c r="Z99" i="10"/>
  <c r="A3" i="7"/>
  <c r="D3" i="7"/>
  <c r="E3" i="7"/>
  <c r="F3" i="7"/>
  <c r="H3" i="7"/>
  <c r="I3" i="7"/>
  <c r="J3" i="7"/>
  <c r="N3" i="7"/>
  <c r="O3" i="7"/>
  <c r="P3" i="7"/>
  <c r="Q3" i="7"/>
  <c r="R3" i="7"/>
  <c r="U3" i="7"/>
  <c r="W3" i="7"/>
  <c r="Y3" i="7"/>
  <c r="A10" i="1"/>
  <c r="D10" i="1"/>
  <c r="E10" i="1"/>
  <c r="F10" i="1"/>
  <c r="I10" i="1"/>
  <c r="J10" i="1"/>
  <c r="M10" i="1"/>
  <c r="N10" i="1"/>
  <c r="O10" i="1"/>
  <c r="P10" i="1"/>
  <c r="Q10" i="1"/>
  <c r="V10" i="1"/>
  <c r="X10" i="1"/>
  <c r="AD10" i="1"/>
  <c r="AE10" i="1"/>
  <c r="AF10" i="1"/>
  <c r="AG10" i="1"/>
  <c r="AI10" i="1"/>
  <c r="A8" i="1"/>
  <c r="D8" i="1"/>
  <c r="E8" i="1"/>
  <c r="F8" i="1"/>
  <c r="I8" i="1"/>
  <c r="J8" i="1"/>
  <c r="M8" i="1"/>
  <c r="N8" i="1"/>
  <c r="O8" i="1"/>
  <c r="P8" i="1"/>
  <c r="Q8" i="1"/>
  <c r="V8" i="1"/>
  <c r="X8" i="1"/>
  <c r="AD8" i="1"/>
  <c r="AE8" i="1"/>
  <c r="AF8" i="1"/>
  <c r="AG8" i="1"/>
  <c r="AI8" i="1"/>
  <c r="A9" i="1"/>
  <c r="D9" i="1"/>
  <c r="E9" i="1"/>
  <c r="F9" i="1"/>
  <c r="I9" i="1"/>
  <c r="J9" i="1"/>
  <c r="M9" i="1"/>
  <c r="N9" i="1"/>
  <c r="O9" i="1"/>
  <c r="P9" i="1"/>
  <c r="Q9" i="1"/>
  <c r="V9" i="1"/>
  <c r="X9" i="1"/>
  <c r="AD9" i="1"/>
  <c r="AE9" i="1"/>
  <c r="AF9" i="1"/>
  <c r="AG9" i="1"/>
  <c r="AI9" i="1"/>
  <c r="A7" i="1"/>
  <c r="D7" i="1"/>
  <c r="E7" i="1"/>
  <c r="F7" i="1"/>
  <c r="I7" i="1"/>
  <c r="J7" i="1"/>
  <c r="M7" i="1"/>
  <c r="N7" i="1"/>
  <c r="O7" i="1"/>
  <c r="P7" i="1"/>
  <c r="Q7" i="1"/>
  <c r="V7" i="1"/>
  <c r="X7" i="1"/>
  <c r="AD7" i="1"/>
  <c r="AE7" i="1"/>
  <c r="AF7" i="1"/>
  <c r="AG7" i="1"/>
  <c r="AI7" i="1"/>
  <c r="A5" i="1"/>
  <c r="D5" i="1"/>
  <c r="E5" i="1"/>
  <c r="F5" i="1"/>
  <c r="I5" i="1"/>
  <c r="J5" i="1"/>
  <c r="M5" i="1"/>
  <c r="N5" i="1"/>
  <c r="O5" i="1"/>
  <c r="P5" i="1"/>
  <c r="Q5" i="1"/>
  <c r="V5" i="1"/>
  <c r="X5" i="1"/>
  <c r="AE5" i="1"/>
  <c r="AF5" i="1"/>
  <c r="AG5" i="1"/>
  <c r="AI5" i="1"/>
  <c r="A6" i="1"/>
  <c r="D6" i="1"/>
  <c r="E6" i="1"/>
  <c r="F6" i="1"/>
  <c r="I6" i="1"/>
  <c r="J6" i="1"/>
  <c r="M6" i="1"/>
  <c r="N6" i="1"/>
  <c r="O6" i="1"/>
  <c r="P6" i="1"/>
  <c r="Q6" i="1"/>
  <c r="V6" i="1"/>
  <c r="X6" i="1"/>
  <c r="AE6" i="1"/>
  <c r="AF6" i="1"/>
  <c r="AG6" i="1"/>
  <c r="AI6" i="1"/>
  <c r="A4" i="1"/>
  <c r="D4" i="1"/>
  <c r="E4" i="1"/>
  <c r="F4" i="1"/>
  <c r="I4" i="1"/>
  <c r="J4" i="1"/>
  <c r="M4" i="1"/>
  <c r="N4" i="1"/>
  <c r="O4" i="1"/>
  <c r="P4" i="1"/>
  <c r="Q4" i="1"/>
  <c r="V4" i="1"/>
  <c r="X4" i="1"/>
  <c r="AD4" i="1"/>
  <c r="AE4" i="1"/>
  <c r="AF4" i="1"/>
  <c r="AG4" i="1"/>
  <c r="AI4" i="1"/>
  <c r="A3" i="1"/>
  <c r="D3" i="1"/>
  <c r="E3" i="1"/>
  <c r="F3" i="1"/>
  <c r="I3" i="1"/>
  <c r="J3" i="1"/>
  <c r="M3" i="1"/>
  <c r="N3" i="1"/>
  <c r="O3" i="1"/>
  <c r="P3" i="1"/>
  <c r="Q3" i="1"/>
  <c r="V3" i="1"/>
  <c r="X3" i="1"/>
  <c r="AD3" i="1"/>
  <c r="AE3" i="1"/>
  <c r="AF3" i="1"/>
  <c r="AG3" i="1"/>
  <c r="AI3" i="1"/>
  <c r="B3" i="2"/>
  <c r="D3" i="2"/>
  <c r="E3" i="2"/>
  <c r="H3" i="2"/>
  <c r="B4" i="2"/>
  <c r="D4" i="2"/>
  <c r="E4" i="2"/>
  <c r="H4" i="2"/>
  <c r="B5" i="2"/>
  <c r="D5" i="2"/>
  <c r="E5" i="2"/>
  <c r="H5" i="2"/>
  <c r="W2" i="7"/>
  <c r="U2" i="7"/>
  <c r="V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I2" i="21"/>
  <c r="J2" i="21"/>
  <c r="G2" i="21"/>
  <c r="F2" i="21"/>
  <c r="D2" i="21"/>
  <c r="C2" i="21"/>
  <c r="E12" i="16"/>
  <c r="E11" i="16"/>
  <c r="E10" i="16"/>
  <c r="O57" i="9"/>
  <c r="N57" i="9"/>
  <c r="M57" i="9"/>
  <c r="L57" i="9"/>
  <c r="K57" i="9"/>
  <c r="J57" i="9"/>
  <c r="I57" i="9"/>
  <c r="H57" i="9"/>
  <c r="G57" i="9"/>
  <c r="D57" i="9"/>
  <c r="E9" i="16"/>
  <c r="Y2" i="7"/>
  <c r="R2" i="7"/>
  <c r="Q2" i="7"/>
  <c r="P2" i="7"/>
  <c r="O2" i="7"/>
  <c r="N2" i="7"/>
  <c r="AD2" i="1"/>
  <c r="AG2" i="1"/>
  <c r="AF2" i="1"/>
  <c r="AE2" i="1"/>
  <c r="X2" i="1"/>
  <c r="Q2" i="1"/>
  <c r="P2" i="1"/>
  <c r="O2" i="1"/>
  <c r="N2" i="1"/>
  <c r="M2" i="1"/>
  <c r="U57" i="10"/>
  <c r="W57" i="10"/>
  <c r="J57" i="10"/>
  <c r="Y57" i="10"/>
  <c r="X57" i="10"/>
  <c r="V57" i="10"/>
  <c r="Z57" i="10"/>
  <c r="L57" i="10"/>
  <c r="K57" i="10"/>
  <c r="M57" i="10"/>
  <c r="H2" i="7"/>
  <c r="J2" i="7"/>
  <c r="E8" i="16"/>
  <c r="E7" i="16"/>
  <c r="E6" i="16"/>
  <c r="E5" i="16"/>
  <c r="E4" i="16"/>
  <c r="E3" i="16"/>
  <c r="E2" i="16"/>
  <c r="A2" i="1"/>
  <c r="AI2" i="1"/>
  <c r="A57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<sst xmlns="http://schemas.openxmlformats.org/spreadsheetml/2006/main" count="1895" uniqueCount="642">
  <si>
    <t>quest_id</t>
  </si>
  <si>
    <t>stage_id</t>
  </si>
  <si>
    <t>character_id</t>
  </si>
  <si>
    <t>level</t>
  </si>
  <si>
    <t>skill_set_id</t>
    <phoneticPr fontId="6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</si>
  <si>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</si>
  <si>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</si>
  <si>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</si>
  <si>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</si>
  <si>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</si>
  <si>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</si>
  <si>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</si>
  <si>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</si>
  <si>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</si>
  <si>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</si>
  <si>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</si>
  <si>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6"/>
  </si>
  <si>
    <t>rare</t>
    <phoneticPr fontId="6"/>
  </si>
  <si>
    <t>name</t>
    <phoneticPr fontId="6"/>
  </si>
  <si>
    <t>floor_id</t>
    <phoneticPr fontId="6"/>
  </si>
  <si>
    <t>name</t>
    <phoneticPr fontId="6"/>
  </si>
  <si>
    <t>name</t>
    <phoneticPr fontId="6"/>
  </si>
  <si>
    <t>skill_set_id</t>
  </si>
  <si>
    <t>drop_label</t>
    <phoneticPr fontId="6"/>
  </si>
  <si>
    <t>color</t>
    <phoneticPr fontId="6"/>
  </si>
  <si>
    <t>size</t>
    <phoneticPr fontId="6"/>
  </si>
  <si>
    <t>character_main_tribe_id</t>
    <phoneticPr fontId="6"/>
  </si>
  <si>
    <t>drop_label</t>
    <phoneticPr fontId="8"/>
  </si>
  <si>
    <t>temp_stage</t>
    <phoneticPr fontId="6"/>
  </si>
  <si>
    <t>temp_habitats</t>
    <phoneticPr fontId="6"/>
  </si>
  <si>
    <t>temp_floor</t>
    <phoneticPr fontId="6"/>
  </si>
  <si>
    <t>スキル</t>
    <phoneticPr fontId="6"/>
  </si>
  <si>
    <t>temp_stage</t>
    <phoneticPr fontId="6"/>
  </si>
  <si>
    <t>位置付け</t>
    <rPh sb="0" eb="3">
      <t>イチヅ</t>
    </rPh>
    <phoneticPr fontId="6"/>
  </si>
  <si>
    <t>name</t>
    <phoneticPr fontId="6"/>
  </si>
  <si>
    <t>temp_floor</t>
    <phoneticPr fontId="6"/>
  </si>
  <si>
    <t>status</t>
    <phoneticPr fontId="6"/>
  </si>
  <si>
    <t>hp_plus</t>
  </si>
  <si>
    <t>hp_plus</t>
    <phoneticPr fontId="6"/>
  </si>
  <si>
    <t>attack_plus</t>
  </si>
  <si>
    <t>attack_plus</t>
    <phoneticPr fontId="6"/>
  </si>
  <si>
    <t>defense_plus</t>
  </si>
  <si>
    <t>defense_plus</t>
    <phoneticPr fontId="6"/>
  </si>
  <si>
    <t>heal_plus</t>
  </si>
  <si>
    <t>heal_plus</t>
    <phoneticPr fontId="6"/>
  </si>
  <si>
    <t>bug</t>
  </si>
  <si>
    <t>bug</t>
    <phoneticPr fontId="6"/>
  </si>
  <si>
    <t>hp_coefficient</t>
  </si>
  <si>
    <t>hp_coefficient</t>
    <phoneticPr fontId="6"/>
  </si>
  <si>
    <t>attack_coefficient</t>
  </si>
  <si>
    <t>attack_coefficient</t>
    <phoneticPr fontId="6"/>
  </si>
  <si>
    <t>defense_correction</t>
  </si>
  <si>
    <t>defense_correction</t>
    <phoneticPr fontId="6"/>
  </si>
  <si>
    <t>seq_no</t>
    <phoneticPr fontId="6"/>
  </si>
  <si>
    <t>state_no</t>
    <phoneticPr fontId="6"/>
  </si>
  <si>
    <t>character_id</t>
    <phoneticPr fontId="6"/>
  </si>
  <si>
    <t>level</t>
    <phoneticPr fontId="6"/>
  </si>
  <si>
    <t>speed</t>
    <phoneticPr fontId="6"/>
  </si>
  <si>
    <t>skill_set_id</t>
    <phoneticPr fontId="6"/>
  </si>
  <si>
    <t>temp_id</t>
    <phoneticPr fontId="6"/>
  </si>
  <si>
    <t>skill_set_id</t>
    <phoneticPr fontId="8"/>
  </si>
  <si>
    <t>skill_id</t>
    <phoneticPr fontId="8"/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</si>
  <si>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</si>
  <si>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</si>
  <si>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</si>
  <si>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</si>
  <si>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</si>
  <si>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priority</t>
    <phoneticPr fontId="6"/>
  </si>
  <si>
    <t>invoke_rate</t>
    <phoneticPr fontId="6"/>
  </si>
  <si>
    <t>hp_threshold</t>
    <phoneticPr fontId="6"/>
  </si>
  <si>
    <t>hp_termination</t>
    <phoneticPr fontId="6"/>
  </si>
  <si>
    <t>invoke_times</t>
    <phoneticPr fontId="6"/>
  </si>
  <si>
    <t>every_time_count</t>
    <phoneticPr fontId="6"/>
  </si>
  <si>
    <t>neighbor_dead_id</t>
    <phoneticPr fontId="6"/>
  </si>
  <si>
    <t>invoke_weight</t>
    <phoneticPr fontId="6"/>
  </si>
  <si>
    <t>作成者</t>
    <rPh sb="0" eb="3">
      <t>サクセイシャ</t>
    </rPh>
    <phoneticPr fontId="6"/>
  </si>
  <si>
    <t>更新日</t>
    <rPh sb="0" eb="3">
      <t>コウシンニチジ</t>
    </rPh>
    <phoneticPr fontId="6"/>
  </si>
  <si>
    <t>備考（使用箇所）</t>
    <rPh sb="0" eb="2">
      <t>ビコウ</t>
    </rPh>
    <rPh sb="3" eb="7">
      <t>シヨウカショ</t>
    </rPh>
    <phoneticPr fontId="6"/>
  </si>
  <si>
    <t>enemy_skill_id</t>
  </si>
  <si>
    <t>effect_param</t>
    <phoneticPr fontId="6"/>
  </si>
  <si>
    <t>valid_flg</t>
  </si>
  <si>
    <t>name</t>
    <phoneticPr fontId="8"/>
  </si>
  <si>
    <t>comment</t>
    <phoneticPr fontId="8"/>
  </si>
  <si>
    <t>skill_trigger_id</t>
    <phoneticPr fontId="8"/>
  </si>
  <si>
    <t>first_time</t>
    <phoneticPr fontId="6"/>
  </si>
  <si>
    <t>priority</t>
    <phoneticPr fontId="6"/>
  </si>
  <si>
    <t>invoke_rate</t>
    <phoneticPr fontId="6"/>
  </si>
  <si>
    <t>null</t>
    <phoneticPr fontId="6"/>
  </si>
  <si>
    <t>null</t>
    <phoneticPr fontId="6"/>
  </si>
  <si>
    <t>enemy_skills</t>
    <phoneticPr fontId="6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</si>
  <si>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</si>
  <si>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</si>
  <si>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</si>
  <si>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</si>
  <si>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</si>
  <si>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</si>
  <si>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</si>
  <si>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</si>
  <si>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</si>
  <si>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</si>
  <si>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</si>
  <si>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</si>
  <si>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</si>
  <si>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</si>
  <si>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</si>
  <si>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floors_</t>
    <phoneticPr fontId="6"/>
  </si>
  <si>
    <t>.tmp</t>
    <phoneticPr fontId="6"/>
  </si>
  <si>
    <t>floors</t>
    <phoneticPr fontId="6"/>
  </si>
  <si>
    <t>enemy_habitats_</t>
    <phoneticPr fontId="6"/>
  </si>
  <si>
    <t>enemy_habitats</t>
    <phoneticPr fontId="6"/>
  </si>
  <si>
    <t>enemy_habitat_S_</t>
    <phoneticPr fontId="6"/>
  </si>
  <si>
    <t>enemy_habitat_S</t>
    <phoneticPr fontId="6"/>
  </si>
  <si>
    <t>enemy_skill_sets_</t>
    <phoneticPr fontId="6"/>
  </si>
  <si>
    <t>enemy_skill_sets</t>
    <phoneticPr fontId="6"/>
  </si>
  <si>
    <t>enemy_skills_tmp_</t>
    <phoneticPr fontId="6"/>
  </si>
  <si>
    <t>.tmp</t>
    <phoneticPr fontId="6"/>
  </si>
  <si>
    <t>enemy_skills_i18n_</t>
    <phoneticPr fontId="6"/>
  </si>
  <si>
    <t>enemy_skills</t>
    <phoneticPr fontId="6"/>
  </si>
  <si>
    <t>enemy_skill_triggers_</t>
    <phoneticPr fontId="6"/>
  </si>
  <si>
    <t>.tmp</t>
    <phoneticPr fontId="6"/>
  </si>
  <si>
    <t>enemy_skill_triggers</t>
    <phoneticPr fontId="6"/>
  </si>
  <si>
    <t>hp_termination</t>
    <phoneticPr fontId="6"/>
  </si>
  <si>
    <t>invoke_weight</t>
    <phoneticPr fontId="6"/>
  </si>
  <si>
    <t>every_time_count</t>
    <phoneticPr fontId="6"/>
  </si>
  <si>
    <t>neighbor_dead_id</t>
    <phoneticPr fontId="6"/>
  </si>
  <si>
    <t>language</t>
    <phoneticPr fontId="6"/>
  </si>
  <si>
    <t>ja</t>
    <phoneticPr fontId="6"/>
  </si>
  <si>
    <t>skill_set_id</t>
    <phoneticPr fontId="6"/>
  </si>
  <si>
    <t>スキル</t>
    <phoneticPr fontId="6"/>
  </si>
  <si>
    <t>出力flg</t>
    <rPh sb="0" eb="2">
      <t>シュツリョク</t>
    </rPh>
    <phoneticPr fontId="6"/>
  </si>
  <si>
    <t>中間文字列１</t>
    <rPh sb="0" eb="2">
      <t>チュウカン</t>
    </rPh>
    <rPh sb="2" eb="5">
      <t>モジレツ</t>
    </rPh>
    <phoneticPr fontId="6"/>
  </si>
  <si>
    <t>効果１文字列</t>
    <rPh sb="0" eb="2">
      <t>コウカ</t>
    </rPh>
    <rPh sb="3" eb="6">
      <t>モジレツ</t>
    </rPh>
    <phoneticPr fontId="6"/>
  </si>
  <si>
    <t>効果１簡易デコード</t>
    <rPh sb="0" eb="2">
      <t>コウカ</t>
    </rPh>
    <rPh sb="3" eb="5">
      <t>カンイ</t>
    </rPh>
    <phoneticPr fontId="6"/>
  </si>
  <si>
    <t>効果２文字列</t>
    <rPh sb="0" eb="2">
      <t>コウカ</t>
    </rPh>
    <rPh sb="3" eb="6">
      <t>モジレツ</t>
    </rPh>
    <phoneticPr fontId="6"/>
  </si>
  <si>
    <t>効果２簡易デコード</t>
    <rPh sb="0" eb="2">
      <t>コウカ</t>
    </rPh>
    <rPh sb="3" eb="5">
      <t>カンイ</t>
    </rPh>
    <phoneticPr fontId="6"/>
  </si>
  <si>
    <t>効果３文字列</t>
    <rPh sb="0" eb="2">
      <t>コウカ</t>
    </rPh>
    <rPh sb="3" eb="6">
      <t>モジレツ</t>
    </rPh>
    <phoneticPr fontId="6"/>
  </si>
  <si>
    <t>効果３簡易デコード</t>
    <rPh sb="0" eb="2">
      <t>コウカ</t>
    </rPh>
    <rPh sb="3" eb="5">
      <t>カンイ</t>
    </rPh>
    <phoneticPr fontId="6"/>
  </si>
  <si>
    <t>効果１efect位置</t>
    <rPh sb="0" eb="2">
      <t>コウカ</t>
    </rPh>
    <rPh sb="8" eb="10">
      <t>イチ</t>
    </rPh>
    <phoneticPr fontId="6"/>
  </si>
  <si>
    <t>効果１target位置</t>
    <rPh sb="0" eb="2">
      <t>コウカ</t>
    </rPh>
    <rPh sb="9" eb="11">
      <t>イチ</t>
    </rPh>
    <phoneticPr fontId="6"/>
  </si>
  <si>
    <t>効果1終了位置</t>
    <rPh sb="0" eb="2">
      <t>コウカ</t>
    </rPh>
    <rPh sb="3" eb="5">
      <t>シュウリョウ</t>
    </rPh>
    <rPh sb="5" eb="7">
      <t>イチ</t>
    </rPh>
    <phoneticPr fontId="6"/>
  </si>
  <si>
    <t>効果1target終了位置</t>
    <rPh sb="0" eb="2">
      <t>コウカ</t>
    </rPh>
    <rPh sb="9" eb="11">
      <t>シュウリョウ</t>
    </rPh>
    <rPh sb="11" eb="13">
      <t>イチ</t>
    </rPh>
    <phoneticPr fontId="6"/>
  </si>
  <si>
    <t>効果2efect位置</t>
    <rPh sb="0" eb="2">
      <t>コウカ</t>
    </rPh>
    <rPh sb="8" eb="10">
      <t>イチ</t>
    </rPh>
    <phoneticPr fontId="6"/>
  </si>
  <si>
    <t>効果2終了位置</t>
    <rPh sb="0" eb="2">
      <t>コウカ</t>
    </rPh>
    <rPh sb="3" eb="5">
      <t>シュウリョウ</t>
    </rPh>
    <rPh sb="5" eb="7">
      <t>イチ</t>
    </rPh>
    <phoneticPr fontId="6"/>
  </si>
  <si>
    <t>効果2target位置</t>
    <rPh sb="0" eb="2">
      <t>コウカ</t>
    </rPh>
    <rPh sb="9" eb="11">
      <t>イチ</t>
    </rPh>
    <phoneticPr fontId="6"/>
  </si>
  <si>
    <t>効果2target終了位置</t>
    <rPh sb="0" eb="2">
      <t>コウカ</t>
    </rPh>
    <rPh sb="9" eb="11">
      <t>シュウリョウ</t>
    </rPh>
    <rPh sb="11" eb="13">
      <t>イチ</t>
    </rPh>
    <phoneticPr fontId="6"/>
  </si>
  <si>
    <t>効果3efect位置</t>
    <rPh sb="0" eb="2">
      <t>コウカ</t>
    </rPh>
    <rPh sb="8" eb="10">
      <t>イチ</t>
    </rPh>
    <phoneticPr fontId="6"/>
  </si>
  <si>
    <t>効果3終了位置</t>
    <rPh sb="0" eb="2">
      <t>コウカ</t>
    </rPh>
    <rPh sb="3" eb="5">
      <t>シュウリョウ</t>
    </rPh>
    <rPh sb="5" eb="7">
      <t>イチ</t>
    </rPh>
    <phoneticPr fontId="6"/>
  </si>
  <si>
    <t>効果3target位置</t>
    <rPh sb="0" eb="2">
      <t>コウカ</t>
    </rPh>
    <rPh sb="9" eb="11">
      <t>イチ</t>
    </rPh>
    <phoneticPr fontId="6"/>
  </si>
  <si>
    <t>効果3target終了位置</t>
    <rPh sb="0" eb="2">
      <t>コウカ</t>
    </rPh>
    <rPh sb="9" eb="11">
      <t>シュウリョウ</t>
    </rPh>
    <rPh sb="11" eb="13">
      <t>イチ</t>
    </rPh>
    <phoneticPr fontId="6"/>
  </si>
  <si>
    <t>quest_id</t>
    <phoneticPr fontId="6"/>
  </si>
  <si>
    <t>stage_id</t>
    <phoneticPr fontId="6"/>
  </si>
  <si>
    <t>temp_stage</t>
    <phoneticPr fontId="8"/>
  </si>
  <si>
    <t>stage_target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</si>
  <si>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</si>
  <si>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</si>
  <si>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</si>
  <si>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</si>
  <si>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</si>
  <si>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</si>
  <si>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</si>
  <si>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</si>
  <si>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</si>
  <si>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</si>
  <si>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</si>
  <si>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</si>
  <si>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</si>
  <si>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</si>
  <si>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null</t>
    <phoneticPr fontId="6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</si>
  <si>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</si>
  <si>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</si>
  <si>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</si>
  <si>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bugbonuses</t>
    <phoneticPr fontId="6"/>
  </si>
  <si>
    <t>stage_id</t>
    <phoneticPr fontId="6"/>
  </si>
  <si>
    <t>stage_target</t>
    <phoneticPr fontId="6"/>
  </si>
  <si>
    <t>bonus_id</t>
    <phoneticPr fontId="6"/>
  </si>
  <si>
    <t>bonus_type</t>
    <phoneticPr fontId="6"/>
  </si>
  <si>
    <t>stage_bug_bonuses_</t>
    <phoneticPr fontId="6"/>
  </si>
  <si>
    <t>skill_level</t>
    <phoneticPr fontId="6"/>
  </si>
  <si>
    <t>skill_level</t>
    <phoneticPr fontId="6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</si>
  <si>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6"/>
  </si>
  <si>
    <t>quest_id</t>
    <phoneticPr fontId="6"/>
  </si>
  <si>
    <t>hint_id</t>
    <phoneticPr fontId="6"/>
  </si>
  <si>
    <t>floor_id</t>
    <phoneticPr fontId="6"/>
  </si>
  <si>
    <t>hint_type</t>
    <phoneticPr fontId="6"/>
  </si>
  <si>
    <t>hint</t>
    <phoneticPr fontId="6"/>
  </si>
  <si>
    <t>title</t>
    <phoneticPr fontId="6"/>
  </si>
  <si>
    <t>hint_type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</si>
  <si>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</si>
  <si>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</si>
  <si>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</si>
  <si>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</si>
  <si>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floor_id</t>
    <phoneticPr fontId="6"/>
  </si>
  <si>
    <t>tmp_hint_id</t>
    <phoneticPr fontId="6"/>
  </si>
  <si>
    <t>hint_id</t>
    <phoneticPr fontId="6"/>
  </si>
  <si>
    <t>filename</t>
    <phoneticPr fontId="6"/>
  </si>
  <si>
    <t>failure</t>
  </si>
  <si>
    <t>ja</t>
    <phoneticPr fontId="6"/>
  </si>
  <si>
    <t>NULL</t>
    <phoneticPr fontId="6"/>
  </si>
  <si>
    <t>stage_hints_data_c_</t>
    <phoneticPr fontId="6"/>
  </si>
  <si>
    <t>stage_hints_data_f_</t>
    <phoneticPr fontId="6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</si>
  <si>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6"/>
  </si>
  <si>
    <t>hint_id</t>
    <phoneticPr fontId="6"/>
  </si>
  <si>
    <t>language</t>
    <phoneticPr fontId="6"/>
  </si>
  <si>
    <t>hint</t>
    <phoneticPr fontId="6"/>
  </si>
  <si>
    <t>filename</t>
  </si>
  <si>
    <t>title</t>
    <phoneticPr fontId="6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</si>
  <si>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6"/>
  </si>
  <si>
    <t>stage_hints_failure</t>
    <phoneticPr fontId="6"/>
  </si>
  <si>
    <t>stage_hints_failure</t>
    <phoneticPr fontId="6"/>
  </si>
  <si>
    <t>temp_id</t>
    <phoneticPr fontId="6"/>
  </si>
  <si>
    <t>quest_id</t>
    <phoneticPr fontId="6"/>
  </si>
  <si>
    <t>name</t>
    <phoneticPr fontId="6"/>
  </si>
  <si>
    <t>stage_id</t>
    <phoneticPr fontId="6"/>
  </si>
  <si>
    <t>name</t>
    <phoneticPr fontId="6"/>
  </si>
  <si>
    <t>stage_target</t>
    <phoneticPr fontId="6"/>
  </si>
  <si>
    <t>bonus_category</t>
    <phoneticPr fontId="6"/>
  </si>
  <si>
    <t>bonus_id</t>
    <phoneticPr fontId="6"/>
  </si>
  <si>
    <t>weight</t>
    <phoneticPr fontId="6"/>
  </si>
  <si>
    <t>bonus_type</t>
    <phoneticPr fontId="6"/>
  </si>
  <si>
    <t>bonus_count</t>
    <phoneticPr fontId="6"/>
  </si>
  <si>
    <t>skill_level</t>
    <phoneticPr fontId="6"/>
  </si>
  <si>
    <t>definite_start_date</t>
    <phoneticPr fontId="6"/>
  </si>
  <si>
    <t>definite_end_date</t>
    <phoneticPr fontId="6"/>
  </si>
  <si>
    <t>everyone</t>
    <phoneticPr fontId="6"/>
  </si>
  <si>
    <t>unit</t>
    <phoneticPr fontId="6"/>
  </si>
  <si>
    <t>2016-5-27 0:00:00</t>
    <phoneticPr fontId="6"/>
  </si>
  <si>
    <t>2970-01-01 09:00:00</t>
    <phoneticPr fontId="6"/>
  </si>
  <si>
    <t>no_continue</t>
    <phoneticPr fontId="6"/>
  </si>
  <si>
    <t>stage_bonuses</t>
    <phoneticPr fontId="6"/>
  </si>
  <si>
    <t>.tmp</t>
    <phoneticPr fontId="6"/>
  </si>
  <si>
    <t>quest_id</t>
    <phoneticPr fontId="6"/>
  </si>
  <si>
    <t>stage_id</t>
    <phoneticPr fontId="6"/>
  </si>
  <si>
    <t>stage_target</t>
    <phoneticPr fontId="6"/>
  </si>
  <si>
    <t>bonus_category</t>
    <phoneticPr fontId="6"/>
  </si>
  <si>
    <t>bonus_id</t>
    <phoneticPr fontId="6"/>
  </si>
  <si>
    <t>bonus_type</t>
    <phoneticPr fontId="6"/>
  </si>
  <si>
    <t>bonus_value</t>
    <phoneticPr fontId="6"/>
  </si>
  <si>
    <t>bonus_count</t>
    <phoneticPr fontId="6"/>
  </si>
  <si>
    <t>level</t>
    <phoneticPr fontId="6"/>
  </si>
  <si>
    <t>skill_level</t>
    <phoneticPr fontId="6"/>
  </si>
  <si>
    <t>hp_plus</t>
    <phoneticPr fontId="6"/>
  </si>
  <si>
    <t>attack_plus</t>
    <phoneticPr fontId="6"/>
  </si>
  <si>
    <t>defense_plus</t>
    <phoneticPr fontId="6"/>
  </si>
  <si>
    <t>heal_plus</t>
    <phoneticPr fontId="6"/>
  </si>
  <si>
    <t>bug</t>
    <phoneticPr fontId="6"/>
  </si>
  <si>
    <t>weight</t>
    <phoneticPr fontId="6"/>
  </si>
  <si>
    <t>definite_start_date</t>
    <phoneticPr fontId="6"/>
  </si>
  <si>
    <t>definite_end_date</t>
    <phoneticPr fontId="6"/>
  </si>
  <si>
    <t>stage_bonuses_</t>
    <phoneticPr fontId="6"/>
  </si>
  <si>
    <t>hp</t>
    <phoneticPr fontId="6"/>
  </si>
  <si>
    <t>attack</t>
    <phoneticPr fontId="6"/>
  </si>
  <si>
    <t>攻略のヒント</t>
    <rPh sb="0" eb="2">
      <t>コウリャク</t>
    </rPh>
    <phoneticPr fontId="6"/>
  </si>
  <si>
    <t>null</t>
    <phoneticPr fontId="6"/>
  </si>
  <si>
    <t>old</t>
    <phoneticPr fontId="6"/>
  </si>
  <si>
    <t>参照用コード（ここにeffect_paramを入力してください）</t>
    <rPh sb="0" eb="3">
      <t>サンショウヨウ</t>
    </rPh>
    <rPh sb="23" eb="25">
      <t>ニュウry</t>
    </rPh>
    <phoneticPr fontId="6"/>
  </si>
  <si>
    <t>ハヤト４ターン毎</t>
    <phoneticPr fontId="6"/>
  </si>
  <si>
    <t>たくあん開幕</t>
    <phoneticPr fontId="6"/>
  </si>
  <si>
    <t>たくあん２ターン毎</t>
    <phoneticPr fontId="6"/>
  </si>
  <si>
    <t>たくあん３ターン毎</t>
    <phoneticPr fontId="6"/>
  </si>
  <si>
    <t>A　B死亡時</t>
    <rPh sb="3" eb="5">
      <t>シボウ</t>
    </rPh>
    <rPh sb="5" eb="6">
      <t>j</t>
    </rPh>
    <phoneticPr fontId="6"/>
  </si>
  <si>
    <t>B　HP70%以下１回のみ</t>
    <rPh sb="7" eb="9">
      <t>イカ</t>
    </rPh>
    <rPh sb="10" eb="11">
      <t>カ</t>
    </rPh>
    <phoneticPr fontId="6"/>
  </si>
  <si>
    <t>C　５０％１</t>
    <phoneticPr fontId="6"/>
  </si>
  <si>
    <t>C　５０％２</t>
    <phoneticPr fontId="6"/>
  </si>
  <si>
    <t>C　B死亡時</t>
    <rPh sb="3" eb="6">
      <t>シボ</t>
    </rPh>
    <phoneticPr fontId="6"/>
  </si>
  <si>
    <t>B　C死亡時</t>
    <rPh sb="3" eb="6">
      <t>シボ</t>
    </rPh>
    <phoneticPr fontId="6"/>
  </si>
  <si>
    <t>B　A死亡時</t>
    <rPh sb="3" eb="5">
      <t>シボ</t>
    </rPh>
    <rPh sb="5" eb="6">
      <t>j</t>
    </rPh>
    <phoneticPr fontId="6"/>
  </si>
  <si>
    <t>B　奇数ターン</t>
    <rPh sb="2" eb="4">
      <t>キスウ</t>
    </rPh>
    <phoneticPr fontId="6"/>
  </si>
  <si>
    <t>B　２ターン目から４ターン毎</t>
    <phoneticPr fontId="6"/>
  </si>
  <si>
    <t>B　４ターン目から４ターン毎</t>
    <phoneticPr fontId="6"/>
  </si>
  <si>
    <t>B　開幕</t>
    <rPh sb="2" eb="4">
      <t>カイマk</t>
    </rPh>
    <phoneticPr fontId="6"/>
  </si>
  <si>
    <t>影丸A　３ターン毎</t>
    <rPh sb="0" eb="2">
      <t>カゲマr</t>
    </rPh>
    <phoneticPr fontId="6"/>
  </si>
  <si>
    <t>影丸A　２ターン毎５０％１</t>
    <rPh sb="0" eb="2">
      <t>カゲマr</t>
    </rPh>
    <phoneticPr fontId="6"/>
  </si>
  <si>
    <t>影丸A　２ターン毎５０％２</t>
    <rPh sb="0" eb="2">
      <t>カゲマr</t>
    </rPh>
    <phoneticPr fontId="6"/>
  </si>
  <si>
    <t>影丸B　開幕</t>
    <rPh sb="0" eb="2">
      <t>カゲマr</t>
    </rPh>
    <rPh sb="4" eb="6">
      <t>カイマk</t>
    </rPh>
    <phoneticPr fontId="6"/>
  </si>
  <si>
    <t>影丸B　３ターン毎</t>
    <rPh sb="0" eb="2">
      <t>カゲマr</t>
    </rPh>
    <phoneticPr fontId="6"/>
  </si>
  <si>
    <t>影丸B　５０％</t>
    <rPh sb="0" eb="2">
      <t>カゲマr</t>
    </rPh>
    <phoneticPr fontId="6"/>
  </si>
  <si>
    <t>影丸C　開幕</t>
    <rPh sb="0" eb="2">
      <t>カゲマr</t>
    </rPh>
    <rPh sb="4" eb="6">
      <t>カイマk</t>
    </rPh>
    <phoneticPr fontId="6"/>
  </si>
  <si>
    <t>影丸C　奇数ターン</t>
    <rPh sb="0" eb="2">
      <t>カゲマr</t>
    </rPh>
    <rPh sb="4" eb="6">
      <t>キス</t>
    </rPh>
    <phoneticPr fontId="6"/>
  </si>
  <si>
    <t>影丸C　偶数ターン</t>
    <rPh sb="0" eb="2">
      <t>カゲマr</t>
    </rPh>
    <rPh sb="4" eb="6">
      <t>グウス</t>
    </rPh>
    <phoneticPr fontId="6"/>
  </si>
  <si>
    <t>１　開幕</t>
    <rPh sb="2" eb="4">
      <t>カイマk</t>
    </rPh>
    <phoneticPr fontId="6"/>
  </si>
  <si>
    <t>１　１ターン目</t>
    <phoneticPr fontId="6"/>
  </si>
  <si>
    <t>１　３、４ターン毎</t>
    <phoneticPr fontId="6"/>
  </si>
  <si>
    <t>1　３ターン毎</t>
    <phoneticPr fontId="6"/>
  </si>
  <si>
    <t>１　４ターン毎</t>
    <phoneticPr fontId="6"/>
  </si>
  <si>
    <t>１　１ターン毎</t>
    <phoneticPr fontId="6"/>
  </si>
  <si>
    <t>２　開幕</t>
    <rPh sb="2" eb="4">
      <t>カイマk</t>
    </rPh>
    <phoneticPr fontId="6"/>
  </si>
  <si>
    <t>２　HP50以下１回のみ</t>
    <rPh sb="6" eb="8">
      <t>イk</t>
    </rPh>
    <phoneticPr fontId="6"/>
  </si>
  <si>
    <t>２　HP70以下１回のみ</t>
    <rPh sb="6" eb="8">
      <t>イk</t>
    </rPh>
    <phoneticPr fontId="6"/>
  </si>
  <si>
    <t>２　３ターン毎</t>
    <phoneticPr fontId="6"/>
  </si>
  <si>
    <t>２　５０％１</t>
    <phoneticPr fontId="6"/>
  </si>
  <si>
    <t>２　５０％２</t>
    <phoneticPr fontId="6"/>
  </si>
  <si>
    <t>３　開幕</t>
    <rPh sb="2" eb="4">
      <t>カイマk</t>
    </rPh>
    <phoneticPr fontId="6"/>
  </si>
  <si>
    <t>３　１ターン目</t>
    <phoneticPr fontId="6"/>
  </si>
  <si>
    <t>３　２ターン目</t>
    <phoneticPr fontId="6"/>
  </si>
  <si>
    <t>３　HP５０％以下６ターン目</t>
    <rPh sb="7" eb="9">
      <t>イカ</t>
    </rPh>
    <phoneticPr fontId="6"/>
  </si>
  <si>
    <t>３　HP５０％以下５ターン目</t>
    <rPh sb="7" eb="9">
      <t>イカ</t>
    </rPh>
    <phoneticPr fontId="6"/>
  </si>
  <si>
    <t>３　HP５０％以下４ターン目</t>
    <rPh sb="7" eb="9">
      <t>イカ</t>
    </rPh>
    <phoneticPr fontId="6"/>
  </si>
  <si>
    <t>３　HP５０％以下３ターン目</t>
    <rPh sb="7" eb="9">
      <t>イカ</t>
    </rPh>
    <phoneticPr fontId="6"/>
  </si>
  <si>
    <t>３　HP５０％以下２ターン目</t>
    <rPh sb="7" eb="9">
      <t>イカ</t>
    </rPh>
    <phoneticPr fontId="6"/>
  </si>
  <si>
    <t>３　HP５０％以下１ターン目</t>
    <rPh sb="7" eb="9">
      <t>イカ</t>
    </rPh>
    <phoneticPr fontId="6"/>
  </si>
  <si>
    <t>３　４ターン毎</t>
    <phoneticPr fontId="6"/>
  </si>
  <si>
    <t>３　３ターン毎</t>
    <phoneticPr fontId="6"/>
  </si>
  <si>
    <t>３　５０％</t>
    <phoneticPr fontId="6"/>
  </si>
  <si>
    <t>３　２５％</t>
    <phoneticPr fontId="6"/>
  </si>
  <si>
    <t>属性パネルを10個緑のダメパに変換
（全部壊してしまうと瀕死になる個数と威力）</t>
    <phoneticPr fontId="6"/>
  </si>
  <si>
    <t>種族ゴッドに大ダメージの全体攻撃</t>
    <phoneticPr fontId="6"/>
  </si>
  <si>
    <t>通常攻撃+赤パネルを赤のダメージパネルに３個変換</t>
    <phoneticPr fontId="6"/>
  </si>
  <si>
    <t>ダメージパネル吸収攻撃</t>
    <phoneticPr fontId="6"/>
  </si>
  <si>
    <t>赤パネル吸収攻撃</t>
    <phoneticPr fontId="6"/>
  </si>
  <si>
    <t>ウィルス状態のユニットに大ダメージの全体攻撃+
５ターン後即死攻撃予告</t>
    <phoneticPr fontId="6"/>
  </si>
  <si>
    <t>属性パネルを６個ダメージパネルに変換</t>
    <phoneticPr fontId="6"/>
  </si>
  <si>
    <t>全体攻撃+全ユニットの回復力50％DOWN</t>
    <phoneticPr fontId="6"/>
  </si>
  <si>
    <t>８回連続攻撃(8,000)</t>
  </si>
  <si>
    <t>即死攻撃</t>
    <phoneticPr fontId="6"/>
  </si>
  <si>
    <t>[セリフ]</t>
    <phoneticPr fontId="6"/>
  </si>
  <si>
    <t>状態異常耐性+解除するまでタップ数減少+
永続全ユニットにウイルス付与
(2ゲージ目より強力)</t>
    <phoneticPr fontId="6"/>
  </si>
  <si>
    <t>通常攻撃+ダメージパネル複数変換</t>
    <phoneticPr fontId="6"/>
  </si>
  <si>
    <t>２回連続攻撃
（命中したユニットに１ターン攻撃力DOWN）</t>
    <phoneticPr fontId="6"/>
  </si>
  <si>
    <t>ウイルス状態のユニットに大ダメージの全体攻撃</t>
    <phoneticPr fontId="6"/>
  </si>
  <si>
    <t>赤パネルを吸収して攻撃+攻撃アップ(効果大)</t>
    <phoneticPr fontId="6"/>
  </si>
  <si>
    <t>青パネルを吸収して攻撃+防御アップ(効果大)</t>
    <phoneticPr fontId="6"/>
  </si>
  <si>
    <t>状態異常耐性+
永続全ユニットにウイルス付与(1ゲージ目より強力)+
種族ゴッドに５ターンスキルバインド</t>
    <phoneticPr fontId="6"/>
  </si>
  <si>
    <t>全てハートボムパネルに変換+
ランダムでダメージパネルに16個変換</t>
    <phoneticPr fontId="6"/>
  </si>
  <si>
    <t>4連続攻撃</t>
    <phoneticPr fontId="6"/>
  </si>
  <si>
    <t>ダメージパネルを吸収して全体攻撃</t>
    <phoneticPr fontId="6"/>
  </si>
  <si>
    <t>全体攻撃+緑パネルを緑のダメージパネルに5個変換</t>
    <phoneticPr fontId="6"/>
  </si>
  <si>
    <t>状態異常耐性+
永続全ユニットにウイルス付与
(フロア3より強力)+HP80％のダメージ</t>
    <phoneticPr fontId="6"/>
  </si>
  <si>
    <t>3連続攻撃</t>
    <phoneticPr fontId="6"/>
  </si>
  <si>
    <t>単体攻撃+青パネルを5個赤のダメージパネルに変換</t>
    <phoneticPr fontId="6"/>
  </si>
  <si>
    <t>３ターン暗闇</t>
    <phoneticPr fontId="6"/>
  </si>
  <si>
    <t>クリティカル！</t>
    <phoneticPr fontId="6"/>
  </si>
  <si>
    <t>ウィルス状態のユニットに大ダメージの全体攻撃</t>
    <phoneticPr fontId="6"/>
  </si>
  <si>
    <t>永続全ユニットにウイルス付与(フロア2より強力)</t>
    <phoneticPr fontId="6"/>
  </si>
  <si>
    <t>赤パネルを吸収して攻撃</t>
    <phoneticPr fontId="6"/>
  </si>
  <si>
    <t>5連続攻撃</t>
    <phoneticPr fontId="6"/>
  </si>
  <si>
    <t>全体攻撃</t>
    <phoneticPr fontId="6"/>
  </si>
  <si>
    <t>攻撃力アップ(20%)</t>
    <phoneticPr fontId="6"/>
  </si>
  <si>
    <t>3回連続攻撃(4000)</t>
    <phoneticPr fontId="6"/>
  </si>
  <si>
    <t>全体攻撃(4000)</t>
    <phoneticPr fontId="6"/>
  </si>
  <si>
    <t>攻撃力アップ(40%)</t>
    <phoneticPr fontId="6"/>
  </si>
  <si>
    <t>防御力アップ(5000)</t>
    <phoneticPr fontId="6"/>
  </si>
  <si>
    <t>ハートパネルを吸収してHPを回復(1つにつき1500程度)</t>
    <phoneticPr fontId="6"/>
  </si>
  <si>
    <t>通常攻撃+ウィルス状態のユニットに大ダメージの全体攻撃</t>
    <phoneticPr fontId="6"/>
  </si>
  <si>
    <t>連続攻撃</t>
    <phoneticPr fontId="6"/>
  </si>
  <si>
    <t>全体攻撃(3000)</t>
    <phoneticPr fontId="6"/>
  </si>
  <si>
    <t>A　５０％</t>
    <phoneticPr fontId="6"/>
  </si>
  <si>
    <t>青パネルを2個青のダメージパネルに変換</t>
    <phoneticPr fontId="6"/>
  </si>
  <si>
    <t>永続全ユニットにウィルスを付与</t>
    <phoneticPr fontId="6"/>
  </si>
  <si>
    <t>黄パネルを2個黄のダメージパネルに変換</t>
    <phoneticPr fontId="6"/>
  </si>
  <si>
    <t>ハヤト偶数ターン</t>
    <rPh sb="3" eb="5">
      <t>グウス</t>
    </rPh>
    <phoneticPr fontId="6"/>
  </si>
  <si>
    <t>A　３ターン毎</t>
    <phoneticPr fontId="6"/>
  </si>
  <si>
    <t>2times</t>
    <phoneticPr fontId="6"/>
  </si>
  <si>
    <t>5times</t>
    <phoneticPr fontId="6"/>
  </si>
  <si>
    <t>絶対にこのトリガーを通りたい</t>
    <rPh sb="0" eb="2">
      <t>ゼッタ</t>
    </rPh>
    <rPh sb="10" eb="11">
      <t>トオr</t>
    </rPh>
    <phoneticPr fontId="6"/>
  </si>
  <si>
    <t>行動頻度を1に変更</t>
    <phoneticPr fontId="6"/>
  </si>
  <si>
    <t>永続全ユニットウィルスを付与(フロア1より強力)+全ユニットタップ数減少+ダメージパネル複数個変換</t>
    <phoneticPr fontId="6"/>
  </si>
  <si>
    <t xml:space="preserve">[effect:force_change_block, new_block:damage, target:block_yellow, color:block_yellow, count:2, val:0.1, animation:change_bock]    </t>
    <phoneticPr fontId="6"/>
  </si>
  <si>
    <t>[effect:force_change_block, new_block:damage, target:block_blue, color:block_blue, count:2, val:0.1, animation:change_bock]</t>
    <phoneticPr fontId="6"/>
  </si>
  <si>
    <t>[effect:break_attack_fix, target:unit_one, val:350, lowest_val:1000, count:-1, block01:block_red]</t>
    <phoneticPr fontId="6"/>
  </si>
  <si>
    <t>[effect:break_attack_fix, target:unit_all, val:200, lowest_val:500, count:-1, block01:block_red]</t>
    <phoneticPr fontId="6"/>
  </si>
  <si>
    <t xml:space="preserve">[effect:break_attack_fix, target:unit_all, val:150, lowest_val:1000, count:-1, block01:damage]    </t>
    <phoneticPr fontId="6"/>
  </si>
  <si>
    <t>[effect:enhance_enemy, target:myself, turn:-1, status:attack, val:0.4, calc:mul, animation:enemy_enhance_attack]</t>
    <phoneticPr fontId="6"/>
  </si>
  <si>
    <t>[effect:enhance_enemy, target:myself, turn:-1, status:attack, val:0.2, calc:mul, animation:enemy_enhance_attack]</t>
    <phoneticPr fontId="6"/>
  </si>
  <si>
    <t>ダメージパネルを吸収して全体攻撃</t>
    <rPh sb="8" eb="10">
      <t>キュウシュ</t>
    </rPh>
    <rPh sb="12" eb="16">
      <t>ゼンタ</t>
    </rPh>
    <phoneticPr fontId="6"/>
  </si>
  <si>
    <t>[effect:dark, target:unit_all, turn:3, animation:enemy_dark]</t>
    <phoneticPr fontId="6"/>
  </si>
  <si>
    <t>[effect:spread, val:0.25],[effect:degrade_unit, target:unit_all, turn:3, status:heal, val:0.5, calc:mul, animation:degrade_unit_all_heal]</t>
    <phoneticPr fontId="6"/>
  </si>
  <si>
    <t>3ターン暗闇</t>
  </si>
  <si>
    <t>[effect:enhance_enemy, target:myself, turn:5, status:defense, val:5000, calc:add, animation:enemy_enhance_defense]</t>
    <phoneticPr fontId="6"/>
  </si>
  <si>
    <t>ウィルス状態のユニットに大ダメージの全体攻撃</t>
  </si>
  <si>
    <t>[effect:spread, val:0.3]</t>
    <phoneticPr fontId="6"/>
  </si>
  <si>
    <t>黄パネルを黄のダメージパネルに2個変換</t>
    <phoneticPr fontId="6"/>
  </si>
  <si>
    <t>[effect:enhance_enemy, target:myself, turn:-1, status:attack, val:0.4, calc:mul, animation:enemy_enhance_attack]</t>
    <phoneticPr fontId="6"/>
  </si>
  <si>
    <t>[effect:rush, count:1, val:1.0],[effect:force_change_block, new_block:damage, target:block_blue, color:block_red, count:5, val:0.1, animation:change_bock]</t>
    <phoneticPr fontId="6"/>
  </si>
  <si>
    <t>[effect:critical, val:1.5, animation:enemy_critical]</t>
    <phoneticPr fontId="6"/>
  </si>
  <si>
    <t>[effect:rush, count:3, val:0.5]</t>
    <phoneticPr fontId="6"/>
  </si>
  <si>
    <t>[effect:damage_anti_abnormal, target:unit_all, target_effect01:virus, val1:1.0, val2:0.5]</t>
    <phoneticPr fontId="6"/>
  </si>
  <si>
    <t>[effect:critical, val:1.5, animation:enemy_critical],
[effect:force_change_block, new_block:damage, target:normal, color:block_green, count:4, val:0.04, animation:change_bock]</t>
    <phoneticPr fontId="6"/>
  </si>
  <si>
    <t>クリティカル！+
属性パネルを緑のダメージパネルに4個変換</t>
    <rPh sb="9" eb="11">
      <t>ゾクセ</t>
    </rPh>
    <rPh sb="15" eb="16">
      <t>m</t>
    </rPh>
    <rPh sb="26" eb="27">
      <t>k</t>
    </rPh>
    <phoneticPr fontId="6"/>
  </si>
  <si>
    <t>[effect:critical, val:1.5, animation:enemy_critical],
[effect:force_change_block, new_block:damage, target:block_red, color:block_red, count:3, val:0.1, animation:change_bock]</t>
    <phoneticPr fontId="6"/>
  </si>
  <si>
    <t>クリティカル！+
赤パネルを赤のダメージパネルに3個変換</t>
    <phoneticPr fontId="6"/>
  </si>
  <si>
    <t>[effect:rush, count:4, val:0.6]</t>
    <phoneticPr fontId="6"/>
  </si>
  <si>
    <t>全体攻撃+
2ターン全ユニットの回復力50%DOWN</t>
    <rPh sb="10" eb="11">
      <t>ゼn</t>
    </rPh>
    <phoneticPr fontId="6"/>
  </si>
  <si>
    <t>[effect:spread, val:0.4],[effect:degrade_unit, target:unit_all, turn:2, status:heal, val:0.5, calc:mul, animation:degrade_unit_all_heal]</t>
    <phoneticPr fontId="6"/>
  </si>
  <si>
    <t>[effect:damage_abnormal, target:unit_one, val:0.7, status:attack, turn:1, val_abnormal:0.5, calc:mul, animation:attack_break01],[effect:damage_abnormal, target:unit_one, val:0.7, status:attack, turn:1, val_abnormal:0.5, calc:mul, animation:attack_break01]</t>
    <phoneticPr fontId="6"/>
  </si>
  <si>
    <t>ヒュウガ…</t>
    <phoneticPr fontId="6"/>
  </si>
  <si>
    <t>ヴェロキー…</t>
    <phoneticPr fontId="6"/>
  </si>
  <si>
    <t>3回連続攻撃</t>
    <rPh sb="1" eb="2">
      <t>k</t>
    </rPh>
    <phoneticPr fontId="6"/>
  </si>
  <si>
    <t>4回連続攻撃</t>
    <rPh sb="1" eb="2">
      <t>k</t>
    </rPh>
    <phoneticPr fontId="6"/>
  </si>
  <si>
    <t>赤パネルを吸収して全体攻撃</t>
    <rPh sb="9" eb="11">
      <t>ゼンタ</t>
    </rPh>
    <phoneticPr fontId="6"/>
  </si>
  <si>
    <t>[effect:rush, count:1, val:0.08],[effect:rush, count:1, val:0.12],[effect:rush, count:1, val:0.16],[effect:rush, count:1, val:0.20],
[effect:rush, count:1, val:0.24],[effect:rush, count:1, val:0.28],[effect:rush, count:1, val:0.32],[effect:rush, count:1, val:0.36]</t>
    <phoneticPr fontId="6"/>
  </si>
  <si>
    <t>3回連続攻撃</t>
    <phoneticPr fontId="6"/>
  </si>
  <si>
    <t>自身の攻撃力UP</t>
    <rPh sb="0" eb="2">
      <t>ジシn</t>
    </rPh>
    <phoneticPr fontId="6"/>
  </si>
  <si>
    <t>5ターン自身の防御力大UP</t>
    <rPh sb="4" eb="6">
      <t>ジシn</t>
    </rPh>
    <rPh sb="10" eb="11">
      <t>ダ</t>
    </rPh>
    <phoneticPr fontId="6"/>
  </si>
  <si>
    <t>自身の行動頻度UP</t>
    <rPh sb="0" eb="2">
      <t>ジシn</t>
    </rPh>
    <phoneticPr fontId="6"/>
  </si>
  <si>
    <t>単体攻撃+青パネルを赤のダメージパネルに5個変換</t>
    <phoneticPr fontId="6"/>
  </si>
  <si>
    <t>属性パネルを緑のダメージパネルに10個変換</t>
    <phoneticPr fontId="6"/>
  </si>
  <si>
    <t>99999固定ダメージ！</t>
    <rPh sb="5" eb="7">
      <t>k</t>
    </rPh>
    <phoneticPr fontId="6"/>
  </si>
  <si>
    <t>[effect:rush, count:3, val:0.35]</t>
    <phoneticPr fontId="6"/>
  </si>
  <si>
    <t>青パネルを青のダメージパネルに2個変換</t>
    <phoneticPr fontId="6"/>
  </si>
  <si>
    <t>[effect:spread, val:0.17]</t>
    <phoneticPr fontId="6"/>
  </si>
  <si>
    <t>全体攻撃+２ターン回復力DOWN</t>
    <phoneticPr fontId="6"/>
  </si>
  <si>
    <t>死亡時</t>
    <rPh sb="0" eb="2">
      <t>シボ</t>
    </rPh>
    <rPh sb="2" eb="3">
      <t>j</t>
    </rPh>
    <phoneticPr fontId="6"/>
  </si>
  <si>
    <t>ニン　ニン！</t>
    <phoneticPr fontId="6"/>
  </si>
  <si>
    <t>煙玉！</t>
    <rPh sb="0" eb="2">
      <t>kemuridama</t>
    </rPh>
    <phoneticPr fontId="6"/>
  </si>
  <si>
    <t>三連手裏剣！</t>
    <rPh sb="0" eb="1">
      <t>サン</t>
    </rPh>
    <rPh sb="1" eb="2">
      <t>レn</t>
    </rPh>
    <rPh sb="2" eb="5">
      <t>シュリケn</t>
    </rPh>
    <phoneticPr fontId="6"/>
  </si>
  <si>
    <t>大車輪！</t>
    <rPh sb="0" eb="3">
      <t>ダイシャリn</t>
    </rPh>
    <phoneticPr fontId="6"/>
  </si>
  <si>
    <t>オイラ、並みのタイチじゃないぜ…！</t>
    <rPh sb="4" eb="5">
      <t>ナm</t>
    </rPh>
    <phoneticPr fontId="6"/>
  </si>
  <si>
    <t>本気を見せてやる！</t>
    <rPh sb="0" eb="2">
      <t>ホn</t>
    </rPh>
    <rPh sb="3" eb="4">
      <t>ミセテy</t>
    </rPh>
    <phoneticPr fontId="6"/>
  </si>
  <si>
    <t>よくもやってくれたな！</t>
    <phoneticPr fontId="6"/>
  </si>
  <si>
    <t>怒ったぞ！</t>
    <rPh sb="0" eb="1">
      <t>オコッt</t>
    </rPh>
    <phoneticPr fontId="6"/>
  </si>
  <si>
    <t>ファイアブレス！</t>
    <phoneticPr fontId="6"/>
  </si>
  <si>
    <t>突進！</t>
    <rPh sb="0" eb="2">
      <t>トッシn</t>
    </rPh>
    <phoneticPr fontId="6"/>
  </si>
  <si>
    <t>毒煙！</t>
    <rPh sb="0" eb="1">
      <t>ドk</t>
    </rPh>
    <rPh sb="1" eb="2">
      <t>ケムリ</t>
    </rPh>
    <phoneticPr fontId="6"/>
  </si>
  <si>
    <t>火遁の術…！</t>
    <rPh sb="0" eb="2">
      <t>カトン</t>
    </rPh>
    <rPh sb="3" eb="4">
      <t>ジュt</t>
    </rPh>
    <phoneticPr fontId="6"/>
  </si>
  <si>
    <t>燃えるマキビシ！</t>
    <rPh sb="0" eb="1">
      <t>モエr</t>
    </rPh>
    <phoneticPr fontId="6"/>
  </si>
  <si>
    <t>石つぶて！</t>
    <rPh sb="0" eb="1">
      <t>イシツブテ</t>
    </rPh>
    <phoneticPr fontId="6"/>
  </si>
  <si>
    <t>火炎飛ばし！</t>
    <rPh sb="0" eb="3">
      <t>カエn</t>
    </rPh>
    <phoneticPr fontId="6"/>
  </si>
  <si>
    <t>毒焦がし！</t>
    <rPh sb="0" eb="1">
      <t>ドk</t>
    </rPh>
    <rPh sb="1" eb="2">
      <t>コガs</t>
    </rPh>
    <phoneticPr fontId="6"/>
  </si>
  <si>
    <t>ハヤト開幕</t>
    <rPh sb="3" eb="5">
      <t>カイマk</t>
    </rPh>
    <phoneticPr fontId="6"/>
  </si>
  <si>
    <t>[表示しない]</t>
    <rPh sb="1" eb="3">
      <t>ヒョ</t>
    </rPh>
    <phoneticPr fontId="6"/>
  </si>
  <si>
    <t>old</t>
    <phoneticPr fontId="6"/>
  </si>
  <si>
    <t>old</t>
    <phoneticPr fontId="8"/>
  </si>
  <si>
    <t>文字数確認欄</t>
    <rPh sb="0" eb="6">
      <t>モジス</t>
    </rPh>
    <phoneticPr fontId="6"/>
  </si>
  <si>
    <t>complete</t>
  </si>
  <si>
    <t>[effect:freq_turn, target:myself, turn:-1, val:1, animation:enemy_freq_turn]</t>
    <phoneticPr fontId="6"/>
  </si>
  <si>
    <t>8回連続攻撃
【超強力な攻撃まであと2ターン！！】</t>
    <phoneticPr fontId="6"/>
  </si>
  <si>
    <t>属性パネルを赤&amp;緑&amp;青&amp;黄の
ダメージパネルに2個ずつ変換
【超強力な攻撃まであと4ターン！！】</t>
    <rPh sb="6" eb="7">
      <t>アk</t>
    </rPh>
    <rPh sb="8" eb="9">
      <t>ミドr</t>
    </rPh>
    <rPh sb="10" eb="11">
      <t>ア</t>
    </rPh>
    <rPh sb="12" eb="13">
      <t>ki</t>
    </rPh>
    <rPh sb="24" eb="25">
      <t>コズt</t>
    </rPh>
    <phoneticPr fontId="6"/>
  </si>
  <si>
    <t>ウィルス状態のユニットに大ダメージの全体攻撃
【5ターン後に超強力な攻撃！！】</t>
    <rPh sb="30" eb="33">
      <t>チョウキョ</t>
    </rPh>
    <rPh sb="34" eb="36">
      <t>コウゲk</t>
    </rPh>
    <phoneticPr fontId="6"/>
  </si>
  <si>
    <t>全体攻撃+
3ターン全ユニットの回復力50%DOWN
【超強力な攻撃まであと3ターン！！】</t>
    <phoneticPr fontId="6"/>
  </si>
  <si>
    <t>解除するまで全ユニットに強力なウィルス
解除するまで全ユニットのタップ回数を1DOWN+
属性パネルを緑のダメージパネルに5個変換</t>
    <phoneticPr fontId="6"/>
  </si>
  <si>
    <t>切り刻んでやる！</t>
    <rPh sb="0" eb="1">
      <t>キリキザn</t>
    </rPh>
    <phoneticPr fontId="6"/>
  </si>
  <si>
    <t>斬鉄の雷刃</t>
    <rPh sb="4" eb="5">
      <t>ヤイバ</t>
    </rPh>
    <phoneticPr fontId="6"/>
  </si>
  <si>
    <t>これを食らっても
立っていられるか？</t>
    <rPh sb="3" eb="4">
      <t>クラッt</t>
    </rPh>
    <rPh sb="9" eb="10">
      <t>タッt</t>
    </rPh>
    <phoneticPr fontId="6"/>
  </si>
  <si>
    <t>チャージボム！</t>
    <phoneticPr fontId="6"/>
  </si>
  <si>
    <t>[effect:damage_fix_absolute, target:unit_all, val:99999]</t>
    <phoneticPr fontId="6"/>
  </si>
  <si>
    <t>禅を学ぶが良い！</t>
    <rPh sb="0" eb="1">
      <t>ゼンw</t>
    </rPh>
    <rPh sb="2" eb="3">
      <t>マナb</t>
    </rPh>
    <rPh sb="5" eb="6">
      <t>ヨ</t>
    </rPh>
    <phoneticPr fontId="6"/>
  </si>
  <si>
    <t>吹き飛べッ！！</t>
    <phoneticPr fontId="6"/>
  </si>
  <si>
    <t>立ち去れッ！</t>
    <rPh sb="0" eb="1">
      <t>タチサr</t>
    </rPh>
    <phoneticPr fontId="6"/>
  </si>
  <si>
    <t>文字数</t>
    <rPh sb="0" eb="3">
      <t>モジス</t>
    </rPh>
    <phoneticPr fontId="6"/>
  </si>
  <si>
    <t>忍者・服部半蔵</t>
    <phoneticPr fontId="6"/>
  </si>
  <si>
    <t>ライバル忍者</t>
    <phoneticPr fontId="6"/>
  </si>
  <si>
    <t>見つかった…！？</t>
    <rPh sb="0" eb="1">
      <t>ミツカッt</t>
    </rPh>
    <phoneticPr fontId="6"/>
  </si>
  <si>
    <t>四方手裏剣</t>
    <rPh sb="0" eb="2">
      <t>シホ</t>
    </rPh>
    <rPh sb="2" eb="5">
      <t>シュr</t>
    </rPh>
    <phoneticPr fontId="6"/>
  </si>
  <si>
    <t>ニンポウ・セキュリティホール</t>
    <phoneticPr fontId="6"/>
  </si>
  <si>
    <t>SQLインジェクション</t>
    <phoneticPr fontId="6"/>
  </si>
  <si>
    <t>マキビシスクリプト</t>
    <phoneticPr fontId="6"/>
  </si>
  <si>
    <t>[effect:virus, target:unit_all, turn:12, rate:1, val:0.11, animation:enemy_virus],
[effect:fix_speed, target:myself, turn:2]</t>
    <phoneticPr fontId="6"/>
  </si>
  <si>
    <t>[effect:damage_anti_abnormal, target:unit_all, target_effect01:virus, val1:0.6, val2:0.35]</t>
    <phoneticPr fontId="6"/>
  </si>
  <si>
    <t>[effect:force_change_block, new_block:damage, target:normal, color:block_green, count:10, val:0.1, animation:change_bock]</t>
    <phoneticPr fontId="6"/>
  </si>
  <si>
    <t>[effect:rush, count:2, val:0.7],
[effect:force_change_block, new_block:damage, target:normal, color:block_red, count:3, val:0.1, animation:change_bock]</t>
    <phoneticPr fontId="6"/>
  </si>
  <si>
    <t>2回連続攻撃+
属性パネルを赤のダメージパネルに3個変換</t>
    <rPh sb="1" eb="2">
      <t>k</t>
    </rPh>
    <rPh sb="8" eb="10">
      <t>ゾクセ</t>
    </rPh>
    <rPh sb="14" eb="15">
      <t>アカn</t>
    </rPh>
    <rPh sb="25" eb="26">
      <t>k</t>
    </rPh>
    <rPh sb="26" eb="28">
      <t>ヘn</t>
    </rPh>
    <phoneticPr fontId="6"/>
  </si>
  <si>
    <t>[effect:rush, count:5, val:0.2],
[effect:force_change_block, new_block:damage, target:block_green, color:block_yellow, count:5, val:0.05, animation:change_bock]</t>
    <phoneticPr fontId="6"/>
  </si>
  <si>
    <t>5回連続攻撃 +
緑パネルを黄のダメージパネルに5個変換</t>
    <rPh sb="1" eb="2">
      <t>k</t>
    </rPh>
    <rPh sb="9" eb="10">
      <t>ミドr</t>
    </rPh>
    <rPh sb="14" eb="15">
      <t>キ</t>
    </rPh>
    <rPh sb="25" eb="28">
      <t>k</t>
    </rPh>
    <phoneticPr fontId="6"/>
  </si>
  <si>
    <t>[effect:damage_anti_abnormal, target:unit_all, target_effect01:virus, val1:0.6, val2:0.45]</t>
    <phoneticPr fontId="6"/>
  </si>
  <si>
    <t>２　2ターン目</t>
    <phoneticPr fontId="6"/>
  </si>
  <si>
    <t>全体に5ターンウィルス＋緑パネルをダエパに変換</t>
    <rPh sb="0" eb="2">
      <t>ゼンタ</t>
    </rPh>
    <rPh sb="12" eb="13">
      <t>ミドr</t>
    </rPh>
    <phoneticPr fontId="6"/>
  </si>
  <si>
    <t>12ターン全ユニットにウィルス</t>
    <phoneticPr fontId="6"/>
  </si>
  <si>
    <t>青パネルを緑のダメージパネルに5個変換</t>
    <rPh sb="0" eb="1">
      <t>ア</t>
    </rPh>
    <phoneticPr fontId="6"/>
  </si>
  <si>
    <t>[effect:force_change_block, new_block:damage, target:block_blue, color:block_green, count:5, val:0.08, animation:change_bock]</t>
    <phoneticPr fontId="6"/>
  </si>
  <si>
    <t>誰だ貴様は！</t>
    <rPh sb="0" eb="1">
      <t>ダレd</t>
    </rPh>
    <rPh sb="2" eb="4">
      <t>キサm</t>
    </rPh>
    <phoneticPr fontId="6"/>
  </si>
  <si>
    <t>ノコギリ手裏剣</t>
    <rPh sb="4" eb="7">
      <t>シュリケn</t>
    </rPh>
    <phoneticPr fontId="6"/>
  </si>
  <si>
    <t>APT・クラッキング</t>
    <phoneticPr fontId="6"/>
  </si>
  <si>
    <t>6ターン全ユニットにウィルス+
緑パネルを緑のダメージパネルに6個変換</t>
    <rPh sb="16" eb="17">
      <t>ミドr</t>
    </rPh>
    <rPh sb="21" eb="22">
      <t>ミドr</t>
    </rPh>
    <rPh sb="32" eb="35">
      <t>k</t>
    </rPh>
    <phoneticPr fontId="6"/>
  </si>
  <si>
    <t>ここで朽ちる訳には…！</t>
    <rPh sb="3" eb="4">
      <t>クt</t>
    </rPh>
    <rPh sb="6" eb="7">
      <t>ワケ</t>
    </rPh>
    <phoneticPr fontId="6"/>
  </si>
  <si>
    <t>…終わりだ</t>
    <rPh sb="1" eb="2">
      <t>オワr</t>
    </rPh>
    <phoneticPr fontId="6"/>
  </si>
  <si>
    <t>怪しい装置が起動し始めた…
【超強力な攻撃まであと1ターン！！】</t>
    <rPh sb="0" eb="1">
      <t>アヤs</t>
    </rPh>
    <rPh sb="3" eb="5">
      <t>ソウt</t>
    </rPh>
    <rPh sb="6" eb="8">
      <t>キド</t>
    </rPh>
    <phoneticPr fontId="6"/>
  </si>
  <si>
    <t>マキビシ・MD5</t>
    <phoneticPr fontId="6"/>
  </si>
  <si>
    <t>……排除する</t>
    <phoneticPr fontId="6"/>
  </si>
  <si>
    <t>やるな……</t>
    <phoneticPr fontId="6"/>
  </si>
  <si>
    <t>…毒斬り！</t>
    <rPh sb="1" eb="3">
      <t>dokugiri</t>
    </rPh>
    <phoneticPr fontId="6"/>
  </si>
  <si>
    <t>[effect:damage_anti_abnormal, target:unit_all, target_effect01:virus, val1:0.65, val2:0.35]</t>
    <phoneticPr fontId="6"/>
  </si>
  <si>
    <t>10ターン全ユニットにウィルス+
5ターン全ユニットのタップ回数を1DOWN+
属性パネルを緑のダメージパネルに5個変換</t>
    <rPh sb="30" eb="32">
      <t>カ</t>
    </rPh>
    <rPh sb="40" eb="42">
      <t>ゾクセ</t>
    </rPh>
    <rPh sb="46" eb="47">
      <t>ミドr</t>
    </rPh>
    <rPh sb="57" eb="58">
      <t>コ</t>
    </rPh>
    <rPh sb="58" eb="60">
      <t>ヘンk</t>
    </rPh>
    <phoneticPr fontId="6"/>
  </si>
  <si>
    <t>[effect:virus, target:unit_all, turn:10, rate:1, val:0.11, animation:enemy_virus],
[effect:degrade_unit, target:unit_all, turn:5, status:action, val:1, calc:add, animation:enemy_tap_down],
[effect:force_change_block, new_block:damage, target:normal, color:block_green, count:5, val:0.1, animation:change_bock]</t>
    <phoneticPr fontId="6"/>
  </si>
  <si>
    <t>[effect:break_attack_fix, target:unit_one, val:300, lowest_val:2000, count:-1, block01:block_red]</t>
    <phoneticPr fontId="6"/>
  </si>
  <si>
    <t>緑パネルを吸収して攻撃力UP+クリティカル！</t>
    <rPh sb="0" eb="1">
      <t>ミドr</t>
    </rPh>
    <rPh sb="11" eb="12">
      <t>リョk</t>
    </rPh>
    <phoneticPr fontId="6"/>
  </si>
  <si>
    <t>[effect:break_enchance_enemy, target:myself, val:300, lowest_val:3000, count:-1, status:defense, turn:-1, block01:block_yellow, calc:add, animation:enemy_enhance_defense],
[effect:critical, val:1.4, animation:enemy_critical]</t>
    <phoneticPr fontId="6"/>
  </si>
  <si>
    <t>[effect:break_enchance_enemy, target:myself, val:0.02, lowest_val:0.1, count:-1, status:attack, turn:-1, block01:block_green, calc:mul, animation:enemy_enhance_attack],
[effect:critical, val:1.5, animation:enemy_critical]</t>
    <phoneticPr fontId="6"/>
  </si>
  <si>
    <t>[effect:virus, target:unit_all, turn:6, rate:1, val:0.14, animation:enemy_virus],
[effect:force_change_block, new_block:damage, target:block_green, color:block_green, count:6, val:0.05, animation:change_bock]</t>
    <phoneticPr fontId="6"/>
  </si>
  <si>
    <t>避雷針の術</t>
    <rPh sb="0" eb="3">
      <t>ヒライシn</t>
    </rPh>
    <phoneticPr fontId="6"/>
  </si>
  <si>
    <t>…くらえ！</t>
    <phoneticPr fontId="6"/>
  </si>
  <si>
    <t>全兵装起動…！</t>
    <rPh sb="0" eb="3">
      <t>ゼンヘイソ</t>
    </rPh>
    <rPh sb="3" eb="5">
      <t>キド</t>
    </rPh>
    <phoneticPr fontId="6"/>
  </si>
  <si>
    <t>クリプトグラフィー</t>
    <phoneticPr fontId="6"/>
  </si>
  <si>
    <t>開幕　織田</t>
    <rPh sb="0" eb="2">
      <t>カイマk</t>
    </rPh>
    <rPh sb="3" eb="5">
      <t>オダ</t>
    </rPh>
    <phoneticPr fontId="6"/>
  </si>
  <si>
    <t>開幕　武田</t>
    <rPh sb="0" eb="2">
      <t>カイマk</t>
    </rPh>
    <rPh sb="3" eb="5">
      <t>タケd</t>
    </rPh>
    <phoneticPr fontId="6"/>
  </si>
  <si>
    <t>開幕　豊臣</t>
    <rPh sb="0" eb="2">
      <t>カイマk</t>
    </rPh>
    <rPh sb="3" eb="5">
      <t>トヨトm</t>
    </rPh>
    <phoneticPr fontId="6"/>
  </si>
  <si>
    <t>開幕　忍者</t>
    <rPh sb="0" eb="2">
      <t>カイマk</t>
    </rPh>
    <rPh sb="3" eb="5">
      <t>ニn</t>
    </rPh>
    <phoneticPr fontId="6"/>
  </si>
  <si>
    <t>撃破　織田</t>
    <rPh sb="3" eb="5">
      <t>オダ</t>
    </rPh>
    <phoneticPr fontId="6"/>
  </si>
  <si>
    <t>撃破　武田</t>
    <rPh sb="3" eb="5">
      <t>タケd</t>
    </rPh>
    <phoneticPr fontId="6"/>
  </si>
  <si>
    <t>撃破　豊臣</t>
    <rPh sb="3" eb="5">
      <t>トヨトm</t>
    </rPh>
    <phoneticPr fontId="6"/>
  </si>
  <si>
    <t>撃破　忍者</t>
    <rPh sb="3" eb="5">
      <t>ニn</t>
    </rPh>
    <phoneticPr fontId="6"/>
  </si>
  <si>
    <t>上杉謙信</t>
  </si>
  <si>
    <t>井伊直虎</t>
  </si>
  <si>
    <t>伊達政宗</t>
  </si>
  <si>
    <t>ガラシャ</t>
  </si>
  <si>
    <t>直江兼続</t>
  </si>
  <si>
    <t>森蘭丸</t>
  </si>
  <si>
    <t>武田信玄</t>
  </si>
  <si>
    <t>織田信長</t>
  </si>
  <si>
    <t>真田幸村</t>
  </si>
  <si>
    <t>望月千代女</t>
  </si>
  <si>
    <t>寧々</t>
  </si>
  <si>
    <t>千利休</t>
  </si>
  <si>
    <t>竹中半兵衛</t>
  </si>
  <si>
    <t>豊臣秀吉</t>
  </si>
  <si>
    <t>猿飛佐助</t>
  </si>
  <si>
    <t>忍者</t>
    <rPh sb="0" eb="2">
      <t>ニn</t>
    </rPh>
    <phoneticPr fontId="6"/>
  </si>
  <si>
    <t>任務…失敗……</t>
    <rPh sb="0" eb="5">
      <t>ニn</t>
    </rPh>
    <phoneticPr fontId="6"/>
  </si>
  <si>
    <t>[effect:virus, target:unit_all, turn:10, rate:1, val:0.13, animation:enemy_virus]</t>
    <phoneticPr fontId="6"/>
  </si>
  <si>
    <t>10ターン全ユニットにウィルス</t>
    <phoneticPr fontId="6"/>
  </si>
  <si>
    <t>[effect:tolerance, target:myself, turn:-1, count:-1, tolerance_effect:all, animation:enemy_tolerance],
[effect:virus, target:unit_all, turn:-1, rate:1, val:0.15, animation:enemy_virus],
[effect:degrade_unit, target:unit_all, turn:5, status:action, val:1, calc:add, animation:enemy_tap_down]</t>
    <phoneticPr fontId="6"/>
  </si>
  <si>
    <t>状態異常耐性+
解除するまで全ユニットにウィルス+
5ターン全ユニットのタップ回数を1DOWN</t>
    <phoneticPr fontId="6"/>
  </si>
  <si>
    <t>…忍術でオレに勝てるのか？</t>
    <rPh sb="1" eb="3">
      <t>ニンジュt</t>
    </rPh>
    <rPh sb="7" eb="8">
      <t>カt</t>
    </rPh>
    <phoneticPr fontId="6"/>
  </si>
  <si>
    <t>[effect:break_attack_fix, target:unit_all, val:150, lowest_val:1750, count:-1, block01:damage]</t>
    <phoneticPr fontId="6"/>
  </si>
  <si>
    <t>開幕　徳川</t>
    <rPh sb="0" eb="2">
      <t>カイマk</t>
    </rPh>
    <rPh sb="3" eb="5">
      <t>トクガw</t>
    </rPh>
    <phoneticPr fontId="6"/>
  </si>
  <si>
    <t>開幕　伊達</t>
    <rPh sb="0" eb="2">
      <t>カイマk</t>
    </rPh>
    <rPh sb="3" eb="5">
      <t>ダt</t>
    </rPh>
    <phoneticPr fontId="6"/>
  </si>
  <si>
    <t>開幕　明智</t>
    <rPh sb="0" eb="2">
      <t>カイマk</t>
    </rPh>
    <rPh sb="3" eb="5">
      <t>アケt</t>
    </rPh>
    <phoneticPr fontId="6"/>
  </si>
  <si>
    <t>開幕　上杉</t>
    <rPh sb="0" eb="2">
      <t>カイマk</t>
    </rPh>
    <rPh sb="3" eb="5">
      <t>ウ</t>
    </rPh>
    <phoneticPr fontId="6"/>
  </si>
  <si>
    <t>撃破　徳川</t>
    <rPh sb="3" eb="5">
      <t>トクガw</t>
    </rPh>
    <phoneticPr fontId="6"/>
  </si>
  <si>
    <t>撃破　伊達</t>
    <rPh sb="3" eb="5">
      <t>ダt</t>
    </rPh>
    <phoneticPr fontId="6"/>
  </si>
  <si>
    <t>撃破　明智</t>
    <rPh sb="3" eb="5">
      <t>アケt</t>
    </rPh>
    <phoneticPr fontId="6"/>
  </si>
  <si>
    <t>撃破　上杉</t>
    <rPh sb="3" eb="5">
      <t>ウ</t>
    </rPh>
    <phoneticPr fontId="6"/>
  </si>
  <si>
    <t>上杉謙信</t>
    <phoneticPr fontId="64"/>
  </si>
  <si>
    <t>望月の仲間か…</t>
    <rPh sb="0" eb="2">
      <t>モチヅk</t>
    </rPh>
    <rPh sb="3" eb="5">
      <t>ナk</t>
    </rPh>
    <phoneticPr fontId="6"/>
  </si>
  <si>
    <t>猿飛の仲間か…</t>
    <rPh sb="0" eb="2">
      <t>サルトb</t>
    </rPh>
    <phoneticPr fontId="6"/>
  </si>
  <si>
    <t>2ゲージ目開幕</t>
    <phoneticPr fontId="6"/>
  </si>
  <si>
    <t>1ゲージ目開幕</t>
    <phoneticPr fontId="6"/>
  </si>
  <si>
    <t>[effect:tolerance, target:myself, turn:-1, count:-1, tolerance_effect:all, animation:enemy_tolerance],
[effect:degrade_unit, target:unit_all, turn:5, status:action, val:1, calc:add, animation:enemy_tap_down],
[effect:hungup, target:unit_hp, turn:8, rate:1, animation:hungup01]</t>
    <phoneticPr fontId="6"/>
  </si>
  <si>
    <t>[effect:tolerance, target:myself, turn:-1, count:-1, tolerance_effect:all, animation:enemy_tolerance],
[effect:damage_gravity, val:0.8, animation:fevergauge_down],
[effect:virus, target:unit_all, turn:-1, rate:1, val:0.14, animation:enemy_virus],
[effect:hungup, target:unit_hp, turn:8, rate:1, animation:hungup01],
[effect:freq_turn, target:myself, turn:1, val:1, animation:enemy_freq_turn]</t>
    <phoneticPr fontId="6"/>
  </si>
  <si>
    <t>3ゲージ目開幕</t>
    <phoneticPr fontId="6"/>
  </si>
  <si>
    <t>オマエに忍術で負けるとは……</t>
    <rPh sb="4" eb="6">
      <t>ニンジュt</t>
    </rPh>
    <rPh sb="7" eb="8">
      <t>マk</t>
    </rPh>
    <phoneticPr fontId="6"/>
  </si>
  <si>
    <t>なぜオマエが立ちふさがる…</t>
    <rPh sb="6" eb="7">
      <t>タチh</t>
    </rPh>
    <phoneticPr fontId="6"/>
  </si>
  <si>
    <t>任務の為だ、覚悟しろ…！</t>
    <rPh sb="0" eb="2">
      <t>ニn</t>
    </rPh>
    <rPh sb="3" eb="4">
      <t>タメ</t>
    </rPh>
    <rPh sb="6" eb="8">
      <t>カクg</t>
    </rPh>
    <phoneticPr fontId="6"/>
  </si>
  <si>
    <t>まさかオマエに邪魔されるとは…</t>
    <rPh sb="7" eb="9">
      <t>ジャm</t>
    </rPh>
    <phoneticPr fontId="6"/>
  </si>
  <si>
    <t>無念…</t>
    <rPh sb="0" eb="2">
      <t>ムn</t>
    </rPh>
    <phoneticPr fontId="6"/>
  </si>
  <si>
    <t>信長敗北の噂は嘘だったのか…？</t>
    <rPh sb="0" eb="2">
      <t>ノブナg</t>
    </rPh>
    <rPh sb="2" eb="4">
      <t>ハイボクノウワ</t>
    </rPh>
    <rPh sb="7" eb="8">
      <t>ウs</t>
    </rPh>
    <phoneticPr fontId="6"/>
  </si>
  <si>
    <t>オマエも俺を止めるのか…</t>
    <rPh sb="4" eb="5">
      <t>オr</t>
    </rPh>
    <rPh sb="6" eb="7">
      <t>トm</t>
    </rPh>
    <phoneticPr fontId="6"/>
  </si>
  <si>
    <t>[effect:enemy_message, val1:1.9, val2:0.0]</t>
    <phoneticPr fontId="6"/>
  </si>
  <si>
    <t>[effect:enemy_message, val1:2.0, val2:0.0]</t>
    <phoneticPr fontId="6"/>
  </si>
  <si>
    <t>[effect:enemy_message, val1:1.7, val2:0.0]</t>
    <phoneticPr fontId="6"/>
  </si>
  <si>
    <t>豊臣勢</t>
  </si>
  <si>
    <t>武田勢</t>
  </si>
  <si>
    <t>信長勢</t>
  </si>
  <si>
    <t>上杉勢</t>
  </si>
  <si>
    <t>徳川家康</t>
  </si>
  <si>
    <t>伊達勢</t>
  </si>
  <si>
    <t>明智光秀</t>
  </si>
  <si>
    <t>上杉勢</t>
    <phoneticPr fontId="64"/>
  </si>
  <si>
    <t>忍者！</t>
    <rPh sb="0" eb="2">
      <t>ニn</t>
    </rPh>
    <phoneticPr fontId="6"/>
  </si>
  <si>
    <t>忍者！</t>
    <rPh sb="0" eb="2">
      <t>ニンj</t>
    </rPh>
    <phoneticPr fontId="6"/>
  </si>
  <si>
    <t>猿飛佐助</t>
    <phoneticPr fontId="6"/>
  </si>
  <si>
    <t>毒針スプレッド</t>
    <rPh sb="0" eb="2">
      <t>ドクハリ</t>
    </rPh>
    <phoneticPr fontId="6"/>
  </si>
  <si>
    <t>信長勢力はすでに滅んだと聞いたが…？</t>
    <rPh sb="0" eb="4">
      <t>ノブナg</t>
    </rPh>
    <rPh sb="8" eb="9">
      <t>ホロn</t>
    </rPh>
    <rPh sb="12" eb="13">
      <t>キイt</t>
    </rPh>
    <phoneticPr fontId="6"/>
  </si>
  <si>
    <t>オレンジは
下位難易で
ナーフしたとこ</t>
    <rPh sb="6" eb="10">
      <t>カイナn</t>
    </rPh>
    <phoneticPr fontId="6"/>
  </si>
  <si>
    <t>[effect:damage_anti_abnormal, target:unit_all, target_effect01:virus, val1:1.0, val2:0.7]</t>
    <phoneticPr fontId="6"/>
  </si>
  <si>
    <t>[effect:break_attack_fix, target:unit_one, val:200, lowest_val:1000, count:-1, block01:block_red]</t>
    <phoneticPr fontId="6"/>
  </si>
  <si>
    <t>[effect:enhance_enemy, target:myself, turn:5, status:defense, val:2000, calc:add, animation:enemy_enhance_defense]</t>
    <phoneticPr fontId="6"/>
  </si>
  <si>
    <t>[effect:dark, target:unit_all, turn:2, animation:enemy_dark]</t>
    <phoneticPr fontId="6"/>
  </si>
  <si>
    <t>2ターン暗闇</t>
    <phoneticPr fontId="6"/>
  </si>
  <si>
    <t>5ターン自身の防御力UP</t>
    <rPh sb="4" eb="6">
      <t>ジシn</t>
    </rPh>
    <phoneticPr fontId="6"/>
  </si>
  <si>
    <t>[effect:break_attack_fix, target:unit_all, val:100, lowest_val:750, count:-1, block01:damage]</t>
    <phoneticPr fontId="6"/>
  </si>
  <si>
    <t>[effect:break_enchance_enemy, target:myself, val:150, lowest_val:1500, count:-1, status:defense, turn:-1, block01:block_yellow, calc:add, animation:enemy_enhance_defense],
[effect:critical, val:1.4, animation:enemy_critical]</t>
    <phoneticPr fontId="6"/>
  </si>
  <si>
    <t>[effect:damage_abnormal, target:unit_one, val:0.7, status:attack, turn:1, val_abnormal:0.5, calc:mul, animation:attack_break01],
[effect:damage_abnormal, target:unit_one, val:0.7, status:attack, turn:1, val_abnormal:0.5, calc:mul, animation:attack_break01]</t>
    <phoneticPr fontId="6"/>
  </si>
  <si>
    <t>状態異常耐性+
解除するまで全ユニットにウィルス+
3ターン全ユニットのタップ回数を1DOWN</t>
    <phoneticPr fontId="6"/>
  </si>
  <si>
    <t>全体攻撃+
3ターン全ユニットの回復力25%DOWN
【超強力な攻撃まであと3ターン！！】</t>
    <phoneticPr fontId="6"/>
  </si>
  <si>
    <t>[effect:spread, val:0.25],[effect:degrade_unit, target:unit_all, turn:3, status:heal, val:0.25, calc:mul, animation:degrade_unit_all_heal]</t>
    <phoneticPr fontId="6"/>
  </si>
  <si>
    <t xml:space="preserve">[effect:break_attack_fix, target:unit_all, val:150, lowest_val:500, count:-1, block01:damage]    </t>
    <phoneticPr fontId="6"/>
  </si>
  <si>
    <t>[effect:break_attack_fix, target:unit_all, val:150, lowest_val:250, count:-1, block01:block_red]</t>
    <phoneticPr fontId="6"/>
  </si>
  <si>
    <t>[effect:spread, val:0.4],[effect:degrade_unit, target:unit_all, turn:2, status:heal, val:0.25, calc:mul, animation:degrade_unit_all_heal]</t>
    <phoneticPr fontId="6"/>
  </si>
  <si>
    <t>全体攻撃+
2ターン全ユニットの回復力25%DOWN</t>
    <rPh sb="10" eb="11">
      <t>ゼn</t>
    </rPh>
    <phoneticPr fontId="6"/>
  </si>
  <si>
    <t>full_member</t>
    <phoneticPr fontId="6"/>
  </si>
  <si>
    <t>bit</t>
  </si>
  <si>
    <t>null</t>
  </si>
  <si>
    <t>link</t>
  </si>
  <si>
    <t>unit</t>
  </si>
  <si>
    <t>全パネルをハートボムパネルに変換+
特定エリアを緑のダメージパネルに変換</t>
    <rPh sb="18" eb="20">
      <t>トクテ</t>
    </rPh>
    <phoneticPr fontId="6"/>
  </si>
  <si>
    <t>2回連続攻撃+
1ターンユニット1〜2体の攻撃力50%DOWN</t>
    <phoneticPr fontId="6"/>
  </si>
  <si>
    <t>状態異常耐性+
5ターン全ユニットのタップ回数を1DOWN+
8ターン体力タイプのユニットにスキルバインド</t>
    <rPh sb="35" eb="37">
      <t>タイリョクタイ</t>
    </rPh>
    <phoneticPr fontId="6"/>
  </si>
  <si>
    <t>[effect:virus, target:unit_all, turn:8, rate:1, val:0.08, animation:enemy_virus],
[effect:fix_speed, target:myself, turn:2]</t>
    <phoneticPr fontId="6"/>
  </si>
  <si>
    <t>[effect:damage_anti_abnormal, target:unit_all, target_effect01:virus, val1:0.45, val2:0.3]</t>
    <phoneticPr fontId="6"/>
  </si>
  <si>
    <t>8ターン全ユニットにウィルス</t>
    <phoneticPr fontId="6"/>
  </si>
  <si>
    <t>6ターン全ユニットにウィルス+
3ターン全ユニットのタップ回数を1DOWN+
属性パネルを緑のダメージパネルに3個変換</t>
    <rPh sb="29" eb="31">
      <t>カ</t>
    </rPh>
    <rPh sb="39" eb="41">
      <t>ゾクセ</t>
    </rPh>
    <rPh sb="45" eb="46">
      <t>ミドr</t>
    </rPh>
    <rPh sb="56" eb="57">
      <t>コ</t>
    </rPh>
    <rPh sb="57" eb="59">
      <t>ヘンk</t>
    </rPh>
    <phoneticPr fontId="6"/>
  </si>
  <si>
    <t>[effect:virus, target:unit_all, turn:6, rate:1, val:0.09, animation:enemy_virus],
[effect:degrade_unit, target:unit_all, turn:3, status:action, val:1, calc:add, animation:enemy_tap_down],
[effect:force_change_block, new_block:damage, target:normal, color:block_green, count:3, val:0.07, animation:change_bock]</t>
    <phoneticPr fontId="6"/>
  </si>
  <si>
    <t>[effect:damage_anti_abnormal, target:unit_all, target_effect01:virus, val1:0.5, val2:0.35]</t>
    <phoneticPr fontId="6"/>
  </si>
  <si>
    <t>[effect:break_attack_fix, target:unit_one, val:120, lowest_val:1500, count:-1, block01:block_red]</t>
    <phoneticPr fontId="6"/>
  </si>
  <si>
    <t>5回連続攻撃 +
緑パネルを黄のダメージパネルに4個変換</t>
    <rPh sb="1" eb="2">
      <t>k</t>
    </rPh>
    <rPh sb="9" eb="10">
      <t>ミドr</t>
    </rPh>
    <rPh sb="14" eb="15">
      <t>キ</t>
    </rPh>
    <rPh sb="25" eb="28">
      <t>k</t>
    </rPh>
    <phoneticPr fontId="6"/>
  </si>
  <si>
    <t>[effect:rush, count:5, val:0.2],
[effect:force_change_block, new_block:damage, target:block_green, color:block_yellow, count:4, val:0.05, animation:change_bock]</t>
    <phoneticPr fontId="6"/>
  </si>
  <si>
    <t>[effect:virus, target:unit_all, turn:8, rate:1, val:0.1, animation:enemy_virus]</t>
    <phoneticPr fontId="6"/>
  </si>
  <si>
    <t>単体攻撃+青パネルを赤のダメージパネルに4個変換</t>
    <phoneticPr fontId="6"/>
  </si>
  <si>
    <t>[effect:rush, count:1, val:1.0],[effect:force_change_block, new_block:damage, target:block_blue, color:block_red, count:4, val:0.1, animation:change_bock]</t>
    <phoneticPr fontId="6"/>
  </si>
  <si>
    <t>[effect:tolerance, target:myself, turn:-1, count:-1, tolerance_effect:all, animation:enemy_tolerance],
[effect:damage_gravity, val:0.8, animation:fevergauge_down],
[effect:virus, target:unit_all, turn:-1, rate:1, val:0.14, animation:enemy_virus],
[effect:hungup, target:unit_hp, turn:5, rate:1, animation:hungup01],
[effect:freq_turn, target:myself, turn:1, val:1, animation:enemy_freq_turn]</t>
  </si>
  <si>
    <t>[effect:damage_anti_abnormal, target:unit_all, target_effect01:virus, val1:0.9, val2:0.5]</t>
    <phoneticPr fontId="6"/>
  </si>
  <si>
    <t>状態異常耐性+
3ターン全ユニットのタップ回数を1DOWN+
5ターン体力タイプのユニットにスキルバインド</t>
    <rPh sb="35" eb="37">
      <t>タイリョクタイ</t>
    </rPh>
    <phoneticPr fontId="6"/>
  </si>
  <si>
    <t>[effect:tolerance, target:myself, turn:-1, count:-1, tolerance_effect:all, animation:enemy_tolerance],
[effect:degrade_unit, target:unit_all, turn:3, status:action, val:1, calc:add, animation:enemy_tap_down],
[effect:hungup, target:unit_hp, turn:5, rate:1, animation:hungup01]</t>
    <phoneticPr fontId="6"/>
  </si>
  <si>
    <t>5ターン全ユニットにウィルス+
緑パネルを緑のダメージパネルに5個変換</t>
    <rPh sb="16" eb="17">
      <t>ミドr</t>
    </rPh>
    <rPh sb="21" eb="22">
      <t>ミドr</t>
    </rPh>
    <rPh sb="32" eb="35">
      <t>k</t>
    </rPh>
    <phoneticPr fontId="6"/>
  </si>
  <si>
    <t>[effect:virus, target:unit_all, turn:5, rate:1, val:0.14, animation:enemy_virus],
[effect:force_change_block, new_block:damage, target:block_green, color:block_green, count:5, val:0.05, animation:change_bock]</t>
    <phoneticPr fontId="6"/>
  </si>
  <si>
    <t>[effect:tolerance, target:myself, turn:-1, count:-1, tolerance_effect:all, animation:enemy_tolerance],
[effect:virus, target:unit_all, turn:-1, rate:1, val:0.12, animation:enemy_virus],
[effect:degrade_unit, target:unit_all, turn:3, status:action, val:1, calc:add, animation:enemy_tap_down]</t>
    <phoneticPr fontId="6"/>
  </si>
  <si>
    <t>属性パネルを緑のダメージパネルに8個変換</t>
    <phoneticPr fontId="6"/>
  </si>
  <si>
    <t>[effect:force_change_block, new_block:damage, target:normal, color:block_green, count:8, val:0.08, animation:change_bock]</t>
    <phoneticPr fontId="6"/>
  </si>
  <si>
    <t>[effect:damage_anti_abnormal, target:unit_all, target_effect01:virus, val1:0.9, val2:0.55]</t>
    <phoneticPr fontId="6"/>
  </si>
  <si>
    <t>青パネルを緑のダメージパネルに4個変換</t>
    <rPh sb="0" eb="1">
      <t>ア</t>
    </rPh>
    <phoneticPr fontId="6"/>
  </si>
  <si>
    <t>[effect:force_change_block, new_block:damage, target:block_blue, color:block_green, count:4, val:0.08, animation:change_bock]</t>
    <phoneticPr fontId="6"/>
  </si>
  <si>
    <t>[effect:enemy_message, val1:1.2, val2:6.1]</t>
  </si>
  <si>
    <t>- / -</t>
  </si>
  <si>
    <t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t>
  </si>
  <si>
    <t>自分自身に / 状態異常耐性</t>
  </si>
  <si>
    <t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t>
  </si>
  <si>
    <t>- / 割合ダメージ</t>
  </si>
  <si>
    <t>ヒュウガ…</t>
    <phoneticPr fontId="6"/>
  </si>
  <si>
    <t>竜巻の術</t>
    <rPh sb="0" eb="2">
      <t>タツマk</t>
    </rPh>
    <rPh sb="3" eb="4">
      <t>ジュt</t>
    </rPh>
    <phoneticPr fontId="6"/>
  </si>
  <si>
    <t>臨…兵…闘…者…皆…陣…裂…在…前…</t>
  </si>
  <si>
    <t>服部半蔵は忍びたちのトップとして
密命によって暗躍していました
戦闘となれば多彩な術で敵を圧倒します</t>
    <phoneticPr fontId="6"/>
  </si>
  <si>
    <t>暗躍の経緯</t>
  </si>
  <si>
    <t>服部半蔵は密命によって
秀吉や武田勢力の動向を探っており
秀吉がAIの力を欲している事を
突き止めました</t>
    <phoneticPr fontId="6"/>
  </si>
  <si>
    <t>服部半蔵は密命によって
秀吉や武田勢力の動向を探っており
秀吉がAIの力を欲している事を
突き止めました</t>
  </si>
  <si>
    <t>ALICEには他にも忍者が存在します
その中でも同世代の猿飛佐助は
服部半蔵をライバル視し
会うたびに勝負を挑んでいます</t>
  </si>
  <si>
    <t>ALICEには他にも忍者が存在します
その中でも同世代の猿飛佐助は
服部半蔵をライバル視し
会うたびに勝負を挑んでいます</t>
    <phoneticPr fontId="6"/>
  </si>
  <si>
    <t>沢庵宗彭はウィルス状態のユニットに
大ダメージのスキルを使用します
ウィルスを解除か無効にできない場合は
沢庵宗彭から倒すと有利に戦えます</t>
  </si>
  <si>
    <t>沢庵宗彭はウィルス状態のユニットに
大ダメージのスキルを使用します
ウィルスを解除か無効にできない場合は
沢庵宗彭から倒すと有利に戦えます</t>
    <phoneticPr fontId="6"/>
  </si>
  <si>
    <t>2フロア目の敵は1体倒すと
残っている敵の能力があがります
同時に倒すか防御力UPスキルなどで
猛攻を耐えられるようにしましょう</t>
  </si>
  <si>
    <t>2フロア目の敵は1体倒すと
残っている敵の能力があがります
同時に倒すか防御力UPスキルなどで
猛攻を耐えられるようにしましょう</t>
    <phoneticPr fontId="6"/>
  </si>
  <si>
    <t>影丸は数が多く複数が同時に行動します
スキルやフィーバーを使って
素早く数を減らすと戦いやすくなります</t>
  </si>
  <si>
    <t>影丸は数が多く複数が同時に行動します
スキルやフィーバーを使って
素早く数を減らすと戦いやすくなります</t>
    <phoneticPr fontId="6"/>
  </si>
  <si>
    <t>1ゲージ目のパネル全変換スキルは
ダメージパネル吸収や変換スキルを使うか
回復力のあるユニットで突破しましょう</t>
  </si>
  <si>
    <t>1ゲージ目のパネル全変換スキルは
ダメージパネル吸収や変換スキルを使うか
回復力のあるユニットで突破しましょう</t>
    <phoneticPr fontId="6"/>
  </si>
  <si>
    <t>服部半蔵は体力タイプのユニットに対し
強力なスキルバインドを使用します
パーティ編成に注意しましょう</t>
  </si>
  <si>
    <t>服部半蔵は体力タイプのユニットに対し
強力なスキルバインドを使用します
パーティ編成に注意しましょう</t>
    <phoneticPr fontId="6"/>
  </si>
  <si>
    <t>服部半蔵は忍びたちのトップとして
密命によって暗躍していました
戦闘となれば多彩な術で敵を圧倒します</t>
  </si>
  <si>
    <t>竜巻の術</t>
    <phoneticPr fontId="6"/>
  </si>
  <si>
    <t>こちらの動向に気づいていたか…</t>
    <rPh sb="7" eb="8">
      <t>キヅ</t>
    </rPh>
    <phoneticPr fontId="6"/>
  </si>
  <si>
    <t>黄パネルを吸収して防御力UP+クリティカル！</t>
    <rPh sb="0" eb="1">
      <t>キ</t>
    </rPh>
    <rPh sb="11" eb="12">
      <t>リョk</t>
    </rPh>
    <phoneticPr fontId="6"/>
  </si>
  <si>
    <t>黄パネルを吸収して防御力大UP+クリティカル！</t>
    <rPh sb="0" eb="1">
      <t>キ</t>
    </rPh>
    <rPh sb="11" eb="12">
      <t>リョk</t>
    </rPh>
    <rPh sb="12" eb="13">
      <t>ダ</t>
    </rPh>
    <phoneticPr fontId="6"/>
  </si>
  <si>
    <t>服部半蔵の3ゲージ目は
一定以下のHPになると
数ターン後超強力な全体攻撃を使用します
予告の後は一気に倒し切りましょう</t>
    <phoneticPr fontId="6"/>
  </si>
  <si>
    <t>[effect:tolerance, target:myself, turn:-1, count:-1, tolerance_effect:all, animation:enemy_tolerance],
[effect:damage_gravity, val:0.8, animation:fevergauge_down],
[effect:virus, target:unit_all, turn:-1, rate:1, val:0.14, animation:enemy_virus],
[effect:hungup, target:unit_hp, turn:5, rate:1, animation:hungup01],
[effect:freq_turn, target:myself, turn:1, val:1, animation:enemy_freq_turn]</t>
    <phoneticPr fontId="6"/>
  </si>
  <si>
    <t>[effect:enemy_message, val1:2.0, val2:0.0]</t>
    <phoneticPr fontId="6"/>
  </si>
  <si>
    <t>我が妙技を受けよ！</t>
    <phoneticPr fontId="6"/>
  </si>
  <si>
    <t>状態異常耐性+残りHPの80%ダメージ！+
解除するまで全ユニットにウィルス+
8ターン体力タイプのユニットにスキルバインド</t>
    <phoneticPr fontId="6"/>
  </si>
  <si>
    <t>状態異常耐性+残りHPの80%ダメージ！+
解除するまで全ユニットにウィルス+
5ターン体力タイプのユニットにスキルバインド</t>
    <phoneticPr fontId="6"/>
  </si>
  <si>
    <t>起爆型十字手裏剣</t>
  </si>
  <si>
    <t>起爆型手裏剣</t>
  </si>
  <si>
    <t>[effect:force_change_block, new_block:crack_bomb, target:block_all, color:block_heart, count:0, val:13, animation:change_block],
[effect:change_range_block, block_change:1, base_type:0, square_count:7, 
position01:0, value_h01:7, value_w01:1, 
position02:16, value_h02:5, value_w02:1, 
position03:4, value_h03:5, value_w03:1, 
position04:6, value_h04:7, value_w04:1, 
new_block:damage, target:block_all, ignore01:block_negative, color:block_green, count:20, val:0.03, animation:change_range_block]</t>
    <phoneticPr fontId="6"/>
  </si>
  <si>
    <t>[effect:force_change_block, new_block:crack_bomb, target:block_all, color:block_heart, count:0, val:13, animation:change_block],
[effect:change_range_block, block_change:1, base_type:0, square_count:7, 
position01:0, value_h01:7, value_w01:1, 
position02:16, value_h02:5, value_w02:1, 
position03:4, value_h03:5, value_w03:1, 
position04:6, value_h04:7, value_w04:1, 
new_block:damage, target:block_all, ignore01:block_negative, color:block_green, count:20, val:0.04, animation:change_range_block]</t>
    <phoneticPr fontId="6"/>
  </si>
  <si>
    <t>[effect:enemy_message, val1:2.2, val2:3.1]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</si>
</sst>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7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6"/>
      <color theme="1"/>
      <name val="ＭＳ Ｐゴシック"/>
      <family val="2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4"/>
      <color rgb="FFFF0000"/>
      <name val="ＭＳ Ｐゴシック"/>
      <family val="2"/>
      <charset val="128"/>
      <scheme val="minor"/>
    </font>
    <font>
      <sz val="20"/>
      <color theme="1"/>
      <name val="ＭＳ Ｐゴシック"/>
      <family val="2"/>
      <charset val="128"/>
      <scheme val="minor"/>
    </font>
    <font>
      <sz val="20"/>
      <color rgb="FFFF0000"/>
      <name val="ＭＳ Ｐゴシック"/>
      <family val="3"/>
      <charset val="128"/>
      <scheme val="minor"/>
    </font>
    <font>
      <sz val="12"/>
      <color rgb="FF454545"/>
      <name val=".Hiragino Kaku Gothic Interface"/>
      <family val="2"/>
    </font>
    <font>
      <sz val="10"/>
      <color theme="8"/>
      <name val="ＭＳ Ｐゴシック"/>
      <family val="3"/>
      <charset val="128"/>
      <scheme val="minor"/>
    </font>
    <font>
      <sz val="14"/>
      <color theme="8"/>
      <name val="ＭＳ Ｐゴシック"/>
      <family val="3"/>
      <charset val="128"/>
      <scheme val="minor"/>
    </font>
    <font>
      <sz val="6"/>
      <name val="MS PGothic"/>
      <family val="3"/>
      <charset val="128"/>
    </font>
    <font>
      <sz val="12"/>
      <color theme="8"/>
      <name val="ＭＳ Ｐゴシック"/>
      <family val="3"/>
      <charset val="128"/>
      <scheme val="minor"/>
    </font>
    <font>
      <sz val="14"/>
      <color rgb="FF0070C0"/>
      <name val="ＭＳ Ｐゴシック"/>
      <family val="2"/>
      <charset val="128"/>
      <scheme val="minor"/>
    </font>
    <font>
      <sz val="10"/>
      <color rgb="FF0070C0"/>
      <name val="ＭＳ Ｐゴシック"/>
      <family val="2"/>
      <charset val="128"/>
      <scheme val="minor"/>
    </font>
    <font>
      <sz val="12"/>
      <color rgb="FF0070C0"/>
      <name val="ＭＳ Ｐゴシック"/>
      <family val="3"/>
      <charset val="128"/>
      <scheme val="minor"/>
    </font>
    <font>
      <sz val="20"/>
      <color rgb="FF0070C0"/>
      <name val="ＭＳ Ｐゴシック"/>
      <family val="3"/>
      <charset val="128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2E8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8" tint="0.79998168889431442"/>
        <bgColor rgb="FFFFF2CC"/>
      </patternFill>
    </fill>
    <fill>
      <patternFill patternType="solid">
        <fgColor theme="9" tint="0.79998168889431442"/>
        <bgColor rgb="FFFFF2CC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9.9978637043366805E-2"/>
        <bgColor rgb="FFFFF2CC"/>
      </patternFill>
    </fill>
    <fill>
      <patternFill patternType="solid">
        <fgColor rgb="FFFFE2E8"/>
        <bgColor rgb="FFFFF2CC"/>
      </patternFill>
    </fill>
    <fill>
      <patternFill patternType="solid">
        <fgColor rgb="FFB7A8EF"/>
        <bgColor rgb="FFFFF2CC"/>
      </patternFill>
    </fill>
    <fill>
      <patternFill patternType="solid">
        <fgColor rgb="FF002060"/>
        <bgColor rgb="FFFFF2CC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59999389629810485"/>
        <bgColor rgb="FF000000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21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9" fillId="0" borderId="0"/>
    <xf numFmtId="38" fontId="20" fillId="0" borderId="0" applyFill="0" applyBorder="0" applyAlignment="0" applyProtection="0"/>
    <xf numFmtId="0" fontId="21" fillId="8" borderId="0" applyNumberFormat="0" applyBorder="0" applyAlignment="0" applyProtection="0"/>
    <xf numFmtId="0" fontId="22" fillId="9" borderId="0" applyNumberFormat="0" applyBorder="0" applyAlignment="0" applyProtection="0"/>
    <xf numFmtId="0" fontId="23" fillId="0" borderId="0"/>
    <xf numFmtId="0" fontId="24" fillId="0" borderId="0">
      <alignment vertical="center"/>
    </xf>
    <xf numFmtId="0" fontId="25" fillId="0" borderId="0">
      <alignment vertical="center"/>
    </xf>
    <xf numFmtId="0" fontId="26" fillId="10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2" fillId="0" borderId="0" applyFont="0" applyFill="0" applyBorder="0" applyAlignment="0" applyProtection="0">
      <alignment vertical="center"/>
    </xf>
    <xf numFmtId="0" fontId="33" fillId="16" borderId="13" applyNumberFormat="0" applyAlignment="0" applyProtection="0"/>
    <xf numFmtId="0" fontId="34" fillId="17" borderId="0" applyNumberFormat="0" applyBorder="0" applyAlignment="0" applyProtection="0"/>
    <xf numFmtId="0" fontId="35" fillId="18" borderId="14" applyNumberFormat="0" applyAlignment="0" applyProtection="0"/>
    <xf numFmtId="0" fontId="36" fillId="0" borderId="0" applyNumberFormat="0" applyFill="0" applyBorder="0" applyAlignment="0" applyProtection="0"/>
    <xf numFmtId="0" fontId="37" fillId="19" borderId="0" applyNumberFormat="0" applyBorder="0" applyAlignment="0" applyProtection="0"/>
    <xf numFmtId="0" fontId="38" fillId="20" borderId="15" applyNumberFormat="0" applyAlignment="0" applyProtection="0"/>
    <xf numFmtId="0" fontId="39" fillId="0" borderId="0" applyNumberFormat="0" applyFill="0" applyBorder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2" fillId="0" borderId="18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0" applyNumberFormat="0" applyBorder="0" applyAlignment="0" applyProtection="0"/>
    <xf numFmtId="0" fontId="43" fillId="17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2" borderId="0" applyNumberFormat="0" applyBorder="0" applyAlignment="0" applyProtection="0"/>
    <xf numFmtId="0" fontId="43" fillId="16" borderId="0" applyNumberFormat="0" applyBorder="0" applyAlignment="0" applyProtection="0"/>
    <xf numFmtId="0" fontId="43" fillId="18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4" borderId="0" applyNumberFormat="0" applyBorder="0" applyAlignment="0" applyProtection="0"/>
    <xf numFmtId="0" fontId="43" fillId="1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5" borderId="0" applyNumberFormat="0" applyBorder="0" applyAlignment="0" applyProtection="0"/>
    <xf numFmtId="0" fontId="44" fillId="17" borderId="0" applyNumberFormat="0" applyBorder="0" applyAlignment="0" applyProtection="0"/>
    <xf numFmtId="0" fontId="36" fillId="0" borderId="0" applyNumberFormat="0" applyFill="0" applyBorder="0" applyAlignment="0" applyProtection="0"/>
    <xf numFmtId="0" fontId="44" fillId="25" borderId="0" applyNumberFormat="0" applyBorder="0" applyAlignment="0" applyProtection="0"/>
    <xf numFmtId="0" fontId="44" fillId="26" borderId="0" applyNumberFormat="0" applyBorder="0" applyAlignment="0" applyProtection="0"/>
    <xf numFmtId="0" fontId="44" fillId="21" borderId="0" applyNumberFormat="0" applyBorder="0" applyAlignment="0" applyProtection="0"/>
    <xf numFmtId="0" fontId="44" fillId="27" borderId="0" applyNumberFormat="0" applyBorder="0" applyAlignment="0" applyProtection="0"/>
    <xf numFmtId="0" fontId="44" fillId="25" borderId="0" applyNumberFormat="0" applyBorder="0" applyAlignment="0" applyProtection="0"/>
    <xf numFmtId="0" fontId="44" fillId="23" borderId="0" applyNumberFormat="0" applyBorder="0" applyAlignment="0" applyProtection="0"/>
    <xf numFmtId="0" fontId="45" fillId="28" borderId="0" applyNumberFormat="0" applyBorder="0" applyAlignment="0" applyProtection="0"/>
    <xf numFmtId="0" fontId="34" fillId="17" borderId="0" applyNumberFormat="0" applyBorder="0" applyAlignment="0" applyProtection="0"/>
    <xf numFmtId="0" fontId="46" fillId="0" borderId="19" applyNumberFormat="0" applyFill="0" applyAlignment="0" applyProtection="0"/>
    <xf numFmtId="0" fontId="47" fillId="18" borderId="20" applyNumberFormat="0" applyAlignment="0" applyProtection="0"/>
    <xf numFmtId="0" fontId="47" fillId="29" borderId="20" applyNumberFormat="0" applyAlignment="0" applyProtection="0"/>
    <xf numFmtId="0" fontId="35" fillId="17" borderId="14" applyNumberFormat="0" applyAlignment="0" applyProtection="0"/>
    <xf numFmtId="0" fontId="48" fillId="0" borderId="21" applyNumberFormat="0" applyFill="0" applyAlignment="0" applyProtection="0"/>
    <xf numFmtId="0" fontId="49" fillId="29" borderId="14" applyNumberFormat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1" fillId="0" borderId="22" applyNumberFormat="0" applyFill="0" applyAlignment="0" applyProtection="0"/>
    <xf numFmtId="0" fontId="2" fillId="0" borderId="0"/>
    <xf numFmtId="0" fontId="2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318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7" fillId="5" borderId="3" xfId="0" applyFont="1" applyFill="1" applyBorder="1" applyAlignment="1">
      <alignment vertical="center"/>
    </xf>
    <xf numFmtId="0" fontId="9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7" fillId="5" borderId="1" xfId="0" applyFont="1" applyFill="1" applyBorder="1" applyAlignment="1">
      <alignment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5" fillId="3" borderId="7" xfId="0" applyFont="1" applyFill="1" applyBorder="1" applyAlignment="1">
      <alignment horizontal="center" vertical="center"/>
    </xf>
    <xf numFmtId="0" fontId="13" fillId="7" borderId="0" xfId="0" applyFont="1" applyFill="1" applyAlignment="1">
      <alignment vertical="center"/>
    </xf>
    <xf numFmtId="0" fontId="7" fillId="5" borderId="9" xfId="0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0" fontId="13" fillId="0" borderId="0" xfId="0" applyFont="1" applyFill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3" xfId="0" applyNumberFormat="1" applyFont="1" applyFill="1" applyBorder="1" applyAlignment="1">
      <alignment horizontal="center" vertical="center"/>
    </xf>
    <xf numFmtId="0" fontId="7" fillId="3" borderId="7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177" fontId="9" fillId="0" borderId="4" xfId="0" applyNumberFormat="1" applyFont="1" applyBorder="1" applyAlignment="1">
      <alignment vertical="center"/>
    </xf>
    <xf numFmtId="0" fontId="5" fillId="2" borderId="7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3" borderId="8" xfId="0" applyFont="1" applyFill="1" applyBorder="1" applyAlignment="1">
      <alignment horizontal="left" vertical="center"/>
    </xf>
    <xf numFmtId="0" fontId="5" fillId="3" borderId="10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vertical="center"/>
    </xf>
    <xf numFmtId="0" fontId="15" fillId="7" borderId="0" xfId="0" applyFont="1" applyFill="1" applyAlignment="1">
      <alignment vertical="center"/>
    </xf>
    <xf numFmtId="0" fontId="17" fillId="6" borderId="7" xfId="0" applyFont="1" applyFill="1" applyBorder="1" applyAlignment="1">
      <alignment horizontal="center" vertical="center"/>
    </xf>
    <xf numFmtId="0" fontId="17" fillId="3" borderId="7" xfId="0" applyFont="1" applyFill="1" applyBorder="1" applyAlignment="1">
      <alignment horizontal="center" vertical="center"/>
    </xf>
    <xf numFmtId="0" fontId="12" fillId="6" borderId="7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3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vertical="center"/>
    </xf>
    <xf numFmtId="0" fontId="17" fillId="3" borderId="7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>
      <alignment horizontal="left" vertical="center" wrapText="1"/>
    </xf>
    <xf numFmtId="14" fontId="17" fillId="0" borderId="7" xfId="0" applyNumberFormat="1" applyFont="1" applyFill="1" applyBorder="1" applyAlignment="1">
      <alignment horizontal="left" vertical="center"/>
    </xf>
    <xf numFmtId="0" fontId="12" fillId="6" borderId="2" xfId="0" applyFont="1" applyFill="1" applyBorder="1" applyAlignment="1">
      <alignment horizontal="center" vertical="center"/>
    </xf>
    <xf numFmtId="0" fontId="14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7" fillId="12" borderId="7" xfId="0" applyFont="1" applyFill="1" applyBorder="1"/>
    <xf numFmtId="0" fontId="14" fillId="11" borderId="7" xfId="434" applyFont="1" applyFill="1" applyBorder="1" applyAlignment="1"/>
    <xf numFmtId="0" fontId="25" fillId="0" borderId="7" xfId="434" applyBorder="1" applyAlignment="1"/>
    <xf numFmtId="0" fontId="17" fillId="3" borderId="7" xfId="0" applyFont="1" applyFill="1" applyBorder="1" applyAlignment="1">
      <alignment horizontal="left" vertical="center" wrapText="1"/>
    </xf>
    <xf numFmtId="0" fontId="17" fillId="6" borderId="7" xfId="614" applyFont="1" applyFill="1" applyBorder="1" applyAlignment="1">
      <alignment horizontal="left"/>
    </xf>
    <xf numFmtId="0" fontId="15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3" fillId="11" borderId="7" xfId="615" applyFill="1" applyBorder="1"/>
    <xf numFmtId="0" fontId="5" fillId="0" borderId="7" xfId="0" applyFont="1" applyBorder="1" applyAlignment="1">
      <alignment vertical="center"/>
    </xf>
    <xf numFmtId="0" fontId="0" fillId="3" borderId="7" xfId="0" applyFill="1" applyBorder="1"/>
    <xf numFmtId="0" fontId="17" fillId="3" borderId="7" xfId="614" applyFont="1" applyFill="1" applyBorder="1" applyAlignment="1">
      <alignment horizontal="left"/>
    </xf>
    <xf numFmtId="0" fontId="17" fillId="6" borderId="7" xfId="0" applyFont="1" applyFill="1" applyBorder="1" applyAlignment="1">
      <alignment horizontal="center"/>
    </xf>
    <xf numFmtId="56" fontId="17" fillId="6" borderId="7" xfId="0" applyNumberFormat="1" applyFont="1" applyFill="1" applyBorder="1" applyAlignment="1">
      <alignment horizontal="center"/>
    </xf>
    <xf numFmtId="0" fontId="3" fillId="0" borderId="0" xfId="615"/>
    <xf numFmtId="0" fontId="28" fillId="6" borderId="7" xfId="0" applyFont="1" applyFill="1" applyBorder="1" applyAlignment="1">
      <alignment horizontal="center"/>
    </xf>
    <xf numFmtId="0" fontId="17" fillId="3" borderId="7" xfId="0" applyFont="1" applyFill="1" applyBorder="1" applyAlignment="1">
      <alignment horizontal="center"/>
    </xf>
    <xf numFmtId="0" fontId="17" fillId="14" borderId="7" xfId="0" applyFont="1" applyFill="1" applyBorder="1" applyAlignment="1">
      <alignment horizontal="center"/>
    </xf>
    <xf numFmtId="0" fontId="17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3" borderId="12" xfId="0" applyFont="1" applyFill="1" applyBorder="1" applyAlignment="1">
      <alignment vertical="center"/>
    </xf>
    <xf numFmtId="0" fontId="31" fillId="0" borderId="7" xfId="0" applyFont="1" applyFill="1" applyBorder="1"/>
    <xf numFmtId="0" fontId="30" fillId="0" borderId="12" xfId="0" applyFont="1" applyFill="1" applyBorder="1" applyAlignment="1">
      <alignment vertical="center"/>
    </xf>
    <xf numFmtId="0" fontId="31" fillId="14" borderId="7" xfId="0" applyFont="1" applyFill="1" applyBorder="1"/>
    <xf numFmtId="0" fontId="32" fillId="0" borderId="7" xfId="0" applyFont="1" applyFill="1" applyBorder="1"/>
    <xf numFmtId="0" fontId="28" fillId="0" borderId="0" xfId="0" applyFont="1" applyFill="1"/>
    <xf numFmtId="0" fontId="17" fillId="30" borderId="7" xfId="0" applyFont="1" applyFill="1" applyBorder="1" applyAlignment="1">
      <alignment horizontal="center"/>
    </xf>
    <xf numFmtId="0" fontId="31" fillId="30" borderId="7" xfId="0" applyFont="1" applyFill="1" applyBorder="1"/>
    <xf numFmtId="0" fontId="17" fillId="13" borderId="7" xfId="0" applyFont="1" applyFill="1" applyBorder="1" applyAlignment="1">
      <alignment horizontal="center"/>
    </xf>
    <xf numFmtId="56" fontId="17" fillId="14" borderId="7" xfId="0" applyNumberFormat="1" applyFont="1" applyFill="1" applyBorder="1" applyAlignment="1">
      <alignment horizontal="center"/>
    </xf>
    <xf numFmtId="0" fontId="17" fillId="6" borderId="7" xfId="11" applyFont="1" applyFill="1" applyBorder="1" applyAlignment="1">
      <alignment horizontal="left"/>
    </xf>
    <xf numFmtId="0" fontId="14" fillId="7" borderId="0" xfId="0" applyFont="1" applyFill="1" applyAlignment="1">
      <alignment horizontal="center"/>
    </xf>
    <xf numFmtId="0" fontId="52" fillId="6" borderId="7" xfId="0" applyFont="1" applyFill="1" applyBorder="1" applyAlignment="1">
      <alignment horizontal="center"/>
    </xf>
    <xf numFmtId="0" fontId="14" fillId="7" borderId="0" xfId="0" applyFont="1" applyFill="1" applyAlignment="1">
      <alignment horizontal="left" indent="1"/>
    </xf>
    <xf numFmtId="0" fontId="31" fillId="3" borderId="7" xfId="0" applyFont="1" applyFill="1" applyBorder="1"/>
    <xf numFmtId="22" fontId="31" fillId="0" borderId="7" xfId="0" quotePrefix="1" applyNumberFormat="1" applyFont="1" applyFill="1" applyBorder="1"/>
    <xf numFmtId="0" fontId="31" fillId="0" borderId="7" xfId="0" quotePrefix="1" applyFont="1" applyFill="1" applyBorder="1"/>
    <xf numFmtId="0" fontId="3" fillId="0" borderId="7" xfId="615" applyBorder="1"/>
    <xf numFmtId="0" fontId="3" fillId="6" borderId="7" xfId="615" applyFill="1" applyBorder="1"/>
    <xf numFmtId="0" fontId="5" fillId="31" borderId="7" xfId="0" applyFont="1" applyFill="1" applyBorder="1" applyAlignment="1">
      <alignment horizontal="left" vertical="center"/>
    </xf>
    <xf numFmtId="1" fontId="33" fillId="31" borderId="7" xfId="0" applyNumberFormat="1" applyFont="1" applyFill="1" applyBorder="1" applyAlignment="1">
      <alignment vertical="center"/>
    </xf>
    <xf numFmtId="0" fontId="0" fillId="0" borderId="7" xfId="0" applyFill="1" applyBorder="1"/>
    <xf numFmtId="0" fontId="7" fillId="0" borderId="11" xfId="0" applyFont="1" applyFill="1" applyBorder="1" applyAlignment="1">
      <alignment vertical="center"/>
    </xf>
    <xf numFmtId="0" fontId="7" fillId="0" borderId="9" xfId="0" applyFont="1" applyFill="1" applyBorder="1" applyAlignment="1">
      <alignment vertical="center"/>
    </xf>
    <xf numFmtId="0" fontId="0" fillId="3" borderId="7" xfId="0" applyFont="1" applyFill="1" applyBorder="1" applyAlignment="1">
      <alignment horizontal="center" vertical="center"/>
    </xf>
    <xf numFmtId="0" fontId="17" fillId="7" borderId="0" xfId="0" applyFont="1" applyFill="1" applyAlignment="1">
      <alignment horizontal="center" vertical="center"/>
    </xf>
    <xf numFmtId="0" fontId="17" fillId="0" borderId="12" xfId="0" applyFont="1" applyFill="1" applyBorder="1" applyAlignment="1">
      <alignment vertical="center"/>
    </xf>
    <xf numFmtId="0" fontId="17" fillId="0" borderId="12" xfId="0" applyFont="1" applyFill="1" applyBorder="1" applyAlignment="1">
      <alignment horizontal="left" vertical="center" wrapText="1"/>
    </xf>
    <xf numFmtId="0" fontId="17" fillId="0" borderId="23" xfId="0" applyFont="1" applyFill="1" applyBorder="1" applyAlignment="1">
      <alignment vertical="center"/>
    </xf>
    <xf numFmtId="0" fontId="15" fillId="7" borderId="24" xfId="0" applyFont="1" applyFill="1" applyBorder="1" applyAlignment="1">
      <alignment vertical="center"/>
    </xf>
    <xf numFmtId="0" fontId="17" fillId="0" borderId="23" xfId="0" applyFont="1" applyFill="1" applyBorder="1" applyAlignment="1">
      <alignment horizontal="left" vertical="center" wrapText="1"/>
    </xf>
    <xf numFmtId="0" fontId="15" fillId="7" borderId="0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53" fillId="3" borderId="7" xfId="0" applyFont="1" applyFill="1" applyBorder="1" applyAlignment="1">
      <alignment vertical="center"/>
    </xf>
    <xf numFmtId="0" fontId="53" fillId="0" borderId="23" xfId="0" applyFont="1" applyFill="1" applyBorder="1" applyAlignment="1">
      <alignment vertical="center"/>
    </xf>
    <xf numFmtId="0" fontId="53" fillId="3" borderId="23" xfId="0" applyFont="1" applyFill="1" applyBorder="1" applyAlignment="1">
      <alignment vertical="center"/>
    </xf>
    <xf numFmtId="0" fontId="53" fillId="0" borderId="12" xfId="0" applyFont="1" applyFill="1" applyBorder="1" applyAlignment="1">
      <alignment vertical="center"/>
    </xf>
    <xf numFmtId="0" fontId="53" fillId="3" borderId="12" xfId="0" applyFont="1" applyFill="1" applyBorder="1" applyAlignment="1">
      <alignment vertical="center"/>
    </xf>
    <xf numFmtId="0" fontId="0" fillId="0" borderId="7" xfId="0" applyFont="1" applyFill="1" applyBorder="1" applyAlignment="1">
      <alignment vertical="center" wrapText="1"/>
    </xf>
    <xf numFmtId="0" fontId="27" fillId="0" borderId="7" xfId="0" applyFont="1" applyFill="1" applyBorder="1" applyAlignment="1">
      <alignment vertical="center" wrapText="1"/>
    </xf>
    <xf numFmtId="56" fontId="55" fillId="14" borderId="7" xfId="0" applyNumberFormat="1" applyFont="1" applyFill="1" applyBorder="1" applyAlignment="1">
      <alignment horizontal="center"/>
    </xf>
    <xf numFmtId="0" fontId="55" fillId="14" borderId="12" xfId="0" applyNumberFormat="1" applyFont="1" applyFill="1" applyBorder="1" applyAlignment="1">
      <alignment vertical="top" wrapText="1"/>
    </xf>
    <xf numFmtId="38" fontId="0" fillId="0" borderId="7" xfId="628" applyFont="1" applyFill="1" applyBorder="1" applyAlignment="1">
      <alignment vertical="top" wrapText="1"/>
    </xf>
    <xf numFmtId="0" fontId="56" fillId="0" borderId="0" xfId="0" applyFont="1" applyAlignment="1">
      <alignment horizontal="center" vertical="center"/>
    </xf>
    <xf numFmtId="0" fontId="56" fillId="14" borderId="7" xfId="0" applyFont="1" applyFill="1" applyBorder="1" applyAlignment="1">
      <alignment horizontal="center" vertical="center"/>
    </xf>
    <xf numFmtId="0" fontId="57" fillId="0" borderId="7" xfId="0" applyFont="1" applyFill="1" applyBorder="1" applyAlignment="1">
      <alignment horizontal="left" vertical="center" wrapText="1"/>
    </xf>
    <xf numFmtId="0" fontId="57" fillId="3" borderId="7" xfId="0" applyFont="1" applyFill="1" applyBorder="1" applyAlignment="1">
      <alignment vertical="center"/>
    </xf>
    <xf numFmtId="0" fontId="57" fillId="0" borderId="7" xfId="0" applyFont="1" applyFill="1" applyBorder="1" applyAlignment="1">
      <alignment horizontal="left" vertical="center"/>
    </xf>
    <xf numFmtId="0" fontId="58" fillId="0" borderId="12" xfId="0" applyFont="1" applyFill="1" applyBorder="1" applyAlignment="1">
      <alignment vertical="center"/>
    </xf>
    <xf numFmtId="0" fontId="59" fillId="0" borderId="0" xfId="0" applyFont="1" applyFill="1" applyAlignment="1">
      <alignment vertical="center"/>
    </xf>
    <xf numFmtId="0" fontId="58" fillId="0" borderId="7" xfId="0" applyFont="1" applyFill="1" applyBorder="1" applyAlignment="1">
      <alignment vertical="center"/>
    </xf>
    <xf numFmtId="0" fontId="60" fillId="0" borderId="0" xfId="0" applyFont="1" applyFill="1" applyAlignment="1">
      <alignment vertical="center"/>
    </xf>
    <xf numFmtId="0" fontId="57" fillId="0" borderId="0" xfId="0" applyFont="1" applyFill="1" applyAlignment="1">
      <alignment vertical="center"/>
    </xf>
    <xf numFmtId="0" fontId="58" fillId="3" borderId="12" xfId="0" applyFont="1" applyFill="1" applyBorder="1" applyAlignment="1">
      <alignment vertical="center"/>
    </xf>
    <xf numFmtId="0" fontId="57" fillId="7" borderId="0" xfId="0" applyFont="1" applyFill="1" applyAlignment="1">
      <alignment vertical="center"/>
    </xf>
    <xf numFmtId="0" fontId="54" fillId="36" borderId="27" xfId="0" applyFont="1" applyFill="1" applyBorder="1" applyAlignment="1">
      <alignment vertical="center"/>
    </xf>
    <xf numFmtId="0" fontId="54" fillId="35" borderId="27" xfId="0" applyFont="1" applyFill="1" applyBorder="1" applyAlignment="1">
      <alignment vertical="center"/>
    </xf>
    <xf numFmtId="0" fontId="57" fillId="0" borderId="12" xfId="0" applyFont="1" applyFill="1" applyBorder="1" applyAlignment="1">
      <alignment horizontal="left" vertical="center" wrapText="1"/>
    </xf>
    <xf numFmtId="0" fontId="57" fillId="3" borderId="7" xfId="0" applyFont="1" applyFill="1" applyBorder="1" applyAlignment="1">
      <alignment horizontal="left" vertical="center"/>
    </xf>
    <xf numFmtId="0" fontId="57" fillId="0" borderId="7" xfId="0" applyFont="1" applyFill="1" applyBorder="1" applyAlignment="1">
      <alignment vertical="center"/>
    </xf>
    <xf numFmtId="0" fontId="57" fillId="0" borderId="0" xfId="0" applyFont="1" applyAlignment="1">
      <alignment vertical="center"/>
    </xf>
    <xf numFmtId="0" fontId="61" fillId="0" borderId="0" xfId="0" applyFont="1" applyAlignment="1">
      <alignment wrapText="1"/>
    </xf>
    <xf numFmtId="0" fontId="12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vertical="center"/>
    </xf>
    <xf numFmtId="0" fontId="5" fillId="0" borderId="12" xfId="0" applyFont="1" applyBorder="1" applyAlignment="1">
      <alignment horizontal="center" vertical="center"/>
    </xf>
    <xf numFmtId="0" fontId="9" fillId="0" borderId="29" xfId="0" applyFont="1" applyBorder="1" applyAlignment="1">
      <alignment vertical="center"/>
    </xf>
    <xf numFmtId="177" fontId="9" fillId="0" borderId="29" xfId="0" applyNumberFormat="1" applyFont="1" applyBorder="1" applyAlignment="1">
      <alignment vertical="center"/>
    </xf>
    <xf numFmtId="1" fontId="33" fillId="31" borderId="12" xfId="0" applyNumberFormat="1" applyFont="1" applyFill="1" applyBorder="1" applyAlignment="1">
      <alignment vertical="center"/>
    </xf>
    <xf numFmtId="0" fontId="7" fillId="0" borderId="30" xfId="0" applyFont="1" applyFill="1" applyBorder="1" applyAlignment="1">
      <alignment vertical="center"/>
    </xf>
    <xf numFmtId="0" fontId="13" fillId="7" borderId="0" xfId="0" applyFont="1" applyFill="1" applyBorder="1" applyAlignment="1">
      <alignment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3" fillId="7" borderId="24" xfId="0" applyFont="1" applyFill="1" applyBorder="1" applyAlignment="1">
      <alignment vertical="center"/>
    </xf>
    <xf numFmtId="176" fontId="5" fillId="0" borderId="31" xfId="0" applyNumberFormat="1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vertical="center"/>
    </xf>
    <xf numFmtId="0" fontId="7" fillId="0" borderId="23" xfId="0" applyFont="1" applyFill="1" applyBorder="1" applyAlignment="1">
      <alignment vertical="center"/>
    </xf>
    <xf numFmtId="0" fontId="5" fillId="0" borderId="23" xfId="0" applyFont="1" applyBorder="1" applyAlignment="1">
      <alignment horizontal="center" vertical="center"/>
    </xf>
    <xf numFmtId="0" fontId="7" fillId="5" borderId="32" xfId="0" applyFont="1" applyFill="1" applyBorder="1" applyAlignment="1">
      <alignment vertical="center"/>
    </xf>
    <xf numFmtId="0" fontId="9" fillId="0" borderId="33" xfId="0" applyFont="1" applyBorder="1" applyAlignment="1">
      <alignment vertical="center"/>
    </xf>
    <xf numFmtId="177" fontId="9" fillId="0" borderId="33" xfId="0" applyNumberFormat="1" applyFont="1" applyBorder="1" applyAlignment="1">
      <alignment vertical="center"/>
    </xf>
    <xf numFmtId="1" fontId="33" fillId="31" borderId="23" xfId="0" applyNumberFormat="1" applyFont="1" applyFill="1" applyBorder="1" applyAlignment="1">
      <alignment vertical="center"/>
    </xf>
    <xf numFmtId="0" fontId="7" fillId="0" borderId="34" xfId="0" applyFont="1" applyFill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3" borderId="12" xfId="0" applyFont="1" applyFill="1" applyBorder="1" applyAlignment="1">
      <alignment vertical="center"/>
    </xf>
    <xf numFmtId="0" fontId="5" fillId="0" borderId="12" xfId="0" applyFont="1" applyFill="1" applyBorder="1" applyAlignment="1">
      <alignment vertical="center"/>
    </xf>
    <xf numFmtId="0" fontId="5" fillId="0" borderId="35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13" fillId="7" borderId="0" xfId="0" applyFont="1" applyFill="1" applyBorder="1" applyAlignment="1">
      <alignment horizontal="left" vertical="center"/>
    </xf>
    <xf numFmtId="0" fontId="5" fillId="3" borderId="7" xfId="0" applyFont="1" applyFill="1" applyBorder="1" applyAlignment="1">
      <alignment vertical="center"/>
    </xf>
    <xf numFmtId="0" fontId="5" fillId="0" borderId="7" xfId="0" applyFont="1" applyFill="1" applyBorder="1" applyAlignment="1">
      <alignment vertical="center"/>
    </xf>
    <xf numFmtId="0" fontId="5" fillId="0" borderId="36" xfId="0" applyFont="1" applyBorder="1" applyAlignment="1">
      <alignment vertical="center"/>
    </xf>
    <xf numFmtId="0" fontId="7" fillId="0" borderId="32" xfId="0" applyFont="1" applyFill="1" applyBorder="1" applyAlignment="1">
      <alignment vertical="center"/>
    </xf>
    <xf numFmtId="0" fontId="5" fillId="3" borderId="23" xfId="0" applyFont="1" applyFill="1" applyBorder="1" applyAlignment="1">
      <alignment vertical="center"/>
    </xf>
    <xf numFmtId="0" fontId="5" fillId="0" borderId="23" xfId="0" applyFont="1" applyFill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5" fillId="0" borderId="23" xfId="0" applyFont="1" applyBorder="1" applyAlignment="1">
      <alignment vertical="center"/>
    </xf>
    <xf numFmtId="0" fontId="17" fillId="3" borderId="12" xfId="0" applyFont="1" applyFill="1" applyBorder="1" applyAlignment="1">
      <alignment horizontal="left" vertical="center"/>
    </xf>
    <xf numFmtId="0" fontId="17" fillId="3" borderId="12" xfId="0" applyFont="1" applyFill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17" fillId="3" borderId="23" xfId="0" applyFont="1" applyFill="1" applyBorder="1" applyAlignment="1">
      <alignment horizontal="left" vertical="center"/>
    </xf>
    <xf numFmtId="0" fontId="17" fillId="3" borderId="23" xfId="0" applyFont="1" applyFill="1" applyBorder="1" applyAlignment="1">
      <alignment vertical="center"/>
    </xf>
    <xf numFmtId="0" fontId="17" fillId="0" borderId="24" xfId="0" applyFont="1" applyBorder="1" applyAlignment="1">
      <alignment vertical="center"/>
    </xf>
    <xf numFmtId="0" fontId="17" fillId="0" borderId="12" xfId="0" applyFont="1" applyFill="1" applyBorder="1" applyAlignment="1">
      <alignment horizontal="left" vertical="center"/>
    </xf>
    <xf numFmtId="0" fontId="17" fillId="3" borderId="12" xfId="0" applyFont="1" applyFill="1" applyBorder="1" applyAlignment="1">
      <alignment horizontal="left" vertical="center" wrapText="1"/>
    </xf>
    <xf numFmtId="14" fontId="17" fillId="0" borderId="12" xfId="0" applyNumberFormat="1" applyFont="1" applyFill="1" applyBorder="1" applyAlignment="1">
      <alignment horizontal="left" vertical="center"/>
    </xf>
    <xf numFmtId="0" fontId="0" fillId="0" borderId="12" xfId="0" applyFont="1" applyFill="1" applyBorder="1" applyAlignment="1">
      <alignment vertical="center" wrapText="1"/>
    </xf>
    <xf numFmtId="0" fontId="59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61" fillId="0" borderId="0" xfId="0" applyFont="1" applyBorder="1" applyAlignment="1">
      <alignment wrapText="1"/>
    </xf>
    <xf numFmtId="0" fontId="17" fillId="0" borderId="23" xfId="0" applyFont="1" applyFill="1" applyBorder="1" applyAlignment="1">
      <alignment horizontal="left" vertical="center"/>
    </xf>
    <xf numFmtId="14" fontId="17" fillId="0" borderId="23" xfId="0" applyNumberFormat="1" applyFont="1" applyFill="1" applyBorder="1" applyAlignment="1">
      <alignment horizontal="left" vertical="center"/>
    </xf>
    <xf numFmtId="0" fontId="0" fillId="0" borderId="23" xfId="0" applyFont="1" applyFill="1" applyBorder="1" applyAlignment="1">
      <alignment vertical="center" wrapText="1"/>
    </xf>
    <xf numFmtId="0" fontId="59" fillId="0" borderId="24" xfId="0" applyFont="1" applyFill="1" applyBorder="1" applyAlignment="1">
      <alignment vertical="center"/>
    </xf>
    <xf numFmtId="0" fontId="17" fillId="0" borderId="24" xfId="0" applyFont="1" applyFill="1" applyBorder="1" applyAlignment="1">
      <alignment vertical="center"/>
    </xf>
    <xf numFmtId="0" fontId="53" fillId="32" borderId="7" xfId="0" applyFont="1" applyFill="1" applyBorder="1" applyAlignment="1">
      <alignment vertical="center"/>
    </xf>
    <xf numFmtId="0" fontId="53" fillId="32" borderId="12" xfId="0" applyFont="1" applyFill="1" applyBorder="1" applyAlignment="1">
      <alignment vertical="center"/>
    </xf>
    <xf numFmtId="0" fontId="53" fillId="32" borderId="26" xfId="0" applyFont="1" applyFill="1" applyBorder="1" applyAlignment="1">
      <alignment vertical="center"/>
    </xf>
    <xf numFmtId="0" fontId="53" fillId="37" borderId="12" xfId="0" applyFont="1" applyFill="1" applyBorder="1" applyAlignment="1">
      <alignment vertical="center"/>
    </xf>
    <xf numFmtId="0" fontId="53" fillId="37" borderId="7" xfId="0" applyFont="1" applyFill="1" applyBorder="1" applyAlignment="1">
      <alignment vertical="center"/>
    </xf>
    <xf numFmtId="0" fontId="15" fillId="7" borderId="7" xfId="0" applyFont="1" applyFill="1" applyBorder="1" applyAlignment="1">
      <alignment vertical="center"/>
    </xf>
    <xf numFmtId="0" fontId="17" fillId="7" borderId="7" xfId="0" applyFont="1" applyFill="1" applyBorder="1" applyAlignment="1">
      <alignment vertical="center"/>
    </xf>
    <xf numFmtId="0" fontId="58" fillId="32" borderId="7" xfId="0" applyFont="1" applyFill="1" applyBorder="1" applyAlignment="1">
      <alignment vertical="center"/>
    </xf>
    <xf numFmtId="0" fontId="62" fillId="7" borderId="0" xfId="0" applyFont="1" applyFill="1" applyAlignment="1">
      <alignment vertical="center"/>
    </xf>
    <xf numFmtId="0" fontId="63" fillId="0" borderId="7" xfId="0" applyFont="1" applyFill="1" applyBorder="1" applyAlignment="1">
      <alignment vertical="center"/>
    </xf>
    <xf numFmtId="0" fontId="62" fillId="3" borderId="7" xfId="0" applyFont="1" applyFill="1" applyBorder="1" applyAlignment="1">
      <alignment horizontal="left" vertical="center"/>
    </xf>
    <xf numFmtId="0" fontId="62" fillId="3" borderId="7" xfId="0" applyFont="1" applyFill="1" applyBorder="1" applyAlignment="1">
      <alignment vertical="center"/>
    </xf>
    <xf numFmtId="0" fontId="62" fillId="0" borderId="7" xfId="0" applyFont="1" applyFill="1" applyBorder="1" applyAlignment="1">
      <alignment vertical="center"/>
    </xf>
    <xf numFmtId="0" fontId="62" fillId="0" borderId="0" xfId="0" applyFont="1" applyAlignment="1">
      <alignment vertical="center"/>
    </xf>
    <xf numFmtId="0" fontId="63" fillId="0" borderId="12" xfId="0" applyFont="1" applyFill="1" applyBorder="1" applyAlignment="1">
      <alignment vertical="center"/>
    </xf>
    <xf numFmtId="0" fontId="65" fillId="36" borderId="28" xfId="0" applyFont="1" applyFill="1" applyBorder="1" applyAlignment="1">
      <alignment vertical="center"/>
    </xf>
    <xf numFmtId="0" fontId="63" fillId="3" borderId="12" xfId="0" applyFont="1" applyFill="1" applyBorder="1" applyAlignment="1">
      <alignment vertical="center"/>
    </xf>
    <xf numFmtId="0" fontId="62" fillId="0" borderId="12" xfId="0" applyFont="1" applyFill="1" applyBorder="1" applyAlignment="1">
      <alignment horizontal="left" vertical="center" wrapText="1"/>
    </xf>
    <xf numFmtId="0" fontId="65" fillId="36" borderId="27" xfId="0" applyFont="1" applyFill="1" applyBorder="1" applyAlignment="1">
      <alignment vertical="center"/>
    </xf>
    <xf numFmtId="0" fontId="65" fillId="35" borderId="27" xfId="0" applyFont="1" applyFill="1" applyBorder="1" applyAlignment="1">
      <alignment vertical="center"/>
    </xf>
    <xf numFmtId="0" fontId="65" fillId="34" borderId="27" xfId="0" applyFont="1" applyFill="1" applyBorder="1" applyAlignment="1">
      <alignment vertical="center"/>
    </xf>
    <xf numFmtId="0" fontId="65" fillId="38" borderId="27" xfId="0" applyFont="1" applyFill="1" applyBorder="1" applyAlignment="1">
      <alignment vertical="center"/>
    </xf>
    <xf numFmtId="0" fontId="65" fillId="40" borderId="27" xfId="0" applyFont="1" applyFill="1" applyBorder="1" applyAlignment="1">
      <alignment vertical="center"/>
    </xf>
    <xf numFmtId="0" fontId="65" fillId="39" borderId="27" xfId="0" applyFont="1" applyFill="1" applyBorder="1" applyAlignment="1">
      <alignment vertical="center"/>
    </xf>
    <xf numFmtId="0" fontId="65" fillId="41" borderId="27" xfId="0" applyFont="1" applyFill="1" applyBorder="1" applyAlignment="1">
      <alignment vertical="center"/>
    </xf>
    <xf numFmtId="0" fontId="54" fillId="34" borderId="27" xfId="0" applyFont="1" applyFill="1" applyBorder="1" applyAlignment="1">
      <alignment vertical="center"/>
    </xf>
    <xf numFmtId="0" fontId="54" fillId="38" borderId="27" xfId="0" applyFont="1" applyFill="1" applyBorder="1" applyAlignment="1">
      <alignment vertical="center"/>
    </xf>
    <xf numFmtId="0" fontId="54" fillId="40" borderId="27" xfId="0" applyFont="1" applyFill="1" applyBorder="1" applyAlignment="1">
      <alignment vertical="center"/>
    </xf>
    <xf numFmtId="0" fontId="54" fillId="39" borderId="27" xfId="0" applyFont="1" applyFill="1" applyBorder="1" applyAlignment="1">
      <alignment vertical="center"/>
    </xf>
    <xf numFmtId="0" fontId="54" fillId="41" borderId="27" xfId="0" applyFont="1" applyFill="1" applyBorder="1" applyAlignment="1">
      <alignment vertical="center"/>
    </xf>
    <xf numFmtId="0" fontId="58" fillId="0" borderId="26" xfId="0" applyFont="1" applyFill="1" applyBorder="1" applyAlignment="1">
      <alignment vertical="center"/>
    </xf>
    <xf numFmtId="0" fontId="54" fillId="36" borderId="38" xfId="0" applyFont="1" applyFill="1" applyBorder="1" applyAlignment="1">
      <alignment vertical="center"/>
    </xf>
    <xf numFmtId="0" fontId="58" fillId="3" borderId="26" xfId="0" applyFont="1" applyFill="1" applyBorder="1" applyAlignment="1">
      <alignment vertical="center"/>
    </xf>
    <xf numFmtId="0" fontId="57" fillId="7" borderId="24" xfId="0" applyFont="1" applyFill="1" applyBorder="1" applyAlignment="1">
      <alignment vertical="center"/>
    </xf>
    <xf numFmtId="0" fontId="54" fillId="36" borderId="39" xfId="0" applyFont="1" applyFill="1" applyBorder="1" applyAlignment="1">
      <alignment vertical="center"/>
    </xf>
    <xf numFmtId="0" fontId="57" fillId="0" borderId="26" xfId="0" applyFont="1" applyFill="1" applyBorder="1" applyAlignment="1">
      <alignment horizontal="left" vertical="center" wrapText="1"/>
    </xf>
    <xf numFmtId="0" fontId="29" fillId="0" borderId="12" xfId="0" applyFont="1" applyFill="1" applyBorder="1"/>
    <xf numFmtId="0" fontId="31" fillId="0" borderId="12" xfId="0" applyFont="1" applyFill="1" applyBorder="1"/>
    <xf numFmtId="0" fontId="31" fillId="30" borderId="12" xfId="0" applyFont="1" applyFill="1" applyBorder="1"/>
    <xf numFmtId="0" fontId="31" fillId="14" borderId="12" xfId="0" applyFont="1" applyFill="1" applyBorder="1"/>
    <xf numFmtId="0" fontId="32" fillId="0" borderId="12" xfId="0" applyFont="1" applyFill="1" applyBorder="1"/>
    <xf numFmtId="0" fontId="0" fillId="0" borderId="12" xfId="0" applyBorder="1"/>
    <xf numFmtId="0" fontId="56" fillId="14" borderId="12" xfId="0" applyFont="1" applyFill="1" applyBorder="1" applyAlignment="1">
      <alignment horizontal="center" vertical="center"/>
    </xf>
    <xf numFmtId="0" fontId="29" fillId="0" borderId="23" xfId="0" applyFont="1" applyFill="1" applyBorder="1"/>
    <xf numFmtId="0" fontId="30" fillId="3" borderId="23" xfId="0" applyFont="1" applyFill="1" applyBorder="1" applyAlignment="1">
      <alignment vertical="center"/>
    </xf>
    <xf numFmtId="0" fontId="31" fillId="0" borderId="23" xfId="0" applyFont="1" applyFill="1" applyBorder="1"/>
    <xf numFmtId="0" fontId="30" fillId="0" borderId="23" xfId="0" applyFont="1" applyFill="1" applyBorder="1" applyAlignment="1">
      <alignment vertical="center"/>
    </xf>
    <xf numFmtId="0" fontId="31" fillId="30" borderId="23" xfId="0" applyFont="1" applyFill="1" applyBorder="1"/>
    <xf numFmtId="0" fontId="31" fillId="14" borderId="23" xfId="0" applyFont="1" applyFill="1" applyBorder="1"/>
    <xf numFmtId="0" fontId="32" fillId="0" borderId="23" xfId="0" applyFont="1" applyFill="1" applyBorder="1"/>
    <xf numFmtId="38" fontId="0" fillId="0" borderId="23" xfId="628" applyFont="1" applyFill="1" applyBorder="1" applyAlignment="1">
      <alignment vertical="top" wrapText="1"/>
    </xf>
    <xf numFmtId="0" fontId="0" fillId="0" borderId="23" xfId="0" applyBorder="1"/>
    <xf numFmtId="0" fontId="55" fillId="14" borderId="23" xfId="0" applyNumberFormat="1" applyFont="1" applyFill="1" applyBorder="1" applyAlignment="1">
      <alignment vertical="top" wrapText="1"/>
    </xf>
    <xf numFmtId="0" fontId="56" fillId="14" borderId="23" xfId="0" applyFont="1" applyFill="1" applyBorder="1" applyAlignment="1">
      <alignment horizontal="center" vertical="center"/>
    </xf>
    <xf numFmtId="0" fontId="28" fillId="33" borderId="7" xfId="0" applyFont="1" applyFill="1" applyBorder="1"/>
    <xf numFmtId="0" fontId="28" fillId="33" borderId="23" xfId="0" applyFont="1" applyFill="1" applyBorder="1"/>
    <xf numFmtId="0" fontId="28" fillId="6" borderId="7" xfId="0" applyFont="1" applyFill="1" applyBorder="1"/>
    <xf numFmtId="0" fontId="67" fillId="0" borderId="7" xfId="0" applyFont="1" applyFill="1" applyBorder="1" applyAlignment="1">
      <alignment horizontal="left" vertical="center"/>
    </xf>
    <xf numFmtId="0" fontId="67" fillId="0" borderId="7" xfId="0" applyFont="1" applyFill="1" applyBorder="1" applyAlignment="1">
      <alignment horizontal="left" vertical="center" wrapText="1"/>
    </xf>
    <xf numFmtId="0" fontId="67" fillId="3" borderId="7" xfId="0" applyFont="1" applyFill="1" applyBorder="1" applyAlignment="1">
      <alignment horizontal="left" vertical="center" wrapText="1"/>
    </xf>
    <xf numFmtId="0" fontId="67" fillId="3" borderId="7" xfId="0" applyFont="1" applyFill="1" applyBorder="1" applyAlignment="1">
      <alignment vertical="center"/>
    </xf>
    <xf numFmtId="14" fontId="67" fillId="0" borderId="7" xfId="0" applyNumberFormat="1" applyFont="1" applyFill="1" applyBorder="1" applyAlignment="1">
      <alignment horizontal="left" vertical="center"/>
    </xf>
    <xf numFmtId="0" fontId="68" fillId="0" borderId="7" xfId="0" applyFont="1" applyFill="1" applyBorder="1" applyAlignment="1">
      <alignment vertical="center" wrapText="1"/>
    </xf>
    <xf numFmtId="0" fontId="69" fillId="0" borderId="0" xfId="0" applyFont="1" applyFill="1" applyAlignment="1">
      <alignment vertical="center"/>
    </xf>
    <xf numFmtId="0" fontId="67" fillId="0" borderId="0" xfId="0" applyFont="1" applyFill="1" applyAlignment="1">
      <alignment vertical="center"/>
    </xf>
    <xf numFmtId="0" fontId="54" fillId="36" borderId="27" xfId="0" applyFont="1" applyFill="1" applyBorder="1" applyAlignment="1">
      <alignment horizontal="left" vertical="center"/>
    </xf>
    <xf numFmtId="0" fontId="54" fillId="35" borderId="27" xfId="0" applyFont="1" applyFill="1" applyBorder="1" applyAlignment="1">
      <alignment horizontal="left" vertical="center"/>
    </xf>
    <xf numFmtId="0" fontId="54" fillId="34" borderId="27" xfId="0" applyFont="1" applyFill="1" applyBorder="1" applyAlignment="1">
      <alignment horizontal="left" vertical="center"/>
    </xf>
    <xf numFmtId="0" fontId="54" fillId="38" borderId="27" xfId="0" applyFont="1" applyFill="1" applyBorder="1" applyAlignment="1">
      <alignment horizontal="left" vertical="center"/>
    </xf>
    <xf numFmtId="0" fontId="54" fillId="40" borderId="27" xfId="0" applyFont="1" applyFill="1" applyBorder="1" applyAlignment="1">
      <alignment horizontal="left" vertical="center"/>
    </xf>
    <xf numFmtId="0" fontId="54" fillId="39" borderId="27" xfId="0" applyFont="1" applyFill="1" applyBorder="1" applyAlignment="1">
      <alignment horizontal="left" vertical="center"/>
    </xf>
    <xf numFmtId="0" fontId="54" fillId="41" borderId="27" xfId="0" applyFont="1" applyFill="1" applyBorder="1" applyAlignment="1">
      <alignment horizontal="left" vertical="center"/>
    </xf>
    <xf numFmtId="0" fontId="54" fillId="36" borderId="39" xfId="0" applyFont="1" applyFill="1" applyBorder="1" applyAlignment="1">
      <alignment horizontal="left" vertical="center"/>
    </xf>
    <xf numFmtId="0" fontId="65" fillId="36" borderId="27" xfId="0" applyFont="1" applyFill="1" applyBorder="1" applyAlignment="1">
      <alignment horizontal="left" vertical="center"/>
    </xf>
    <xf numFmtId="0" fontId="65" fillId="35" borderId="27" xfId="0" applyFont="1" applyFill="1" applyBorder="1" applyAlignment="1">
      <alignment horizontal="left" vertical="center"/>
    </xf>
    <xf numFmtId="0" fontId="65" fillId="34" borderId="27" xfId="0" applyFont="1" applyFill="1" applyBorder="1" applyAlignment="1">
      <alignment horizontal="left" vertical="center"/>
    </xf>
    <xf numFmtId="0" fontId="65" fillId="38" borderId="27" xfId="0" applyFont="1" applyFill="1" applyBorder="1" applyAlignment="1">
      <alignment horizontal="left" vertical="center"/>
    </xf>
    <xf numFmtId="0" fontId="65" fillId="40" borderId="27" xfId="0" applyFont="1" applyFill="1" applyBorder="1" applyAlignment="1">
      <alignment horizontal="left" vertical="center"/>
    </xf>
    <xf numFmtId="0" fontId="65" fillId="39" borderId="27" xfId="0" applyFont="1" applyFill="1" applyBorder="1" applyAlignment="1">
      <alignment horizontal="left" vertical="center"/>
    </xf>
    <xf numFmtId="0" fontId="65" fillId="41" borderId="27" xfId="0" applyFont="1" applyFill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4" fillId="42" borderId="27" xfId="0" applyFont="1" applyFill="1" applyBorder="1" applyAlignment="1">
      <alignment horizontal="left" vertical="center"/>
    </xf>
    <xf numFmtId="0" fontId="66" fillId="32" borderId="7" xfId="0" applyFont="1" applyFill="1" applyBorder="1" applyAlignment="1">
      <alignment vertical="center"/>
    </xf>
    <xf numFmtId="0" fontId="53" fillId="43" borderId="12" xfId="0" applyFont="1" applyFill="1" applyBorder="1" applyAlignment="1">
      <alignment vertical="center"/>
    </xf>
    <xf numFmtId="0" fontId="53" fillId="43" borderId="7" xfId="0" applyFont="1" applyFill="1" applyBorder="1" applyAlignment="1">
      <alignment vertical="center"/>
    </xf>
    <xf numFmtId="0" fontId="12" fillId="32" borderId="7" xfId="0" applyFont="1" applyFill="1" applyBorder="1" applyAlignment="1">
      <alignment vertical="center"/>
    </xf>
    <xf numFmtId="0" fontId="12" fillId="32" borderId="23" xfId="0" applyFont="1" applyFill="1" applyBorder="1" applyAlignment="1">
      <alignment vertical="center"/>
    </xf>
    <xf numFmtId="0" fontId="12" fillId="43" borderId="12" xfId="0" applyFont="1" applyFill="1" applyBorder="1" applyAlignment="1">
      <alignment vertical="center"/>
    </xf>
    <xf numFmtId="0" fontId="12" fillId="43" borderId="7" xfId="0" applyFont="1" applyFill="1" applyBorder="1" applyAlignment="1">
      <alignment vertical="center"/>
    </xf>
    <xf numFmtId="0" fontId="17" fillId="43" borderId="7" xfId="0" applyFont="1" applyFill="1" applyBorder="1" applyAlignment="1">
      <alignment vertical="center"/>
    </xf>
    <xf numFmtId="0" fontId="17" fillId="32" borderId="23" xfId="0" applyFont="1" applyFill="1" applyBorder="1" applyAlignment="1">
      <alignment vertical="center"/>
    </xf>
    <xf numFmtId="0" fontId="58" fillId="43" borderId="7" xfId="0" applyFont="1" applyFill="1" applyBorder="1" applyAlignment="1">
      <alignment vertical="center"/>
    </xf>
    <xf numFmtId="0" fontId="66" fillId="43" borderId="7" xfId="0" applyFont="1" applyFill="1" applyBorder="1" applyAlignment="1">
      <alignment vertical="center"/>
    </xf>
    <xf numFmtId="38" fontId="5" fillId="0" borderId="0" xfId="708" applyFont="1" applyFill="1" applyAlignment="1">
      <alignment vertical="center"/>
    </xf>
    <xf numFmtId="0" fontId="5" fillId="32" borderId="1" xfId="0" applyFont="1" applyFill="1" applyBorder="1" applyAlignment="1">
      <alignment horizontal="center" vertical="center"/>
    </xf>
    <xf numFmtId="0" fontId="7" fillId="32" borderId="1" xfId="0" applyFont="1" applyFill="1" applyBorder="1" applyAlignment="1">
      <alignment vertical="center"/>
    </xf>
    <xf numFmtId="0" fontId="5" fillId="43" borderId="1" xfId="0" applyFont="1" applyFill="1" applyBorder="1" applyAlignment="1">
      <alignment horizontal="center" vertical="center"/>
    </xf>
    <xf numFmtId="0" fontId="7" fillId="43" borderId="1" xfId="0" applyFont="1" applyFill="1" applyBorder="1" applyAlignment="1">
      <alignment vertical="center"/>
    </xf>
    <xf numFmtId="0" fontId="27" fillId="0" borderId="7" xfId="0" applyFont="1" applyBorder="1"/>
    <xf numFmtId="0" fontId="27" fillId="0" borderId="10" xfId="0" applyFont="1" applyBorder="1"/>
    <xf numFmtId="0" fontId="27" fillId="0" borderId="12" xfId="0" applyFont="1" applyBorder="1"/>
    <xf numFmtId="0" fontId="27" fillId="0" borderId="41" xfId="0" applyFont="1" applyBorder="1"/>
    <xf numFmtId="0" fontId="27" fillId="44" borderId="41" xfId="0" applyFont="1" applyFill="1" applyBorder="1"/>
    <xf numFmtId="0" fontId="27" fillId="45" borderId="12" xfId="0" applyFont="1" applyFill="1" applyBorder="1"/>
    <xf numFmtId="0" fontId="27" fillId="45" borderId="41" xfId="0" applyFont="1" applyFill="1" applyBorder="1"/>
    <xf numFmtId="0" fontId="27" fillId="46" borderId="41" xfId="0" applyFont="1" applyFill="1" applyBorder="1"/>
    <xf numFmtId="0" fontId="67" fillId="0" borderId="7" xfId="0" applyFont="1" applyFill="1" applyBorder="1" applyAlignment="1">
      <alignment vertical="center"/>
    </xf>
    <xf numFmtId="0" fontId="58" fillId="32" borderId="12" xfId="0" applyFont="1" applyFill="1" applyBorder="1" applyAlignment="1">
      <alignment vertical="center"/>
    </xf>
    <xf numFmtId="0" fontId="57" fillId="0" borderId="12" xfId="0" applyFont="1" applyFill="1" applyBorder="1" applyAlignment="1">
      <alignment vertical="center"/>
    </xf>
    <xf numFmtId="0" fontId="57" fillId="0" borderId="12" xfId="0" applyFont="1" applyFill="1" applyBorder="1" applyAlignment="1">
      <alignment horizontal="left" vertical="center"/>
    </xf>
    <xf numFmtId="0" fontId="53" fillId="37" borderId="23" xfId="0" applyFont="1" applyFill="1" applyBorder="1" applyAlignment="1">
      <alignment vertical="center"/>
    </xf>
    <xf numFmtId="0" fontId="17" fillId="0" borderId="8" xfId="0" applyFont="1" applyFill="1" applyBorder="1" applyAlignment="1">
      <alignment vertical="top" wrapText="1"/>
    </xf>
    <xf numFmtId="0" fontId="17" fillId="0" borderId="40" xfId="0" applyFont="1" applyFill="1" applyBorder="1" applyAlignment="1">
      <alignment vertical="top" wrapText="1"/>
    </xf>
    <xf numFmtId="0" fontId="17" fillId="0" borderId="10" xfId="0" applyFont="1" applyFill="1" applyBorder="1" applyAlignment="1">
      <alignment vertical="top" wrapText="1"/>
    </xf>
    <xf numFmtId="0" fontId="17" fillId="0" borderId="8" xfId="0" applyFont="1" applyFill="1" applyBorder="1" applyAlignment="1">
      <alignment horizontal="left" vertical="top" wrapText="1"/>
    </xf>
    <xf numFmtId="0" fontId="17" fillId="0" borderId="40" xfId="0" applyFont="1" applyFill="1" applyBorder="1" applyAlignment="1">
      <alignment horizontal="left" vertical="top" wrapText="1"/>
    </xf>
    <xf numFmtId="0" fontId="17" fillId="0" borderId="10" xfId="0" applyFont="1" applyFill="1" applyBorder="1" applyAlignment="1">
      <alignment horizontal="left" vertical="top" wrapText="1"/>
    </xf>
    <xf numFmtId="0" fontId="17" fillId="0" borderId="25" xfId="0" applyFont="1" applyFill="1" applyBorder="1" applyAlignment="1">
      <alignment horizontal="left" vertical="top" wrapText="1"/>
    </xf>
    <xf numFmtId="0" fontId="17" fillId="0" borderId="0" xfId="0" applyFont="1" applyFill="1" applyBorder="1" applyAlignment="1">
      <alignment horizontal="left" vertical="top"/>
    </xf>
    <xf numFmtId="0" fontId="17" fillId="0" borderId="0" xfId="0" applyFont="1" applyFill="1" applyBorder="1" applyAlignment="1">
      <alignment horizontal="left" vertical="top" wrapText="1"/>
    </xf>
    <xf numFmtId="0" fontId="17" fillId="0" borderId="0" xfId="0" applyFont="1" applyFill="1" applyAlignment="1">
      <alignment horizontal="left" vertical="top"/>
    </xf>
  </cellXfs>
  <cellStyles count="721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桁区切り 2" xfId="429"/>
    <cellStyle name="桁区切り 2 2" xfId="628"/>
    <cellStyle name="桁区切り [0]" xfId="708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赤字強調" xfId="431"/>
    <cellStyle name="青字強調" xfId="430"/>
  </cellStyles>
  <dxfs count="70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auto="1"/>
      </font>
      <fill>
        <patternFill>
          <bgColor rgb="FFFFE2E8"/>
        </patternFill>
      </fill>
    </dxf>
  </dxfs>
  <tableStyles count="0" defaultTableStyle="TableStyleMedium2" defaultPivotStyle="PivotStyleLight16"/>
  <colors>
    <mruColors>
      <color rgb="FFFFE2E8"/>
      <color rgb="FFB7A8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39013</v>
          </cell>
        </row>
        <row r="195">
          <cell r="A195">
            <v>39014</v>
          </cell>
        </row>
        <row r="196">
          <cell r="A196">
            <v>40001</v>
          </cell>
        </row>
        <row r="197">
          <cell r="A197">
            <v>40002</v>
          </cell>
        </row>
        <row r="198">
          <cell r="A198">
            <v>40003</v>
          </cell>
        </row>
        <row r="199">
          <cell r="A199">
            <v>40004</v>
          </cell>
        </row>
        <row r="200">
          <cell r="A200">
            <v>40005</v>
          </cell>
        </row>
        <row r="201">
          <cell r="A201">
            <v>40006</v>
          </cell>
        </row>
        <row r="202">
          <cell r="A202">
            <v>40007</v>
          </cell>
        </row>
        <row r="203">
          <cell r="A203">
            <v>40008</v>
          </cell>
        </row>
        <row r="204">
          <cell r="A204">
            <v>40009</v>
          </cell>
        </row>
        <row r="205">
          <cell r="A205">
            <v>40010</v>
          </cell>
        </row>
        <row r="206">
          <cell r="A206">
            <v>40011</v>
          </cell>
        </row>
        <row r="207">
          <cell r="A207">
            <v>40012</v>
          </cell>
        </row>
        <row r="208">
          <cell r="A208">
            <v>40013</v>
          </cell>
        </row>
        <row r="209">
          <cell r="A209">
            <v>40014</v>
          </cell>
        </row>
        <row r="210">
          <cell r="A210">
            <v>40015</v>
          </cell>
        </row>
        <row r="211">
          <cell r="A211">
            <v>40016</v>
          </cell>
        </row>
        <row r="212">
          <cell r="A212">
            <v>40017</v>
          </cell>
        </row>
        <row r="213">
          <cell r="A213">
            <v>40018</v>
          </cell>
        </row>
        <row r="214">
          <cell r="A214">
            <v>40019</v>
          </cell>
        </row>
        <row r="215">
          <cell r="A215">
            <v>40021</v>
          </cell>
        </row>
        <row r="216">
          <cell r="A216">
            <v>40022</v>
          </cell>
        </row>
        <row r="217">
          <cell r="A217">
            <v>40023</v>
          </cell>
        </row>
        <row r="218">
          <cell r="A218">
            <v>40024</v>
          </cell>
        </row>
        <row r="219">
          <cell r="A219">
            <v>40025</v>
          </cell>
        </row>
        <row r="220">
          <cell r="A220">
            <v>40026</v>
          </cell>
        </row>
        <row r="221">
          <cell r="A221">
            <v>40027</v>
          </cell>
        </row>
        <row r="222">
          <cell r="A222">
            <v>40028</v>
          </cell>
        </row>
        <row r="223">
          <cell r="A223">
            <v>40029</v>
          </cell>
        </row>
        <row r="224">
          <cell r="A224">
            <v>40030</v>
          </cell>
        </row>
        <row r="225">
          <cell r="A225">
            <v>40031</v>
          </cell>
        </row>
        <row r="226">
          <cell r="A226">
            <v>40032</v>
          </cell>
        </row>
        <row r="227">
          <cell r="A227">
            <v>40033</v>
          </cell>
        </row>
        <row r="228">
          <cell r="A228">
            <v>40034</v>
          </cell>
        </row>
        <row r="229">
          <cell r="A229">
            <v>40035</v>
          </cell>
        </row>
        <row r="230">
          <cell r="A230">
            <v>40036</v>
          </cell>
        </row>
        <row r="231">
          <cell r="A231">
            <v>40037</v>
          </cell>
        </row>
        <row r="232">
          <cell r="A232">
            <v>40038</v>
          </cell>
        </row>
        <row r="233">
          <cell r="A233">
            <v>40039</v>
          </cell>
        </row>
        <row r="234">
          <cell r="A234">
            <v>40040</v>
          </cell>
        </row>
        <row r="235">
          <cell r="A235">
            <v>40041</v>
          </cell>
        </row>
        <row r="236">
          <cell r="A236">
            <v>40042</v>
          </cell>
        </row>
        <row r="237">
          <cell r="A237">
            <v>40043</v>
          </cell>
        </row>
        <row r="238">
          <cell r="A238">
            <v>40044</v>
          </cell>
        </row>
        <row r="239">
          <cell r="A239">
            <v>40045</v>
          </cell>
        </row>
        <row r="240">
          <cell r="A240">
            <v>48001</v>
          </cell>
        </row>
        <row r="241">
          <cell r="A241">
            <v>48002</v>
          </cell>
        </row>
        <row r="242">
          <cell r="A242">
            <v>48003</v>
          </cell>
        </row>
        <row r="243">
          <cell r="A243">
            <v>48004</v>
          </cell>
        </row>
        <row r="244">
          <cell r="A244">
            <v>48005</v>
          </cell>
        </row>
        <row r="245">
          <cell r="A245">
            <v>48006</v>
          </cell>
        </row>
        <row r="246">
          <cell r="A246">
            <v>48007</v>
          </cell>
        </row>
        <row r="247">
          <cell r="A247">
            <v>48008</v>
          </cell>
        </row>
        <row r="248">
          <cell r="A248">
            <v>48009</v>
          </cell>
        </row>
        <row r="249">
          <cell r="A249">
            <v>48010</v>
          </cell>
        </row>
        <row r="250">
          <cell r="A250">
            <v>48011</v>
          </cell>
        </row>
        <row r="251">
          <cell r="A251">
            <v>48012</v>
          </cell>
        </row>
        <row r="252">
          <cell r="A252">
            <v>48501</v>
          </cell>
        </row>
        <row r="253">
          <cell r="A253">
            <v>48502</v>
          </cell>
        </row>
        <row r="254">
          <cell r="A254">
            <v>48701</v>
          </cell>
        </row>
        <row r="255">
          <cell r="A255">
            <v>48702</v>
          </cell>
        </row>
        <row r="256">
          <cell r="A256">
            <v>41001</v>
          </cell>
        </row>
        <row r="257">
          <cell r="A257">
            <v>41002</v>
          </cell>
        </row>
        <row r="258">
          <cell r="A258">
            <v>41003</v>
          </cell>
        </row>
        <row r="259">
          <cell r="A259">
            <v>41004</v>
          </cell>
        </row>
        <row r="260">
          <cell r="A260">
            <v>41005</v>
          </cell>
        </row>
        <row r="261">
          <cell r="A261">
            <v>41006</v>
          </cell>
        </row>
        <row r="262">
          <cell r="A262">
            <v>41007</v>
          </cell>
        </row>
        <row r="263">
          <cell r="A263">
            <v>41008</v>
          </cell>
        </row>
        <row r="264">
          <cell r="A264">
            <v>41009</v>
          </cell>
        </row>
        <row r="265">
          <cell r="A265">
            <v>41010</v>
          </cell>
        </row>
        <row r="266">
          <cell r="A266">
            <v>41011</v>
          </cell>
        </row>
        <row r="267">
          <cell r="A267">
            <v>41012</v>
          </cell>
        </row>
        <row r="268">
          <cell r="A268">
            <v>41013</v>
          </cell>
        </row>
        <row r="269">
          <cell r="A269">
            <v>41014</v>
          </cell>
        </row>
        <row r="270">
          <cell r="A270">
            <v>41015</v>
          </cell>
        </row>
        <row r="271">
          <cell r="A271">
            <v>47001</v>
          </cell>
        </row>
        <row r="272">
          <cell r="A272">
            <v>47002</v>
          </cell>
        </row>
        <row r="273">
          <cell r="A273">
            <v>47003</v>
          </cell>
        </row>
        <row r="274">
          <cell r="A274">
            <v>47004</v>
          </cell>
        </row>
        <row r="275">
          <cell r="A275">
            <v>47005</v>
          </cell>
        </row>
        <row r="276">
          <cell r="A276">
            <v>47006</v>
          </cell>
        </row>
        <row r="277">
          <cell r="A277">
            <v>47007</v>
          </cell>
        </row>
        <row r="278">
          <cell r="A278">
            <v>47008</v>
          </cell>
        </row>
        <row r="279">
          <cell r="A279">
            <v>47009</v>
          </cell>
        </row>
        <row r="280">
          <cell r="A280">
            <v>47010</v>
          </cell>
        </row>
        <row r="281">
          <cell r="A281">
            <v>47011</v>
          </cell>
        </row>
        <row r="282">
          <cell r="A282">
            <v>47012</v>
          </cell>
        </row>
        <row r="283">
          <cell r="A283">
            <v>47013</v>
          </cell>
        </row>
        <row r="284">
          <cell r="A284">
            <v>49001</v>
          </cell>
        </row>
        <row r="285">
          <cell r="A285">
            <v>49002</v>
          </cell>
        </row>
        <row r="286">
          <cell r="A286">
            <v>49003</v>
          </cell>
        </row>
        <row r="287">
          <cell r="A287">
            <v>49004</v>
          </cell>
        </row>
        <row r="288">
          <cell r="A288">
            <v>49005</v>
          </cell>
        </row>
        <row r="289">
          <cell r="A289">
            <v>49006</v>
          </cell>
        </row>
        <row r="290">
          <cell r="A290">
            <v>49007</v>
          </cell>
        </row>
        <row r="291">
          <cell r="A291">
            <v>49008</v>
          </cell>
        </row>
        <row r="292">
          <cell r="A292">
            <v>49009</v>
          </cell>
        </row>
        <row r="293">
          <cell r="A293">
            <v>49010</v>
          </cell>
        </row>
        <row r="294">
          <cell r="A294">
            <v>49011</v>
          </cell>
        </row>
        <row r="295">
          <cell r="A295">
            <v>49012</v>
          </cell>
        </row>
        <row r="296">
          <cell r="A296">
            <v>49013</v>
          </cell>
        </row>
        <row r="297">
          <cell r="A297">
            <v>49014</v>
          </cell>
        </row>
        <row r="298">
          <cell r="A298">
            <v>49015</v>
          </cell>
        </row>
        <row r="299">
          <cell r="A299">
            <v>49016</v>
          </cell>
        </row>
        <row r="300">
          <cell r="A300">
            <v>50001</v>
          </cell>
        </row>
        <row r="301">
          <cell r="A301">
            <v>50002</v>
          </cell>
        </row>
        <row r="302">
          <cell r="A302">
            <v>50003</v>
          </cell>
        </row>
        <row r="303">
          <cell r="A303">
            <v>50004</v>
          </cell>
        </row>
        <row r="304">
          <cell r="A304">
            <v>50005</v>
          </cell>
        </row>
        <row r="305">
          <cell r="A305">
            <v>50006</v>
          </cell>
        </row>
        <row r="306">
          <cell r="A306">
            <v>50007</v>
          </cell>
        </row>
        <row r="307">
          <cell r="A307">
            <v>50008</v>
          </cell>
        </row>
        <row r="308">
          <cell r="A308">
            <v>50009</v>
          </cell>
        </row>
        <row r="309">
          <cell r="A309">
            <v>50010</v>
          </cell>
        </row>
        <row r="310">
          <cell r="A310">
            <v>50011</v>
          </cell>
        </row>
        <row r="311">
          <cell r="A311">
            <v>50012</v>
          </cell>
        </row>
        <row r="312">
          <cell r="A312">
            <v>50013</v>
          </cell>
        </row>
        <row r="313">
          <cell r="A313">
            <v>50014</v>
          </cell>
        </row>
        <row r="314">
          <cell r="A314">
            <v>50015</v>
          </cell>
        </row>
        <row r="315">
          <cell r="A315">
            <v>51001</v>
          </cell>
        </row>
        <row r="316">
          <cell r="A316">
            <v>51002</v>
          </cell>
        </row>
        <row r="317">
          <cell r="A317">
            <v>58001</v>
          </cell>
        </row>
        <row r="318">
          <cell r="A318">
            <v>59001</v>
          </cell>
        </row>
        <row r="319">
          <cell r="A319">
            <v>59002</v>
          </cell>
        </row>
        <row r="320">
          <cell r="A320">
            <v>59003</v>
          </cell>
        </row>
        <row r="321">
          <cell r="A321">
            <v>60001</v>
          </cell>
        </row>
        <row r="322">
          <cell r="A322">
            <v>60002</v>
          </cell>
        </row>
        <row r="323">
          <cell r="A323">
            <v>60003</v>
          </cell>
        </row>
        <row r="324">
          <cell r="A324">
            <v>60004</v>
          </cell>
        </row>
        <row r="325">
          <cell r="A325">
            <v>60005</v>
          </cell>
        </row>
        <row r="326">
          <cell r="A326">
            <v>60006</v>
          </cell>
        </row>
        <row r="327">
          <cell r="A327">
            <v>60007</v>
          </cell>
        </row>
        <row r="328">
          <cell r="A328">
            <v>60010</v>
          </cell>
        </row>
        <row r="329">
          <cell r="A329">
            <v>60011</v>
          </cell>
        </row>
        <row r="330">
          <cell r="A330">
            <v>61011</v>
          </cell>
        </row>
        <row r="331">
          <cell r="A331">
            <v>60012</v>
          </cell>
        </row>
        <row r="332">
          <cell r="A332">
            <v>60013</v>
          </cell>
        </row>
        <row r="333">
          <cell r="A333">
            <v>60014</v>
          </cell>
        </row>
        <row r="334">
          <cell r="A334">
            <v>60015</v>
          </cell>
        </row>
        <row r="335">
          <cell r="A335">
            <v>60016</v>
          </cell>
        </row>
        <row r="336">
          <cell r="A336">
            <v>60017</v>
          </cell>
        </row>
        <row r="337">
          <cell r="A337">
            <v>60018</v>
          </cell>
        </row>
        <row r="338">
          <cell r="A338">
            <v>60019</v>
          </cell>
        </row>
        <row r="339">
          <cell r="A339">
            <v>60020</v>
          </cell>
        </row>
        <row r="340">
          <cell r="A340">
            <v>60025</v>
          </cell>
        </row>
        <row r="341">
          <cell r="A341">
            <v>60026</v>
          </cell>
        </row>
        <row r="342">
          <cell r="A342">
            <v>60027</v>
          </cell>
        </row>
        <row r="343">
          <cell r="A343">
            <v>60028</v>
          </cell>
        </row>
        <row r="344">
          <cell r="A344">
            <v>60029</v>
          </cell>
        </row>
        <row r="345">
          <cell r="A345">
            <v>65523</v>
          </cell>
        </row>
        <row r="346">
          <cell r="A346">
            <v>65524</v>
          </cell>
        </row>
        <row r="347">
          <cell r="A347">
            <v>65525</v>
          </cell>
        </row>
        <row r="348">
          <cell r="A348">
            <v>65526</v>
          </cell>
        </row>
        <row r="349">
          <cell r="A349">
            <v>65527</v>
          </cell>
        </row>
        <row r="350">
          <cell r="A350">
            <v>65528</v>
          </cell>
        </row>
        <row r="351">
          <cell r="A351">
            <v>65529</v>
          </cell>
        </row>
        <row r="352">
          <cell r="A352">
            <v>65530</v>
          </cell>
        </row>
        <row r="353">
          <cell r="A353">
            <v>65531</v>
          </cell>
        </row>
        <row r="354">
          <cell r="A354">
            <v>65532</v>
          </cell>
        </row>
        <row r="355">
          <cell r="A355">
            <v>65533</v>
          </cell>
        </row>
        <row r="356">
          <cell r="A356">
            <v>65534</v>
          </cell>
        </row>
        <row r="357">
          <cell r="A357">
            <v>65535</v>
          </cell>
        </row>
        <row r="358">
          <cell r="A358">
            <v>60021</v>
          </cell>
        </row>
        <row r="359">
          <cell r="A359">
            <v>60022</v>
          </cell>
        </row>
        <row r="360">
          <cell r="A360">
            <v>60023</v>
          </cell>
        </row>
        <row r="361">
          <cell r="A36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39013_1</v>
          </cell>
        </row>
        <row r="718">
          <cell r="A718" t="str">
            <v>39013_2</v>
          </cell>
        </row>
        <row r="719">
          <cell r="A719" t="str">
            <v>39013_3</v>
          </cell>
        </row>
        <row r="720">
          <cell r="A720" t="str">
            <v>39013_4</v>
          </cell>
        </row>
        <row r="721">
          <cell r="A721" t="str">
            <v>39014_1</v>
          </cell>
        </row>
        <row r="722">
          <cell r="A722" t="str">
            <v>40001_1</v>
          </cell>
        </row>
        <row r="723">
          <cell r="A723" t="str">
            <v>40002_1</v>
          </cell>
        </row>
        <row r="724">
          <cell r="A724" t="str">
            <v>40002_2</v>
          </cell>
        </row>
        <row r="725">
          <cell r="A725" t="str">
            <v>40002_3</v>
          </cell>
        </row>
        <row r="726">
          <cell r="A726" t="str">
            <v>40003_1</v>
          </cell>
        </row>
        <row r="727">
          <cell r="A727" t="str">
            <v>40004_1</v>
          </cell>
        </row>
        <row r="728">
          <cell r="A728" t="str">
            <v>40005_1</v>
          </cell>
        </row>
        <row r="729">
          <cell r="A729" t="str">
            <v>40006_1</v>
          </cell>
        </row>
        <row r="730">
          <cell r="A730" t="str">
            <v>40007_1</v>
          </cell>
        </row>
        <row r="731">
          <cell r="A731" t="str">
            <v>40008_1</v>
          </cell>
        </row>
        <row r="732">
          <cell r="A732" t="str">
            <v>40009_1</v>
          </cell>
        </row>
        <row r="733">
          <cell r="A733" t="str">
            <v>40010_1</v>
          </cell>
        </row>
        <row r="734">
          <cell r="A734" t="str">
            <v>40011_1</v>
          </cell>
        </row>
        <row r="735">
          <cell r="A735" t="str">
            <v>40012_1</v>
          </cell>
        </row>
        <row r="736">
          <cell r="A736" t="str">
            <v>40013_1</v>
          </cell>
        </row>
        <row r="737">
          <cell r="A737" t="str">
            <v>40014_1</v>
          </cell>
        </row>
        <row r="738">
          <cell r="A738" t="str">
            <v>40015_1</v>
          </cell>
        </row>
        <row r="739">
          <cell r="A739" t="str">
            <v>40016_1</v>
          </cell>
        </row>
        <row r="740">
          <cell r="A740" t="str">
            <v>40016_2</v>
          </cell>
        </row>
        <row r="741">
          <cell r="A741" t="str">
            <v>40017_1</v>
          </cell>
        </row>
        <row r="742">
          <cell r="A742" t="str">
            <v>40017_2</v>
          </cell>
        </row>
        <row r="743">
          <cell r="A743" t="str">
            <v>40017_3</v>
          </cell>
        </row>
        <row r="744">
          <cell r="A744" t="str">
            <v>40018_1</v>
          </cell>
        </row>
        <row r="745">
          <cell r="A745" t="str">
            <v>40018_2</v>
          </cell>
        </row>
        <row r="746">
          <cell r="A746" t="str">
            <v>40018_3</v>
          </cell>
        </row>
        <row r="747">
          <cell r="A747" t="str">
            <v>40019_1</v>
          </cell>
        </row>
        <row r="748">
          <cell r="A748" t="str">
            <v>40019_2</v>
          </cell>
        </row>
        <row r="749">
          <cell r="A749" t="str">
            <v>40019_3</v>
          </cell>
        </row>
        <row r="750">
          <cell r="A750" t="str">
            <v>40021_1</v>
          </cell>
        </row>
        <row r="751">
          <cell r="A751" t="str">
            <v>40021_2</v>
          </cell>
        </row>
        <row r="752">
          <cell r="A752" t="str">
            <v>40022_1</v>
          </cell>
        </row>
        <row r="753">
          <cell r="A753" t="str">
            <v>40022_2</v>
          </cell>
        </row>
        <row r="754">
          <cell r="A754" t="str">
            <v>40023_1</v>
          </cell>
        </row>
        <row r="755">
          <cell r="A755" t="str">
            <v>40023_2</v>
          </cell>
        </row>
        <row r="756">
          <cell r="A756" t="str">
            <v>40024_1</v>
          </cell>
        </row>
        <row r="757">
          <cell r="A757" t="str">
            <v>40024_2</v>
          </cell>
        </row>
        <row r="758">
          <cell r="A758" t="str">
            <v>40025_1</v>
          </cell>
        </row>
        <row r="759">
          <cell r="A759" t="str">
            <v>40025_2</v>
          </cell>
        </row>
        <row r="760">
          <cell r="A760" t="str">
            <v>40026_1</v>
          </cell>
        </row>
        <row r="761">
          <cell r="A761" t="str">
            <v>40026_2</v>
          </cell>
        </row>
        <row r="762">
          <cell r="A762" t="str">
            <v>40027_1</v>
          </cell>
        </row>
        <row r="763">
          <cell r="A763" t="str">
            <v>40027_2</v>
          </cell>
        </row>
        <row r="764">
          <cell r="A764" t="str">
            <v>40028_1</v>
          </cell>
        </row>
        <row r="765">
          <cell r="A765" t="str">
            <v>40028_2</v>
          </cell>
        </row>
        <row r="766">
          <cell r="A766" t="str">
            <v>40029_1</v>
          </cell>
        </row>
        <row r="767">
          <cell r="A767" t="str">
            <v>40029_2</v>
          </cell>
        </row>
        <row r="768">
          <cell r="A768" t="str">
            <v>40030_1</v>
          </cell>
        </row>
        <row r="769">
          <cell r="A769" t="str">
            <v>40030_2</v>
          </cell>
        </row>
        <row r="770">
          <cell r="A770" t="str">
            <v>40031_1</v>
          </cell>
        </row>
        <row r="771">
          <cell r="A771" t="str">
            <v>40031_2</v>
          </cell>
        </row>
        <row r="772">
          <cell r="A772" t="str">
            <v>40032_1</v>
          </cell>
        </row>
        <row r="773">
          <cell r="A773" t="str">
            <v>40032_2</v>
          </cell>
        </row>
        <row r="774">
          <cell r="A774" t="str">
            <v>40033_1</v>
          </cell>
        </row>
        <row r="775">
          <cell r="A775" t="str">
            <v>40033_2</v>
          </cell>
        </row>
        <row r="776">
          <cell r="A776" t="str">
            <v>40034_1</v>
          </cell>
        </row>
        <row r="777">
          <cell r="A777" t="str">
            <v>40034_2</v>
          </cell>
        </row>
        <row r="778">
          <cell r="A778" t="str">
            <v>40035_1</v>
          </cell>
        </row>
        <row r="779">
          <cell r="A779" t="str">
            <v>40035_2</v>
          </cell>
        </row>
        <row r="780">
          <cell r="A780" t="str">
            <v>40036_1</v>
          </cell>
        </row>
        <row r="781">
          <cell r="A781" t="str">
            <v>40036_2</v>
          </cell>
        </row>
        <row r="782">
          <cell r="A782" t="str">
            <v>40037_1</v>
          </cell>
        </row>
        <row r="783">
          <cell r="A783" t="str">
            <v>40037_2</v>
          </cell>
        </row>
        <row r="784">
          <cell r="A784" t="str">
            <v>40038_1</v>
          </cell>
        </row>
        <row r="785">
          <cell r="A785" t="str">
            <v>40038_2</v>
          </cell>
        </row>
        <row r="786">
          <cell r="A786" t="str">
            <v>40039_1</v>
          </cell>
        </row>
        <row r="787">
          <cell r="A787" t="str">
            <v>40039_2</v>
          </cell>
        </row>
        <row r="788">
          <cell r="A788" t="str">
            <v>40040_1</v>
          </cell>
        </row>
        <row r="789">
          <cell r="A789" t="str">
            <v>40040_2</v>
          </cell>
        </row>
        <row r="790">
          <cell r="A790" t="str">
            <v>40041_1</v>
          </cell>
        </row>
        <row r="791">
          <cell r="A791" t="str">
            <v>40041_2</v>
          </cell>
        </row>
        <row r="792">
          <cell r="A792" t="str">
            <v>40042_1</v>
          </cell>
        </row>
        <row r="793">
          <cell r="A793" t="str">
            <v>40042_2</v>
          </cell>
        </row>
        <row r="794">
          <cell r="A794" t="str">
            <v>40043_1</v>
          </cell>
        </row>
        <row r="795">
          <cell r="A795" t="str">
            <v>40043_2</v>
          </cell>
        </row>
        <row r="796">
          <cell r="A796" t="str">
            <v>40044_1</v>
          </cell>
        </row>
        <row r="797">
          <cell r="A797" t="str">
            <v>40044_2</v>
          </cell>
        </row>
        <row r="798">
          <cell r="A798" t="str">
            <v>40045_1</v>
          </cell>
        </row>
        <row r="799">
          <cell r="A799" t="str">
            <v>40045_2</v>
          </cell>
        </row>
        <row r="800">
          <cell r="A800" t="str">
            <v>41001_1</v>
          </cell>
        </row>
        <row r="801">
          <cell r="A801" t="str">
            <v>41001_2</v>
          </cell>
        </row>
        <row r="802">
          <cell r="A802" t="str">
            <v>41001_3</v>
          </cell>
        </row>
        <row r="803">
          <cell r="A803" t="str">
            <v>41002_1</v>
          </cell>
        </row>
        <row r="804">
          <cell r="A804" t="str">
            <v>41002_2</v>
          </cell>
        </row>
        <row r="805">
          <cell r="A805" t="str">
            <v>41002_3</v>
          </cell>
        </row>
        <row r="806">
          <cell r="A806" t="str">
            <v>41003_1</v>
          </cell>
        </row>
        <row r="807">
          <cell r="A807" t="str">
            <v>41003_2</v>
          </cell>
        </row>
        <row r="808">
          <cell r="A808" t="str">
            <v>41003_3</v>
          </cell>
        </row>
        <row r="809">
          <cell r="A809" t="str">
            <v>41004_1</v>
          </cell>
        </row>
        <row r="810">
          <cell r="A810" t="str">
            <v>41004_2</v>
          </cell>
        </row>
        <row r="811">
          <cell r="A811" t="str">
            <v>41004_3</v>
          </cell>
        </row>
        <row r="812">
          <cell r="A812" t="str">
            <v>41005_1</v>
          </cell>
        </row>
        <row r="813">
          <cell r="A813" t="str">
            <v>41005_2</v>
          </cell>
        </row>
        <row r="814">
          <cell r="A814" t="str">
            <v>41005_3</v>
          </cell>
        </row>
        <row r="815">
          <cell r="A815" t="str">
            <v>41006_1</v>
          </cell>
        </row>
        <row r="816">
          <cell r="A816" t="str">
            <v>41006_2</v>
          </cell>
        </row>
        <row r="817">
          <cell r="A817" t="str">
            <v>41006_3</v>
          </cell>
        </row>
        <row r="818">
          <cell r="A818" t="str">
            <v>41007_1</v>
          </cell>
        </row>
        <row r="819">
          <cell r="A819" t="str">
            <v>41007_2</v>
          </cell>
        </row>
        <row r="820">
          <cell r="A820" t="str">
            <v>41007_3</v>
          </cell>
        </row>
        <row r="821">
          <cell r="A821" t="str">
            <v>41008_1</v>
          </cell>
        </row>
        <row r="822">
          <cell r="A822" t="str">
            <v>41008_2</v>
          </cell>
        </row>
        <row r="823">
          <cell r="A823" t="str">
            <v>41008_3</v>
          </cell>
        </row>
        <row r="824">
          <cell r="A824" t="str">
            <v>41009_1</v>
          </cell>
        </row>
        <row r="825">
          <cell r="A825" t="str">
            <v>41009_2</v>
          </cell>
        </row>
        <row r="826">
          <cell r="A826" t="str">
            <v>41009_3</v>
          </cell>
        </row>
        <row r="827">
          <cell r="A827" t="str">
            <v>41010_1</v>
          </cell>
        </row>
        <row r="828">
          <cell r="A828" t="str">
            <v>41010_2</v>
          </cell>
        </row>
        <row r="829">
          <cell r="A829" t="str">
            <v>41010_3</v>
          </cell>
        </row>
        <row r="830">
          <cell r="A830" t="str">
            <v>41011_1</v>
          </cell>
        </row>
        <row r="831">
          <cell r="A831" t="str">
            <v>41011_2</v>
          </cell>
        </row>
        <row r="832">
          <cell r="A832" t="str">
            <v>41012_1</v>
          </cell>
        </row>
        <row r="833">
          <cell r="A833" t="str">
            <v>41012_2</v>
          </cell>
        </row>
        <row r="834">
          <cell r="A834" t="str">
            <v>41013_1</v>
          </cell>
        </row>
        <row r="835">
          <cell r="A835" t="str">
            <v>41013_2</v>
          </cell>
        </row>
        <row r="836">
          <cell r="A836" t="str">
            <v>41014_1</v>
          </cell>
        </row>
        <row r="837">
          <cell r="A837" t="str">
            <v>41014_2</v>
          </cell>
        </row>
        <row r="838">
          <cell r="A838" t="str">
            <v>41015_1</v>
          </cell>
        </row>
        <row r="839">
          <cell r="A839" t="str">
            <v>41015_2</v>
          </cell>
        </row>
        <row r="840">
          <cell r="A840" t="str">
            <v>47001_1</v>
          </cell>
        </row>
        <row r="841">
          <cell r="A841" t="str">
            <v>47001_2</v>
          </cell>
        </row>
        <row r="842">
          <cell r="A842" t="str">
            <v>47002_1</v>
          </cell>
        </row>
        <row r="843">
          <cell r="A843" t="str">
            <v>47002_2</v>
          </cell>
        </row>
        <row r="844">
          <cell r="A844" t="str">
            <v>47003_1</v>
          </cell>
        </row>
        <row r="845">
          <cell r="A845" t="str">
            <v>47003_2</v>
          </cell>
        </row>
        <row r="846">
          <cell r="A846" t="str">
            <v>47003_3</v>
          </cell>
        </row>
        <row r="847">
          <cell r="A847" t="str">
            <v>47003_4</v>
          </cell>
        </row>
        <row r="848">
          <cell r="A848" t="str">
            <v>47004_1</v>
          </cell>
        </row>
        <row r="849">
          <cell r="A849" t="str">
            <v>47004_2</v>
          </cell>
        </row>
        <row r="850">
          <cell r="A850" t="str">
            <v>47004_3</v>
          </cell>
        </row>
        <row r="851">
          <cell r="A851" t="str">
            <v>47004_4</v>
          </cell>
        </row>
        <row r="852">
          <cell r="A852" t="str">
            <v>47005_1</v>
          </cell>
        </row>
        <row r="853">
          <cell r="A853" t="str">
            <v>47006_1</v>
          </cell>
        </row>
        <row r="854">
          <cell r="A854" t="str">
            <v>47006_2</v>
          </cell>
        </row>
        <row r="855">
          <cell r="A855" t="str">
            <v>47007_1</v>
          </cell>
        </row>
        <row r="856">
          <cell r="A856" t="str">
            <v>47007_2</v>
          </cell>
        </row>
        <row r="857">
          <cell r="A857" t="str">
            <v>47008_1</v>
          </cell>
        </row>
        <row r="858">
          <cell r="A858" t="str">
            <v>47008_2</v>
          </cell>
        </row>
        <row r="859">
          <cell r="A859" t="str">
            <v>47009_1</v>
          </cell>
        </row>
        <row r="860">
          <cell r="A860" t="str">
            <v>47009_2</v>
          </cell>
        </row>
        <row r="861">
          <cell r="A861" t="str">
            <v>47010_1</v>
          </cell>
        </row>
        <row r="862">
          <cell r="A862" t="str">
            <v>47010_2</v>
          </cell>
        </row>
        <row r="863">
          <cell r="A863" t="str">
            <v>47011_1</v>
          </cell>
        </row>
        <row r="864">
          <cell r="A864" t="str">
            <v>47012_1</v>
          </cell>
        </row>
        <row r="865">
          <cell r="A865" t="str">
            <v>47012_2</v>
          </cell>
        </row>
        <row r="866">
          <cell r="A866" t="str">
            <v>47013_1</v>
          </cell>
        </row>
        <row r="867">
          <cell r="A867" t="str">
            <v>47013_2</v>
          </cell>
        </row>
        <row r="868">
          <cell r="A868" t="str">
            <v>48001_1</v>
          </cell>
        </row>
        <row r="869">
          <cell r="A869" t="str">
            <v>48002_1</v>
          </cell>
        </row>
        <row r="870">
          <cell r="A870" t="str">
            <v>48002_2</v>
          </cell>
        </row>
        <row r="871">
          <cell r="A871" t="str">
            <v>48002_3</v>
          </cell>
        </row>
        <row r="872">
          <cell r="A872" t="str">
            <v>48003_1</v>
          </cell>
        </row>
        <row r="873">
          <cell r="A873" t="str">
            <v>48003_2</v>
          </cell>
        </row>
        <row r="874">
          <cell r="A874" t="str">
            <v>48004_1</v>
          </cell>
        </row>
        <row r="875">
          <cell r="A875" t="str">
            <v>48004_2</v>
          </cell>
        </row>
        <row r="876">
          <cell r="A876" t="str">
            <v>48005_1</v>
          </cell>
        </row>
        <row r="877">
          <cell r="A877" t="str">
            <v>48005_2</v>
          </cell>
        </row>
        <row r="878">
          <cell r="A878" t="str">
            <v>48006_1</v>
          </cell>
        </row>
        <row r="879">
          <cell r="A879" t="str">
            <v>48006_2</v>
          </cell>
        </row>
        <row r="880">
          <cell r="A880" t="str">
            <v>48007_1</v>
          </cell>
        </row>
        <row r="881">
          <cell r="A881" t="str">
            <v>48007_2</v>
          </cell>
        </row>
        <row r="882">
          <cell r="A882" t="str">
            <v>48008_1</v>
          </cell>
        </row>
        <row r="883">
          <cell r="A883" t="str">
            <v>48008_2</v>
          </cell>
        </row>
        <row r="884">
          <cell r="A884" t="str">
            <v>48009_1</v>
          </cell>
        </row>
        <row r="885">
          <cell r="A885" t="str">
            <v>48009_2</v>
          </cell>
        </row>
        <row r="886">
          <cell r="A886" t="str">
            <v>48010_1</v>
          </cell>
        </row>
        <row r="887">
          <cell r="A887" t="str">
            <v>48011_1</v>
          </cell>
        </row>
        <row r="888">
          <cell r="A888" t="str">
            <v>48011_2</v>
          </cell>
        </row>
        <row r="889">
          <cell r="A889" t="str">
            <v>48012_1</v>
          </cell>
        </row>
        <row r="890">
          <cell r="A890" t="str">
            <v>48012_2</v>
          </cell>
        </row>
        <row r="891">
          <cell r="A891" t="str">
            <v>48501_1</v>
          </cell>
        </row>
        <row r="892">
          <cell r="A892" t="str">
            <v>48501_2</v>
          </cell>
        </row>
        <row r="893">
          <cell r="A893" t="str">
            <v>48502_1</v>
          </cell>
        </row>
        <row r="894">
          <cell r="A894" t="str">
            <v>48502_2</v>
          </cell>
        </row>
        <row r="895">
          <cell r="A895" t="str">
            <v>48701_1</v>
          </cell>
        </row>
        <row r="896">
          <cell r="A896" t="str">
            <v>48701_2</v>
          </cell>
        </row>
        <row r="897">
          <cell r="A897" t="str">
            <v>48702_1</v>
          </cell>
        </row>
        <row r="898">
          <cell r="A898" t="str">
            <v>48702_2</v>
          </cell>
        </row>
        <row r="899">
          <cell r="A899" t="str">
            <v>49001_1</v>
          </cell>
        </row>
        <row r="900">
          <cell r="A900" t="str">
            <v>49002_1</v>
          </cell>
        </row>
        <row r="901">
          <cell r="A901" t="str">
            <v>49002_2</v>
          </cell>
        </row>
        <row r="902">
          <cell r="A902" t="str">
            <v>49003_1</v>
          </cell>
        </row>
        <row r="903">
          <cell r="A903" t="str">
            <v>49003_2</v>
          </cell>
        </row>
        <row r="904">
          <cell r="A904" t="str">
            <v>49004_1</v>
          </cell>
        </row>
        <row r="905">
          <cell r="A905" t="str">
            <v>49004_2</v>
          </cell>
        </row>
        <row r="906">
          <cell r="A906" t="str">
            <v>49004_3</v>
          </cell>
        </row>
        <row r="907">
          <cell r="A907" t="str">
            <v>49005_1</v>
          </cell>
        </row>
        <row r="908">
          <cell r="A908" t="str">
            <v>49006_1</v>
          </cell>
        </row>
        <row r="909">
          <cell r="A909" t="str">
            <v>49006_2</v>
          </cell>
        </row>
        <row r="910">
          <cell r="A910" t="str">
            <v>49007_1</v>
          </cell>
        </row>
        <row r="911">
          <cell r="A911" t="str">
            <v>49007_2</v>
          </cell>
        </row>
        <row r="912">
          <cell r="A912" t="str">
            <v>49007_3</v>
          </cell>
        </row>
        <row r="913">
          <cell r="A913" t="str">
            <v>49008_1</v>
          </cell>
        </row>
        <row r="914">
          <cell r="A914" t="str">
            <v>49009_1</v>
          </cell>
        </row>
        <row r="915">
          <cell r="A915" t="str">
            <v>49010_1</v>
          </cell>
        </row>
        <row r="916">
          <cell r="A916" t="str">
            <v>49011_1</v>
          </cell>
        </row>
        <row r="917">
          <cell r="A917" t="str">
            <v>49012_1</v>
          </cell>
        </row>
        <row r="918">
          <cell r="A918" t="str">
            <v>49013_1</v>
          </cell>
        </row>
        <row r="919">
          <cell r="A919" t="str">
            <v>49014_1</v>
          </cell>
        </row>
        <row r="920">
          <cell r="A920" t="str">
            <v>49014_2</v>
          </cell>
        </row>
        <row r="921">
          <cell r="A921" t="str">
            <v>49015_1</v>
          </cell>
        </row>
        <row r="922">
          <cell r="A922" t="str">
            <v>49015_2</v>
          </cell>
        </row>
        <row r="923">
          <cell r="A923" t="str">
            <v>49015_3</v>
          </cell>
        </row>
        <row r="924">
          <cell r="A924" t="str">
            <v>49016_1</v>
          </cell>
        </row>
        <row r="925">
          <cell r="A925" t="str">
            <v>49016_2</v>
          </cell>
        </row>
        <row r="926">
          <cell r="A926" t="str">
            <v>50001_1</v>
          </cell>
        </row>
        <row r="927">
          <cell r="A927" t="str">
            <v>50002_1</v>
          </cell>
        </row>
        <row r="928">
          <cell r="A928" t="str">
            <v>50003_1</v>
          </cell>
        </row>
        <row r="929">
          <cell r="A929" t="str">
            <v>50004_1</v>
          </cell>
        </row>
        <row r="930">
          <cell r="A930" t="str">
            <v>50005_1</v>
          </cell>
        </row>
        <row r="931">
          <cell r="A931" t="str">
            <v>50006_1</v>
          </cell>
        </row>
        <row r="932">
          <cell r="A932" t="str">
            <v>50007_1</v>
          </cell>
        </row>
        <row r="933">
          <cell r="A933" t="str">
            <v>50008_1</v>
          </cell>
        </row>
        <row r="934">
          <cell r="A934" t="str">
            <v>50009_1</v>
          </cell>
        </row>
        <row r="935">
          <cell r="A935" t="str">
            <v>50010_1</v>
          </cell>
        </row>
        <row r="936">
          <cell r="A936" t="str">
            <v>50011_1</v>
          </cell>
        </row>
        <row r="937">
          <cell r="A937" t="str">
            <v>50012_1</v>
          </cell>
        </row>
        <row r="938">
          <cell r="A938" t="str">
            <v>50013_1</v>
          </cell>
        </row>
        <row r="939">
          <cell r="A939" t="str">
            <v>50014_1</v>
          </cell>
        </row>
        <row r="940">
          <cell r="A940" t="str">
            <v>50015_1</v>
          </cell>
        </row>
        <row r="941">
          <cell r="A941" t="str">
            <v>51001_1</v>
          </cell>
        </row>
        <row r="942">
          <cell r="A942" t="str">
            <v>51002_1</v>
          </cell>
        </row>
        <row r="943">
          <cell r="A943" t="str">
            <v>58001_1</v>
          </cell>
        </row>
        <row r="944">
          <cell r="A944" t="str">
            <v>59001_1</v>
          </cell>
        </row>
        <row r="945">
          <cell r="A945" t="str">
            <v>59002_1</v>
          </cell>
        </row>
        <row r="946">
          <cell r="A946" t="str">
            <v>59003_1</v>
          </cell>
        </row>
        <row r="947">
          <cell r="A947" t="str">
            <v>59003_2</v>
          </cell>
        </row>
        <row r="948">
          <cell r="A948" t="str">
            <v>60001_1</v>
          </cell>
        </row>
        <row r="949">
          <cell r="A949" t="str">
            <v>60002_1</v>
          </cell>
        </row>
        <row r="950">
          <cell r="A950" t="str">
            <v>60002_2</v>
          </cell>
        </row>
        <row r="951">
          <cell r="A951" t="str">
            <v>60003_1</v>
          </cell>
        </row>
        <row r="952">
          <cell r="A952" t="str">
            <v>60003_2</v>
          </cell>
        </row>
        <row r="953">
          <cell r="A953" t="str">
            <v>60003_3</v>
          </cell>
        </row>
        <row r="954">
          <cell r="A954" t="str">
            <v>60004_1</v>
          </cell>
        </row>
        <row r="955">
          <cell r="A955" t="str">
            <v>60005_1</v>
          </cell>
        </row>
        <row r="956">
          <cell r="A956" t="str">
            <v>60006_1</v>
          </cell>
        </row>
        <row r="957">
          <cell r="A957" t="str">
            <v>60006_2</v>
          </cell>
        </row>
        <row r="958">
          <cell r="A958" t="str">
            <v>60006_3</v>
          </cell>
        </row>
        <row r="959">
          <cell r="A959" t="str">
            <v>60007_1</v>
          </cell>
        </row>
        <row r="960">
          <cell r="A960" t="str">
            <v>60007_2</v>
          </cell>
        </row>
        <row r="961">
          <cell r="A961" t="str">
            <v>60007_3</v>
          </cell>
        </row>
        <row r="962">
          <cell r="A962" t="str">
            <v>60010_1</v>
          </cell>
        </row>
        <row r="963">
          <cell r="A963" t="str">
            <v>60011_1</v>
          </cell>
        </row>
        <row r="964">
          <cell r="A964" t="str">
            <v>60011_2</v>
          </cell>
        </row>
        <row r="965">
          <cell r="A965" t="str">
            <v>60012_1</v>
          </cell>
        </row>
        <row r="966">
          <cell r="A966" t="str">
            <v>60013_1</v>
          </cell>
        </row>
        <row r="967">
          <cell r="A967" t="str">
            <v>60013_2</v>
          </cell>
        </row>
        <row r="968">
          <cell r="A968" t="str">
            <v>60013_3</v>
          </cell>
        </row>
        <row r="969">
          <cell r="A969" t="str">
            <v>60014_1</v>
          </cell>
        </row>
        <row r="970">
          <cell r="A970" t="str">
            <v>60015_1</v>
          </cell>
        </row>
        <row r="971">
          <cell r="A971" t="str">
            <v>60016_1</v>
          </cell>
        </row>
        <row r="972">
          <cell r="A972" t="str">
            <v>60017_1</v>
          </cell>
        </row>
        <row r="973">
          <cell r="A973" t="str">
            <v>60018_1</v>
          </cell>
        </row>
        <row r="974">
          <cell r="A974" t="str">
            <v>60019_1</v>
          </cell>
        </row>
        <row r="975">
          <cell r="A975" t="str">
            <v>60020_1</v>
          </cell>
        </row>
        <row r="976">
          <cell r="A976" t="str">
            <v>60021_3</v>
          </cell>
        </row>
        <row r="977">
          <cell r="A977" t="str">
            <v>60022_3</v>
          </cell>
        </row>
        <row r="978">
          <cell r="A978" t="str">
            <v>60023_3</v>
          </cell>
        </row>
        <row r="979">
          <cell r="A979" t="str">
            <v>60024_3</v>
          </cell>
        </row>
        <row r="980">
          <cell r="A980" t="str">
            <v>60025_1</v>
          </cell>
        </row>
        <row r="981">
          <cell r="A981" t="str">
            <v>60026_1</v>
          </cell>
        </row>
        <row r="982">
          <cell r="A982" t="str">
            <v>61011_1</v>
          </cell>
        </row>
        <row r="983">
          <cell r="A983" t="str">
            <v>60027_1</v>
          </cell>
        </row>
        <row r="984">
          <cell r="A984" t="str">
            <v>60028_1</v>
          </cell>
        </row>
        <row r="985">
          <cell r="A985" t="str">
            <v>60029_1</v>
          </cell>
        </row>
        <row r="986">
          <cell r="A986" t="str">
            <v>65523_1</v>
          </cell>
        </row>
        <row r="987">
          <cell r="A987" t="str">
            <v>65523_2</v>
          </cell>
        </row>
        <row r="988">
          <cell r="A988" t="str">
            <v>65523_3</v>
          </cell>
        </row>
        <row r="989">
          <cell r="A989" t="str">
            <v>65524_1</v>
          </cell>
        </row>
        <row r="990">
          <cell r="A990" t="str">
            <v>65524_2</v>
          </cell>
        </row>
        <row r="991">
          <cell r="A991" t="str">
            <v>65525_1</v>
          </cell>
        </row>
        <row r="992">
          <cell r="A992" t="str">
            <v>65526_1</v>
          </cell>
        </row>
        <row r="993">
          <cell r="A993" t="str">
            <v>65526_2</v>
          </cell>
        </row>
        <row r="994">
          <cell r="A994" t="str">
            <v>65527_1</v>
          </cell>
        </row>
        <row r="995">
          <cell r="A995" t="str">
            <v>65528_1</v>
          </cell>
        </row>
        <row r="996">
          <cell r="A996" t="str">
            <v>65529_1</v>
          </cell>
        </row>
        <row r="997">
          <cell r="A997" t="str">
            <v>65530_1</v>
          </cell>
        </row>
        <row r="998">
          <cell r="A998" t="str">
            <v>65531_1</v>
          </cell>
        </row>
        <row r="999">
          <cell r="A999" t="str">
            <v>65531_2</v>
          </cell>
        </row>
        <row r="1000">
          <cell r="A1000" t="str">
            <v>65532_1</v>
          </cell>
        </row>
        <row r="1001">
          <cell r="A1001" t="str">
            <v>65532_2</v>
          </cell>
        </row>
        <row r="1002">
          <cell r="A1002" t="str">
            <v>65533_1</v>
          </cell>
        </row>
        <row r="1003">
          <cell r="A1003" t="str">
            <v>65533_2</v>
          </cell>
        </row>
        <row r="1004">
          <cell r="A1004" t="str">
            <v>65534_1</v>
          </cell>
        </row>
        <row r="1005">
          <cell r="A1005" t="str">
            <v>65534_2</v>
          </cell>
        </row>
        <row r="1006">
          <cell r="A1006" t="str">
            <v>65535_1</v>
          </cell>
        </row>
        <row r="1007">
          <cell r="A1007" t="str">
            <v>65535_2</v>
          </cell>
        </row>
        <row r="1008">
          <cell r="A1008" t="str">
            <v>65535_3</v>
          </cell>
        </row>
        <row r="1009">
          <cell r="A1009" t="str">
            <v>65535_4</v>
          </cell>
        </row>
        <row r="1010">
          <cell r="A1010" t="str">
            <v>65535_5</v>
          </cell>
        </row>
        <row r="1011">
          <cell r="A1011" t="str">
            <v>65535_6</v>
          </cell>
        </row>
        <row r="1012">
          <cell r="A1012" t="str">
            <v>65535_7</v>
          </cell>
        </row>
        <row r="1013">
          <cell r="A1013" t="str">
            <v>65535_8</v>
          </cell>
        </row>
        <row r="1014">
          <cell r="A1014" t="str">
            <v>65535_9</v>
          </cell>
        </row>
        <row r="1015">
          <cell r="A1015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1490</v>
          </cell>
        </row>
        <row r="1448">
          <cell r="A1448">
            <v>1491</v>
          </cell>
        </row>
        <row r="1449">
          <cell r="A1449">
            <v>1495</v>
          </cell>
        </row>
        <row r="1450">
          <cell r="A1450">
            <v>1496</v>
          </cell>
        </row>
        <row r="1451">
          <cell r="A1451">
            <v>1497</v>
          </cell>
        </row>
        <row r="1452">
          <cell r="A1452">
            <v>1498</v>
          </cell>
        </row>
        <row r="1453">
          <cell r="A1453">
            <v>1499</v>
          </cell>
        </row>
        <row r="1454">
          <cell r="A1454">
            <v>1500</v>
          </cell>
        </row>
        <row r="1455">
          <cell r="A1455">
            <v>1501</v>
          </cell>
        </row>
        <row r="1456">
          <cell r="A1456">
            <v>1502</v>
          </cell>
        </row>
        <row r="1457">
          <cell r="A1457">
            <v>1503</v>
          </cell>
        </row>
        <row r="1458">
          <cell r="A1458">
            <v>1504</v>
          </cell>
        </row>
        <row r="1459">
          <cell r="A1459">
            <v>1505</v>
          </cell>
        </row>
        <row r="1460">
          <cell r="A1460">
            <v>1506</v>
          </cell>
        </row>
        <row r="1461">
          <cell r="A1461">
            <v>1507</v>
          </cell>
        </row>
        <row r="1462">
          <cell r="A1462">
            <v>1508</v>
          </cell>
        </row>
        <row r="1463">
          <cell r="A1463">
            <v>1509</v>
          </cell>
        </row>
        <row r="1464">
          <cell r="A1464">
            <v>1510</v>
          </cell>
        </row>
        <row r="1465">
          <cell r="A1465">
            <v>1511</v>
          </cell>
        </row>
        <row r="1466">
          <cell r="A1466">
            <v>1512</v>
          </cell>
        </row>
        <row r="1467">
          <cell r="A1467">
            <v>1513</v>
          </cell>
        </row>
        <row r="1468">
          <cell r="A1468">
            <v>1514</v>
          </cell>
        </row>
        <row r="1469">
          <cell r="A1469">
            <v>1515</v>
          </cell>
        </row>
        <row r="1470">
          <cell r="A1470">
            <v>1516</v>
          </cell>
        </row>
        <row r="1471">
          <cell r="A1471">
            <v>1517</v>
          </cell>
        </row>
        <row r="1472">
          <cell r="A1472">
            <v>1518</v>
          </cell>
        </row>
        <row r="1473">
          <cell r="A1473">
            <v>1519</v>
          </cell>
        </row>
        <row r="1474">
          <cell r="A1474">
            <v>1520</v>
          </cell>
        </row>
        <row r="1475">
          <cell r="A1475">
            <v>1521</v>
          </cell>
        </row>
        <row r="1476">
          <cell r="A1476">
            <v>1522</v>
          </cell>
        </row>
        <row r="1477">
          <cell r="A1477">
            <v>1523</v>
          </cell>
        </row>
        <row r="1478">
          <cell r="A1478">
            <v>1524</v>
          </cell>
        </row>
        <row r="1479">
          <cell r="A1479">
            <v>1525</v>
          </cell>
        </row>
        <row r="1480">
          <cell r="A1480">
            <v>1526</v>
          </cell>
        </row>
        <row r="1481">
          <cell r="A1481">
            <v>1527</v>
          </cell>
        </row>
        <row r="1482">
          <cell r="A1482">
            <v>1528</v>
          </cell>
        </row>
        <row r="1483">
          <cell r="A1483">
            <v>1529</v>
          </cell>
        </row>
        <row r="1484">
          <cell r="A1484">
            <v>1530</v>
          </cell>
        </row>
        <row r="1485">
          <cell r="A1485">
            <v>1531</v>
          </cell>
        </row>
        <row r="1486">
          <cell r="A1486">
            <v>1532</v>
          </cell>
        </row>
        <row r="1487">
          <cell r="A1487">
            <v>1533</v>
          </cell>
        </row>
        <row r="1488">
          <cell r="A1488">
            <v>1534</v>
          </cell>
        </row>
        <row r="1489">
          <cell r="A1489">
            <v>1535</v>
          </cell>
        </row>
        <row r="1490">
          <cell r="A1490">
            <v>1536</v>
          </cell>
        </row>
        <row r="1491">
          <cell r="A1491">
            <v>1537</v>
          </cell>
        </row>
        <row r="1492">
          <cell r="A1492">
            <v>1538</v>
          </cell>
        </row>
        <row r="1493">
          <cell r="A1493">
            <v>1539</v>
          </cell>
        </row>
        <row r="1494">
          <cell r="A1494">
            <v>1540</v>
          </cell>
        </row>
        <row r="1495">
          <cell r="A1495">
            <v>1541</v>
          </cell>
        </row>
        <row r="1496">
          <cell r="A1496">
            <v>1542</v>
          </cell>
        </row>
        <row r="1497">
          <cell r="A1497">
            <v>1543</v>
          </cell>
        </row>
        <row r="1498">
          <cell r="A1498">
            <v>1544</v>
          </cell>
        </row>
        <row r="1499">
          <cell r="A1499">
            <v>1545</v>
          </cell>
        </row>
        <row r="1500">
          <cell r="A1500">
            <v>1546</v>
          </cell>
        </row>
        <row r="1501">
          <cell r="A1501">
            <v>1547</v>
          </cell>
        </row>
        <row r="1502">
          <cell r="A1502">
            <v>1548</v>
          </cell>
        </row>
        <row r="1503">
          <cell r="A1503">
            <v>1549</v>
          </cell>
        </row>
        <row r="1504">
          <cell r="A1504">
            <v>1550</v>
          </cell>
        </row>
        <row r="1505">
          <cell r="A1505">
            <v>1551</v>
          </cell>
        </row>
        <row r="1506">
          <cell r="A1506">
            <v>1552</v>
          </cell>
        </row>
        <row r="1507">
          <cell r="A1507">
            <v>1553</v>
          </cell>
        </row>
        <row r="1508">
          <cell r="A1508">
            <v>1554</v>
          </cell>
        </row>
        <row r="1509">
          <cell r="A1509">
            <v>1555</v>
          </cell>
        </row>
        <row r="1510">
          <cell r="A1510">
            <v>1556</v>
          </cell>
        </row>
        <row r="1511">
          <cell r="A1511">
            <v>1557</v>
          </cell>
        </row>
        <row r="1512">
          <cell r="A1512">
            <v>1558</v>
          </cell>
        </row>
        <row r="1513">
          <cell r="A1513">
            <v>1559</v>
          </cell>
        </row>
        <row r="1514">
          <cell r="A1514">
            <v>1560</v>
          </cell>
        </row>
        <row r="1515">
          <cell r="A1515">
            <v>1561</v>
          </cell>
        </row>
        <row r="1516">
          <cell r="A1516">
            <v>1562</v>
          </cell>
        </row>
        <row r="1517">
          <cell r="A1517">
            <v>1563</v>
          </cell>
        </row>
        <row r="1518">
          <cell r="A1518">
            <v>1564</v>
          </cell>
        </row>
        <row r="1519">
          <cell r="A1519">
            <v>1565</v>
          </cell>
        </row>
        <row r="1520">
          <cell r="A1520">
            <v>1566</v>
          </cell>
        </row>
        <row r="1521">
          <cell r="A1521">
            <v>1567</v>
          </cell>
        </row>
        <row r="1522">
          <cell r="A1522">
            <v>1568</v>
          </cell>
        </row>
        <row r="1523">
          <cell r="A1523">
            <v>1569</v>
          </cell>
        </row>
        <row r="1524">
          <cell r="A1524">
            <v>1570</v>
          </cell>
        </row>
        <row r="1525">
          <cell r="A1525">
            <v>1571</v>
          </cell>
        </row>
        <row r="1526">
          <cell r="A1526">
            <v>1572</v>
          </cell>
        </row>
        <row r="1527">
          <cell r="A1527">
            <v>1573</v>
          </cell>
        </row>
        <row r="1528">
          <cell r="A1528">
            <v>1574</v>
          </cell>
        </row>
        <row r="1529">
          <cell r="A1529">
            <v>1575</v>
          </cell>
        </row>
        <row r="1530">
          <cell r="A1530">
            <v>1576</v>
          </cell>
        </row>
        <row r="1531">
          <cell r="A1531">
            <v>1577</v>
          </cell>
        </row>
        <row r="1532">
          <cell r="A1532">
            <v>1578</v>
          </cell>
        </row>
        <row r="1533">
          <cell r="A1533">
            <v>1579</v>
          </cell>
        </row>
        <row r="1534">
          <cell r="A1534">
            <v>1580</v>
          </cell>
        </row>
        <row r="1535">
          <cell r="A1535">
            <v>1581</v>
          </cell>
        </row>
        <row r="1536">
          <cell r="A1536">
            <v>1582</v>
          </cell>
        </row>
        <row r="1537">
          <cell r="A1537">
            <v>1583</v>
          </cell>
        </row>
        <row r="1538">
          <cell r="A1538">
            <v>1584</v>
          </cell>
        </row>
        <row r="1539">
          <cell r="A1539">
            <v>1585</v>
          </cell>
        </row>
        <row r="1540">
          <cell r="A1540">
            <v>1586</v>
          </cell>
        </row>
        <row r="1541">
          <cell r="A1541">
            <v>1587</v>
          </cell>
        </row>
        <row r="1542">
          <cell r="A1542">
            <v>1588</v>
          </cell>
        </row>
        <row r="1543">
          <cell r="A1543">
            <v>1613</v>
          </cell>
        </row>
        <row r="1544">
          <cell r="A1544">
            <v>1614</v>
          </cell>
        </row>
        <row r="1545">
          <cell r="A1545">
            <v>5001</v>
          </cell>
        </row>
        <row r="1546">
          <cell r="A1546">
            <v>5002</v>
          </cell>
        </row>
        <row r="1547">
          <cell r="A1547">
            <v>5003</v>
          </cell>
        </row>
        <row r="1548">
          <cell r="A1548">
            <v>5004</v>
          </cell>
        </row>
        <row r="1549">
          <cell r="A1549">
            <v>5005</v>
          </cell>
        </row>
        <row r="1550">
          <cell r="A1550">
            <v>5006</v>
          </cell>
        </row>
        <row r="1551">
          <cell r="A1551">
            <v>5007</v>
          </cell>
        </row>
        <row r="1552">
          <cell r="A1552">
            <v>5008</v>
          </cell>
        </row>
        <row r="1553">
          <cell r="A1553">
            <v>6001</v>
          </cell>
        </row>
        <row r="1554">
          <cell r="A1554">
            <v>6002</v>
          </cell>
        </row>
        <row r="1555">
          <cell r="A1555">
            <v>6003</v>
          </cell>
        </row>
        <row r="1556">
          <cell r="A1556">
            <v>6004</v>
          </cell>
        </row>
        <row r="1557">
          <cell r="A1557">
            <v>6005</v>
          </cell>
        </row>
        <row r="1558">
          <cell r="A1558">
            <v>6006</v>
          </cell>
        </row>
        <row r="1559">
          <cell r="A1559">
            <v>6007</v>
          </cell>
        </row>
        <row r="1560">
          <cell r="A1560">
            <v>6008</v>
          </cell>
        </row>
        <row r="1561">
          <cell r="A1561">
            <v>6009</v>
          </cell>
        </row>
        <row r="1562">
          <cell r="A1562">
            <v>6010</v>
          </cell>
        </row>
        <row r="1563">
          <cell r="A1563">
            <v>6011</v>
          </cell>
        </row>
        <row r="1564">
          <cell r="A1564">
            <v>6012</v>
          </cell>
        </row>
        <row r="1565">
          <cell r="A1565">
            <v>6013</v>
          </cell>
        </row>
        <row r="1566">
          <cell r="A1566">
            <v>6014</v>
          </cell>
        </row>
        <row r="1567">
          <cell r="A1567">
            <v>6015</v>
          </cell>
        </row>
        <row r="1568">
          <cell r="A1568">
            <v>6016</v>
          </cell>
        </row>
        <row r="1569">
          <cell r="A1569">
            <v>6017</v>
          </cell>
        </row>
        <row r="1570">
          <cell r="A1570">
            <v>6018</v>
          </cell>
        </row>
        <row r="1571">
          <cell r="A1571">
            <v>6019</v>
          </cell>
        </row>
        <row r="1572">
          <cell r="A1572">
            <v>6020</v>
          </cell>
        </row>
        <row r="1573">
          <cell r="A1573">
            <v>8001</v>
          </cell>
        </row>
        <row r="1574">
          <cell r="A1574">
            <v>8002</v>
          </cell>
        </row>
        <row r="1575">
          <cell r="A1575">
            <v>8003</v>
          </cell>
        </row>
        <row r="1576">
          <cell r="A1576">
            <v>8004</v>
          </cell>
        </row>
        <row r="1577">
          <cell r="A1577">
            <v>8005</v>
          </cell>
        </row>
        <row r="1578">
          <cell r="A1578">
            <v>8006</v>
          </cell>
        </row>
        <row r="1579">
          <cell r="A1579">
            <v>8007</v>
          </cell>
        </row>
        <row r="1580">
          <cell r="A1580">
            <v>8008</v>
          </cell>
        </row>
        <row r="1581">
          <cell r="A1581">
            <v>8009</v>
          </cell>
        </row>
        <row r="1582">
          <cell r="A1582">
            <v>8010</v>
          </cell>
        </row>
        <row r="1583">
          <cell r="A1583">
            <v>8011</v>
          </cell>
        </row>
        <row r="1584">
          <cell r="A1584">
            <v>8012</v>
          </cell>
        </row>
        <row r="1585">
          <cell r="A1585">
            <v>8013</v>
          </cell>
        </row>
        <row r="1586">
          <cell r="A1586">
            <v>8014</v>
          </cell>
        </row>
        <row r="1587">
          <cell r="A1587">
            <v>8015</v>
          </cell>
        </row>
        <row r="1588">
          <cell r="A1588">
            <v>8016</v>
          </cell>
        </row>
        <row r="1589">
          <cell r="A1589">
            <v>8017</v>
          </cell>
        </row>
        <row r="1590">
          <cell r="A1590">
            <v>8018</v>
          </cell>
        </row>
        <row r="1591">
          <cell r="A1591">
            <v>8019</v>
          </cell>
        </row>
        <row r="1592">
          <cell r="A1592">
            <v>8020</v>
          </cell>
        </row>
        <row r="1593">
          <cell r="A1593">
            <v>8021</v>
          </cell>
        </row>
        <row r="1594">
          <cell r="A1594">
            <v>8022</v>
          </cell>
        </row>
        <row r="1595">
          <cell r="A1595">
            <v>8023</v>
          </cell>
        </row>
        <row r="1596">
          <cell r="A1596">
            <v>8024</v>
          </cell>
        </row>
        <row r="1597">
          <cell r="A1597">
            <v>8025</v>
          </cell>
        </row>
        <row r="1598">
          <cell r="A1598">
            <v>8026</v>
          </cell>
        </row>
        <row r="1599">
          <cell r="A1599">
            <v>8027</v>
          </cell>
        </row>
        <row r="1600">
          <cell r="A1600">
            <v>8028</v>
          </cell>
        </row>
        <row r="1601">
          <cell r="A1601">
            <v>8029</v>
          </cell>
        </row>
        <row r="1602">
          <cell r="A1602">
            <v>8030</v>
          </cell>
        </row>
        <row r="1603">
          <cell r="A1603">
            <v>8031</v>
          </cell>
        </row>
        <row r="1604">
          <cell r="A1604">
            <v>8032</v>
          </cell>
        </row>
        <row r="1605">
          <cell r="A1605">
            <v>8033</v>
          </cell>
        </row>
        <row r="1606">
          <cell r="A1606">
            <v>8034</v>
          </cell>
        </row>
        <row r="1607">
          <cell r="A1607">
            <v>8035</v>
          </cell>
        </row>
        <row r="1608">
          <cell r="A1608">
            <v>8036</v>
          </cell>
        </row>
        <row r="1609">
          <cell r="A1609">
            <v>8037</v>
          </cell>
        </row>
        <row r="1610">
          <cell r="A1610">
            <v>8038</v>
          </cell>
        </row>
        <row r="1611">
          <cell r="A1611">
            <v>8039</v>
          </cell>
        </row>
        <row r="1612">
          <cell r="A1612">
            <v>8040</v>
          </cell>
        </row>
        <row r="1613">
          <cell r="A1613">
            <v>8041</v>
          </cell>
        </row>
        <row r="1614">
          <cell r="A1614">
            <v>8042</v>
          </cell>
        </row>
        <row r="1615">
          <cell r="A1615">
            <v>8043</v>
          </cell>
        </row>
        <row r="1616">
          <cell r="A1616">
            <v>8044</v>
          </cell>
        </row>
        <row r="1617">
          <cell r="A1617">
            <v>8045</v>
          </cell>
        </row>
        <row r="1618">
          <cell r="A1618">
            <v>8046</v>
          </cell>
        </row>
        <row r="1619">
          <cell r="A1619">
            <v>8047</v>
          </cell>
        </row>
        <row r="1620">
          <cell r="A1620">
            <v>8048</v>
          </cell>
        </row>
        <row r="1621">
          <cell r="A1621">
            <v>8049</v>
          </cell>
        </row>
        <row r="1622">
          <cell r="A1622">
            <v>8050</v>
          </cell>
        </row>
        <row r="1623">
          <cell r="A1623">
            <v>8051</v>
          </cell>
        </row>
        <row r="1624">
          <cell r="A1624">
            <v>8052</v>
          </cell>
        </row>
        <row r="1625">
          <cell r="A1625">
            <v>8053</v>
          </cell>
        </row>
        <row r="1626">
          <cell r="A1626">
            <v>8054</v>
          </cell>
        </row>
        <row r="1627">
          <cell r="A1627">
            <v>8055</v>
          </cell>
        </row>
        <row r="1628">
          <cell r="A1628">
            <v>8056</v>
          </cell>
        </row>
        <row r="1629">
          <cell r="A1629">
            <v>8057</v>
          </cell>
        </row>
        <row r="1630">
          <cell r="A1630">
            <v>8058</v>
          </cell>
        </row>
        <row r="1631">
          <cell r="A1631">
            <v>8059</v>
          </cell>
        </row>
        <row r="1632">
          <cell r="A1632">
            <v>8060</v>
          </cell>
        </row>
        <row r="1633">
          <cell r="A1633">
            <v>8061</v>
          </cell>
        </row>
        <row r="1634">
          <cell r="A1634">
            <v>8062</v>
          </cell>
        </row>
        <row r="1635">
          <cell r="A1635">
            <v>8063</v>
          </cell>
        </row>
        <row r="1636">
          <cell r="A1636">
            <v>8064</v>
          </cell>
        </row>
        <row r="1637">
          <cell r="A1637">
            <v>8065</v>
          </cell>
        </row>
        <row r="1638">
          <cell r="A1638">
            <v>8066</v>
          </cell>
        </row>
        <row r="1639">
          <cell r="A1639">
            <v>8067</v>
          </cell>
        </row>
        <row r="1640">
          <cell r="A1640">
            <v>8068</v>
          </cell>
        </row>
        <row r="1641">
          <cell r="A1641">
            <v>8069</v>
          </cell>
        </row>
        <row r="1642">
          <cell r="A1642">
            <v>8070</v>
          </cell>
        </row>
        <row r="1643">
          <cell r="A1643">
            <v>8071</v>
          </cell>
        </row>
        <row r="1644">
          <cell r="A1644">
            <v>8072</v>
          </cell>
        </row>
        <row r="1645">
          <cell r="A1645">
            <v>8073</v>
          </cell>
        </row>
        <row r="1646">
          <cell r="A1646">
            <v>8074</v>
          </cell>
        </row>
        <row r="1647">
          <cell r="A1647">
            <v>8075</v>
          </cell>
        </row>
        <row r="1648">
          <cell r="A1648">
            <v>8076</v>
          </cell>
        </row>
        <row r="1649">
          <cell r="A1649">
            <v>8077</v>
          </cell>
        </row>
        <row r="1650">
          <cell r="A1650">
            <v>8078</v>
          </cell>
        </row>
        <row r="1651">
          <cell r="A1651">
            <v>8079</v>
          </cell>
        </row>
        <row r="1652">
          <cell r="A1652">
            <v>8080</v>
          </cell>
        </row>
        <row r="1653">
          <cell r="A1653">
            <v>8081</v>
          </cell>
        </row>
        <row r="1654">
          <cell r="A1654">
            <v>8082</v>
          </cell>
        </row>
        <row r="1655">
          <cell r="A1655">
            <v>8083</v>
          </cell>
        </row>
        <row r="1656">
          <cell r="A1656">
            <v>8084</v>
          </cell>
        </row>
        <row r="1657">
          <cell r="A1657">
            <v>8085</v>
          </cell>
        </row>
        <row r="1658">
          <cell r="A1658">
            <v>8086</v>
          </cell>
        </row>
        <row r="1659">
          <cell r="A1659">
            <v>8087</v>
          </cell>
        </row>
        <row r="1660">
          <cell r="A1660">
            <v>8088</v>
          </cell>
        </row>
        <row r="1661">
          <cell r="A1661">
            <v>8089</v>
          </cell>
        </row>
        <row r="1662">
          <cell r="A1662">
            <v>8090</v>
          </cell>
        </row>
        <row r="1663">
          <cell r="A1663">
            <v>8095</v>
          </cell>
        </row>
        <row r="1664">
          <cell r="A1664">
            <v>8096</v>
          </cell>
        </row>
        <row r="1665">
          <cell r="A1665">
            <v>8097</v>
          </cell>
        </row>
        <row r="1666">
          <cell r="A1666">
            <v>8098</v>
          </cell>
        </row>
        <row r="1667">
          <cell r="A1667">
            <v>8099</v>
          </cell>
        </row>
        <row r="1668">
          <cell r="A1668">
            <v>8100</v>
          </cell>
        </row>
        <row r="1669">
          <cell r="A1669">
            <v>8101</v>
          </cell>
        </row>
        <row r="1670">
          <cell r="A1670">
            <v>8102</v>
          </cell>
        </row>
        <row r="1671">
          <cell r="A1671">
            <v>8103</v>
          </cell>
        </row>
        <row r="1672">
          <cell r="A1672">
            <v>8104</v>
          </cell>
        </row>
        <row r="1673">
          <cell r="A1673">
            <v>8105</v>
          </cell>
        </row>
        <row r="1674">
          <cell r="A1674">
            <v>8106</v>
          </cell>
        </row>
        <row r="1675">
          <cell r="A1675">
            <v>9001</v>
          </cell>
        </row>
        <row r="1676">
          <cell r="A1676">
            <v>9002</v>
          </cell>
        </row>
        <row r="1677">
          <cell r="A1677">
            <v>9003</v>
          </cell>
        </row>
        <row r="1678">
          <cell r="A1678">
            <v>9004</v>
          </cell>
        </row>
        <row r="1679">
          <cell r="A1679">
            <v>9005</v>
          </cell>
        </row>
        <row r="1680">
          <cell r="A1680">
            <v>9006</v>
          </cell>
        </row>
        <row r="1681">
          <cell r="A1681">
            <v>9007</v>
          </cell>
        </row>
        <row r="1682">
          <cell r="A1682">
            <v>9008</v>
          </cell>
        </row>
        <row r="1683">
          <cell r="A1683">
            <v>10001</v>
          </cell>
        </row>
        <row r="1684">
          <cell r="A1684">
            <v>10002</v>
          </cell>
        </row>
        <row r="1685">
          <cell r="A1685">
            <v>10003</v>
          </cell>
        </row>
        <row r="1686">
          <cell r="A1686">
            <v>10004</v>
          </cell>
        </row>
        <row r="1687">
          <cell r="A1687">
            <v>10005</v>
          </cell>
        </row>
        <row r="1688">
          <cell r="A1688">
            <v>10006</v>
          </cell>
        </row>
        <row r="1689">
          <cell r="A1689">
            <v>10007</v>
          </cell>
        </row>
        <row r="1690">
          <cell r="A1690">
            <v>10008</v>
          </cell>
        </row>
        <row r="1691">
          <cell r="A1691">
            <v>10009</v>
          </cell>
        </row>
        <row r="1692">
          <cell r="A1692">
            <v>10010</v>
          </cell>
        </row>
        <row r="1693">
          <cell r="A1693">
            <v>10011</v>
          </cell>
        </row>
        <row r="1694">
          <cell r="A1694">
            <v>10012</v>
          </cell>
        </row>
        <row r="1695">
          <cell r="A1695">
            <v>10013</v>
          </cell>
        </row>
        <row r="1696">
          <cell r="A1696">
            <v>10014</v>
          </cell>
        </row>
        <row r="1697">
          <cell r="A1697">
            <v>10015</v>
          </cell>
        </row>
        <row r="1698">
          <cell r="A1698">
            <v>10016</v>
          </cell>
        </row>
        <row r="1699">
          <cell r="A1699">
            <v>10017</v>
          </cell>
        </row>
        <row r="1700">
          <cell r="A1700">
            <v>10018</v>
          </cell>
        </row>
        <row r="1701">
          <cell r="A1701">
            <v>10019</v>
          </cell>
        </row>
        <row r="1702">
          <cell r="A1702">
            <v>10020</v>
          </cell>
        </row>
        <row r="1703">
          <cell r="A1703">
            <v>10021</v>
          </cell>
        </row>
        <row r="1704">
          <cell r="A1704">
            <v>10022</v>
          </cell>
        </row>
        <row r="1705">
          <cell r="A1705">
            <v>10023</v>
          </cell>
        </row>
        <row r="1706">
          <cell r="A1706">
            <v>10024</v>
          </cell>
        </row>
        <row r="1707">
          <cell r="A1707">
            <v>10025</v>
          </cell>
        </row>
        <row r="1708">
          <cell r="A1708">
            <v>10026</v>
          </cell>
        </row>
        <row r="1709">
          <cell r="A1709">
            <v>10027</v>
          </cell>
        </row>
        <row r="1710">
          <cell r="A1710">
            <v>10028</v>
          </cell>
        </row>
        <row r="1711">
          <cell r="A1711">
            <v>10029</v>
          </cell>
        </row>
        <row r="1712">
          <cell r="A1712">
            <v>10030</v>
          </cell>
        </row>
        <row r="1713">
          <cell r="A1713">
            <v>10031</v>
          </cell>
        </row>
        <row r="1714">
          <cell r="A1714">
            <v>10032</v>
          </cell>
        </row>
        <row r="1715">
          <cell r="A1715">
            <v>10033</v>
          </cell>
        </row>
        <row r="1716">
          <cell r="A1716">
            <v>10034</v>
          </cell>
        </row>
        <row r="1717">
          <cell r="A1717">
            <v>10035</v>
          </cell>
        </row>
        <row r="1718">
          <cell r="A1718">
            <v>10036</v>
          </cell>
        </row>
        <row r="1719">
          <cell r="A1719">
            <v>10037</v>
          </cell>
        </row>
        <row r="1720">
          <cell r="A1720">
            <v>10038</v>
          </cell>
        </row>
        <row r="1721">
          <cell r="A1721">
            <v>10039</v>
          </cell>
        </row>
        <row r="1722">
          <cell r="A1722">
            <v>10040</v>
          </cell>
        </row>
        <row r="1723">
          <cell r="A1723">
            <v>10041</v>
          </cell>
        </row>
        <row r="1724">
          <cell r="A1724">
            <v>10042</v>
          </cell>
        </row>
        <row r="1725">
          <cell r="A1725">
            <v>10043</v>
          </cell>
        </row>
        <row r="1726">
          <cell r="A1726">
            <v>10044</v>
          </cell>
        </row>
        <row r="1727">
          <cell r="A1727">
            <v>10045</v>
          </cell>
        </row>
        <row r="1728">
          <cell r="A1728">
            <v>10046</v>
          </cell>
        </row>
        <row r="1729">
          <cell r="A1729">
            <v>10047</v>
          </cell>
        </row>
        <row r="1730">
          <cell r="A1730">
            <v>10048</v>
          </cell>
        </row>
        <row r="1731">
          <cell r="A1731">
            <v>10049</v>
          </cell>
        </row>
        <row r="1732">
          <cell r="A1732">
            <v>10050</v>
          </cell>
        </row>
        <row r="1733">
          <cell r="A1733">
            <v>10051</v>
          </cell>
        </row>
        <row r="1734">
          <cell r="A1734">
            <v>10052</v>
          </cell>
        </row>
        <row r="1735">
          <cell r="A1735">
            <v>10053</v>
          </cell>
        </row>
        <row r="1736">
          <cell r="A1736">
            <v>10054</v>
          </cell>
        </row>
        <row r="1737">
          <cell r="A1737">
            <v>10055</v>
          </cell>
        </row>
        <row r="1738">
          <cell r="A1738">
            <v>10056</v>
          </cell>
        </row>
        <row r="1739">
          <cell r="A1739">
            <v>10057</v>
          </cell>
        </row>
        <row r="1740">
          <cell r="A1740">
            <v>10058</v>
          </cell>
        </row>
        <row r="1741">
          <cell r="A1741">
            <v>10059</v>
          </cell>
        </row>
        <row r="1742">
          <cell r="A1742">
            <v>10060</v>
          </cell>
        </row>
        <row r="1743">
          <cell r="A1743">
            <v>10061</v>
          </cell>
        </row>
        <row r="1744">
          <cell r="A1744">
            <v>10062</v>
          </cell>
        </row>
        <row r="1745">
          <cell r="A1745">
            <v>10063</v>
          </cell>
        </row>
        <row r="1746">
          <cell r="A1746">
            <v>10064</v>
          </cell>
        </row>
        <row r="1747">
          <cell r="A1747">
            <v>10065</v>
          </cell>
        </row>
        <row r="1748">
          <cell r="A1748">
            <v>10066</v>
          </cell>
        </row>
        <row r="1749">
          <cell r="A1749">
            <v>10067</v>
          </cell>
        </row>
        <row r="1750">
          <cell r="A1750">
            <v>10068</v>
          </cell>
        </row>
        <row r="1751">
          <cell r="A1751">
            <v>10069</v>
          </cell>
        </row>
        <row r="1752">
          <cell r="A1752">
            <v>10070</v>
          </cell>
        </row>
        <row r="1753">
          <cell r="A1753">
            <v>10071</v>
          </cell>
        </row>
        <row r="1754">
          <cell r="A1754">
            <v>10072</v>
          </cell>
        </row>
        <row r="1755">
          <cell r="A1755">
            <v>10073</v>
          </cell>
        </row>
        <row r="1756">
          <cell r="A1756">
            <v>10074</v>
          </cell>
        </row>
        <row r="1757">
          <cell r="A1757">
            <v>10075</v>
          </cell>
        </row>
        <row r="1758">
          <cell r="A1758">
            <v>10076</v>
          </cell>
        </row>
        <row r="1759">
          <cell r="A1759">
            <v>10077</v>
          </cell>
        </row>
        <row r="1760">
          <cell r="A1760">
            <v>10078</v>
          </cell>
        </row>
        <row r="1761">
          <cell r="A1761">
            <v>10079</v>
          </cell>
        </row>
        <row r="1762">
          <cell r="A1762">
            <v>10080</v>
          </cell>
        </row>
        <row r="1763">
          <cell r="A1763">
            <v>10081</v>
          </cell>
        </row>
        <row r="1764">
          <cell r="A1764">
            <v>10082</v>
          </cell>
        </row>
        <row r="1765">
          <cell r="A1765">
            <v>10083</v>
          </cell>
        </row>
        <row r="1766">
          <cell r="A1766">
            <v>10084</v>
          </cell>
        </row>
        <row r="1767">
          <cell r="A1767">
            <v>10085</v>
          </cell>
        </row>
        <row r="1768">
          <cell r="A1768">
            <v>10086</v>
          </cell>
        </row>
        <row r="1769">
          <cell r="A1769">
            <v>10087</v>
          </cell>
        </row>
        <row r="1770">
          <cell r="A1770">
            <v>10088</v>
          </cell>
        </row>
        <row r="1771">
          <cell r="A1771">
            <v>10089</v>
          </cell>
        </row>
        <row r="1772">
          <cell r="A1772">
            <v>10090</v>
          </cell>
        </row>
        <row r="1773">
          <cell r="A1773">
            <v>10101</v>
          </cell>
        </row>
        <row r="1774">
          <cell r="A1774">
            <v>10102</v>
          </cell>
        </row>
        <row r="1775">
          <cell r="A17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G16" sqref="G16"/>
    </sheetView>
  </sheetViews>
  <sheetFormatPr baseColWidth="12" defaultRowHeight="15" x14ac:dyDescent="0.15"/>
  <cols>
    <col min="2" max="2" width="18.5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253</v>
      </c>
      <c r="B2" s="55" t="s">
        <v>105</v>
      </c>
      <c r="C2" s="99">
        <v>40045</v>
      </c>
      <c r="D2" s="55" t="s">
        <v>106</v>
      </c>
      <c r="E2" s="54" t="str">
        <f>B2&amp;C2&amp;D2</f>
        <v>floors_40045.tmp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253</v>
      </c>
      <c r="B3" s="55" t="s">
        <v>108</v>
      </c>
      <c r="C3" s="99">
        <v>40045</v>
      </c>
      <c r="D3" s="55" t="s">
        <v>106</v>
      </c>
      <c r="E3" s="54" t="str">
        <f>B3&amp;C3&amp;D3</f>
        <v>enemy_habitats_40045.tmp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177</v>
      </c>
    </row>
    <row r="4" spans="1:30" x14ac:dyDescent="0.15">
      <c r="A4" s="59" t="s">
        <v>253</v>
      </c>
      <c r="B4" s="55" t="s">
        <v>110</v>
      </c>
      <c r="C4" s="99">
        <v>40045</v>
      </c>
      <c r="D4" s="55" t="s">
        <v>106</v>
      </c>
      <c r="E4" s="54" t="str">
        <f>B4&amp;C4&amp;D4</f>
        <v>enemy_habitat_S_40045.tmp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253</v>
      </c>
      <c r="B5" s="55" t="s">
        <v>112</v>
      </c>
      <c r="C5" s="99">
        <v>40045</v>
      </c>
      <c r="D5" s="55" t="s">
        <v>106</v>
      </c>
      <c r="E5" s="54" t="str">
        <f>B5&amp;C5&amp;D5</f>
        <v>enemy_skill_sets_40045.tmp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253</v>
      </c>
      <c r="B6" s="55" t="s">
        <v>114</v>
      </c>
      <c r="C6" s="99">
        <v>40045</v>
      </c>
      <c r="D6" s="55" t="s">
        <v>115</v>
      </c>
      <c r="E6" s="54" t="str">
        <f t="shared" ref="E6:E10" si="0">B6&amp;C6&amp;D6</f>
        <v>enemy_skills_tmp_40045.tmp</v>
      </c>
      <c r="F6" s="55" t="s">
        <v>89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253</v>
      </c>
      <c r="B7" s="55" t="s">
        <v>116</v>
      </c>
      <c r="C7" s="99">
        <v>40045</v>
      </c>
      <c r="D7" s="55" t="s">
        <v>106</v>
      </c>
      <c r="E7" s="54" t="str">
        <f>B7&amp;C7&amp;D7</f>
        <v>enemy_skills_i18n_40045.tmp</v>
      </c>
      <c r="F7" s="55" t="s">
        <v>117</v>
      </c>
      <c r="G7" s="56" t="s">
        <v>78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253</v>
      </c>
      <c r="B8" s="55" t="s">
        <v>118</v>
      </c>
      <c r="C8" s="99">
        <v>40045</v>
      </c>
      <c r="D8" s="55" t="s">
        <v>119</v>
      </c>
      <c r="E8" s="54" t="str">
        <f t="shared" si="0"/>
        <v>enemy_skill_triggers_40045.tmp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253</v>
      </c>
      <c r="B9" s="64" t="s">
        <v>176</v>
      </c>
      <c r="C9" s="99">
        <v>40045</v>
      </c>
      <c r="D9" s="64" t="s">
        <v>170</v>
      </c>
      <c r="E9" s="65" t="str">
        <f t="shared" si="0"/>
        <v>stage_bug_bonuses_40045.tmp</v>
      </c>
      <c r="F9" s="64" t="s">
        <v>171</v>
      </c>
      <c r="G9" s="61" t="s">
        <v>149</v>
      </c>
      <c r="H9" s="61" t="s">
        <v>172</v>
      </c>
      <c r="I9" s="61" t="s">
        <v>173</v>
      </c>
      <c r="J9" s="63" t="s">
        <v>174</v>
      </c>
      <c r="K9" s="61" t="s">
        <v>175</v>
      </c>
      <c r="L9" s="61" t="s">
        <v>155</v>
      </c>
      <c r="M9" s="61" t="s">
        <v>156</v>
      </c>
      <c r="N9" s="61" t="s">
        <v>157</v>
      </c>
      <c r="O9" s="61" t="s">
        <v>158</v>
      </c>
      <c r="P9" s="61" t="s">
        <v>159</v>
      </c>
      <c r="Q9" s="61" t="s">
        <v>160</v>
      </c>
      <c r="R9" s="61" t="s">
        <v>161</v>
      </c>
      <c r="S9" s="61" t="s">
        <v>162</v>
      </c>
      <c r="T9" s="61" t="s">
        <v>163</v>
      </c>
      <c r="U9" s="61" t="s">
        <v>164</v>
      </c>
      <c r="V9" s="61" t="s">
        <v>165</v>
      </c>
      <c r="W9" s="61" t="s">
        <v>166</v>
      </c>
      <c r="X9" s="55"/>
      <c r="Y9" s="55"/>
      <c r="Z9" s="55"/>
      <c r="AA9" s="55"/>
      <c r="AB9" s="55"/>
      <c r="AC9" s="55"/>
      <c r="AD9" s="55"/>
    </row>
    <row r="10" spans="1:30" s="71" customFormat="1" x14ac:dyDescent="0.15">
      <c r="A10" s="59" t="s">
        <v>420</v>
      </c>
      <c r="B10" s="64" t="s">
        <v>198</v>
      </c>
      <c r="C10" s="99">
        <v>40045</v>
      </c>
      <c r="D10" s="64" t="s">
        <v>179</v>
      </c>
      <c r="E10" s="65" t="str">
        <f t="shared" si="0"/>
        <v>stage_hints_data_c_40045.tmp</v>
      </c>
      <c r="F10" s="64" t="s">
        <v>206</v>
      </c>
      <c r="G10" s="69" t="s">
        <v>180</v>
      </c>
      <c r="H10" s="69" t="s">
        <v>172</v>
      </c>
      <c r="I10" s="70" t="s">
        <v>181</v>
      </c>
      <c r="J10" s="63" t="s">
        <v>182</v>
      </c>
      <c r="K10" s="63" t="s">
        <v>183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1" customFormat="1" x14ac:dyDescent="0.15">
      <c r="A11" s="59" t="s">
        <v>420</v>
      </c>
      <c r="B11" s="64" t="s">
        <v>199</v>
      </c>
      <c r="C11" s="99">
        <v>40045</v>
      </c>
      <c r="D11" s="64" t="s">
        <v>170</v>
      </c>
      <c r="E11" s="65" t="str">
        <f t="shared" ref="E11:E13" si="1">B11&amp;C11&amp;D11</f>
        <v>stage_hints_data_f_40045.tmp</v>
      </c>
      <c r="F11" s="64" t="s">
        <v>207</v>
      </c>
      <c r="G11" s="69" t="s">
        <v>180</v>
      </c>
      <c r="H11" s="69" t="s">
        <v>172</v>
      </c>
      <c r="I11" s="70" t="s">
        <v>181</v>
      </c>
      <c r="J11" s="63" t="s">
        <v>182</v>
      </c>
      <c r="K11" s="63" t="s">
        <v>183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1" customFormat="1" x14ac:dyDescent="0.15">
      <c r="A12" s="64" t="s">
        <v>421</v>
      </c>
      <c r="B12" s="64" t="s">
        <v>200</v>
      </c>
      <c r="C12" s="99">
        <v>40045</v>
      </c>
      <c r="D12" s="64" t="s">
        <v>170</v>
      </c>
      <c r="E12" s="65" t="str">
        <f t="shared" si="1"/>
        <v>stage_hints_i18n_40045.tmp</v>
      </c>
      <c r="F12" s="64" t="s">
        <v>208</v>
      </c>
      <c r="G12" s="70" t="s">
        <v>201</v>
      </c>
      <c r="H12" s="88" t="s">
        <v>202</v>
      </c>
      <c r="I12" s="69" t="s">
        <v>203</v>
      </c>
      <c r="J12" s="96" t="s">
        <v>204</v>
      </c>
      <c r="K12" s="63" t="s">
        <v>205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1" customFormat="1" x14ac:dyDescent="0.15">
      <c r="A13" s="64" t="s">
        <v>421</v>
      </c>
      <c r="B13" s="64" t="s">
        <v>248</v>
      </c>
      <c r="C13" s="99">
        <v>40045</v>
      </c>
      <c r="D13" s="64" t="s">
        <v>229</v>
      </c>
      <c r="E13" s="65" t="str">
        <f t="shared" si="1"/>
        <v>stage_bonuses_40045.tmp</v>
      </c>
      <c r="F13" s="64" t="s">
        <v>228</v>
      </c>
      <c r="G13" s="69" t="s">
        <v>230</v>
      </c>
      <c r="H13" s="69" t="s">
        <v>231</v>
      </c>
      <c r="I13" s="69" t="s">
        <v>232</v>
      </c>
      <c r="J13" s="69" t="s">
        <v>233</v>
      </c>
      <c r="K13" s="69" t="s">
        <v>234</v>
      </c>
      <c r="L13" s="69" t="s">
        <v>235</v>
      </c>
      <c r="M13" s="69" t="s">
        <v>236</v>
      </c>
      <c r="N13" s="69" t="s">
        <v>237</v>
      </c>
      <c r="O13" s="69" t="s">
        <v>238</v>
      </c>
      <c r="P13" s="69" t="s">
        <v>239</v>
      </c>
      <c r="Q13" s="69" t="s">
        <v>240</v>
      </c>
      <c r="R13" s="69" t="s">
        <v>241</v>
      </c>
      <c r="S13" s="69" t="s">
        <v>242</v>
      </c>
      <c r="T13" s="69" t="s">
        <v>243</v>
      </c>
      <c r="U13" s="69" t="s">
        <v>244</v>
      </c>
      <c r="V13" s="69" t="s">
        <v>245</v>
      </c>
      <c r="W13" s="69" t="s">
        <v>246</v>
      </c>
      <c r="X13" s="69" t="s">
        <v>247</v>
      </c>
      <c r="Y13" s="95"/>
      <c r="Z13" s="95"/>
      <c r="AA13" s="95"/>
      <c r="AB13" s="95"/>
      <c r="AC13" s="95"/>
      <c r="AD13" s="95"/>
    </row>
  </sheetData>
  <phoneticPr fontId="6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I7" sqref="I7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>G2&amp;"-"&amp;I2</f>
        <v>40045_1-1</v>
      </c>
      <c r="B2" s="15" t="str">
        <f>IF(COUNTIF(enemy_habitats!$H:$H,A2),"OK","NG")</f>
        <v>OK</v>
      </c>
      <c r="C2" s="7">
        <v>40045</v>
      </c>
      <c r="D2" s="11" t="str">
        <f ca="1">VLOOKUP($C2,OFFSET([2]quests!$A$1,0,0,COUNTA([2]quests!$A:$A),MATCH(D$1,[2]quests!$1:$1,0)-MATCH($C$1,[2]quests!$1:$1,0)+1),MATCH(D$1,[2]quests!$1:$1,0)-MATCH($C$1,[2]quests!$1:$1,0)+1,FALSE)</f>
        <v>服部半蔵襲来！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降臨45</v>
      </c>
      <c r="F2" s="291">
        <v>1</v>
      </c>
      <c r="G2" s="22" t="str">
        <f>C2&amp;"_"&amp;F2</f>
        <v>40045_1</v>
      </c>
      <c r="H2" s="14" t="str">
        <f ca="1">VLOOKUP($G2,OFFSET([2]stages!$A$1,0,0,COUNTA([2]stages!$A:$A),MATCH(H$1,[2]stages!$2:$2,0)-MATCH($G$1,[2]stages!$2:$2,0)+1),MATCH(H$1,[2]stages!$2:$2,0)-MATCH($G$1,[2]stages!$2:$2,0)+1,FALSE)</f>
        <v>【超絶級】服部半蔵襲来</v>
      </c>
      <c r="I2" s="291">
        <v>1</v>
      </c>
      <c r="J2" s="292">
        <v>60</v>
      </c>
      <c r="K2" s="292">
        <v>60</v>
      </c>
    </row>
    <row r="3" spans="1:11" ht="21" customHeight="1" x14ac:dyDescent="0.15">
      <c r="A3" s="15" t="str">
        <f t="shared" ref="A3:A5" si="0">G3&amp;"-"&amp;I3</f>
        <v>40045_1-2</v>
      </c>
      <c r="B3" s="15" t="str">
        <f>IF(COUNTIF(enemy_habitats!$H:$H,A3),"OK","NG")</f>
        <v>OK</v>
      </c>
      <c r="C3" s="7">
        <v>40045</v>
      </c>
      <c r="D3" s="11" t="str">
        <f ca="1">VLOOKUP($C3,OFFSET([2]quests!$A$1,0,0,COUNTA([2]quests!$A:$A),MATCH(D$1,[2]quests!$1:$1,0)-MATCH($C$1,[2]quests!$1:$1,0)+1),MATCH(D$1,[2]quests!$1:$1,0)-MATCH($C$1,[2]quests!$1:$1,0)+1,FALSE)</f>
        <v>服部半蔵襲来！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降臨45</v>
      </c>
      <c r="F3" s="291">
        <v>1</v>
      </c>
      <c r="G3" s="22" t="str">
        <f t="shared" ref="G3:G5" si="1">C3&amp;"_"&amp;F3</f>
        <v>40045_1</v>
      </c>
      <c r="H3" s="14" t="str">
        <f ca="1">VLOOKUP($G3,OFFSET([2]stages!$A$1,0,0,COUNTA([2]stages!$A:$A),MATCH(H$1,[2]stages!$2:$2,0)-MATCH($G$1,[2]stages!$2:$2,0)+1),MATCH(H$1,[2]stages!$2:$2,0)-MATCH($G$1,[2]stages!$2:$2,0)+1,FALSE)</f>
        <v>【超絶級】服部半蔵襲来</v>
      </c>
      <c r="I3" s="291">
        <v>2</v>
      </c>
      <c r="J3" s="292">
        <v>50</v>
      </c>
      <c r="K3" s="292">
        <v>50</v>
      </c>
    </row>
    <row r="4" spans="1:11" ht="21" customHeight="1" x14ac:dyDescent="0.15">
      <c r="A4" s="15" t="str">
        <f t="shared" si="0"/>
        <v>40045_1-3</v>
      </c>
      <c r="B4" s="15" t="str">
        <f>IF(COUNTIF(enemy_habitats!$H:$H,A4),"OK","NG")</f>
        <v>OK</v>
      </c>
      <c r="C4" s="7">
        <v>40045</v>
      </c>
      <c r="D4" s="11" t="str">
        <f ca="1">VLOOKUP($C4,OFFSET([2]quests!$A$1,0,0,COUNTA([2]quests!$A:$A),MATCH(D$1,[2]quests!$1:$1,0)-MATCH($C$1,[2]quests!$1:$1,0)+1),MATCH(D$1,[2]quests!$1:$1,0)-MATCH($C$1,[2]quests!$1:$1,0)+1,FALSE)</f>
        <v>服部半蔵襲来！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降臨45</v>
      </c>
      <c r="F4" s="291">
        <v>1</v>
      </c>
      <c r="G4" s="22" t="str">
        <f t="shared" si="1"/>
        <v>40045_1</v>
      </c>
      <c r="H4" s="14" t="str">
        <f ca="1">VLOOKUP($G4,OFFSET([2]stages!$A$1,0,0,COUNTA([2]stages!$A:$A),MATCH(H$1,[2]stages!$2:$2,0)-MATCH($G$1,[2]stages!$2:$2,0)+1),MATCH(H$1,[2]stages!$2:$2,0)-MATCH($G$1,[2]stages!$2:$2,0)+1,FALSE)</f>
        <v>【超絶級】服部半蔵襲来</v>
      </c>
      <c r="I4" s="291">
        <v>3</v>
      </c>
      <c r="J4" s="292">
        <v>45</v>
      </c>
      <c r="K4" s="292">
        <v>45</v>
      </c>
    </row>
    <row r="5" spans="1:11" ht="21" customHeight="1" x14ac:dyDescent="0.15">
      <c r="A5" s="15" t="str">
        <f t="shared" si="0"/>
        <v>40045_1-4</v>
      </c>
      <c r="B5" s="15" t="str">
        <f>IF(COUNTIF(enemy_habitats!$H:$H,A5),"OK","NG")</f>
        <v>OK</v>
      </c>
      <c r="C5" s="7">
        <v>40045</v>
      </c>
      <c r="D5" s="11" t="str">
        <f ca="1">VLOOKUP($C5,OFFSET([2]quests!$A$1,0,0,COUNTA([2]quests!$A:$A),MATCH(D$1,[2]quests!$1:$1,0)-MATCH($C$1,[2]quests!$1:$1,0)+1),MATCH(D$1,[2]quests!$1:$1,0)-MATCH($C$1,[2]quests!$1:$1,0)+1,FALSE)</f>
        <v>服部半蔵襲来！</v>
      </c>
      <c r="E5" s="17" t="str">
        <f ca="1">VLOOKUP($C5,OFFSET([2]quests!$A$1,0,0,COUNTA([2]quests!$A:$A),MATCH(E$1,[2]quests!$1:$1,0)-MATCH($C$1,[2]quests!$1:$1,0)+1),MATCH(E$1,[2]quests!$1:$1,0)-MATCH($C$1,[2]quests!$1:$1,0)+1,FALSE)</f>
        <v>降臨45</v>
      </c>
      <c r="F5" s="291">
        <v>1</v>
      </c>
      <c r="G5" s="22" t="str">
        <f t="shared" si="1"/>
        <v>40045_1</v>
      </c>
      <c r="H5" s="14" t="str">
        <f ca="1">VLOOKUP($G5,OFFSET([2]stages!$A$1,0,0,COUNTA([2]stages!$A:$A),MATCH(H$1,[2]stages!$2:$2,0)-MATCH($G$1,[2]stages!$2:$2,0)+1),MATCH(H$1,[2]stages!$2:$2,0)-MATCH($G$1,[2]stages!$2:$2,0)+1,FALSE)</f>
        <v>【超絶級】服部半蔵襲来</v>
      </c>
      <c r="I5" s="291">
        <v>4</v>
      </c>
      <c r="J5" s="292">
        <v>60</v>
      </c>
      <c r="K5" s="292">
        <v>60</v>
      </c>
    </row>
    <row r="6" spans="1:11" ht="21" customHeight="1" x14ac:dyDescent="0.15">
      <c r="A6" s="15" t="str">
        <f>G6&amp;"-"&amp;I6</f>
        <v>40045_2-1</v>
      </c>
      <c r="B6" s="15" t="str">
        <f>IF(COUNTIF(enemy_habitats!$H:$H,A6),"OK","NG")</f>
        <v>OK</v>
      </c>
      <c r="C6" s="7">
        <v>40045</v>
      </c>
      <c r="D6" s="11" t="str">
        <f ca="1">VLOOKUP($C6,OFFSET([2]quests!$A$1,0,0,COUNTA([2]quests!$A:$A),MATCH(D$1,[2]quests!$1:$1,0)-MATCH($C$1,[2]quests!$1:$1,0)+1),MATCH(D$1,[2]quests!$1:$1,0)-MATCH($C$1,[2]quests!$1:$1,0)+1,FALSE)</f>
        <v>服部半蔵襲来！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降臨45</v>
      </c>
      <c r="F6" s="293">
        <v>2</v>
      </c>
      <c r="G6" s="22" t="str">
        <f>C6&amp;"_"&amp;F6</f>
        <v>40045_2</v>
      </c>
      <c r="H6" s="14" t="str">
        <f ca="1">VLOOKUP($G6,OFFSET([2]stages!$A$1,0,0,COUNTA([2]stages!$A:$A),MATCH(H$1,[2]stages!$2:$2,0)-MATCH($G$1,[2]stages!$2:$2,0)+1),MATCH(H$1,[2]stages!$2:$2,0)-MATCH($G$1,[2]stages!$2:$2,0)+1,FALSE)</f>
        <v>【ウィザード級】服部半蔵襲来</v>
      </c>
      <c r="I6" s="293">
        <v>1</v>
      </c>
      <c r="J6" s="294">
        <v>60</v>
      </c>
      <c r="K6" s="294">
        <v>60</v>
      </c>
    </row>
    <row r="7" spans="1:11" ht="21" customHeight="1" x14ac:dyDescent="0.15">
      <c r="A7" s="15" t="str">
        <f t="shared" ref="A7:A9" si="2">G7&amp;"-"&amp;I7</f>
        <v>40045_2-2</v>
      </c>
      <c r="B7" s="15" t="str">
        <f>IF(COUNTIF(enemy_habitats!$H:$H,A7),"OK","NG")</f>
        <v>OK</v>
      </c>
      <c r="C7" s="7">
        <v>40045</v>
      </c>
      <c r="D7" s="11" t="str">
        <f ca="1">VLOOKUP($C7,OFFSET([2]quests!$A$1,0,0,COUNTA([2]quests!$A:$A),MATCH(D$1,[2]quests!$1:$1,0)-MATCH($C$1,[2]quests!$1:$1,0)+1),MATCH(D$1,[2]quests!$1:$1,0)-MATCH($C$1,[2]quests!$1:$1,0)+1,FALSE)</f>
        <v>服部半蔵襲来！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降臨45</v>
      </c>
      <c r="F7" s="293">
        <v>2</v>
      </c>
      <c r="G7" s="22" t="str">
        <f t="shared" ref="G7:G9" si="3">C7&amp;"_"&amp;F7</f>
        <v>40045_2</v>
      </c>
      <c r="H7" s="14" t="str">
        <f ca="1">VLOOKUP($G7,OFFSET([2]stages!$A$1,0,0,COUNTA([2]stages!$A:$A),MATCH(H$1,[2]stages!$2:$2,0)-MATCH($G$1,[2]stages!$2:$2,0)+1),MATCH(H$1,[2]stages!$2:$2,0)-MATCH($G$1,[2]stages!$2:$2,0)+1,FALSE)</f>
        <v>【ウィザード級】服部半蔵襲来</v>
      </c>
      <c r="I7" s="293">
        <v>2</v>
      </c>
      <c r="J7" s="294">
        <v>50</v>
      </c>
      <c r="K7" s="294">
        <v>50</v>
      </c>
    </row>
    <row r="8" spans="1:11" ht="21" customHeight="1" x14ac:dyDescent="0.15">
      <c r="A8" s="15" t="str">
        <f t="shared" si="2"/>
        <v>40045_2-3</v>
      </c>
      <c r="B8" s="15" t="str">
        <f>IF(COUNTIF(enemy_habitats!$H:$H,A8),"OK","NG")</f>
        <v>OK</v>
      </c>
      <c r="C8" s="7">
        <v>40045</v>
      </c>
      <c r="D8" s="11" t="str">
        <f ca="1">VLOOKUP($C8,OFFSET([2]quests!$A$1,0,0,COUNTA([2]quests!$A:$A),MATCH(D$1,[2]quests!$1:$1,0)-MATCH($C$1,[2]quests!$1:$1,0)+1),MATCH(D$1,[2]quests!$1:$1,0)-MATCH($C$1,[2]quests!$1:$1,0)+1,FALSE)</f>
        <v>服部半蔵襲来！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降臨45</v>
      </c>
      <c r="F8" s="293">
        <v>2</v>
      </c>
      <c r="G8" s="22" t="str">
        <f t="shared" si="3"/>
        <v>40045_2</v>
      </c>
      <c r="H8" s="14" t="str">
        <f ca="1">VLOOKUP($G8,OFFSET([2]stages!$A$1,0,0,COUNTA([2]stages!$A:$A),MATCH(H$1,[2]stages!$2:$2,0)-MATCH($G$1,[2]stages!$2:$2,0)+1),MATCH(H$1,[2]stages!$2:$2,0)-MATCH($G$1,[2]stages!$2:$2,0)+1,FALSE)</f>
        <v>【ウィザード級】服部半蔵襲来</v>
      </c>
      <c r="I8" s="293">
        <v>3</v>
      </c>
      <c r="J8" s="294">
        <v>45</v>
      </c>
      <c r="K8" s="294">
        <v>45</v>
      </c>
    </row>
    <row r="9" spans="1:11" ht="21" customHeight="1" x14ac:dyDescent="0.15">
      <c r="A9" s="15" t="str">
        <f t="shared" si="2"/>
        <v>40045_2-4</v>
      </c>
      <c r="B9" s="15" t="str">
        <f>IF(COUNTIF(enemy_habitats!$H:$H,A9),"OK","NG")</f>
        <v>OK</v>
      </c>
      <c r="C9" s="7">
        <v>40045</v>
      </c>
      <c r="D9" s="11" t="str">
        <f ca="1">VLOOKUP($C9,OFFSET([2]quests!$A$1,0,0,COUNTA([2]quests!$A:$A),MATCH(D$1,[2]quests!$1:$1,0)-MATCH($C$1,[2]quests!$1:$1,0)+1),MATCH(D$1,[2]quests!$1:$1,0)-MATCH($C$1,[2]quests!$1:$1,0)+1,FALSE)</f>
        <v>服部半蔵襲来！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降臨45</v>
      </c>
      <c r="F9" s="293">
        <v>2</v>
      </c>
      <c r="G9" s="22" t="str">
        <f t="shared" si="3"/>
        <v>40045_2</v>
      </c>
      <c r="H9" s="14" t="str">
        <f ca="1">VLOOKUP($G9,OFFSET([2]stages!$A$1,0,0,COUNTA([2]stages!$A:$A),MATCH(H$1,[2]stages!$2:$2,0)-MATCH($G$1,[2]stages!$2:$2,0)+1),MATCH(H$1,[2]stages!$2:$2,0)-MATCH($G$1,[2]stages!$2:$2,0)+1,FALSE)</f>
        <v>【ウィザード級】服部半蔵襲来</v>
      </c>
      <c r="I9" s="293">
        <v>4</v>
      </c>
      <c r="J9" s="294">
        <v>60</v>
      </c>
      <c r="K9" s="294">
        <v>60</v>
      </c>
    </row>
  </sheetData>
  <sheetProtection selectLockedCells="1" selectUnlockedCells="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34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11" sqref="S11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4.6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3" style="3" customWidth="1"/>
    <col min="20" max="20" width="13" style="10" customWidth="1"/>
    <col min="21" max="22" width="13" style="3" customWidth="1"/>
    <col min="23" max="23" width="8.832031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170" t="s">
        <v>29</v>
      </c>
      <c r="B1" s="25" t="s">
        <v>0</v>
      </c>
      <c r="C1" s="25" t="s">
        <v>1</v>
      </c>
      <c r="D1" s="28" t="s">
        <v>28</v>
      </c>
      <c r="E1" s="28" t="s">
        <v>20</v>
      </c>
      <c r="F1" s="28" t="s">
        <v>20</v>
      </c>
      <c r="G1" s="25" t="s">
        <v>19</v>
      </c>
      <c r="H1" s="28" t="s">
        <v>35</v>
      </c>
      <c r="I1" s="28" t="s">
        <v>14</v>
      </c>
      <c r="J1" s="28" t="s">
        <v>15</v>
      </c>
      <c r="K1" s="35" t="s">
        <v>53</v>
      </c>
      <c r="L1" s="35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8" t="s">
        <v>25</v>
      </c>
      <c r="R1" s="25" t="s">
        <v>3</v>
      </c>
      <c r="S1" s="25" t="s">
        <v>48</v>
      </c>
      <c r="T1" s="97" t="s">
        <v>249</v>
      </c>
      <c r="U1" s="25" t="s">
        <v>50</v>
      </c>
      <c r="V1" s="97" t="s">
        <v>250</v>
      </c>
      <c r="W1" s="25" t="s">
        <v>52</v>
      </c>
      <c r="X1" s="28" t="s">
        <v>31</v>
      </c>
      <c r="Y1" s="25" t="s">
        <v>4</v>
      </c>
      <c r="Z1" s="25" t="s">
        <v>5</v>
      </c>
      <c r="AA1" s="25" t="s">
        <v>6</v>
      </c>
      <c r="AB1" s="25" t="s">
        <v>7</v>
      </c>
      <c r="AC1" s="25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5" t="s">
        <v>11</v>
      </c>
      <c r="AJ1" s="25" t="s">
        <v>12</v>
      </c>
      <c r="AK1" s="25" t="s">
        <v>38</v>
      </c>
      <c r="AL1" s="25" t="s">
        <v>40</v>
      </c>
      <c r="AM1" s="25" t="s">
        <v>42</v>
      </c>
      <c r="AN1" s="25" t="s">
        <v>44</v>
      </c>
      <c r="AO1" s="25" t="s">
        <v>46</v>
      </c>
      <c r="AP1" s="35" t="s">
        <v>178</v>
      </c>
    </row>
    <row r="2" spans="1:42" ht="21" customHeight="1" x14ac:dyDescent="0.15">
      <c r="A2" s="150" t="str">
        <f>B2&amp;"_"&amp;C2&amp;"-"&amp;G2&amp;"/"&amp;L2&amp;"&lt;lv"&amp;R2&amp;"&gt;s"&amp;AC2</f>
        <v>40045_1-1/133&lt;lv37&gt;s2</v>
      </c>
      <c r="B2" s="21">
        <v>40045</v>
      </c>
      <c r="C2" s="151">
        <v>1</v>
      </c>
      <c r="D2" s="14" t="str">
        <f>B2&amp;"_"&amp;C2</f>
        <v>40045_1</v>
      </c>
      <c r="E2" s="4" t="str">
        <f ca="1">VLOOKUP($B2,OFFSET([2]quests!$A$1,0,0,COUNTA([2]quests!$A:$A),MATCH(E$1,[2]quests!$1:$1,0)-MATCH($B$1,[2]quests!$1:$1,0)+1),MATCH(E$1,[2]quests!$1:$1,0)-MATCH($B$1,[2]quests!$1:$1,0)+1,FALSE)</f>
        <v>服部半蔵襲来！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【超絶級】服部半蔵襲来</v>
      </c>
      <c r="G2" s="151">
        <v>1</v>
      </c>
      <c r="H2" s="14" t="str">
        <f>B2&amp;"_"&amp;C2&amp;"-"&amp;G2</f>
        <v>40045_1-1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87</v>
      </c>
      <c r="L2" s="152">
        <v>133</v>
      </c>
      <c r="M2" s="16" t="str">
        <f ca="1">VLOOKUP($L2,OFFSET([3]enemies!$A$1,0,0,COUNTA([3]enemies!$A:$A),MATCH(M$1,[3]enemies!$1:$1,0)-MATCH($L$1,[3]enemies!$1:$1,0)+1),MATCH(M$1,[3]enemies!$1:$1,0)-MATCH($L$1,[3]enemies!$1:$1,0)+1,FALSE)</f>
        <v>迅雷の刀剣 ハヤト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PremiumW</v>
      </c>
      <c r="P2" s="1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6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37</v>
      </c>
      <c r="S2" s="24">
        <v>1.5</v>
      </c>
      <c r="T2" s="98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69159</v>
      </c>
      <c r="U2" s="24">
        <v>0.6</v>
      </c>
      <c r="V2" s="98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3115.2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全体攻撃</v>
      </c>
      <c r="Y2" s="282">
        <v>40045050</v>
      </c>
      <c r="Z2" s="6">
        <v>1</v>
      </c>
      <c r="AA2" s="6">
        <v>100</v>
      </c>
      <c r="AB2" s="6">
        <v>0</v>
      </c>
      <c r="AC2" s="101">
        <v>2</v>
      </c>
      <c r="AD2" s="171">
        <f>L2</f>
        <v>133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迅雷の刀剣 ハヤト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2" s="172">
        <v>1</v>
      </c>
      <c r="AI2" s="171">
        <f ca="1">AF2</f>
        <v>4</v>
      </c>
      <c r="AJ2" s="8">
        <v>0</v>
      </c>
      <c r="AK2" s="172">
        <v>0</v>
      </c>
      <c r="AL2" s="172">
        <v>0</v>
      </c>
      <c r="AM2" s="172">
        <v>0</v>
      </c>
      <c r="AN2" s="172">
        <v>0</v>
      </c>
      <c r="AO2" s="172">
        <v>1</v>
      </c>
      <c r="AP2" s="66">
        <v>1</v>
      </c>
    </row>
    <row r="3" spans="1:42" ht="21" customHeight="1" x14ac:dyDescent="0.15">
      <c r="A3" s="150" t="str">
        <f>B3&amp;"_"&amp;C3&amp;"-"&amp;G3&amp;"/"&amp;L3&amp;"&lt;lv"&amp;R3&amp;"&gt;s"&amp;AC3</f>
        <v>40045_1-1/482&lt;lv41&gt;s2</v>
      </c>
      <c r="B3" s="21">
        <v>40045</v>
      </c>
      <c r="C3" s="151">
        <v>1</v>
      </c>
      <c r="D3" s="14" t="str">
        <f>B3&amp;"_"&amp;C3</f>
        <v>40045_1</v>
      </c>
      <c r="E3" s="4" t="str">
        <f ca="1">VLOOKUP($B3,OFFSET([2]quests!$A$1,0,0,COUNTA([2]quests!$A:$A),MATCH(E$1,[2]quests!$1:$1,0)-MATCH($B$1,[2]quests!$1:$1,0)+1),MATCH(E$1,[2]quests!$1:$1,0)-MATCH($B$1,[2]quests!$1:$1,0)+1,FALSE)</f>
        <v>服部半蔵襲来！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【超絶級】服部半蔵襲来</v>
      </c>
      <c r="G3" s="151">
        <v>1</v>
      </c>
      <c r="H3" s="14" t="str">
        <f>B3&amp;"_"&amp;C3&amp;"-"&amp;G3</f>
        <v>40045_1-1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87</v>
      </c>
      <c r="L3" s="152">
        <v>482</v>
      </c>
      <c r="M3" s="16" t="str">
        <f ca="1">VLOOKUP($L3,OFFSET([3]enemies!$A$1,0,0,COUNTA([3]enemies!$A:$A),MATCH(M$1,[3]enemies!$1:$1,0)-MATCH($L$1,[3]enemies!$1:$1,0)+1),MATCH(M$1,[3]enemies!$1:$1,0)-MATCH($L$1,[3]enemies!$1:$1,0)+1,FALSE)</f>
        <v>魁僧 沢庵宗彭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41</v>
      </c>
      <c r="S3" s="24">
        <v>1.2</v>
      </c>
      <c r="T3" s="98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88560</v>
      </c>
      <c r="U3" s="24">
        <v>0.6</v>
      </c>
      <c r="V3" s="98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2197.7999999999997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8ターン全ユニットにウィルス</v>
      </c>
      <c r="Y3" s="282">
        <v>40045051</v>
      </c>
      <c r="Z3" s="6">
        <v>1</v>
      </c>
      <c r="AA3" s="6">
        <v>100</v>
      </c>
      <c r="AB3" s="6">
        <v>1</v>
      </c>
      <c r="AC3" s="101">
        <v>2</v>
      </c>
      <c r="AD3" s="171">
        <f>L3</f>
        <v>482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172">
        <v>1</v>
      </c>
      <c r="AI3" s="171">
        <f ca="1">AF3</f>
        <v>4</v>
      </c>
      <c r="AJ3" s="8">
        <v>0</v>
      </c>
      <c r="AK3" s="172">
        <v>0</v>
      </c>
      <c r="AL3" s="172">
        <v>0</v>
      </c>
      <c r="AM3" s="172">
        <v>0</v>
      </c>
      <c r="AN3" s="172">
        <v>0</v>
      </c>
      <c r="AO3" s="172">
        <v>1</v>
      </c>
      <c r="AP3" s="66">
        <v>1</v>
      </c>
    </row>
    <row r="4" spans="1:42" ht="21" customHeight="1" x14ac:dyDescent="0.15">
      <c r="A4" s="150" t="str">
        <f>B4&amp;"_"&amp;C4&amp;"-"&amp;G4&amp;"/"&amp;L4&amp;"&lt;lv"&amp;R4&amp;"&gt;s"&amp;AC4</f>
        <v>40045_1-2/41&lt;lv42&gt;s1</v>
      </c>
      <c r="B4" s="21">
        <v>40045</v>
      </c>
      <c r="C4" s="151">
        <v>1</v>
      </c>
      <c r="D4" s="14" t="str">
        <f>B4&amp;"_"&amp;C4</f>
        <v>40045_1</v>
      </c>
      <c r="E4" s="4" t="str">
        <f ca="1">VLOOKUP($B4,OFFSET([2]quests!$A$1,0,0,COUNTA([2]quests!$A:$A),MATCH(E$1,[2]quests!$1:$1,0)-MATCH($B$1,[2]quests!$1:$1,0)+1),MATCH(E$1,[2]quests!$1:$1,0)-MATCH($B$1,[2]quests!$1:$1,0)+1,FALSE)</f>
        <v>服部半蔵襲来！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【超絶級】服部半蔵襲来</v>
      </c>
      <c r="G4" s="151">
        <v>2</v>
      </c>
      <c r="H4" s="14" t="str">
        <f>B4&amp;"_"&amp;C4&amp;"-"&amp;G4</f>
        <v>40045_1-2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7" t="s">
        <v>87</v>
      </c>
      <c r="L4" s="152">
        <v>41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ヒュウガ</v>
      </c>
      <c r="N4" s="16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6" t="str">
        <f ca="1">VLOOKUP($L4,OFFSET([3]enemies!$A$1,0,0,COUNTA([3]enemies!$A:$A),MATCH(P$1,[3]enemies!$1:$1,0)-MATCH($L$1,[3]enemies!$1:$1,0)+1),MATCH(P$1,[3]enemies!$1:$1,0)-MATCH($L$1,[3]enemies!$1:$1,0)+1,FALSE)</f>
        <v>dragon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42</v>
      </c>
      <c r="S4" s="24">
        <v>8.8000000000000007</v>
      </c>
      <c r="T4" s="9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88044</v>
      </c>
      <c r="U4" s="24">
        <v>0.9</v>
      </c>
      <c r="V4" s="98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3505.5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赤パネルを吸収して攻撃</v>
      </c>
      <c r="Y4" s="282">
        <v>40045052</v>
      </c>
      <c r="Z4" s="6">
        <v>1</v>
      </c>
      <c r="AA4" s="6">
        <v>100</v>
      </c>
      <c r="AB4" s="6">
        <v>0</v>
      </c>
      <c r="AC4" s="101">
        <v>1</v>
      </c>
      <c r="AD4" s="171">
        <f>L4</f>
        <v>41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ヒュウガ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172">
        <v>1</v>
      </c>
      <c r="AI4" s="171">
        <f ca="1">AF4</f>
        <v>2</v>
      </c>
      <c r="AJ4" s="8">
        <v>0</v>
      </c>
      <c r="AK4" s="172">
        <v>0</v>
      </c>
      <c r="AL4" s="172">
        <v>0</v>
      </c>
      <c r="AM4" s="172">
        <v>0</v>
      </c>
      <c r="AN4" s="172">
        <v>0</v>
      </c>
      <c r="AO4" s="172">
        <v>1</v>
      </c>
      <c r="AP4" s="66">
        <v>1</v>
      </c>
    </row>
    <row r="5" spans="1:42" ht="21" customHeight="1" x14ac:dyDescent="0.15">
      <c r="A5" s="150" t="str">
        <f t="shared" ref="A5:A6" si="0">B5&amp;"_"&amp;C5&amp;"-"&amp;G5&amp;"/"&amp;L5&amp;"&lt;lv"&amp;R5&amp;"&gt;s"&amp;AC5</f>
        <v>40045_1-2/371&lt;lv40&gt;s2</v>
      </c>
      <c r="B5" s="21">
        <v>40045</v>
      </c>
      <c r="C5" s="151">
        <v>1</v>
      </c>
      <c r="D5" s="14" t="str">
        <f t="shared" ref="D5:D6" si="1">B5&amp;"_"&amp;C5</f>
        <v>40045_1</v>
      </c>
      <c r="E5" s="4" t="str">
        <f ca="1">VLOOKUP($B5,OFFSET([2]quests!$A$1,0,0,COUNTA([2]quests!$A:$A),MATCH(E$1,[2]quests!$1:$1,0)-MATCH($B$1,[2]quests!$1:$1,0)+1),MATCH(E$1,[2]quests!$1:$1,0)-MATCH($B$1,[2]quests!$1:$1,0)+1,FALSE)</f>
        <v>服部半蔵襲来！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【超絶級】服部半蔵襲来</v>
      </c>
      <c r="G5" s="151">
        <v>2</v>
      </c>
      <c r="H5" s="14" t="str">
        <f t="shared" ref="H5:H6" si="2">B5&amp;"_"&amp;C5&amp;"-"&amp;G5</f>
        <v>40045_1-2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7" t="s">
        <v>87</v>
      </c>
      <c r="L5" s="152">
        <v>371</v>
      </c>
      <c r="M5" s="16" t="str">
        <f ca="1">VLOOKUP($L5,OFFSET([3]enemies!$A$1,0,0,COUNTA([3]enemies!$A:$A),MATCH(M$1,[3]enemies!$1:$1,0)-MATCH($L$1,[3]enemies!$1:$1,0)+1),MATCH(M$1,[3]enemies!$1:$1,0)-MATCH($L$1,[3]enemies!$1:$1,0)+1,FALSE)</f>
        <v>行灯達磨 タイチ</v>
      </c>
      <c r="N5" s="16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16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40</v>
      </c>
      <c r="S5" s="24">
        <v>15.2</v>
      </c>
      <c r="T5" s="98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138776</v>
      </c>
      <c r="U5" s="24">
        <v>0.7</v>
      </c>
      <c r="V5" s="98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2837.7999999999997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6ターン全ユニットにウィルス+_x000D_3ターン全ユニットのタップ回数を1DOWN+_x000D_属性パネルを緑のダメージパネルに3個変換</v>
      </c>
      <c r="Y5" s="282">
        <v>40045053</v>
      </c>
      <c r="Z5" s="6">
        <v>1</v>
      </c>
      <c r="AA5" s="6">
        <v>100</v>
      </c>
      <c r="AB5" s="6">
        <v>1</v>
      </c>
      <c r="AC5" s="101">
        <v>2</v>
      </c>
      <c r="AD5" s="171">
        <v>370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172">
        <v>1</v>
      </c>
      <c r="AI5" s="171">
        <f t="shared" ref="AI5:AI6" ca="1" si="3">AF5</f>
        <v>2</v>
      </c>
      <c r="AJ5" s="8">
        <v>30</v>
      </c>
      <c r="AK5" s="172">
        <v>0</v>
      </c>
      <c r="AL5" s="172">
        <v>0</v>
      </c>
      <c r="AM5" s="172">
        <v>0</v>
      </c>
      <c r="AN5" s="172">
        <v>0</v>
      </c>
      <c r="AO5" s="172">
        <v>1</v>
      </c>
      <c r="AP5" s="66">
        <v>1</v>
      </c>
    </row>
    <row r="6" spans="1:42" ht="21" customHeight="1" x14ac:dyDescent="0.15">
      <c r="A6" s="150" t="str">
        <f t="shared" si="0"/>
        <v>40045_1-2/22&lt;lv42&gt;s1</v>
      </c>
      <c r="B6" s="21">
        <v>40045</v>
      </c>
      <c r="C6" s="151">
        <v>1</v>
      </c>
      <c r="D6" s="14" t="str">
        <f t="shared" si="1"/>
        <v>40045_1</v>
      </c>
      <c r="E6" s="4" t="str">
        <f ca="1">VLOOKUP($B6,OFFSET([2]quests!$A$1,0,0,COUNTA([2]quests!$A:$A),MATCH(E$1,[2]quests!$1:$1,0)-MATCH($B$1,[2]quests!$1:$1,0)+1),MATCH(E$1,[2]quests!$1:$1,0)-MATCH($B$1,[2]quests!$1:$1,0)+1,FALSE)</f>
        <v>服部半蔵襲来！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【超絶級】服部半蔵襲来</v>
      </c>
      <c r="G6" s="151">
        <v>2</v>
      </c>
      <c r="H6" s="14" t="str">
        <f t="shared" si="2"/>
        <v>40045_1-2</v>
      </c>
      <c r="I6" s="4">
        <f ca="1">VLOOKUP($H6,OFFSET(floors!$A$1,0,0,COUNTA(floors!$A:$A),MATCH(I$1,floors!$1:$1,0)-MATCH($H$1,floors!$1:$1,0)+1),MATCH(I$1,floors!$1:$1,0)-MATCH($H$1,floors!$1:$1,0)+1,FALSE)</f>
        <v>50</v>
      </c>
      <c r="J6" s="4">
        <f ca="1">VLOOKUP($H6,OFFSET(floors!$A$1,0,0,COUNTA(floors!$A:$A),MATCH(J$1,floors!$1:$1,0)-MATCH($H$1,floors!$1:$1,0)+1),MATCH(J$1,floors!$1:$1,0)-MATCH($H$1,floors!$1:$1,0)+1,FALSE)</f>
        <v>50</v>
      </c>
      <c r="K6" s="37" t="s">
        <v>87</v>
      </c>
      <c r="L6" s="152">
        <v>22</v>
      </c>
      <c r="M6" s="16" t="str">
        <f ca="1">VLOOKUP($L6,OFFSET([3]enemies!$A$1,0,0,COUNTA([3]enemies!$A:$A),MATCH(M$1,[3]enemies!$1:$1,0)-MATCH($L$1,[3]enemies!$1:$1,0)+1),MATCH(M$1,[3]enemies!$1:$1,0)-MATCH($L$1,[3]enemies!$1:$1,0)+1,FALSE)</f>
        <v>突然変異ヴェロキー</v>
      </c>
      <c r="N6" s="16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6" t="str">
        <f ca="1">VLOOKUP($L6,OFFSET([3]enemies!$A$1,0,0,COUNTA([3]enemies!$A:$A),MATCH(P$1,[3]enemies!$1:$1,0)-MATCH($L$1,[3]enemies!$1:$1,0)+1),MATCH(P$1,[3]enemies!$1:$1,0)-MATCH($L$1,[3]enemies!$1:$1,0)+1,FALSE)</f>
        <v>dragon</v>
      </c>
      <c r="Q6" s="16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42</v>
      </c>
      <c r="S6" s="24">
        <v>6</v>
      </c>
      <c r="T6" s="98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87042</v>
      </c>
      <c r="U6" s="24">
        <v>1.6</v>
      </c>
      <c r="V6" s="98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3982.4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全体攻撃</v>
      </c>
      <c r="Y6" s="282">
        <v>40045054</v>
      </c>
      <c r="Z6" s="6">
        <v>1</v>
      </c>
      <c r="AA6" s="6">
        <v>100</v>
      </c>
      <c r="AB6" s="6">
        <v>0</v>
      </c>
      <c r="AC6" s="101">
        <v>1</v>
      </c>
      <c r="AD6" s="171">
        <v>21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ヴェロキー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1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172">
        <v>1</v>
      </c>
      <c r="AI6" s="171">
        <f t="shared" ca="1" si="3"/>
        <v>1</v>
      </c>
      <c r="AJ6" s="8">
        <v>0</v>
      </c>
      <c r="AK6" s="172">
        <v>0</v>
      </c>
      <c r="AL6" s="172">
        <v>0</v>
      </c>
      <c r="AM6" s="172">
        <v>0</v>
      </c>
      <c r="AN6" s="172">
        <v>0</v>
      </c>
      <c r="AO6" s="172">
        <v>1</v>
      </c>
      <c r="AP6" s="66">
        <v>1</v>
      </c>
    </row>
    <row r="7" spans="1:42" ht="21" customHeight="1" x14ac:dyDescent="0.15">
      <c r="A7" s="150" t="str">
        <f t="shared" ref="A7" si="4">B7&amp;"_"&amp;C7&amp;"-"&amp;G7&amp;"/"&amp;L7&amp;"&lt;lv"&amp;R7&amp;"&gt;s"&amp;AC7</f>
        <v>40045_1-3/374&lt;lv42&gt;s2</v>
      </c>
      <c r="B7" s="21">
        <v>40045</v>
      </c>
      <c r="C7" s="151">
        <v>1</v>
      </c>
      <c r="D7" s="14" t="str">
        <f t="shared" ref="D7" si="5">B7&amp;"_"&amp;C7</f>
        <v>40045_1</v>
      </c>
      <c r="E7" s="4" t="str">
        <f ca="1">VLOOKUP($B7,OFFSET([2]quests!$A$1,0,0,COUNTA([2]quests!$A:$A),MATCH(E$1,[2]quests!$1:$1,0)-MATCH($B$1,[2]quests!$1:$1,0)+1),MATCH(E$1,[2]quests!$1:$1,0)-MATCH($B$1,[2]quests!$1:$1,0)+1,FALSE)</f>
        <v>服部半蔵襲来！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【超絶級】服部半蔵襲来</v>
      </c>
      <c r="G7" s="151">
        <v>3</v>
      </c>
      <c r="H7" s="14" t="str">
        <f t="shared" ref="H7" si="6">B7&amp;"_"&amp;C7&amp;"-"&amp;G7</f>
        <v>40045_1-3</v>
      </c>
      <c r="I7" s="4">
        <f ca="1">VLOOKUP($H7,OFFSET(floors!$A$1,0,0,COUNTA(floors!$A:$A),MATCH(I$1,floors!$1:$1,0)-MATCH($H$1,floors!$1:$1,0)+1),MATCH(I$1,floors!$1:$1,0)-MATCH($H$1,floors!$1:$1,0)+1,FALSE)</f>
        <v>45</v>
      </c>
      <c r="J7" s="4">
        <f ca="1">VLOOKUP($H7,OFFSET(floors!$A$1,0,0,COUNTA(floors!$A:$A),MATCH(J$1,floors!$1:$1,0)-MATCH($H$1,floors!$1:$1,0)+1),MATCH(J$1,floors!$1:$1,0)-MATCH($H$1,floors!$1:$1,0)+1,FALSE)</f>
        <v>45</v>
      </c>
      <c r="K7" s="37" t="s">
        <v>87</v>
      </c>
      <c r="L7" s="152">
        <v>374</v>
      </c>
      <c r="M7" s="16" t="str">
        <f ca="1">VLOOKUP($L7,OFFSET([3]enemies!$A$1,0,0,COUNTA([3]enemies!$A:$A),MATCH(M$1,[3]enemies!$1:$1,0)-MATCH($L$1,[3]enemies!$1:$1,0)+1),MATCH(M$1,[3]enemies!$1:$1,0)-MATCH($L$1,[3]enemies!$1:$1,0)+1,FALSE)</f>
        <v>影丸</v>
      </c>
      <c r="N7" s="16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Drop1S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6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42</v>
      </c>
      <c r="S7" s="24">
        <v>5.3</v>
      </c>
      <c r="T7" s="98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41499</v>
      </c>
      <c r="U7" s="24">
        <v>1.5</v>
      </c>
      <c r="V7" s="98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3798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赤パネルを吸収して攻撃</v>
      </c>
      <c r="Y7" s="282">
        <v>40045055</v>
      </c>
      <c r="Z7" s="6">
        <v>1</v>
      </c>
      <c r="AA7" s="6">
        <v>100</v>
      </c>
      <c r="AB7" s="6">
        <v>2</v>
      </c>
      <c r="AC7" s="101">
        <v>2</v>
      </c>
      <c r="AD7" s="171">
        <f t="shared" ref="AD7" si="7">L7</f>
        <v>374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影丸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2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Drop1S</v>
      </c>
      <c r="AH7" s="172">
        <v>1</v>
      </c>
      <c r="AI7" s="171">
        <f t="shared" ref="AI7" ca="1" si="8">AF7</f>
        <v>2</v>
      </c>
      <c r="AJ7" s="8">
        <v>0</v>
      </c>
      <c r="AK7" s="172">
        <v>0</v>
      </c>
      <c r="AL7" s="172">
        <v>0</v>
      </c>
      <c r="AM7" s="172">
        <v>0</v>
      </c>
      <c r="AN7" s="172">
        <v>0</v>
      </c>
      <c r="AO7" s="172">
        <v>1</v>
      </c>
      <c r="AP7" s="66">
        <v>1</v>
      </c>
    </row>
    <row r="8" spans="1:42" ht="21" customHeight="1" x14ac:dyDescent="0.15">
      <c r="A8" s="150" t="str">
        <f t="shared" ref="A8:A9" si="9">B8&amp;"_"&amp;C8&amp;"-"&amp;G8&amp;"/"&amp;L8&amp;"&lt;lv"&amp;R8&amp;"&gt;s"&amp;AC8</f>
        <v>40045_1-3/374&lt;lv43&gt;s1</v>
      </c>
      <c r="B8" s="21">
        <v>40045</v>
      </c>
      <c r="C8" s="151">
        <v>1</v>
      </c>
      <c r="D8" s="14" t="str">
        <f t="shared" ref="D8:D9" si="10">B8&amp;"_"&amp;C8</f>
        <v>40045_1</v>
      </c>
      <c r="E8" s="4" t="str">
        <f ca="1">VLOOKUP($B8,OFFSET([2]quests!$A$1,0,0,COUNTA([2]quests!$A:$A),MATCH(E$1,[2]quests!$1:$1,0)-MATCH($B$1,[2]quests!$1:$1,0)+1),MATCH(E$1,[2]quests!$1:$1,0)-MATCH($B$1,[2]quests!$1:$1,0)+1,FALSE)</f>
        <v>服部半蔵襲来！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【超絶級】服部半蔵襲来</v>
      </c>
      <c r="G8" s="151">
        <v>3</v>
      </c>
      <c r="H8" s="14" t="str">
        <f t="shared" ref="H8:H9" si="11">B8&amp;"_"&amp;C8&amp;"-"&amp;G8</f>
        <v>40045_1-3</v>
      </c>
      <c r="I8" s="4">
        <f ca="1">VLOOKUP($H8,OFFSET(floors!$A$1,0,0,COUNTA(floors!$A:$A),MATCH(I$1,floors!$1:$1,0)-MATCH($H$1,floors!$1:$1,0)+1),MATCH(I$1,floors!$1:$1,0)-MATCH($H$1,floors!$1:$1,0)+1,FALSE)</f>
        <v>45</v>
      </c>
      <c r="J8" s="4">
        <f ca="1">VLOOKUP($H8,OFFSET(floors!$A$1,0,0,COUNTA(floors!$A:$A),MATCH(J$1,floors!$1:$1,0)-MATCH($H$1,floors!$1:$1,0)+1),MATCH(J$1,floors!$1:$1,0)-MATCH($H$1,floors!$1:$1,0)+1,FALSE)</f>
        <v>45</v>
      </c>
      <c r="K8" s="37" t="s">
        <v>87</v>
      </c>
      <c r="L8" s="152">
        <v>374</v>
      </c>
      <c r="M8" s="16" t="str">
        <f ca="1">VLOOKUP($L8,OFFSET([3]enemies!$A$1,0,0,COUNTA([3]enemies!$A:$A),MATCH(M$1,[3]enemies!$1:$1,0)-MATCH($L$1,[3]enemies!$1:$1,0)+1),MATCH(M$1,[3]enemies!$1:$1,0)-MATCH($L$1,[3]enemies!$1:$1,0)+1,FALSE)</f>
        <v>影丸</v>
      </c>
      <c r="N8" s="16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6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43</v>
      </c>
      <c r="S8" s="24">
        <v>5.4</v>
      </c>
      <c r="T8" s="98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43254</v>
      </c>
      <c r="U8" s="24">
        <v>1.4</v>
      </c>
      <c r="V8" s="98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3625.9999999999995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8ターン全ユニットにウィルス</v>
      </c>
      <c r="Y8" s="282">
        <v>40045056</v>
      </c>
      <c r="Z8" s="6">
        <v>1</v>
      </c>
      <c r="AA8" s="6">
        <v>100</v>
      </c>
      <c r="AB8" s="6">
        <v>1</v>
      </c>
      <c r="AC8" s="101">
        <v>1</v>
      </c>
      <c r="AD8" s="171">
        <f t="shared" ref="AD8:AD9" si="12">L8</f>
        <v>374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影丸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172">
        <v>1</v>
      </c>
      <c r="AI8" s="171">
        <f t="shared" ref="AI8:AI9" ca="1" si="13">AF8</f>
        <v>2</v>
      </c>
      <c r="AJ8" s="8">
        <v>0</v>
      </c>
      <c r="AK8" s="172">
        <v>0</v>
      </c>
      <c r="AL8" s="172">
        <v>0</v>
      </c>
      <c r="AM8" s="172">
        <v>0</v>
      </c>
      <c r="AN8" s="172">
        <v>0</v>
      </c>
      <c r="AO8" s="172">
        <v>1</v>
      </c>
      <c r="AP8" s="66">
        <v>1</v>
      </c>
    </row>
    <row r="9" spans="1:42" ht="21" customHeight="1" x14ac:dyDescent="0.15">
      <c r="A9" s="150" t="str">
        <f t="shared" si="9"/>
        <v>40045_1-3/374&lt;lv44&gt;s2</v>
      </c>
      <c r="B9" s="21">
        <v>40045</v>
      </c>
      <c r="C9" s="151">
        <v>1</v>
      </c>
      <c r="D9" s="14" t="str">
        <f t="shared" si="10"/>
        <v>40045_1</v>
      </c>
      <c r="E9" s="4" t="str">
        <f ca="1">VLOOKUP($B9,OFFSET([2]quests!$A$1,0,0,COUNTA([2]quests!$A:$A),MATCH(E$1,[2]quests!$1:$1,0)-MATCH($B$1,[2]quests!$1:$1,0)+1),MATCH(E$1,[2]quests!$1:$1,0)-MATCH($B$1,[2]quests!$1:$1,0)+1,FALSE)</f>
        <v>服部半蔵襲来！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【超絶級】服部半蔵襲来</v>
      </c>
      <c r="G9" s="151">
        <v>3</v>
      </c>
      <c r="H9" s="14" t="str">
        <f t="shared" si="11"/>
        <v>40045_1-3</v>
      </c>
      <c r="I9" s="4">
        <f ca="1">VLOOKUP($H9,OFFSET(floors!$A$1,0,0,COUNTA(floors!$A:$A),MATCH(I$1,floors!$1:$1,0)-MATCH($H$1,floors!$1:$1,0)+1),MATCH(I$1,floors!$1:$1,0)-MATCH($H$1,floors!$1:$1,0)+1,FALSE)</f>
        <v>45</v>
      </c>
      <c r="J9" s="4">
        <f ca="1">VLOOKUP($H9,OFFSET(floors!$A$1,0,0,COUNTA(floors!$A:$A),MATCH(J$1,floors!$1:$1,0)-MATCH($H$1,floors!$1:$1,0)+1),MATCH(J$1,floors!$1:$1,0)-MATCH($H$1,floors!$1:$1,0)+1,FALSE)</f>
        <v>45</v>
      </c>
      <c r="K9" s="37" t="s">
        <v>87</v>
      </c>
      <c r="L9" s="152">
        <v>374</v>
      </c>
      <c r="M9" s="16" t="str">
        <f ca="1">VLOOKUP($L9,OFFSET([3]enemies!$A$1,0,0,COUNTA([3]enemies!$A:$A),MATCH(M$1,[3]enemies!$1:$1,0)-MATCH($L$1,[3]enemies!$1:$1,0)+1),MATCH(M$1,[3]enemies!$1:$1,0)-MATCH($L$1,[3]enemies!$1:$1,0)+1,FALSE)</f>
        <v>影丸</v>
      </c>
      <c r="N9" s="16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44</v>
      </c>
      <c r="S9" s="24">
        <v>5.7</v>
      </c>
      <c r="T9" s="98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46683</v>
      </c>
      <c r="U9" s="24">
        <v>1.3</v>
      </c>
      <c r="V9" s="98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3443.7000000000003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2ターン暗闇</v>
      </c>
      <c r="Y9" s="282">
        <v>40045057</v>
      </c>
      <c r="Z9" s="6">
        <v>1</v>
      </c>
      <c r="AA9" s="6">
        <v>100</v>
      </c>
      <c r="AB9" s="6">
        <v>0</v>
      </c>
      <c r="AC9" s="101">
        <v>2</v>
      </c>
      <c r="AD9" s="171">
        <f t="shared" si="12"/>
        <v>374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影丸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172">
        <v>1</v>
      </c>
      <c r="AI9" s="171">
        <f t="shared" ca="1" si="13"/>
        <v>2</v>
      </c>
      <c r="AJ9" s="8">
        <v>0</v>
      </c>
      <c r="AK9" s="172">
        <v>0</v>
      </c>
      <c r="AL9" s="172">
        <v>0</v>
      </c>
      <c r="AM9" s="172">
        <v>0</v>
      </c>
      <c r="AN9" s="172">
        <v>0</v>
      </c>
      <c r="AO9" s="172">
        <v>1</v>
      </c>
      <c r="AP9" s="66">
        <v>1</v>
      </c>
    </row>
    <row r="10" spans="1:42" ht="21" customHeight="1" thickBot="1" x14ac:dyDescent="0.2">
      <c r="A10" s="153" t="str">
        <f t="shared" ref="A10" si="14">B10&amp;"_"&amp;C10&amp;"-"&amp;G10&amp;"/"&amp;L10&amp;"&lt;lv"&amp;R10&amp;"&gt;s"&amp;AC10</f>
        <v>40045_1-4/1238&lt;lv42&gt;s1</v>
      </c>
      <c r="B10" s="154">
        <v>40045</v>
      </c>
      <c r="C10" s="155">
        <v>1</v>
      </c>
      <c r="D10" s="156" t="str">
        <f t="shared" ref="D10" si="15">B10&amp;"_"&amp;C10</f>
        <v>40045_1</v>
      </c>
      <c r="E10" s="157" t="str">
        <f ca="1">VLOOKUP($B10,OFFSET([2]quests!$A$1,0,0,COUNTA([2]quests!$A:$A),MATCH(E$1,[2]quests!$1:$1,0)-MATCH($B$1,[2]quests!$1:$1,0)+1),MATCH(E$1,[2]quests!$1:$1,0)-MATCH($B$1,[2]quests!$1:$1,0)+1,FALSE)</f>
        <v>服部半蔵襲来！</v>
      </c>
      <c r="F10" s="157" t="str">
        <f ca="1">VLOOKUP($D10,OFFSET([2]stages!$A$1,0,0,COUNTA([2]stages!$A:$A),MATCH(F$1,[2]stages!$2:$2,0)-MATCH($D$1,[2]stages!$2:$2,0)+1),MATCH(F$1,[2]stages!$2:$2,0)-MATCH($D$1,[2]stages!$2:$2,0)+1,FALSE)</f>
        <v>【超絶級】服部半蔵襲来</v>
      </c>
      <c r="G10" s="155">
        <v>4</v>
      </c>
      <c r="H10" s="156" t="str">
        <f t="shared" ref="H10" si="16">B10&amp;"_"&amp;C10&amp;"-"&amp;G10</f>
        <v>40045_1-4</v>
      </c>
      <c r="I10" s="157">
        <f ca="1">VLOOKUP($H10,OFFSET(floors!$A$1,0,0,COUNTA(floors!$A:$A),MATCH(I$1,floors!$1:$1,0)-MATCH($H$1,floors!$1:$1,0)+1),MATCH(I$1,floors!$1:$1,0)-MATCH($H$1,floors!$1:$1,0)+1,FALSE)</f>
        <v>60</v>
      </c>
      <c r="J10" s="157">
        <f ca="1">VLOOKUP($H10,OFFSET(floors!$A$1,0,0,COUNTA(floors!$A:$A),MATCH(J$1,floors!$1:$1,0)-MATCH($H$1,floors!$1:$1,0)+1),MATCH(J$1,floors!$1:$1,0)-MATCH($H$1,floors!$1:$1,0)+1,FALSE)</f>
        <v>60</v>
      </c>
      <c r="K10" s="158">
        <v>1</v>
      </c>
      <c r="L10" s="159">
        <v>1238</v>
      </c>
      <c r="M10" s="160" t="str">
        <f ca="1">VLOOKUP($L10,OFFSET([3]enemies!$A$1,0,0,COUNTA([3]enemies!$A:$A),MATCH(M$1,[3]enemies!$1:$1,0)-MATCH($L$1,[3]enemies!$1:$1,0)+1),MATCH(M$1,[3]enemies!$1:$1,0)-MATCH($L$1,[3]enemies!$1:$1,0)+1,FALSE)</f>
        <v>服部半蔵</v>
      </c>
      <c r="N10" s="160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60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6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160">
        <f ca="1">VLOOKUP($L10,OFFSET([3]enemies!$A$1,0,0,COUNTA([3]enemies!$A:$A),MATCH(Q$1,[3]enemies!$1:$1,0)-MATCH($L$1,[3]enemies!$1:$1,0)+1),MATCH(Q$1,[3]enemies!$1:$1,0)-MATCH($L$1,[3]enemies!$1:$1,0)+1,FALSE)</f>
        <v>60</v>
      </c>
      <c r="R10" s="161">
        <v>42</v>
      </c>
      <c r="S10" s="162">
        <v>5.4</v>
      </c>
      <c r="T10" s="16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407316.60000000003</v>
      </c>
      <c r="U10" s="162">
        <v>0.7</v>
      </c>
      <c r="V10" s="16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4333.7</v>
      </c>
      <c r="W10" s="161">
        <v>0</v>
      </c>
      <c r="X10" s="157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状態異常耐性+残りHPの80%ダメージ！+_x000D_解除するまで全ユニットにウィルス+_x000D_5ターン体力タイプのユニットにスキルバインド</v>
      </c>
      <c r="Y10" s="283">
        <v>40045058</v>
      </c>
      <c r="Z10" s="173">
        <v>1</v>
      </c>
      <c r="AA10" s="173">
        <v>100</v>
      </c>
      <c r="AB10" s="173">
        <v>0</v>
      </c>
      <c r="AC10" s="174">
        <v>1</v>
      </c>
      <c r="AD10" s="175">
        <f t="shared" ref="AD10" si="17">L10</f>
        <v>1238</v>
      </c>
      <c r="AE10" s="157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服部半蔵</v>
      </c>
      <c r="AF10" s="157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157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176">
        <v>1</v>
      </c>
      <c r="AI10" s="175">
        <f t="shared" ref="AI10" ca="1" si="18">AF10</f>
        <v>5</v>
      </c>
      <c r="AJ10" s="177">
        <v>15</v>
      </c>
      <c r="AK10" s="176">
        <v>0</v>
      </c>
      <c r="AL10" s="176">
        <v>0</v>
      </c>
      <c r="AM10" s="176">
        <v>0</v>
      </c>
      <c r="AN10" s="176">
        <v>0</v>
      </c>
      <c r="AO10" s="176">
        <v>1</v>
      </c>
      <c r="AP10" s="178">
        <v>1</v>
      </c>
    </row>
    <row r="11" spans="1:42" ht="21" customHeight="1" x14ac:dyDescent="0.15">
      <c r="A11" s="15" t="str">
        <f>B11&amp;"_"&amp;C11&amp;"-"&amp;G11&amp;"/"&amp;L11&amp;"&lt;lv"&amp;R11&amp;"&gt;s"&amp;AC11</f>
        <v>40045_2-1/133&lt;lv55&gt;s2</v>
      </c>
      <c r="B11" s="21">
        <v>40045</v>
      </c>
      <c r="C11" s="142">
        <v>2</v>
      </c>
      <c r="D11" s="143" t="str">
        <f>B11&amp;"_"&amp;C11</f>
        <v>40045_2</v>
      </c>
      <c r="E11" s="4" t="str">
        <f ca="1">VLOOKUP($B11,OFFSET([2]quests!$A$1,0,0,COUNTA([2]quests!$A:$A),MATCH(E$1,[2]quests!$1:$1,0)-MATCH($B$1,[2]quests!$1:$1,0)+1),MATCH(E$1,[2]quests!$1:$1,0)-MATCH($B$1,[2]quests!$1:$1,0)+1,FALSE)</f>
        <v>服部半蔵襲来！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【ウィザード級】服部半蔵襲来</v>
      </c>
      <c r="G11" s="142">
        <v>1</v>
      </c>
      <c r="H11" s="143" t="str">
        <f>B11&amp;"_"&amp;C11&amp;"-"&amp;G11</f>
        <v>40045_2-1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144" t="s">
        <v>87</v>
      </c>
      <c r="L11" s="145">
        <v>133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迅雷の刀剣 ハヤト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6">
        <f ca="1">VLOOKUP($L11,OFFSET([3]enemies!$A$1,0,0,COUNTA([3]enemies!$A:$A),MATCH(Q$1,[3]enemies!$1:$1,0)-MATCH($L$1,[3]enemies!$1:$1,0)+1),MATCH(Q$1,[3]enemies!$1:$1,0)-MATCH($L$1,[3]enemies!$1:$1,0)+1,FALSE)</f>
        <v>30</v>
      </c>
      <c r="R11" s="146">
        <v>55</v>
      </c>
      <c r="S11" s="147">
        <v>1.5</v>
      </c>
      <c r="T11" s="148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101493</v>
      </c>
      <c r="U11" s="147">
        <v>0.6</v>
      </c>
      <c r="V11" s="148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4571.3999999999996</v>
      </c>
      <c r="W11" s="146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1" s="284">
        <v>40045000</v>
      </c>
      <c r="Z11" s="165">
        <v>1</v>
      </c>
      <c r="AA11" s="165">
        <v>100</v>
      </c>
      <c r="AB11" s="165">
        <v>0</v>
      </c>
      <c r="AC11" s="101">
        <v>2</v>
      </c>
      <c r="AD11" s="166">
        <f>L11</f>
        <v>133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迅雷の刀剣 ハヤト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167">
        <v>1</v>
      </c>
      <c r="AI11" s="166">
        <f ca="1">AF11</f>
        <v>4</v>
      </c>
      <c r="AJ11" s="168">
        <v>0</v>
      </c>
      <c r="AK11" s="167">
        <v>0</v>
      </c>
      <c r="AL11" s="167">
        <v>0</v>
      </c>
      <c r="AM11" s="167">
        <v>0</v>
      </c>
      <c r="AN11" s="167">
        <v>0</v>
      </c>
      <c r="AO11" s="167">
        <v>1</v>
      </c>
      <c r="AP11" s="169">
        <v>1</v>
      </c>
    </row>
    <row r="12" spans="1:42" ht="21" customHeight="1" x14ac:dyDescent="0.15">
      <c r="A12" s="15" t="str">
        <f>B12&amp;"_"&amp;C12&amp;"-"&amp;G12&amp;"/"&amp;L12&amp;"&lt;lv"&amp;R12&amp;"&gt;s"&amp;AC12</f>
        <v>40045_2-1/482&lt;lv60&gt;s2</v>
      </c>
      <c r="B12" s="21">
        <v>40045</v>
      </c>
      <c r="C12" s="20">
        <v>2</v>
      </c>
      <c r="D12" s="2" t="str">
        <f>B12&amp;"_"&amp;C12</f>
        <v>40045_2</v>
      </c>
      <c r="E12" s="4" t="str">
        <f ca="1">VLOOKUP($B12,OFFSET([2]quests!$A$1,0,0,COUNTA([2]quests!$A:$A),MATCH(E$1,[2]quests!$1:$1,0)-MATCH($B$1,[2]quests!$1:$1,0)+1),MATCH(E$1,[2]quests!$1:$1,0)-MATCH($B$1,[2]quests!$1:$1,0)+1,FALSE)</f>
        <v>服部半蔵襲来！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【ウィザード級】服部半蔵襲来</v>
      </c>
      <c r="G12" s="20">
        <v>1</v>
      </c>
      <c r="H12" s="14" t="str">
        <f>B12&amp;"_"&amp;C12&amp;"-"&amp;G12</f>
        <v>40045_2-1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7" t="s">
        <v>87</v>
      </c>
      <c r="L12" s="19">
        <v>482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魁僧 沢庵宗彭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6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60</v>
      </c>
      <c r="S12" s="24">
        <v>1.2</v>
      </c>
      <c r="T12" s="98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128150.39999999999</v>
      </c>
      <c r="U12" s="24">
        <v>0.6</v>
      </c>
      <c r="V12" s="98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3180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12ターン全ユニットにウィルス</v>
      </c>
      <c r="Y12" s="285">
        <v>40045001</v>
      </c>
      <c r="Z12" s="6">
        <v>1</v>
      </c>
      <c r="AA12" s="6">
        <v>100</v>
      </c>
      <c r="AB12" s="6">
        <v>1</v>
      </c>
      <c r="AC12" s="101">
        <v>2</v>
      </c>
      <c r="AD12" s="23">
        <f>L12</f>
        <v>482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魁僧 沢庵宗彭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4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7">
        <v>1</v>
      </c>
      <c r="AI12" s="23">
        <f ca="1">AF12</f>
        <v>4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6">
        <v>1</v>
      </c>
    </row>
    <row r="13" spans="1:42" ht="21" customHeight="1" x14ac:dyDescent="0.15">
      <c r="A13" s="15" t="str">
        <f>B13&amp;"_"&amp;C13&amp;"-"&amp;G13&amp;"/"&amp;L13&amp;"&lt;lv"&amp;R13&amp;"&gt;s"&amp;AC13</f>
        <v>40045_2-2/41&lt;lv60&gt;s1</v>
      </c>
      <c r="B13" s="21">
        <v>40045</v>
      </c>
      <c r="C13" s="20">
        <v>2</v>
      </c>
      <c r="D13" s="2" t="str">
        <f>B13&amp;"_"&amp;C13</f>
        <v>40045_2</v>
      </c>
      <c r="E13" s="4" t="str">
        <f ca="1">VLOOKUP($B13,OFFSET([2]quests!$A$1,0,0,COUNTA([2]quests!$A:$A),MATCH(E$1,[2]quests!$1:$1,0)-MATCH($B$1,[2]quests!$1:$1,0)+1),MATCH(E$1,[2]quests!$1:$1,0)-MATCH($B$1,[2]quests!$1:$1,0)+1,FALSE)</f>
        <v>服部半蔵襲来！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【ウィザード級】服部半蔵襲来</v>
      </c>
      <c r="G13" s="20">
        <v>2</v>
      </c>
      <c r="H13" s="14" t="str">
        <f>B13&amp;"_"&amp;C13&amp;"-"&amp;G13</f>
        <v>40045_2-2</v>
      </c>
      <c r="I13" s="4">
        <f ca="1">VLOOKUP($H13,OFFSET(floors!$A$1,0,0,COUNTA(floors!$A:$A),MATCH(I$1,floors!$1:$1,0)-MATCH($H$1,floors!$1:$1,0)+1),MATCH(I$1,floors!$1:$1,0)-MATCH($H$1,floors!$1:$1,0)+1,FALSE)</f>
        <v>50</v>
      </c>
      <c r="J13" s="4">
        <f ca="1">VLOOKUP($H13,OFFSET(floors!$A$1,0,0,COUNTA(floors!$A:$A),MATCH(J$1,floors!$1:$1,0)-MATCH($H$1,floors!$1:$1,0)+1),MATCH(J$1,floors!$1:$1,0)-MATCH($H$1,floors!$1:$1,0)+1,FALSE)</f>
        <v>50</v>
      </c>
      <c r="K13" s="37" t="s">
        <v>87</v>
      </c>
      <c r="L13" s="19">
        <v>41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ヒュウガ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red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Drop1N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dragon</v>
      </c>
      <c r="Q13" s="16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24">
        <v>8.8000000000000007</v>
      </c>
      <c r="T13" s="98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124476.00000000001</v>
      </c>
      <c r="U13" s="24">
        <v>0.9</v>
      </c>
      <c r="V13" s="98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4955.4000000000005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赤パネルを吸収して攻撃</v>
      </c>
      <c r="Y13" s="285">
        <v>40045002</v>
      </c>
      <c r="Z13" s="6">
        <v>1</v>
      </c>
      <c r="AA13" s="6">
        <v>100</v>
      </c>
      <c r="AB13" s="6">
        <v>0</v>
      </c>
      <c r="AC13" s="101">
        <v>1</v>
      </c>
      <c r="AD13" s="23">
        <f>L13</f>
        <v>41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ヒュウガ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2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Drop1N</v>
      </c>
      <c r="AH13" s="7">
        <v>1</v>
      </c>
      <c r="AI13" s="23">
        <f ca="1">AF13</f>
        <v>2</v>
      </c>
      <c r="AJ13" s="8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6">
        <v>1</v>
      </c>
    </row>
    <row r="14" spans="1:42" ht="21" customHeight="1" x14ac:dyDescent="0.15">
      <c r="A14" s="15" t="str">
        <f t="shared" ref="A14:A19" si="19">B14&amp;"_"&amp;C14&amp;"-"&amp;G14&amp;"/"&amp;L14&amp;"&lt;lv"&amp;R14&amp;"&gt;s"&amp;AC14</f>
        <v>40045_2-2/371&lt;lv58&gt;s2</v>
      </c>
      <c r="B14" s="21">
        <v>40045</v>
      </c>
      <c r="C14" s="20">
        <v>2</v>
      </c>
      <c r="D14" s="2" t="str">
        <f t="shared" ref="D14:D19" si="20">B14&amp;"_"&amp;C14</f>
        <v>40045_2</v>
      </c>
      <c r="E14" s="4" t="str">
        <f ca="1">VLOOKUP($B14,OFFSET([2]quests!$A$1,0,0,COUNTA([2]quests!$A:$A),MATCH(E$1,[2]quests!$1:$1,0)-MATCH($B$1,[2]quests!$1:$1,0)+1),MATCH(E$1,[2]quests!$1:$1,0)-MATCH($B$1,[2]quests!$1:$1,0)+1,FALSE)</f>
        <v>服部半蔵襲来！</v>
      </c>
      <c r="F14" s="4" t="str">
        <f ca="1">VLOOKUP($D14,OFFSET([2]stages!$A$1,0,0,COUNTA([2]stages!$A:$A),MATCH(F$1,[2]stages!$2:$2,0)-MATCH($D$1,[2]stages!$2:$2,0)+1),MATCH(F$1,[2]stages!$2:$2,0)-MATCH($D$1,[2]stages!$2:$2,0)+1,FALSE)</f>
        <v>【ウィザード級】服部半蔵襲来</v>
      </c>
      <c r="G14" s="20">
        <v>2</v>
      </c>
      <c r="H14" s="14" t="str">
        <f t="shared" ref="H14:H19" si="21">B14&amp;"_"&amp;C14&amp;"-"&amp;G14</f>
        <v>40045_2-2</v>
      </c>
      <c r="I14" s="4">
        <f ca="1">VLOOKUP($H14,OFFSET(floors!$A$1,0,0,COUNTA(floors!$A:$A),MATCH(I$1,floors!$1:$1,0)-MATCH($H$1,floors!$1:$1,0)+1),MATCH(I$1,floors!$1:$1,0)-MATCH($H$1,floors!$1:$1,0)+1,FALSE)</f>
        <v>50</v>
      </c>
      <c r="J14" s="4">
        <f ca="1">VLOOKUP($H14,OFFSET(floors!$A$1,0,0,COUNTA(floors!$A:$A),MATCH(J$1,floors!$1:$1,0)-MATCH($H$1,floors!$1:$1,0)+1),MATCH(J$1,floors!$1:$1,0)-MATCH($H$1,floors!$1:$1,0)+1,FALSE)</f>
        <v>50</v>
      </c>
      <c r="K14" s="37" t="s">
        <v>87</v>
      </c>
      <c r="L14" s="19">
        <v>371</v>
      </c>
      <c r="M14" s="16" t="str">
        <f ca="1">VLOOKUP($L14,OFFSET([3]enemies!$A$1,0,0,COUNTA([3]enemies!$A:$A),MATCH(M$1,[3]enemies!$1:$1,0)-MATCH($L$1,[3]enemies!$1:$1,0)+1),MATCH(M$1,[3]enemies!$1:$1,0)-MATCH($L$1,[3]enemies!$1:$1,0)+1,FALSE)</f>
        <v>行灯達磨 タイチ</v>
      </c>
      <c r="N14" s="16" t="str">
        <f ca="1">VLOOKUP($L14,OFFSET([3]enemies!$A$1,0,0,COUNTA([3]enemies!$A:$A),MATCH(N$1,[3]enemies!$1:$1,0)-MATCH($L$1,[3]enemies!$1:$1,0)+1),MATCH(N$1,[3]enemies!$1:$1,0)-MATCH($L$1,[3]enemies!$1:$1,0)+1,FALSE)</f>
        <v>red</v>
      </c>
      <c r="O14" s="16" t="str">
        <f ca="1">VLOOKUP($L14,OFFSET([4]characters!$A$1,0,0,COUNTA([4]characters!$A:$A),MATCH(O$1,[4]characters!$1:$1,0)-MATCH($L$1,[4]characters!$1:$1,0)+1),MATCH(O$1,[4]characters!$1:$1,0)-MATCH($L$1,[4]characters!$1:$1,0)+1,FALSE)</f>
        <v>Drop1S</v>
      </c>
      <c r="P14" s="16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6">
        <f ca="1">VLOOKUP($L14,OFFSET([3]enemies!$A$1,0,0,COUNTA([3]enemies!$A:$A),MATCH(Q$1,[3]enemies!$1:$1,0)-MATCH($L$1,[3]enemies!$1:$1,0)+1),MATCH(Q$1,[3]enemies!$1:$1,0)-MATCH($L$1,[3]enemies!$1:$1,0)+1,FALSE)</f>
        <v>20</v>
      </c>
      <c r="R14" s="5">
        <v>58</v>
      </c>
      <c r="S14" s="24">
        <v>15.2</v>
      </c>
      <c r="T14" s="98">
        <f ca="1">ROUND(VLOOKUP(R14,[3]enemy_base_stats!$A:$F,2,FALSE) *INDIRECT("[EnemyMasterData.xlsm]enemies!Y"&amp;(L14+1))*  INDIRECT("[EnemyMasterData.xlsm]enemies!J"&amp;(L14+1))* INDIRECT("[EnemyMasterData.xlsm]enemies!O"&amp;(L14+1))* INDIRECT("[EnemyMasterData.xlsm]enemies!E"&amp;(L14+1))* INDIRECT("[EnemyMasterData.xlsm]enemies!S"&amp;(L14+1))* INDIRECT("[EnemyMasterData.xlsm]enemies!AD"&amp;(L14+1))*[4]ステータス!$B$2,0)*S14</f>
        <v>198968</v>
      </c>
      <c r="U14" s="24">
        <v>0.7</v>
      </c>
      <c r="V14" s="98">
        <f ca="1">ROUND(VLOOKUP(R14,[3]enemy_base_stats!$A:$F,3,FALSE) *INDIRECT("[EnemyMasterData.xlsm]enemies!Z"&amp;(L14+1))*  INDIRECT("[EnemyMasterData.xlsm]enemies!K"&amp;(L14+1))* INDIRECT("[EnemyMasterData.xlsm]enemies!P"&amp;(L14+1))* INDIRECT("[EnemyMasterData.xlsm]enemies!F"&amp;(L14+1))* INDIRECT("[EnemyMasterData.xlsm]enemies!T"&amp;(L14+1))* INDIRECT("[EnemyMasterData.xlsm]enemies!AE"&amp;(L14+1))*[4]ステータス!$C$2,0)*U14</f>
        <v>4068.3999999999996</v>
      </c>
      <c r="W14" s="5">
        <v>0</v>
      </c>
      <c r="X14" s="4" t="str">
        <f ca="1">VLOOKUP($Y14,OFFSET(enemy_skill_sets!$B$1,0,0,COUNTA(enemy_skill_sets!$B:$B),MATCH(M$1,enemy_skill_sets!$1:$1,0)-MATCH($Y$1,enemy_skill_sets!$1:$1,0)+2),MATCH(M$1,enemy_skill_sets!$1:$1,0)-MATCH($Y$1,enemy_skill_sets!$1:$1,0)+2,FALSE)</f>
        <v>10ターン全ユニットにウィルス+_x000D_5ターン全ユニットのタップ回数を1DOWN+_x000D_属性パネルを緑のダメージパネルに5個変換</v>
      </c>
      <c r="Y14" s="285">
        <v>40045003</v>
      </c>
      <c r="Z14" s="6">
        <v>1</v>
      </c>
      <c r="AA14" s="6">
        <v>100</v>
      </c>
      <c r="AB14" s="6">
        <v>1</v>
      </c>
      <c r="AC14" s="101">
        <v>2</v>
      </c>
      <c r="AD14" s="23">
        <v>370</v>
      </c>
      <c r="AE14" s="4" t="str">
        <f ca="1">VLOOKUP($AD14,OFFSET([4]characters!$A$1,0,0,COUNTA([4]characters!$A:$A),MATCH(AE$1,[4]characters!$1:$1,0)-MATCH("character_id",[4]characters!$1:$1,0)+1),MATCH(AE$1,[4]characters!$1:$1,0)-MATCH("character_id",[4]characters!$1:$1,0)+1,FALSE)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14" s="4">
        <f ca="1">VLOOKUP($AD14,OFFSET([4]characters!$A$1,0,0,COUNTA([4]characters!$A:$A),MATCH(AF$1,[4]characters!$1:$1,0)-MATCH("character_id",[4]characters!$1:$1,0)+1),MATCH(AF$1,[4]characters!$1:$1,0)-MATCH("character_id",[4]characters!$1:$1,0)+1,FALSE)</f>
        <v>2</v>
      </c>
      <c r="AG14" s="4" t="str">
        <f ca="1">VLOOKUP($AD14,OFFSET([4]characters!$A$1,0,0,COUNTA([4]characters!$A:$A),MATCH(AG$1,[4]characters!$1:$1,0)-MATCH("character_id",[4]characters!$1:$1,0)+1),MATCH(AG$1,[4]characters!$1:$1,0)-MATCH("character_id",[4]characters!$1:$1,0)+1,FALSE)</f>
        <v>Drop1S</v>
      </c>
      <c r="AH14" s="7">
        <v>1</v>
      </c>
      <c r="AI14" s="23">
        <f t="shared" ref="AI14:AI19" ca="1" si="22">AF14</f>
        <v>2</v>
      </c>
      <c r="AJ14" s="8">
        <v>30</v>
      </c>
      <c r="AK14" s="7">
        <v>0</v>
      </c>
      <c r="AL14" s="7">
        <v>0</v>
      </c>
      <c r="AM14" s="7">
        <v>0</v>
      </c>
      <c r="AN14" s="7">
        <v>0</v>
      </c>
      <c r="AO14" s="7">
        <v>1</v>
      </c>
      <c r="AP14" s="66">
        <v>1</v>
      </c>
    </row>
    <row r="15" spans="1:42" ht="21" customHeight="1" x14ac:dyDescent="0.15">
      <c r="A15" s="15" t="str">
        <f t="shared" si="19"/>
        <v>40045_2-2/22&lt;lv60&gt;s1</v>
      </c>
      <c r="B15" s="21">
        <v>40045</v>
      </c>
      <c r="C15" s="20">
        <v>2</v>
      </c>
      <c r="D15" s="2" t="str">
        <f t="shared" si="20"/>
        <v>40045_2</v>
      </c>
      <c r="E15" s="4" t="str">
        <f ca="1">VLOOKUP($B15,OFFSET([2]quests!$A$1,0,0,COUNTA([2]quests!$A:$A),MATCH(E$1,[2]quests!$1:$1,0)-MATCH($B$1,[2]quests!$1:$1,0)+1),MATCH(E$1,[2]quests!$1:$1,0)-MATCH($B$1,[2]quests!$1:$1,0)+1,FALSE)</f>
        <v>服部半蔵襲来！</v>
      </c>
      <c r="F15" s="4" t="str">
        <f ca="1">VLOOKUP($D15,OFFSET([2]stages!$A$1,0,0,COUNTA([2]stages!$A:$A),MATCH(F$1,[2]stages!$2:$2,0)-MATCH($D$1,[2]stages!$2:$2,0)+1),MATCH(F$1,[2]stages!$2:$2,0)-MATCH($D$1,[2]stages!$2:$2,0)+1,FALSE)</f>
        <v>【ウィザード級】服部半蔵襲来</v>
      </c>
      <c r="G15" s="20">
        <v>2</v>
      </c>
      <c r="H15" s="14" t="str">
        <f t="shared" si="21"/>
        <v>40045_2-2</v>
      </c>
      <c r="I15" s="4">
        <f ca="1">VLOOKUP($H15,OFFSET(floors!$A$1,0,0,COUNTA(floors!$A:$A),MATCH(I$1,floors!$1:$1,0)-MATCH($H$1,floors!$1:$1,0)+1),MATCH(I$1,floors!$1:$1,0)-MATCH($H$1,floors!$1:$1,0)+1,FALSE)</f>
        <v>50</v>
      </c>
      <c r="J15" s="4">
        <f ca="1">VLOOKUP($H15,OFFSET(floors!$A$1,0,0,COUNTA(floors!$A:$A),MATCH(J$1,floors!$1:$1,0)-MATCH($H$1,floors!$1:$1,0)+1),MATCH(J$1,floors!$1:$1,0)-MATCH($H$1,floors!$1:$1,0)+1,FALSE)</f>
        <v>50</v>
      </c>
      <c r="K15" s="37" t="s">
        <v>87</v>
      </c>
      <c r="L15" s="19">
        <v>22</v>
      </c>
      <c r="M15" s="16" t="str">
        <f ca="1">VLOOKUP($L15,OFFSET([3]enemies!$A$1,0,0,COUNTA([3]enemies!$A:$A),MATCH(M$1,[3]enemies!$1:$1,0)-MATCH($L$1,[3]enemies!$1:$1,0)+1),MATCH(M$1,[3]enemies!$1:$1,0)-MATCH($L$1,[3]enemies!$1:$1,0)+1,FALSE)</f>
        <v>突然変異ヴェロキー</v>
      </c>
      <c r="N15" s="16" t="str">
        <f ca="1">VLOOKUP($L15,OFFSET([3]enemies!$A$1,0,0,COUNTA([3]enemies!$A:$A),MATCH(N$1,[3]enemies!$1:$1,0)-MATCH($L$1,[3]enemies!$1:$1,0)+1),MATCH(N$1,[3]enemies!$1:$1,0)-MATCH($L$1,[3]enemies!$1:$1,0)+1,FALSE)</f>
        <v>red</v>
      </c>
      <c r="O15" s="16" t="str">
        <f ca="1">VLOOKUP($L15,OFFSET([4]characters!$A$1,0,0,COUNTA([4]characters!$A:$A),MATCH(O$1,[4]characters!$1:$1,0)-MATCH($L$1,[4]characters!$1:$1,0)+1),MATCH(O$1,[4]characters!$1:$1,0)-MATCH($L$1,[4]characters!$1:$1,0)+1,FALSE)</f>
        <v>Drop1N</v>
      </c>
      <c r="P15" s="16" t="str">
        <f ca="1">VLOOKUP($L15,OFFSET([3]enemies!$A$1,0,0,COUNTA([3]enemies!$A:$A),MATCH(P$1,[3]enemies!$1:$1,0)-MATCH($L$1,[3]enemies!$1:$1,0)+1),MATCH(P$1,[3]enemies!$1:$1,0)-MATCH($L$1,[3]enemies!$1:$1,0)+1,FALSE)</f>
        <v>dragon</v>
      </c>
      <c r="Q15" s="16">
        <f ca="1">VLOOKUP($L15,OFFSET([3]enemies!$A$1,0,0,COUNTA([3]enemies!$A:$A),MATCH(Q$1,[3]enemies!$1:$1,0)-MATCH($L$1,[3]enemies!$1:$1,0)+1),MATCH(Q$1,[3]enemies!$1:$1,0)-MATCH($L$1,[3]enemies!$1:$1,0)+1,FALSE)</f>
        <v>15</v>
      </c>
      <c r="R15" s="5">
        <v>60</v>
      </c>
      <c r="S15" s="24">
        <v>6</v>
      </c>
      <c r="T15" s="98">
        <f ca="1">ROUND(VLOOKUP(R15,[3]enemy_base_stats!$A:$F,2,FALSE) *INDIRECT("[EnemyMasterData.xlsm]enemies!Y"&amp;(L15+1))*  INDIRECT("[EnemyMasterData.xlsm]enemies!J"&amp;(L15+1))* INDIRECT("[EnemyMasterData.xlsm]enemies!O"&amp;(L15+1))* INDIRECT("[EnemyMasterData.xlsm]enemies!E"&amp;(L15+1))* INDIRECT("[EnemyMasterData.xlsm]enemies!S"&amp;(L15+1))* INDIRECT("[EnemyMasterData.xlsm]enemies!AD"&amp;(L15+1))*[4]ステータス!$B$2,0)*S15</f>
        <v>123060</v>
      </c>
      <c r="U15" s="24">
        <v>1.6</v>
      </c>
      <c r="V15" s="98">
        <f ca="1">ROUND(VLOOKUP(R15,[3]enemy_base_stats!$A:$F,3,FALSE) *INDIRECT("[EnemyMasterData.xlsm]enemies!Z"&amp;(L15+1))*  INDIRECT("[EnemyMasterData.xlsm]enemies!K"&amp;(L15+1))* INDIRECT("[EnemyMasterData.xlsm]enemies!P"&amp;(L15+1))* INDIRECT("[EnemyMasterData.xlsm]enemies!F"&amp;(L15+1))* INDIRECT("[EnemyMasterData.xlsm]enemies!T"&amp;(L15+1))* INDIRECT("[EnemyMasterData.xlsm]enemies!AE"&amp;(L15+1))*[4]ステータス!$C$2,0)*U15</f>
        <v>5630.4000000000005</v>
      </c>
      <c r="W15" s="5">
        <v>0</v>
      </c>
      <c r="X15" s="4" t="str">
        <f ca="1">VLOOKUP($Y15,OFFSET(enemy_skill_sets!$B$1,0,0,COUNTA(enemy_skill_sets!$B:$B),MATCH(M$1,enemy_skill_sets!$1:$1,0)-MATCH($Y$1,enemy_skill_sets!$1:$1,0)+2),MATCH(M$1,enemy_skill_sets!$1:$1,0)-MATCH($Y$1,enemy_skill_sets!$1:$1,0)+2,FALSE)</f>
        <v>全体攻撃</v>
      </c>
      <c r="Y15" s="285">
        <v>40045004</v>
      </c>
      <c r="Z15" s="6">
        <v>1</v>
      </c>
      <c r="AA15" s="6">
        <v>100</v>
      </c>
      <c r="AB15" s="6">
        <v>0</v>
      </c>
      <c r="AC15" s="101">
        <v>1</v>
      </c>
      <c r="AD15" s="23">
        <v>21</v>
      </c>
      <c r="AE15" s="4" t="str">
        <f ca="1">VLOOKUP($AD15,OFFSET([4]characters!$A$1,0,0,COUNTA([4]characters!$A:$A),MATCH(AE$1,[4]characters!$1:$1,0)-MATCH("character_id",[4]characters!$1:$1,0)+1),MATCH(AE$1,[4]characters!$1:$1,0)-MATCH("character_id",[4]characters!$1:$1,0)+1,FALSE)</f>
        <v>ヴェロキー</v>
      </c>
      <c r="AF15" s="4">
        <f ca="1">VLOOKUP($AD15,OFFSET([4]characters!$A$1,0,0,COUNTA([4]characters!$A:$A),MATCH(AF$1,[4]characters!$1:$1,0)-MATCH("character_id",[4]characters!$1:$1,0)+1),MATCH(AF$1,[4]characters!$1:$1,0)-MATCH("character_id",[4]characters!$1:$1,0)+1,FALSE)</f>
        <v>1</v>
      </c>
      <c r="AG15" s="4" t="str">
        <f ca="1">VLOOKUP($AD15,OFFSET([4]characters!$A$1,0,0,COUNTA([4]characters!$A:$A),MATCH(AG$1,[4]characters!$1:$1,0)-MATCH("character_id",[4]characters!$1:$1,0)+1),MATCH(AG$1,[4]characters!$1:$1,0)-MATCH("character_id",[4]characters!$1:$1,0)+1,FALSE)</f>
        <v>Drop1N</v>
      </c>
      <c r="AH15" s="7">
        <v>1</v>
      </c>
      <c r="AI15" s="23">
        <f t="shared" ca="1" si="22"/>
        <v>1</v>
      </c>
      <c r="AJ15" s="8">
        <v>0</v>
      </c>
      <c r="AK15" s="7">
        <v>0</v>
      </c>
      <c r="AL15" s="7">
        <v>0</v>
      </c>
      <c r="AM15" s="7">
        <v>0</v>
      </c>
      <c r="AN15" s="7">
        <v>0</v>
      </c>
      <c r="AO15" s="7">
        <v>1</v>
      </c>
      <c r="AP15" s="66">
        <v>1</v>
      </c>
    </row>
    <row r="16" spans="1:42" ht="21" customHeight="1" x14ac:dyDescent="0.15">
      <c r="A16" s="15" t="str">
        <f t="shared" si="19"/>
        <v>40045_2-3/374&lt;lv60&gt;s2</v>
      </c>
      <c r="B16" s="21">
        <v>40045</v>
      </c>
      <c r="C16" s="20">
        <v>2</v>
      </c>
      <c r="D16" s="2" t="str">
        <f t="shared" si="20"/>
        <v>40045_2</v>
      </c>
      <c r="E16" s="4" t="str">
        <f ca="1">VLOOKUP($B16,OFFSET([2]quests!$A$1,0,0,COUNTA([2]quests!$A:$A),MATCH(E$1,[2]quests!$1:$1,0)-MATCH($B$1,[2]quests!$1:$1,0)+1),MATCH(E$1,[2]quests!$1:$1,0)-MATCH($B$1,[2]quests!$1:$1,0)+1,FALSE)</f>
        <v>服部半蔵襲来！</v>
      </c>
      <c r="F16" s="4" t="str">
        <f ca="1">VLOOKUP($D16,OFFSET([2]stages!$A$1,0,0,COUNTA([2]stages!$A:$A),MATCH(F$1,[2]stages!$2:$2,0)-MATCH($D$1,[2]stages!$2:$2,0)+1),MATCH(F$1,[2]stages!$2:$2,0)-MATCH($D$1,[2]stages!$2:$2,0)+1,FALSE)</f>
        <v>【ウィザード級】服部半蔵襲来</v>
      </c>
      <c r="G16" s="20">
        <v>3</v>
      </c>
      <c r="H16" s="14" t="str">
        <f t="shared" si="21"/>
        <v>40045_2-3</v>
      </c>
      <c r="I16" s="4">
        <f ca="1">VLOOKUP($H16,OFFSET(floors!$A$1,0,0,COUNTA(floors!$A:$A),MATCH(I$1,floors!$1:$1,0)-MATCH($H$1,floors!$1:$1,0)+1),MATCH(I$1,floors!$1:$1,0)-MATCH($H$1,floors!$1:$1,0)+1,FALSE)</f>
        <v>45</v>
      </c>
      <c r="J16" s="4">
        <f ca="1">VLOOKUP($H16,OFFSET(floors!$A$1,0,0,COUNTA(floors!$A:$A),MATCH(J$1,floors!$1:$1,0)-MATCH($H$1,floors!$1:$1,0)+1),MATCH(J$1,floors!$1:$1,0)-MATCH($H$1,floors!$1:$1,0)+1,FALSE)</f>
        <v>45</v>
      </c>
      <c r="K16" s="37" t="s">
        <v>87</v>
      </c>
      <c r="L16" s="19">
        <v>374</v>
      </c>
      <c r="M16" s="16" t="str">
        <f ca="1">VLOOKUP($L16,OFFSET([3]enemies!$A$1,0,0,COUNTA([3]enemies!$A:$A),MATCH(M$1,[3]enemies!$1:$1,0)-MATCH($L$1,[3]enemies!$1:$1,0)+1),MATCH(M$1,[3]enemies!$1:$1,0)-MATCH($L$1,[3]enemies!$1:$1,0)+1,FALSE)</f>
        <v>影丸</v>
      </c>
      <c r="N16" s="16" t="str">
        <f ca="1">VLOOKUP($L16,OFFSET([3]enemies!$A$1,0,0,COUNTA([3]enemies!$A:$A),MATCH(N$1,[3]enemies!$1:$1,0)-MATCH($L$1,[3]enemies!$1:$1,0)+1),MATCH(N$1,[3]enemies!$1:$1,0)-MATCH($L$1,[3]enemies!$1:$1,0)+1,FALSE)</f>
        <v>blue</v>
      </c>
      <c r="O16" s="16" t="str">
        <f ca="1">VLOOKUP($L16,OFFSET([4]characters!$A$1,0,0,COUNTA([4]characters!$A:$A),MATCH(O$1,[4]characters!$1:$1,0)-MATCH($L$1,[4]characters!$1:$1,0)+1),MATCH(O$1,[4]characters!$1:$1,0)-MATCH($L$1,[4]characters!$1:$1,0)+1,FALSE)</f>
        <v>Drop1S</v>
      </c>
      <c r="P16" s="16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6">
        <f ca="1">VLOOKUP($L16,OFFSET([3]enemies!$A$1,0,0,COUNTA([3]enemies!$A:$A),MATCH(Q$1,[3]enemies!$1:$1,0)-MATCH($L$1,[3]enemies!$1:$1,0)+1),MATCH(Q$1,[3]enemies!$1:$1,0)-MATCH($L$1,[3]enemies!$1:$1,0)+1,FALSE)</f>
        <v>15</v>
      </c>
      <c r="R16" s="5">
        <v>60</v>
      </c>
      <c r="S16" s="24">
        <v>5.3</v>
      </c>
      <c r="T16" s="98">
        <f ca="1">ROUND(VLOOKUP(R16,[3]enemy_base_stats!$A:$F,2,FALSE) *INDIRECT("[EnemyMasterData.xlsm]enemies!Y"&amp;(L16+1))*  INDIRECT("[EnemyMasterData.xlsm]enemies!J"&amp;(L16+1))* INDIRECT("[EnemyMasterData.xlsm]enemies!O"&amp;(L16+1))* INDIRECT("[EnemyMasterData.xlsm]enemies!E"&amp;(L16+1))* INDIRECT("[EnemyMasterData.xlsm]enemies!S"&amp;(L16+1))* INDIRECT("[EnemyMasterData.xlsm]enemies!AD"&amp;(L16+1))*[4]ステータス!$B$2,0)*S16</f>
        <v>58671</v>
      </c>
      <c r="U16" s="24">
        <v>1.5</v>
      </c>
      <c r="V16" s="98">
        <f ca="1">ROUND(VLOOKUP(R16,[3]enemy_base_stats!$A:$F,3,FALSE) *INDIRECT("[EnemyMasterData.xlsm]enemies!Z"&amp;(L16+1))*  INDIRECT("[EnemyMasterData.xlsm]enemies!K"&amp;(L16+1))* INDIRECT("[EnemyMasterData.xlsm]enemies!P"&amp;(L16+1))* INDIRECT("[EnemyMasterData.xlsm]enemies!F"&amp;(L16+1))* INDIRECT("[EnemyMasterData.xlsm]enemies!T"&amp;(L16+1))* INDIRECT("[EnemyMasterData.xlsm]enemies!AE"&amp;(L16+1))*[4]ステータス!$C$2,0)*U16</f>
        <v>5370</v>
      </c>
      <c r="W16" s="5">
        <v>0</v>
      </c>
      <c r="X16" s="4" t="str">
        <f ca="1">VLOOKUP($Y16,OFFSET(enemy_skill_sets!$B$1,0,0,COUNTA(enemy_skill_sets!$B:$B),MATCH(M$1,enemy_skill_sets!$1:$1,0)-MATCH($Y$1,enemy_skill_sets!$1:$1,0)+2),MATCH(M$1,enemy_skill_sets!$1:$1,0)-MATCH($Y$1,enemy_skill_sets!$1:$1,0)+2,FALSE)</f>
        <v>赤パネルを吸収して攻撃</v>
      </c>
      <c r="Y16" s="285">
        <v>40045005</v>
      </c>
      <c r="Z16" s="6">
        <v>1</v>
      </c>
      <c r="AA16" s="6">
        <v>100</v>
      </c>
      <c r="AB16" s="6">
        <v>2</v>
      </c>
      <c r="AC16" s="101">
        <v>2</v>
      </c>
      <c r="AD16" s="23">
        <f t="shared" ref="AD16:AD19" si="23">L16</f>
        <v>374</v>
      </c>
      <c r="AE16" s="4" t="str">
        <f ca="1">VLOOKUP($AD16,OFFSET([4]characters!$A$1,0,0,COUNTA([4]characters!$A:$A),MATCH(AE$1,[4]characters!$1:$1,0)-MATCH("character_id",[4]characters!$1:$1,0)+1),MATCH(AE$1,[4]characters!$1:$1,0)-MATCH("character_id",[4]characters!$1:$1,0)+1,FALSE)</f>
        <v>影丸</v>
      </c>
      <c r="AF16" s="4">
        <f ca="1">VLOOKUP($AD16,OFFSET([4]characters!$A$1,0,0,COUNTA([4]characters!$A:$A),MATCH(AF$1,[4]characters!$1:$1,0)-MATCH("character_id",[4]characters!$1:$1,0)+1),MATCH(AF$1,[4]characters!$1:$1,0)-MATCH("character_id",[4]characters!$1:$1,0)+1,FALSE)</f>
        <v>2</v>
      </c>
      <c r="AG16" s="4" t="str">
        <f ca="1">VLOOKUP($AD16,OFFSET([4]characters!$A$1,0,0,COUNTA([4]characters!$A:$A),MATCH(AG$1,[4]characters!$1:$1,0)-MATCH("character_id",[4]characters!$1:$1,0)+1),MATCH(AG$1,[4]characters!$1:$1,0)-MATCH("character_id",[4]characters!$1:$1,0)+1,FALSE)</f>
        <v>Drop1S</v>
      </c>
      <c r="AH16" s="7">
        <v>1</v>
      </c>
      <c r="AI16" s="23">
        <f t="shared" ca="1" si="22"/>
        <v>2</v>
      </c>
      <c r="AJ16" s="8">
        <v>0</v>
      </c>
      <c r="AK16" s="7">
        <v>0</v>
      </c>
      <c r="AL16" s="7">
        <v>0</v>
      </c>
      <c r="AM16" s="7">
        <v>0</v>
      </c>
      <c r="AN16" s="7">
        <v>0</v>
      </c>
      <c r="AO16" s="7">
        <v>1</v>
      </c>
      <c r="AP16" s="66">
        <v>1</v>
      </c>
    </row>
    <row r="17" spans="1:42" ht="21" customHeight="1" x14ac:dyDescent="0.15">
      <c r="A17" s="15" t="str">
        <f t="shared" si="19"/>
        <v>40045_2-3/374&lt;lv61&gt;s1</v>
      </c>
      <c r="B17" s="21">
        <v>40045</v>
      </c>
      <c r="C17" s="20">
        <v>2</v>
      </c>
      <c r="D17" s="2" t="str">
        <f t="shared" si="20"/>
        <v>40045_2</v>
      </c>
      <c r="E17" s="4" t="str">
        <f ca="1">VLOOKUP($B17,OFFSET([2]quests!$A$1,0,0,COUNTA([2]quests!$A:$A),MATCH(E$1,[2]quests!$1:$1,0)-MATCH($B$1,[2]quests!$1:$1,0)+1),MATCH(E$1,[2]quests!$1:$1,0)-MATCH($B$1,[2]quests!$1:$1,0)+1,FALSE)</f>
        <v>服部半蔵襲来！</v>
      </c>
      <c r="F17" s="4" t="str">
        <f ca="1">VLOOKUP($D17,OFFSET([2]stages!$A$1,0,0,COUNTA([2]stages!$A:$A),MATCH(F$1,[2]stages!$2:$2,0)-MATCH($D$1,[2]stages!$2:$2,0)+1),MATCH(F$1,[2]stages!$2:$2,0)-MATCH($D$1,[2]stages!$2:$2,0)+1,FALSE)</f>
        <v>【ウィザード級】服部半蔵襲来</v>
      </c>
      <c r="G17" s="20">
        <v>3</v>
      </c>
      <c r="H17" s="14" t="str">
        <f t="shared" si="21"/>
        <v>40045_2-3</v>
      </c>
      <c r="I17" s="4">
        <f ca="1">VLOOKUP($H17,OFFSET(floors!$A$1,0,0,COUNTA(floors!$A:$A),MATCH(I$1,floors!$1:$1,0)-MATCH($H$1,floors!$1:$1,0)+1),MATCH(I$1,floors!$1:$1,0)-MATCH($H$1,floors!$1:$1,0)+1,FALSE)</f>
        <v>45</v>
      </c>
      <c r="J17" s="4">
        <f ca="1">VLOOKUP($H17,OFFSET(floors!$A$1,0,0,COUNTA(floors!$A:$A),MATCH(J$1,floors!$1:$1,0)-MATCH($H$1,floors!$1:$1,0)+1),MATCH(J$1,floors!$1:$1,0)-MATCH($H$1,floors!$1:$1,0)+1,FALSE)</f>
        <v>45</v>
      </c>
      <c r="K17" s="37" t="s">
        <v>87</v>
      </c>
      <c r="L17" s="19">
        <v>374</v>
      </c>
      <c r="M17" s="16" t="str">
        <f ca="1">VLOOKUP($L17,OFFSET([3]enemies!$A$1,0,0,COUNTA([3]enemies!$A:$A),MATCH(M$1,[3]enemies!$1:$1,0)-MATCH($L$1,[3]enemies!$1:$1,0)+1),MATCH(M$1,[3]enemies!$1:$1,0)-MATCH($L$1,[3]enemies!$1:$1,0)+1,FALSE)</f>
        <v>影丸</v>
      </c>
      <c r="N17" s="16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6" t="str">
        <f ca="1">VLOOKUP($L17,OFFSET([4]characters!$A$1,0,0,COUNTA([4]characters!$A:$A),MATCH(O$1,[4]characters!$1:$1,0)-MATCH($L$1,[4]characters!$1:$1,0)+1),MATCH(O$1,[4]characters!$1:$1,0)-MATCH($L$1,[4]characters!$1:$1,0)+1,FALSE)</f>
        <v>Drop1S</v>
      </c>
      <c r="P17" s="16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6">
        <f ca="1">VLOOKUP($L17,OFFSET([3]enemies!$A$1,0,0,COUNTA([3]enemies!$A:$A),MATCH(Q$1,[3]enemies!$1:$1,0)-MATCH($L$1,[3]enemies!$1:$1,0)+1),MATCH(Q$1,[3]enemies!$1:$1,0)-MATCH($L$1,[3]enemies!$1:$1,0)+1,FALSE)</f>
        <v>15</v>
      </c>
      <c r="R17" s="5">
        <v>61</v>
      </c>
      <c r="S17" s="24">
        <v>5.4</v>
      </c>
      <c r="T17" s="98">
        <f ca="1">ROUND(VLOOKUP(R17,[3]enemy_base_stats!$A:$F,2,FALSE) *INDIRECT("[EnemyMasterData.xlsm]enemies!Y"&amp;(L17+1))*  INDIRECT("[EnemyMasterData.xlsm]enemies!J"&amp;(L17+1))* INDIRECT("[EnemyMasterData.xlsm]enemies!O"&amp;(L17+1))* INDIRECT("[EnemyMasterData.xlsm]enemies!E"&amp;(L17+1))* INDIRECT("[EnemyMasterData.xlsm]enemies!S"&amp;(L17+1))* INDIRECT("[EnemyMasterData.xlsm]enemies!AD"&amp;(L17+1))*[4]ステータス!$B$2,0)*S17</f>
        <v>60750.000000000007</v>
      </c>
      <c r="U17" s="24">
        <v>1.4</v>
      </c>
      <c r="V17" s="98">
        <f ca="1">ROUND(VLOOKUP(R17,[3]enemy_base_stats!$A:$F,3,FALSE) *INDIRECT("[EnemyMasterData.xlsm]enemies!Z"&amp;(L17+1))*  INDIRECT("[EnemyMasterData.xlsm]enemies!K"&amp;(L17+1))* INDIRECT("[EnemyMasterData.xlsm]enemies!P"&amp;(L17+1))* INDIRECT("[EnemyMasterData.xlsm]enemies!F"&amp;(L17+1))* INDIRECT("[EnemyMasterData.xlsm]enemies!T"&amp;(L17+1))* INDIRECT("[EnemyMasterData.xlsm]enemies!AE"&amp;(L17+1))*[4]ステータス!$C$2,0)*U17</f>
        <v>5093.2</v>
      </c>
      <c r="W17" s="5">
        <v>0</v>
      </c>
      <c r="X17" s="4" t="str">
        <f ca="1">VLOOKUP($Y17,OFFSET(enemy_skill_sets!$B$1,0,0,COUNTA(enemy_skill_sets!$B:$B),MATCH(M$1,enemy_skill_sets!$1:$1,0)-MATCH($Y$1,enemy_skill_sets!$1:$1,0)+2),MATCH(M$1,enemy_skill_sets!$1:$1,0)-MATCH($Y$1,enemy_skill_sets!$1:$1,0)+2,FALSE)</f>
        <v>10ターン全ユニットにウィルス</v>
      </c>
      <c r="Y17" s="285">
        <v>40045006</v>
      </c>
      <c r="Z17" s="6">
        <v>1</v>
      </c>
      <c r="AA17" s="6">
        <v>100</v>
      </c>
      <c r="AB17" s="6">
        <v>1</v>
      </c>
      <c r="AC17" s="101">
        <v>1</v>
      </c>
      <c r="AD17" s="23">
        <f t="shared" si="23"/>
        <v>374</v>
      </c>
      <c r="AE17" s="4" t="str">
        <f ca="1">VLOOKUP($AD17,OFFSET([4]characters!$A$1,0,0,COUNTA([4]characters!$A:$A),MATCH(AE$1,[4]characters!$1:$1,0)-MATCH("character_id",[4]characters!$1:$1,0)+1),MATCH(AE$1,[4]characters!$1:$1,0)-MATCH("character_id",[4]characters!$1:$1,0)+1,FALSE)</f>
        <v>影丸</v>
      </c>
      <c r="AF17" s="4">
        <f ca="1">VLOOKUP($AD17,OFFSET([4]characters!$A$1,0,0,COUNTA([4]characters!$A:$A),MATCH(AF$1,[4]characters!$1:$1,0)-MATCH("character_id",[4]characters!$1:$1,0)+1),MATCH(AF$1,[4]characters!$1:$1,0)-MATCH("character_id",[4]characters!$1:$1,0)+1,FALSE)</f>
        <v>2</v>
      </c>
      <c r="AG17" s="4" t="str">
        <f ca="1">VLOOKUP($AD17,OFFSET([4]characters!$A$1,0,0,COUNTA([4]characters!$A:$A),MATCH(AG$1,[4]characters!$1:$1,0)-MATCH("character_id",[4]characters!$1:$1,0)+1),MATCH(AG$1,[4]characters!$1:$1,0)-MATCH("character_id",[4]characters!$1:$1,0)+1,FALSE)</f>
        <v>Drop1S</v>
      </c>
      <c r="AH17" s="7">
        <v>1</v>
      </c>
      <c r="AI17" s="23">
        <f t="shared" ca="1" si="22"/>
        <v>2</v>
      </c>
      <c r="AJ17" s="8">
        <v>0</v>
      </c>
      <c r="AK17" s="7">
        <v>0</v>
      </c>
      <c r="AL17" s="7">
        <v>0</v>
      </c>
      <c r="AM17" s="7">
        <v>0</v>
      </c>
      <c r="AN17" s="7">
        <v>0</v>
      </c>
      <c r="AO17" s="7">
        <v>1</v>
      </c>
      <c r="AP17" s="66">
        <v>1</v>
      </c>
    </row>
    <row r="18" spans="1:42" ht="21" customHeight="1" x14ac:dyDescent="0.15">
      <c r="A18" s="15" t="str">
        <f t="shared" si="19"/>
        <v>40045_2-3/374&lt;lv62&gt;s2</v>
      </c>
      <c r="B18" s="21">
        <v>40045</v>
      </c>
      <c r="C18" s="20">
        <v>2</v>
      </c>
      <c r="D18" s="2" t="str">
        <f t="shared" si="20"/>
        <v>40045_2</v>
      </c>
      <c r="E18" s="4" t="str">
        <f ca="1">VLOOKUP($B18,OFFSET([2]quests!$A$1,0,0,COUNTA([2]quests!$A:$A),MATCH(E$1,[2]quests!$1:$1,0)-MATCH($B$1,[2]quests!$1:$1,0)+1),MATCH(E$1,[2]quests!$1:$1,0)-MATCH($B$1,[2]quests!$1:$1,0)+1,FALSE)</f>
        <v>服部半蔵襲来！</v>
      </c>
      <c r="F18" s="4" t="str">
        <f ca="1">VLOOKUP($D18,OFFSET([2]stages!$A$1,0,0,COUNTA([2]stages!$A:$A),MATCH(F$1,[2]stages!$2:$2,0)-MATCH($D$1,[2]stages!$2:$2,0)+1),MATCH(F$1,[2]stages!$2:$2,0)-MATCH($D$1,[2]stages!$2:$2,0)+1,FALSE)</f>
        <v>【ウィザード級】服部半蔵襲来</v>
      </c>
      <c r="G18" s="20">
        <v>3</v>
      </c>
      <c r="H18" s="14" t="str">
        <f t="shared" si="21"/>
        <v>40045_2-3</v>
      </c>
      <c r="I18" s="4">
        <f ca="1">VLOOKUP($H18,OFFSET(floors!$A$1,0,0,COUNTA(floors!$A:$A),MATCH(I$1,floors!$1:$1,0)-MATCH($H$1,floors!$1:$1,0)+1),MATCH(I$1,floors!$1:$1,0)-MATCH($H$1,floors!$1:$1,0)+1,FALSE)</f>
        <v>45</v>
      </c>
      <c r="J18" s="4">
        <f ca="1">VLOOKUP($H18,OFFSET(floors!$A$1,0,0,COUNTA(floors!$A:$A),MATCH(J$1,floors!$1:$1,0)-MATCH($H$1,floors!$1:$1,0)+1),MATCH(J$1,floors!$1:$1,0)-MATCH($H$1,floors!$1:$1,0)+1,FALSE)</f>
        <v>45</v>
      </c>
      <c r="K18" s="37" t="s">
        <v>87</v>
      </c>
      <c r="L18" s="19">
        <v>374</v>
      </c>
      <c r="M18" s="16" t="str">
        <f ca="1">VLOOKUP($L18,OFFSET([3]enemies!$A$1,0,0,COUNTA([3]enemies!$A:$A),MATCH(M$1,[3]enemies!$1:$1,0)-MATCH($L$1,[3]enemies!$1:$1,0)+1),MATCH(M$1,[3]enemies!$1:$1,0)-MATCH($L$1,[3]enemies!$1:$1,0)+1,FALSE)</f>
        <v>影丸</v>
      </c>
      <c r="N18" s="16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6" t="str">
        <f ca="1">VLOOKUP($L18,OFFSET([4]characters!$A$1,0,0,COUNTA([4]characters!$A:$A),MATCH(O$1,[4]characters!$1:$1,0)-MATCH($L$1,[4]characters!$1:$1,0)+1),MATCH(O$1,[4]characters!$1:$1,0)-MATCH($L$1,[4]characters!$1:$1,0)+1,FALSE)</f>
        <v>Drop1S</v>
      </c>
      <c r="P18" s="16" t="str">
        <f ca="1">VLOOKUP($L18,OFFSET([3]enemies!$A$1,0,0,COUNTA([3]enemies!$A:$A),MATCH(P$1,[3]enemies!$1:$1,0)-MATCH($L$1,[3]enemies!$1:$1,0)+1),MATCH(P$1,[3]enemies!$1:$1,0)-MATCH($L$1,[3]enemies!$1:$1,0)+1,FALSE)</f>
        <v>animal</v>
      </c>
      <c r="Q18" s="16">
        <f ca="1">VLOOKUP($L18,OFFSET([3]enemies!$A$1,0,0,COUNTA([3]enemies!$A:$A),MATCH(Q$1,[3]enemies!$1:$1,0)-MATCH($L$1,[3]enemies!$1:$1,0)+1),MATCH(Q$1,[3]enemies!$1:$1,0)-MATCH($L$1,[3]enemies!$1:$1,0)+1,FALSE)</f>
        <v>15</v>
      </c>
      <c r="R18" s="5">
        <v>62</v>
      </c>
      <c r="S18" s="24">
        <v>5.7</v>
      </c>
      <c r="T18" s="98">
        <f ca="1">ROUND(VLOOKUP(R18,[3]enemy_base_stats!$A:$F,2,FALSE) *INDIRECT("[EnemyMasterData.xlsm]enemies!Y"&amp;(L18+1))*  INDIRECT("[EnemyMasterData.xlsm]enemies!J"&amp;(L18+1))* INDIRECT("[EnemyMasterData.xlsm]enemies!O"&amp;(L18+1))* INDIRECT("[EnemyMasterData.xlsm]enemies!E"&amp;(L18+1))* INDIRECT("[EnemyMasterData.xlsm]enemies!S"&amp;(L18+1))* INDIRECT("[EnemyMasterData.xlsm]enemies!AD"&amp;(L18+1))*[4]ステータス!$B$2,0)*S18</f>
        <v>65151</v>
      </c>
      <c r="U18" s="24">
        <v>1.3</v>
      </c>
      <c r="V18" s="98">
        <f ca="1">ROUND(VLOOKUP(R18,[3]enemy_base_stats!$A:$F,3,FALSE) *INDIRECT("[EnemyMasterData.xlsm]enemies!Z"&amp;(L18+1))*  INDIRECT("[EnemyMasterData.xlsm]enemies!K"&amp;(L18+1))* INDIRECT("[EnemyMasterData.xlsm]enemies!P"&amp;(L18+1))* INDIRECT("[EnemyMasterData.xlsm]enemies!F"&amp;(L18+1))* INDIRECT("[EnemyMasterData.xlsm]enemies!T"&amp;(L18+1))* INDIRECT("[EnemyMasterData.xlsm]enemies!AE"&amp;(L18+1))*[4]ステータス!$C$2,0)*U18</f>
        <v>4804.8</v>
      </c>
      <c r="W18" s="5">
        <v>0</v>
      </c>
      <c r="X18" s="4" t="str">
        <f ca="1">VLOOKUP($Y18,OFFSET(enemy_skill_sets!$B$1,0,0,COUNTA(enemy_skill_sets!$B:$B),MATCH(M$1,enemy_skill_sets!$1:$1,0)-MATCH($Y$1,enemy_skill_sets!$1:$1,0)+2),MATCH(M$1,enemy_skill_sets!$1:$1,0)-MATCH($Y$1,enemy_skill_sets!$1:$1,0)+2,FALSE)</f>
        <v>3ターン暗闇</v>
      </c>
      <c r="Y18" s="285">
        <v>40045007</v>
      </c>
      <c r="Z18" s="6">
        <v>1</v>
      </c>
      <c r="AA18" s="6">
        <v>100</v>
      </c>
      <c r="AB18" s="6">
        <v>0</v>
      </c>
      <c r="AC18" s="101">
        <v>2</v>
      </c>
      <c r="AD18" s="23">
        <f t="shared" si="23"/>
        <v>374</v>
      </c>
      <c r="AE18" s="4" t="str">
        <f ca="1">VLOOKUP($AD18,OFFSET([4]characters!$A$1,0,0,COUNTA([4]characters!$A:$A),MATCH(AE$1,[4]characters!$1:$1,0)-MATCH("character_id",[4]characters!$1:$1,0)+1),MATCH(AE$1,[4]characters!$1:$1,0)-MATCH("character_id",[4]characters!$1:$1,0)+1,FALSE)</f>
        <v>影丸</v>
      </c>
      <c r="AF18" s="4">
        <f ca="1">VLOOKUP($AD18,OFFSET([4]characters!$A$1,0,0,COUNTA([4]characters!$A:$A),MATCH(AF$1,[4]characters!$1:$1,0)-MATCH("character_id",[4]characters!$1:$1,0)+1),MATCH(AF$1,[4]characters!$1:$1,0)-MATCH("character_id",[4]characters!$1:$1,0)+1,FALSE)</f>
        <v>2</v>
      </c>
      <c r="AG18" s="4" t="str">
        <f ca="1">VLOOKUP($AD18,OFFSET([4]characters!$A$1,0,0,COUNTA([4]characters!$A:$A),MATCH(AG$1,[4]characters!$1:$1,0)-MATCH("character_id",[4]characters!$1:$1,0)+1),MATCH(AG$1,[4]characters!$1:$1,0)-MATCH("character_id",[4]characters!$1:$1,0)+1,FALSE)</f>
        <v>Drop1S</v>
      </c>
      <c r="AH18" s="7">
        <v>1</v>
      </c>
      <c r="AI18" s="23">
        <f t="shared" ca="1" si="22"/>
        <v>2</v>
      </c>
      <c r="AJ18" s="8">
        <v>0</v>
      </c>
      <c r="AK18" s="7">
        <v>0</v>
      </c>
      <c r="AL18" s="7">
        <v>0</v>
      </c>
      <c r="AM18" s="7">
        <v>0</v>
      </c>
      <c r="AN18" s="7">
        <v>0</v>
      </c>
      <c r="AO18" s="7">
        <v>1</v>
      </c>
      <c r="AP18" s="66">
        <v>1</v>
      </c>
    </row>
    <row r="19" spans="1:42" ht="21" customHeight="1" x14ac:dyDescent="0.15">
      <c r="A19" s="15" t="str">
        <f t="shared" si="19"/>
        <v>40045_2-4/1238&lt;lv60&gt;s1</v>
      </c>
      <c r="B19" s="21">
        <v>40045</v>
      </c>
      <c r="C19" s="20">
        <v>2</v>
      </c>
      <c r="D19" s="2" t="str">
        <f t="shared" si="20"/>
        <v>40045_2</v>
      </c>
      <c r="E19" s="4" t="str">
        <f ca="1">VLOOKUP($B19,OFFSET([2]quests!$A$1,0,0,COUNTA([2]quests!$A:$A),MATCH(E$1,[2]quests!$1:$1,0)-MATCH($B$1,[2]quests!$1:$1,0)+1),MATCH(E$1,[2]quests!$1:$1,0)-MATCH($B$1,[2]quests!$1:$1,0)+1,FALSE)</f>
        <v>服部半蔵襲来！</v>
      </c>
      <c r="F19" s="4" t="str">
        <f ca="1">VLOOKUP($D19,OFFSET([2]stages!$A$1,0,0,COUNTA([2]stages!$A:$A),MATCH(F$1,[2]stages!$2:$2,0)-MATCH($D$1,[2]stages!$2:$2,0)+1),MATCH(F$1,[2]stages!$2:$2,0)-MATCH($D$1,[2]stages!$2:$2,0)+1,FALSE)</f>
        <v>【ウィザード級】服部半蔵襲来</v>
      </c>
      <c r="G19" s="20">
        <v>4</v>
      </c>
      <c r="H19" s="14" t="str">
        <f t="shared" si="21"/>
        <v>40045_2-4</v>
      </c>
      <c r="I19" s="4">
        <f ca="1">VLOOKUP($H19,OFFSET(floors!$A$1,0,0,COUNTA(floors!$A:$A),MATCH(I$1,floors!$1:$1,0)-MATCH($H$1,floors!$1:$1,0)+1),MATCH(I$1,floors!$1:$1,0)-MATCH($H$1,floors!$1:$1,0)+1,FALSE)</f>
        <v>60</v>
      </c>
      <c r="J19" s="4">
        <f ca="1">VLOOKUP($H19,OFFSET(floors!$A$1,0,0,COUNTA(floors!$A:$A),MATCH(J$1,floors!$1:$1,0)-MATCH($H$1,floors!$1:$1,0)+1),MATCH(J$1,floors!$1:$1,0)-MATCH($H$1,floors!$1:$1,0)+1,FALSE)</f>
        <v>60</v>
      </c>
      <c r="K19" s="37">
        <v>1</v>
      </c>
      <c r="L19" s="19">
        <v>1238</v>
      </c>
      <c r="M19" s="16" t="str">
        <f ca="1">VLOOKUP($L19,OFFSET([3]enemies!$A$1,0,0,COUNTA([3]enemies!$A:$A),MATCH(M$1,[3]enemies!$1:$1,0)-MATCH($L$1,[3]enemies!$1:$1,0)+1),MATCH(M$1,[3]enemies!$1:$1,0)-MATCH($L$1,[3]enemies!$1:$1,0)+1,FALSE)</f>
        <v>服部半蔵</v>
      </c>
      <c r="N19" s="16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6" t="str">
        <f ca="1">VLOOKUP($L19,OFFSET([4]characters!$A$1,0,0,COUNTA([4]characters!$A:$A),MATCH(O$1,[4]characters!$1:$1,0)-MATCH($L$1,[4]characters!$1:$1,0)+1),MATCH(O$1,[4]characters!$1:$1,0)-MATCH($L$1,[4]characters!$1:$1,0)+1,FALSE)</f>
        <v>DropWizS</v>
      </c>
      <c r="P19" s="16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16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24">
        <v>5.6</v>
      </c>
      <c r="T19" s="98">
        <f ca="1">ROUND(VLOOKUP(R19,[3]enemy_base_stats!$A:$F,2,FALSE) *INDIRECT("[EnemyMasterData.xlsm]enemies!Y"&amp;(L19+1))*  INDIRECT("[EnemyMasterData.xlsm]enemies!J"&amp;(L19+1))* INDIRECT("[EnemyMasterData.xlsm]enemies!O"&amp;(L19+1))* INDIRECT("[EnemyMasterData.xlsm]enemies!E"&amp;(L19+1))* INDIRECT("[EnemyMasterData.xlsm]enemies!S"&amp;(L19+1))* INDIRECT("[EnemyMasterData.xlsm]enemies!AD"&amp;(L19+1))*[4]ステータス!$B$2,0)*S19</f>
        <v>597189.6</v>
      </c>
      <c r="U19" s="24">
        <v>0.7</v>
      </c>
      <c r="V19" s="98">
        <f ca="1">ROUND(VLOOKUP(R19,[3]enemy_base_stats!$A:$F,3,FALSE) *INDIRECT("[EnemyMasterData.xlsm]enemies!Z"&amp;(L19+1))*  INDIRECT("[EnemyMasterData.xlsm]enemies!K"&amp;(L19+1))* INDIRECT("[EnemyMasterData.xlsm]enemies!P"&amp;(L19+1))* INDIRECT("[EnemyMasterData.xlsm]enemies!F"&amp;(L19+1))* INDIRECT("[EnemyMasterData.xlsm]enemies!T"&amp;(L19+1))* INDIRECT("[EnemyMasterData.xlsm]enemies!AE"&amp;(L19+1))*[4]ステータス!$C$2,0)*U19</f>
        <v>6127.0999999999995</v>
      </c>
      <c r="W19" s="5">
        <v>0</v>
      </c>
      <c r="X19" s="4" t="str">
        <f ca="1">VLOOKUP($Y19,OFFSET(enemy_skill_sets!$B$1,0,0,COUNTA(enemy_skill_sets!$B:$B),MATCH(M$1,enemy_skill_sets!$1:$1,0)-MATCH($Y$1,enemy_skill_sets!$1:$1,0)+2),MATCH(M$1,enemy_skill_sets!$1:$1,0)-MATCH($Y$1,enemy_skill_sets!$1:$1,0)+2,FALSE)</f>
        <v>状態異常耐性+残りHPの80%ダメージ！+_x000D_解除するまで全ユニットにウィルス+_x000D_8ターン体力タイプのユニットにスキルバインド</v>
      </c>
      <c r="Y19" s="285">
        <v>40045008</v>
      </c>
      <c r="Z19" s="6">
        <v>1</v>
      </c>
      <c r="AA19" s="6">
        <v>100</v>
      </c>
      <c r="AB19" s="6">
        <v>0</v>
      </c>
      <c r="AC19" s="101">
        <v>1</v>
      </c>
      <c r="AD19" s="23">
        <f t="shared" si="23"/>
        <v>1238</v>
      </c>
      <c r="AE19" s="4" t="str">
        <f ca="1">VLOOKUP($AD19,OFFSET([4]characters!$A$1,0,0,COUNTA([4]characters!$A:$A),MATCH(AE$1,[4]characters!$1:$1,0)-MATCH("character_id",[4]characters!$1:$1,0)+1),MATCH(AE$1,[4]characters!$1:$1,0)-MATCH("character_id",[4]characters!$1:$1,0)+1,FALSE)</f>
        <v>服部半蔵</v>
      </c>
      <c r="AF19" s="4">
        <f ca="1">VLOOKUP($AD19,OFFSET([4]characters!$A$1,0,0,COUNTA([4]characters!$A:$A),MATCH(AF$1,[4]characters!$1:$1,0)-MATCH("character_id",[4]characters!$1:$1,0)+1),MATCH(AF$1,[4]characters!$1:$1,0)-MATCH("character_id",[4]characters!$1:$1,0)+1,FALSE)</f>
        <v>5</v>
      </c>
      <c r="AG19" s="4" t="str">
        <f ca="1">VLOOKUP($AD19,OFFSET([4]characters!$A$1,0,0,COUNTA([4]characters!$A:$A),MATCH(AG$1,[4]characters!$1:$1,0)-MATCH("character_id",[4]characters!$1:$1,0)+1),MATCH(AG$1,[4]characters!$1:$1,0)-MATCH("character_id",[4]characters!$1:$1,0)+1,FALSE)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9" s="7">
        <v>1</v>
      </c>
      <c r="AI19" s="23">
        <f t="shared" ca="1" si="22"/>
        <v>5</v>
      </c>
      <c r="AJ19" s="8">
        <v>30</v>
      </c>
      <c r="AK19" s="7">
        <v>0</v>
      </c>
      <c r="AL19" s="7">
        <v>0</v>
      </c>
      <c r="AM19" s="7">
        <v>0</v>
      </c>
      <c r="AN19" s="7">
        <v>0</v>
      </c>
      <c r="AO19" s="7">
        <v>1</v>
      </c>
      <c r="AP19" s="66">
        <v>1</v>
      </c>
    </row>
    <row r="21" spans="1:42" ht="21" customHeight="1" x14ac:dyDescent="0.15">
      <c r="T21" s="3"/>
      <c r="Y21" s="141"/>
      <c r="Z21" s="141"/>
    </row>
    <row r="22" spans="1:42" ht="21" customHeight="1" x14ac:dyDescent="0.15">
      <c r="T22" s="3"/>
      <c r="Y22" s="141"/>
      <c r="Z22" s="141"/>
    </row>
    <row r="23" spans="1:42" ht="21" customHeight="1" x14ac:dyDescent="0.15">
      <c r="T23" s="141"/>
      <c r="Y23" s="12"/>
      <c r="Z23" s="13"/>
      <c r="AA23" s="13"/>
      <c r="AB23" s="10"/>
      <c r="AE23" s="3"/>
      <c r="AF23" s="3"/>
      <c r="AG23" s="3"/>
      <c r="AH23" s="3"/>
    </row>
    <row r="24" spans="1:42" ht="21" customHeight="1" x14ac:dyDescent="0.15">
      <c r="T24" s="141"/>
      <c r="Y24" s="12"/>
      <c r="Z24" s="13"/>
      <c r="AA24" s="13"/>
      <c r="AB24" s="10"/>
      <c r="AE24" s="3"/>
      <c r="AF24" s="3"/>
      <c r="AG24" s="3"/>
      <c r="AH24" s="3"/>
    </row>
    <row r="25" spans="1:42" ht="21" customHeight="1" x14ac:dyDescent="0.15">
      <c r="T25" s="141"/>
      <c r="Y25" s="12"/>
      <c r="Z25" s="13"/>
      <c r="AA25" s="13"/>
      <c r="AB25" s="10"/>
      <c r="AE25" s="3"/>
      <c r="AF25" s="3"/>
      <c r="AG25" s="3"/>
      <c r="AH25" s="3"/>
    </row>
    <row r="26" spans="1:42" ht="21" customHeight="1" x14ac:dyDescent="0.15">
      <c r="T26" s="3"/>
      <c r="W26" s="140"/>
      <c r="X26" s="141"/>
      <c r="Y26" s="141"/>
      <c r="Z26" s="141"/>
    </row>
    <row r="27" spans="1:42" ht="21" customHeight="1" x14ac:dyDescent="0.15">
      <c r="T27" s="3"/>
      <c r="W27" s="140"/>
      <c r="X27" s="141"/>
      <c r="Y27" s="141"/>
      <c r="Z27" s="141"/>
    </row>
    <row r="28" spans="1:42" ht="21" customHeight="1" x14ac:dyDescent="0.15">
      <c r="T28" s="3"/>
      <c r="W28" s="140"/>
      <c r="X28" s="141"/>
      <c r="Y28" s="141"/>
      <c r="Z28" s="141"/>
    </row>
    <row r="29" spans="1:42" ht="21" customHeight="1" x14ac:dyDescent="0.15">
      <c r="T29" s="3"/>
      <c r="W29" s="140"/>
      <c r="X29" s="141"/>
      <c r="Y29" s="141"/>
      <c r="Z29" s="141"/>
    </row>
    <row r="30" spans="1:42" ht="21" customHeight="1" x14ac:dyDescent="0.15">
      <c r="T30" s="3"/>
      <c r="W30" s="140"/>
      <c r="X30" s="141"/>
      <c r="Y30" s="141"/>
      <c r="Z30" s="141"/>
    </row>
    <row r="31" spans="1:42" ht="21" customHeight="1" x14ac:dyDescent="0.15">
      <c r="T31" s="290"/>
      <c r="W31" s="140"/>
      <c r="X31" s="141"/>
      <c r="Y31" s="141"/>
    </row>
    <row r="32" spans="1:42" ht="21" customHeight="1" x14ac:dyDescent="0.15">
      <c r="W32" s="140"/>
      <c r="X32" s="141"/>
      <c r="Y32" s="141"/>
    </row>
    <row r="33" spans="23:25" ht="21" customHeight="1" x14ac:dyDescent="0.15">
      <c r="W33" s="141"/>
      <c r="X33" s="141"/>
      <c r="Y33" s="141"/>
    </row>
    <row r="34" spans="23:25" ht="21" customHeight="1" x14ac:dyDescent="0.15">
      <c r="W34" s="141"/>
      <c r="X34" s="141"/>
      <c r="Y34" s="141"/>
    </row>
  </sheetData>
  <sheetProtection selectLockedCells="1" selectUnlockedCells="1"/>
  <autoFilter ref="B1:AJ1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W12" sqref="W12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2" width="8.5" style="3" customWidth="1"/>
    <col min="13" max="13" width="13.5" style="9" bestFit="1" customWidth="1"/>
    <col min="14" max="14" width="12.33203125" style="3" customWidth="1" outlineLevel="1"/>
    <col min="15" max="15" width="8.6640625" style="3" customWidth="1" outlineLevel="1"/>
    <col min="16" max="16" width="9.33203125" style="3" customWidth="1" outlineLevel="1"/>
    <col min="17" max="17" width="7.33203125" style="3" customWidth="1" outlineLevel="1"/>
    <col min="18" max="18" width="8" style="3" customWidth="1" outlineLevel="1"/>
    <col min="19" max="19" width="8.33203125" style="3" bestFit="1" customWidth="1"/>
    <col min="20" max="23" width="12.33203125" style="3" customWidth="1"/>
    <col min="24" max="24" width="8.33203125" style="3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53</v>
      </c>
      <c r="L1" s="35" t="s">
        <v>54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97" t="s">
        <v>249</v>
      </c>
      <c r="V1" s="25" t="s">
        <v>50</v>
      </c>
      <c r="W1" s="97" t="s">
        <v>250</v>
      </c>
      <c r="X1" s="25" t="s">
        <v>52</v>
      </c>
      <c r="Y1" s="27" t="s">
        <v>128</v>
      </c>
      <c r="Z1" s="28" t="s">
        <v>127</v>
      </c>
      <c r="AA1" s="27" t="s">
        <v>8</v>
      </c>
    </row>
    <row r="2" spans="1:27" ht="21" customHeight="1" x14ac:dyDescent="0.15">
      <c r="A2" s="150" t="str">
        <f>B2&amp;"_"&amp;C2&amp;"-"&amp;G2&amp;"/"&amp;M2&amp;"&lt;lv"&amp;S2&amp;"&gt;sq"&amp;K2&amp;"st"&amp;L2</f>
        <v>40045_1-4/1238&lt;lv42&gt;sq1st2</v>
      </c>
      <c r="B2" s="21">
        <v>40045</v>
      </c>
      <c r="C2" s="151">
        <v>1</v>
      </c>
      <c r="D2" s="14" t="str">
        <f>B2&amp;"_"&amp;C2</f>
        <v>40045_1</v>
      </c>
      <c r="E2" s="4" t="str">
        <f ca="1">VLOOKUP($B2,OFFSET([2]quests!$A$1,0,0,COUNTA([2]quests!$A:$A),MATCH(E$1,[2]quests!$1:$1,0)-MATCH($B$1,[2]quests!$1:$1,0)+1),MATCH(E$1,[2]quests!$1:$1,0)-MATCH($B$1,[2]quests!$1:$1,0)+1,FALSE)</f>
        <v>服部半蔵襲来！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【超絶級】服部半蔵襲来</v>
      </c>
      <c r="G2" s="151">
        <v>4</v>
      </c>
      <c r="H2" s="14" t="str">
        <f>B2&amp;"_"&amp;C2&amp;"-"&amp;G2</f>
        <v>40045_1-4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52">
        <v>1238</v>
      </c>
      <c r="N2" s="16" t="str">
        <f ca="1">VLOOKUP($M2,OFFSET([3]enemies!$A$1,0,0,COUNTA([3]enemies!$A:$A),MATCH(N$1,[3]enemies!$1:$1,0)-MATCH($M$1,[3]enemies!$1:$1,0)+1),MATCH(N$1,[3]enemies!$1:$1,0)-MATCH($M$1,[3]enemies!$1:$1,0)+1,FALSE)</f>
        <v>服部半蔵</v>
      </c>
      <c r="O2" s="16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42</v>
      </c>
      <c r="T2" s="147">
        <v>5.7</v>
      </c>
      <c r="U2" s="98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429945.3</v>
      </c>
      <c r="V2" s="24">
        <v>0.9</v>
      </c>
      <c r="W2" s="98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5571.9000000000005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282">
        <v>40045059</v>
      </c>
      <c r="AA2" s="100">
        <v>1</v>
      </c>
    </row>
    <row r="3" spans="1:27" ht="21" customHeight="1" thickBot="1" x14ac:dyDescent="0.2">
      <c r="A3" s="153" t="str">
        <f>B3&amp;"_"&amp;C3&amp;"-"&amp;G3&amp;"/"&amp;M3&amp;"&lt;lv"&amp;S3&amp;"&gt;sq"&amp;K3&amp;"st"&amp;L3</f>
        <v>40045_1-4/1239&lt;lv41&gt;sq1st3</v>
      </c>
      <c r="B3" s="154">
        <v>40045</v>
      </c>
      <c r="C3" s="155">
        <v>1</v>
      </c>
      <c r="D3" s="156" t="str">
        <f>B3&amp;"_"&amp;C3</f>
        <v>40045_1</v>
      </c>
      <c r="E3" s="157" t="str">
        <f ca="1">VLOOKUP($B3,OFFSET([2]quests!$A$1,0,0,COUNTA([2]quests!$A:$A),MATCH(E$1,[2]quests!$1:$1,0)-MATCH($B$1,[2]quests!$1:$1,0)+1),MATCH(E$1,[2]quests!$1:$1,0)-MATCH($B$1,[2]quests!$1:$1,0)+1,FALSE)</f>
        <v>服部半蔵襲来！</v>
      </c>
      <c r="F3" s="157" t="str">
        <f ca="1">VLOOKUP($D3,OFFSET([2]stages!$A$1,0,0,COUNTA([2]stages!$A:$A),MATCH(F$1,[2]stages!$2:$2,0)-MATCH($D$1,[2]stages!$2:$2,0)+1),MATCH(F$1,[2]stages!$2:$2,0)-MATCH($D$1,[2]stages!$2:$2,0)+1,FALSE)</f>
        <v>【超絶級】服部半蔵襲来</v>
      </c>
      <c r="G3" s="155">
        <v>4</v>
      </c>
      <c r="H3" s="156" t="str">
        <f>B3&amp;"_"&amp;C3&amp;"-"&amp;G3</f>
        <v>40045_1-4</v>
      </c>
      <c r="I3" s="157">
        <f ca="1">VLOOKUP($H3,OFFSET(floors!$A$1,0,0,COUNTA(floors!$A:$A),MATCH(I$1,floors!$1:$1,0)-MATCH($H$1,floors!$1:$1,0)+1),MATCH(I$1,floors!$1:$1,0)-MATCH($H$1,floors!$1:$1,0)+1,FALSE)</f>
        <v>60</v>
      </c>
      <c r="J3" s="157">
        <f ca="1">VLOOKUP($H3,OFFSET(floors!$A$1,0,0,COUNTA(floors!$A:$A),MATCH(J$1,floors!$1:$1,0)-MATCH($H$1,floors!$1:$1,0)+1),MATCH(J$1,floors!$1:$1,0)-MATCH($H$1,floors!$1:$1,0)+1,FALSE)</f>
        <v>60</v>
      </c>
      <c r="K3" s="158">
        <v>1</v>
      </c>
      <c r="L3" s="158">
        <v>3</v>
      </c>
      <c r="M3" s="159">
        <v>1239</v>
      </c>
      <c r="N3" s="160" t="str">
        <f ca="1">VLOOKUP($M3,OFFSET([3]enemies!$A$1,0,0,COUNTA([3]enemies!$A:$A),MATCH(N$1,[3]enemies!$1:$1,0)-MATCH($M$1,[3]enemies!$1:$1,0)+1),MATCH(N$1,[3]enemies!$1:$1,0)-MATCH($M$1,[3]enemies!$1:$1,0)+1,FALSE)</f>
        <v>音無の機密忍 服部半蔵</v>
      </c>
      <c r="O3" s="160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0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0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60">
        <f ca="1">VLOOKUP($M3,OFFSET([3]enemies!$A$1,0,0,COUNTA([3]enemies!$A:$A),MATCH(R$1,[3]enemies!$1:$1,0)-MATCH($M$1,[3]enemies!$1:$1,0)+1),MATCH(R$1,[3]enemies!$1:$1,0)-MATCH($M$1,[3]enemies!$1:$1,0)+1,FALSE)</f>
        <v>60</v>
      </c>
      <c r="S3" s="161">
        <v>41</v>
      </c>
      <c r="T3" s="24">
        <v>7</v>
      </c>
      <c r="U3" s="16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515865</v>
      </c>
      <c r="V3" s="162">
        <v>1</v>
      </c>
      <c r="W3" s="16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6049</v>
      </c>
      <c r="X3" s="161">
        <v>0</v>
      </c>
      <c r="Y3" s="157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287">
        <v>40045060</v>
      </c>
      <c r="AA3" s="164">
        <v>1</v>
      </c>
    </row>
    <row r="4" spans="1:27" ht="21" customHeight="1" x14ac:dyDescent="0.15">
      <c r="A4" s="15" t="str">
        <f>B4&amp;"_"&amp;C4&amp;"-"&amp;G4&amp;"/"&amp;M4&amp;"&lt;lv"&amp;S4&amp;"&gt;sq"&amp;K4&amp;"st"&amp;L4</f>
        <v>40045_2-4/1238&lt;lv60&gt;sq1st2</v>
      </c>
      <c r="B4" s="21">
        <v>40045</v>
      </c>
      <c r="C4" s="142">
        <v>2</v>
      </c>
      <c r="D4" s="143" t="str">
        <f>B4&amp;"_"&amp;C4</f>
        <v>40045_2</v>
      </c>
      <c r="E4" s="4" t="str">
        <f ca="1">VLOOKUP($B4,OFFSET([2]quests!$A$1,0,0,COUNTA([2]quests!$A:$A),MATCH(E$1,[2]quests!$1:$1,0)-MATCH($B$1,[2]quests!$1:$1,0)+1),MATCH(E$1,[2]quests!$1:$1,0)-MATCH($B$1,[2]quests!$1:$1,0)+1,FALSE)</f>
        <v>服部半蔵襲来！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【ウィザード級】服部半蔵襲来</v>
      </c>
      <c r="G4" s="142">
        <v>4</v>
      </c>
      <c r="H4" s="143" t="str">
        <f>B4&amp;"_"&amp;C4&amp;"-"&amp;G4</f>
        <v>40045_2-4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144">
        <v>1</v>
      </c>
      <c r="L4" s="144">
        <v>2</v>
      </c>
      <c r="M4" s="145">
        <v>1238</v>
      </c>
      <c r="N4" s="16" t="str">
        <f ca="1">VLOOKUP($M4,OFFSET([3]enemies!$A$1,0,0,COUNTA([3]enemies!$A:$A),MATCH(N$1,[3]enemies!$1:$1,0)-MATCH($M$1,[3]enemies!$1:$1,0)+1),MATCH(N$1,[3]enemies!$1:$1,0)-MATCH($M$1,[3]enemies!$1:$1,0)+1,FALSE)</f>
        <v>服部半蔵</v>
      </c>
      <c r="O4" s="16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146">
        <v>60</v>
      </c>
      <c r="T4" s="147">
        <v>5.7</v>
      </c>
      <c r="U4" s="148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607853.70000000007</v>
      </c>
      <c r="V4" s="147">
        <v>0.9</v>
      </c>
      <c r="W4" s="148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7877.7</v>
      </c>
      <c r="X4" s="146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284">
        <v>40045009</v>
      </c>
      <c r="AA4" s="149">
        <v>1</v>
      </c>
    </row>
    <row r="5" spans="1:27" ht="21" customHeight="1" x14ac:dyDescent="0.15">
      <c r="A5" s="15" t="str">
        <f>B5&amp;"_"&amp;C5&amp;"-"&amp;G5&amp;"/"&amp;M5&amp;"&lt;lv"&amp;S5&amp;"&gt;sq"&amp;K5&amp;"st"&amp;L5</f>
        <v>40045_2-4/1239&lt;lv60&gt;sq1st3</v>
      </c>
      <c r="B5" s="21">
        <v>40045</v>
      </c>
      <c r="C5" s="20">
        <v>2</v>
      </c>
      <c r="D5" s="2" t="str">
        <f>B5&amp;"_"&amp;C5</f>
        <v>40045_2</v>
      </c>
      <c r="E5" s="4" t="str">
        <f ca="1">VLOOKUP($B5,OFFSET([2]quests!$A$1,0,0,COUNTA([2]quests!$A:$A),MATCH(E$1,[2]quests!$1:$1,0)-MATCH($B$1,[2]quests!$1:$1,0)+1),MATCH(E$1,[2]quests!$1:$1,0)-MATCH($B$1,[2]quests!$1:$1,0)+1,FALSE)</f>
        <v>服部半蔵襲来！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【ウィザード級】服部半蔵襲来</v>
      </c>
      <c r="G5" s="20">
        <v>4</v>
      </c>
      <c r="H5" s="14" t="str">
        <f>B5&amp;"_"&amp;C5&amp;"-"&amp;G5</f>
        <v>40045_2-4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>
        <v>1</v>
      </c>
      <c r="L5" s="37">
        <v>3</v>
      </c>
      <c r="M5" s="19">
        <v>1239</v>
      </c>
      <c r="N5" s="16" t="str">
        <f ca="1">VLOOKUP($M5,OFFSET([3]enemies!$A$1,0,0,COUNTA([3]enemies!$A:$A),MATCH(N$1,[3]enemies!$1:$1,0)-MATCH($M$1,[3]enemies!$1:$1,0)+1),MATCH(N$1,[3]enemies!$1:$1,0)-MATCH($M$1,[3]enemies!$1:$1,0)+1,FALSE)</f>
        <v>音無の機密忍 服部半蔵</v>
      </c>
      <c r="O5" s="16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4">
        <v>7.7</v>
      </c>
      <c r="U5" s="98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821135.70000000007</v>
      </c>
      <c r="V5" s="24">
        <v>1</v>
      </c>
      <c r="W5" s="98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8753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286">
        <v>40045010</v>
      </c>
      <c r="AA5" s="100">
        <v>1</v>
      </c>
    </row>
  </sheetData>
  <sheetProtection selectLockedCells="1" selectUnlockedCells="1"/>
  <autoFilter ref="B1:AA2"/>
  <phoneticPr fontId="6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21"/>
  <sheetViews>
    <sheetView showGridLines="0" workbookViewId="0">
      <pane xSplit="5" ySplit="1" topLeftCell="F189" activePane="bottomRight" state="frozen"/>
      <selection pane="topRight"/>
      <selection pane="bottomLeft"/>
      <selection pane="bottomRight" activeCell="C112" sqref="C112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10.6640625" style="48" customWidth="1"/>
    <col min="3" max="3" width="11" style="48" customWidth="1"/>
    <col min="4" max="4" width="18.5" style="48" customWidth="1" outlineLevel="1"/>
    <col min="5" max="5" width="27" style="48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11" style="44" customWidth="1"/>
    <col min="17" max="17" width="9.6640625" style="277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59</v>
      </c>
      <c r="B1" s="39" t="s">
        <v>60</v>
      </c>
      <c r="C1" s="39" t="s">
        <v>61</v>
      </c>
      <c r="D1" s="40" t="s">
        <v>62</v>
      </c>
      <c r="E1" s="40" t="s">
        <v>63</v>
      </c>
      <c r="F1" s="41" t="s">
        <v>64</v>
      </c>
      <c r="G1" s="42" t="s">
        <v>65</v>
      </c>
      <c r="H1" s="42" t="s">
        <v>67</v>
      </c>
      <c r="I1" s="42" t="s">
        <v>68</v>
      </c>
      <c r="J1" s="42" t="s">
        <v>69</v>
      </c>
      <c r="K1" s="43" t="s">
        <v>70</v>
      </c>
      <c r="L1" s="43" t="s">
        <v>71</v>
      </c>
      <c r="M1" s="42" t="s">
        <v>72</v>
      </c>
      <c r="N1" s="42" t="s">
        <v>73</v>
      </c>
      <c r="O1" s="42" t="s">
        <v>74</v>
      </c>
      <c r="P1" s="40" t="s">
        <v>75</v>
      </c>
      <c r="Q1" s="45" t="s">
        <v>76</v>
      </c>
      <c r="R1" s="40" t="s">
        <v>77</v>
      </c>
    </row>
    <row r="2" spans="1:18" s="181" customFormat="1" ht="21" customHeight="1" x14ac:dyDescent="0.15">
      <c r="A2" s="109" t="str">
        <f t="shared" ref="A2:A65" si="0">B2&amp;"_"&amp;C2</f>
        <v>40045050_40045050</v>
      </c>
      <c r="B2" s="197">
        <v>40045050</v>
      </c>
      <c r="C2" s="197">
        <v>40045050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切り刻んでやる！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" s="110">
        <v>40045000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9"/>
      <c r="R2" s="46"/>
    </row>
    <row r="3" spans="1:18" s="181" customFormat="1" ht="21" customHeight="1" x14ac:dyDescent="0.15">
      <c r="A3" s="109" t="str">
        <f t="shared" si="0"/>
        <v>40045050_40045051</v>
      </c>
      <c r="B3" s="197">
        <v>40045050</v>
      </c>
      <c r="C3" s="197">
        <v>40045051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斬鉄の雷刃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黄パネルを黄のダメージパネルに2個変換</v>
      </c>
      <c r="F3" s="110">
        <v>40045001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9"/>
      <c r="R3" s="46"/>
    </row>
    <row r="4" spans="1:18" s="181" customFormat="1" ht="21" customHeight="1" x14ac:dyDescent="0.15">
      <c r="A4" s="109" t="str">
        <f t="shared" si="0"/>
        <v>40045050_40045052</v>
      </c>
      <c r="B4" s="197">
        <v>40045050</v>
      </c>
      <c r="C4" s="197">
        <v>40045052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誰だ貴様は！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110">
        <v>40045002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9"/>
      <c r="R4" s="46"/>
    </row>
    <row r="5" spans="1:18" s="181" customFormat="1" ht="21" customHeight="1" x14ac:dyDescent="0.15">
      <c r="A5" s="109" t="str">
        <f t="shared" si="0"/>
        <v>40045051_40045150</v>
      </c>
      <c r="B5" s="197">
        <v>40045051</v>
      </c>
      <c r="C5" s="197">
        <v>40045150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我が妙技を受けよ！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8ターン全ユニットにウィルス</v>
      </c>
      <c r="F5" s="110">
        <v>40045100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9"/>
      <c r="R5" s="46"/>
    </row>
    <row r="6" spans="1:18" s="181" customFormat="1" ht="21" customHeight="1" x14ac:dyDescent="0.15">
      <c r="A6" s="109" t="str">
        <f t="shared" si="0"/>
        <v>40045051_40045151</v>
      </c>
      <c r="B6" s="197">
        <v>40045051</v>
      </c>
      <c r="C6" s="197">
        <v>40045151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禅を学ぶが良い！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青パネルを青のダメージパネルに2個変換</v>
      </c>
      <c r="F6" s="110">
        <v>40045101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9"/>
      <c r="R6" s="46"/>
    </row>
    <row r="7" spans="1:18" s="181" customFormat="1" ht="21" customHeight="1" x14ac:dyDescent="0.15">
      <c r="A7" s="109" t="str">
        <f t="shared" si="0"/>
        <v>40045051_40045152</v>
      </c>
      <c r="B7" s="197">
        <v>40045051</v>
      </c>
      <c r="C7" s="197">
        <v>40045152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これを食らっても_x000D_立っていられるか？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7" s="110">
        <v>40045102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9"/>
      <c r="R7" s="46"/>
    </row>
    <row r="8" spans="1:18" s="181" customFormat="1" ht="21" customHeight="1" x14ac:dyDescent="0.15">
      <c r="A8" s="109" t="str">
        <f t="shared" si="0"/>
        <v>40045052_40045250</v>
      </c>
      <c r="B8" s="197">
        <v>40045052</v>
      </c>
      <c r="C8" s="197">
        <v>40045250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チャージボム！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8" s="110">
        <v>40045200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9"/>
      <c r="R8" s="46"/>
    </row>
    <row r="9" spans="1:18" s="181" customFormat="1" ht="21" customHeight="1" x14ac:dyDescent="0.15">
      <c r="A9" s="109" t="str">
        <f t="shared" si="0"/>
        <v>40045052_40045251</v>
      </c>
      <c r="B9" s="197">
        <v>40045052</v>
      </c>
      <c r="C9" s="197">
        <v>40045251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吹き飛べッ！！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110">
        <v>40045201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" s="46"/>
      <c r="Q9" s="49"/>
      <c r="R9" s="46"/>
    </row>
    <row r="10" spans="1:18" s="181" customFormat="1" ht="21" customHeight="1" x14ac:dyDescent="0.15">
      <c r="A10" s="109" t="str">
        <f t="shared" si="0"/>
        <v>40045052_40045252</v>
      </c>
      <c r="B10" s="197">
        <v>40045052</v>
      </c>
      <c r="C10" s="197">
        <v>40045252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よくもやってくれたな！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0" s="110">
        <v>40045202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371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9"/>
      <c r="R10" s="46"/>
    </row>
    <row r="11" spans="1:18" s="181" customFormat="1" ht="21" customHeight="1" x14ac:dyDescent="0.15">
      <c r="A11" s="109" t="str">
        <f t="shared" si="0"/>
        <v>40045053_40045350</v>
      </c>
      <c r="B11" s="197">
        <v>40045053</v>
      </c>
      <c r="C11" s="197">
        <v>40045350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オイラ、並みのタイチじゃないぜ…！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6ターン全ユニットにウィルス+_x000D_3ターン全ユニットのタップ回数を1DOWN+_x000D_属性パネルを緑のダメージパネルに3個変換</v>
      </c>
      <c r="F11" s="110">
        <v>40045300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9"/>
      <c r="R11" s="46"/>
    </row>
    <row r="12" spans="1:18" s="181" customFormat="1" ht="21" customHeight="1" x14ac:dyDescent="0.15">
      <c r="A12" s="109" t="str">
        <f t="shared" si="0"/>
        <v>40045053_40045351</v>
      </c>
      <c r="B12" s="197">
        <v>40045053</v>
      </c>
      <c r="C12" s="197">
        <v>40045351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火炎飛ばし！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2回連続攻撃+_x000D_属性パネルを赤のダメージパネルに3個変換</v>
      </c>
      <c r="F12" s="110">
        <v>40045301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9"/>
      <c r="R12" s="46"/>
    </row>
    <row r="13" spans="1:18" s="181" customFormat="1" ht="21" customHeight="1" x14ac:dyDescent="0.15">
      <c r="A13" s="109" t="str">
        <f t="shared" si="0"/>
        <v>40045053_40045352</v>
      </c>
      <c r="B13" s="197">
        <v>40045053</v>
      </c>
      <c r="C13" s="197">
        <v>40045352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毒焦がし！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3" s="110">
        <v>40045302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9"/>
      <c r="R13" s="46"/>
    </row>
    <row r="14" spans="1:18" s="181" customFormat="1" ht="21" customHeight="1" x14ac:dyDescent="0.15">
      <c r="A14" s="109" t="str">
        <f t="shared" si="0"/>
        <v>40045053_40045354</v>
      </c>
      <c r="B14" s="197">
        <v>40045053</v>
      </c>
      <c r="C14" s="197">
        <v>40045354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本気を見せてやる！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自身の行動頻度UP</v>
      </c>
      <c r="F14" s="110">
        <v>40045304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9"/>
      <c r="R14" s="46"/>
    </row>
    <row r="15" spans="1:18" s="181" customFormat="1" ht="21" customHeight="1" x14ac:dyDescent="0.15">
      <c r="A15" s="109" t="str">
        <f t="shared" si="0"/>
        <v>40045053_40045355</v>
      </c>
      <c r="B15" s="197">
        <v>40045053</v>
      </c>
      <c r="C15" s="197">
        <v>40045355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ヒュウガ…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5" s="110">
        <v>40045305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7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41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9"/>
      <c r="R15" s="46"/>
    </row>
    <row r="16" spans="1:18" s="181" customFormat="1" ht="21" customHeight="1" x14ac:dyDescent="0.15">
      <c r="A16" s="109" t="str">
        <f t="shared" si="0"/>
        <v>40045053_40045356</v>
      </c>
      <c r="B16" s="197">
        <v>40045053</v>
      </c>
      <c r="C16" s="197">
        <v>40045356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ヴェロキー…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5ターン自身の防御力UP</v>
      </c>
      <c r="F16" s="110">
        <v>40045306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7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22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9"/>
      <c r="R16" s="46"/>
    </row>
    <row r="17" spans="1:18" s="181" customFormat="1" ht="21" customHeight="1" x14ac:dyDescent="0.15">
      <c r="A17" s="109" t="str">
        <f t="shared" si="0"/>
        <v>40045054_40045450</v>
      </c>
      <c r="B17" s="197">
        <v>40045054</v>
      </c>
      <c r="C17" s="197">
        <v>40045450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ファイアブレス！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7" s="110">
        <v>40045400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7" s="46"/>
      <c r="Q17" s="49"/>
      <c r="R17" s="46"/>
    </row>
    <row r="18" spans="1:18" s="181" customFormat="1" ht="21" customHeight="1" x14ac:dyDescent="0.15">
      <c r="A18" s="109" t="str">
        <f t="shared" si="0"/>
        <v>40045054_40045451</v>
      </c>
      <c r="B18" s="197">
        <v>40045054</v>
      </c>
      <c r="C18" s="197">
        <v>40045451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突進！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8" s="110">
        <v>40045401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8" s="46"/>
      <c r="Q18" s="49"/>
      <c r="R18" s="46"/>
    </row>
    <row r="19" spans="1:18" s="181" customFormat="1" ht="21" customHeight="1" x14ac:dyDescent="0.15">
      <c r="A19" s="109" t="str">
        <f t="shared" si="0"/>
        <v>40045054_40045452</v>
      </c>
      <c r="B19" s="197">
        <v>40045054</v>
      </c>
      <c r="C19" s="197">
        <v>40045452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怒ったぞ！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9" s="110">
        <v>40045402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7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371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9"/>
      <c r="R19" s="46"/>
    </row>
    <row r="20" spans="1:18" s="181" customFormat="1" ht="21" customHeight="1" x14ac:dyDescent="0.15">
      <c r="A20" s="109" t="str">
        <f t="shared" si="0"/>
        <v>40045055_40045550</v>
      </c>
      <c r="B20" s="197">
        <v>40045055</v>
      </c>
      <c r="C20" s="197">
        <v>40045550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火遁の術…！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20" s="110">
        <v>40045500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9"/>
      <c r="R20" s="46"/>
    </row>
    <row r="21" spans="1:18" s="181" customFormat="1" ht="21" customHeight="1" x14ac:dyDescent="0.15">
      <c r="A21" s="109" t="str">
        <f t="shared" si="0"/>
        <v>40045055_40045551</v>
      </c>
      <c r="B21" s="197">
        <v>40045055</v>
      </c>
      <c r="C21" s="197">
        <v>40045551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大車輪！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5回連続攻撃 +_x000D_緑パネルを黄のダメージパネルに4個変換</v>
      </c>
      <c r="F21" s="110">
        <v>40045501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6"/>
      <c r="Q21" s="49"/>
      <c r="R21" s="46"/>
    </row>
    <row r="22" spans="1:18" s="181" customFormat="1" ht="21" customHeight="1" x14ac:dyDescent="0.15">
      <c r="A22" s="109" t="str">
        <f t="shared" si="0"/>
        <v>40045055_40045552</v>
      </c>
      <c r="B22" s="197">
        <v>40045055</v>
      </c>
      <c r="C22" s="197">
        <v>40045552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石つぶて！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2" s="110">
        <v>40045502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9"/>
      <c r="R22" s="46"/>
    </row>
    <row r="23" spans="1:18" s="181" customFormat="1" ht="21" customHeight="1" x14ac:dyDescent="0.15">
      <c r="A23" s="109" t="str">
        <f t="shared" si="0"/>
        <v>40045056_40045650</v>
      </c>
      <c r="B23" s="197">
        <v>40045056</v>
      </c>
      <c r="C23" s="197">
        <v>40045650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毒煙！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8ターン全ユニットにウィルス</v>
      </c>
      <c r="F23" s="110">
        <v>40045600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9"/>
      <c r="R23" s="46"/>
    </row>
    <row r="24" spans="1:18" s="181" customFormat="1" ht="21" customHeight="1" x14ac:dyDescent="0.15">
      <c r="A24" s="109" t="str">
        <f t="shared" si="0"/>
        <v>40045056_40045651</v>
      </c>
      <c r="B24" s="197">
        <v>40045056</v>
      </c>
      <c r="C24" s="197">
        <v>40045651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立ち去れッ！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24" s="110">
        <v>40045601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9"/>
      <c r="R24" s="46"/>
    </row>
    <row r="25" spans="1:18" s="181" customFormat="1" ht="21" customHeight="1" x14ac:dyDescent="0.15">
      <c r="A25" s="109" t="str">
        <f t="shared" si="0"/>
        <v>40045056_40045652</v>
      </c>
      <c r="B25" s="197">
        <v>40045056</v>
      </c>
      <c r="C25" s="197">
        <v>40045652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ニン　ニン！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5" s="110">
        <v>40045602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6"/>
      <c r="Q25" s="49"/>
      <c r="R25" s="46"/>
    </row>
    <row r="26" spans="1:18" s="181" customFormat="1" ht="21" customHeight="1" x14ac:dyDescent="0.15">
      <c r="A26" s="109" t="str">
        <f t="shared" si="0"/>
        <v>40045057_40045750</v>
      </c>
      <c r="B26" s="197">
        <v>40045057</v>
      </c>
      <c r="C26" s="197">
        <v>40045750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煙玉！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2ターン暗闇</v>
      </c>
      <c r="F26" s="110">
        <v>40045700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9"/>
      <c r="R26" s="46"/>
    </row>
    <row r="27" spans="1:18" s="181" customFormat="1" ht="21" customHeight="1" x14ac:dyDescent="0.15">
      <c r="A27" s="109" t="str">
        <f t="shared" si="0"/>
        <v>40045057_40045751</v>
      </c>
      <c r="B27" s="197">
        <v>40045057</v>
      </c>
      <c r="C27" s="197">
        <v>40045751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燃えるマキビシ！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単体攻撃+青パネルを赤のダメージパネルに4個変換</v>
      </c>
      <c r="F27" s="110">
        <v>40045701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9"/>
      <c r="R27" s="46"/>
    </row>
    <row r="28" spans="1:18" s="181" customFormat="1" ht="21" customHeight="1" x14ac:dyDescent="0.15">
      <c r="A28" s="109" t="str">
        <f t="shared" si="0"/>
        <v>40045057_40045752</v>
      </c>
      <c r="B28" s="197">
        <v>40045057</v>
      </c>
      <c r="C28" s="197">
        <v>40045752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三連手裏剣！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8" s="110">
        <v>40045702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9"/>
      <c r="R28" s="46"/>
    </row>
    <row r="29" spans="1:18" s="181" customFormat="1" ht="21" customHeight="1" x14ac:dyDescent="0.15">
      <c r="A29" s="109" t="str">
        <f t="shared" si="0"/>
        <v>40045058_40045850</v>
      </c>
      <c r="B29" s="197">
        <v>40045058</v>
      </c>
      <c r="C29" s="197">
        <v>40045850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見つかった…！？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29" s="110">
        <v>40045800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9"/>
      <c r="R29" s="46"/>
    </row>
    <row r="30" spans="1:18" s="181" customFormat="1" ht="21" customHeight="1" x14ac:dyDescent="0.15">
      <c r="A30" s="109" t="str">
        <f t="shared" si="0"/>
        <v>40045058_40045851</v>
      </c>
      <c r="B30" s="197">
        <v>40045058</v>
      </c>
      <c r="C30" s="197">
        <v>40045851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……排除する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全パネルをハートボムパネルに変換+_x000D_特定エリアを緑のダメージパネルに変換</v>
      </c>
      <c r="F30" s="110">
        <v>40045801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9"/>
      <c r="R30" s="46"/>
    </row>
    <row r="31" spans="1:18" s="181" customFormat="1" ht="21" customHeight="1" x14ac:dyDescent="0.15">
      <c r="A31" s="109" t="str">
        <f t="shared" si="0"/>
        <v>40045058_40045852</v>
      </c>
      <c r="B31" s="197">
        <v>40045058</v>
      </c>
      <c r="C31" s="197">
        <v>40045852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…毒斬り！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31" s="110">
        <v>40045802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9"/>
      <c r="R31" s="46"/>
    </row>
    <row r="32" spans="1:18" s="181" customFormat="1" ht="21" customHeight="1" x14ac:dyDescent="0.15">
      <c r="A32" s="109" t="str">
        <f t="shared" si="0"/>
        <v>40045058_40045853</v>
      </c>
      <c r="B32" s="197">
        <v>40045058</v>
      </c>
      <c r="C32" s="197">
        <v>40045853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…毒斬り！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32" s="110">
        <v>40045803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9"/>
      <c r="R32" s="46"/>
    </row>
    <row r="33" spans="1:18" s="181" customFormat="1" ht="21" customHeight="1" x14ac:dyDescent="0.15">
      <c r="A33" s="109" t="str">
        <f t="shared" si="0"/>
        <v>40045058_40045854</v>
      </c>
      <c r="B33" s="197">
        <v>40045058</v>
      </c>
      <c r="C33" s="197">
        <v>40045854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起爆型手裏剣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青パネルを緑のダメージパネルに4個変換</v>
      </c>
      <c r="F33" s="110">
        <v>40045804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9"/>
      <c r="R33" s="46"/>
    </row>
    <row r="34" spans="1:18" s="181" customFormat="1" ht="21" customHeight="1" x14ac:dyDescent="0.15">
      <c r="A34" s="109" t="str">
        <f t="shared" si="0"/>
        <v>40045058_40045855</v>
      </c>
      <c r="B34" s="197">
        <v>40045058</v>
      </c>
      <c r="C34" s="197">
        <v>40045855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ニンポウ・セキュリティホール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34" s="110">
        <v>40045805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9"/>
      <c r="R34" s="46"/>
    </row>
    <row r="35" spans="1:18" s="181" customFormat="1" ht="21" customHeight="1" x14ac:dyDescent="0.15">
      <c r="A35" s="109" t="str">
        <f t="shared" si="0"/>
        <v>40045058_40045856</v>
      </c>
      <c r="B35" s="197">
        <v>40045058</v>
      </c>
      <c r="C35" s="197">
        <v>40045856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四方手裏剣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5" s="110">
        <v>40045806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9"/>
      <c r="R35" s="46"/>
    </row>
    <row r="36" spans="1:18" s="181" customFormat="1" ht="21" customHeight="1" x14ac:dyDescent="0.15">
      <c r="A36" s="109" t="str">
        <f t="shared" si="0"/>
        <v>40045059_40045860</v>
      </c>
      <c r="B36" s="197">
        <v>40045059</v>
      </c>
      <c r="C36" s="197">
        <v>40045860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やるな……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状態異常耐性+_x000D_3ターン全ユニットのタップ回数を1DOWN+_x000D_5ターン体力タイプのユニットにスキルバインド</v>
      </c>
      <c r="F36" s="110">
        <v>40045810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9"/>
      <c r="R36" s="46"/>
    </row>
    <row r="37" spans="1:18" s="181" customFormat="1" ht="21" customHeight="1" x14ac:dyDescent="0.15">
      <c r="A37" s="109" t="str">
        <f t="shared" si="0"/>
        <v>40045059_40045866</v>
      </c>
      <c r="B37" s="197">
        <v>40045059</v>
      </c>
      <c r="C37" s="197">
        <v>40045866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毒針スプレッド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5ターン全ユニットにウィルス+_x000D_緑パネルを緑のダメージパネルに5個変換</v>
      </c>
      <c r="F37" s="110">
        <v>40045811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9"/>
      <c r="R37" s="46"/>
    </row>
    <row r="38" spans="1:18" s="181" customFormat="1" ht="21" customHeight="1" x14ac:dyDescent="0.15">
      <c r="A38" s="109" t="str">
        <f t="shared" si="0"/>
        <v>40045059_40045861</v>
      </c>
      <c r="B38" s="197">
        <v>40045059</v>
      </c>
      <c r="C38" s="197">
        <v>40045861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避雷針の術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黄パネルを吸収して防御力UP+クリティカル！</v>
      </c>
      <c r="F38" s="110">
        <v>40045812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9"/>
      <c r="R38" s="46"/>
    </row>
    <row r="39" spans="1:18" s="181" customFormat="1" ht="21" customHeight="1" x14ac:dyDescent="0.15">
      <c r="A39" s="109" t="str">
        <f t="shared" si="0"/>
        <v>40045059_40045862</v>
      </c>
      <c r="B39" s="197">
        <v>40045059</v>
      </c>
      <c r="C39" s="197">
        <v>40045862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竜巻の術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緑パネルを吸収して攻撃力UP+クリティカル！</v>
      </c>
      <c r="F39" s="110">
        <v>40045813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9"/>
      <c r="R39" s="46"/>
    </row>
    <row r="40" spans="1:18" s="181" customFormat="1" ht="21" customHeight="1" x14ac:dyDescent="0.15">
      <c r="A40" s="109" t="str">
        <f t="shared" si="0"/>
        <v>40045059_40045863</v>
      </c>
      <c r="B40" s="197">
        <v>40045059</v>
      </c>
      <c r="C40" s="197">
        <v>40045863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…毒斬り！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40" s="110">
        <v>40045814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0" s="46"/>
      <c r="Q40" s="49"/>
      <c r="R40" s="46"/>
    </row>
    <row r="41" spans="1:18" s="181" customFormat="1" ht="21" customHeight="1" x14ac:dyDescent="0.15">
      <c r="A41" s="109" t="str">
        <f t="shared" si="0"/>
        <v>40045059_40045864</v>
      </c>
      <c r="B41" s="197">
        <v>40045059</v>
      </c>
      <c r="C41" s="197">
        <v>40045864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…くらえ！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2回連続攻撃+_x000D_1ターンユニット1〜2体の攻撃力50%DOWN</v>
      </c>
      <c r="F41" s="110">
        <v>40045815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9"/>
      <c r="R41" s="46"/>
    </row>
    <row r="42" spans="1:18" s="181" customFormat="1" ht="21" customHeight="1" x14ac:dyDescent="0.15">
      <c r="A42" s="109" t="str">
        <f t="shared" si="0"/>
        <v>40045059_40045865</v>
      </c>
      <c r="B42" s="197">
        <v>40045059</v>
      </c>
      <c r="C42" s="197">
        <v>40045865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起爆型十字手裏剣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クリティカル！+_x000D_属性パネルを緑のダメージパネルに4個変換</v>
      </c>
      <c r="F42" s="110">
        <v>40045816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509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9"/>
      <c r="R42" s="46"/>
    </row>
    <row r="43" spans="1:18" s="181" customFormat="1" ht="21" customHeight="1" x14ac:dyDescent="0.15">
      <c r="A43" s="109" t="str">
        <f t="shared" si="0"/>
        <v>40045060_40045870</v>
      </c>
      <c r="B43" s="197">
        <v>40045060</v>
      </c>
      <c r="C43" s="197">
        <v>40045870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ここで朽ちる訳には…！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状態異常耐性+_x000D_解除するまで全ユニットにウィルス+_x000D_3ターン全ユニットのタップ回数を1DOWN</v>
      </c>
      <c r="F43" s="110">
        <v>40045820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9"/>
      <c r="R43" s="46"/>
    </row>
    <row r="44" spans="1:18" s="181" customFormat="1" ht="21" customHeight="1" x14ac:dyDescent="0.15">
      <c r="A44" s="109" t="str">
        <f t="shared" si="0"/>
        <v>40045060_40045871</v>
      </c>
      <c r="B44" s="197">
        <v>40045060</v>
      </c>
      <c r="C44" s="197">
        <v>40045871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起爆型手裏剣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属性パネルを緑のダメージパネルに8個変換</v>
      </c>
      <c r="F44" s="110">
        <v>40045821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9"/>
      <c r="R44" s="46"/>
    </row>
    <row r="45" spans="1:18" s="181" customFormat="1" ht="21" customHeight="1" x14ac:dyDescent="0.15">
      <c r="A45" s="109" t="str">
        <f t="shared" si="0"/>
        <v>40045060_40045872</v>
      </c>
      <c r="B45" s="197">
        <v>40045060</v>
      </c>
      <c r="C45" s="197">
        <v>40045872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…毒斬り！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45" s="110">
        <v>40045822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9"/>
      <c r="R45" s="46"/>
    </row>
    <row r="46" spans="1:18" s="181" customFormat="1" ht="21" customHeight="1" x14ac:dyDescent="0.15">
      <c r="A46" s="109" t="str">
        <f t="shared" si="0"/>
        <v>40045060_40045873</v>
      </c>
      <c r="B46" s="197">
        <v>40045060</v>
      </c>
      <c r="C46" s="198">
        <v>40045873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…終わりだ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99999固定ダメージ！</v>
      </c>
      <c r="F46" s="110">
        <v>40045823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9"/>
      <c r="R46" s="46"/>
    </row>
    <row r="47" spans="1:18" s="181" customFormat="1" ht="21" customHeight="1" x14ac:dyDescent="0.15">
      <c r="A47" s="109" t="str">
        <f t="shared" si="0"/>
        <v>40045060_40045874</v>
      </c>
      <c r="B47" s="197">
        <v>40045060</v>
      </c>
      <c r="C47" s="198">
        <v>40045874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臨…兵…闘…者…皆…陣…裂…在…前…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怪しい装置が起動し始めた…_x000D_【超強力な攻撃まであと1ターン！！】</v>
      </c>
      <c r="F47" s="110">
        <v>40045824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9"/>
      <c r="R47" s="46"/>
    </row>
    <row r="48" spans="1:18" s="181" customFormat="1" ht="21" customHeight="1" x14ac:dyDescent="0.15">
      <c r="A48" s="109" t="str">
        <f t="shared" si="0"/>
        <v>40045060_40045875</v>
      </c>
      <c r="B48" s="197">
        <v>40045060</v>
      </c>
      <c r="C48" s="198">
        <v>40045875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APT・クラッキング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8回連続攻撃_x000D_【超強力な攻撃まであと2ターン！！】</v>
      </c>
      <c r="F48" s="110">
        <v>40045825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9"/>
      <c r="R48" s="46"/>
    </row>
    <row r="49" spans="1:18" s="181" customFormat="1" ht="21" customHeight="1" x14ac:dyDescent="0.15">
      <c r="A49" s="109" t="str">
        <f t="shared" si="0"/>
        <v>40045060_40045876</v>
      </c>
      <c r="B49" s="197">
        <v>40045060</v>
      </c>
      <c r="C49" s="198">
        <v>40045876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ノコギリ手裏剣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全体攻撃+_x000D_3ターン全ユニットの回復力25%DOWN_x000D_【超強力な攻撃まであと3ターン！！】</v>
      </c>
      <c r="F49" s="110">
        <v>40045826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9"/>
      <c r="R49" s="46"/>
    </row>
    <row r="50" spans="1:18" s="181" customFormat="1" ht="21" customHeight="1" x14ac:dyDescent="0.15">
      <c r="A50" s="109" t="str">
        <f t="shared" si="0"/>
        <v>40045060_40045877</v>
      </c>
      <c r="B50" s="197">
        <v>40045060</v>
      </c>
      <c r="C50" s="198">
        <v>40045877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マキビシ・MD5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属性パネルを赤&amp;緑&amp;青&amp;黄の_x000D_ダメージパネルに2個ずつ変換_x000D_【超強力な攻撃まであと4ターン！！】</v>
      </c>
      <c r="F50" s="110">
        <v>40045827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9"/>
      <c r="R50" s="46"/>
    </row>
    <row r="51" spans="1:18" s="181" customFormat="1" ht="21" customHeight="1" x14ac:dyDescent="0.15">
      <c r="A51" s="109" t="str">
        <f t="shared" si="0"/>
        <v>40045060_40045878</v>
      </c>
      <c r="B51" s="197">
        <v>40045060</v>
      </c>
      <c r="C51" s="198">
        <v>40045878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全兵装起動…！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ウィルス状態のユニットに大ダメージの全体攻撃_x000D_【5ターン後に超強力な攻撃！！】</v>
      </c>
      <c r="F51" s="110">
        <v>40045828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7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9"/>
      <c r="R51" s="46"/>
    </row>
    <row r="52" spans="1:18" s="181" customFormat="1" ht="21" customHeight="1" x14ac:dyDescent="0.15">
      <c r="A52" s="109" t="str">
        <f t="shared" si="0"/>
        <v>40045060_40045880</v>
      </c>
      <c r="B52" s="197">
        <v>40045060</v>
      </c>
      <c r="C52" s="198">
        <v>40045880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SQLインジェクション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52" s="110">
        <v>40045830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9"/>
      <c r="R52" s="46"/>
    </row>
    <row r="53" spans="1:18" s="181" customFormat="1" ht="21" customHeight="1" x14ac:dyDescent="0.15">
      <c r="A53" s="109" t="str">
        <f t="shared" si="0"/>
        <v>40045060_40045881</v>
      </c>
      <c r="B53" s="197">
        <v>40045060</v>
      </c>
      <c r="C53" s="198">
        <v>40045881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ニンポウ・セキュリティホール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53" s="110">
        <v>40045831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9"/>
      <c r="R53" s="46"/>
    </row>
    <row r="54" spans="1:18" s="181" customFormat="1" ht="21" customHeight="1" x14ac:dyDescent="0.15">
      <c r="A54" s="109" t="str">
        <f t="shared" si="0"/>
        <v>40045060_40045882</v>
      </c>
      <c r="B54" s="197">
        <v>40045060</v>
      </c>
      <c r="C54" s="198">
        <v>40045882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マキビシスクリプト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クリティカル！+_x000D_赤パネルを赤のダメージパネルに3個変換</v>
      </c>
      <c r="F54" s="110">
        <v>40045832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7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6"/>
      <c r="Q54" s="49"/>
      <c r="R54" s="46"/>
    </row>
    <row r="55" spans="1:18" s="181" customFormat="1" ht="21" customHeight="1" x14ac:dyDescent="0.15">
      <c r="A55" s="109" t="str">
        <f t="shared" si="0"/>
        <v>40045060_40045883</v>
      </c>
      <c r="B55" s="197">
        <v>40045060</v>
      </c>
      <c r="C55" s="197">
        <v>40045883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クリプトグラフィー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全体攻撃+_x000D_2ターン全ユニットの回復力25%DOWN</v>
      </c>
      <c r="F55" s="110">
        <v>40045833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7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5" s="46"/>
      <c r="Q55" s="49"/>
      <c r="R55" s="46"/>
    </row>
    <row r="56" spans="1:18" s="184" customFormat="1" ht="21" customHeight="1" thickBot="1" x14ac:dyDescent="0.2">
      <c r="A56" s="107" t="str">
        <f t="shared" si="0"/>
        <v>40045060_40045884</v>
      </c>
      <c r="B56" s="197">
        <v>40045060</v>
      </c>
      <c r="C56" s="199">
        <v>40045884</v>
      </c>
      <c r="D56" s="182" t="str">
        <f ca="1">VLOOKUP($C56,OFFSET(enemy_skills!$A$1,0,0,COUNTA(enemy_skills!$A:$A),MATCH(D$1,enemy_skills!$1:$1,0)-MATCH("enemy_skill_id",enemy_skills!$1:$1,0)+1),MATCH(D$1,enemy_skills!$1:$1,0)-MATCH("enemy_skill_id",enemy_skills!$1:$1,0)+1,FALSE)</f>
        <v>任務…失敗……</v>
      </c>
      <c r="E56" s="182" t="str">
        <f ca="1">VLOOKUP($C56,OFFSET(enemy_skills!$A$1,0,0,COUNTA(enemy_skills!$A:$A),MATCH(E$1,enemy_skills!$1:$1,0)-MATCH("enemy_skill_id",enemy_skills!$1:$1,0)+1),MATCH(E$1,enemy_skills!$1:$1,0)-MATCH("enemy_skill_id",enemy_skills!$1:$1,0)+1,FALSE)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6" s="112">
        <v>40045834</v>
      </c>
      <c r="G56" s="183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183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56" s="183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183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183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183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183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183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6" s="183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106"/>
      <c r="Q56" s="192"/>
      <c r="R56" s="106"/>
    </row>
    <row r="57" spans="1:18" ht="21" customHeight="1" x14ac:dyDescent="0.15">
      <c r="A57" s="38" t="str">
        <f t="shared" si="0"/>
        <v>40045000_40045000</v>
      </c>
      <c r="B57" s="280">
        <v>40045000</v>
      </c>
      <c r="C57" s="200">
        <v>40045000</v>
      </c>
      <c r="D57" s="179" t="str">
        <f ca="1">VLOOKUP($C57,OFFSET(enemy_skills!$A$1,0,0,COUNTA(enemy_skills!$A:$A),MATCH(D$1,enemy_skills!$1:$1,0)-MATCH("enemy_skill_id",enemy_skills!$1:$1,0)+1),MATCH(D$1,enemy_skills!$1:$1,0)-MATCH("enemy_skill_id",enemy_skills!$1:$1,0)+1,FALSE)</f>
        <v>切り刻んでやる！</v>
      </c>
      <c r="E57" s="179" t="str">
        <f ca="1">VLOOKUP($C57,OFFSET(enemy_skills!$A$1,0,0,COUNTA(enemy_skills!$A:$A),MATCH(E$1,enemy_skills!$1:$1,0)-MATCH("enemy_skill_id",enemy_skills!$1:$1,0)+1),MATCH(E$1,enemy_skills!$1:$1,0)-MATCH("enemy_skill_id",enemy_skills!$1:$1,0)+1,FALSE)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7" s="114">
        <v>40045000</v>
      </c>
      <c r="G57" s="180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180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57" s="180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180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180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80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180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7" s="180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180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104"/>
      <c r="Q57" s="185"/>
      <c r="R57" s="104"/>
    </row>
    <row r="58" spans="1:18" ht="21" customHeight="1" x14ac:dyDescent="0.15">
      <c r="A58" s="38" t="str">
        <f t="shared" si="0"/>
        <v>40045000_40045001</v>
      </c>
      <c r="B58" s="281">
        <v>40045000</v>
      </c>
      <c r="C58" s="201">
        <v>40045001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斬鉄の雷刃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黄パネルを黄のダメージパネルに2個変換</v>
      </c>
      <c r="F58" s="110">
        <v>40045001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7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9"/>
      <c r="R58" s="46"/>
    </row>
    <row r="59" spans="1:18" ht="21" customHeight="1" x14ac:dyDescent="0.15">
      <c r="A59" s="38" t="str">
        <f t="shared" si="0"/>
        <v>40045000_40045002</v>
      </c>
      <c r="B59" s="281">
        <v>40045000</v>
      </c>
      <c r="C59" s="201">
        <v>40045002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誰だ貴様は！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9" s="110">
        <v>40045002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9"/>
      <c r="R59" s="46"/>
    </row>
    <row r="60" spans="1:18" ht="21" customHeight="1" x14ac:dyDescent="0.15">
      <c r="A60" s="38" t="str">
        <f t="shared" si="0"/>
        <v>40045001_40045100</v>
      </c>
      <c r="B60" s="281">
        <v>40045001</v>
      </c>
      <c r="C60" s="201">
        <v>40045100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我が妙技を受けよ！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12ターン全ユニットにウィルス</v>
      </c>
      <c r="F60" s="110">
        <v>40045100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9"/>
      <c r="R60" s="46"/>
    </row>
    <row r="61" spans="1:18" ht="21" customHeight="1" x14ac:dyDescent="0.15">
      <c r="A61" s="38" t="str">
        <f t="shared" si="0"/>
        <v>40045001_40045101</v>
      </c>
      <c r="B61" s="281">
        <v>40045001</v>
      </c>
      <c r="C61" s="201">
        <v>40045101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禅を学ぶが良い！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青パネルを青のダメージパネルに2個変換</v>
      </c>
      <c r="F61" s="110">
        <v>40045101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7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1" s="47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9"/>
      <c r="R61" s="46"/>
    </row>
    <row r="62" spans="1:18" ht="21" customHeight="1" x14ac:dyDescent="0.15">
      <c r="A62" s="38" t="str">
        <f t="shared" si="0"/>
        <v>40045001_40045102</v>
      </c>
      <c r="B62" s="281">
        <v>40045001</v>
      </c>
      <c r="C62" s="201">
        <v>40045102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これを食らっても_x000D_立っていられるか？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62" s="110">
        <v>40045102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7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2" s="47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9"/>
      <c r="R62" s="46"/>
    </row>
    <row r="63" spans="1:18" ht="21" customHeight="1" x14ac:dyDescent="0.15">
      <c r="A63" s="38" t="str">
        <f t="shared" si="0"/>
        <v>40045002_40045200</v>
      </c>
      <c r="B63" s="281">
        <v>40045002</v>
      </c>
      <c r="C63" s="201">
        <v>40045200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チャージボム！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63" s="110">
        <v>40045200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7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3" s="47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9"/>
      <c r="R63" s="46"/>
    </row>
    <row r="64" spans="1:18" ht="21" customHeight="1" x14ac:dyDescent="0.15">
      <c r="A64" s="38" t="str">
        <f t="shared" si="0"/>
        <v>40045002_40045201</v>
      </c>
      <c r="B64" s="281">
        <v>40045002</v>
      </c>
      <c r="C64" s="201">
        <v>40045201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吹き飛べッ！！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4" s="110">
        <v>40045201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7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4" s="46"/>
      <c r="Q64" s="49"/>
      <c r="R64" s="46"/>
    </row>
    <row r="65" spans="1:18" ht="21" customHeight="1" x14ac:dyDescent="0.15">
      <c r="A65" s="38" t="str">
        <f t="shared" si="0"/>
        <v>40045002_40045202</v>
      </c>
      <c r="B65" s="281">
        <v>40045002</v>
      </c>
      <c r="C65" s="201">
        <v>40045202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よくもやってくれたな！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65" s="110">
        <v>40045202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7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7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371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9"/>
      <c r="R65" s="46"/>
    </row>
    <row r="66" spans="1:18" ht="21" customHeight="1" x14ac:dyDescent="0.15">
      <c r="A66" s="38" t="str">
        <f t="shared" ref="A66:A129" si="1">B66&amp;"_"&amp;C66</f>
        <v>40045003_40045300</v>
      </c>
      <c r="B66" s="281">
        <v>40045003</v>
      </c>
      <c r="C66" s="201">
        <v>40045300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オイラ、並みのタイチじゃないぜ…！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10ターン全ユニットにウィルス+_x000D_5ターン全ユニットのタップ回数を1DOWN+_x000D_属性パネルを緑のダメージパネルに5個変換</v>
      </c>
      <c r="F66" s="110">
        <v>40045300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7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9"/>
      <c r="R66" s="46"/>
    </row>
    <row r="67" spans="1:18" ht="21" customHeight="1" x14ac:dyDescent="0.15">
      <c r="A67" s="38" t="str">
        <f t="shared" si="1"/>
        <v>40045003_40045301</v>
      </c>
      <c r="B67" s="281">
        <v>40045003</v>
      </c>
      <c r="C67" s="201">
        <v>40045301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火炎飛ばし！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2回連続攻撃+_x000D_属性パネルを赤のダメージパネルに3個変換</v>
      </c>
      <c r="F67" s="110">
        <v>40045301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 t="str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7" s="47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9"/>
      <c r="R67" s="46"/>
    </row>
    <row r="68" spans="1:18" ht="21" customHeight="1" x14ac:dyDescent="0.15">
      <c r="A68" s="38" t="str">
        <f t="shared" si="1"/>
        <v>40045003_40045302</v>
      </c>
      <c r="B68" s="281">
        <v>40045003</v>
      </c>
      <c r="C68" s="201">
        <v>40045302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毒焦がし！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68" s="110">
        <v>40045302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 t="str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8" s="47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8" s="4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9"/>
      <c r="R68" s="46"/>
    </row>
    <row r="69" spans="1:18" ht="21" customHeight="1" x14ac:dyDescent="0.15">
      <c r="A69" s="38" t="str">
        <f t="shared" si="1"/>
        <v>40045003_40045304</v>
      </c>
      <c r="B69" s="281">
        <v>40045003</v>
      </c>
      <c r="C69" s="201">
        <v>40045304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本気を見せてやる！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自身の行動頻度UP</v>
      </c>
      <c r="F69" s="110">
        <v>40045304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7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7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7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6"/>
      <c r="Q69" s="49"/>
      <c r="R69" s="46"/>
    </row>
    <row r="70" spans="1:18" ht="21" customHeight="1" x14ac:dyDescent="0.15">
      <c r="A70" s="38" t="str">
        <f t="shared" si="1"/>
        <v>40045003_40045305</v>
      </c>
      <c r="B70" s="281">
        <v>40045003</v>
      </c>
      <c r="C70" s="201">
        <v>40045305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ヒュウガ…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70" s="110">
        <v>40045305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530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7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7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41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9"/>
      <c r="R70" s="46"/>
    </row>
    <row r="71" spans="1:18" ht="21" customHeight="1" x14ac:dyDescent="0.15">
      <c r="A71" s="38" t="str">
        <f t="shared" si="1"/>
        <v>40045003_40045306</v>
      </c>
      <c r="B71" s="281">
        <v>40045003</v>
      </c>
      <c r="C71" s="201">
        <v>40045306</v>
      </c>
      <c r="D71" s="45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ヴェロキー…</v>
      </c>
      <c r="E71" s="45" t="str">
        <f ca="1">VLOOKUP($C71,OFFSET(enemy_skills!$A$1,0,0,COUNTA(enemy_skills!$A:$A),MATCH(E$1,enemy_skills!$1:$1,0)-MATCH("enemy_skill_id",enemy_skills!$1:$1,0)+1),MATCH(E$1,enemy_skills!$1:$1,0)-MATCH("enemy_skill_id",enemy_skills!$1:$1,0)+1,FALSE)</f>
        <v>5ターン自身の防御力大UP</v>
      </c>
      <c r="F71" s="110">
        <v>40045306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7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7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22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9"/>
      <c r="R71" s="46"/>
    </row>
    <row r="72" spans="1:18" ht="21" customHeight="1" x14ac:dyDescent="0.15">
      <c r="A72" s="38" t="str">
        <f t="shared" si="1"/>
        <v>40045004_40045400</v>
      </c>
      <c r="B72" s="281">
        <v>40045004</v>
      </c>
      <c r="C72" s="201">
        <v>40045400</v>
      </c>
      <c r="D72" s="45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ファイアブレス！</v>
      </c>
      <c r="E72" s="45" t="str">
        <f ca="1">VLOOKUP($C72,OFFSET(enemy_skills!$A$1,0,0,COUNTA(enemy_skills!$A:$A),MATCH(E$1,enemy_skills!$1:$1,0)-MATCH("enemy_skill_id",enemy_skills!$1:$1,0)+1),MATCH(E$1,enemy_skills!$1:$1,0)-MATCH("enemy_skill_id",enemy_skills!$1:$1,0)+1,FALSE)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2" s="110">
        <v>40045400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2" s="4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7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7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2" s="46"/>
      <c r="Q72" s="49"/>
      <c r="R72" s="46"/>
    </row>
    <row r="73" spans="1:18" ht="21" customHeight="1" x14ac:dyDescent="0.15">
      <c r="A73" s="38" t="str">
        <f t="shared" si="1"/>
        <v>40045004_40045401</v>
      </c>
      <c r="B73" s="281">
        <v>40045004</v>
      </c>
      <c r="C73" s="201">
        <v>40045401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突進！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3" s="110">
        <v>40045401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7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3" s="4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3" s="46"/>
      <c r="Q73" s="49"/>
      <c r="R73" s="46"/>
    </row>
    <row r="74" spans="1:18" ht="21" customHeight="1" x14ac:dyDescent="0.15">
      <c r="A74" s="38" t="str">
        <f t="shared" si="1"/>
        <v>40045004_40045402</v>
      </c>
      <c r="B74" s="281">
        <v>40045004</v>
      </c>
      <c r="C74" s="201">
        <v>40045402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怒ったぞ！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74" s="110">
        <v>40045402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 t="str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4" s="47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4" s="47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371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9"/>
      <c r="R74" s="46"/>
    </row>
    <row r="75" spans="1:18" ht="21" customHeight="1" x14ac:dyDescent="0.15">
      <c r="A75" s="38" t="str">
        <f t="shared" si="1"/>
        <v>40045005_40045500</v>
      </c>
      <c r="B75" s="281">
        <v>40045005</v>
      </c>
      <c r="C75" s="201">
        <v>40045500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火遁の術…！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75" s="110">
        <v>40045500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 t="str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5" s="47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5" s="4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9"/>
      <c r="R75" s="46"/>
    </row>
    <row r="76" spans="1:18" ht="21" customHeight="1" x14ac:dyDescent="0.15">
      <c r="A76" s="38" t="str">
        <f t="shared" si="1"/>
        <v>40045005_40045501</v>
      </c>
      <c r="B76" s="281">
        <v>40045005</v>
      </c>
      <c r="C76" s="201">
        <v>40045501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大車輪！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5回連続攻撃 +_x000D_緑パネルを黄のダメージパネルに5個変換</v>
      </c>
      <c r="F76" s="110">
        <v>40045501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 t="str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6" s="47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6" s="46"/>
      <c r="Q76" s="49"/>
      <c r="R76" s="46"/>
    </row>
    <row r="77" spans="1:18" ht="21" customHeight="1" x14ac:dyDescent="0.15">
      <c r="A77" s="38" t="str">
        <f t="shared" si="1"/>
        <v>40045005_40045502</v>
      </c>
      <c r="B77" s="281">
        <v>40045005</v>
      </c>
      <c r="C77" s="201">
        <v>40045502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石つぶて！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7" s="110">
        <v>40045502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 t="str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7" s="47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9"/>
      <c r="R77" s="46"/>
    </row>
    <row r="78" spans="1:18" ht="21" customHeight="1" x14ac:dyDescent="0.15">
      <c r="A78" s="38" t="str">
        <f t="shared" si="1"/>
        <v>40045006_40045600</v>
      </c>
      <c r="B78" s="281">
        <v>40045006</v>
      </c>
      <c r="C78" s="201">
        <v>40045600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毒煙！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10ターン全ユニットにウィルス</v>
      </c>
      <c r="F78" s="110">
        <v>40045600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7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9"/>
      <c r="R78" s="46"/>
    </row>
    <row r="79" spans="1:18" ht="21" customHeight="1" x14ac:dyDescent="0.15">
      <c r="A79" s="38" t="str">
        <f t="shared" si="1"/>
        <v>40045006_40045601</v>
      </c>
      <c r="B79" s="281">
        <v>40045006</v>
      </c>
      <c r="C79" s="201">
        <v>40045601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立ち去れッ！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79" s="110">
        <v>40045601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7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9"/>
      <c r="R79" s="46"/>
    </row>
    <row r="80" spans="1:18" ht="21" customHeight="1" x14ac:dyDescent="0.15">
      <c r="A80" s="38" t="str">
        <f t="shared" si="1"/>
        <v>40045006_40045602</v>
      </c>
      <c r="B80" s="281">
        <v>40045006</v>
      </c>
      <c r="C80" s="201">
        <v>40045602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ニン　ニン！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80" s="110">
        <v>40045602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0" s="4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7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0" s="46"/>
      <c r="Q80" s="49"/>
      <c r="R80" s="46"/>
    </row>
    <row r="81" spans="1:18" ht="21" customHeight="1" x14ac:dyDescent="0.15">
      <c r="A81" s="38" t="str">
        <f t="shared" si="1"/>
        <v>40045007_40045700</v>
      </c>
      <c r="B81" s="281">
        <v>40045007</v>
      </c>
      <c r="C81" s="201">
        <v>40045700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煙玉！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3ターン暗闇</v>
      </c>
      <c r="F81" s="110">
        <v>40045700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7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9"/>
      <c r="R81" s="46"/>
    </row>
    <row r="82" spans="1:18" ht="21" customHeight="1" x14ac:dyDescent="0.15">
      <c r="A82" s="38" t="str">
        <f t="shared" si="1"/>
        <v>40045007_40045701</v>
      </c>
      <c r="B82" s="281">
        <v>40045007</v>
      </c>
      <c r="C82" s="201">
        <v>40045701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燃えるマキビシ！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単体攻撃+青パネルを赤のダメージパネルに5個変換</v>
      </c>
      <c r="F82" s="110">
        <v>40045701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 t="str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2" s="47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2" s="4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9"/>
      <c r="R82" s="46"/>
    </row>
    <row r="83" spans="1:18" ht="21" customHeight="1" x14ac:dyDescent="0.15">
      <c r="A83" s="38" t="str">
        <f t="shared" si="1"/>
        <v>40045007_40045702</v>
      </c>
      <c r="B83" s="281">
        <v>40045007</v>
      </c>
      <c r="C83" s="201">
        <v>40045702</v>
      </c>
      <c r="D83" s="4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三連手裏剣！</v>
      </c>
      <c r="E83" s="4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3" s="110">
        <v>40045702</v>
      </c>
      <c r="G83" s="4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83" s="4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7" t="str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3" s="47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7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6"/>
      <c r="Q83" s="49"/>
      <c r="R83" s="46"/>
    </row>
    <row r="84" spans="1:18" ht="21" customHeight="1" x14ac:dyDescent="0.15">
      <c r="A84" s="38" t="str">
        <f t="shared" si="1"/>
        <v>40045008_40045800</v>
      </c>
      <c r="B84" s="281">
        <v>40045008</v>
      </c>
      <c r="C84" s="201">
        <v>40045800</v>
      </c>
      <c r="D84" s="45" t="str">
        <f ca="1">VLOOKUP($C84,OFFSET(enemy_skills!$A$1,0,0,COUNTA(enemy_skills!$A:$A),MATCH(D$1,enemy_skills!$1:$1,0)-MATCH("enemy_skill_id",enemy_skills!$1:$1,0)+1),MATCH(D$1,enemy_skills!$1:$1,0)-MATCH("enemy_skill_id",enemy_skills!$1:$1,0)+1,FALSE)</f>
        <v>見つかった…！？</v>
      </c>
      <c r="E84" s="45" t="str">
        <f ca="1">VLOOKUP($C84,OFFSET(enemy_skills!$A$1,0,0,COUNTA(enemy_skills!$A:$A),MATCH(E$1,enemy_skills!$1:$1,0)-MATCH("enemy_skill_id",enemy_skills!$1:$1,0)+1),MATCH(E$1,enemy_skills!$1:$1,0)-MATCH("enemy_skill_id",enemy_skills!$1:$1,0)+1,FALSE)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84" s="110">
        <v>40045800</v>
      </c>
      <c r="G84" s="4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84" s="4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7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7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6"/>
      <c r="Q84" s="49"/>
      <c r="R84" s="46"/>
    </row>
    <row r="85" spans="1:18" ht="21" customHeight="1" x14ac:dyDescent="0.15">
      <c r="A85" s="38" t="str">
        <f t="shared" si="1"/>
        <v>40045008_40045801</v>
      </c>
      <c r="B85" s="281">
        <v>40045008</v>
      </c>
      <c r="C85" s="201">
        <v>40045801</v>
      </c>
      <c r="D85" s="45" t="str">
        <f ca="1">VLOOKUP($C85,OFFSET(enemy_skills!$A$1,0,0,COUNTA(enemy_skills!$A:$A),MATCH(D$1,enemy_skills!$1:$1,0)-MATCH("enemy_skill_id",enemy_skills!$1:$1,0)+1),MATCH(D$1,enemy_skills!$1:$1,0)-MATCH("enemy_skill_id",enemy_skills!$1:$1,0)+1,FALSE)</f>
        <v>……排除する</v>
      </c>
      <c r="E85" s="45" t="str">
        <f ca="1">VLOOKUP($C85,OFFSET(enemy_skills!$A$1,0,0,COUNTA(enemy_skills!$A:$A),MATCH(E$1,enemy_skills!$1:$1,0)-MATCH("enemy_skill_id",enemy_skills!$1:$1,0)+1),MATCH(E$1,enemy_skills!$1:$1,0)-MATCH("enemy_skill_id",enemy_skills!$1:$1,0)+1,FALSE)</f>
        <v>全パネルをハートボムパネルに変換+_x000D_特定エリアを緑のダメージパネルに変換</v>
      </c>
      <c r="F85" s="110">
        <v>40045801</v>
      </c>
      <c r="G85" s="4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7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5" s="4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7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7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6"/>
      <c r="Q85" s="49"/>
      <c r="R85" s="46"/>
    </row>
    <row r="86" spans="1:18" ht="21" customHeight="1" x14ac:dyDescent="0.15">
      <c r="A86" s="38" t="str">
        <f t="shared" si="1"/>
        <v>40045008_40045802</v>
      </c>
      <c r="B86" s="281">
        <v>40045008</v>
      </c>
      <c r="C86" s="201">
        <v>40045802</v>
      </c>
      <c r="D86" s="45" t="str">
        <f ca="1">VLOOKUP($C86,OFFSET(enemy_skills!$A$1,0,0,COUNTA(enemy_skills!$A:$A),MATCH(D$1,enemy_skills!$1:$1,0)-MATCH("enemy_skill_id",enemy_skills!$1:$1,0)+1),MATCH(D$1,enemy_skills!$1:$1,0)-MATCH("enemy_skill_id",enemy_skills!$1:$1,0)+1,FALSE)</f>
        <v>…毒斬り！</v>
      </c>
      <c r="E86" s="45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86" s="110">
        <v>40045802</v>
      </c>
      <c r="G86" s="4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86" s="4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7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7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6" s="4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6"/>
      <c r="Q86" s="49"/>
      <c r="R86" s="46"/>
    </row>
    <row r="87" spans="1:18" ht="21" customHeight="1" x14ac:dyDescent="0.15">
      <c r="A87" s="38" t="str">
        <f t="shared" si="1"/>
        <v>40045008_40045803</v>
      </c>
      <c r="B87" s="281">
        <v>40045008</v>
      </c>
      <c r="C87" s="201">
        <v>40045803</v>
      </c>
      <c r="D87" s="45" t="str">
        <f ca="1">VLOOKUP($C87,OFFSET(enemy_skills!$A$1,0,0,COUNTA(enemy_skills!$A:$A),MATCH(D$1,enemy_skills!$1:$1,0)-MATCH("enemy_skill_id",enemy_skills!$1:$1,0)+1),MATCH(D$1,enemy_skills!$1:$1,0)-MATCH("enemy_skill_id",enemy_skills!$1:$1,0)+1,FALSE)</f>
        <v>…毒斬り！</v>
      </c>
      <c r="E87" s="45" t="str">
        <f ca="1">VLOOKUP($C87,OFFSET(enemy_skills!$A$1,0,0,COUNTA(enemy_skills!$A:$A),MATCH(E$1,enemy_skills!$1:$1,0)-MATCH("enemy_skill_id",enemy_skills!$1:$1,0)+1),MATCH(E$1,enemy_skills!$1:$1,0)-MATCH("enemy_skill_id",enemy_skills!$1:$1,0)+1,FALSE)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87" s="110">
        <v>40045803</v>
      </c>
      <c r="G87" s="4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7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87" s="4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7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7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7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87" s="47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6"/>
      <c r="Q87" s="49"/>
      <c r="R87" s="46"/>
    </row>
    <row r="88" spans="1:18" ht="21" customHeight="1" x14ac:dyDescent="0.15">
      <c r="A88" s="38" t="str">
        <f t="shared" si="1"/>
        <v>40045008_40045804</v>
      </c>
      <c r="B88" s="281">
        <v>40045008</v>
      </c>
      <c r="C88" s="201">
        <v>40045804</v>
      </c>
      <c r="D88" s="4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起爆型手裏剣</v>
      </c>
      <c r="E88" s="4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青パネルを緑のダメージパネルに5個変換</v>
      </c>
      <c r="F88" s="110">
        <v>40045804</v>
      </c>
      <c r="G88" s="4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88" s="4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7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7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8" s="47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6"/>
      <c r="Q88" s="49"/>
      <c r="R88" s="46"/>
    </row>
    <row r="89" spans="1:18" ht="21" customHeight="1" x14ac:dyDescent="0.15">
      <c r="A89" s="38" t="str">
        <f t="shared" si="1"/>
        <v>40045008_40045805</v>
      </c>
      <c r="B89" s="281">
        <v>40045008</v>
      </c>
      <c r="C89" s="201">
        <v>40045805</v>
      </c>
      <c r="D89" s="45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ニンポウ・セキュリティホール</v>
      </c>
      <c r="E89" s="45" t="str">
        <f ca="1">VLOOKUP($C89,OFFSET(enemy_skills!$A$1,0,0,COUNTA(enemy_skills!$A:$A),MATCH(E$1,enemy_skills!$1:$1,0)-MATCH("enemy_skill_id",enemy_skills!$1:$1,0)+1),MATCH(E$1,enemy_skills!$1:$1,0)-MATCH("enemy_skill_id",enemy_skills!$1:$1,0)+1,FALSE)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89" s="110">
        <v>40045805</v>
      </c>
      <c r="G89" s="4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7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89" s="4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7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7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89" s="47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6"/>
      <c r="Q89" s="49"/>
      <c r="R89" s="46"/>
    </row>
    <row r="90" spans="1:18" ht="21" customHeight="1" x14ac:dyDescent="0.15">
      <c r="A90" s="38" t="str">
        <f t="shared" si="1"/>
        <v>40045008_40045806</v>
      </c>
      <c r="B90" s="281">
        <v>40045008</v>
      </c>
      <c r="C90" s="201">
        <v>40045806</v>
      </c>
      <c r="D90" s="45" t="str">
        <f ca="1">VLOOKUP($C90,OFFSET(enemy_skills!$A$1,0,0,COUNTA(enemy_skills!$A:$A),MATCH(D$1,enemy_skills!$1:$1,0)-MATCH("enemy_skill_id",enemy_skills!$1:$1,0)+1),MATCH(D$1,enemy_skills!$1:$1,0)-MATCH("enemy_skill_id",enemy_skills!$1:$1,0)+1,FALSE)</f>
        <v>四方手裏剣</v>
      </c>
      <c r="E90" s="45" t="str">
        <f ca="1">VLOOKUP($C90,OFFSET(enemy_skills!$A$1,0,0,COUNTA(enemy_skills!$A:$A),MATCH(E$1,enemy_skills!$1:$1,0)-MATCH("enemy_skill_id",enemy_skills!$1:$1,0)+1),MATCH(E$1,enemy_skills!$1:$1,0)-MATCH("enemy_skill_id",enemy_skills!$1:$1,0)+1,FALSE)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90" s="110">
        <v>40045806</v>
      </c>
      <c r="G90" s="4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7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90" s="4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7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7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7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6"/>
      <c r="Q90" s="49"/>
      <c r="R90" s="46"/>
    </row>
    <row r="91" spans="1:18" ht="21" customHeight="1" x14ac:dyDescent="0.15">
      <c r="A91" s="38" t="str">
        <f t="shared" si="1"/>
        <v>40045009_40045810</v>
      </c>
      <c r="B91" s="281">
        <v>40045009</v>
      </c>
      <c r="C91" s="201">
        <v>40045810</v>
      </c>
      <c r="D91" s="45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やるな……</v>
      </c>
      <c r="E91" s="45" t="str">
        <f ca="1">VLOOKUP($C91,OFFSET(enemy_skills!$A$1,0,0,COUNTA(enemy_skills!$A:$A),MATCH(E$1,enemy_skills!$1:$1,0)-MATCH("enemy_skill_id",enemy_skills!$1:$1,0)+1),MATCH(E$1,enemy_skills!$1:$1,0)-MATCH("enemy_skill_id",enemy_skills!$1:$1,0)+1,FALSE)</f>
        <v>状態異常耐性+_x000D_5ターン全ユニットのタップ回数を1DOWN+_x000D_8ターン体力タイプのユニットにスキルバインド</v>
      </c>
      <c r="F91" s="110">
        <v>40045810</v>
      </c>
      <c r="G91" s="4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7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91" s="4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7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7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7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7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6"/>
      <c r="Q91" s="49"/>
      <c r="R91" s="46"/>
    </row>
    <row r="92" spans="1:18" ht="21" customHeight="1" x14ac:dyDescent="0.15">
      <c r="A92" s="38" t="str">
        <f t="shared" si="1"/>
        <v>40045009_40045816</v>
      </c>
      <c r="B92" s="281">
        <v>40045009</v>
      </c>
      <c r="C92" s="201">
        <v>40045816</v>
      </c>
      <c r="D92" s="45" t="str">
        <f ca="1">VLOOKUP($C92,OFFSET(enemy_skills!$A$1,0,0,COUNTA(enemy_skills!$A:$A),MATCH(D$1,enemy_skills!$1:$1,0)-MATCH("enemy_skill_id",enemy_skills!$1:$1,0)+1),MATCH(D$1,enemy_skills!$1:$1,0)-MATCH("enemy_skill_id",enemy_skills!$1:$1,0)+1,FALSE)</f>
        <v>毒針スプレッド</v>
      </c>
      <c r="E92" s="45" t="str">
        <f ca="1">VLOOKUP($C92,OFFSET(enemy_skills!$A$1,0,0,COUNTA(enemy_skills!$A:$A),MATCH(E$1,enemy_skills!$1:$1,0)-MATCH("enemy_skill_id",enemy_skills!$1:$1,0)+1),MATCH(E$1,enemy_skills!$1:$1,0)-MATCH("enemy_skill_id",enemy_skills!$1:$1,0)+1,FALSE)</f>
        <v>6ターン全ユニットにウィルス+_x000D_緑パネルを緑のダメージパネルに6個変換</v>
      </c>
      <c r="F92" s="110">
        <v>40045811</v>
      </c>
      <c r="G92" s="4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92" s="4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7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2" s="4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7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7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6"/>
      <c r="Q92" s="49"/>
      <c r="R92" s="46"/>
    </row>
    <row r="93" spans="1:18" ht="21" customHeight="1" x14ac:dyDescent="0.15">
      <c r="A93" s="38" t="str">
        <f t="shared" si="1"/>
        <v>40045009_40045811</v>
      </c>
      <c r="B93" s="281">
        <v>40045009</v>
      </c>
      <c r="C93" s="201">
        <v>40045811</v>
      </c>
      <c r="D93" s="45" t="str">
        <f ca="1">VLOOKUP($C93,OFFSET(enemy_skills!$A$1,0,0,COUNTA(enemy_skills!$A:$A),MATCH(D$1,enemy_skills!$1:$1,0)-MATCH("enemy_skill_id",enemy_skills!$1:$1,0)+1),MATCH(D$1,enemy_skills!$1:$1,0)-MATCH("enemy_skill_id",enemy_skills!$1:$1,0)+1,FALSE)</f>
        <v>避雷針の術</v>
      </c>
      <c r="E93" s="45" t="str">
        <f ca="1">VLOOKUP($C93,OFFSET(enemy_skills!$A$1,0,0,COUNTA(enemy_skills!$A:$A),MATCH(E$1,enemy_skills!$1:$1,0)-MATCH("enemy_skill_id",enemy_skills!$1:$1,0)+1),MATCH(E$1,enemy_skills!$1:$1,0)-MATCH("enemy_skill_id",enemy_skills!$1:$1,0)+1,FALSE)</f>
        <v>黄パネルを吸収して防御力大UP+クリティカル！</v>
      </c>
      <c r="F93" s="110">
        <v>40045812</v>
      </c>
      <c r="G93" s="4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3" s="4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7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93" s="4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7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7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6"/>
      <c r="Q93" s="49"/>
      <c r="R93" s="46"/>
    </row>
    <row r="94" spans="1:18" ht="21" customHeight="1" x14ac:dyDescent="0.15">
      <c r="A94" s="38" t="str">
        <f t="shared" si="1"/>
        <v>40045009_40045812</v>
      </c>
      <c r="B94" s="281">
        <v>40045009</v>
      </c>
      <c r="C94" s="201">
        <v>40045812</v>
      </c>
      <c r="D94" s="45" t="str">
        <f ca="1">VLOOKUP($C94,OFFSET(enemy_skills!$A$1,0,0,COUNTA(enemy_skills!$A:$A),MATCH(D$1,enemy_skills!$1:$1,0)-MATCH("enemy_skill_id",enemy_skills!$1:$1,0)+1),MATCH(D$1,enemy_skills!$1:$1,0)-MATCH("enemy_skill_id",enemy_skills!$1:$1,0)+1,FALSE)</f>
        <v>竜巻の術</v>
      </c>
      <c r="E94" s="45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緑パネルを吸収して攻撃力UP+クリティカル！</v>
      </c>
      <c r="F94" s="110">
        <v>40045813</v>
      </c>
      <c r="G94" s="47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7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480</v>
      </c>
      <c r="I94" s="4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7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7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7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4" s="47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6"/>
      <c r="Q94" s="49"/>
      <c r="R94" s="46"/>
    </row>
    <row r="95" spans="1:18" ht="21" customHeight="1" x14ac:dyDescent="0.15">
      <c r="A95" s="38" t="str">
        <f t="shared" si="1"/>
        <v>40045009_40045813</v>
      </c>
      <c r="B95" s="281">
        <v>40045009</v>
      </c>
      <c r="C95" s="201">
        <v>40045813</v>
      </c>
      <c r="D95" s="45" t="str">
        <f ca="1">VLOOKUP($C95,OFFSET(enemy_skills!$A$1,0,0,COUNTA(enemy_skills!$A:$A),MATCH(D$1,enemy_skills!$1:$1,0)-MATCH("enemy_skill_id",enemy_skills!$1:$1,0)+1),MATCH(D$1,enemy_skills!$1:$1,0)-MATCH("enemy_skill_id",enemy_skills!$1:$1,0)+1,FALSE)</f>
        <v>…毒斬り！</v>
      </c>
      <c r="E95" s="45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95" s="110">
        <v>40045814</v>
      </c>
      <c r="G95" s="47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7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95" s="4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95" s="47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7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7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47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95" s="46"/>
      <c r="Q95" s="49"/>
      <c r="R95" s="46"/>
    </row>
    <row r="96" spans="1:18" ht="21" customHeight="1" x14ac:dyDescent="0.15">
      <c r="A96" s="38" t="str">
        <f t="shared" si="1"/>
        <v>40045009_40045814</v>
      </c>
      <c r="B96" s="281">
        <v>40045009</v>
      </c>
      <c r="C96" s="201">
        <v>40045814</v>
      </c>
      <c r="D96" s="45" t="str">
        <f ca="1">VLOOKUP($C96,OFFSET(enemy_skills!$A$1,0,0,COUNTA(enemy_skills!$A:$A),MATCH(D$1,enemy_skills!$1:$1,0)-MATCH("enemy_skill_id",enemy_skills!$1:$1,0)+1),MATCH(D$1,enemy_skills!$1:$1,0)-MATCH("enemy_skill_id",enemy_skills!$1:$1,0)+1,FALSE)</f>
        <v>…くらえ！</v>
      </c>
      <c r="E96" s="45" t="str">
        <f ca="1">VLOOKUP($C96,OFFSET(enemy_skills!$A$1,0,0,COUNTA(enemy_skills!$A:$A),MATCH(E$1,enemy_skills!$1:$1,0)-MATCH("enemy_skill_id",enemy_skills!$1:$1,0)+1),MATCH(E$1,enemy_skills!$1:$1,0)-MATCH("enemy_skill_id",enemy_skills!$1:$1,0)+1,FALSE)</f>
        <v>2回連続攻撃+_x000D_1ターンユニット1〜2体の攻撃力50%DOWN</v>
      </c>
      <c r="F96" s="110">
        <v>40045815</v>
      </c>
      <c r="G96" s="4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96" s="4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7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7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47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6"/>
      <c r="Q96" s="49"/>
      <c r="R96" s="46"/>
    </row>
    <row r="97" spans="1:18" ht="21" customHeight="1" x14ac:dyDescent="0.15">
      <c r="A97" s="38" t="str">
        <f t="shared" si="1"/>
        <v>40045009_40045815</v>
      </c>
      <c r="B97" s="281">
        <v>40045009</v>
      </c>
      <c r="C97" s="201">
        <v>40045815</v>
      </c>
      <c r="D97" s="45" t="str">
        <f ca="1">VLOOKUP($C97,OFFSET(enemy_skills!$A$1,0,0,COUNTA(enemy_skills!$A:$A),MATCH(D$1,enemy_skills!$1:$1,0)-MATCH("enemy_skill_id",enemy_skills!$1:$1,0)+1),MATCH(D$1,enemy_skills!$1:$1,0)-MATCH("enemy_skill_id",enemy_skills!$1:$1,0)+1,FALSE)</f>
        <v>起爆型十字手裏剣</v>
      </c>
      <c r="E97" s="45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クリティカル！+_x000D_属性パネルを緑のダメージパネルに4個変換</v>
      </c>
      <c r="F97" s="110">
        <v>40045816</v>
      </c>
      <c r="G97" s="4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509</v>
      </c>
      <c r="I97" s="4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7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47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6"/>
      <c r="Q97" s="49"/>
      <c r="R97" s="46"/>
    </row>
    <row r="98" spans="1:18" ht="21" customHeight="1" x14ac:dyDescent="0.15">
      <c r="A98" s="38" t="str">
        <f t="shared" si="1"/>
        <v>40045010_40045820</v>
      </c>
      <c r="B98" s="281">
        <v>40045010</v>
      </c>
      <c r="C98" s="201">
        <v>40045820</v>
      </c>
      <c r="D98" s="45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ここで朽ちる訳には…！</v>
      </c>
      <c r="E98" s="45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状態異常耐性+_x000D_解除するまで全ユニットにウィルス+_x000D_5ターン全ユニットのタップ回数を1DOWN</v>
      </c>
      <c r="F98" s="110">
        <v>40045820</v>
      </c>
      <c r="G98" s="4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98" s="4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7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7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8" s="47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6"/>
      <c r="Q98" s="49"/>
      <c r="R98" s="46"/>
    </row>
    <row r="99" spans="1:18" ht="21" customHeight="1" x14ac:dyDescent="0.15">
      <c r="A99" s="38" t="str">
        <f t="shared" si="1"/>
        <v>40045010_40045821</v>
      </c>
      <c r="B99" s="281">
        <v>40045010</v>
      </c>
      <c r="C99" s="201">
        <v>40045821</v>
      </c>
      <c r="D99" s="45" t="str">
        <f ca="1">VLOOKUP($C99,OFFSET(enemy_skills!$A$1,0,0,COUNTA(enemy_skills!$A:$A),MATCH(D$1,enemy_skills!$1:$1,0)-MATCH("enemy_skill_id",enemy_skills!$1:$1,0)+1),MATCH(D$1,enemy_skills!$1:$1,0)-MATCH("enemy_skill_id",enemy_skills!$1:$1,0)+1,FALSE)</f>
        <v>起爆型手裏剣</v>
      </c>
      <c r="E99" s="45" t="str">
        <f ca="1">VLOOKUP($C99,OFFSET(enemy_skills!$A$1,0,0,COUNTA(enemy_skills!$A:$A),MATCH(E$1,enemy_skills!$1:$1,0)-MATCH("enemy_skill_id",enemy_skills!$1:$1,0)+1),MATCH(E$1,enemy_skills!$1:$1,0)-MATCH("enemy_skill_id",enemy_skills!$1:$1,0)+1,FALSE)</f>
        <v>属性パネルを緑のダメージパネルに10個変換</v>
      </c>
      <c r="F99" s="110">
        <v>40045821</v>
      </c>
      <c r="G99" s="4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9" s="4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7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7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9" s="47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6"/>
      <c r="Q99" s="49"/>
      <c r="R99" s="46"/>
    </row>
    <row r="100" spans="1:18" ht="21" customHeight="1" x14ac:dyDescent="0.15">
      <c r="A100" s="38" t="str">
        <f t="shared" si="1"/>
        <v>40045010_40045822</v>
      </c>
      <c r="B100" s="281">
        <v>40045010</v>
      </c>
      <c r="C100" s="201">
        <v>40045822</v>
      </c>
      <c r="D100" s="45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…毒斬り！</v>
      </c>
      <c r="E100" s="45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00" s="110">
        <v>40045822</v>
      </c>
      <c r="G100" s="4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00" s="4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7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7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7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7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6"/>
      <c r="Q100" s="49"/>
      <c r="R100" s="46"/>
    </row>
    <row r="101" spans="1:18" ht="21" customHeight="1" x14ac:dyDescent="0.15">
      <c r="A101" s="38" t="str">
        <f t="shared" si="1"/>
        <v>40045010_40045823</v>
      </c>
      <c r="B101" s="281">
        <v>40045010</v>
      </c>
      <c r="C101" s="201">
        <v>40045823</v>
      </c>
      <c r="D101" s="45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…終わりだ</v>
      </c>
      <c r="E101" s="45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99999固定ダメージ！</v>
      </c>
      <c r="F101" s="110">
        <v>40045823</v>
      </c>
      <c r="G101" s="4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01" s="4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7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1" s="4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7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7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47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6"/>
      <c r="Q101" s="49"/>
      <c r="R101" s="46"/>
    </row>
    <row r="102" spans="1:18" ht="21" customHeight="1" x14ac:dyDescent="0.15">
      <c r="A102" s="38" t="str">
        <f t="shared" si="1"/>
        <v>40045010_40045824</v>
      </c>
      <c r="B102" s="281">
        <v>40045010</v>
      </c>
      <c r="C102" s="201">
        <v>40045824</v>
      </c>
      <c r="D102" s="45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臨…兵…闘…者…皆…陣…裂…在…前…</v>
      </c>
      <c r="E102" s="45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怪しい装置が起動し始めた…_x000D_【超強力な攻撃まであと1ターン！！】</v>
      </c>
      <c r="F102" s="110">
        <v>40045824</v>
      </c>
      <c r="G102" s="47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7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430</v>
      </c>
      <c r="I102" s="47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7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2" s="47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7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7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2" s="47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7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6"/>
      <c r="Q102" s="49"/>
      <c r="R102" s="46"/>
    </row>
    <row r="103" spans="1:18" ht="21" customHeight="1" x14ac:dyDescent="0.15">
      <c r="A103" s="38" t="str">
        <f t="shared" si="1"/>
        <v>40045010_40045825</v>
      </c>
      <c r="B103" s="281">
        <v>40045010</v>
      </c>
      <c r="C103" s="201">
        <v>40045825</v>
      </c>
      <c r="D103" s="45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APT・クラッキング</v>
      </c>
      <c r="E103" s="45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8回連続攻撃_x000D_【超強力な攻撃まであと2ターン！！】</v>
      </c>
      <c r="F103" s="110">
        <v>40045825</v>
      </c>
      <c r="G103" s="47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7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440</v>
      </c>
      <c r="I103" s="47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7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3" s="47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7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7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47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7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6"/>
      <c r="Q103" s="49"/>
      <c r="R103" s="46"/>
    </row>
    <row r="104" spans="1:18" ht="21" customHeight="1" x14ac:dyDescent="0.15">
      <c r="A104" s="38" t="str">
        <f t="shared" si="1"/>
        <v>40045010_40045826</v>
      </c>
      <c r="B104" s="281">
        <v>40045010</v>
      </c>
      <c r="C104" s="201">
        <v>40045826</v>
      </c>
      <c r="D104" s="45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ノコギリ手裏剣</v>
      </c>
      <c r="E104" s="45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全体攻撃+_x000D_3ターン全ユニットの回復力50%DOWN_x000D_【超強力な攻撃まであと3ターン！！】</v>
      </c>
      <c r="F104" s="110">
        <v>40045826</v>
      </c>
      <c r="G104" s="47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7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450</v>
      </c>
      <c r="I104" s="4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7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4" s="4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7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7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7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6"/>
      <c r="Q104" s="49"/>
      <c r="R104" s="46"/>
    </row>
    <row r="105" spans="1:18" ht="21" customHeight="1" x14ac:dyDescent="0.15">
      <c r="A105" s="38" t="str">
        <f t="shared" si="1"/>
        <v>40045010_40045827</v>
      </c>
      <c r="B105" s="281">
        <v>40045010</v>
      </c>
      <c r="C105" s="201">
        <v>40045827</v>
      </c>
      <c r="D105" s="45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マキビシ・MD5</v>
      </c>
      <c r="E105" s="45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属性パネルを赤&amp;緑&amp;青&amp;黄の_x000D_ダメージパネルに2個ずつ変換_x000D_【超強力な攻撃まであと4ターン！！】</v>
      </c>
      <c r="F105" s="110">
        <v>40045827</v>
      </c>
      <c r="G105" s="47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7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460</v>
      </c>
      <c r="I105" s="4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7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5" s="4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7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7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5" s="47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6"/>
      <c r="Q105" s="49"/>
      <c r="R105" s="46"/>
    </row>
    <row r="106" spans="1:18" ht="21" customHeight="1" x14ac:dyDescent="0.15">
      <c r="A106" s="38" t="str">
        <f t="shared" si="1"/>
        <v>40045010_40045828</v>
      </c>
      <c r="B106" s="281">
        <v>40045010</v>
      </c>
      <c r="C106" s="201">
        <v>40045828</v>
      </c>
      <c r="D106" s="45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全兵装起動…！</v>
      </c>
      <c r="E106" s="45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ウィルス状態のユニットに大ダメージの全体攻撃_x000D_【5ターン後に超強力な攻撃！！】</v>
      </c>
      <c r="F106" s="110">
        <v>40045828</v>
      </c>
      <c r="G106" s="47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7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470</v>
      </c>
      <c r="I106" s="4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7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6" s="4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7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7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47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6"/>
      <c r="Q106" s="49"/>
      <c r="R106" s="46"/>
    </row>
    <row r="107" spans="1:18" ht="21" customHeight="1" x14ac:dyDescent="0.15">
      <c r="A107" s="38" t="str">
        <f t="shared" si="1"/>
        <v>40045010_40045830</v>
      </c>
      <c r="B107" s="281">
        <v>40045010</v>
      </c>
      <c r="C107" s="201">
        <v>40045830</v>
      </c>
      <c r="D107" s="45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SQLインジェクション</v>
      </c>
      <c r="E107" s="45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赤パネルを吸収して全体攻撃</v>
      </c>
      <c r="F107" s="110">
        <v>40045830</v>
      </c>
      <c r="G107" s="47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7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07" s="47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7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7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7" t="str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7" s="47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07" s="47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7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6"/>
      <c r="Q107" s="49"/>
      <c r="R107" s="46"/>
    </row>
    <row r="108" spans="1:18" ht="21" customHeight="1" x14ac:dyDescent="0.15">
      <c r="A108" s="38" t="str">
        <f t="shared" si="1"/>
        <v>40045010_40045831</v>
      </c>
      <c r="B108" s="281">
        <v>40045010</v>
      </c>
      <c r="C108" s="201">
        <v>40045831</v>
      </c>
      <c r="D108" s="45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ニンポウ・セキュリティホール</v>
      </c>
      <c r="E108" s="45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ダメージパネルを吸収して全体攻撃</v>
      </c>
      <c r="F108" s="110">
        <v>40045831</v>
      </c>
      <c r="G108" s="47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7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08" s="47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7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7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7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47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8" s="47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7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6"/>
      <c r="Q108" s="49"/>
      <c r="R108" s="46"/>
    </row>
    <row r="109" spans="1:18" ht="21" customHeight="1" x14ac:dyDescent="0.15">
      <c r="A109" s="38" t="str">
        <f t="shared" si="1"/>
        <v>40045010_40045832</v>
      </c>
      <c r="B109" s="281">
        <v>40045010</v>
      </c>
      <c r="C109" s="201">
        <v>40045832</v>
      </c>
      <c r="D109" s="45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マキビシスクリプト</v>
      </c>
      <c r="E109" s="45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クリティカル！+_x000D_赤パネルを赤のダメージパネルに3個変換</v>
      </c>
      <c r="F109" s="110">
        <v>40045832</v>
      </c>
      <c r="G109" s="47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7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390</v>
      </c>
      <c r="I109" s="47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9" s="47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7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7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7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9" s="47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7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9" s="46"/>
      <c r="Q109" s="49"/>
      <c r="R109" s="46"/>
    </row>
    <row r="110" spans="1:18" ht="21" customHeight="1" x14ac:dyDescent="0.15">
      <c r="A110" s="38" t="str">
        <f t="shared" si="1"/>
        <v>40045010_40045833</v>
      </c>
      <c r="B110" s="281">
        <v>40045010</v>
      </c>
      <c r="C110" s="201">
        <v>40045833</v>
      </c>
      <c r="D110" s="45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クリプトグラフィー</v>
      </c>
      <c r="E110" s="45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全体攻撃+_x000D_2ターン全ユニットの回復力50%DOWN</v>
      </c>
      <c r="F110" s="110">
        <v>40045833</v>
      </c>
      <c r="G110" s="47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7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380</v>
      </c>
      <c r="I110" s="47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0" s="47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7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7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7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0" s="47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7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0" s="46"/>
      <c r="Q110" s="49"/>
      <c r="R110" s="46"/>
    </row>
    <row r="111" spans="1:18" ht="21" customHeight="1" x14ac:dyDescent="0.15">
      <c r="A111" s="38" t="str">
        <f t="shared" si="1"/>
        <v>40045010_40045834</v>
      </c>
      <c r="B111" s="281">
        <v>40045010</v>
      </c>
      <c r="C111" s="201">
        <v>40045834</v>
      </c>
      <c r="D111" s="45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任務…失敗……</v>
      </c>
      <c r="E111" s="45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11" s="110">
        <v>40045834</v>
      </c>
      <c r="G111" s="47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7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11" s="47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7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7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7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11" s="47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1" s="47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11" s="47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6"/>
      <c r="Q111" s="49"/>
      <c r="R111" s="46"/>
    </row>
    <row r="112" spans="1:18" s="138" customFormat="1" ht="21" customHeight="1" x14ac:dyDescent="0.15">
      <c r="A112" s="132" t="str">
        <f t="shared" si="1"/>
        <v>40045058_40045950</v>
      </c>
      <c r="B112" s="128">
        <v>40045058</v>
      </c>
      <c r="C112" s="204">
        <v>40045950</v>
      </c>
      <c r="D112" s="13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…忍術でオレに勝てるのか？</v>
      </c>
      <c r="E112" s="13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12" s="126">
        <v>40045900</v>
      </c>
      <c r="G112" s="124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2" s="124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12" s="124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124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124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124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124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124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1244</v>
      </c>
      <c r="O112" s="124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278" t="s">
        <v>549</v>
      </c>
      <c r="Q112" s="278" t="s">
        <v>547</v>
      </c>
      <c r="R112" s="137"/>
    </row>
    <row r="113" spans="1:18" s="138" customFormat="1" ht="21" customHeight="1" x14ac:dyDescent="0.15">
      <c r="A113" s="132" t="str">
        <f t="shared" si="1"/>
        <v>40045058_40045950</v>
      </c>
      <c r="B113" s="128">
        <v>40045058</v>
      </c>
      <c r="C113" s="204">
        <v>40045950</v>
      </c>
      <c r="D113" s="13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…忍術でオレに勝てるのか？</v>
      </c>
      <c r="E113" s="13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13" s="126">
        <v>40045901</v>
      </c>
      <c r="G113" s="124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124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799</v>
      </c>
      <c r="I113" s="124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124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124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124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124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3" s="124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1245</v>
      </c>
      <c r="O113" s="124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278" t="s">
        <v>549</v>
      </c>
      <c r="Q113" s="278" t="s">
        <v>548</v>
      </c>
      <c r="R113" s="137"/>
    </row>
    <row r="114" spans="1:18" s="138" customFormat="1" ht="21" customHeight="1" x14ac:dyDescent="0.15">
      <c r="A114" s="132" t="str">
        <f t="shared" si="1"/>
        <v>40045058_40045950</v>
      </c>
      <c r="B114" s="128">
        <v>40045058</v>
      </c>
      <c r="C114" s="204">
        <v>40045950</v>
      </c>
      <c r="D114" s="13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…忍術でオレに勝てるのか？</v>
      </c>
      <c r="E114" s="13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14" s="126">
        <v>40045902</v>
      </c>
      <c r="G114" s="124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4" s="124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798</v>
      </c>
      <c r="I114" s="124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124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124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124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124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4" s="124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1246</v>
      </c>
      <c r="O114" s="124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278" t="s">
        <v>499</v>
      </c>
      <c r="Q114" s="278" t="s">
        <v>548</v>
      </c>
      <c r="R114" s="137"/>
    </row>
    <row r="115" spans="1:18" s="138" customFormat="1" ht="21" customHeight="1" x14ac:dyDescent="0.15">
      <c r="A115" s="132" t="str">
        <f t="shared" si="1"/>
        <v>40045058_40045950</v>
      </c>
      <c r="B115" s="128">
        <v>40045058</v>
      </c>
      <c r="C115" s="204">
        <v>40045950</v>
      </c>
      <c r="D115" s="13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…忍術でオレに勝てるのか？</v>
      </c>
      <c r="E115" s="13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15" s="126">
        <v>40045903</v>
      </c>
      <c r="G115" s="124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5" s="124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797</v>
      </c>
      <c r="I115" s="124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124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124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124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124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5" s="124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1247</v>
      </c>
      <c r="O115" s="124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278" t="s">
        <v>499</v>
      </c>
      <c r="Q115" s="278" t="s">
        <v>548</v>
      </c>
      <c r="R115" s="137"/>
    </row>
    <row r="116" spans="1:18" s="138" customFormat="1" ht="21" customHeight="1" x14ac:dyDescent="0.15">
      <c r="A116" s="132" t="str">
        <f t="shared" si="1"/>
        <v>40045058_40045952</v>
      </c>
      <c r="B116" s="128">
        <v>40045058</v>
      </c>
      <c r="C116" s="204">
        <v>40045952</v>
      </c>
      <c r="D116" s="13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16" s="13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16" s="126">
        <v>40045904</v>
      </c>
      <c r="G116" s="124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6" s="124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796</v>
      </c>
      <c r="I116" s="124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124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124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124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124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6" s="124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724</v>
      </c>
      <c r="O116" s="124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134" t="s">
        <v>496</v>
      </c>
      <c r="Q116" s="263" t="s">
        <v>540</v>
      </c>
      <c r="R116" s="137"/>
    </row>
    <row r="117" spans="1:18" s="138" customFormat="1" ht="21" customHeight="1" x14ac:dyDescent="0.15">
      <c r="A117" s="132" t="str">
        <f t="shared" si="1"/>
        <v>40045058_40045952</v>
      </c>
      <c r="B117" s="128">
        <v>40045058</v>
      </c>
      <c r="C117" s="204">
        <v>40045952</v>
      </c>
      <c r="D117" s="13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17" s="13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17" s="126">
        <v>40045905</v>
      </c>
      <c r="G117" s="124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7" s="124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795</v>
      </c>
      <c r="I117" s="124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124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124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124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124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7" s="124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725</v>
      </c>
      <c r="O117" s="124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134" t="s">
        <v>496</v>
      </c>
      <c r="Q117" s="263" t="s">
        <v>540</v>
      </c>
      <c r="R117" s="137"/>
    </row>
    <row r="118" spans="1:18" s="138" customFormat="1" ht="21" customHeight="1" x14ac:dyDescent="0.15">
      <c r="A118" s="132" t="str">
        <f t="shared" si="1"/>
        <v>40045058_40045951</v>
      </c>
      <c r="B118" s="128">
        <v>40045058</v>
      </c>
      <c r="C118" s="204">
        <v>40045951</v>
      </c>
      <c r="D118" s="13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信長勢力はすでに滅んだと聞いたが…？</v>
      </c>
      <c r="E118" s="13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18" s="126">
        <v>40045906</v>
      </c>
      <c r="G118" s="124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124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794</v>
      </c>
      <c r="I118" s="124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124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124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124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124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8" s="124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118" s="124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222" t="s">
        <v>497</v>
      </c>
      <c r="Q118" s="264" t="s">
        <v>541</v>
      </c>
      <c r="R118" s="137"/>
    </row>
    <row r="119" spans="1:18" s="138" customFormat="1" ht="21" customHeight="1" x14ac:dyDescent="0.15">
      <c r="A119" s="132" t="str">
        <f t="shared" si="1"/>
        <v>40045058_40045951</v>
      </c>
      <c r="B119" s="128">
        <v>40045058</v>
      </c>
      <c r="C119" s="204">
        <v>40045951</v>
      </c>
      <c r="D119" s="13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信長勢力はすでに滅んだと聞いたが…？</v>
      </c>
      <c r="E119" s="13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19" s="126">
        <v>40045907</v>
      </c>
      <c r="G119" s="124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9" s="124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793</v>
      </c>
      <c r="I119" s="124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124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124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124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9" s="124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124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727</v>
      </c>
      <c r="O119" s="124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222" t="s">
        <v>497</v>
      </c>
      <c r="Q119" s="264" t="s">
        <v>541</v>
      </c>
      <c r="R119" s="137"/>
    </row>
    <row r="120" spans="1:18" s="138" customFormat="1" ht="21" customHeight="1" x14ac:dyDescent="0.15">
      <c r="A120" s="132" t="str">
        <f t="shared" si="1"/>
        <v>40045058_40045951</v>
      </c>
      <c r="B120" s="128">
        <v>40045058</v>
      </c>
      <c r="C120" s="204">
        <v>40045951</v>
      </c>
      <c r="D120" s="13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信長勢力はすでに滅んだと聞いたが…？</v>
      </c>
      <c r="E120" s="13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0" s="126">
        <v>40045908</v>
      </c>
      <c r="G120" s="124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0" s="124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792</v>
      </c>
      <c r="I120" s="124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124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124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124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0" s="124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0" s="124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1273</v>
      </c>
      <c r="O120" s="124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222" t="s">
        <v>497</v>
      </c>
      <c r="Q120" s="264" t="s">
        <v>541</v>
      </c>
      <c r="R120" s="137"/>
    </row>
    <row r="121" spans="1:18" s="138" customFormat="1" ht="21" customHeight="1" x14ac:dyDescent="0.15">
      <c r="A121" s="132" t="str">
        <f t="shared" si="1"/>
        <v>40045058_40045952</v>
      </c>
      <c r="B121" s="128">
        <v>40045058</v>
      </c>
      <c r="C121" s="204">
        <v>40045952</v>
      </c>
      <c r="D121" s="13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21" s="13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1" s="126">
        <v>40045909</v>
      </c>
      <c r="G121" s="124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1" s="124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791</v>
      </c>
      <c r="I121" s="124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124" t="str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1" s="124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124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124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124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121" s="124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133" t="s">
        <v>503</v>
      </c>
      <c r="Q121" s="262" t="s">
        <v>539</v>
      </c>
      <c r="R121" s="137"/>
    </row>
    <row r="122" spans="1:18" s="138" customFormat="1" ht="21" customHeight="1" x14ac:dyDescent="0.15">
      <c r="A122" s="132" t="str">
        <f t="shared" si="1"/>
        <v>40045058_40045952</v>
      </c>
      <c r="B122" s="128">
        <v>40045058</v>
      </c>
      <c r="C122" s="204">
        <v>40045952</v>
      </c>
      <c r="D122" s="13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22" s="13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2" s="126">
        <v>40045910</v>
      </c>
      <c r="G122" s="124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2" s="124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790</v>
      </c>
      <c r="I122" s="124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124" t="str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2" s="124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124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124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124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122" s="124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133" t="s">
        <v>503</v>
      </c>
      <c r="Q122" s="262" t="s">
        <v>539</v>
      </c>
      <c r="R122" s="137"/>
    </row>
    <row r="123" spans="1:18" s="138" customFormat="1" ht="21" customHeight="1" x14ac:dyDescent="0.15">
      <c r="A123" s="132" t="str">
        <f t="shared" si="1"/>
        <v>40045058_40045957</v>
      </c>
      <c r="B123" s="128">
        <v>40045058</v>
      </c>
      <c r="C123" s="204">
        <v>40045957</v>
      </c>
      <c r="D123" s="13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23" s="13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3" s="126">
        <v>40045911</v>
      </c>
      <c r="G123" s="124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3" s="124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789</v>
      </c>
      <c r="I123" s="124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124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124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124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124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124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732</v>
      </c>
      <c r="O123" s="124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223" t="s">
        <v>521</v>
      </c>
      <c r="Q123" s="265" t="s">
        <v>546</v>
      </c>
      <c r="R123" s="137"/>
    </row>
    <row r="124" spans="1:18" s="138" customFormat="1" ht="21" customHeight="1" x14ac:dyDescent="0.15">
      <c r="A124" s="132" t="str">
        <f t="shared" si="1"/>
        <v>40045058_40045957</v>
      </c>
      <c r="B124" s="128">
        <v>40045058</v>
      </c>
      <c r="C124" s="204">
        <v>40045957</v>
      </c>
      <c r="D124" s="13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24" s="13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4" s="126">
        <v>40045912</v>
      </c>
      <c r="G124" s="124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4" s="124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788</v>
      </c>
      <c r="I124" s="124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124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124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124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124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124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733</v>
      </c>
      <c r="O124" s="124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223" t="s">
        <v>490</v>
      </c>
      <c r="Q124" s="265" t="s">
        <v>542</v>
      </c>
      <c r="R124" s="137"/>
    </row>
    <row r="125" spans="1:18" s="138" customFormat="1" ht="21" customHeight="1" x14ac:dyDescent="0.15">
      <c r="A125" s="132" t="str">
        <f t="shared" si="1"/>
        <v>40045058_40045954</v>
      </c>
      <c r="B125" s="128">
        <v>40045058</v>
      </c>
      <c r="C125" s="204">
        <v>40045954</v>
      </c>
      <c r="D125" s="13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なぜオマエが立ちふさがる…</v>
      </c>
      <c r="E125" s="13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5" s="126">
        <v>40045913</v>
      </c>
      <c r="G125" s="124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5" s="124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787</v>
      </c>
      <c r="I125" s="124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124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124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124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124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5" s="124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728</v>
      </c>
      <c r="O125" s="124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224" t="s">
        <v>491</v>
      </c>
      <c r="Q125" s="266" t="s">
        <v>543</v>
      </c>
      <c r="R125" s="137"/>
    </row>
    <row r="126" spans="1:18" s="138" customFormat="1" ht="21" customHeight="1" x14ac:dyDescent="0.15">
      <c r="A126" s="132" t="str">
        <f t="shared" si="1"/>
        <v>40045058_40045954</v>
      </c>
      <c r="B126" s="128">
        <v>40045058</v>
      </c>
      <c r="C126" s="204">
        <v>40045954</v>
      </c>
      <c r="D126" s="13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なぜオマエが立ちふさがる…</v>
      </c>
      <c r="E126" s="13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6" s="126">
        <v>40045914</v>
      </c>
      <c r="G126" s="124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6" s="124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786</v>
      </c>
      <c r="I126" s="124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124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124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124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6" s="124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6" s="124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729</v>
      </c>
      <c r="O126" s="124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224" t="s">
        <v>491</v>
      </c>
      <c r="Q126" s="266" t="s">
        <v>543</v>
      </c>
      <c r="R126" s="137"/>
    </row>
    <row r="127" spans="1:18" s="138" customFormat="1" ht="21" customHeight="1" x14ac:dyDescent="0.15">
      <c r="A127" s="132" t="str">
        <f t="shared" si="1"/>
        <v>40045058_40045955</v>
      </c>
      <c r="B127" s="128">
        <v>40045058</v>
      </c>
      <c r="C127" s="204">
        <v>40045955</v>
      </c>
      <c r="D127" s="13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27" s="13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7" s="126">
        <v>40045915</v>
      </c>
      <c r="G127" s="124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7" s="124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785</v>
      </c>
      <c r="I127" s="124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124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124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124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7" s="124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7" s="124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734</v>
      </c>
      <c r="O127" s="124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225" t="s">
        <v>492</v>
      </c>
      <c r="Q127" s="267" t="s">
        <v>544</v>
      </c>
      <c r="R127" s="137"/>
    </row>
    <row r="128" spans="1:18" s="138" customFormat="1" ht="21" customHeight="1" x14ac:dyDescent="0.15">
      <c r="A128" s="132" t="str">
        <f t="shared" si="1"/>
        <v>40045058_40045955</v>
      </c>
      <c r="B128" s="128">
        <v>40045058</v>
      </c>
      <c r="C128" s="204">
        <v>40045955</v>
      </c>
      <c r="D128" s="13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28" s="13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8" s="126">
        <v>40045916</v>
      </c>
      <c r="G128" s="124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8" s="124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784</v>
      </c>
      <c r="I128" s="124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124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124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124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124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8" s="124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735</v>
      </c>
      <c r="O128" s="124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225" t="s">
        <v>492</v>
      </c>
      <c r="Q128" s="267" t="s">
        <v>544</v>
      </c>
      <c r="R128" s="137"/>
    </row>
    <row r="129" spans="1:18" s="138" customFormat="1" ht="21" customHeight="1" x14ac:dyDescent="0.15">
      <c r="A129" s="132" t="str">
        <f t="shared" si="1"/>
        <v>40045058_40045956</v>
      </c>
      <c r="B129" s="128">
        <v>40045058</v>
      </c>
      <c r="C129" s="204">
        <v>40045956</v>
      </c>
      <c r="D129" s="13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29" s="13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29" s="126">
        <v>40045918</v>
      </c>
      <c r="G129" s="124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9" s="124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782</v>
      </c>
      <c r="I129" s="124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124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124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124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9" s="124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124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730</v>
      </c>
      <c r="O129" s="124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226" t="s">
        <v>493</v>
      </c>
      <c r="Q129" s="268" t="s">
        <v>545</v>
      </c>
      <c r="R129" s="137"/>
    </row>
    <row r="130" spans="1:18" s="138" customFormat="1" ht="21" customHeight="1" x14ac:dyDescent="0.15">
      <c r="A130" s="132" t="str">
        <f t="shared" ref="A130:A193" si="2">B130&amp;"_"&amp;C130</f>
        <v>40045058_40045957</v>
      </c>
      <c r="B130" s="128">
        <v>40045058</v>
      </c>
      <c r="C130" s="204">
        <v>40045957</v>
      </c>
      <c r="D130" s="13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30" s="13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30" s="126">
        <v>40045920</v>
      </c>
      <c r="G130" s="124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0" s="124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780</v>
      </c>
      <c r="I130" s="124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124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124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124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0" s="124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0" s="124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720</v>
      </c>
      <c r="O130" s="124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223" t="s">
        <v>494</v>
      </c>
      <c r="Q130" s="265" t="s">
        <v>542</v>
      </c>
      <c r="R130" s="137"/>
    </row>
    <row r="131" spans="1:18" s="138" customFormat="1" ht="21" customHeight="1" x14ac:dyDescent="0.15">
      <c r="A131" s="132" t="str">
        <f t="shared" si="2"/>
        <v>40045058_40045951</v>
      </c>
      <c r="B131" s="128">
        <v>40045058</v>
      </c>
      <c r="C131" s="204">
        <v>40045951</v>
      </c>
      <c r="D131" s="13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信長勢力はすでに滅んだと聞いたが…？</v>
      </c>
      <c r="E131" s="13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31" s="126">
        <v>40045922</v>
      </c>
      <c r="G131" s="124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1" s="124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778</v>
      </c>
      <c r="I131" s="124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124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124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124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1" s="124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1" s="124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722</v>
      </c>
      <c r="O131" s="124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222" t="s">
        <v>495</v>
      </c>
      <c r="Q131" s="264" t="s">
        <v>541</v>
      </c>
      <c r="R131" s="137"/>
    </row>
    <row r="132" spans="1:18" s="138" customFormat="1" ht="21" customHeight="1" x14ac:dyDescent="0.15">
      <c r="A132" s="132" t="str">
        <f t="shared" si="2"/>
        <v>40045058_40045952</v>
      </c>
      <c r="B132" s="128">
        <v>40045058</v>
      </c>
      <c r="C132" s="204">
        <v>40045952</v>
      </c>
      <c r="D132" s="13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32" s="13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32" s="126">
        <v>40045924</v>
      </c>
      <c r="G132" s="124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2" s="124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776</v>
      </c>
      <c r="I132" s="124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124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124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124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124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2" s="124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132" s="124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133" t="s">
        <v>498</v>
      </c>
      <c r="Q132" s="262" t="s">
        <v>539</v>
      </c>
      <c r="R132" s="137"/>
    </row>
    <row r="133" spans="1:18" s="138" customFormat="1" ht="21" customHeight="1" x14ac:dyDescent="0.15">
      <c r="A133" s="132" t="str">
        <f t="shared" si="2"/>
        <v>40045058_40045952</v>
      </c>
      <c r="B133" s="128">
        <v>40045058</v>
      </c>
      <c r="C133" s="204">
        <v>40045952</v>
      </c>
      <c r="D133" s="13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33" s="13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33" s="126">
        <v>40045926</v>
      </c>
      <c r="G133" s="124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3" s="124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774</v>
      </c>
      <c r="I133" s="124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124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124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124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124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3" s="124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1248</v>
      </c>
      <c r="O133" s="124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133" t="s">
        <v>500</v>
      </c>
      <c r="Q133" s="262" t="s">
        <v>539</v>
      </c>
      <c r="R133" s="137"/>
    </row>
    <row r="134" spans="1:18" s="138" customFormat="1" ht="21" customHeight="1" x14ac:dyDescent="0.15">
      <c r="A134" s="132" t="str">
        <f t="shared" si="2"/>
        <v>40045058_40045952</v>
      </c>
      <c r="B134" s="128">
        <v>40045058</v>
      </c>
      <c r="C134" s="204">
        <v>40045952</v>
      </c>
      <c r="D134" s="13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34" s="13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34" s="126">
        <v>40045928</v>
      </c>
      <c r="G134" s="124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4" s="124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772</v>
      </c>
      <c r="I134" s="124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124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124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124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124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4" s="124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1236</v>
      </c>
      <c r="O134" s="124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133" t="s">
        <v>501</v>
      </c>
      <c r="Q134" s="262" t="s">
        <v>539</v>
      </c>
      <c r="R134" s="137"/>
    </row>
    <row r="135" spans="1:18" s="138" customFormat="1" ht="21" customHeight="1" thickBot="1" x14ac:dyDescent="0.2">
      <c r="A135" s="132" t="str">
        <f t="shared" si="2"/>
        <v>40045058_40045952</v>
      </c>
      <c r="B135" s="128">
        <v>40045058</v>
      </c>
      <c r="C135" s="204">
        <v>40045952</v>
      </c>
      <c r="D135" s="13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35" s="13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状態異常耐性+残りHPの80%ダメージ！+_x000D_解除するまで全ユニットにウィルス+_x000D_5ターン体力タイプのユニットにスキルバインド</v>
      </c>
      <c r="F135" s="227">
        <v>40045930</v>
      </c>
      <c r="G135" s="124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5" s="124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770</v>
      </c>
      <c r="I135" s="124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124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124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124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124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5" s="124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1240</v>
      </c>
      <c r="O135" s="124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231" t="s">
        <v>502</v>
      </c>
      <c r="Q135" s="269" t="s">
        <v>539</v>
      </c>
      <c r="R135" s="137"/>
    </row>
    <row r="136" spans="1:18" s="210" customFormat="1" ht="21" customHeight="1" x14ac:dyDescent="0.15">
      <c r="A136" s="205" t="str">
        <f t="shared" si="2"/>
        <v>40045060_40045958</v>
      </c>
      <c r="B136" s="206">
        <v>40045060</v>
      </c>
      <c r="C136" s="279">
        <v>40045958</v>
      </c>
      <c r="D136" s="207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オマエに忍術で負けるとは……</v>
      </c>
      <c r="E136" s="207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6" s="211">
        <v>40045931</v>
      </c>
      <c r="G136" s="20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20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36" s="20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20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20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20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208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6" s="20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1244</v>
      </c>
      <c r="O136" s="20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278" t="s">
        <v>549</v>
      </c>
      <c r="Q136" s="278" t="s">
        <v>547</v>
      </c>
      <c r="R136" s="209"/>
    </row>
    <row r="137" spans="1:18" s="210" customFormat="1" ht="21" customHeight="1" x14ac:dyDescent="0.15">
      <c r="A137" s="205" t="str">
        <f t="shared" si="2"/>
        <v>40045060_40045958</v>
      </c>
      <c r="B137" s="206">
        <v>40045060</v>
      </c>
      <c r="C137" s="279">
        <v>40045958</v>
      </c>
      <c r="D137" s="207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オマエに忍術で負けるとは……</v>
      </c>
      <c r="E137" s="207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7" s="211">
        <v>40045932</v>
      </c>
      <c r="G137" s="20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20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799</v>
      </c>
      <c r="I137" s="20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20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20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20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208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7" s="20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1245</v>
      </c>
      <c r="O137" s="20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278" t="s">
        <v>549</v>
      </c>
      <c r="Q137" s="278" t="s">
        <v>548</v>
      </c>
      <c r="R137" s="209"/>
    </row>
    <row r="138" spans="1:18" s="210" customFormat="1" ht="21" customHeight="1" x14ac:dyDescent="0.15">
      <c r="A138" s="205" t="str">
        <f t="shared" si="2"/>
        <v>40045060_40045958</v>
      </c>
      <c r="B138" s="206">
        <v>40045060</v>
      </c>
      <c r="C138" s="279">
        <v>40045958</v>
      </c>
      <c r="D138" s="207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オマエに忍術で負けるとは……</v>
      </c>
      <c r="E138" s="207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8" s="211">
        <v>40045933</v>
      </c>
      <c r="G138" s="20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20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798</v>
      </c>
      <c r="I138" s="20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20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20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20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208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8" s="20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1246</v>
      </c>
      <c r="O138" s="20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278" t="s">
        <v>499</v>
      </c>
      <c r="Q138" s="278" t="s">
        <v>548</v>
      </c>
      <c r="R138" s="209"/>
    </row>
    <row r="139" spans="1:18" s="210" customFormat="1" ht="21" customHeight="1" x14ac:dyDescent="0.15">
      <c r="A139" s="205" t="str">
        <f t="shared" si="2"/>
        <v>40045060_40045958</v>
      </c>
      <c r="B139" s="206">
        <v>40045060</v>
      </c>
      <c r="C139" s="279">
        <v>40045958</v>
      </c>
      <c r="D139" s="207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オマエに忍術で負けるとは……</v>
      </c>
      <c r="E139" s="207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9" s="211">
        <v>40045934</v>
      </c>
      <c r="G139" s="20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20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797</v>
      </c>
      <c r="I139" s="20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20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20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20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208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9" s="20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1247</v>
      </c>
      <c r="O139" s="20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278" t="s">
        <v>499</v>
      </c>
      <c r="Q139" s="278" t="s">
        <v>548</v>
      </c>
      <c r="R139" s="209"/>
    </row>
    <row r="140" spans="1:18" s="210" customFormat="1" ht="21" customHeight="1" x14ac:dyDescent="0.15">
      <c r="A140" s="205" t="str">
        <f t="shared" si="2"/>
        <v>40045060_40045960</v>
      </c>
      <c r="B140" s="206">
        <v>40045060</v>
      </c>
      <c r="C140" s="279">
        <v>40045960</v>
      </c>
      <c r="D140" s="207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オマエも俺を止めるのか…</v>
      </c>
      <c r="E140" s="207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0" s="211">
        <v>40045935</v>
      </c>
      <c r="G140" s="20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20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796</v>
      </c>
      <c r="I140" s="20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20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20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20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208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0" s="20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724</v>
      </c>
      <c r="O140" s="20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216" t="s">
        <v>496</v>
      </c>
      <c r="Q140" s="271" t="s">
        <v>540</v>
      </c>
      <c r="R140" s="209"/>
    </row>
    <row r="141" spans="1:18" s="210" customFormat="1" ht="21" customHeight="1" x14ac:dyDescent="0.15">
      <c r="A141" s="205" t="str">
        <f t="shared" si="2"/>
        <v>40045060_40045960</v>
      </c>
      <c r="B141" s="206">
        <v>40045060</v>
      </c>
      <c r="C141" s="279">
        <v>40045960</v>
      </c>
      <c r="D141" s="207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オマエも俺を止めるのか…</v>
      </c>
      <c r="E141" s="207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1" s="211">
        <v>40045936</v>
      </c>
      <c r="G141" s="20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20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795</v>
      </c>
      <c r="I141" s="20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20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20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20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208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1" s="20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725</v>
      </c>
      <c r="O141" s="20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216" t="s">
        <v>496</v>
      </c>
      <c r="Q141" s="271" t="s">
        <v>540</v>
      </c>
      <c r="R141" s="209"/>
    </row>
    <row r="142" spans="1:18" s="210" customFormat="1" ht="21" customHeight="1" x14ac:dyDescent="0.15">
      <c r="A142" s="205" t="str">
        <f t="shared" si="2"/>
        <v>40045060_40045959</v>
      </c>
      <c r="B142" s="206">
        <v>40045060</v>
      </c>
      <c r="C142" s="279">
        <v>40045959</v>
      </c>
      <c r="D142" s="207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142" s="207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2" s="211">
        <v>40045937</v>
      </c>
      <c r="G142" s="20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20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794</v>
      </c>
      <c r="I142" s="20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20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20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20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2" s="208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2" s="20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142" s="20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217" t="s">
        <v>497</v>
      </c>
      <c r="Q142" s="272" t="s">
        <v>541</v>
      </c>
      <c r="R142" s="209"/>
    </row>
    <row r="143" spans="1:18" s="210" customFormat="1" ht="21" customHeight="1" x14ac:dyDescent="0.15">
      <c r="A143" s="205" t="str">
        <f t="shared" si="2"/>
        <v>40045060_40045959</v>
      </c>
      <c r="B143" s="206">
        <v>40045060</v>
      </c>
      <c r="C143" s="279">
        <v>40045959</v>
      </c>
      <c r="D143" s="207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143" s="207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3" s="211">
        <v>40045938</v>
      </c>
      <c r="G143" s="20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20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793</v>
      </c>
      <c r="I143" s="20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20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20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20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3" s="208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3" s="20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727</v>
      </c>
      <c r="O143" s="20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217" t="s">
        <v>497</v>
      </c>
      <c r="Q143" s="272" t="s">
        <v>541</v>
      </c>
      <c r="R143" s="209"/>
    </row>
    <row r="144" spans="1:18" s="210" customFormat="1" ht="21" customHeight="1" x14ac:dyDescent="0.15">
      <c r="A144" s="205" t="str">
        <f t="shared" si="2"/>
        <v>40045060_40045959</v>
      </c>
      <c r="B144" s="206">
        <v>40045060</v>
      </c>
      <c r="C144" s="279">
        <v>40045959</v>
      </c>
      <c r="D144" s="207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144" s="207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4" s="211">
        <v>40045939</v>
      </c>
      <c r="G144" s="20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20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792</v>
      </c>
      <c r="I144" s="20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20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20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20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4" s="208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4" s="20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1273</v>
      </c>
      <c r="O144" s="20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217" t="s">
        <v>497</v>
      </c>
      <c r="Q144" s="272" t="s">
        <v>541</v>
      </c>
      <c r="R144" s="209"/>
    </row>
    <row r="145" spans="1:18" s="210" customFormat="1" ht="21" customHeight="1" x14ac:dyDescent="0.15">
      <c r="A145" s="205" t="str">
        <f t="shared" si="2"/>
        <v>40045060_40045961</v>
      </c>
      <c r="B145" s="206">
        <v>40045060</v>
      </c>
      <c r="C145" s="279">
        <v>40045961</v>
      </c>
      <c r="D145" s="207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45" s="207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5" s="211">
        <v>40045940</v>
      </c>
      <c r="G145" s="20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20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791</v>
      </c>
      <c r="I145" s="20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20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20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20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5" s="208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5" s="20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145" s="20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215" t="s">
        <v>503</v>
      </c>
      <c r="Q145" s="270" t="s">
        <v>539</v>
      </c>
      <c r="R145" s="209"/>
    </row>
    <row r="146" spans="1:18" s="210" customFormat="1" ht="21" customHeight="1" x14ac:dyDescent="0.15">
      <c r="A146" s="205" t="str">
        <f t="shared" si="2"/>
        <v>40045060_40045961</v>
      </c>
      <c r="B146" s="206">
        <v>40045060</v>
      </c>
      <c r="C146" s="279">
        <v>40045961</v>
      </c>
      <c r="D146" s="207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46" s="207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6" s="211">
        <v>40045941</v>
      </c>
      <c r="G146" s="20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20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790</v>
      </c>
      <c r="I146" s="20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20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20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20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6" s="208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6" s="208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146" s="20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215" t="s">
        <v>503</v>
      </c>
      <c r="Q146" s="270" t="s">
        <v>539</v>
      </c>
      <c r="R146" s="209"/>
    </row>
    <row r="147" spans="1:18" s="210" customFormat="1" ht="21" customHeight="1" x14ac:dyDescent="0.15">
      <c r="A147" s="205" t="str">
        <f t="shared" si="2"/>
        <v>40045060_40045964</v>
      </c>
      <c r="B147" s="206">
        <v>40045060</v>
      </c>
      <c r="C147" s="279">
        <v>40045964</v>
      </c>
      <c r="D147" s="207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無念…</v>
      </c>
      <c r="E147" s="207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7" s="211">
        <v>40045942</v>
      </c>
      <c r="G147" s="20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20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789</v>
      </c>
      <c r="I147" s="20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20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20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208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7" s="208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7" s="208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732</v>
      </c>
      <c r="O147" s="20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218" t="s">
        <v>521</v>
      </c>
      <c r="Q147" s="273" t="s">
        <v>546</v>
      </c>
      <c r="R147" s="209"/>
    </row>
    <row r="148" spans="1:18" s="210" customFormat="1" ht="21" customHeight="1" x14ac:dyDescent="0.15">
      <c r="A148" s="205" t="str">
        <f t="shared" si="2"/>
        <v>40045060_40045964</v>
      </c>
      <c r="B148" s="206">
        <v>40045060</v>
      </c>
      <c r="C148" s="279">
        <v>40045964</v>
      </c>
      <c r="D148" s="207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無念…</v>
      </c>
      <c r="E148" s="207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8" s="211">
        <v>40045943</v>
      </c>
      <c r="G148" s="20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20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788</v>
      </c>
      <c r="I148" s="20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20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20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208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8" s="208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8" s="208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733</v>
      </c>
      <c r="O148" s="20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218" t="s">
        <v>490</v>
      </c>
      <c r="Q148" s="273" t="s">
        <v>542</v>
      </c>
      <c r="R148" s="209"/>
    </row>
    <row r="149" spans="1:18" s="210" customFormat="1" ht="21" customHeight="1" x14ac:dyDescent="0.15">
      <c r="A149" s="205" t="str">
        <f t="shared" si="2"/>
        <v>40045060_40045962</v>
      </c>
      <c r="B149" s="206">
        <v>40045060</v>
      </c>
      <c r="C149" s="279">
        <v>40045962</v>
      </c>
      <c r="D149" s="207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まさかオマエに邪魔されるとは…</v>
      </c>
      <c r="E149" s="207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9" s="211">
        <v>40045944</v>
      </c>
      <c r="G149" s="20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20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787</v>
      </c>
      <c r="I149" s="20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20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20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208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9" s="208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9" s="208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728</v>
      </c>
      <c r="O149" s="20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219" t="s">
        <v>491</v>
      </c>
      <c r="Q149" s="274" t="s">
        <v>543</v>
      </c>
      <c r="R149" s="209"/>
    </row>
    <row r="150" spans="1:18" s="210" customFormat="1" ht="21" customHeight="1" x14ac:dyDescent="0.15">
      <c r="A150" s="205" t="str">
        <f t="shared" si="2"/>
        <v>40045060_40045962</v>
      </c>
      <c r="B150" s="206">
        <v>40045060</v>
      </c>
      <c r="C150" s="279">
        <v>40045962</v>
      </c>
      <c r="D150" s="207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まさかオマエに邪魔されるとは…</v>
      </c>
      <c r="E150" s="207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0" s="211">
        <v>40045945</v>
      </c>
      <c r="G150" s="20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20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786</v>
      </c>
      <c r="I150" s="20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208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20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208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0" s="208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0" s="208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729</v>
      </c>
      <c r="O150" s="20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219" t="s">
        <v>491</v>
      </c>
      <c r="Q150" s="274" t="s">
        <v>543</v>
      </c>
      <c r="R150" s="209"/>
    </row>
    <row r="151" spans="1:18" s="210" customFormat="1" ht="21" customHeight="1" x14ac:dyDescent="0.15">
      <c r="A151" s="205" t="str">
        <f t="shared" si="2"/>
        <v>40045060_40045963</v>
      </c>
      <c r="B151" s="206">
        <v>40045060</v>
      </c>
      <c r="C151" s="279">
        <v>40045963</v>
      </c>
      <c r="D151" s="207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無念…</v>
      </c>
      <c r="E151" s="207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1" s="211">
        <v>40045946</v>
      </c>
      <c r="G151" s="20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20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785</v>
      </c>
      <c r="I151" s="20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20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20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208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1" s="208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1" s="208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734</v>
      </c>
      <c r="O151" s="20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220" t="s">
        <v>492</v>
      </c>
      <c r="Q151" s="275" t="s">
        <v>544</v>
      </c>
      <c r="R151" s="209"/>
    </row>
    <row r="152" spans="1:18" s="210" customFormat="1" ht="21" customHeight="1" x14ac:dyDescent="0.15">
      <c r="A152" s="205" t="str">
        <f t="shared" si="2"/>
        <v>40045060_40045963</v>
      </c>
      <c r="B152" s="206">
        <v>40045060</v>
      </c>
      <c r="C152" s="279">
        <v>40045963</v>
      </c>
      <c r="D152" s="207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無念…</v>
      </c>
      <c r="E152" s="207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2" s="211">
        <v>40045947</v>
      </c>
      <c r="G152" s="20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20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784</v>
      </c>
      <c r="I152" s="20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20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20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20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2" s="208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2" s="208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735</v>
      </c>
      <c r="O152" s="20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220" t="s">
        <v>492</v>
      </c>
      <c r="Q152" s="275" t="s">
        <v>544</v>
      </c>
      <c r="R152" s="209"/>
    </row>
    <row r="153" spans="1:18" s="210" customFormat="1" ht="21" customHeight="1" x14ac:dyDescent="0.15">
      <c r="A153" s="205" t="str">
        <f t="shared" si="2"/>
        <v>40045060_40045964</v>
      </c>
      <c r="B153" s="206">
        <v>40045060</v>
      </c>
      <c r="C153" s="279">
        <v>40045964</v>
      </c>
      <c r="D153" s="207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無念…</v>
      </c>
      <c r="E153" s="207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3" s="211">
        <v>40045948</v>
      </c>
      <c r="G153" s="20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20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783</v>
      </c>
      <c r="I153" s="20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20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20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20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3" s="208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3" s="208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730</v>
      </c>
      <c r="O153" s="20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221" t="s">
        <v>493</v>
      </c>
      <c r="Q153" s="276" t="s">
        <v>545</v>
      </c>
      <c r="R153" s="209"/>
    </row>
    <row r="154" spans="1:18" s="210" customFormat="1" ht="21" customHeight="1" x14ac:dyDescent="0.15">
      <c r="A154" s="205" t="str">
        <f t="shared" si="2"/>
        <v>40045060_40045964</v>
      </c>
      <c r="B154" s="206">
        <v>40045060</v>
      </c>
      <c r="C154" s="279">
        <v>40045964</v>
      </c>
      <c r="D154" s="207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無念…</v>
      </c>
      <c r="E154" s="207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4" s="211">
        <v>40045949</v>
      </c>
      <c r="G154" s="20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20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782</v>
      </c>
      <c r="I154" s="20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20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20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20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4" s="208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4" s="208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731</v>
      </c>
      <c r="O154" s="20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221" t="s">
        <v>493</v>
      </c>
      <c r="Q154" s="276" t="s">
        <v>545</v>
      </c>
      <c r="R154" s="209"/>
    </row>
    <row r="155" spans="1:18" s="210" customFormat="1" ht="21" customHeight="1" x14ac:dyDescent="0.15">
      <c r="A155" s="205" t="str">
        <f t="shared" si="2"/>
        <v>40045060_40045964</v>
      </c>
      <c r="B155" s="206">
        <v>40045060</v>
      </c>
      <c r="C155" s="279">
        <v>40045964</v>
      </c>
      <c r="D155" s="207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無念…</v>
      </c>
      <c r="E155" s="207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5" s="211">
        <v>40045950</v>
      </c>
      <c r="G155" s="20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20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781</v>
      </c>
      <c r="I155" s="20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20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20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20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5" s="208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5" s="208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720</v>
      </c>
      <c r="O155" s="20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218" t="s">
        <v>494</v>
      </c>
      <c r="Q155" s="273" t="s">
        <v>542</v>
      </c>
      <c r="R155" s="209"/>
    </row>
    <row r="156" spans="1:18" s="210" customFormat="1" ht="21" customHeight="1" x14ac:dyDescent="0.15">
      <c r="A156" s="205" t="str">
        <f t="shared" si="2"/>
        <v>40045060_40045964</v>
      </c>
      <c r="B156" s="206">
        <v>40045060</v>
      </c>
      <c r="C156" s="279">
        <v>40045964</v>
      </c>
      <c r="D156" s="207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無念…</v>
      </c>
      <c r="E156" s="207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6" s="211">
        <v>40045951</v>
      </c>
      <c r="G156" s="20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20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780</v>
      </c>
      <c r="I156" s="20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20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20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20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6" s="208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6" s="208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721</v>
      </c>
      <c r="O156" s="20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218" t="s">
        <v>494</v>
      </c>
      <c r="Q156" s="273" t="s">
        <v>542</v>
      </c>
      <c r="R156" s="209"/>
    </row>
    <row r="157" spans="1:18" s="210" customFormat="1" ht="21" customHeight="1" x14ac:dyDescent="0.15">
      <c r="A157" s="205" t="str">
        <f t="shared" si="2"/>
        <v>40045060_40045959</v>
      </c>
      <c r="B157" s="206">
        <v>40045060</v>
      </c>
      <c r="C157" s="279">
        <v>40045959</v>
      </c>
      <c r="D157" s="207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157" s="207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7" s="211">
        <v>40045952</v>
      </c>
      <c r="G157" s="20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20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779</v>
      </c>
      <c r="I157" s="20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20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20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20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7" s="208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7" s="208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722</v>
      </c>
      <c r="O157" s="20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217" t="s">
        <v>495</v>
      </c>
      <c r="Q157" s="272" t="s">
        <v>541</v>
      </c>
      <c r="R157" s="209"/>
    </row>
    <row r="158" spans="1:18" s="210" customFormat="1" ht="21" customHeight="1" x14ac:dyDescent="0.15">
      <c r="A158" s="205" t="str">
        <f t="shared" si="2"/>
        <v>40045060_40045959</v>
      </c>
      <c r="B158" s="206">
        <v>40045060</v>
      </c>
      <c r="C158" s="279">
        <v>40045959</v>
      </c>
      <c r="D158" s="207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158" s="207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8" s="211">
        <v>40045953</v>
      </c>
      <c r="G158" s="20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20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778</v>
      </c>
      <c r="I158" s="20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20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20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208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8" s="208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8" s="208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723</v>
      </c>
      <c r="O158" s="20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217" t="s">
        <v>495</v>
      </c>
      <c r="Q158" s="272" t="s">
        <v>541</v>
      </c>
      <c r="R158" s="209"/>
    </row>
    <row r="159" spans="1:18" s="210" customFormat="1" ht="21" customHeight="1" x14ac:dyDescent="0.15">
      <c r="A159" s="205" t="str">
        <f t="shared" si="2"/>
        <v>40045060_40045961</v>
      </c>
      <c r="B159" s="206">
        <v>40045060</v>
      </c>
      <c r="C159" s="279">
        <v>40045961</v>
      </c>
      <c r="D159" s="207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59" s="207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9" s="211">
        <v>40045954</v>
      </c>
      <c r="G159" s="20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20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777</v>
      </c>
      <c r="I159" s="20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20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20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20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9" s="208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9" s="208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159" s="20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215" t="s">
        <v>498</v>
      </c>
      <c r="Q159" s="270" t="s">
        <v>539</v>
      </c>
      <c r="R159" s="209"/>
    </row>
    <row r="160" spans="1:18" s="210" customFormat="1" ht="21" customHeight="1" x14ac:dyDescent="0.15">
      <c r="A160" s="205" t="str">
        <f t="shared" si="2"/>
        <v>40045060_40045961</v>
      </c>
      <c r="B160" s="206">
        <v>40045060</v>
      </c>
      <c r="C160" s="279">
        <v>40045961</v>
      </c>
      <c r="D160" s="207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60" s="207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0" s="211">
        <v>40045955</v>
      </c>
      <c r="G160" s="20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20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776</v>
      </c>
      <c r="I160" s="20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20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20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208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0" s="208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0" s="208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160" s="20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215" t="s">
        <v>498</v>
      </c>
      <c r="Q160" s="270" t="s">
        <v>539</v>
      </c>
      <c r="R160" s="209"/>
    </row>
    <row r="161" spans="1:18" s="210" customFormat="1" ht="21" customHeight="1" x14ac:dyDescent="0.15">
      <c r="A161" s="205" t="str">
        <f t="shared" si="2"/>
        <v>40045060_40045961</v>
      </c>
      <c r="B161" s="206">
        <v>40045060</v>
      </c>
      <c r="C161" s="279">
        <v>40045961</v>
      </c>
      <c r="D161" s="207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61" s="207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1" s="211">
        <v>40045956</v>
      </c>
      <c r="G161" s="20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20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775</v>
      </c>
      <c r="I161" s="20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20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20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20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1" s="208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1" s="208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1248</v>
      </c>
      <c r="O161" s="20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215" t="s">
        <v>500</v>
      </c>
      <c r="Q161" s="270" t="s">
        <v>539</v>
      </c>
      <c r="R161" s="209"/>
    </row>
    <row r="162" spans="1:18" s="210" customFormat="1" ht="21" customHeight="1" x14ac:dyDescent="0.15">
      <c r="A162" s="205" t="str">
        <f t="shared" si="2"/>
        <v>40045060_40045961</v>
      </c>
      <c r="B162" s="206">
        <v>40045060</v>
      </c>
      <c r="C162" s="279">
        <v>40045961</v>
      </c>
      <c r="D162" s="207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62" s="207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2" s="211">
        <v>40045957</v>
      </c>
      <c r="G162" s="20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20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774</v>
      </c>
      <c r="I162" s="20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20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20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208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2" s="208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2" s="208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1249</v>
      </c>
      <c r="O162" s="20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215" t="s">
        <v>500</v>
      </c>
      <c r="Q162" s="270" t="s">
        <v>539</v>
      </c>
      <c r="R162" s="209"/>
    </row>
    <row r="163" spans="1:18" s="210" customFormat="1" ht="21" customHeight="1" x14ac:dyDescent="0.15">
      <c r="A163" s="205" t="str">
        <f t="shared" si="2"/>
        <v>40045060_40045961</v>
      </c>
      <c r="B163" s="206">
        <v>40045060</v>
      </c>
      <c r="C163" s="279">
        <v>40045961</v>
      </c>
      <c r="D163" s="207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63" s="207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3" s="211">
        <v>40045958</v>
      </c>
      <c r="G163" s="20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3" s="20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773</v>
      </c>
      <c r="I163" s="20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20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20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20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3" s="208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3" s="208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1236</v>
      </c>
      <c r="O163" s="20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215" t="s">
        <v>501</v>
      </c>
      <c r="Q163" s="270" t="s">
        <v>539</v>
      </c>
      <c r="R163" s="209"/>
    </row>
    <row r="164" spans="1:18" s="210" customFormat="1" ht="21" customHeight="1" x14ac:dyDescent="0.15">
      <c r="A164" s="205" t="str">
        <f t="shared" si="2"/>
        <v>40045060_40045961</v>
      </c>
      <c r="B164" s="206">
        <v>40045060</v>
      </c>
      <c r="C164" s="279">
        <v>40045961</v>
      </c>
      <c r="D164" s="207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64" s="207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4" s="211">
        <v>40045959</v>
      </c>
      <c r="G164" s="20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4" s="20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772</v>
      </c>
      <c r="I164" s="20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208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20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20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4" s="208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4" s="208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1237</v>
      </c>
      <c r="O164" s="20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215" t="s">
        <v>501</v>
      </c>
      <c r="Q164" s="270" t="s">
        <v>539</v>
      </c>
      <c r="R164" s="209"/>
    </row>
    <row r="165" spans="1:18" s="210" customFormat="1" ht="21" customHeight="1" x14ac:dyDescent="0.15">
      <c r="A165" s="205" t="str">
        <f t="shared" si="2"/>
        <v>40045060_40045961</v>
      </c>
      <c r="B165" s="206">
        <v>40045060</v>
      </c>
      <c r="C165" s="279">
        <v>40045961</v>
      </c>
      <c r="D165" s="207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65" s="207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5" s="211">
        <v>40045960</v>
      </c>
      <c r="G165" s="20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5" s="20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771</v>
      </c>
      <c r="I165" s="20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20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20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20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5" s="208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5" s="20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1240</v>
      </c>
      <c r="O165" s="20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215" t="s">
        <v>502</v>
      </c>
      <c r="Q165" s="270" t="s">
        <v>539</v>
      </c>
      <c r="R165" s="209"/>
    </row>
    <row r="166" spans="1:18" s="210" customFormat="1" ht="21" customHeight="1" x14ac:dyDescent="0.15">
      <c r="A166" s="205" t="str">
        <f t="shared" si="2"/>
        <v>40045060_40045961</v>
      </c>
      <c r="B166" s="206">
        <v>40045060</v>
      </c>
      <c r="C166" s="279">
        <v>40045961</v>
      </c>
      <c r="D166" s="207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166" s="207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6" s="211">
        <v>40045961</v>
      </c>
      <c r="G166" s="20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6" s="20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770</v>
      </c>
      <c r="I166" s="20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20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20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20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6" s="208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6" s="208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1241</v>
      </c>
      <c r="O166" s="20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215" t="s">
        <v>502</v>
      </c>
      <c r="Q166" s="270" t="s">
        <v>539</v>
      </c>
      <c r="R166" s="209"/>
    </row>
    <row r="167" spans="1:18" s="138" customFormat="1" ht="21" customHeight="1" x14ac:dyDescent="0.15">
      <c r="A167" s="132" t="str">
        <f t="shared" si="2"/>
        <v>40045008_40045900</v>
      </c>
      <c r="B167" s="128">
        <v>40045008</v>
      </c>
      <c r="C167" s="288">
        <v>40045900</v>
      </c>
      <c r="D167" s="13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…忍術でオレに勝てるのか？</v>
      </c>
      <c r="E167" s="13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67" s="126">
        <v>40045900</v>
      </c>
      <c r="G167" s="124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7" s="124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67" s="124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124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124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124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7" s="124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7" s="124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1244</v>
      </c>
      <c r="O167" s="124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278" t="s">
        <v>549</v>
      </c>
      <c r="Q167" s="278" t="s">
        <v>547</v>
      </c>
      <c r="R167" s="137"/>
    </row>
    <row r="168" spans="1:18" s="138" customFormat="1" ht="21" customHeight="1" x14ac:dyDescent="0.15">
      <c r="A168" s="132" t="str">
        <f t="shared" si="2"/>
        <v>40045008_40045900</v>
      </c>
      <c r="B168" s="128">
        <v>40045008</v>
      </c>
      <c r="C168" s="288">
        <v>40045900</v>
      </c>
      <c r="D168" s="13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…忍術でオレに勝てるのか？</v>
      </c>
      <c r="E168" s="13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68" s="126">
        <v>40045901</v>
      </c>
      <c r="G168" s="124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8" s="124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799</v>
      </c>
      <c r="I168" s="124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124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124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124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8" s="124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8" s="124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1245</v>
      </c>
      <c r="O168" s="124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278" t="s">
        <v>549</v>
      </c>
      <c r="Q168" s="278" t="s">
        <v>548</v>
      </c>
      <c r="R168" s="137"/>
    </row>
    <row r="169" spans="1:18" s="138" customFormat="1" ht="21" customHeight="1" x14ac:dyDescent="0.15">
      <c r="A169" s="132" t="str">
        <f t="shared" si="2"/>
        <v>40045008_40045900</v>
      </c>
      <c r="B169" s="128">
        <v>40045008</v>
      </c>
      <c r="C169" s="288">
        <v>40045900</v>
      </c>
      <c r="D169" s="13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…忍術でオレに勝てるのか？</v>
      </c>
      <c r="E169" s="13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69" s="126">
        <v>40045902</v>
      </c>
      <c r="G169" s="124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9" s="124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798</v>
      </c>
      <c r="I169" s="124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124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124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124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9" s="124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9" s="124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1246</v>
      </c>
      <c r="O169" s="124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278" t="s">
        <v>499</v>
      </c>
      <c r="Q169" s="278" t="s">
        <v>548</v>
      </c>
      <c r="R169" s="137"/>
    </row>
    <row r="170" spans="1:18" s="138" customFormat="1" ht="21" customHeight="1" x14ac:dyDescent="0.15">
      <c r="A170" s="132" t="str">
        <f t="shared" si="2"/>
        <v>40045008_40045900</v>
      </c>
      <c r="B170" s="128">
        <v>40045008</v>
      </c>
      <c r="C170" s="288">
        <v>40045900</v>
      </c>
      <c r="D170" s="13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…忍術でオレに勝てるのか？</v>
      </c>
      <c r="E170" s="13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0" s="126">
        <v>40045903</v>
      </c>
      <c r="G170" s="124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0" s="124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797</v>
      </c>
      <c r="I170" s="124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124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124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124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0" s="124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0" s="124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1247</v>
      </c>
      <c r="O170" s="124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278" t="s">
        <v>499</v>
      </c>
      <c r="Q170" s="278" t="s">
        <v>548</v>
      </c>
      <c r="R170" s="137"/>
    </row>
    <row r="171" spans="1:18" s="138" customFormat="1" ht="21" customHeight="1" x14ac:dyDescent="0.15">
      <c r="A171" s="132" t="str">
        <f t="shared" si="2"/>
        <v>40045008_40045902</v>
      </c>
      <c r="B171" s="128">
        <v>40045008</v>
      </c>
      <c r="C171" s="288">
        <v>40045902</v>
      </c>
      <c r="D171" s="13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71" s="13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1" s="126">
        <v>40045904</v>
      </c>
      <c r="G171" s="124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1" s="124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796</v>
      </c>
      <c r="I171" s="124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124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124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124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1" s="124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1" s="124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724</v>
      </c>
      <c r="O171" s="124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134" t="s">
        <v>496</v>
      </c>
      <c r="Q171" s="263" t="s">
        <v>540</v>
      </c>
      <c r="R171" s="137"/>
    </row>
    <row r="172" spans="1:18" s="138" customFormat="1" ht="21" customHeight="1" x14ac:dyDescent="0.15">
      <c r="A172" s="132" t="str">
        <f t="shared" si="2"/>
        <v>40045008_40045902</v>
      </c>
      <c r="B172" s="128">
        <v>40045008</v>
      </c>
      <c r="C172" s="288">
        <v>40045902</v>
      </c>
      <c r="D172" s="13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望月の仲間か…</v>
      </c>
      <c r="E172" s="13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2" s="126">
        <v>40045905</v>
      </c>
      <c r="G172" s="124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2" s="124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795</v>
      </c>
      <c r="I172" s="124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124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124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124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2" s="124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2" s="124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725</v>
      </c>
      <c r="O172" s="124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134" t="s">
        <v>496</v>
      </c>
      <c r="Q172" s="263" t="s">
        <v>540</v>
      </c>
      <c r="R172" s="137"/>
    </row>
    <row r="173" spans="1:18" s="138" customFormat="1" ht="21" customHeight="1" x14ac:dyDescent="0.15">
      <c r="A173" s="132" t="str">
        <f t="shared" si="2"/>
        <v>40045008_40045901</v>
      </c>
      <c r="B173" s="128">
        <v>40045008</v>
      </c>
      <c r="C173" s="288">
        <v>40045901</v>
      </c>
      <c r="D173" s="13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信長勢力はすでに滅んだと聞いたが…？</v>
      </c>
      <c r="E173" s="13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3" s="126">
        <v>40045906</v>
      </c>
      <c r="G173" s="124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3" s="124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794</v>
      </c>
      <c r="I173" s="124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124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124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124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124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3" s="124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173" s="124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222" t="s">
        <v>497</v>
      </c>
      <c r="Q173" s="264" t="s">
        <v>541</v>
      </c>
      <c r="R173" s="137"/>
    </row>
    <row r="174" spans="1:18" s="138" customFormat="1" ht="21" customHeight="1" x14ac:dyDescent="0.15">
      <c r="A174" s="132" t="str">
        <f t="shared" si="2"/>
        <v>40045008_40045901</v>
      </c>
      <c r="B174" s="128">
        <v>40045008</v>
      </c>
      <c r="C174" s="288">
        <v>40045901</v>
      </c>
      <c r="D174" s="13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信長勢力はすでに滅んだと聞いたが…？</v>
      </c>
      <c r="E174" s="13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4" s="126">
        <v>40045907</v>
      </c>
      <c r="G174" s="124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4" s="124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793</v>
      </c>
      <c r="I174" s="124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124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124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124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124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4" s="124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727</v>
      </c>
      <c r="O174" s="124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222" t="s">
        <v>497</v>
      </c>
      <c r="Q174" s="264" t="s">
        <v>541</v>
      </c>
      <c r="R174" s="137"/>
    </row>
    <row r="175" spans="1:18" s="138" customFormat="1" ht="21" customHeight="1" x14ac:dyDescent="0.15">
      <c r="A175" s="132" t="str">
        <f t="shared" si="2"/>
        <v>40045008_40045901</v>
      </c>
      <c r="B175" s="128">
        <v>40045008</v>
      </c>
      <c r="C175" s="288">
        <v>40045901</v>
      </c>
      <c r="D175" s="13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信長勢力はすでに滅んだと聞いたが…？</v>
      </c>
      <c r="E175" s="13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5" s="126">
        <v>40045908</v>
      </c>
      <c r="G175" s="124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5" s="124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792</v>
      </c>
      <c r="I175" s="124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124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124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124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124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5" s="124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1273</v>
      </c>
      <c r="O175" s="124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222" t="s">
        <v>497</v>
      </c>
      <c r="Q175" s="264" t="s">
        <v>541</v>
      </c>
      <c r="R175" s="137"/>
    </row>
    <row r="176" spans="1:18" s="138" customFormat="1" ht="21" customHeight="1" x14ac:dyDescent="0.15">
      <c r="A176" s="132" t="str">
        <f t="shared" si="2"/>
        <v>40045008_40045903</v>
      </c>
      <c r="B176" s="128">
        <v>40045008</v>
      </c>
      <c r="C176" s="288">
        <v>40045903</v>
      </c>
      <c r="D176" s="13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猿飛の仲間か…</v>
      </c>
      <c r="E176" s="13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6" s="126">
        <v>40045909</v>
      </c>
      <c r="G176" s="124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6" s="124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791</v>
      </c>
      <c r="I176" s="124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124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124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124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124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6" s="124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176" s="124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133" t="s">
        <v>503</v>
      </c>
      <c r="Q176" s="262" t="s">
        <v>539</v>
      </c>
      <c r="R176" s="137"/>
    </row>
    <row r="177" spans="1:18" s="138" customFormat="1" ht="21" customHeight="1" x14ac:dyDescent="0.15">
      <c r="A177" s="132" t="str">
        <f t="shared" si="2"/>
        <v>40045008_40045903</v>
      </c>
      <c r="B177" s="128">
        <v>40045008</v>
      </c>
      <c r="C177" s="288">
        <v>40045903</v>
      </c>
      <c r="D177" s="13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猿飛の仲間か…</v>
      </c>
      <c r="E177" s="13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7" s="126">
        <v>40045910</v>
      </c>
      <c r="G177" s="124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124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790</v>
      </c>
      <c r="I177" s="124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124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124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124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124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7" s="124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177" s="124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133" t="s">
        <v>503</v>
      </c>
      <c r="Q177" s="262" t="s">
        <v>539</v>
      </c>
      <c r="R177" s="137"/>
    </row>
    <row r="178" spans="1:18" s="138" customFormat="1" ht="21" customHeight="1" x14ac:dyDescent="0.15">
      <c r="A178" s="132" t="str">
        <f t="shared" si="2"/>
        <v>40045008_40045907</v>
      </c>
      <c r="B178" s="128">
        <v>40045008</v>
      </c>
      <c r="C178" s="288">
        <v>40045907</v>
      </c>
      <c r="D178" s="13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78" s="13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8" s="126">
        <v>40045911</v>
      </c>
      <c r="G178" s="124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8" s="124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789</v>
      </c>
      <c r="I178" s="124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124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124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124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8" s="124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8" s="124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732</v>
      </c>
      <c r="O178" s="124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223" t="s">
        <v>521</v>
      </c>
      <c r="Q178" s="265" t="s">
        <v>546</v>
      </c>
      <c r="R178" s="137"/>
    </row>
    <row r="179" spans="1:18" s="138" customFormat="1" ht="21" customHeight="1" x14ac:dyDescent="0.15">
      <c r="A179" s="132" t="str">
        <f t="shared" si="2"/>
        <v>40045008_40045907</v>
      </c>
      <c r="B179" s="128">
        <v>40045008</v>
      </c>
      <c r="C179" s="288">
        <v>40045907</v>
      </c>
      <c r="D179" s="13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79" s="13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79" s="126">
        <v>40045912</v>
      </c>
      <c r="G179" s="124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124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788</v>
      </c>
      <c r="I179" s="124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124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124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124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124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9" s="124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733</v>
      </c>
      <c r="O179" s="124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223" t="s">
        <v>490</v>
      </c>
      <c r="Q179" s="265" t="s">
        <v>542</v>
      </c>
      <c r="R179" s="137"/>
    </row>
    <row r="180" spans="1:18" s="138" customFormat="1" ht="21" customHeight="1" x14ac:dyDescent="0.15">
      <c r="A180" s="132" t="str">
        <f t="shared" si="2"/>
        <v>40045008_40045904</v>
      </c>
      <c r="B180" s="128">
        <v>40045008</v>
      </c>
      <c r="C180" s="288">
        <v>40045904</v>
      </c>
      <c r="D180" s="13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なぜオマエが立ちふさがる…</v>
      </c>
      <c r="E180" s="13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0" s="126">
        <v>40045913</v>
      </c>
      <c r="G180" s="124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0" s="124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787</v>
      </c>
      <c r="I180" s="124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124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124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124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124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0" s="124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728</v>
      </c>
      <c r="O180" s="124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224" t="s">
        <v>491</v>
      </c>
      <c r="Q180" s="266" t="s">
        <v>543</v>
      </c>
      <c r="R180" s="137"/>
    </row>
    <row r="181" spans="1:18" s="138" customFormat="1" ht="21" customHeight="1" x14ac:dyDescent="0.15">
      <c r="A181" s="132" t="str">
        <f t="shared" si="2"/>
        <v>40045008_40045904</v>
      </c>
      <c r="B181" s="128">
        <v>40045008</v>
      </c>
      <c r="C181" s="288">
        <v>40045904</v>
      </c>
      <c r="D181" s="13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なぜオマエが立ちふさがる…</v>
      </c>
      <c r="E181" s="13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1" s="126">
        <v>40045914</v>
      </c>
      <c r="G181" s="124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1" s="124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786</v>
      </c>
      <c r="I181" s="124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124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124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124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1" s="124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1" s="124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729</v>
      </c>
      <c r="O181" s="124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224" t="s">
        <v>491</v>
      </c>
      <c r="Q181" s="266" t="s">
        <v>543</v>
      </c>
      <c r="R181" s="137"/>
    </row>
    <row r="182" spans="1:18" s="138" customFormat="1" ht="21" customHeight="1" x14ac:dyDescent="0.15">
      <c r="A182" s="132" t="str">
        <f t="shared" si="2"/>
        <v>40045008_40045905</v>
      </c>
      <c r="B182" s="128">
        <v>40045008</v>
      </c>
      <c r="C182" s="288">
        <v>40045905</v>
      </c>
      <c r="D182" s="13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82" s="13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2" s="126">
        <v>40045915</v>
      </c>
      <c r="G182" s="124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2" s="124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785</v>
      </c>
      <c r="I182" s="124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124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124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124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2" s="124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2" s="124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734</v>
      </c>
      <c r="O182" s="124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225" t="s">
        <v>492</v>
      </c>
      <c r="Q182" s="267" t="s">
        <v>544</v>
      </c>
      <c r="R182" s="137"/>
    </row>
    <row r="183" spans="1:18" s="138" customFormat="1" ht="21" customHeight="1" x14ac:dyDescent="0.15">
      <c r="A183" s="132" t="str">
        <f t="shared" si="2"/>
        <v>40045008_40045905</v>
      </c>
      <c r="B183" s="128">
        <v>40045008</v>
      </c>
      <c r="C183" s="288">
        <v>40045905</v>
      </c>
      <c r="D183" s="13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83" s="13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3" s="126">
        <v>40045916</v>
      </c>
      <c r="G183" s="124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3" s="124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784</v>
      </c>
      <c r="I183" s="124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124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124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124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3" s="124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3" s="124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735</v>
      </c>
      <c r="O183" s="124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225" t="s">
        <v>492</v>
      </c>
      <c r="Q183" s="267" t="s">
        <v>544</v>
      </c>
      <c r="R183" s="137"/>
    </row>
    <row r="184" spans="1:18" s="138" customFormat="1" ht="21" customHeight="1" x14ac:dyDescent="0.15">
      <c r="A184" s="132" t="str">
        <f t="shared" si="2"/>
        <v>40045008_40045906</v>
      </c>
      <c r="B184" s="128">
        <v>40045008</v>
      </c>
      <c r="C184" s="288">
        <v>40045906</v>
      </c>
      <c r="D184" s="13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84" s="13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4" s="126">
        <v>40045918</v>
      </c>
      <c r="G184" s="124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4" s="124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782</v>
      </c>
      <c r="I184" s="124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124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124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124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4" s="124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4" s="124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730</v>
      </c>
      <c r="O184" s="124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226" t="s">
        <v>493</v>
      </c>
      <c r="Q184" s="268" t="s">
        <v>545</v>
      </c>
      <c r="R184" s="137"/>
    </row>
    <row r="185" spans="1:18" s="138" customFormat="1" ht="21" customHeight="1" x14ac:dyDescent="0.15">
      <c r="A185" s="132" t="str">
        <f t="shared" si="2"/>
        <v>40045008_40045907</v>
      </c>
      <c r="B185" s="128">
        <v>40045008</v>
      </c>
      <c r="C185" s="288">
        <v>40045907</v>
      </c>
      <c r="D185" s="13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任務の為だ、覚悟しろ…！</v>
      </c>
      <c r="E185" s="13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5" s="126">
        <v>40045920</v>
      </c>
      <c r="G185" s="124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5" s="124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780</v>
      </c>
      <c r="I185" s="124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124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124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124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5" s="124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5" s="124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720</v>
      </c>
      <c r="O185" s="124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223" t="s">
        <v>494</v>
      </c>
      <c r="Q185" s="265" t="s">
        <v>542</v>
      </c>
      <c r="R185" s="137"/>
    </row>
    <row r="186" spans="1:18" s="138" customFormat="1" ht="21" customHeight="1" x14ac:dyDescent="0.15">
      <c r="A186" s="132" t="str">
        <f t="shared" si="2"/>
        <v>40045008_40045901</v>
      </c>
      <c r="B186" s="128">
        <v>40045008</v>
      </c>
      <c r="C186" s="288">
        <v>40045901</v>
      </c>
      <c r="D186" s="13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信長勢力はすでに滅んだと聞いたが…？</v>
      </c>
      <c r="E186" s="13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6" s="126">
        <v>40045922</v>
      </c>
      <c r="G186" s="124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6" s="124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778</v>
      </c>
      <c r="I186" s="124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124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124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124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6" s="124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6" s="124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722</v>
      </c>
      <c r="O186" s="124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222" t="s">
        <v>495</v>
      </c>
      <c r="Q186" s="264" t="s">
        <v>541</v>
      </c>
      <c r="R186" s="137"/>
    </row>
    <row r="187" spans="1:18" s="138" customFormat="1" ht="21" customHeight="1" x14ac:dyDescent="0.15">
      <c r="A187" s="132" t="str">
        <f t="shared" si="2"/>
        <v>40045008_40045903</v>
      </c>
      <c r="B187" s="128">
        <v>40045008</v>
      </c>
      <c r="C187" s="288">
        <v>40045903</v>
      </c>
      <c r="D187" s="13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猿飛の仲間か…</v>
      </c>
      <c r="E187" s="13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7" s="126">
        <v>40045924</v>
      </c>
      <c r="G187" s="124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7" s="124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776</v>
      </c>
      <c r="I187" s="124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124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124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124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7" s="124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7" s="124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187" s="124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133" t="s">
        <v>498</v>
      </c>
      <c r="Q187" s="262" t="s">
        <v>539</v>
      </c>
      <c r="R187" s="137"/>
    </row>
    <row r="188" spans="1:18" s="138" customFormat="1" ht="21" customHeight="1" x14ac:dyDescent="0.15">
      <c r="A188" s="132" t="str">
        <f t="shared" si="2"/>
        <v>40045008_40045903</v>
      </c>
      <c r="B188" s="128">
        <v>40045008</v>
      </c>
      <c r="C188" s="288">
        <v>40045903</v>
      </c>
      <c r="D188" s="13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猿飛の仲間か…</v>
      </c>
      <c r="E188" s="13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8" s="126">
        <v>40045926</v>
      </c>
      <c r="G188" s="124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8" s="124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774</v>
      </c>
      <c r="I188" s="124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124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124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124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124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8" s="124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1248</v>
      </c>
      <c r="O188" s="124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133" t="s">
        <v>500</v>
      </c>
      <c r="Q188" s="262" t="s">
        <v>539</v>
      </c>
      <c r="R188" s="137"/>
    </row>
    <row r="189" spans="1:18" s="138" customFormat="1" ht="21" customHeight="1" x14ac:dyDescent="0.15">
      <c r="A189" s="132" t="str">
        <f t="shared" si="2"/>
        <v>40045008_40045903</v>
      </c>
      <c r="B189" s="128">
        <v>40045008</v>
      </c>
      <c r="C189" s="288">
        <v>40045903</v>
      </c>
      <c r="D189" s="13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猿飛の仲間か…</v>
      </c>
      <c r="E189" s="13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89" s="126">
        <v>40045928</v>
      </c>
      <c r="G189" s="124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9" s="124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772</v>
      </c>
      <c r="I189" s="124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124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124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124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9" s="124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9" s="124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1236</v>
      </c>
      <c r="O189" s="124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133" t="s">
        <v>501</v>
      </c>
      <c r="Q189" s="262" t="s">
        <v>539</v>
      </c>
      <c r="R189" s="137"/>
    </row>
    <row r="190" spans="1:18" s="138" customFormat="1" ht="21" customHeight="1" thickBot="1" x14ac:dyDescent="0.2">
      <c r="A190" s="132" t="str">
        <f t="shared" si="2"/>
        <v>40045008_40045903</v>
      </c>
      <c r="B190" s="128">
        <v>40045008</v>
      </c>
      <c r="C190" s="288">
        <v>40045903</v>
      </c>
      <c r="D190" s="13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猿飛の仲間か…</v>
      </c>
      <c r="E190" s="13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状態異常耐性+残りHPの80%ダメージ！+_x000D_解除するまで全ユニットにウィルス+_x000D_8ターン体力タイプのユニットにスキルバインド</v>
      </c>
      <c r="F190" s="227">
        <v>40045930</v>
      </c>
      <c r="G190" s="124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0" s="124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770</v>
      </c>
      <c r="I190" s="124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124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124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124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0" s="124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0" s="124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1240</v>
      </c>
      <c r="O190" s="124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231" t="s">
        <v>502</v>
      </c>
      <c r="Q190" s="269" t="s">
        <v>539</v>
      </c>
      <c r="R190" s="137"/>
    </row>
    <row r="191" spans="1:18" s="210" customFormat="1" ht="21" customHeight="1" x14ac:dyDescent="0.15">
      <c r="A191" s="205" t="str">
        <f t="shared" si="2"/>
        <v>40045010_40045908</v>
      </c>
      <c r="B191" s="206">
        <v>40045010</v>
      </c>
      <c r="C191" s="289">
        <v>40045908</v>
      </c>
      <c r="D191" s="207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オマエに忍術で負けるとは……</v>
      </c>
      <c r="E191" s="207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1" s="211">
        <v>40045931</v>
      </c>
      <c r="G191" s="20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1" s="20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91" s="20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20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20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20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1" s="208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1" s="208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1244</v>
      </c>
      <c r="O191" s="20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278" t="s">
        <v>549</v>
      </c>
      <c r="Q191" s="278" t="s">
        <v>547</v>
      </c>
      <c r="R191" s="209"/>
    </row>
    <row r="192" spans="1:18" s="210" customFormat="1" ht="21" customHeight="1" x14ac:dyDescent="0.15">
      <c r="A192" s="205" t="str">
        <f t="shared" si="2"/>
        <v>40045010_40045908</v>
      </c>
      <c r="B192" s="206">
        <v>40045010</v>
      </c>
      <c r="C192" s="289">
        <v>40045908</v>
      </c>
      <c r="D192" s="207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オマエに忍術で負けるとは……</v>
      </c>
      <c r="E192" s="207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2" s="211">
        <v>40045932</v>
      </c>
      <c r="G192" s="20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2" s="20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799</v>
      </c>
      <c r="I192" s="20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20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20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208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2" s="208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2" s="208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1245</v>
      </c>
      <c r="O192" s="20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278" t="s">
        <v>549</v>
      </c>
      <c r="Q192" s="278" t="s">
        <v>548</v>
      </c>
      <c r="R192" s="209"/>
    </row>
    <row r="193" spans="1:18" s="210" customFormat="1" ht="21" customHeight="1" x14ac:dyDescent="0.15">
      <c r="A193" s="205" t="str">
        <f t="shared" si="2"/>
        <v>40045010_40045908</v>
      </c>
      <c r="B193" s="206">
        <v>40045010</v>
      </c>
      <c r="C193" s="289">
        <v>40045908</v>
      </c>
      <c r="D193" s="207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オマエに忍術で負けるとは……</v>
      </c>
      <c r="E193" s="207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3" s="211">
        <v>40045933</v>
      </c>
      <c r="G193" s="20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3" s="20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798</v>
      </c>
      <c r="I193" s="20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20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20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20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3" s="208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3" s="208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1246</v>
      </c>
      <c r="O193" s="20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278" t="s">
        <v>499</v>
      </c>
      <c r="Q193" s="278" t="s">
        <v>548</v>
      </c>
      <c r="R193" s="209"/>
    </row>
    <row r="194" spans="1:18" s="210" customFormat="1" ht="21" customHeight="1" x14ac:dyDescent="0.15">
      <c r="A194" s="205" t="str">
        <f t="shared" ref="A194:A221" si="3">B194&amp;"_"&amp;C194</f>
        <v>40045010_40045908</v>
      </c>
      <c r="B194" s="206">
        <v>40045010</v>
      </c>
      <c r="C194" s="289">
        <v>40045908</v>
      </c>
      <c r="D194" s="207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オマエに忍術で負けるとは……</v>
      </c>
      <c r="E194" s="207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4" s="211">
        <v>40045934</v>
      </c>
      <c r="G194" s="20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20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797</v>
      </c>
      <c r="I194" s="20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20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208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208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4" s="208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4" s="208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1247</v>
      </c>
      <c r="O194" s="20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278" t="s">
        <v>499</v>
      </c>
      <c r="Q194" s="278" t="s">
        <v>548</v>
      </c>
      <c r="R194" s="209"/>
    </row>
    <row r="195" spans="1:18" s="210" customFormat="1" ht="21" customHeight="1" x14ac:dyDescent="0.15">
      <c r="A195" s="205" t="str">
        <f t="shared" si="3"/>
        <v>40045010_40045910</v>
      </c>
      <c r="B195" s="206">
        <v>40045010</v>
      </c>
      <c r="C195" s="289">
        <v>40045910</v>
      </c>
      <c r="D195" s="207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オマエも俺を止めるのか…</v>
      </c>
      <c r="E195" s="207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5" s="211">
        <v>40045935</v>
      </c>
      <c r="G195" s="20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5" s="20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796</v>
      </c>
      <c r="I195" s="20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208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20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208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5" s="208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5" s="208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724</v>
      </c>
      <c r="O195" s="20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216" t="s">
        <v>496</v>
      </c>
      <c r="Q195" s="271" t="s">
        <v>540</v>
      </c>
      <c r="R195" s="209"/>
    </row>
    <row r="196" spans="1:18" s="210" customFormat="1" ht="21" customHeight="1" x14ac:dyDescent="0.15">
      <c r="A196" s="205" t="str">
        <f t="shared" si="3"/>
        <v>40045010_40045910</v>
      </c>
      <c r="B196" s="206">
        <v>40045010</v>
      </c>
      <c r="C196" s="289">
        <v>40045910</v>
      </c>
      <c r="D196" s="207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オマエも俺を止めるのか…</v>
      </c>
      <c r="E196" s="207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6" s="211">
        <v>40045936</v>
      </c>
      <c r="G196" s="20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6" s="20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795</v>
      </c>
      <c r="I196" s="20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208" t="str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6" s="20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20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6" s="208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6" s="208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725</v>
      </c>
      <c r="O196" s="20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216" t="s">
        <v>496</v>
      </c>
      <c r="Q196" s="271" t="s">
        <v>540</v>
      </c>
      <c r="R196" s="209"/>
    </row>
    <row r="197" spans="1:18" s="210" customFormat="1" ht="21" customHeight="1" x14ac:dyDescent="0.15">
      <c r="A197" s="205" t="str">
        <f t="shared" si="3"/>
        <v>40045010_40045909</v>
      </c>
      <c r="B197" s="206">
        <v>40045010</v>
      </c>
      <c r="C197" s="289">
        <v>40045909</v>
      </c>
      <c r="D197" s="207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197" s="207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7" s="211">
        <v>40045937</v>
      </c>
      <c r="G197" s="20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7" s="20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794</v>
      </c>
      <c r="I197" s="20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208" t="str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7" s="20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20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7" s="208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7" s="208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726</v>
      </c>
      <c r="O197" s="20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217" t="s">
        <v>497</v>
      </c>
      <c r="Q197" s="272" t="s">
        <v>541</v>
      </c>
      <c r="R197" s="209"/>
    </row>
    <row r="198" spans="1:18" s="210" customFormat="1" ht="21" customHeight="1" x14ac:dyDescent="0.15">
      <c r="A198" s="205" t="str">
        <f t="shared" si="3"/>
        <v>40045010_40045909</v>
      </c>
      <c r="B198" s="206">
        <v>40045010</v>
      </c>
      <c r="C198" s="289">
        <v>40045909</v>
      </c>
      <c r="D198" s="207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198" s="207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8" s="211">
        <v>40045938</v>
      </c>
      <c r="G198" s="20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8" s="20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793</v>
      </c>
      <c r="I198" s="20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20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20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20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8" s="208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8" s="208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727</v>
      </c>
      <c r="O198" s="20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217" t="s">
        <v>497</v>
      </c>
      <c r="Q198" s="272" t="s">
        <v>541</v>
      </c>
      <c r="R198" s="209"/>
    </row>
    <row r="199" spans="1:18" s="210" customFormat="1" ht="21" customHeight="1" x14ac:dyDescent="0.15">
      <c r="A199" s="205" t="str">
        <f t="shared" si="3"/>
        <v>40045010_40045909</v>
      </c>
      <c r="B199" s="206">
        <v>40045010</v>
      </c>
      <c r="C199" s="289">
        <v>40045909</v>
      </c>
      <c r="D199" s="207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199" s="207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9" s="211">
        <v>40045939</v>
      </c>
      <c r="G199" s="20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9" s="20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792</v>
      </c>
      <c r="I199" s="20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20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20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20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9" s="208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9" s="208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1273</v>
      </c>
      <c r="O199" s="20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217" t="s">
        <v>497</v>
      </c>
      <c r="Q199" s="272" t="s">
        <v>541</v>
      </c>
      <c r="R199" s="209"/>
    </row>
    <row r="200" spans="1:18" s="210" customFormat="1" ht="21" customHeight="1" x14ac:dyDescent="0.15">
      <c r="A200" s="205" t="str">
        <f t="shared" si="3"/>
        <v>40045010_40045911</v>
      </c>
      <c r="B200" s="206">
        <v>40045010</v>
      </c>
      <c r="C200" s="289">
        <v>40045911</v>
      </c>
      <c r="D200" s="207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00" s="207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0" s="211">
        <v>40045940</v>
      </c>
      <c r="G200" s="20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0" s="20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791</v>
      </c>
      <c r="I200" s="20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20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20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20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0" s="208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0" s="20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1242</v>
      </c>
      <c r="O200" s="20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215" t="s">
        <v>503</v>
      </c>
      <c r="Q200" s="270" t="s">
        <v>539</v>
      </c>
      <c r="R200" s="209"/>
    </row>
    <row r="201" spans="1:18" s="210" customFormat="1" ht="21" customHeight="1" x14ac:dyDescent="0.15">
      <c r="A201" s="205" t="str">
        <f t="shared" si="3"/>
        <v>40045010_40045911</v>
      </c>
      <c r="B201" s="206">
        <v>40045010</v>
      </c>
      <c r="C201" s="289">
        <v>40045911</v>
      </c>
      <c r="D201" s="207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01" s="207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1" s="211">
        <v>40045941</v>
      </c>
      <c r="G201" s="20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20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790</v>
      </c>
      <c r="I201" s="20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20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20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20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1" s="208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1" s="208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1243</v>
      </c>
      <c r="O201" s="20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215" t="s">
        <v>503</v>
      </c>
      <c r="Q201" s="270" t="s">
        <v>539</v>
      </c>
      <c r="R201" s="209"/>
    </row>
    <row r="202" spans="1:18" s="210" customFormat="1" ht="21" customHeight="1" x14ac:dyDescent="0.15">
      <c r="A202" s="205" t="str">
        <f t="shared" si="3"/>
        <v>40045010_40045915</v>
      </c>
      <c r="B202" s="206">
        <v>40045010</v>
      </c>
      <c r="C202" s="289">
        <v>40045915</v>
      </c>
      <c r="D202" s="207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無念…</v>
      </c>
      <c r="E202" s="207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2" s="211">
        <v>40045942</v>
      </c>
      <c r="G202" s="20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2" s="20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789</v>
      </c>
      <c r="I202" s="20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20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20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208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2" s="208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2" s="208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732</v>
      </c>
      <c r="O202" s="20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218" t="s">
        <v>521</v>
      </c>
      <c r="Q202" s="273" t="s">
        <v>546</v>
      </c>
      <c r="R202" s="209"/>
    </row>
    <row r="203" spans="1:18" s="210" customFormat="1" ht="21" customHeight="1" x14ac:dyDescent="0.15">
      <c r="A203" s="205" t="str">
        <f t="shared" si="3"/>
        <v>40045010_40045915</v>
      </c>
      <c r="B203" s="206">
        <v>40045010</v>
      </c>
      <c r="C203" s="289">
        <v>40045915</v>
      </c>
      <c r="D203" s="207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無念…</v>
      </c>
      <c r="E203" s="207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3" s="211">
        <v>40045943</v>
      </c>
      <c r="G203" s="20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3" s="20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788</v>
      </c>
      <c r="I203" s="20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20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20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20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3" s="208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3" s="208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733</v>
      </c>
      <c r="O203" s="20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218" t="s">
        <v>490</v>
      </c>
      <c r="Q203" s="273" t="s">
        <v>542</v>
      </c>
      <c r="R203" s="209"/>
    </row>
    <row r="204" spans="1:18" s="210" customFormat="1" ht="21" customHeight="1" x14ac:dyDescent="0.15">
      <c r="A204" s="205" t="str">
        <f t="shared" si="3"/>
        <v>40045010_40045912</v>
      </c>
      <c r="B204" s="206">
        <v>40045010</v>
      </c>
      <c r="C204" s="289">
        <v>40045912</v>
      </c>
      <c r="D204" s="207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まさかオマエに邪魔されるとは…</v>
      </c>
      <c r="E204" s="207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4" s="211">
        <v>40045944</v>
      </c>
      <c r="G204" s="20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4" s="20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787</v>
      </c>
      <c r="I204" s="20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20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20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20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4" s="208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4" s="208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728</v>
      </c>
      <c r="O204" s="20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219" t="s">
        <v>491</v>
      </c>
      <c r="Q204" s="274" t="s">
        <v>543</v>
      </c>
      <c r="R204" s="209"/>
    </row>
    <row r="205" spans="1:18" s="210" customFormat="1" ht="21" customHeight="1" x14ac:dyDescent="0.15">
      <c r="A205" s="205" t="str">
        <f t="shared" si="3"/>
        <v>40045010_40045912</v>
      </c>
      <c r="B205" s="206">
        <v>40045010</v>
      </c>
      <c r="C205" s="289">
        <v>40045912</v>
      </c>
      <c r="D205" s="207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まさかオマエに邪魔されるとは…</v>
      </c>
      <c r="E205" s="207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5" s="211">
        <v>40045945</v>
      </c>
      <c r="G205" s="20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5" s="20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786</v>
      </c>
      <c r="I205" s="20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20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20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208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5" s="208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5" s="208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729</v>
      </c>
      <c r="O205" s="20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219" t="s">
        <v>491</v>
      </c>
      <c r="Q205" s="274" t="s">
        <v>543</v>
      </c>
      <c r="R205" s="209"/>
    </row>
    <row r="206" spans="1:18" s="210" customFormat="1" ht="21" customHeight="1" x14ac:dyDescent="0.15">
      <c r="A206" s="205" t="str">
        <f t="shared" si="3"/>
        <v>40045010_40045913</v>
      </c>
      <c r="B206" s="206">
        <v>40045010</v>
      </c>
      <c r="C206" s="289">
        <v>40045913</v>
      </c>
      <c r="D206" s="207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無念…</v>
      </c>
      <c r="E206" s="207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6" s="211">
        <v>40045946</v>
      </c>
      <c r="G206" s="20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20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785</v>
      </c>
      <c r="I206" s="20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20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20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208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6" s="208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6" s="208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734</v>
      </c>
      <c r="O206" s="20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220" t="s">
        <v>492</v>
      </c>
      <c r="Q206" s="275" t="s">
        <v>544</v>
      </c>
      <c r="R206" s="209"/>
    </row>
    <row r="207" spans="1:18" s="210" customFormat="1" ht="21" customHeight="1" x14ac:dyDescent="0.15">
      <c r="A207" s="205" t="str">
        <f t="shared" si="3"/>
        <v>40045010_40045913</v>
      </c>
      <c r="B207" s="206">
        <v>40045010</v>
      </c>
      <c r="C207" s="289">
        <v>40045913</v>
      </c>
      <c r="D207" s="207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無念…</v>
      </c>
      <c r="E207" s="207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7" s="211">
        <v>40045947</v>
      </c>
      <c r="G207" s="20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20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784</v>
      </c>
      <c r="I207" s="20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208" t="str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7" s="20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20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7" s="208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7" s="208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735</v>
      </c>
      <c r="O207" s="20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220" t="s">
        <v>492</v>
      </c>
      <c r="Q207" s="275" t="s">
        <v>544</v>
      </c>
      <c r="R207" s="209"/>
    </row>
    <row r="208" spans="1:18" s="210" customFormat="1" ht="21" customHeight="1" x14ac:dyDescent="0.15">
      <c r="A208" s="205" t="str">
        <f t="shared" si="3"/>
        <v>40045010_40045914</v>
      </c>
      <c r="B208" s="206">
        <v>40045010</v>
      </c>
      <c r="C208" s="289">
        <v>40045914</v>
      </c>
      <c r="D208" s="207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無念…</v>
      </c>
      <c r="E208" s="207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8" s="211">
        <v>40045948</v>
      </c>
      <c r="G208" s="20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8" s="20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783</v>
      </c>
      <c r="I208" s="20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208" t="str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8" s="20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208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8" s="208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8" s="208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730</v>
      </c>
      <c r="O208" s="20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221" t="s">
        <v>493</v>
      </c>
      <c r="Q208" s="276" t="s">
        <v>545</v>
      </c>
      <c r="R208" s="209"/>
    </row>
    <row r="209" spans="1:18" s="210" customFormat="1" ht="21" customHeight="1" x14ac:dyDescent="0.15">
      <c r="A209" s="205" t="str">
        <f t="shared" si="3"/>
        <v>40045010_40045914</v>
      </c>
      <c r="B209" s="206">
        <v>40045010</v>
      </c>
      <c r="C209" s="289">
        <v>40045914</v>
      </c>
      <c r="D209" s="207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無念…</v>
      </c>
      <c r="E209" s="207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9" s="211">
        <v>40045949</v>
      </c>
      <c r="G209" s="20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9" s="20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782</v>
      </c>
      <c r="I209" s="20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20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20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20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9" s="208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9" s="208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731</v>
      </c>
      <c r="O209" s="20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221" t="s">
        <v>493</v>
      </c>
      <c r="Q209" s="276" t="s">
        <v>545</v>
      </c>
      <c r="R209" s="209"/>
    </row>
    <row r="210" spans="1:18" s="210" customFormat="1" ht="21" customHeight="1" x14ac:dyDescent="0.15">
      <c r="A210" s="205" t="str">
        <f t="shared" si="3"/>
        <v>40045010_40045915</v>
      </c>
      <c r="B210" s="206">
        <v>40045010</v>
      </c>
      <c r="C210" s="289">
        <v>40045915</v>
      </c>
      <c r="D210" s="207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無念…</v>
      </c>
      <c r="E210" s="207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0" s="211">
        <v>40045950</v>
      </c>
      <c r="G210" s="20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0" s="20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781</v>
      </c>
      <c r="I210" s="20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20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20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20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0" s="208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0" s="208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720</v>
      </c>
      <c r="O210" s="20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218" t="s">
        <v>494</v>
      </c>
      <c r="Q210" s="273" t="s">
        <v>542</v>
      </c>
      <c r="R210" s="209"/>
    </row>
    <row r="211" spans="1:18" s="210" customFormat="1" ht="21" customHeight="1" x14ac:dyDescent="0.15">
      <c r="A211" s="205" t="str">
        <f t="shared" si="3"/>
        <v>40045010_40045915</v>
      </c>
      <c r="B211" s="206">
        <v>40045010</v>
      </c>
      <c r="C211" s="289">
        <v>40045915</v>
      </c>
      <c r="D211" s="207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無念…</v>
      </c>
      <c r="E211" s="207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1" s="211">
        <v>40045951</v>
      </c>
      <c r="G211" s="20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1" s="20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780</v>
      </c>
      <c r="I211" s="20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20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208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208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1" s="208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1" s="208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721</v>
      </c>
      <c r="O211" s="20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218" t="s">
        <v>494</v>
      </c>
      <c r="Q211" s="273" t="s">
        <v>542</v>
      </c>
      <c r="R211" s="209"/>
    </row>
    <row r="212" spans="1:18" s="210" customFormat="1" ht="21" customHeight="1" x14ac:dyDescent="0.15">
      <c r="A212" s="205" t="str">
        <f t="shared" si="3"/>
        <v>40045010_40045909</v>
      </c>
      <c r="B212" s="206">
        <v>40045010</v>
      </c>
      <c r="C212" s="289">
        <v>40045909</v>
      </c>
      <c r="D212" s="207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212" s="207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2" s="211">
        <v>40045952</v>
      </c>
      <c r="G212" s="20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2" s="20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779</v>
      </c>
      <c r="I212" s="20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20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20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208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2" s="208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2" s="208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722</v>
      </c>
      <c r="O212" s="20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217" t="s">
        <v>495</v>
      </c>
      <c r="Q212" s="272" t="s">
        <v>541</v>
      </c>
      <c r="R212" s="209"/>
    </row>
    <row r="213" spans="1:18" s="210" customFormat="1" ht="21" customHeight="1" x14ac:dyDescent="0.15">
      <c r="A213" s="205" t="str">
        <f t="shared" si="3"/>
        <v>40045010_40045909</v>
      </c>
      <c r="B213" s="206">
        <v>40045010</v>
      </c>
      <c r="C213" s="289">
        <v>40045909</v>
      </c>
      <c r="D213" s="207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信長敗北の噂は嘘だったのか…？</v>
      </c>
      <c r="E213" s="207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3" s="211">
        <v>40045953</v>
      </c>
      <c r="G213" s="20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3" s="20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778</v>
      </c>
      <c r="I213" s="20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20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20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208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3" s="208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3" s="208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723</v>
      </c>
      <c r="O213" s="20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217" t="s">
        <v>495</v>
      </c>
      <c r="Q213" s="272" t="s">
        <v>541</v>
      </c>
      <c r="R213" s="209"/>
    </row>
    <row r="214" spans="1:18" s="210" customFormat="1" ht="21" customHeight="1" x14ac:dyDescent="0.15">
      <c r="A214" s="205" t="str">
        <f t="shared" si="3"/>
        <v>40045010_40045911</v>
      </c>
      <c r="B214" s="206">
        <v>40045010</v>
      </c>
      <c r="C214" s="289">
        <v>40045911</v>
      </c>
      <c r="D214" s="207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14" s="207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4" s="211">
        <v>40045954</v>
      </c>
      <c r="G214" s="20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4" s="20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777</v>
      </c>
      <c r="I214" s="20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20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20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208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4" s="208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4" s="208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1250</v>
      </c>
      <c r="O214" s="20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215" t="s">
        <v>498</v>
      </c>
      <c r="Q214" s="270" t="s">
        <v>539</v>
      </c>
      <c r="R214" s="209"/>
    </row>
    <row r="215" spans="1:18" s="210" customFormat="1" ht="21" customHeight="1" x14ac:dyDescent="0.15">
      <c r="A215" s="205" t="str">
        <f t="shared" si="3"/>
        <v>40045010_40045911</v>
      </c>
      <c r="B215" s="206">
        <v>40045010</v>
      </c>
      <c r="C215" s="289">
        <v>40045911</v>
      </c>
      <c r="D215" s="207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15" s="207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5" s="211">
        <v>40045955</v>
      </c>
      <c r="G215" s="20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5" s="20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776</v>
      </c>
      <c r="I215" s="20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208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20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20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5" s="208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5" s="208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1251</v>
      </c>
      <c r="O215" s="20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215" t="s">
        <v>498</v>
      </c>
      <c r="Q215" s="270" t="s">
        <v>539</v>
      </c>
      <c r="R215" s="209"/>
    </row>
    <row r="216" spans="1:18" s="210" customFormat="1" ht="21" customHeight="1" x14ac:dyDescent="0.15">
      <c r="A216" s="205" t="str">
        <f t="shared" si="3"/>
        <v>40045010_40045911</v>
      </c>
      <c r="B216" s="206">
        <v>40045010</v>
      </c>
      <c r="C216" s="289">
        <v>40045911</v>
      </c>
      <c r="D216" s="207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16" s="207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6" s="211">
        <v>40045956</v>
      </c>
      <c r="G216" s="20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6" s="20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775</v>
      </c>
      <c r="I216" s="20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20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20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20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6" s="208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6" s="208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1248</v>
      </c>
      <c r="O216" s="20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215" t="s">
        <v>500</v>
      </c>
      <c r="Q216" s="270" t="s">
        <v>539</v>
      </c>
      <c r="R216" s="209"/>
    </row>
    <row r="217" spans="1:18" s="210" customFormat="1" ht="21" customHeight="1" x14ac:dyDescent="0.15">
      <c r="A217" s="205" t="str">
        <f t="shared" si="3"/>
        <v>40045010_40045911</v>
      </c>
      <c r="B217" s="206">
        <v>40045010</v>
      </c>
      <c r="C217" s="289">
        <v>40045911</v>
      </c>
      <c r="D217" s="207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17" s="207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7" s="211">
        <v>40045957</v>
      </c>
      <c r="G217" s="20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7" s="20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774</v>
      </c>
      <c r="I217" s="20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20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20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20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7" s="208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7" s="208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1249</v>
      </c>
      <c r="O217" s="20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215" t="s">
        <v>500</v>
      </c>
      <c r="Q217" s="270" t="s">
        <v>539</v>
      </c>
      <c r="R217" s="209"/>
    </row>
    <row r="218" spans="1:18" s="210" customFormat="1" ht="21" customHeight="1" x14ac:dyDescent="0.15">
      <c r="A218" s="205" t="str">
        <f t="shared" si="3"/>
        <v>40045010_40045911</v>
      </c>
      <c r="B218" s="206">
        <v>40045010</v>
      </c>
      <c r="C218" s="289">
        <v>40045911</v>
      </c>
      <c r="D218" s="207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18" s="207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8" s="211">
        <v>40045958</v>
      </c>
      <c r="G218" s="20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8" s="20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773</v>
      </c>
      <c r="I218" s="20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20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20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20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8" s="208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8" s="20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1236</v>
      </c>
      <c r="O218" s="20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215" t="s">
        <v>501</v>
      </c>
      <c r="Q218" s="270" t="s">
        <v>539</v>
      </c>
      <c r="R218" s="209"/>
    </row>
    <row r="219" spans="1:18" s="210" customFormat="1" ht="21" customHeight="1" x14ac:dyDescent="0.15">
      <c r="A219" s="205" t="str">
        <f t="shared" si="3"/>
        <v>40045010_40045911</v>
      </c>
      <c r="B219" s="206">
        <v>40045010</v>
      </c>
      <c r="C219" s="289">
        <v>40045911</v>
      </c>
      <c r="D219" s="207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19" s="207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19" s="211">
        <v>40045959</v>
      </c>
      <c r="G219" s="20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9" s="20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772</v>
      </c>
      <c r="I219" s="20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20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20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20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19" s="208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9" s="20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1237</v>
      </c>
      <c r="O219" s="20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215" t="s">
        <v>501</v>
      </c>
      <c r="Q219" s="270" t="s">
        <v>539</v>
      </c>
      <c r="R219" s="209"/>
    </row>
    <row r="220" spans="1:18" s="210" customFormat="1" ht="21" customHeight="1" x14ac:dyDescent="0.15">
      <c r="A220" s="205" t="str">
        <f t="shared" si="3"/>
        <v>40045010_40045911</v>
      </c>
      <c r="B220" s="206">
        <v>40045010</v>
      </c>
      <c r="C220" s="289">
        <v>40045911</v>
      </c>
      <c r="D220" s="207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20" s="207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0" s="211">
        <v>40045960</v>
      </c>
      <c r="G220" s="20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0" s="20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771</v>
      </c>
      <c r="I220" s="20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20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20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20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0" s="208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0" s="20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1240</v>
      </c>
      <c r="O220" s="20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215" t="s">
        <v>502</v>
      </c>
      <c r="Q220" s="270" t="s">
        <v>539</v>
      </c>
      <c r="R220" s="209"/>
    </row>
    <row r="221" spans="1:18" s="210" customFormat="1" ht="21" customHeight="1" x14ac:dyDescent="0.15">
      <c r="A221" s="205" t="str">
        <f t="shared" si="3"/>
        <v>40045010_40045911</v>
      </c>
      <c r="B221" s="206">
        <v>40045010</v>
      </c>
      <c r="C221" s="289">
        <v>40045911</v>
      </c>
      <c r="D221" s="207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こちらの動向に気づいていたか…</v>
      </c>
      <c r="E221" s="207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21" s="211">
        <v>40045961</v>
      </c>
      <c r="G221" s="20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1" s="20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770</v>
      </c>
      <c r="I221" s="20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20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20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20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21" s="208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1" s="208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1241</v>
      </c>
      <c r="O221" s="20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215" t="s">
        <v>502</v>
      </c>
      <c r="Q221" s="270" t="s">
        <v>539</v>
      </c>
      <c r="R221" s="209"/>
    </row>
  </sheetData>
  <autoFilter ref="A1:R1"/>
  <phoneticPr fontId="6"/>
  <conditionalFormatting sqref="P116:P135">
    <cfRule type="containsText" dxfId="69" priority="43" operator="containsText" text="死亡">
      <formula>NOT(ISERROR(SEARCH("死亡",P116)))</formula>
    </cfRule>
    <cfRule type="containsText" dxfId="68" priority="44" operator="containsText" text="開幕">
      <formula>NOT(ISERROR(SEARCH("開幕",P116)))</formula>
    </cfRule>
  </conditionalFormatting>
  <conditionalFormatting sqref="P140:P166">
    <cfRule type="containsText" dxfId="67" priority="41" operator="containsText" text="死亡">
      <formula>NOT(ISERROR(SEARCH("死亡",P140)))</formula>
    </cfRule>
    <cfRule type="containsText" dxfId="66" priority="42" operator="containsText" text="開幕">
      <formula>NOT(ISERROR(SEARCH("開幕",P140)))</formula>
    </cfRule>
  </conditionalFormatting>
  <conditionalFormatting sqref="P171:P190">
    <cfRule type="containsText" dxfId="65" priority="39" operator="containsText" text="死亡">
      <formula>NOT(ISERROR(SEARCH("死亡",P171)))</formula>
    </cfRule>
    <cfRule type="containsText" dxfId="64" priority="40" operator="containsText" text="開幕">
      <formula>NOT(ISERROR(SEARCH("開幕",P171)))</formula>
    </cfRule>
  </conditionalFormatting>
  <conditionalFormatting sqref="P195:P221">
    <cfRule type="containsText" dxfId="63" priority="37" operator="containsText" text="死亡">
      <formula>NOT(ISERROR(SEARCH("死亡",P195)))</formula>
    </cfRule>
    <cfRule type="containsText" dxfId="62" priority="38" operator="containsText" text="開幕">
      <formula>NOT(ISERROR(SEARCH("開幕",P195)))</formula>
    </cfRule>
  </conditionalFormatting>
  <conditionalFormatting sqref="P136:P139">
    <cfRule type="containsText" dxfId="61" priority="15" operator="containsText" text="死亡">
      <formula>NOT(ISERROR(SEARCH("死亡",P136)))</formula>
    </cfRule>
    <cfRule type="containsText" dxfId="60" priority="16" operator="containsText" text="開幕">
      <formula>NOT(ISERROR(SEARCH("開幕",P136)))</formula>
    </cfRule>
  </conditionalFormatting>
  <conditionalFormatting sqref="Q167:Q168">
    <cfRule type="containsText" dxfId="59" priority="13" operator="containsText" text="死亡">
      <formula>NOT(ISERROR(SEARCH("死亡",Q167)))</formula>
    </cfRule>
    <cfRule type="containsText" dxfId="58" priority="14" operator="containsText" text="開幕">
      <formula>NOT(ISERROR(SEARCH("開幕",Q167)))</formula>
    </cfRule>
  </conditionalFormatting>
  <conditionalFormatting sqref="Q191:Q192">
    <cfRule type="containsText" dxfId="57" priority="9" operator="containsText" text="死亡">
      <formula>NOT(ISERROR(SEARCH("死亡",Q191)))</formula>
    </cfRule>
    <cfRule type="containsText" dxfId="56" priority="10" operator="containsText" text="開幕">
      <formula>NOT(ISERROR(SEARCH("開幕",Q191)))</formula>
    </cfRule>
  </conditionalFormatting>
  <conditionalFormatting sqref="P191:P194">
    <cfRule type="containsText" dxfId="55" priority="7" operator="containsText" text="死亡">
      <formula>NOT(ISERROR(SEARCH("死亡",P191)))</formula>
    </cfRule>
    <cfRule type="containsText" dxfId="54" priority="8" operator="containsText" text="開幕">
      <formula>NOT(ISERROR(SEARCH("開幕",P191)))</formula>
    </cfRule>
  </conditionalFormatting>
  <conditionalFormatting sqref="Q112:Q135">
    <cfRule type="containsText" dxfId="53" priority="27" operator="containsText" text="死亡">
      <formula>NOT(ISERROR(SEARCH("死亡",Q112)))</formula>
    </cfRule>
    <cfRule type="containsText" dxfId="52" priority="28" operator="containsText" text="開幕">
      <formula>NOT(ISERROR(SEARCH("開幕",Q112)))</formula>
    </cfRule>
  </conditionalFormatting>
  <conditionalFormatting sqref="Q140:Q166">
    <cfRule type="containsText" dxfId="51" priority="25" operator="containsText" text="死亡">
      <formula>NOT(ISERROR(SEARCH("死亡",Q140)))</formula>
    </cfRule>
    <cfRule type="containsText" dxfId="50" priority="26" operator="containsText" text="開幕">
      <formula>NOT(ISERROR(SEARCH("開幕",Q140)))</formula>
    </cfRule>
  </conditionalFormatting>
  <conditionalFormatting sqref="Q171:Q190">
    <cfRule type="containsText" dxfId="49" priority="23" operator="containsText" text="死亡">
      <formula>NOT(ISERROR(SEARCH("死亡",Q171)))</formula>
    </cfRule>
    <cfRule type="containsText" dxfId="48" priority="24" operator="containsText" text="開幕">
      <formula>NOT(ISERROR(SEARCH("開幕",Q171)))</formula>
    </cfRule>
  </conditionalFormatting>
  <conditionalFormatting sqref="Q195:Q221">
    <cfRule type="containsText" dxfId="47" priority="21" operator="containsText" text="死亡">
      <formula>NOT(ISERROR(SEARCH("死亡",Q195)))</formula>
    </cfRule>
    <cfRule type="containsText" dxfId="46" priority="22" operator="containsText" text="開幕">
      <formula>NOT(ISERROR(SEARCH("開幕",Q195)))</formula>
    </cfRule>
  </conditionalFormatting>
  <conditionalFormatting sqref="P112:P115">
    <cfRule type="containsText" dxfId="45" priority="19" operator="containsText" text="死亡">
      <formula>NOT(ISERROR(SEARCH("死亡",P112)))</formula>
    </cfRule>
    <cfRule type="containsText" dxfId="44" priority="20" operator="containsText" text="開幕">
      <formula>NOT(ISERROR(SEARCH("開幕",P112)))</formula>
    </cfRule>
  </conditionalFormatting>
  <conditionalFormatting sqref="Q136:Q137">
    <cfRule type="containsText" dxfId="43" priority="17" operator="containsText" text="死亡">
      <formula>NOT(ISERROR(SEARCH("死亡",Q136)))</formula>
    </cfRule>
    <cfRule type="containsText" dxfId="42" priority="18" operator="containsText" text="開幕">
      <formula>NOT(ISERROR(SEARCH("開幕",Q136)))</formula>
    </cfRule>
  </conditionalFormatting>
  <conditionalFormatting sqref="P167:P170">
    <cfRule type="containsText" dxfId="41" priority="11" operator="containsText" text="死亡">
      <formula>NOT(ISERROR(SEARCH("死亡",P167)))</formula>
    </cfRule>
    <cfRule type="containsText" dxfId="40" priority="12" operator="containsText" text="開幕">
      <formula>NOT(ISERROR(SEARCH("開幕",P167)))</formula>
    </cfRule>
  </conditionalFormatting>
  <conditionalFormatting sqref="Q138:Q139">
    <cfRule type="containsText" dxfId="39" priority="5" operator="containsText" text="死亡">
      <formula>NOT(ISERROR(SEARCH("死亡",Q138)))</formula>
    </cfRule>
    <cfRule type="containsText" dxfId="38" priority="6" operator="containsText" text="開幕">
      <formula>NOT(ISERROR(SEARCH("開幕",Q138)))</formula>
    </cfRule>
  </conditionalFormatting>
  <conditionalFormatting sqref="Q169:Q170">
    <cfRule type="containsText" dxfId="37" priority="3" operator="containsText" text="死亡">
      <formula>NOT(ISERROR(SEARCH("死亡",Q169)))</formula>
    </cfRule>
    <cfRule type="containsText" dxfId="36" priority="4" operator="containsText" text="開幕">
      <formula>NOT(ISERROR(SEARCH("開幕",Q169)))</formula>
    </cfRule>
  </conditionalFormatting>
  <conditionalFormatting sqref="Q193:Q194">
    <cfRule type="containsText" dxfId="35" priority="1" operator="containsText" text="死亡">
      <formula>NOT(ISERROR(SEARCH("死亡",Q193)))</formula>
    </cfRule>
    <cfRule type="containsText" dxfId="34" priority="2" operator="containsText" text="開幕">
      <formula>NOT(ISERROR(SEARCH("開幕",Q193)))</formula>
    </cfRule>
  </conditionalFormatting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G143"/>
  <sheetViews>
    <sheetView showGridLines="0" tabSelected="1" zoomScale="90" zoomScaleNormal="90" zoomScalePageLayoutView="90" workbookViewId="0">
      <pane ySplit="1" topLeftCell="A133" activePane="bottomLeft" state="frozenSplit"/>
      <selection pane="bottomLeft" activeCell="F140" sqref="F140"/>
    </sheetView>
  </sheetViews>
  <sheetFormatPr baseColWidth="12" defaultColWidth="12.83203125" defaultRowHeight="42" customHeight="1" outlineLevelCol="1" x14ac:dyDescent="0.15"/>
  <cols>
    <col min="1" max="1" width="12.83203125" style="48"/>
    <col min="2" max="2" width="29.1640625" style="48" customWidth="1"/>
    <col min="3" max="4" width="3.6640625" style="48" customWidth="1"/>
    <col min="5" max="5" width="12.1640625" style="48" customWidth="1"/>
    <col min="6" max="6" width="35" style="48" customWidth="1"/>
    <col min="7" max="7" width="40.33203125" style="48" customWidth="1"/>
    <col min="8" max="8" width="52" style="48" hidden="1" customWidth="1" outlineLevel="1"/>
    <col min="9" max="9" width="18.33203125" style="48" hidden="1" customWidth="1" outlineLevel="1"/>
    <col min="10" max="12" width="18.6640625" style="48" hidden="1" customWidth="1" outlineLevel="1"/>
    <col min="13" max="13" width="10.6640625" style="48" hidden="1" customWidth="1" collapsed="1"/>
    <col min="14" max="19" width="10.6640625" style="48" hidden="1" customWidth="1" outlineLevel="1"/>
    <col min="20" max="20" width="10.6640625" style="48" hidden="1" customWidth="1" collapsed="1"/>
    <col min="21" max="25" width="10.6640625" style="48" hidden="1" customWidth="1" outlineLevel="1"/>
    <col min="26" max="26" width="10.6640625" style="48" hidden="1" customWidth="1" collapsed="1"/>
    <col min="27" max="28" width="12.83203125" style="48" hidden="1" customWidth="1"/>
    <col min="29" max="29" width="11" style="48" customWidth="1"/>
    <col min="30" max="30" width="138.6640625" style="48" customWidth="1"/>
    <col min="31" max="31" width="13.33203125" style="127" customWidth="1"/>
    <col min="32" max="32" width="112.83203125" style="48" bestFit="1" customWidth="1"/>
    <col min="33" max="33" width="19.5" style="48" customWidth="1"/>
    <col min="34" max="16384" width="12.83203125" style="48"/>
  </cols>
  <sheetData>
    <row r="1" spans="1:33" ht="23" customHeight="1" x14ac:dyDescent="0.15">
      <c r="A1" s="39" t="s">
        <v>78</v>
      </c>
      <c r="B1" s="39" t="s">
        <v>79</v>
      </c>
      <c r="C1" s="39" t="s">
        <v>80</v>
      </c>
      <c r="D1" s="39" t="s">
        <v>125</v>
      </c>
      <c r="F1" s="39" t="s">
        <v>81</v>
      </c>
      <c r="G1" s="39" t="s">
        <v>82</v>
      </c>
      <c r="H1" s="40" t="s">
        <v>131</v>
      </c>
      <c r="I1" s="40" t="s">
        <v>137</v>
      </c>
      <c r="J1" s="40" t="s">
        <v>139</v>
      </c>
      <c r="K1" s="40" t="s">
        <v>138</v>
      </c>
      <c r="L1" s="40" t="s">
        <v>140</v>
      </c>
      <c r="M1" s="40" t="s">
        <v>132</v>
      </c>
      <c r="N1" s="40" t="s">
        <v>130</v>
      </c>
      <c r="O1" s="40" t="s">
        <v>133</v>
      </c>
      <c r="P1" s="40" t="s">
        <v>141</v>
      </c>
      <c r="Q1" s="40" t="s">
        <v>142</v>
      </c>
      <c r="R1" s="40" t="s">
        <v>143</v>
      </c>
      <c r="S1" s="40" t="s">
        <v>144</v>
      </c>
      <c r="T1" s="40" t="s">
        <v>134</v>
      </c>
      <c r="U1" s="40" t="s">
        <v>135</v>
      </c>
      <c r="V1" s="40" t="s">
        <v>145</v>
      </c>
      <c r="W1" s="40" t="s">
        <v>146</v>
      </c>
      <c r="X1" s="40" t="s">
        <v>147</v>
      </c>
      <c r="Y1" s="40" t="s">
        <v>148</v>
      </c>
      <c r="Z1" s="40" t="s">
        <v>136</v>
      </c>
      <c r="AA1" s="40" t="s">
        <v>75</v>
      </c>
      <c r="AB1" s="40" t="s">
        <v>76</v>
      </c>
      <c r="AC1" s="40" t="s">
        <v>77</v>
      </c>
      <c r="AD1" s="102" t="s">
        <v>254</v>
      </c>
    </row>
    <row r="2" spans="1:33" s="190" customFormat="1" ht="42" customHeight="1" x14ac:dyDescent="0.15">
      <c r="A2" s="197">
        <v>40045050</v>
      </c>
      <c r="B2" s="47" t="str">
        <f t="shared" ref="B2:B33" si="0">"[effect:enemy_message, val1:"&amp;TEXT(IF(TEXT(F2,0)="[表示しない]", "0", IF(LEN(SUBSTITUTE(F2,CHAR(13),""))*0.1&lt;1.2, 1.2, LEN(SUBSTITUTE(F2,CHAR(13),""))*0.1)), "0.0")&amp;", val2:"&amp;TEXT(IF(TEXT(G2,0)="[表示しない]", "0", IF(LEN(SUBSTITUTE(G2,CHAR(13),""))*0.1&lt;1.2, 1.2, LEN(SUBSTITUTE(G2,CHAR(13),""))*0.1)),"0.0")&amp;"]"&amp;IF(LEN(AD2)&gt;0, ","&amp;SUBSTITUTE(AD2,CHAR(13),""),SUBSTITUTE(AD2,CHAR(13),""))</f>
        <v>[effect:enemy_message, val1:1.2, val2:1.2],[effect:spread, val:0.3]</v>
      </c>
      <c r="C2" s="49">
        <v>3</v>
      </c>
      <c r="D2" s="49" t="s">
        <v>126</v>
      </c>
      <c r="E2" s="105"/>
      <c r="F2" s="105" t="s">
        <v>430</v>
      </c>
      <c r="G2" s="105" t="s">
        <v>335</v>
      </c>
      <c r="H2" s="186" t="str">
        <f>IFERROR(LEFT(B2,FIND("],",B2)),B2)</f>
        <v>[effect:enemy_message, val1:1.2, val2:1.2]</v>
      </c>
      <c r="I2" s="186">
        <f>FIND("effect:",H2)+7</f>
        <v>9</v>
      </c>
      <c r="J2" s="186">
        <f>IFERROR(FIND(",",H2),LEN(H2))</f>
        <v>22</v>
      </c>
      <c r="K2" s="186" t="e">
        <f>FIND("target:",H2)+7</f>
        <v>#VALUE!</v>
      </c>
      <c r="L2" s="186">
        <f>FIND(",",H2,J2+1)</f>
        <v>32</v>
      </c>
      <c r="M2" s="186" t="str">
        <f>IFERROR(VLOOKUP(MID(H2,K2,L2-K2),[6]skilldef!$C:$D,2,FALSE),"-") &amp; " / " &amp; IFERROR(VLOOKUP(MID(H2,I2,J2-I2),[6]skilldef!$A:$B,2,FALSE),"-")</f>
        <v>- / -</v>
      </c>
      <c r="N2" s="186" t="str">
        <f>IFERROR(RIGHT(B2,LEN(B2)-FIND("],",B2)-1),"none")</f>
        <v>[effect:spread, val:0.3]</v>
      </c>
      <c r="O2" s="180" t="str">
        <f>IFERROR(LEFT(N2,FIND("],",N2)+T10),N2)</f>
        <v>[effect:spread, val:0.3]</v>
      </c>
      <c r="P2" s="186">
        <f>FIND("effect:",O2)+7</f>
        <v>9</v>
      </c>
      <c r="Q2" s="186">
        <f>IFERROR(FIND(",",O2),LEN(O2))</f>
        <v>15</v>
      </c>
      <c r="R2" s="186" t="e">
        <f>FIND("target:",O2)+7</f>
        <v>#VALUE!</v>
      </c>
      <c r="S2" s="186" t="e">
        <f>FIND(",",O2,Q2+1)</f>
        <v>#VALUE!</v>
      </c>
      <c r="T2" s="186" t="str">
        <f>IFERROR(VLOOKUP(MID(O2,R2,S2-R2),[6]skilldef!$C:$D,2,FALSE),"-") &amp; " / " &amp; IFERROR(VLOOKUP(MID(O2,P2,Q2-P2),[6]skilldef!$A:$B,2,FALSE),"-")</f>
        <v>- / 全体攻撃</v>
      </c>
      <c r="U2" s="180" t="str">
        <f>IFERROR(RIGHT(N2,LEN(N2)-FIND("],",N2)-1),"none")</f>
        <v>none</v>
      </c>
      <c r="V2" s="186" t="e">
        <f>FIND("effect:",U2)+7</f>
        <v>#VALUE!</v>
      </c>
      <c r="W2" s="186">
        <f>IFERROR(FIND(",",U2),LEN(U2))</f>
        <v>4</v>
      </c>
      <c r="X2" s="186" t="e">
        <f>FIND("target:",U2)+7</f>
        <v>#VALUE!</v>
      </c>
      <c r="Y2" s="186" t="e">
        <f>FIND(",",U2,W2+1)</f>
        <v>#VALUE!</v>
      </c>
      <c r="Z2" s="186" t="str">
        <f>IFERROR(VLOOKUP(MID(U2,X2,Y2-X2),[6]skilldef!$C:$D,2,FALSE),"-") &amp; " / " &amp; IFERROR(VLOOKUP(MID(U2,V2,W2-V2),[6]skilldef!$A:$B,2,FALSE),"-")</f>
        <v>- / -</v>
      </c>
      <c r="AA2" s="185"/>
      <c r="AB2" s="187"/>
      <c r="AC2" s="185"/>
      <c r="AD2" s="188" t="s">
        <v>369</v>
      </c>
      <c r="AE2" s="189"/>
    </row>
    <row r="3" spans="1:33" s="190" customFormat="1" ht="42" customHeight="1" x14ac:dyDescent="0.15">
      <c r="A3" s="197">
        <v>40045051</v>
      </c>
      <c r="B3" s="47" t="str">
        <f t="shared" si="0"/>
        <v xml:space="preserve">[effect:enemy_message, val1:1.2, val2:1.9],[effect:force_change_block, new_block:damage, target:block_yellow, color:block_yellow, count:2, val:0.1, animation:change_bock]    </v>
      </c>
      <c r="C3" s="49">
        <v>3</v>
      </c>
      <c r="D3" s="49" t="s">
        <v>126</v>
      </c>
      <c r="E3" s="50"/>
      <c r="F3" s="50" t="s">
        <v>431</v>
      </c>
      <c r="G3" s="50" t="s">
        <v>370</v>
      </c>
      <c r="H3" s="60" t="str">
        <f>IFERROR(LEFT(B3,FIND("],",B3)),B3)</f>
        <v>[effect:enemy_message, val1:1.2, val2:1.9]</v>
      </c>
      <c r="I3" s="60">
        <f t="shared" ref="I3" si="1">FIND("effect:",H3)+7</f>
        <v>9</v>
      </c>
      <c r="J3" s="60">
        <f t="shared" ref="J3" si="2">IFERROR(FIND(",",H3),LEN(H3))</f>
        <v>22</v>
      </c>
      <c r="K3" s="60" t="e">
        <f t="shared" ref="K3" si="3">FIND("target:",H3)+7</f>
        <v>#VALUE!</v>
      </c>
      <c r="L3" s="60">
        <f t="shared" ref="L3" si="4">FIND(",",H3,J3+1)</f>
        <v>32</v>
      </c>
      <c r="M3" s="60" t="str">
        <f>IFERROR(VLOOKUP(MID(H3,K3,L3-K3),[6]skilldef!$C:$D,2,FALSE),"-") &amp; " / " &amp; IFERROR(VLOOKUP(MID(H3,I3,J3-I3),[6]skilldef!$A:$B,2,FALSE),"-")</f>
        <v>- / -</v>
      </c>
      <c r="N3" s="60" t="str">
        <f>IFERROR(RIGHT(B3,LEN(B3)-FIND("],",B3)-1),"none")</f>
        <v xml:space="preserve">[effect:force_change_block, new_block:damage, target:block_yellow, color:block_yellow, count:2, val:0.1, animation:change_bock]    </v>
      </c>
      <c r="O3" s="47" t="str">
        <f>IFERROR(LEFT(N3,FIND("],",N3)+T12),N3)</f>
        <v xml:space="preserve">[effect:force_change_block, new_block:damage, target:block_yellow, color:block_yellow, count:2, val:0.1, animation:change_bock]    </v>
      </c>
      <c r="P3" s="60">
        <f t="shared" ref="P3" si="5">FIND("effect:",O3)+7</f>
        <v>9</v>
      </c>
      <c r="Q3" s="60">
        <f t="shared" ref="Q3" si="6">IFERROR(FIND(",",O3),LEN(O3))</f>
        <v>27</v>
      </c>
      <c r="R3" s="60">
        <f t="shared" ref="R3" si="7">FIND("target:",O3)+7</f>
        <v>54</v>
      </c>
      <c r="S3" s="60">
        <f t="shared" ref="S3" si="8">FIND(",",O3,Q3+1)</f>
        <v>45</v>
      </c>
      <c r="T3" s="60" t="str">
        <f>IFERROR(VLOOKUP(MID(O3,R3,S3-R3),[6]skilldef!$C:$D,2,FALSE),"-") &amp; " / " &amp; IFERROR(VLOOKUP(MID(O3,P3,Q3-P3),[6]skilldef!$A:$B,2,FALSE),"-")</f>
        <v>- / -</v>
      </c>
      <c r="U3" s="47" t="str">
        <f t="shared" ref="U3" si="9">IFERROR(RIGHT(N3,LEN(N3)-FIND("],",N3)-1),"none")</f>
        <v>none</v>
      </c>
      <c r="V3" s="60" t="e">
        <f t="shared" ref="V3" si="10">FIND("effect:",U3)+7</f>
        <v>#VALUE!</v>
      </c>
      <c r="W3" s="60">
        <f t="shared" ref="W3" si="11">IFERROR(FIND(",",U3),LEN(U3))</f>
        <v>4</v>
      </c>
      <c r="X3" s="60" t="e">
        <f t="shared" ref="X3" si="12">FIND("target:",U3)+7</f>
        <v>#VALUE!</v>
      </c>
      <c r="Y3" s="60" t="e">
        <f t="shared" ref="Y3" si="13">FIND(",",U3,W3+1)</f>
        <v>#VALUE!</v>
      </c>
      <c r="Z3" s="60" t="str">
        <f>IFERROR(VLOOKUP(MID(U3,X3,Y3-X3),[6]skilldef!$C:$D,2,FALSE),"-") &amp; " / " &amp; IFERROR(VLOOKUP(MID(U3,V3,W3-V3),[6]skilldef!$A:$B,2,FALSE),"-")</f>
        <v>- / -</v>
      </c>
      <c r="AA3" s="49"/>
      <c r="AB3" s="51"/>
      <c r="AC3" s="49"/>
      <c r="AD3" s="116" t="s">
        <v>356</v>
      </c>
      <c r="AE3" s="189"/>
    </row>
    <row r="4" spans="1:33" s="190" customFormat="1" ht="42" customHeight="1" x14ac:dyDescent="0.15">
      <c r="A4" s="197">
        <v>40045052</v>
      </c>
      <c r="B4" s="47" t="str">
        <f t="shared" si="0"/>
        <v>[effect:enemy_message, val1:1.2, val2:0.0]</v>
      </c>
      <c r="C4" s="49">
        <v>3</v>
      </c>
      <c r="D4" s="49" t="s">
        <v>126</v>
      </c>
      <c r="E4" s="50"/>
      <c r="F4" s="50" t="s">
        <v>459</v>
      </c>
      <c r="G4" s="50" t="s">
        <v>419</v>
      </c>
      <c r="H4" s="50"/>
      <c r="I4" s="50"/>
      <c r="J4" s="50"/>
      <c r="K4" s="50"/>
      <c r="L4" s="50"/>
      <c r="M4" s="50"/>
      <c r="N4" s="50"/>
      <c r="O4" s="46"/>
      <c r="P4" s="50"/>
      <c r="Q4" s="50"/>
      <c r="R4" s="50"/>
      <c r="S4" s="50"/>
      <c r="T4" s="50"/>
      <c r="U4" s="46"/>
      <c r="V4" s="50"/>
      <c r="W4" s="50"/>
      <c r="X4" s="50"/>
      <c r="Y4" s="50"/>
      <c r="Z4" s="50"/>
      <c r="AA4" s="49"/>
      <c r="AB4" s="51"/>
      <c r="AC4" s="49"/>
      <c r="AD4" s="116"/>
      <c r="AE4" s="189"/>
    </row>
    <row r="5" spans="1:33" s="190" customFormat="1" ht="42" customHeight="1" x14ac:dyDescent="0.15">
      <c r="A5" s="197">
        <v>40045150</v>
      </c>
      <c r="B5" s="47" t="str">
        <f t="shared" si="0"/>
        <v>[effect:enemy_message, val1:1.2, val2:1.4],[effect:virus, target:unit_all, turn:8, rate:1, val:0.08, animation:enemy_virus],[effect:fix_speed, target:myself, turn:2]</v>
      </c>
      <c r="C5" s="49">
        <v>3</v>
      </c>
      <c r="D5" s="49" t="s">
        <v>126</v>
      </c>
      <c r="E5" s="50" t="s">
        <v>552</v>
      </c>
      <c r="F5" s="50" t="s">
        <v>634</v>
      </c>
      <c r="G5" s="50" t="s">
        <v>579</v>
      </c>
      <c r="H5" s="50" t="str">
        <f t="shared" ref="H5:H36" si="14">IFERROR(LEFT(B5,FIND("],",B5)),B5)</f>
        <v>[effect:enemy_message, val1:1.2, val2:1.4]</v>
      </c>
      <c r="I5" s="50">
        <f t="shared" ref="I5:I36" si="15">FIND("effect:",H5)+7</f>
        <v>9</v>
      </c>
      <c r="J5" s="50">
        <f t="shared" ref="J5:J36" si="16">IFERROR(FIND(",",H5),LEN(H5))</f>
        <v>22</v>
      </c>
      <c r="K5" s="50" t="e">
        <f t="shared" ref="K5:K36" si="17">FIND("target:",H5)+7</f>
        <v>#VALUE!</v>
      </c>
      <c r="L5" s="50">
        <f t="shared" ref="L5:L36" si="18">FIND(",",H5,J5+1)</f>
        <v>32</v>
      </c>
      <c r="M5" s="50" t="str">
        <f>IFERROR(VLOOKUP(MID(H5,K5,L5-K5),[6]skilldef!$C:$D,2,FALSE),"-") &amp; " / " &amp; IFERROR(VLOOKUP(MID(H5,I5,J5-I5),[6]skilldef!$A:$B,2,FALSE),"-")</f>
        <v>- / -</v>
      </c>
      <c r="N5" s="50" t="str">
        <f t="shared" ref="N5:N36" si="19">IFERROR(RIGHT(B5,LEN(B5)-FIND("],",B5)-1),"none")</f>
        <v>[effect:virus, target:unit_all, turn:8, rate:1, val:0.08, animation:enemy_virus],[effect:fix_speed, target:myself, turn:2]</v>
      </c>
      <c r="O5" s="46" t="str">
        <f>IFERROR(LEFT(N5,FIND("],",N5)+T13),N5)</f>
        <v>[effect:virus, target:unit_all, turn:8, rate:1, val:0.08, animation:enemy_virus],[effect:fix_speed, target:myself, turn:2]</v>
      </c>
      <c r="P5" s="50">
        <f t="shared" ref="P5:P36" si="20">FIND("effect:",O5)+7</f>
        <v>9</v>
      </c>
      <c r="Q5" s="50">
        <f t="shared" ref="Q5:Q36" si="21">IFERROR(FIND(",",O5),LEN(O5))</f>
        <v>14</v>
      </c>
      <c r="R5" s="50">
        <f t="shared" ref="R5:R36" si="22">FIND("target:",O5)+7</f>
        <v>23</v>
      </c>
      <c r="S5" s="50">
        <f t="shared" ref="S5:S36" si="23">FIND(",",O5,Q5+1)</f>
        <v>31</v>
      </c>
      <c r="T5" s="50" t="str">
        <f>IFERROR(VLOOKUP(MID(O5,R5,S5-R5),[6]skilldef!$C:$D,2,FALSE),"-") &amp; " / " &amp; IFERROR(VLOOKUP(MID(O5,P5,Q5-P5),[6]skilldef!$A:$B,2,FALSE),"-")</f>
        <v>味方全体に / ウィルス</v>
      </c>
      <c r="U5" s="46" t="str">
        <f t="shared" ref="U5:U36" si="24">IFERROR(RIGHT(N5,LEN(N5)-FIND("],",N5)-1),"none")</f>
        <v>[effect:fix_speed, target:myself, turn:2]</v>
      </c>
      <c r="V5" s="50">
        <f t="shared" ref="V5:V36" si="25">FIND("effect:",U5)+7</f>
        <v>9</v>
      </c>
      <c r="W5" s="50">
        <f t="shared" ref="W5:W36" si="26">IFERROR(FIND(",",U5),LEN(U5))</f>
        <v>18</v>
      </c>
      <c r="X5" s="50">
        <f t="shared" ref="X5:X36" si="27">FIND("target:",U5)+7</f>
        <v>27</v>
      </c>
      <c r="Y5" s="50">
        <f t="shared" ref="Y5:Y36" si="28">FIND(",",U5,W5+1)</f>
        <v>33</v>
      </c>
      <c r="Z5" s="50" t="str">
        <f>IFERROR(VLOOKUP(MID(U5,X5,Y5-X5),[6]skilldef!$C:$D,2,FALSE),"-") &amp; " / " &amp; IFERROR(VLOOKUP(MID(U5,V5,W5-V5),[6]skilldef!$A:$B,2,FALSE),"-")</f>
        <v>自分自身に / 行動値設定</v>
      </c>
      <c r="AA5" s="49"/>
      <c r="AB5" s="51"/>
      <c r="AC5" s="49"/>
      <c r="AD5" s="116" t="s">
        <v>577</v>
      </c>
      <c r="AE5" s="189"/>
    </row>
    <row r="6" spans="1:33" s="190" customFormat="1" ht="42" customHeight="1" x14ac:dyDescent="0.15">
      <c r="A6" s="197">
        <v>40045151</v>
      </c>
      <c r="B6" s="47" t="str">
        <f t="shared" si="0"/>
        <v>[effect:enemy_message, val1:1.2, val2:1.9],[effect:force_change_block, new_block:damage, target:block_blue, color:block_blue, count:2, val:0.1, animation:change_bock]</v>
      </c>
      <c r="C6" s="49">
        <v>3</v>
      </c>
      <c r="D6" s="49" t="s">
        <v>126</v>
      </c>
      <c r="E6" s="50"/>
      <c r="F6" s="50" t="s">
        <v>435</v>
      </c>
      <c r="G6" s="50" t="s">
        <v>398</v>
      </c>
      <c r="H6" s="50" t="str">
        <f t="shared" si="14"/>
        <v>[effect:enemy_message, val1:1.2, val2:1.9]</v>
      </c>
      <c r="I6" s="50">
        <f t="shared" si="15"/>
        <v>9</v>
      </c>
      <c r="J6" s="50">
        <f t="shared" si="16"/>
        <v>22</v>
      </c>
      <c r="K6" s="50" t="e">
        <f t="shared" si="17"/>
        <v>#VALUE!</v>
      </c>
      <c r="L6" s="50">
        <f t="shared" si="18"/>
        <v>32</v>
      </c>
      <c r="M6" s="50" t="str">
        <f>IFERROR(VLOOKUP(MID(H6,K6,L6-K6),[6]skilldef!$C:$D,2,FALSE),"-") &amp; " / " &amp; IFERROR(VLOOKUP(MID(H6,I6,J6-I6),[6]skilldef!$A:$B,2,FALSE),"-")</f>
        <v>- / -</v>
      </c>
      <c r="N6" s="50" t="str">
        <f t="shared" si="19"/>
        <v>[effect:force_change_block, new_block:damage, target:block_blue, color:block_blue, count:2, val:0.1, animation:change_bock]</v>
      </c>
      <c r="O6" s="46" t="str">
        <f>IFERROR(LEFT(N6,FIND("],",N6)+#REF!),N6)</f>
        <v>[effect:force_change_block, new_block:damage, target:block_blue, color:block_blue, count:2, val:0.1, animation:change_bock]</v>
      </c>
      <c r="P6" s="50">
        <f t="shared" si="20"/>
        <v>9</v>
      </c>
      <c r="Q6" s="50">
        <f t="shared" si="21"/>
        <v>27</v>
      </c>
      <c r="R6" s="50">
        <f t="shared" si="22"/>
        <v>54</v>
      </c>
      <c r="S6" s="50">
        <f t="shared" si="23"/>
        <v>45</v>
      </c>
      <c r="T6" s="50" t="str">
        <f>IFERROR(VLOOKUP(MID(O6,R6,S6-R6),[6]skilldef!$C:$D,2,FALSE),"-") &amp; " / " &amp; IFERROR(VLOOKUP(MID(O6,P6,Q6-P6),[6]skilldef!$A:$B,2,FALSE),"-")</f>
        <v>- / -</v>
      </c>
      <c r="U6" s="46" t="str">
        <f t="shared" si="24"/>
        <v>none</v>
      </c>
      <c r="V6" s="50" t="e">
        <f t="shared" si="25"/>
        <v>#VALUE!</v>
      </c>
      <c r="W6" s="50">
        <f t="shared" si="26"/>
        <v>4</v>
      </c>
      <c r="X6" s="50" t="e">
        <f t="shared" si="27"/>
        <v>#VALUE!</v>
      </c>
      <c r="Y6" s="50" t="e">
        <f t="shared" si="28"/>
        <v>#VALUE!</v>
      </c>
      <c r="Z6" s="50" t="str">
        <f>IFERROR(VLOOKUP(MID(U6,X6,Y6-X6),[6]skilldef!$C:$D,2,FALSE),"-") &amp; " / " &amp; IFERROR(VLOOKUP(MID(U6,V6,W6-V6),[6]skilldef!$A:$B,2,FALSE),"-")</f>
        <v>- / -</v>
      </c>
      <c r="AA6" s="49"/>
      <c r="AB6" s="51"/>
      <c r="AC6" s="49"/>
      <c r="AD6" s="116" t="s">
        <v>357</v>
      </c>
      <c r="AE6" s="189"/>
    </row>
    <row r="7" spans="1:33" s="190" customFormat="1" ht="42" customHeight="1" x14ac:dyDescent="0.15">
      <c r="A7" s="197">
        <v>40045152</v>
      </c>
      <c r="B7" s="47" t="str">
        <f t="shared" si="0"/>
        <v>[effect:enemy_message, val1:1.7, val2:2.2],[effect:damage_anti_abnormal, target:unit_all, target_effect01:virus, val1:0.45, val2:0.3]</v>
      </c>
      <c r="C7" s="49">
        <v>3</v>
      </c>
      <c r="D7" s="49" t="s">
        <v>126</v>
      </c>
      <c r="E7" s="50"/>
      <c r="F7" s="50" t="s">
        <v>432</v>
      </c>
      <c r="G7" s="50" t="s">
        <v>331</v>
      </c>
      <c r="H7" s="50" t="str">
        <f t="shared" si="14"/>
        <v>[effect:enemy_message, val1:1.7, val2:2.2]</v>
      </c>
      <c r="I7" s="50">
        <f t="shared" si="15"/>
        <v>9</v>
      </c>
      <c r="J7" s="50">
        <f t="shared" si="16"/>
        <v>22</v>
      </c>
      <c r="K7" s="50" t="e">
        <f t="shared" si="17"/>
        <v>#VALUE!</v>
      </c>
      <c r="L7" s="50">
        <f t="shared" si="18"/>
        <v>32</v>
      </c>
      <c r="M7" s="50" t="str">
        <f>IFERROR(VLOOKUP(MID(H7,K7,L7-K7),[6]skilldef!$C:$D,2,FALSE),"-") &amp; " / " &amp; IFERROR(VLOOKUP(MID(H7,I7,J7-I7),[6]skilldef!$A:$B,2,FALSE),"-")</f>
        <v>- / -</v>
      </c>
      <c r="N7" s="50" t="str">
        <f t="shared" si="19"/>
        <v>[effect:damage_anti_abnormal, target:unit_all, target_effect01:virus, val1:0.45, val2:0.3]</v>
      </c>
      <c r="O7" s="46" t="str">
        <f>IFERROR(LEFT(N7,FIND("],",N7)+T14),N7)</f>
        <v>[effect:damage_anti_abnormal, target:unit_all, target_effect01:virus, val1:0.45, val2:0.3]</v>
      </c>
      <c r="P7" s="50">
        <f t="shared" si="20"/>
        <v>9</v>
      </c>
      <c r="Q7" s="50">
        <f t="shared" si="21"/>
        <v>29</v>
      </c>
      <c r="R7" s="50">
        <f t="shared" si="22"/>
        <v>38</v>
      </c>
      <c r="S7" s="50">
        <f t="shared" si="23"/>
        <v>46</v>
      </c>
      <c r="T7" s="50" t="str">
        <f>IFERROR(VLOOKUP(MID(O7,R7,S7-R7),[6]skilldef!$C:$D,2,FALSE),"-") &amp; " / " &amp; IFERROR(VLOOKUP(MID(O7,P7,Q7-P7),[6]skilldef!$A:$B,2,FALSE),"-")</f>
        <v>味方全体に / -</v>
      </c>
      <c r="U7" s="46" t="str">
        <f t="shared" si="24"/>
        <v>none</v>
      </c>
      <c r="V7" s="50" t="e">
        <f t="shared" si="25"/>
        <v>#VALUE!</v>
      </c>
      <c r="W7" s="50">
        <f t="shared" si="26"/>
        <v>4</v>
      </c>
      <c r="X7" s="50" t="e">
        <f t="shared" si="27"/>
        <v>#VALUE!</v>
      </c>
      <c r="Y7" s="50" t="e">
        <f t="shared" si="28"/>
        <v>#VALUE!</v>
      </c>
      <c r="Z7" s="50" t="str">
        <f>IFERROR(VLOOKUP(MID(U7,X7,Y7-X7),[6]skilldef!$C:$D,2,FALSE),"-") &amp; " / " &amp; IFERROR(VLOOKUP(MID(U7,V7,W7-V7),[6]skilldef!$A:$B,2,FALSE),"-")</f>
        <v>- / -</v>
      </c>
      <c r="AA7" s="49"/>
      <c r="AB7" s="51"/>
      <c r="AC7" s="49"/>
      <c r="AD7" s="116" t="s">
        <v>578</v>
      </c>
      <c r="AE7" s="189"/>
    </row>
    <row r="8" spans="1:33" s="190" customFormat="1" ht="42" customHeight="1" x14ac:dyDescent="0.15">
      <c r="A8" s="197">
        <v>40045250</v>
      </c>
      <c r="B8" s="47" t="str">
        <f t="shared" si="0"/>
        <v>[effect:enemy_message, val1:1.2, val2:1.2],[effect:break_attack_fix, target:unit_one, val:200, lowest_val:1000, count:-1, block01:block_red]</v>
      </c>
      <c r="C8" s="49">
        <v>3</v>
      </c>
      <c r="D8" s="49" t="s">
        <v>126</v>
      </c>
      <c r="E8" s="50"/>
      <c r="F8" s="50" t="s">
        <v>433</v>
      </c>
      <c r="G8" s="50" t="s">
        <v>333</v>
      </c>
      <c r="H8" s="50" t="str">
        <f t="shared" si="14"/>
        <v>[effect:enemy_message, val1:1.2, val2:1.2]</v>
      </c>
      <c r="I8" s="50">
        <f t="shared" si="15"/>
        <v>9</v>
      </c>
      <c r="J8" s="50">
        <f t="shared" si="16"/>
        <v>22</v>
      </c>
      <c r="K8" s="50" t="e">
        <f t="shared" si="17"/>
        <v>#VALUE!</v>
      </c>
      <c r="L8" s="50">
        <f t="shared" si="18"/>
        <v>32</v>
      </c>
      <c r="M8" s="50" t="str">
        <f>IFERROR(VLOOKUP(MID(H8,K8,L8-K8),[6]skilldef!$C:$D,2,FALSE),"-") &amp; " / " &amp; IFERROR(VLOOKUP(MID(H8,I8,J8-I8),[6]skilldef!$A:$B,2,FALSE),"-")</f>
        <v>- / -</v>
      </c>
      <c r="N8" s="50" t="str">
        <f t="shared" si="19"/>
        <v>[effect:break_attack_fix, target:unit_one, val:200, lowest_val:1000, count:-1, block01:block_red]</v>
      </c>
      <c r="O8" s="46" t="str">
        <f>IFERROR(LEFT(N8,FIND("],",N8)+T16),N8)</f>
        <v>[effect:break_attack_fix, target:unit_one, val:200, lowest_val:1000, count:-1, block01:block_red]</v>
      </c>
      <c r="P8" s="50">
        <f t="shared" si="20"/>
        <v>9</v>
      </c>
      <c r="Q8" s="50">
        <f t="shared" si="21"/>
        <v>25</v>
      </c>
      <c r="R8" s="50">
        <f t="shared" si="22"/>
        <v>34</v>
      </c>
      <c r="S8" s="50">
        <f t="shared" si="23"/>
        <v>42</v>
      </c>
      <c r="T8" s="50" t="str">
        <f>IFERROR(VLOOKUP(MID(O8,R8,S8-R8),[6]skilldef!$C:$D,2,FALSE),"-") &amp; " / " &amp; IFERROR(VLOOKUP(MID(O8,P8,Q8-P8),[6]skilldef!$A:$B,2,FALSE),"-")</f>
        <v>味方単体に / -</v>
      </c>
      <c r="U8" s="46" t="str">
        <f t="shared" si="24"/>
        <v>none</v>
      </c>
      <c r="V8" s="50" t="e">
        <f t="shared" si="25"/>
        <v>#VALUE!</v>
      </c>
      <c r="W8" s="50">
        <f t="shared" si="26"/>
        <v>4</v>
      </c>
      <c r="X8" s="50" t="e">
        <f t="shared" si="27"/>
        <v>#VALUE!</v>
      </c>
      <c r="Y8" s="50" t="e">
        <f t="shared" si="28"/>
        <v>#VALUE!</v>
      </c>
      <c r="Z8" s="50" t="str">
        <f>IFERROR(VLOOKUP(MID(U8,X8,Y8-X8),[6]skilldef!$C:$D,2,FALSE),"-") &amp; " / " &amp; IFERROR(VLOOKUP(MID(U8,V8,W8-V8),[6]skilldef!$A:$B,2,FALSE),"-")</f>
        <v>- / -</v>
      </c>
      <c r="AA8" s="49"/>
      <c r="AB8" s="51"/>
      <c r="AC8" s="49"/>
      <c r="AD8" s="116" t="s">
        <v>554</v>
      </c>
      <c r="AE8" s="189"/>
    </row>
    <row r="9" spans="1:33" s="190" customFormat="1" ht="42" customHeight="1" x14ac:dyDescent="0.15">
      <c r="A9" s="197">
        <v>40045251</v>
      </c>
      <c r="B9" s="47" t="str">
        <f t="shared" si="0"/>
        <v>[effect:enemy_message, val1:1.2, val2:1.2],[effect:spread, val:0.3]</v>
      </c>
      <c r="C9" s="49">
        <v>3</v>
      </c>
      <c r="D9" s="49" t="s">
        <v>126</v>
      </c>
      <c r="E9" s="50"/>
      <c r="F9" s="50" t="s">
        <v>436</v>
      </c>
      <c r="G9" s="50" t="s">
        <v>335</v>
      </c>
      <c r="H9" s="50" t="str">
        <f t="shared" si="14"/>
        <v>[effect:enemy_message, val1:1.2, val2:1.2]</v>
      </c>
      <c r="I9" s="50">
        <f t="shared" si="15"/>
        <v>9</v>
      </c>
      <c r="J9" s="50">
        <f t="shared" si="16"/>
        <v>22</v>
      </c>
      <c r="K9" s="50" t="e">
        <f t="shared" si="17"/>
        <v>#VALUE!</v>
      </c>
      <c r="L9" s="50">
        <f t="shared" si="18"/>
        <v>32</v>
      </c>
      <c r="M9" s="50" t="str">
        <f>IFERROR(VLOOKUP(MID(H9,K9,L9-K9),[6]skilldef!$C:$D,2,FALSE),"-") &amp; " / " &amp; IFERROR(VLOOKUP(MID(H9,I9,J9-I9),[6]skilldef!$A:$B,2,FALSE),"-")</f>
        <v>- / -</v>
      </c>
      <c r="N9" s="50" t="str">
        <f t="shared" si="19"/>
        <v>[effect:spread, val:0.3]</v>
      </c>
      <c r="O9" s="46" t="str">
        <f>IFERROR(LEFT(N9,FIND("],",N9)+T18),N9)</f>
        <v>[effect:spread, val:0.3]</v>
      </c>
      <c r="P9" s="50">
        <f t="shared" si="20"/>
        <v>9</v>
      </c>
      <c r="Q9" s="50">
        <f t="shared" si="21"/>
        <v>15</v>
      </c>
      <c r="R9" s="50" t="e">
        <f t="shared" si="22"/>
        <v>#VALUE!</v>
      </c>
      <c r="S9" s="50" t="e">
        <f t="shared" si="23"/>
        <v>#VALUE!</v>
      </c>
      <c r="T9" s="50" t="str">
        <f>IFERROR(VLOOKUP(MID(O9,R9,S9-R9),[6]skilldef!$C:$D,2,FALSE),"-") &amp; " / " &amp; IFERROR(VLOOKUP(MID(O9,P9,Q9-P9),[6]skilldef!$A:$B,2,FALSE),"-")</f>
        <v>- / 全体攻撃</v>
      </c>
      <c r="U9" s="46" t="str">
        <f t="shared" si="24"/>
        <v>none</v>
      </c>
      <c r="V9" s="50" t="e">
        <f t="shared" si="25"/>
        <v>#VALUE!</v>
      </c>
      <c r="W9" s="50">
        <f t="shared" si="26"/>
        <v>4</v>
      </c>
      <c r="X9" s="50" t="e">
        <f t="shared" si="27"/>
        <v>#VALUE!</v>
      </c>
      <c r="Y9" s="50" t="e">
        <f t="shared" si="28"/>
        <v>#VALUE!</v>
      </c>
      <c r="Z9" s="50" t="str">
        <f>IFERROR(VLOOKUP(MID(U9,X9,Y9-X9),[6]skilldef!$C:$D,2,FALSE),"-") &amp; " / " &amp; IFERROR(VLOOKUP(MID(U9,V9,W9-V9),[6]skilldef!$A:$B,2,FALSE),"-")</f>
        <v>- / -</v>
      </c>
      <c r="AA9" s="49"/>
      <c r="AB9" s="51"/>
      <c r="AC9" s="49"/>
      <c r="AD9" s="116" t="s">
        <v>369</v>
      </c>
      <c r="AE9" s="189"/>
    </row>
    <row r="10" spans="1:33" s="190" customFormat="1" ht="42" customHeight="1" x14ac:dyDescent="0.15">
      <c r="A10" s="197">
        <v>40045252</v>
      </c>
      <c r="B10" s="47" t="str">
        <f t="shared" si="0"/>
        <v>[effect:enemy_message, val1:1.2, val2:1.2],[effect:enhance_enemy, target:myself, turn:-1, status:attack, val:0.4, calc:mul, animation:enemy_enhance_attack]</v>
      </c>
      <c r="C10" s="49">
        <v>3</v>
      </c>
      <c r="D10" s="49" t="s">
        <v>126</v>
      </c>
      <c r="E10" s="50"/>
      <c r="F10" s="50" t="s">
        <v>408</v>
      </c>
      <c r="G10" s="50" t="s">
        <v>391</v>
      </c>
      <c r="H10" s="50" t="str">
        <f t="shared" si="14"/>
        <v>[effect:enemy_message, val1:1.2, val2:1.2]</v>
      </c>
      <c r="I10" s="50">
        <f t="shared" si="15"/>
        <v>9</v>
      </c>
      <c r="J10" s="50">
        <f t="shared" si="16"/>
        <v>22</v>
      </c>
      <c r="K10" s="50" t="e">
        <f t="shared" si="17"/>
        <v>#VALUE!</v>
      </c>
      <c r="L10" s="50">
        <f t="shared" si="18"/>
        <v>32</v>
      </c>
      <c r="M10" s="50" t="str">
        <f>IFERROR(VLOOKUP(MID(H10,K10,L10-K10),[6]skilldef!$C:$D,2,FALSE),"-") &amp; " / " &amp; IFERROR(VLOOKUP(MID(H10,I10,J10-I10),[6]skilldef!$A:$B,2,FALSE),"-")</f>
        <v>- / -</v>
      </c>
      <c r="N10" s="50" t="str">
        <f t="shared" si="19"/>
        <v>[effect:enhance_enemy, target:myself, turn:-1, status:attack, val:0.4, calc:mul, animation:enemy_enhance_attack]</v>
      </c>
      <c r="O10" s="46" t="str">
        <f>IFERROR(LEFT(N10,FIND("],",N10)+T19),N10)</f>
        <v>[effect:enhance_enemy, target:myself, turn:-1, status:attack, val:0.4, calc:mul, animation:enemy_enhance_attack]</v>
      </c>
      <c r="P10" s="50">
        <f t="shared" si="20"/>
        <v>9</v>
      </c>
      <c r="Q10" s="50">
        <f t="shared" si="21"/>
        <v>22</v>
      </c>
      <c r="R10" s="50">
        <f t="shared" si="22"/>
        <v>31</v>
      </c>
      <c r="S10" s="50">
        <f t="shared" si="23"/>
        <v>37</v>
      </c>
      <c r="T10" s="50" t="str">
        <f>IFERROR(VLOOKUP(MID(O10,R10,S10-R10),[6]skilldef!$C:$D,2,FALSE),"-") &amp; " / " &amp; IFERROR(VLOOKUP(MID(O10,P10,Q10-P10),[6]skilldef!$A:$B,2,FALSE),"-")</f>
        <v>自分自身に / ステータス強化</v>
      </c>
      <c r="U10" s="46" t="str">
        <f t="shared" si="24"/>
        <v>none</v>
      </c>
      <c r="V10" s="50" t="e">
        <f t="shared" si="25"/>
        <v>#VALUE!</v>
      </c>
      <c r="W10" s="50">
        <f t="shared" si="26"/>
        <v>4</v>
      </c>
      <c r="X10" s="50" t="e">
        <f t="shared" si="27"/>
        <v>#VALUE!</v>
      </c>
      <c r="Y10" s="50" t="e">
        <f t="shared" si="28"/>
        <v>#VALUE!</v>
      </c>
      <c r="Z10" s="50" t="str">
        <f>IFERROR(VLOOKUP(MID(U10,X10,Y10-X10),[6]skilldef!$C:$D,2,FALSE),"-") &amp; " / " &amp; IFERROR(VLOOKUP(MID(U10,V10,W10-V10),[6]skilldef!$A:$B,2,FALSE),"-")</f>
        <v>- / -</v>
      </c>
      <c r="AA10" s="49"/>
      <c r="AB10" s="51"/>
      <c r="AC10" s="49"/>
      <c r="AD10" s="116" t="s">
        <v>361</v>
      </c>
      <c r="AE10" s="189"/>
    </row>
    <row r="11" spans="1:33" s="190" customFormat="1" ht="42" customHeight="1" x14ac:dyDescent="0.15">
      <c r="A11" s="197">
        <v>40045350</v>
      </c>
      <c r="B11" s="47" t="str">
        <f t="shared" si="0"/>
        <v>[effect:enemy_message, val1:1.7, val2:5.7],[effect:virus, target:unit_all, turn:6, rate:1, val:0.09, animation:enemy_virus],[effect:degrade_unit, target:unit_all, turn:3, status:action, val:1, calc:add, animation:enemy_tap_down],[effect:force_change_block, new_block:damage, target:normal, color:block_green, count:3, val:0.07, animation:change_bock]</v>
      </c>
      <c r="C11" s="49">
        <v>3</v>
      </c>
      <c r="D11" s="49" t="s">
        <v>126</v>
      </c>
      <c r="E11" s="50"/>
      <c r="F11" s="50" t="s">
        <v>406</v>
      </c>
      <c r="G11" s="50" t="s">
        <v>580</v>
      </c>
      <c r="H11" s="50" t="str">
        <f t="shared" si="14"/>
        <v>[effect:enemy_message, val1:1.7, val2:5.7]</v>
      </c>
      <c r="I11" s="50">
        <f t="shared" si="15"/>
        <v>9</v>
      </c>
      <c r="J11" s="50">
        <f t="shared" si="16"/>
        <v>22</v>
      </c>
      <c r="K11" s="50" t="e">
        <f t="shared" si="17"/>
        <v>#VALUE!</v>
      </c>
      <c r="L11" s="50">
        <f t="shared" si="18"/>
        <v>32</v>
      </c>
      <c r="M11" s="50" t="str">
        <f>IFERROR(VLOOKUP(MID(H11,K11,L11-K11),[6]skilldef!$C:$D,2,FALSE),"-") &amp; " / " &amp; IFERROR(VLOOKUP(MID(H11,I11,J11-I11),[6]skilldef!$A:$B,2,FALSE),"-")</f>
        <v>- / -</v>
      </c>
      <c r="N11" s="50" t="str">
        <f t="shared" si="19"/>
        <v>[effect:virus, target:unit_all, turn:6, rate:1, val:0.09, animation:enemy_virus],[effect:degrade_unit, target:unit_all, turn:3, status:action, val:1, calc:add, animation:enemy_tap_down],[effect:force_change_block, new_block:damage, target:normal, color:block_green, count:3, val:0.07, animation:change_bock]</v>
      </c>
      <c r="O11" s="46" t="str">
        <f>IFERROR(LEFT(N11,FIND("],",N11)+T20),N11)</f>
        <v>[effect:virus, target:unit_all, turn:6, rate:1, val:0.09, animation:enemy_virus],[effect:degrade_unit, target:unit_all, turn:3, status:action, val:1, calc:add, animation:enemy_tap_down],[effect:force_change_block, new_block:damage, target:normal, color:block_green, count:3, val:0.07, animation:change_bock]</v>
      </c>
      <c r="P11" s="50">
        <f t="shared" si="20"/>
        <v>9</v>
      </c>
      <c r="Q11" s="50">
        <f t="shared" si="21"/>
        <v>14</v>
      </c>
      <c r="R11" s="50">
        <f t="shared" si="22"/>
        <v>23</v>
      </c>
      <c r="S11" s="50">
        <f t="shared" si="23"/>
        <v>31</v>
      </c>
      <c r="T11" s="50" t="str">
        <f>IFERROR(VLOOKUP(MID(O11,R11,S11-R11),[6]skilldef!$C:$D,2,FALSE),"-") &amp; " / " &amp; IFERROR(VLOOKUP(MID(O11,P11,Q11-P11),[6]skilldef!$A:$B,2,FALSE),"-")</f>
        <v>味方全体に / ウィルス</v>
      </c>
      <c r="U11" s="46" t="str">
        <f t="shared" si="24"/>
        <v>[effect:degrade_unit, target:unit_all, turn:3, status:action, val:1, calc:add, animation:enemy_tap_down],[effect:force_change_block, new_block:damage, target:normal, color:block_green, count:3, val:0.07, animation:change_bock]</v>
      </c>
      <c r="V11" s="50">
        <f t="shared" si="25"/>
        <v>9</v>
      </c>
      <c r="W11" s="50">
        <f t="shared" si="26"/>
        <v>21</v>
      </c>
      <c r="X11" s="50">
        <f t="shared" si="27"/>
        <v>30</v>
      </c>
      <c r="Y11" s="50">
        <f t="shared" si="28"/>
        <v>38</v>
      </c>
      <c r="Z11" s="50" t="str">
        <f>IFERROR(VLOOKUP(MID(U11,X11,Y11-X11),[6]skilldef!$C:$D,2,FALSE),"-") &amp; " / " &amp; IFERROR(VLOOKUP(MID(U11,V11,W11-V11),[6]skilldef!$A:$B,2,FALSE),"-")</f>
        <v>味方全体に / ステータスDOWN</v>
      </c>
      <c r="AA11" s="49"/>
      <c r="AB11" s="51"/>
      <c r="AC11" s="49"/>
      <c r="AD11" s="116" t="s">
        <v>581</v>
      </c>
      <c r="AE11" s="314" t="s">
        <v>429</v>
      </c>
      <c r="AF11" s="315"/>
      <c r="AG11" s="315"/>
    </row>
    <row r="12" spans="1:33" s="190" customFormat="1" ht="42" customHeight="1" x14ac:dyDescent="0.15">
      <c r="A12" s="197">
        <v>40045351</v>
      </c>
      <c r="B12" s="47" t="str">
        <f t="shared" si="0"/>
        <v>[effect:enemy_message, val1:1.2, val2:2.7],[effect:rush, count:2, val:0.7],[effect:force_change_block, new_block:damage, target:normal, color:block_red, count:3, val:0.1, animation:change_bock]</v>
      </c>
      <c r="C12" s="49">
        <v>3</v>
      </c>
      <c r="D12" s="49" t="s">
        <v>126</v>
      </c>
      <c r="E12" s="50"/>
      <c r="F12" s="50" t="s">
        <v>416</v>
      </c>
      <c r="G12" s="50" t="s">
        <v>450</v>
      </c>
      <c r="H12" s="50" t="str">
        <f t="shared" si="14"/>
        <v>[effect:enemy_message, val1:1.2, val2:2.7]</v>
      </c>
      <c r="I12" s="50">
        <f t="shared" si="15"/>
        <v>9</v>
      </c>
      <c r="J12" s="50">
        <f t="shared" si="16"/>
        <v>22</v>
      </c>
      <c r="K12" s="50" t="e">
        <f t="shared" si="17"/>
        <v>#VALUE!</v>
      </c>
      <c r="L12" s="50">
        <f t="shared" si="18"/>
        <v>32</v>
      </c>
      <c r="M12" s="50" t="str">
        <f>IFERROR(VLOOKUP(MID(H12,K12,L12-K12),[6]skilldef!$C:$D,2,FALSE),"-") &amp; " / " &amp; IFERROR(VLOOKUP(MID(H12,I12,J12-I12),[6]skilldef!$A:$B,2,FALSE),"-")</f>
        <v>- / -</v>
      </c>
      <c r="N12" s="50" t="str">
        <f t="shared" si="19"/>
        <v>[effect:rush, count:2, val:0.7],[effect:force_change_block, new_block:damage, target:normal, color:block_red, count:3, val:0.1, animation:change_bock]</v>
      </c>
      <c r="O12" s="46" t="str">
        <f>IFERROR(LEFT(N12,FIND("],",N12)+T21),N12)</f>
        <v>[effect:rush, count:2, val:0.7],[effect:force_change_block, new_block:damage, target:normal, color:block_red, count:3, val:0.1, animation:change_bock]</v>
      </c>
      <c r="P12" s="50">
        <f t="shared" si="20"/>
        <v>9</v>
      </c>
      <c r="Q12" s="50">
        <f t="shared" si="21"/>
        <v>13</v>
      </c>
      <c r="R12" s="50">
        <f t="shared" si="22"/>
        <v>86</v>
      </c>
      <c r="S12" s="50">
        <f t="shared" si="23"/>
        <v>22</v>
      </c>
      <c r="T12" s="50" t="str">
        <f>IFERROR(VLOOKUP(MID(O12,R12,S12-R12),[6]skilldef!$C:$D,2,FALSE),"-") &amp; " / " &amp; IFERROR(VLOOKUP(MID(O12,P12,Q12-P12),[6]skilldef!$A:$B,2,FALSE),"-")</f>
        <v>- / 連続攻撃</v>
      </c>
      <c r="U12" s="46" t="str">
        <f t="shared" si="24"/>
        <v>[effect:force_change_block, new_block:damage, target:normal, color:block_red, count:3, val:0.1, animation:change_bock]</v>
      </c>
      <c r="V12" s="50">
        <f t="shared" si="25"/>
        <v>9</v>
      </c>
      <c r="W12" s="50">
        <f t="shared" si="26"/>
        <v>27</v>
      </c>
      <c r="X12" s="50">
        <f t="shared" si="27"/>
        <v>54</v>
      </c>
      <c r="Y12" s="50">
        <f t="shared" si="28"/>
        <v>45</v>
      </c>
      <c r="Z12" s="50" t="str">
        <f>IFERROR(VLOOKUP(MID(U12,X12,Y12-X12),[6]skilldef!$C:$D,2,FALSE),"-") &amp; " / " &amp; IFERROR(VLOOKUP(MID(U12,V12,W12-V12),[6]skilldef!$A:$B,2,FALSE),"-")</f>
        <v>- / -</v>
      </c>
      <c r="AA12" s="49"/>
      <c r="AB12" s="51"/>
      <c r="AC12" s="49"/>
      <c r="AD12" s="116" t="s">
        <v>449</v>
      </c>
      <c r="AE12" s="189"/>
    </row>
    <row r="13" spans="1:33" s="190" customFormat="1" ht="42" customHeight="1" x14ac:dyDescent="0.15">
      <c r="A13" s="197">
        <v>40045352</v>
      </c>
      <c r="B13" s="47" t="str">
        <f t="shared" si="0"/>
        <v>[effect:enemy_message, val1:1.2, val2:2.2],[effect:damage_anti_abnormal, target:unit_all, target_effect01:virus, val1:0.5, val2:0.35]</v>
      </c>
      <c r="C13" s="49">
        <v>3</v>
      </c>
      <c r="D13" s="49" t="s">
        <v>126</v>
      </c>
      <c r="E13" s="50"/>
      <c r="F13" s="50" t="s">
        <v>417</v>
      </c>
      <c r="G13" s="50" t="s">
        <v>331</v>
      </c>
      <c r="H13" s="50" t="str">
        <f t="shared" si="14"/>
        <v>[effect:enemy_message, val1:1.2, val2:2.2]</v>
      </c>
      <c r="I13" s="50">
        <f t="shared" si="15"/>
        <v>9</v>
      </c>
      <c r="J13" s="50">
        <f t="shared" si="16"/>
        <v>22</v>
      </c>
      <c r="K13" s="50" t="e">
        <f t="shared" si="17"/>
        <v>#VALUE!</v>
      </c>
      <c r="L13" s="50">
        <f t="shared" si="18"/>
        <v>32</v>
      </c>
      <c r="M13" s="50" t="str">
        <f>IFERROR(VLOOKUP(MID(H13,K13,L13-K13),[6]skilldef!$C:$D,2,FALSE),"-") &amp; " / " &amp; IFERROR(VLOOKUP(MID(H13,I13,J13-I13),[6]skilldef!$A:$B,2,FALSE),"-")</f>
        <v>- / -</v>
      </c>
      <c r="N13" s="50" t="str">
        <f t="shared" si="19"/>
        <v>[effect:damage_anti_abnormal, target:unit_all, target_effect01:virus, val1:0.5, val2:0.35]</v>
      </c>
      <c r="O13" s="46" t="str">
        <f>IFERROR(LEFT(N13,FIND("],",N13)+T22),N13)</f>
        <v>[effect:damage_anti_abnormal, target:unit_all, target_effect01:virus, val1:0.5, val2:0.35]</v>
      </c>
      <c r="P13" s="50">
        <f t="shared" si="20"/>
        <v>9</v>
      </c>
      <c r="Q13" s="50">
        <f t="shared" si="21"/>
        <v>29</v>
      </c>
      <c r="R13" s="50">
        <f t="shared" si="22"/>
        <v>38</v>
      </c>
      <c r="S13" s="50">
        <f t="shared" si="23"/>
        <v>46</v>
      </c>
      <c r="T13" s="50" t="str">
        <f>IFERROR(VLOOKUP(MID(O13,R13,S13-R13),[6]skilldef!$C:$D,2,FALSE),"-") &amp; " / " &amp; IFERROR(VLOOKUP(MID(O13,P13,Q13-P13),[6]skilldef!$A:$B,2,FALSE),"-")</f>
        <v>味方全体に / -</v>
      </c>
      <c r="U13" s="46" t="str">
        <f t="shared" si="24"/>
        <v>none</v>
      </c>
      <c r="V13" s="50" t="e">
        <f t="shared" si="25"/>
        <v>#VALUE!</v>
      </c>
      <c r="W13" s="50">
        <f t="shared" si="26"/>
        <v>4</v>
      </c>
      <c r="X13" s="50" t="e">
        <f t="shared" si="27"/>
        <v>#VALUE!</v>
      </c>
      <c r="Y13" s="50" t="e">
        <f t="shared" si="28"/>
        <v>#VALUE!</v>
      </c>
      <c r="Z13" s="50" t="str">
        <f>IFERROR(VLOOKUP(MID(U13,X13,Y13-X13),[6]skilldef!$C:$D,2,FALSE),"-") &amp; " / " &amp; IFERROR(VLOOKUP(MID(U13,V13,W13-V13),[6]skilldef!$A:$B,2,FALSE),"-")</f>
        <v>- / -</v>
      </c>
      <c r="AA13" s="49"/>
      <c r="AB13" s="51"/>
      <c r="AC13" s="49"/>
      <c r="AD13" s="116" t="s">
        <v>582</v>
      </c>
      <c r="AE13" s="189"/>
    </row>
    <row r="14" spans="1:33" s="190" customFormat="1" ht="42" customHeight="1" x14ac:dyDescent="0.15">
      <c r="A14" s="197">
        <v>40045354</v>
      </c>
      <c r="B14" s="47" t="str">
        <f t="shared" si="0"/>
        <v>[effect:enemy_message, val1:1.2, val2:1.2],[effect:freq_turn, target:myself, turn:-1, val:1, animation:enemy_freq_turn]</v>
      </c>
      <c r="C14" s="49">
        <v>3</v>
      </c>
      <c r="D14" s="49" t="s">
        <v>126</v>
      </c>
      <c r="E14" s="50"/>
      <c r="F14" s="50" t="s">
        <v>407</v>
      </c>
      <c r="G14" s="50" t="s">
        <v>393</v>
      </c>
      <c r="H14" s="50" t="str">
        <f t="shared" si="14"/>
        <v>[effect:enemy_message, val1:1.2, val2:1.2]</v>
      </c>
      <c r="I14" s="50">
        <f t="shared" si="15"/>
        <v>9</v>
      </c>
      <c r="J14" s="50">
        <f t="shared" si="16"/>
        <v>22</v>
      </c>
      <c r="K14" s="50" t="e">
        <f t="shared" si="17"/>
        <v>#VALUE!</v>
      </c>
      <c r="L14" s="50">
        <f t="shared" si="18"/>
        <v>32</v>
      </c>
      <c r="M14" s="50" t="str">
        <f>IFERROR(VLOOKUP(MID(H14,K14,L14-K14),[6]skilldef!$C:$D,2,FALSE),"-") &amp; " / " &amp; IFERROR(VLOOKUP(MID(H14,I14,J14-I14),[6]skilldef!$A:$B,2,FALSE),"-")</f>
        <v>- / -</v>
      </c>
      <c r="N14" s="50" t="str">
        <f t="shared" si="19"/>
        <v>[effect:freq_turn, target:myself, turn:-1, val:1, animation:enemy_freq_turn]</v>
      </c>
      <c r="O14" s="46" t="str">
        <f>IFERROR(LEFT(N14,FIND("],",N14)+#REF!),N14)</f>
        <v>[effect:freq_turn, target:myself, turn:-1, val:1, animation:enemy_freq_turn]</v>
      </c>
      <c r="P14" s="50">
        <f t="shared" si="20"/>
        <v>9</v>
      </c>
      <c r="Q14" s="50">
        <f t="shared" si="21"/>
        <v>18</v>
      </c>
      <c r="R14" s="50">
        <f t="shared" si="22"/>
        <v>27</v>
      </c>
      <c r="S14" s="50">
        <f t="shared" si="23"/>
        <v>33</v>
      </c>
      <c r="T14" s="50" t="str">
        <f>IFERROR(VLOOKUP(MID(O14,R14,S14-R14),[6]skilldef!$C:$D,2,FALSE),"-") &amp; " / " &amp; IFERROR(VLOOKUP(MID(O14,P14,Q14-P14),[6]skilldef!$A:$B,2,FALSE),"-")</f>
        <v>自分自身に / 攻撃頻度がUP</v>
      </c>
      <c r="U14" s="46" t="str">
        <f t="shared" si="24"/>
        <v>none</v>
      </c>
      <c r="V14" s="50" t="e">
        <f t="shared" si="25"/>
        <v>#VALUE!</v>
      </c>
      <c r="W14" s="50">
        <f t="shared" si="26"/>
        <v>4</v>
      </c>
      <c r="X14" s="50" t="e">
        <f t="shared" si="27"/>
        <v>#VALUE!</v>
      </c>
      <c r="Y14" s="50" t="e">
        <f t="shared" si="28"/>
        <v>#VALUE!</v>
      </c>
      <c r="Z14" s="50" t="str">
        <f>IFERROR(VLOOKUP(MID(U14,X14,Y14-X14),[6]skilldef!$C:$D,2,FALSE),"-") &amp; " / " &amp; IFERROR(VLOOKUP(MID(U14,V14,W14-V14),[6]skilldef!$A:$B,2,FALSE),"-")</f>
        <v>- / -</v>
      </c>
      <c r="AA14" s="49"/>
      <c r="AB14" s="51"/>
      <c r="AC14" s="49"/>
      <c r="AD14" s="116" t="s">
        <v>424</v>
      </c>
      <c r="AE14" s="189"/>
    </row>
    <row r="15" spans="1:33" s="190" customFormat="1" ht="42" customHeight="1" x14ac:dyDescent="0.15">
      <c r="A15" s="197">
        <v>40045355</v>
      </c>
      <c r="B15" s="47" t="str">
        <f t="shared" si="0"/>
        <v>[effect:enemy_message, val1:1.2, val2:1.2],[effect:enhance_enemy, target:myself, turn:-1, status:attack, val:0.4, calc:mul, animation:enemy_enhance_attack]</v>
      </c>
      <c r="C15" s="49">
        <v>3</v>
      </c>
      <c r="D15" s="49" t="s">
        <v>126</v>
      </c>
      <c r="E15" s="50"/>
      <c r="F15" s="50" t="s">
        <v>607</v>
      </c>
      <c r="G15" s="50" t="s">
        <v>391</v>
      </c>
      <c r="H15" s="50" t="str">
        <f t="shared" si="14"/>
        <v>[effect:enemy_message, val1:1.2, val2:1.2]</v>
      </c>
      <c r="I15" s="50">
        <f t="shared" si="15"/>
        <v>9</v>
      </c>
      <c r="J15" s="50">
        <f t="shared" si="16"/>
        <v>22</v>
      </c>
      <c r="K15" s="50" t="e">
        <f t="shared" si="17"/>
        <v>#VALUE!</v>
      </c>
      <c r="L15" s="50">
        <f t="shared" si="18"/>
        <v>32</v>
      </c>
      <c r="M15" s="50" t="str">
        <f>IFERROR(VLOOKUP(MID(H15,K15,L15-K15),[6]skilldef!$C:$D,2,FALSE),"-") &amp; " / " &amp; IFERROR(VLOOKUP(MID(H15,I15,J15-I15),[6]skilldef!$A:$B,2,FALSE),"-")</f>
        <v>- / -</v>
      </c>
      <c r="N15" s="50" t="str">
        <f t="shared" si="19"/>
        <v>[effect:enhance_enemy, target:myself, turn:-1, status:attack, val:0.4, calc:mul, animation:enemy_enhance_attack]</v>
      </c>
      <c r="O15" s="46" t="str">
        <f t="shared" ref="O15:O22" si="29">IFERROR(LEFT(N15,FIND("],",N15)+T23),N15)</f>
        <v>[effect:enhance_enemy, target:myself, turn:-1, status:attack, val:0.4, calc:mul, animation:enemy_enhance_attack]</v>
      </c>
      <c r="P15" s="50">
        <f t="shared" si="20"/>
        <v>9</v>
      </c>
      <c r="Q15" s="50">
        <f t="shared" si="21"/>
        <v>22</v>
      </c>
      <c r="R15" s="50">
        <f t="shared" si="22"/>
        <v>31</v>
      </c>
      <c r="S15" s="50">
        <f t="shared" si="23"/>
        <v>37</v>
      </c>
      <c r="T15" s="50" t="str">
        <f>IFERROR(VLOOKUP(MID(O15,R15,S15-R15),[6]skilldef!$C:$D,2,FALSE),"-") &amp; " / " &amp; IFERROR(VLOOKUP(MID(O15,P15,Q15-P15),[6]skilldef!$A:$B,2,FALSE),"-")</f>
        <v>自分自身に / ステータス強化</v>
      </c>
      <c r="U15" s="46" t="str">
        <f t="shared" si="24"/>
        <v>none</v>
      </c>
      <c r="V15" s="50" t="e">
        <f t="shared" si="25"/>
        <v>#VALUE!</v>
      </c>
      <c r="W15" s="50">
        <f t="shared" si="26"/>
        <v>4</v>
      </c>
      <c r="X15" s="50" t="e">
        <f t="shared" si="27"/>
        <v>#VALUE!</v>
      </c>
      <c r="Y15" s="50" t="e">
        <f t="shared" si="28"/>
        <v>#VALUE!</v>
      </c>
      <c r="Z15" s="50" t="str">
        <f>IFERROR(VLOOKUP(MID(U15,X15,Y15-X15),[6]skilldef!$C:$D,2,FALSE),"-") &amp; " / " &amp; IFERROR(VLOOKUP(MID(U15,V15,W15-V15),[6]skilldef!$A:$B,2,FALSE),"-")</f>
        <v>- / -</v>
      </c>
      <c r="AA15" s="49"/>
      <c r="AB15" s="51"/>
      <c r="AC15" s="49"/>
      <c r="AD15" s="116" t="s">
        <v>361</v>
      </c>
      <c r="AE15" s="189"/>
    </row>
    <row r="16" spans="1:33" s="190" customFormat="1" ht="42" customHeight="1" x14ac:dyDescent="0.15">
      <c r="A16" s="197">
        <v>40045356</v>
      </c>
      <c r="B16" s="47" t="str">
        <f t="shared" si="0"/>
        <v>[effect:enemy_message, val1:1.2, val2:1.2],[effect:enhance_enemy, target:myself, turn:5, status:defense, val:2000, calc:add, animation:enemy_enhance_defense]</v>
      </c>
      <c r="C16" s="49">
        <v>3</v>
      </c>
      <c r="D16" s="49" t="s">
        <v>126</v>
      </c>
      <c r="E16" s="50"/>
      <c r="F16" s="50" t="s">
        <v>385</v>
      </c>
      <c r="G16" s="50" t="s">
        <v>558</v>
      </c>
      <c r="H16" s="50" t="str">
        <f t="shared" si="14"/>
        <v>[effect:enemy_message, val1:1.2, val2:1.2]</v>
      </c>
      <c r="I16" s="50">
        <f t="shared" si="15"/>
        <v>9</v>
      </c>
      <c r="J16" s="50">
        <f t="shared" si="16"/>
        <v>22</v>
      </c>
      <c r="K16" s="50" t="e">
        <f t="shared" si="17"/>
        <v>#VALUE!</v>
      </c>
      <c r="L16" s="50">
        <f t="shared" si="18"/>
        <v>32</v>
      </c>
      <c r="M16" s="50" t="str">
        <f>IFERROR(VLOOKUP(MID(H16,K16,L16-K16),[6]skilldef!$C:$D,2,FALSE),"-") &amp; " / " &amp; IFERROR(VLOOKUP(MID(H16,I16,J16-I16),[6]skilldef!$A:$B,2,FALSE),"-")</f>
        <v>- / -</v>
      </c>
      <c r="N16" s="50" t="str">
        <f t="shared" si="19"/>
        <v>[effect:enhance_enemy, target:myself, turn:5, status:defense, val:2000, calc:add, animation:enemy_enhance_defense]</v>
      </c>
      <c r="O16" s="46" t="str">
        <f t="shared" si="29"/>
        <v>[effect:enhance_enemy, target:myself, turn:5, status:defense, val:2000, calc:add, animation:enemy_enhance_defense]</v>
      </c>
      <c r="P16" s="50">
        <f t="shared" si="20"/>
        <v>9</v>
      </c>
      <c r="Q16" s="50">
        <f t="shared" si="21"/>
        <v>22</v>
      </c>
      <c r="R16" s="50">
        <f t="shared" si="22"/>
        <v>31</v>
      </c>
      <c r="S16" s="50">
        <f t="shared" si="23"/>
        <v>37</v>
      </c>
      <c r="T16" s="50" t="str">
        <f>IFERROR(VLOOKUP(MID(O16,R16,S16-R16),[6]skilldef!$C:$D,2,FALSE),"-") &amp; " / " &amp; IFERROR(VLOOKUP(MID(O16,P16,Q16-P16),[6]skilldef!$A:$B,2,FALSE),"-")</f>
        <v>自分自身に / ステータス強化</v>
      </c>
      <c r="U16" s="46" t="str">
        <f t="shared" si="24"/>
        <v>none</v>
      </c>
      <c r="V16" s="50" t="e">
        <f t="shared" si="25"/>
        <v>#VALUE!</v>
      </c>
      <c r="W16" s="50">
        <f t="shared" si="26"/>
        <v>4</v>
      </c>
      <c r="X16" s="50" t="e">
        <f t="shared" si="27"/>
        <v>#VALUE!</v>
      </c>
      <c r="Y16" s="50" t="e">
        <f t="shared" si="28"/>
        <v>#VALUE!</v>
      </c>
      <c r="Z16" s="50" t="str">
        <f>IFERROR(VLOOKUP(MID(U16,X16,Y16-X16),[6]skilldef!$C:$D,2,FALSE),"-") &amp; " / " &amp; IFERROR(VLOOKUP(MID(U16,V16,W16-V16),[6]skilldef!$A:$B,2,FALSE),"-")</f>
        <v>- / -</v>
      </c>
      <c r="AA16" s="49"/>
      <c r="AB16" s="51"/>
      <c r="AC16" s="49"/>
      <c r="AD16" s="116" t="s">
        <v>555</v>
      </c>
      <c r="AE16" s="189"/>
    </row>
    <row r="17" spans="1:32" s="190" customFormat="1" ht="42" customHeight="1" x14ac:dyDescent="0.15">
      <c r="A17" s="197">
        <v>40045450</v>
      </c>
      <c r="B17" s="47" t="str">
        <f t="shared" si="0"/>
        <v>[effect:enemy_message, val1:1.2, val2:1.2],[effect:spread, val:0.17]</v>
      </c>
      <c r="C17" s="49">
        <v>3</v>
      </c>
      <c r="D17" s="49" t="s">
        <v>126</v>
      </c>
      <c r="E17" s="50"/>
      <c r="F17" s="50" t="s">
        <v>410</v>
      </c>
      <c r="G17" s="50" t="s">
        <v>335</v>
      </c>
      <c r="H17" s="50" t="str">
        <f t="shared" si="14"/>
        <v>[effect:enemy_message, val1:1.2, val2:1.2]</v>
      </c>
      <c r="I17" s="50">
        <f t="shared" si="15"/>
        <v>9</v>
      </c>
      <c r="J17" s="50">
        <f t="shared" si="16"/>
        <v>22</v>
      </c>
      <c r="K17" s="50" t="e">
        <f t="shared" si="17"/>
        <v>#VALUE!</v>
      </c>
      <c r="L17" s="50">
        <f t="shared" si="18"/>
        <v>32</v>
      </c>
      <c r="M17" s="50" t="str">
        <f>IFERROR(VLOOKUP(MID(H17,K17,L17-K17),[6]skilldef!$C:$D,2,FALSE),"-") &amp; " / " &amp; IFERROR(VLOOKUP(MID(H17,I17,J17-I17),[6]skilldef!$A:$B,2,FALSE),"-")</f>
        <v>- / -</v>
      </c>
      <c r="N17" s="50" t="str">
        <f t="shared" si="19"/>
        <v>[effect:spread, val:0.17]</v>
      </c>
      <c r="O17" s="46" t="str">
        <f t="shared" si="29"/>
        <v>[effect:spread, val:0.17]</v>
      </c>
      <c r="P17" s="50">
        <f t="shared" si="20"/>
        <v>9</v>
      </c>
      <c r="Q17" s="50">
        <f t="shared" si="21"/>
        <v>15</v>
      </c>
      <c r="R17" s="50" t="e">
        <f t="shared" si="22"/>
        <v>#VALUE!</v>
      </c>
      <c r="S17" s="50" t="e">
        <f t="shared" si="23"/>
        <v>#VALUE!</v>
      </c>
      <c r="T17" s="50" t="str">
        <f>IFERROR(VLOOKUP(MID(O17,R17,S17-R17),[6]skilldef!$C:$D,2,FALSE),"-") &amp; " / " &amp; IFERROR(VLOOKUP(MID(O17,P17,Q17-P17),[6]skilldef!$A:$B,2,FALSE),"-")</f>
        <v>- / 全体攻撃</v>
      </c>
      <c r="U17" s="46" t="str">
        <f t="shared" si="24"/>
        <v>none</v>
      </c>
      <c r="V17" s="50" t="e">
        <f t="shared" si="25"/>
        <v>#VALUE!</v>
      </c>
      <c r="W17" s="50">
        <f t="shared" si="26"/>
        <v>4</v>
      </c>
      <c r="X17" s="50" t="e">
        <f t="shared" si="27"/>
        <v>#VALUE!</v>
      </c>
      <c r="Y17" s="50" t="e">
        <f t="shared" si="28"/>
        <v>#VALUE!</v>
      </c>
      <c r="Z17" s="50" t="str">
        <f>IFERROR(VLOOKUP(MID(U17,X17,Y17-X17),[6]skilldef!$C:$D,2,FALSE),"-") &amp; " / " &amp; IFERROR(VLOOKUP(MID(U17,V17,W17-V17),[6]skilldef!$A:$B,2,FALSE),"-")</f>
        <v>- / -</v>
      </c>
      <c r="AA17" s="49"/>
      <c r="AB17" s="51"/>
      <c r="AC17" s="49"/>
      <c r="AD17" s="116" t="s">
        <v>399</v>
      </c>
      <c r="AE17" s="189"/>
    </row>
    <row r="18" spans="1:32" s="190" customFormat="1" ht="42" customHeight="1" x14ac:dyDescent="0.15">
      <c r="A18" s="197">
        <v>40045451</v>
      </c>
      <c r="B18" s="47" t="str">
        <f t="shared" si="0"/>
        <v>[effect:enemy_message, val1:1.2, val2:1.2],[effect:rush, count:3, val:0.35]</v>
      </c>
      <c r="C18" s="49">
        <v>3</v>
      </c>
      <c r="D18" s="49" t="s">
        <v>126</v>
      </c>
      <c r="E18" s="50"/>
      <c r="F18" s="50" t="s">
        <v>411</v>
      </c>
      <c r="G18" s="50" t="s">
        <v>390</v>
      </c>
      <c r="H18" s="50" t="str">
        <f t="shared" si="14"/>
        <v>[effect:enemy_message, val1:1.2, val2:1.2]</v>
      </c>
      <c r="I18" s="50">
        <f t="shared" si="15"/>
        <v>9</v>
      </c>
      <c r="J18" s="50">
        <f t="shared" si="16"/>
        <v>22</v>
      </c>
      <c r="K18" s="50" t="e">
        <f t="shared" si="17"/>
        <v>#VALUE!</v>
      </c>
      <c r="L18" s="50">
        <f t="shared" si="18"/>
        <v>32</v>
      </c>
      <c r="M18" s="50" t="str">
        <f>IFERROR(VLOOKUP(MID(H18,K18,L18-K18),[6]skilldef!$C:$D,2,FALSE),"-") &amp; " / " &amp; IFERROR(VLOOKUP(MID(H18,I18,J18-I18),[6]skilldef!$A:$B,2,FALSE),"-")</f>
        <v>- / -</v>
      </c>
      <c r="N18" s="50" t="str">
        <f t="shared" si="19"/>
        <v>[effect:rush, count:3, val:0.35]</v>
      </c>
      <c r="O18" s="46" t="str">
        <f t="shared" si="29"/>
        <v>[effect:rush, count:3, val:0.35]</v>
      </c>
      <c r="P18" s="50">
        <f t="shared" si="20"/>
        <v>9</v>
      </c>
      <c r="Q18" s="50">
        <f t="shared" si="21"/>
        <v>13</v>
      </c>
      <c r="R18" s="50" t="e">
        <f t="shared" si="22"/>
        <v>#VALUE!</v>
      </c>
      <c r="S18" s="50">
        <f t="shared" si="23"/>
        <v>22</v>
      </c>
      <c r="T18" s="50" t="str">
        <f>IFERROR(VLOOKUP(MID(O18,R18,S18-R18),[6]skilldef!$C:$D,2,FALSE),"-") &amp; " / " &amp; IFERROR(VLOOKUP(MID(O18,P18,Q18-P18),[6]skilldef!$A:$B,2,FALSE),"-")</f>
        <v>- / 連続攻撃</v>
      </c>
      <c r="U18" s="46" t="str">
        <f t="shared" si="24"/>
        <v>none</v>
      </c>
      <c r="V18" s="50" t="e">
        <f t="shared" si="25"/>
        <v>#VALUE!</v>
      </c>
      <c r="W18" s="50">
        <f t="shared" si="26"/>
        <v>4</v>
      </c>
      <c r="X18" s="50" t="e">
        <f t="shared" si="27"/>
        <v>#VALUE!</v>
      </c>
      <c r="Y18" s="50" t="e">
        <f t="shared" si="28"/>
        <v>#VALUE!</v>
      </c>
      <c r="Z18" s="50" t="str">
        <f>IFERROR(VLOOKUP(MID(U18,X18,Y18-X18),[6]skilldef!$C:$D,2,FALSE),"-") &amp; " / " &amp; IFERROR(VLOOKUP(MID(U18,V18,W18-V18),[6]skilldef!$A:$B,2,FALSE),"-")</f>
        <v>- / -</v>
      </c>
      <c r="AA18" s="49"/>
      <c r="AB18" s="51"/>
      <c r="AC18" s="49"/>
      <c r="AD18" s="116" t="s">
        <v>397</v>
      </c>
      <c r="AE18" s="189"/>
    </row>
    <row r="19" spans="1:32" s="190" customFormat="1" ht="42" customHeight="1" x14ac:dyDescent="0.15">
      <c r="A19" s="197">
        <v>40045452</v>
      </c>
      <c r="B19" s="47" t="str">
        <f t="shared" si="0"/>
        <v>[effect:enemy_message, val1:1.2, val2:1.2],[effect:enhance_enemy, target:myself, turn:-1, status:attack, val:0.2, calc:mul, animation:enemy_enhance_attack]</v>
      </c>
      <c r="C19" s="49">
        <v>3</v>
      </c>
      <c r="D19" s="49" t="s">
        <v>126</v>
      </c>
      <c r="E19" s="50"/>
      <c r="F19" s="50" t="s">
        <v>409</v>
      </c>
      <c r="G19" s="50" t="s">
        <v>391</v>
      </c>
      <c r="H19" s="50" t="str">
        <f t="shared" si="14"/>
        <v>[effect:enemy_message, val1:1.2, val2:1.2]</v>
      </c>
      <c r="I19" s="50">
        <f t="shared" si="15"/>
        <v>9</v>
      </c>
      <c r="J19" s="50">
        <f t="shared" si="16"/>
        <v>22</v>
      </c>
      <c r="K19" s="50" t="e">
        <f t="shared" si="17"/>
        <v>#VALUE!</v>
      </c>
      <c r="L19" s="50">
        <f t="shared" si="18"/>
        <v>32</v>
      </c>
      <c r="M19" s="50" t="str">
        <f>IFERROR(VLOOKUP(MID(H19,K19,L19-K19),[6]skilldef!$C:$D,2,FALSE),"-") &amp; " / " &amp; IFERROR(VLOOKUP(MID(H19,I19,J19-I19),[6]skilldef!$A:$B,2,FALSE),"-")</f>
        <v>- / -</v>
      </c>
      <c r="N19" s="50" t="str">
        <f t="shared" si="19"/>
        <v>[effect:enhance_enemy, target:myself, turn:-1, status:attack, val:0.2, calc:mul, animation:enemy_enhance_attack]</v>
      </c>
      <c r="O19" s="46" t="str">
        <f t="shared" si="29"/>
        <v>[effect:enhance_enemy, target:myself, turn:-1, status:attack, val:0.2, calc:mul, animation:enemy_enhance_attack]</v>
      </c>
      <c r="P19" s="50">
        <f t="shared" si="20"/>
        <v>9</v>
      </c>
      <c r="Q19" s="50">
        <f t="shared" si="21"/>
        <v>22</v>
      </c>
      <c r="R19" s="50">
        <f t="shared" si="22"/>
        <v>31</v>
      </c>
      <c r="S19" s="50">
        <f t="shared" si="23"/>
        <v>37</v>
      </c>
      <c r="T19" s="50" t="str">
        <f>IFERROR(VLOOKUP(MID(O19,R19,S19-R19),[6]skilldef!$C:$D,2,FALSE),"-") &amp; " / " &amp; IFERROR(VLOOKUP(MID(O19,P19,Q19-P19),[6]skilldef!$A:$B,2,FALSE),"-")</f>
        <v>自分自身に / ステータス強化</v>
      </c>
      <c r="U19" s="46" t="str">
        <f t="shared" si="24"/>
        <v>none</v>
      </c>
      <c r="V19" s="50" t="e">
        <f t="shared" si="25"/>
        <v>#VALUE!</v>
      </c>
      <c r="W19" s="50">
        <f t="shared" si="26"/>
        <v>4</v>
      </c>
      <c r="X19" s="50" t="e">
        <f t="shared" si="27"/>
        <v>#VALUE!</v>
      </c>
      <c r="Y19" s="50" t="e">
        <f t="shared" si="28"/>
        <v>#VALUE!</v>
      </c>
      <c r="Z19" s="50" t="str">
        <f>IFERROR(VLOOKUP(MID(U19,X19,Y19-X19),[6]skilldef!$C:$D,2,FALSE),"-") &amp; " / " &amp; IFERROR(VLOOKUP(MID(U19,V19,W19-V19),[6]skilldef!$A:$B,2,FALSE),"-")</f>
        <v>- / -</v>
      </c>
      <c r="AA19" s="49"/>
      <c r="AB19" s="51"/>
      <c r="AC19" s="49"/>
      <c r="AD19" s="116" t="s">
        <v>362</v>
      </c>
      <c r="AE19" s="189"/>
    </row>
    <row r="20" spans="1:32" s="190" customFormat="1" ht="42" customHeight="1" x14ac:dyDescent="0.15">
      <c r="A20" s="197">
        <v>40045550</v>
      </c>
      <c r="B20" s="47" t="str">
        <f t="shared" si="0"/>
        <v>[effect:enemy_message, val1:1.2, val2:1.2],[effect:break_attack_fix, target:unit_one, val:120, lowest_val:1500, count:-1, block01:block_red]</v>
      </c>
      <c r="C20" s="49">
        <v>3</v>
      </c>
      <c r="D20" s="49" t="s">
        <v>126</v>
      </c>
      <c r="E20" s="50"/>
      <c r="F20" s="50" t="s">
        <v>413</v>
      </c>
      <c r="G20" s="50" t="s">
        <v>333</v>
      </c>
      <c r="H20" s="50" t="str">
        <f t="shared" si="14"/>
        <v>[effect:enemy_message, val1:1.2, val2:1.2]</v>
      </c>
      <c r="I20" s="50">
        <f t="shared" si="15"/>
        <v>9</v>
      </c>
      <c r="J20" s="50">
        <f t="shared" si="16"/>
        <v>22</v>
      </c>
      <c r="K20" s="50" t="e">
        <f t="shared" si="17"/>
        <v>#VALUE!</v>
      </c>
      <c r="L20" s="50">
        <f t="shared" si="18"/>
        <v>32</v>
      </c>
      <c r="M20" s="50" t="str">
        <f>IFERROR(VLOOKUP(MID(H20,K20,L20-K20),[6]skilldef!$C:$D,2,FALSE),"-") &amp; " / " &amp; IFERROR(VLOOKUP(MID(H20,I20,J20-I20),[6]skilldef!$A:$B,2,FALSE),"-")</f>
        <v>- / -</v>
      </c>
      <c r="N20" s="50" t="str">
        <f t="shared" si="19"/>
        <v>[effect:break_attack_fix, target:unit_one, val:120, lowest_val:1500, count:-1, block01:block_red]</v>
      </c>
      <c r="O20" s="46" t="str">
        <f t="shared" si="29"/>
        <v>[effect:break_attack_fix, target:unit_one, val:120, lowest_val:1500, count:-1, block01:block_red]</v>
      </c>
      <c r="P20" s="50">
        <f t="shared" si="20"/>
        <v>9</v>
      </c>
      <c r="Q20" s="50">
        <f t="shared" si="21"/>
        <v>25</v>
      </c>
      <c r="R20" s="50">
        <f t="shared" si="22"/>
        <v>34</v>
      </c>
      <c r="S20" s="50">
        <f t="shared" si="23"/>
        <v>42</v>
      </c>
      <c r="T20" s="50" t="str">
        <f>IFERROR(VLOOKUP(MID(O20,R20,S20-R20),[6]skilldef!$C:$D,2,FALSE),"-") &amp; " / " &amp; IFERROR(VLOOKUP(MID(O20,P20,Q20-P20),[6]skilldef!$A:$B,2,FALSE),"-")</f>
        <v>味方単体に / -</v>
      </c>
      <c r="U20" s="46" t="str">
        <f t="shared" si="24"/>
        <v>none</v>
      </c>
      <c r="V20" s="50" t="e">
        <f t="shared" si="25"/>
        <v>#VALUE!</v>
      </c>
      <c r="W20" s="50">
        <f t="shared" si="26"/>
        <v>4</v>
      </c>
      <c r="X20" s="50" t="e">
        <f t="shared" si="27"/>
        <v>#VALUE!</v>
      </c>
      <c r="Y20" s="50" t="e">
        <f t="shared" si="28"/>
        <v>#VALUE!</v>
      </c>
      <c r="Z20" s="50" t="str">
        <f>IFERROR(VLOOKUP(MID(U20,X20,Y20-X20),[6]skilldef!$C:$D,2,FALSE),"-") &amp; " / " &amp; IFERROR(VLOOKUP(MID(U20,V20,W20-V20),[6]skilldef!$A:$B,2,FALSE),"-")</f>
        <v>- / -</v>
      </c>
      <c r="AA20" s="49"/>
      <c r="AB20" s="51"/>
      <c r="AC20" s="49"/>
      <c r="AD20" s="116" t="s">
        <v>583</v>
      </c>
      <c r="AE20" s="189"/>
    </row>
    <row r="21" spans="1:32" s="190" customFormat="1" ht="42" customHeight="1" x14ac:dyDescent="0.15">
      <c r="A21" s="197">
        <v>40045551</v>
      </c>
      <c r="B21" s="47" t="str">
        <f t="shared" si="0"/>
        <v>[effect:enemy_message, val1:1.2, val2:2.7],[effect:rush, count:5, val:0.2],[effect:force_change_block, new_block:damage, target:block_green, color:block_yellow, count:4, val:0.05, animation:change_bock]</v>
      </c>
      <c r="C21" s="49">
        <v>3</v>
      </c>
      <c r="D21" s="49" t="s">
        <v>126</v>
      </c>
      <c r="E21" s="50"/>
      <c r="F21" s="50" t="s">
        <v>405</v>
      </c>
      <c r="G21" s="50" t="s">
        <v>584</v>
      </c>
      <c r="H21" s="50" t="str">
        <f t="shared" si="14"/>
        <v>[effect:enemy_message, val1:1.2, val2:2.7]</v>
      </c>
      <c r="I21" s="50">
        <f t="shared" si="15"/>
        <v>9</v>
      </c>
      <c r="J21" s="50">
        <f t="shared" si="16"/>
        <v>22</v>
      </c>
      <c r="K21" s="50" t="e">
        <f t="shared" si="17"/>
        <v>#VALUE!</v>
      </c>
      <c r="L21" s="50">
        <f t="shared" si="18"/>
        <v>32</v>
      </c>
      <c r="M21" s="50" t="str">
        <f>IFERROR(VLOOKUP(MID(H21,K21,L21-K21),[6]skilldef!$C:$D,2,FALSE),"-") &amp; " / " &amp; IFERROR(VLOOKUP(MID(H21,I21,J21-I21),[6]skilldef!$A:$B,2,FALSE),"-")</f>
        <v>- / -</v>
      </c>
      <c r="N21" s="50" t="str">
        <f t="shared" si="19"/>
        <v>[effect:rush, count:5, val:0.2],[effect:force_change_block, new_block:damage, target:block_green, color:block_yellow, count:4, val:0.05, animation:change_bock]</v>
      </c>
      <c r="O21" s="46" t="str">
        <f t="shared" si="29"/>
        <v>[effect:rush, count:5, val:0.2],[effect:force_change_block, new_block:damage, target:block_green, color:block_yellow, count:4, val:0.05, animation:change_bock]</v>
      </c>
      <c r="P21" s="50">
        <f t="shared" si="20"/>
        <v>9</v>
      </c>
      <c r="Q21" s="50">
        <f t="shared" si="21"/>
        <v>13</v>
      </c>
      <c r="R21" s="50">
        <f t="shared" si="22"/>
        <v>86</v>
      </c>
      <c r="S21" s="50">
        <f t="shared" si="23"/>
        <v>22</v>
      </c>
      <c r="T21" s="50" t="str">
        <f>IFERROR(VLOOKUP(MID(O21,R21,S21-R21),[6]skilldef!$C:$D,2,FALSE),"-") &amp; " / " &amp; IFERROR(VLOOKUP(MID(O21,P21,Q21-P21),[6]skilldef!$A:$B,2,FALSE),"-")</f>
        <v>- / 連続攻撃</v>
      </c>
      <c r="U21" s="46" t="str">
        <f t="shared" si="24"/>
        <v>[effect:force_change_block, new_block:damage, target:block_green, color:block_yellow, count:4, val:0.05, animation:change_bock]</v>
      </c>
      <c r="V21" s="50">
        <f t="shared" si="25"/>
        <v>9</v>
      </c>
      <c r="W21" s="50">
        <f t="shared" si="26"/>
        <v>27</v>
      </c>
      <c r="X21" s="50">
        <f t="shared" si="27"/>
        <v>54</v>
      </c>
      <c r="Y21" s="50">
        <f t="shared" si="28"/>
        <v>45</v>
      </c>
      <c r="Z21" s="50" t="str">
        <f>IFERROR(VLOOKUP(MID(U21,X21,Y21-X21),[6]skilldef!$C:$D,2,FALSE),"-") &amp; " / " &amp; IFERROR(VLOOKUP(MID(U21,V21,W21-V21),[6]skilldef!$A:$B,2,FALSE),"-")</f>
        <v>- / -</v>
      </c>
      <c r="AA21" s="49"/>
      <c r="AB21" s="51"/>
      <c r="AC21" s="49"/>
      <c r="AD21" s="116" t="s">
        <v>585</v>
      </c>
      <c r="AE21" s="189"/>
    </row>
    <row r="22" spans="1:32" s="190" customFormat="1" ht="42" customHeight="1" x14ac:dyDescent="0.15">
      <c r="A22" s="197">
        <v>40045552</v>
      </c>
      <c r="B22" s="47" t="str">
        <f t="shared" si="0"/>
        <v>[effect:enemy_message, val1:1.2, val2:1.2],[effect:spread, val:0.3]</v>
      </c>
      <c r="C22" s="49">
        <v>3</v>
      </c>
      <c r="D22" s="49" t="s">
        <v>126</v>
      </c>
      <c r="E22" s="50"/>
      <c r="F22" s="50" t="s">
        <v>415</v>
      </c>
      <c r="G22" s="50" t="s">
        <v>335</v>
      </c>
      <c r="H22" s="50" t="str">
        <f t="shared" si="14"/>
        <v>[effect:enemy_message, val1:1.2, val2:1.2]</v>
      </c>
      <c r="I22" s="50">
        <f t="shared" si="15"/>
        <v>9</v>
      </c>
      <c r="J22" s="50">
        <f t="shared" si="16"/>
        <v>22</v>
      </c>
      <c r="K22" s="50" t="e">
        <f t="shared" si="17"/>
        <v>#VALUE!</v>
      </c>
      <c r="L22" s="50">
        <f t="shared" si="18"/>
        <v>32</v>
      </c>
      <c r="M22" s="50" t="str">
        <f>IFERROR(VLOOKUP(MID(H22,K22,L22-K22),[6]skilldef!$C:$D,2,FALSE),"-") &amp; " / " &amp; IFERROR(VLOOKUP(MID(H22,I22,J22-I22),[6]skilldef!$A:$B,2,FALSE),"-")</f>
        <v>- / -</v>
      </c>
      <c r="N22" s="50" t="str">
        <f t="shared" si="19"/>
        <v>[effect:spread, val:0.3]</v>
      </c>
      <c r="O22" s="46" t="str">
        <f t="shared" si="29"/>
        <v>[effect:spread, val:0.3]</v>
      </c>
      <c r="P22" s="50">
        <f t="shared" si="20"/>
        <v>9</v>
      </c>
      <c r="Q22" s="50">
        <f t="shared" si="21"/>
        <v>15</v>
      </c>
      <c r="R22" s="50" t="e">
        <f t="shared" si="22"/>
        <v>#VALUE!</v>
      </c>
      <c r="S22" s="50" t="e">
        <f t="shared" si="23"/>
        <v>#VALUE!</v>
      </c>
      <c r="T22" s="50" t="str">
        <f>IFERROR(VLOOKUP(MID(O22,R22,S22-R22),[6]skilldef!$C:$D,2,FALSE),"-") &amp; " / " &amp; IFERROR(VLOOKUP(MID(O22,P22,Q22-P22),[6]skilldef!$A:$B,2,FALSE),"-")</f>
        <v>- / 全体攻撃</v>
      </c>
      <c r="U22" s="46" t="str">
        <f t="shared" si="24"/>
        <v>none</v>
      </c>
      <c r="V22" s="50" t="e">
        <f t="shared" si="25"/>
        <v>#VALUE!</v>
      </c>
      <c r="W22" s="50">
        <f t="shared" si="26"/>
        <v>4</v>
      </c>
      <c r="X22" s="50" t="e">
        <f t="shared" si="27"/>
        <v>#VALUE!</v>
      </c>
      <c r="Y22" s="50" t="e">
        <f t="shared" si="28"/>
        <v>#VALUE!</v>
      </c>
      <c r="Z22" s="50" t="str">
        <f>IFERROR(VLOOKUP(MID(U22,X22,Y22-X22),[6]skilldef!$C:$D,2,FALSE),"-") &amp; " / " &amp; IFERROR(VLOOKUP(MID(U22,V22,W22-V22),[6]skilldef!$A:$B,2,FALSE),"-")</f>
        <v>- / -</v>
      </c>
      <c r="AA22" s="49"/>
      <c r="AB22" s="51"/>
      <c r="AC22" s="49"/>
      <c r="AD22" s="116" t="s">
        <v>369</v>
      </c>
      <c r="AE22" s="189"/>
    </row>
    <row r="23" spans="1:32" s="190" customFormat="1" ht="42" customHeight="1" x14ac:dyDescent="0.15">
      <c r="A23" s="197">
        <v>40045650</v>
      </c>
      <c r="B23" s="47" t="str">
        <f t="shared" si="0"/>
        <v>[effect:enemy_message, val1:1.2, val2:1.4],[effect:virus, target:unit_all, turn:8, rate:1, val:0.1, animation:enemy_virus]</v>
      </c>
      <c r="C23" s="49">
        <v>3</v>
      </c>
      <c r="D23" s="49" t="s">
        <v>126</v>
      </c>
      <c r="E23" s="50"/>
      <c r="F23" s="50" t="s">
        <v>412</v>
      </c>
      <c r="G23" s="50" t="s">
        <v>579</v>
      </c>
      <c r="H23" s="50" t="str">
        <f t="shared" si="14"/>
        <v>[effect:enemy_message, val1:1.2, val2:1.4]</v>
      </c>
      <c r="I23" s="50">
        <f t="shared" si="15"/>
        <v>9</v>
      </c>
      <c r="J23" s="50">
        <f t="shared" si="16"/>
        <v>22</v>
      </c>
      <c r="K23" s="50" t="e">
        <f t="shared" si="17"/>
        <v>#VALUE!</v>
      </c>
      <c r="L23" s="50">
        <f t="shared" si="18"/>
        <v>32</v>
      </c>
      <c r="M23" s="50" t="str">
        <f>IFERROR(VLOOKUP(MID(H23,K23,L23-K23),[6]skilldef!$C:$D,2,FALSE),"-") &amp; " / " &amp; IFERROR(VLOOKUP(MID(H23,I23,J23-I23),[6]skilldef!$A:$B,2,FALSE),"-")</f>
        <v>- / -</v>
      </c>
      <c r="N23" s="50" t="str">
        <f t="shared" si="19"/>
        <v>[effect:virus, target:unit_all, turn:8, rate:1, val:0.1, animation:enemy_virus]</v>
      </c>
      <c r="O23" s="46" t="str">
        <f t="shared" ref="O23:O25" si="30">IFERROR(LEFT(N23,FIND("],",N23)+T34),N23)</f>
        <v>[effect:virus, target:unit_all, turn:8, rate:1, val:0.1, animation:enemy_virus]</v>
      </c>
      <c r="P23" s="50">
        <f t="shared" si="20"/>
        <v>9</v>
      </c>
      <c r="Q23" s="50">
        <f t="shared" si="21"/>
        <v>14</v>
      </c>
      <c r="R23" s="50">
        <f t="shared" si="22"/>
        <v>23</v>
      </c>
      <c r="S23" s="50">
        <f t="shared" si="23"/>
        <v>31</v>
      </c>
      <c r="T23" s="50" t="str">
        <f>IFERROR(VLOOKUP(MID(O23,R23,S23-R23),[6]skilldef!$C:$D,2,FALSE),"-") &amp; " / " &amp; IFERROR(VLOOKUP(MID(O23,P23,Q23-P23),[6]skilldef!$A:$B,2,FALSE),"-")</f>
        <v>味方全体に / ウィルス</v>
      </c>
      <c r="U23" s="46" t="str">
        <f t="shared" si="24"/>
        <v>none</v>
      </c>
      <c r="V23" s="50" t="e">
        <f t="shared" si="25"/>
        <v>#VALUE!</v>
      </c>
      <c r="W23" s="50">
        <f t="shared" si="26"/>
        <v>4</v>
      </c>
      <c r="X23" s="50" t="e">
        <f t="shared" si="27"/>
        <v>#VALUE!</v>
      </c>
      <c r="Y23" s="50" t="e">
        <f t="shared" si="28"/>
        <v>#VALUE!</v>
      </c>
      <c r="Z23" s="50" t="str">
        <f>IFERROR(VLOOKUP(MID(U23,X23,Y23-X23),[6]skilldef!$C:$D,2,FALSE),"-") &amp; " / " &amp; IFERROR(VLOOKUP(MID(U23,V23,W23-V23),[6]skilldef!$A:$B,2,FALSE),"-")</f>
        <v>- / -</v>
      </c>
      <c r="AA23" s="49"/>
      <c r="AB23" s="51"/>
      <c r="AC23" s="49"/>
      <c r="AD23" s="116" t="s">
        <v>586</v>
      </c>
      <c r="AE23" s="189"/>
    </row>
    <row r="24" spans="1:32" s="190" customFormat="1" ht="42" customHeight="1" x14ac:dyDescent="0.15">
      <c r="A24" s="197">
        <v>40045651</v>
      </c>
      <c r="B24" s="47" t="str">
        <f t="shared" si="0"/>
        <v>[effect:enemy_message, val1:1.2, val2:2.2],[effect:damage_anti_abnormal, target:unit_all, target_effect01:virus, val1:0.6, val2:0.45]</v>
      </c>
      <c r="C24" s="49">
        <v>3</v>
      </c>
      <c r="D24" s="49" t="s">
        <v>126</v>
      </c>
      <c r="E24" s="50"/>
      <c r="F24" s="50" t="s">
        <v>437</v>
      </c>
      <c r="G24" s="50" t="s">
        <v>331</v>
      </c>
      <c r="H24" s="50" t="str">
        <f t="shared" si="14"/>
        <v>[effect:enemy_message, val1:1.2, val2:2.2]</v>
      </c>
      <c r="I24" s="50">
        <f t="shared" si="15"/>
        <v>9</v>
      </c>
      <c r="J24" s="50">
        <f t="shared" si="16"/>
        <v>22</v>
      </c>
      <c r="K24" s="50" t="e">
        <f t="shared" si="17"/>
        <v>#VALUE!</v>
      </c>
      <c r="L24" s="50">
        <f t="shared" si="18"/>
        <v>32</v>
      </c>
      <c r="M24" s="50" t="str">
        <f>IFERROR(VLOOKUP(MID(H24,K24,L24-K24),[6]skilldef!$C:$D,2,FALSE),"-") &amp; " / " &amp; IFERROR(VLOOKUP(MID(H24,I24,J24-I24),[6]skilldef!$A:$B,2,FALSE),"-")</f>
        <v>- / -</v>
      </c>
      <c r="N24" s="50" t="str">
        <f t="shared" si="19"/>
        <v>[effect:damage_anti_abnormal, target:unit_all, target_effect01:virus, val1:0.6, val2:0.45]</v>
      </c>
      <c r="O24" s="46" t="str">
        <f t="shared" si="30"/>
        <v>[effect:damage_anti_abnormal, target:unit_all, target_effect01:virus, val1:0.6, val2:0.45]</v>
      </c>
      <c r="P24" s="50">
        <f t="shared" si="20"/>
        <v>9</v>
      </c>
      <c r="Q24" s="50">
        <f t="shared" si="21"/>
        <v>29</v>
      </c>
      <c r="R24" s="50">
        <f t="shared" si="22"/>
        <v>38</v>
      </c>
      <c r="S24" s="50">
        <f t="shared" si="23"/>
        <v>46</v>
      </c>
      <c r="T24" s="50" t="str">
        <f>IFERROR(VLOOKUP(MID(O24,R24,S24-R24),[6]skilldef!$C:$D,2,FALSE),"-") &amp; " / " &amp; IFERROR(VLOOKUP(MID(O24,P24,Q24-P24),[6]skilldef!$A:$B,2,FALSE),"-")</f>
        <v>味方全体に / -</v>
      </c>
      <c r="U24" s="46" t="str">
        <f t="shared" si="24"/>
        <v>none</v>
      </c>
      <c r="V24" s="50" t="e">
        <f t="shared" si="25"/>
        <v>#VALUE!</v>
      </c>
      <c r="W24" s="50">
        <f t="shared" si="26"/>
        <v>4</v>
      </c>
      <c r="X24" s="50" t="e">
        <f t="shared" si="27"/>
        <v>#VALUE!</v>
      </c>
      <c r="Y24" s="50" t="e">
        <f t="shared" si="28"/>
        <v>#VALUE!</v>
      </c>
      <c r="Z24" s="50" t="str">
        <f>IFERROR(VLOOKUP(MID(U24,X24,Y24-X24),[6]skilldef!$C:$D,2,FALSE),"-") &amp; " / " &amp; IFERROR(VLOOKUP(MID(U24,V24,W24-V24),[6]skilldef!$A:$B,2,FALSE),"-")</f>
        <v>- / -</v>
      </c>
      <c r="AA24" s="49"/>
      <c r="AB24" s="51"/>
      <c r="AC24" s="49"/>
      <c r="AD24" s="116" t="s">
        <v>453</v>
      </c>
      <c r="AE24" s="189"/>
    </row>
    <row r="25" spans="1:32" s="190" customFormat="1" ht="42" customHeight="1" x14ac:dyDescent="0.15">
      <c r="A25" s="197">
        <v>40045652</v>
      </c>
      <c r="B25" s="47" t="str">
        <f t="shared" si="0"/>
        <v>[effect:enemy_message, val1:1.2, val2:1.2],[effect:critical, val:1.5, animation:enemy_critical]</v>
      </c>
      <c r="C25" s="49">
        <v>3</v>
      </c>
      <c r="D25" s="49" t="s">
        <v>126</v>
      </c>
      <c r="E25" s="50"/>
      <c r="F25" s="50" t="s">
        <v>402</v>
      </c>
      <c r="G25" s="50" t="s">
        <v>330</v>
      </c>
      <c r="H25" s="50" t="str">
        <f t="shared" si="14"/>
        <v>[effect:enemy_message, val1:1.2, val2:1.2]</v>
      </c>
      <c r="I25" s="50">
        <f t="shared" si="15"/>
        <v>9</v>
      </c>
      <c r="J25" s="50">
        <f t="shared" si="16"/>
        <v>22</v>
      </c>
      <c r="K25" s="50" t="e">
        <f t="shared" si="17"/>
        <v>#VALUE!</v>
      </c>
      <c r="L25" s="50">
        <f t="shared" si="18"/>
        <v>32</v>
      </c>
      <c r="M25" s="50" t="str">
        <f>IFERROR(VLOOKUP(MID(H25,K25,L25-K25),[6]skilldef!$C:$D,2,FALSE),"-") &amp; " / " &amp; IFERROR(VLOOKUP(MID(H25,I25,J25-I25),[6]skilldef!$A:$B,2,FALSE),"-")</f>
        <v>- / -</v>
      </c>
      <c r="N25" s="50" t="str">
        <f t="shared" si="19"/>
        <v>[effect:critical, val:1.5, animation:enemy_critical]</v>
      </c>
      <c r="O25" s="46" t="str">
        <f t="shared" si="30"/>
        <v>[effect:critical, val:1.5, animation:enemy_critical]</v>
      </c>
      <c r="P25" s="50">
        <f t="shared" si="20"/>
        <v>9</v>
      </c>
      <c r="Q25" s="50">
        <f t="shared" si="21"/>
        <v>17</v>
      </c>
      <c r="R25" s="50" t="e">
        <f t="shared" si="22"/>
        <v>#VALUE!</v>
      </c>
      <c r="S25" s="50">
        <f t="shared" si="23"/>
        <v>26</v>
      </c>
      <c r="T25" s="50" t="str">
        <f>IFERROR(VLOOKUP(MID(O25,R25,S25-R25),[6]skilldef!$C:$D,2,FALSE),"-") &amp; " / " &amp; IFERROR(VLOOKUP(MID(O25,P25,Q25-P25),[6]skilldef!$A:$B,2,FALSE),"-")</f>
        <v>- / 大攻撃</v>
      </c>
      <c r="U25" s="46" t="str">
        <f t="shared" si="24"/>
        <v>none</v>
      </c>
      <c r="V25" s="50" t="e">
        <f t="shared" si="25"/>
        <v>#VALUE!</v>
      </c>
      <c r="W25" s="50">
        <f t="shared" si="26"/>
        <v>4</v>
      </c>
      <c r="X25" s="50" t="e">
        <f t="shared" si="27"/>
        <v>#VALUE!</v>
      </c>
      <c r="Y25" s="50" t="e">
        <f t="shared" si="28"/>
        <v>#VALUE!</v>
      </c>
      <c r="Z25" s="50" t="str">
        <f>IFERROR(VLOOKUP(MID(U25,X25,Y25-X25),[6]skilldef!$C:$D,2,FALSE),"-") &amp; " / " &amp; IFERROR(VLOOKUP(MID(U25,V25,W25-V25),[6]skilldef!$A:$B,2,FALSE),"-")</f>
        <v>- / -</v>
      </c>
      <c r="AA25" s="49"/>
      <c r="AB25" s="51"/>
      <c r="AC25" s="49"/>
      <c r="AD25" s="116" t="s">
        <v>373</v>
      </c>
      <c r="AE25" s="189"/>
    </row>
    <row r="26" spans="1:32" s="190" customFormat="1" ht="42" customHeight="1" x14ac:dyDescent="0.15">
      <c r="A26" s="197">
        <v>40045750</v>
      </c>
      <c r="B26" s="47" t="str">
        <f t="shared" si="0"/>
        <v>[effect:enemy_message, val1:1.2, val2:1.2],[effect:dark, target:unit_all, turn:2, animation:enemy_dark]</v>
      </c>
      <c r="C26" s="49">
        <v>3</v>
      </c>
      <c r="D26" s="49" t="s">
        <v>126</v>
      </c>
      <c r="E26" s="50"/>
      <c r="F26" s="50" t="s">
        <v>403</v>
      </c>
      <c r="G26" s="50" t="s">
        <v>557</v>
      </c>
      <c r="H26" s="50" t="str">
        <f t="shared" si="14"/>
        <v>[effect:enemy_message, val1:1.2, val2:1.2]</v>
      </c>
      <c r="I26" s="50">
        <f t="shared" si="15"/>
        <v>9</v>
      </c>
      <c r="J26" s="50">
        <f t="shared" si="16"/>
        <v>22</v>
      </c>
      <c r="K26" s="50" t="e">
        <f t="shared" si="17"/>
        <v>#VALUE!</v>
      </c>
      <c r="L26" s="50">
        <f t="shared" si="18"/>
        <v>32</v>
      </c>
      <c r="M26" s="50" t="str">
        <f>IFERROR(VLOOKUP(MID(H26,K26,L26-K26),[6]skilldef!$C:$D,2,FALSE),"-") &amp; " / " &amp; IFERROR(VLOOKUP(MID(H26,I26,J26-I26),[6]skilldef!$A:$B,2,FALSE),"-")</f>
        <v>- / -</v>
      </c>
      <c r="N26" s="50" t="str">
        <f t="shared" si="19"/>
        <v>[effect:dark, target:unit_all, turn:2, animation:enemy_dark]</v>
      </c>
      <c r="O26" s="46" t="str">
        <f t="shared" ref="O26:O32" si="31">IFERROR(LEFT(N26,FIND("],",N26)+T38),N26)</f>
        <v>[effect:dark, target:unit_all, turn:2, animation:enemy_dark]</v>
      </c>
      <c r="P26" s="50">
        <f t="shared" si="20"/>
        <v>9</v>
      </c>
      <c r="Q26" s="50">
        <f t="shared" si="21"/>
        <v>13</v>
      </c>
      <c r="R26" s="50">
        <f t="shared" si="22"/>
        <v>22</v>
      </c>
      <c r="S26" s="50">
        <f t="shared" si="23"/>
        <v>30</v>
      </c>
      <c r="T26" s="50" t="str">
        <f>IFERROR(VLOOKUP(MID(O26,R26,S26-R26),[6]skilldef!$C:$D,2,FALSE),"-") &amp; " / " &amp; IFERROR(VLOOKUP(MID(O26,P26,Q26-P26),[6]skilldef!$A:$B,2,FALSE),"-")</f>
        <v>味方全体に / 暗黒</v>
      </c>
      <c r="U26" s="46" t="str">
        <f t="shared" si="24"/>
        <v>none</v>
      </c>
      <c r="V26" s="50" t="e">
        <f t="shared" si="25"/>
        <v>#VALUE!</v>
      </c>
      <c r="W26" s="50">
        <f t="shared" si="26"/>
        <v>4</v>
      </c>
      <c r="X26" s="50" t="e">
        <f t="shared" si="27"/>
        <v>#VALUE!</v>
      </c>
      <c r="Y26" s="50" t="e">
        <f t="shared" si="28"/>
        <v>#VALUE!</v>
      </c>
      <c r="Z26" s="50" t="str">
        <f>IFERROR(VLOOKUP(MID(U26,X26,Y26-X26),[6]skilldef!$C:$D,2,FALSE),"-") &amp; " / " &amp; IFERROR(VLOOKUP(MID(U26,V26,W26-V26),[6]skilldef!$A:$B,2,FALSE),"-")</f>
        <v>- / -</v>
      </c>
      <c r="AA26" s="49"/>
      <c r="AB26" s="51"/>
      <c r="AC26" s="49"/>
      <c r="AD26" s="116" t="s">
        <v>556</v>
      </c>
      <c r="AE26" s="189"/>
    </row>
    <row r="27" spans="1:32" s="190" customFormat="1" ht="42" customHeight="1" x14ac:dyDescent="0.15">
      <c r="A27" s="197">
        <v>40045751</v>
      </c>
      <c r="B27" s="47" t="str">
        <f t="shared" si="0"/>
        <v>[effect:enemy_message, val1:1.2, val2:2.4],[effect:rush, count:1, val:1.0],[effect:force_change_block, new_block:damage, target:block_blue, color:block_red, count:4, val:0.1, animation:change_bock]</v>
      </c>
      <c r="C27" s="49">
        <v>3</v>
      </c>
      <c r="D27" s="49" t="s">
        <v>126</v>
      </c>
      <c r="E27" s="50"/>
      <c r="F27" s="50" t="s">
        <v>414</v>
      </c>
      <c r="G27" s="50" t="s">
        <v>587</v>
      </c>
      <c r="H27" s="50" t="str">
        <f t="shared" si="14"/>
        <v>[effect:enemy_message, val1:1.2, val2:2.4]</v>
      </c>
      <c r="I27" s="50">
        <f t="shared" si="15"/>
        <v>9</v>
      </c>
      <c r="J27" s="50">
        <f t="shared" si="16"/>
        <v>22</v>
      </c>
      <c r="K27" s="50" t="e">
        <f t="shared" si="17"/>
        <v>#VALUE!</v>
      </c>
      <c r="L27" s="50">
        <f t="shared" si="18"/>
        <v>32</v>
      </c>
      <c r="M27" s="50" t="str">
        <f>IFERROR(VLOOKUP(MID(H27,K27,L27-K27),[6]skilldef!$C:$D,2,FALSE),"-") &amp; " / " &amp; IFERROR(VLOOKUP(MID(H27,I27,J27-I27),[6]skilldef!$A:$B,2,FALSE),"-")</f>
        <v>- / -</v>
      </c>
      <c r="N27" s="50" t="str">
        <f t="shared" si="19"/>
        <v>[effect:rush, count:1, val:1.0],[effect:force_change_block, new_block:damage, target:block_blue, color:block_red, count:4, val:0.1, animation:change_bock]</v>
      </c>
      <c r="O27" s="46" t="str">
        <f t="shared" si="31"/>
        <v>[effect:rush, count:1, val:1.0],[effect:force_change_block, new_block:damage, target:block_blue, color:block_red, count:4, val:0.1, animation:change_bock]</v>
      </c>
      <c r="P27" s="50">
        <f t="shared" si="20"/>
        <v>9</v>
      </c>
      <c r="Q27" s="50">
        <f t="shared" si="21"/>
        <v>13</v>
      </c>
      <c r="R27" s="50">
        <f t="shared" si="22"/>
        <v>86</v>
      </c>
      <c r="S27" s="50">
        <f t="shared" si="23"/>
        <v>22</v>
      </c>
      <c r="T27" s="50" t="str">
        <f>IFERROR(VLOOKUP(MID(O27,R27,S27-R27),[6]skilldef!$C:$D,2,FALSE),"-") &amp; " / " &amp; IFERROR(VLOOKUP(MID(O27,P27,Q27-P27),[6]skilldef!$A:$B,2,FALSE),"-")</f>
        <v>- / 連続攻撃</v>
      </c>
      <c r="U27" s="46" t="str">
        <f t="shared" si="24"/>
        <v>[effect:force_change_block, new_block:damage, target:block_blue, color:block_red, count:4, val:0.1, animation:change_bock]</v>
      </c>
      <c r="V27" s="50">
        <f t="shared" si="25"/>
        <v>9</v>
      </c>
      <c r="W27" s="50">
        <f t="shared" si="26"/>
        <v>27</v>
      </c>
      <c r="X27" s="50">
        <f t="shared" si="27"/>
        <v>54</v>
      </c>
      <c r="Y27" s="50">
        <f t="shared" si="28"/>
        <v>45</v>
      </c>
      <c r="Z27" s="50" t="str">
        <f>IFERROR(VLOOKUP(MID(U27,X27,Y27-X27),[6]skilldef!$C:$D,2,FALSE),"-") &amp; " / " &amp; IFERROR(VLOOKUP(MID(U27,V27,W27-V27),[6]skilldef!$A:$B,2,FALSE),"-")</f>
        <v>- / -</v>
      </c>
      <c r="AA27" s="49"/>
      <c r="AB27" s="51"/>
      <c r="AC27" s="49"/>
      <c r="AD27" s="116" t="s">
        <v>588</v>
      </c>
      <c r="AE27" s="189"/>
    </row>
    <row r="28" spans="1:32" s="190" customFormat="1" ht="42" customHeight="1" x14ac:dyDescent="0.15">
      <c r="A28" s="197">
        <v>40045752</v>
      </c>
      <c r="B28" s="47" t="str">
        <f t="shared" si="0"/>
        <v>[effect:enemy_message, val1:1.2, val2:1.2],[effect:rush, count:3, val:0.5]</v>
      </c>
      <c r="C28" s="49">
        <v>3</v>
      </c>
      <c r="D28" s="49" t="s">
        <v>126</v>
      </c>
      <c r="E28" s="50"/>
      <c r="F28" s="50" t="s">
        <v>404</v>
      </c>
      <c r="G28" s="50" t="s">
        <v>386</v>
      </c>
      <c r="H28" s="50" t="str">
        <f t="shared" si="14"/>
        <v>[effect:enemy_message, val1:1.2, val2:1.2]</v>
      </c>
      <c r="I28" s="50">
        <f t="shared" si="15"/>
        <v>9</v>
      </c>
      <c r="J28" s="50">
        <f t="shared" si="16"/>
        <v>22</v>
      </c>
      <c r="K28" s="50" t="e">
        <f t="shared" si="17"/>
        <v>#VALUE!</v>
      </c>
      <c r="L28" s="50">
        <f t="shared" si="18"/>
        <v>32</v>
      </c>
      <c r="M28" s="50" t="str">
        <f>IFERROR(VLOOKUP(MID(H28,K28,L28-K28),[6]skilldef!$C:$D,2,FALSE),"-") &amp; " / " &amp; IFERROR(VLOOKUP(MID(H28,I28,J28-I28),[6]skilldef!$A:$B,2,FALSE),"-")</f>
        <v>- / -</v>
      </c>
      <c r="N28" s="50" t="str">
        <f t="shared" si="19"/>
        <v>[effect:rush, count:3, val:0.5]</v>
      </c>
      <c r="O28" s="46" t="str">
        <f t="shared" si="31"/>
        <v>[effect:rush, count:3, val:0.5]</v>
      </c>
      <c r="P28" s="50">
        <f t="shared" si="20"/>
        <v>9</v>
      </c>
      <c r="Q28" s="50">
        <f t="shared" si="21"/>
        <v>13</v>
      </c>
      <c r="R28" s="50" t="e">
        <f t="shared" si="22"/>
        <v>#VALUE!</v>
      </c>
      <c r="S28" s="50">
        <f t="shared" si="23"/>
        <v>22</v>
      </c>
      <c r="T28" s="50" t="str">
        <f>IFERROR(VLOOKUP(MID(O28,R28,S28-R28),[6]skilldef!$C:$D,2,FALSE),"-") &amp; " / " &amp; IFERROR(VLOOKUP(MID(O28,P28,Q28-P28),[6]skilldef!$A:$B,2,FALSE),"-")</f>
        <v>- / 連続攻撃</v>
      </c>
      <c r="U28" s="46" t="str">
        <f t="shared" si="24"/>
        <v>none</v>
      </c>
      <c r="V28" s="50" t="e">
        <f t="shared" si="25"/>
        <v>#VALUE!</v>
      </c>
      <c r="W28" s="50">
        <f t="shared" si="26"/>
        <v>4</v>
      </c>
      <c r="X28" s="50" t="e">
        <f t="shared" si="27"/>
        <v>#VALUE!</v>
      </c>
      <c r="Y28" s="50" t="e">
        <f t="shared" si="28"/>
        <v>#VALUE!</v>
      </c>
      <c r="Z28" s="50" t="str">
        <f>IFERROR(VLOOKUP(MID(U28,X28,Y28-X28),[6]skilldef!$C:$D,2,FALSE),"-") &amp; " / " &amp; IFERROR(VLOOKUP(MID(U28,V28,W28-V28),[6]skilldef!$A:$B,2,FALSE),"-")</f>
        <v>- / -</v>
      </c>
      <c r="AA28" s="49"/>
      <c r="AB28" s="51"/>
      <c r="AC28" s="49"/>
      <c r="AD28" s="116" t="s">
        <v>374</v>
      </c>
      <c r="AE28" s="189"/>
    </row>
    <row r="29" spans="1:32" s="190" customFormat="1" ht="60" customHeight="1" x14ac:dyDescent="0.15">
      <c r="A29" s="197">
        <v>40045850</v>
      </c>
      <c r="B29" s="47" t="str">
        <f t="shared" si="0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29" s="49">
        <v>3</v>
      </c>
      <c r="D29" s="49" t="s">
        <v>126</v>
      </c>
      <c r="E29" s="50" t="s">
        <v>525</v>
      </c>
      <c r="F29" s="50" t="s">
        <v>441</v>
      </c>
      <c r="G29" s="50" t="s">
        <v>636</v>
      </c>
      <c r="H29" s="50" t="str">
        <f t="shared" si="14"/>
        <v>[effect:enemy_message, val1:1.2, val2:6.0]</v>
      </c>
      <c r="I29" s="50">
        <f t="shared" si="15"/>
        <v>9</v>
      </c>
      <c r="J29" s="50">
        <f t="shared" si="16"/>
        <v>22</v>
      </c>
      <c r="K29" s="50" t="e">
        <f t="shared" si="17"/>
        <v>#VALUE!</v>
      </c>
      <c r="L29" s="50">
        <f t="shared" si="18"/>
        <v>32</v>
      </c>
      <c r="M29" s="50" t="str">
        <f>IFERROR(VLOOKUP(MID(H29,K29,L29-K29),[6]skilldef!$C:$D,2,FALSE),"-") &amp; " / " &amp; IFERROR(VLOOKUP(MID(H29,I29,J29-I29),[6]skilldef!$A:$B,2,FALSE),"-")</f>
        <v>- / -</v>
      </c>
      <c r="N29" s="50" t="str">
        <f t="shared" si="1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O29" s="46" t="str">
        <f t="shared" si="31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P29" s="50">
        <f t="shared" si="20"/>
        <v>9</v>
      </c>
      <c r="Q29" s="50">
        <f t="shared" si="21"/>
        <v>18</v>
      </c>
      <c r="R29" s="50">
        <f t="shared" si="22"/>
        <v>27</v>
      </c>
      <c r="S29" s="50">
        <f t="shared" si="23"/>
        <v>33</v>
      </c>
      <c r="T29" s="50" t="str">
        <f>IFERROR(VLOOKUP(MID(O29,R29,S29-R29),[6]skilldef!$C:$D,2,FALSE),"-") &amp; " / " &amp; IFERROR(VLOOKUP(MID(O29,P29,Q29-P29),[6]skilldef!$A:$B,2,FALSE),"-")</f>
        <v>自分自身に / 状態異常耐性</v>
      </c>
      <c r="U29" s="46" t="str">
        <f t="shared" si="24"/>
        <v>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V29" s="50">
        <f t="shared" si="25"/>
        <v>9</v>
      </c>
      <c r="W29" s="50">
        <f t="shared" si="26"/>
        <v>23</v>
      </c>
      <c r="X29" s="50">
        <f t="shared" si="27"/>
        <v>83</v>
      </c>
      <c r="Y29" s="50">
        <f t="shared" si="28"/>
        <v>32</v>
      </c>
      <c r="Z29" s="50" t="str">
        <f>IFERROR(VLOOKUP(MID(U29,X29,Y29-X29),[6]skilldef!$C:$D,2,FALSE),"-") &amp; " / " &amp; IFERROR(VLOOKUP(MID(U29,V29,W29-V29),[6]skilldef!$A:$B,2,FALSE),"-")</f>
        <v>- / 割合ダメージ</v>
      </c>
      <c r="AA29" s="49"/>
      <c r="AB29" s="51"/>
      <c r="AC29" s="49"/>
      <c r="AD29" s="116" t="s">
        <v>632</v>
      </c>
      <c r="AE29" s="189"/>
    </row>
    <row r="30" spans="1:32" s="190" customFormat="1" ht="149" customHeight="1" x14ac:dyDescent="0.2">
      <c r="A30" s="197">
        <v>40045851</v>
      </c>
      <c r="B30" s="47" t="str">
        <f t="shared" si="0"/>
        <v>[effect:enemy_message, val1:1.2, val2:3.5],[effect:force_change_block, new_block:crack_bomb, target:block_all, color:block_heart, count:0, val:13, animation:change_block],[effect:change_range_block, block_change:1, base_type:0, square_count:7, position01:0, value_h01:7, value_w01:1, position02:16, value_h02:5, value_w02:1, position03:4, value_h03:5, value_w03:1, position04:6, value_h04:7, value_w04:1, new_block:damage, target:block_all, ignore01:block_negative, color:block_green, count:20, val:0.03, animation:change_range_block]</v>
      </c>
      <c r="C30" s="49">
        <v>3</v>
      </c>
      <c r="D30" s="49" t="s">
        <v>126</v>
      </c>
      <c r="E30" s="50"/>
      <c r="F30" s="50" t="s">
        <v>467</v>
      </c>
      <c r="G30" s="50" t="s">
        <v>574</v>
      </c>
      <c r="H30" s="50" t="str">
        <f t="shared" si="14"/>
        <v>[effect:enemy_message, val1:1.2, val2:3.5]</v>
      </c>
      <c r="I30" s="50">
        <f t="shared" si="15"/>
        <v>9</v>
      </c>
      <c r="J30" s="50">
        <f t="shared" si="16"/>
        <v>22</v>
      </c>
      <c r="K30" s="50" t="e">
        <f t="shared" si="17"/>
        <v>#VALUE!</v>
      </c>
      <c r="L30" s="50">
        <f t="shared" si="18"/>
        <v>32</v>
      </c>
      <c r="M30" s="50" t="str">
        <f>IFERROR(VLOOKUP(MID(H30,K30,L30-K30),[6]skilldef!$C:$D,2,FALSE),"-") &amp; " / " &amp; IFERROR(VLOOKUP(MID(H30,I30,J30-I30),[6]skilldef!$A:$B,2,FALSE),"-")</f>
        <v>- / -</v>
      </c>
      <c r="N30" s="50" t="str">
        <f t="shared" si="19"/>
        <v>[effect:force_change_block, new_block:crack_bomb, target:block_all, color:block_heart, count:0, val:13, animation:change_block],[effect:change_range_block, block_change:1, base_type:0, square_count:7, position01:0, value_h01:7, value_w01:1, position02:16, value_h02:5, value_w02:1, position03:4, value_h03:5, value_w03:1, position04:6, value_h04:7, value_w04:1, new_block:damage, target:block_all, ignore01:block_negative, color:block_green, count:20, val:0.03, animation:change_range_block]</v>
      </c>
      <c r="O30" s="46" t="str">
        <f t="shared" si="31"/>
        <v>[effect:force_change_block, new_block:crack_bomb, target:block_all, color:block_heart, count:0, val:13, animation:change_block],[effect:change_range_block, block_change:1, base_type:0, square_count:7, position01:0, value_h01:7, value_w01:1, position02:16, value_h02:5, value_w02:1, position03:4, value_h03:5, value_w03:1, position04:6, value_h04:7, value_w04:1, new_block:damage, target:block_all, ignore01:block_negative, color:block_green, count:20, val:0.03, animation:change_range_block]</v>
      </c>
      <c r="P30" s="50">
        <f t="shared" si="20"/>
        <v>9</v>
      </c>
      <c r="Q30" s="50">
        <f t="shared" si="21"/>
        <v>27</v>
      </c>
      <c r="R30" s="50">
        <f t="shared" si="22"/>
        <v>58</v>
      </c>
      <c r="S30" s="50">
        <f t="shared" si="23"/>
        <v>49</v>
      </c>
      <c r="T30" s="50" t="str">
        <f>IFERROR(VLOOKUP(MID(O30,R30,S30-R30),[6]skilldef!$C:$D,2,FALSE),"-") &amp; " / " &amp; IFERROR(VLOOKUP(MID(O30,P30,Q30-P30),[6]skilldef!$A:$B,2,FALSE),"-")</f>
        <v>- / -</v>
      </c>
      <c r="U30" s="46" t="str">
        <f t="shared" si="24"/>
        <v>[effect:change_range_block, block_change:1, base_type:0, square_count:7, position01:0, value_h01:7, value_w01:1, position02:16, value_h02:5, value_w02:1, position03:4, value_h03:5, value_w03:1, position04:6, value_h04:7, value_w04:1, new_block:damage, target:block_all, ignore01:block_negative, color:block_green, count:20, val:0.03, animation:change_range_block]</v>
      </c>
      <c r="V30" s="50">
        <f t="shared" si="25"/>
        <v>9</v>
      </c>
      <c r="W30" s="50">
        <f t="shared" si="26"/>
        <v>27</v>
      </c>
      <c r="X30" s="50">
        <f t="shared" si="27"/>
        <v>260</v>
      </c>
      <c r="Y30" s="50">
        <f t="shared" si="28"/>
        <v>43</v>
      </c>
      <c r="Z30" s="50" t="str">
        <f>IFERROR(VLOOKUP(MID(U30,X30,Y30-X30),[6]skilldef!$C:$D,2,FALSE),"-") &amp; " / " &amp; IFERROR(VLOOKUP(MID(U30,V30,W30-V30),[6]skilldef!$A:$B,2,FALSE),"-")</f>
        <v>- / -</v>
      </c>
      <c r="AA30" s="49"/>
      <c r="AB30" s="51"/>
      <c r="AC30" s="49"/>
      <c r="AD30" s="116" t="s">
        <v>639</v>
      </c>
      <c r="AE30" s="189"/>
      <c r="AF30" s="191"/>
    </row>
    <row r="31" spans="1:32" s="190" customFormat="1" ht="42" customHeight="1" x14ac:dyDescent="0.15">
      <c r="A31" s="197">
        <v>40045852</v>
      </c>
      <c r="B31" s="47" t="str">
        <f t="shared" si="0"/>
        <v>[effect:enemy_message, val1:1.2, val2:2.2],[effect:damage_anti_abnormal, target:unit_all, target_effect01:virus, val1:0.9, val2:0.5]</v>
      </c>
      <c r="C31" s="49">
        <v>3</v>
      </c>
      <c r="D31" s="49" t="s">
        <v>126</v>
      </c>
      <c r="E31" s="50"/>
      <c r="F31" s="50" t="s">
        <v>469</v>
      </c>
      <c r="G31" s="50" t="s">
        <v>368</v>
      </c>
      <c r="H31" s="50" t="str">
        <f t="shared" si="14"/>
        <v>[effect:enemy_message, val1:1.2, val2:2.2]</v>
      </c>
      <c r="I31" s="50">
        <f t="shared" si="15"/>
        <v>9</v>
      </c>
      <c r="J31" s="50">
        <f t="shared" si="16"/>
        <v>22</v>
      </c>
      <c r="K31" s="50" t="e">
        <f t="shared" si="17"/>
        <v>#VALUE!</v>
      </c>
      <c r="L31" s="50">
        <f t="shared" si="18"/>
        <v>32</v>
      </c>
      <c r="M31" s="50" t="str">
        <f>IFERROR(VLOOKUP(MID(H31,K31,L31-K31),[6]skilldef!$C:$D,2,FALSE),"-") &amp; " / " &amp; IFERROR(VLOOKUP(MID(H31,I31,J31-I31),[6]skilldef!$A:$B,2,FALSE),"-")</f>
        <v>- / -</v>
      </c>
      <c r="N31" s="50" t="str">
        <f t="shared" si="19"/>
        <v>[effect:damage_anti_abnormal, target:unit_all, target_effect01:virus, val1:0.9, val2:0.5]</v>
      </c>
      <c r="O31" s="46" t="str">
        <f t="shared" si="31"/>
        <v>[effect:damage_anti_abnormal, target:unit_all, target_effect01:virus, val1:0.9, val2:0.5]</v>
      </c>
      <c r="P31" s="50">
        <f t="shared" si="20"/>
        <v>9</v>
      </c>
      <c r="Q31" s="50">
        <f t="shared" si="21"/>
        <v>29</v>
      </c>
      <c r="R31" s="50">
        <f t="shared" si="22"/>
        <v>38</v>
      </c>
      <c r="S31" s="50">
        <f t="shared" si="23"/>
        <v>46</v>
      </c>
      <c r="T31" s="50" t="str">
        <f>IFERROR(VLOOKUP(MID(O31,R31,S31-R31),[6]skilldef!$C:$D,2,FALSE),"-") &amp; " / " &amp; IFERROR(VLOOKUP(MID(O31,P31,Q31-P31),[6]skilldef!$A:$B,2,FALSE),"-")</f>
        <v>味方全体に / -</v>
      </c>
      <c r="U31" s="46" t="str">
        <f t="shared" si="24"/>
        <v>none</v>
      </c>
      <c r="V31" s="50" t="e">
        <f t="shared" si="25"/>
        <v>#VALUE!</v>
      </c>
      <c r="W31" s="50">
        <f t="shared" si="26"/>
        <v>4</v>
      </c>
      <c r="X31" s="50" t="e">
        <f t="shared" si="27"/>
        <v>#VALUE!</v>
      </c>
      <c r="Y31" s="50" t="e">
        <f t="shared" si="28"/>
        <v>#VALUE!</v>
      </c>
      <c r="Z31" s="50" t="str">
        <f>IFERROR(VLOOKUP(MID(U31,X31,Y31-X31),[6]skilldef!$C:$D,2,FALSE),"-") &amp; " / " &amp; IFERROR(VLOOKUP(MID(U31,V31,W31-V31),[6]skilldef!$A:$B,2,FALSE),"-")</f>
        <v>- / -</v>
      </c>
      <c r="AA31" s="49"/>
      <c r="AB31" s="51"/>
      <c r="AC31" s="49"/>
      <c r="AD31" s="116" t="s">
        <v>590</v>
      </c>
      <c r="AE31" s="189"/>
    </row>
    <row r="32" spans="1:32" s="190" customFormat="1" ht="42" customHeight="1" x14ac:dyDescent="0.15">
      <c r="A32" s="197">
        <v>40045853</v>
      </c>
      <c r="B32" s="47" t="str">
        <f t="shared" si="0"/>
        <v>[effect:enemy_message, val1:1.2, val2:2.2],[effect:damage_anti_abnormal, target:unit_all, target_effect01:virus, val1:0.9, val2:0.5]</v>
      </c>
      <c r="C32" s="49">
        <v>3</v>
      </c>
      <c r="D32" s="49" t="s">
        <v>126</v>
      </c>
      <c r="E32" s="50"/>
      <c r="F32" s="50" t="s">
        <v>469</v>
      </c>
      <c r="G32" s="50" t="s">
        <v>368</v>
      </c>
      <c r="H32" s="50" t="str">
        <f t="shared" si="14"/>
        <v>[effect:enemy_message, val1:1.2, val2:2.2]</v>
      </c>
      <c r="I32" s="50">
        <f t="shared" si="15"/>
        <v>9</v>
      </c>
      <c r="J32" s="50">
        <f t="shared" si="16"/>
        <v>22</v>
      </c>
      <c r="K32" s="50" t="e">
        <f t="shared" si="17"/>
        <v>#VALUE!</v>
      </c>
      <c r="L32" s="50">
        <f t="shared" si="18"/>
        <v>32</v>
      </c>
      <c r="M32" s="50" t="str">
        <f>IFERROR(VLOOKUP(MID(H32,K32,L32-K32),[6]skilldef!$C:$D,2,FALSE),"-") &amp; " / " &amp; IFERROR(VLOOKUP(MID(H32,I32,J32-I32),[6]skilldef!$A:$B,2,FALSE),"-")</f>
        <v>- / -</v>
      </c>
      <c r="N32" s="50" t="str">
        <f t="shared" si="19"/>
        <v>[effect:damage_anti_abnormal, target:unit_all, target_effect01:virus, val1:0.9, val2:0.5]</v>
      </c>
      <c r="O32" s="46" t="str">
        <f t="shared" si="31"/>
        <v>[effect:damage_anti_abnormal, target:unit_all, target_effect01:virus, val1:0.9, val2:0.5]</v>
      </c>
      <c r="P32" s="50">
        <f t="shared" si="20"/>
        <v>9</v>
      </c>
      <c r="Q32" s="50">
        <f t="shared" si="21"/>
        <v>29</v>
      </c>
      <c r="R32" s="50">
        <f t="shared" si="22"/>
        <v>38</v>
      </c>
      <c r="S32" s="50">
        <f t="shared" si="23"/>
        <v>46</v>
      </c>
      <c r="T32" s="50" t="str">
        <f>IFERROR(VLOOKUP(MID(O32,R32,S32-R32),[6]skilldef!$C:$D,2,FALSE),"-") &amp; " / " &amp; IFERROR(VLOOKUP(MID(O32,P32,Q32-P32),[6]skilldef!$A:$B,2,FALSE),"-")</f>
        <v>味方全体に / -</v>
      </c>
      <c r="U32" s="46" t="str">
        <f t="shared" si="24"/>
        <v>none</v>
      </c>
      <c r="V32" s="50" t="e">
        <f t="shared" si="25"/>
        <v>#VALUE!</v>
      </c>
      <c r="W32" s="50">
        <f t="shared" si="26"/>
        <v>4</v>
      </c>
      <c r="X32" s="50" t="e">
        <f t="shared" si="27"/>
        <v>#VALUE!</v>
      </c>
      <c r="Y32" s="50" t="e">
        <f t="shared" si="28"/>
        <v>#VALUE!</v>
      </c>
      <c r="Z32" s="50" t="str">
        <f>IFERROR(VLOOKUP(MID(U32,X32,Y32-X32),[6]skilldef!$C:$D,2,FALSE),"-") &amp; " / " &amp; IFERROR(VLOOKUP(MID(U32,V32,W32-V32),[6]skilldef!$A:$B,2,FALSE),"-")</f>
        <v>- / -</v>
      </c>
      <c r="AA32" s="49"/>
      <c r="AB32" s="51"/>
      <c r="AC32" s="49"/>
      <c r="AD32" s="116" t="s">
        <v>590</v>
      </c>
      <c r="AE32" s="189"/>
    </row>
    <row r="33" spans="1:33" s="190" customFormat="1" ht="42" customHeight="1" x14ac:dyDescent="0.15">
      <c r="A33" s="197">
        <v>40045854</v>
      </c>
      <c r="B33" s="47" t="str">
        <f t="shared" si="0"/>
        <v>[effect:enemy_message, val1:1.2, val2:1.9],[effect:force_change_block, new_block:damage, target:block_blue, color:block_green, count:4, val:0.08, animation:change_bock]</v>
      </c>
      <c r="C33" s="49">
        <v>3</v>
      </c>
      <c r="D33" s="49" t="s">
        <v>126</v>
      </c>
      <c r="E33" s="50"/>
      <c r="F33" s="50" t="s">
        <v>638</v>
      </c>
      <c r="G33" s="50" t="s">
        <v>599</v>
      </c>
      <c r="H33" s="50" t="str">
        <f t="shared" si="14"/>
        <v>[effect:enemy_message, val1:1.2, val2:1.9]</v>
      </c>
      <c r="I33" s="50">
        <f t="shared" si="15"/>
        <v>9</v>
      </c>
      <c r="J33" s="50">
        <f t="shared" si="16"/>
        <v>22</v>
      </c>
      <c r="K33" s="50" t="e">
        <f t="shared" si="17"/>
        <v>#VALUE!</v>
      </c>
      <c r="L33" s="50">
        <f t="shared" si="18"/>
        <v>32</v>
      </c>
      <c r="M33" s="50" t="str">
        <f>IFERROR(VLOOKUP(MID(H33,K33,L33-K33),[6]skilldef!$C:$D,2,FALSE),"-") &amp; " / " &amp; IFERROR(VLOOKUP(MID(H33,I33,J33-I33),[6]skilldef!$A:$B,2,FALSE),"-")</f>
        <v>- / -</v>
      </c>
      <c r="N33" s="50" t="str">
        <f t="shared" si="19"/>
        <v>[effect:force_change_block, new_block:damage, target:block_blue, color:block_green, count:4, val:0.08, animation:change_bock]</v>
      </c>
      <c r="O33" s="46" t="str">
        <f>IFERROR(LEFT(N33,FIND("],",N33)+T44),N33)</f>
        <v>[effect:force_change_block, new_block:damage, target:block_blue, color:block_green, count:4, val:0.08, animation:change_bock]</v>
      </c>
      <c r="P33" s="50">
        <f t="shared" si="20"/>
        <v>9</v>
      </c>
      <c r="Q33" s="50">
        <f t="shared" si="21"/>
        <v>27</v>
      </c>
      <c r="R33" s="50">
        <f t="shared" si="22"/>
        <v>54</v>
      </c>
      <c r="S33" s="50">
        <f t="shared" si="23"/>
        <v>45</v>
      </c>
      <c r="T33" s="50" t="str">
        <f>IFERROR(VLOOKUP(MID(O33,R33,S33-R33),[6]skilldef!$C:$D,2,FALSE),"-") &amp; " / " &amp; IFERROR(VLOOKUP(MID(O33,P33,Q33-P33),[6]skilldef!$A:$B,2,FALSE),"-")</f>
        <v>- / -</v>
      </c>
      <c r="U33" s="46" t="str">
        <f t="shared" si="24"/>
        <v>none</v>
      </c>
      <c r="V33" s="50" t="e">
        <f t="shared" si="25"/>
        <v>#VALUE!</v>
      </c>
      <c r="W33" s="50">
        <f t="shared" si="26"/>
        <v>4</v>
      </c>
      <c r="X33" s="50" t="e">
        <f t="shared" si="27"/>
        <v>#VALUE!</v>
      </c>
      <c r="Y33" s="50" t="e">
        <f t="shared" si="28"/>
        <v>#VALUE!</v>
      </c>
      <c r="Z33" s="50" t="str">
        <f>IFERROR(VLOOKUP(MID(U33,X33,Y33-X33),[6]skilldef!$C:$D,2,FALSE),"-") &amp; " / " &amp; IFERROR(VLOOKUP(MID(U33,V33,W33-V33),[6]skilldef!$A:$B,2,FALSE),"-")</f>
        <v>- / -</v>
      </c>
      <c r="AA33" s="49"/>
      <c r="AB33" s="51"/>
      <c r="AC33" s="49"/>
      <c r="AD33" s="116" t="s">
        <v>600</v>
      </c>
      <c r="AE33" s="189"/>
    </row>
    <row r="34" spans="1:33" s="190" customFormat="1" ht="42" customHeight="1" x14ac:dyDescent="0.15">
      <c r="A34" s="197">
        <v>40045855</v>
      </c>
      <c r="B34" s="47" t="str">
        <f t="shared" ref="B34:B55" si="32">"[effect:enemy_message, val1:"&amp;TEXT(IF(TEXT(F34,0)="[表示しない]", "0", IF(LEN(SUBSTITUTE(F34,CHAR(13),""))*0.1&lt;1.2, 1.2, LEN(SUBSTITUTE(F34,CHAR(13),""))*0.1)), "0.0")&amp;", val2:"&amp;TEXT(IF(TEXT(G34,0)="[表示しない]", "0", IF(LEN(SUBSTITUTE(G34,CHAR(13),""))*0.1&lt;1.2, 1.2, LEN(SUBSTITUTE(G34,CHAR(13),""))*0.1)),"0.0")&amp;"]"&amp;IF(LEN(AD34)&gt;0, ","&amp;SUBSTITUTE(AD34,CHAR(13),""),SUBSTITUTE(AD34,CHAR(13),""))</f>
        <v>[effect:enemy_message, val1:1.4, val2:1.6],[effect:break_attack_fix, target:unit_all, val:100, lowest_val:750, count:-1, block01:damage]</v>
      </c>
      <c r="C34" s="49">
        <v>3</v>
      </c>
      <c r="D34" s="49" t="s">
        <v>126</v>
      </c>
      <c r="E34" s="50"/>
      <c r="F34" s="50" t="s">
        <v>443</v>
      </c>
      <c r="G34" s="48" t="s">
        <v>324</v>
      </c>
      <c r="H34" s="50" t="str">
        <f t="shared" si="14"/>
        <v>[effect:enemy_message, val1:1.4, val2:1.6]</v>
      </c>
      <c r="I34" s="50">
        <f t="shared" si="15"/>
        <v>9</v>
      </c>
      <c r="J34" s="50">
        <f t="shared" si="16"/>
        <v>22</v>
      </c>
      <c r="K34" s="50" t="e">
        <f t="shared" si="17"/>
        <v>#VALUE!</v>
      </c>
      <c r="L34" s="50">
        <f t="shared" si="18"/>
        <v>32</v>
      </c>
      <c r="M34" s="50" t="str">
        <f>IFERROR(VLOOKUP(MID(H34,K34,L34-K34),[6]skilldef!$C:$D,2,FALSE),"-") &amp; " / " &amp; IFERROR(VLOOKUP(MID(H34,I34,J34-I34),[6]skilldef!$A:$B,2,FALSE),"-")</f>
        <v>- / -</v>
      </c>
      <c r="N34" s="50" t="str">
        <f t="shared" si="19"/>
        <v>[effect:break_attack_fix, target:unit_all, val:100, lowest_val:750, count:-1, block01:damage]</v>
      </c>
      <c r="O34" s="46" t="str">
        <f>IFERROR(LEFT(N34,FIND("],",N34)+T45),N34)</f>
        <v>[effect:break_attack_fix, target:unit_all, val:100, lowest_val:750, count:-1, block01:damage]</v>
      </c>
      <c r="P34" s="50">
        <f t="shared" si="20"/>
        <v>9</v>
      </c>
      <c r="Q34" s="50">
        <f t="shared" si="21"/>
        <v>25</v>
      </c>
      <c r="R34" s="50">
        <f t="shared" si="22"/>
        <v>34</v>
      </c>
      <c r="S34" s="50">
        <f t="shared" si="23"/>
        <v>42</v>
      </c>
      <c r="T34" s="50" t="str">
        <f>IFERROR(VLOOKUP(MID(O34,R34,S34-R34),[6]skilldef!$C:$D,2,FALSE),"-") &amp; " / " &amp; IFERROR(VLOOKUP(MID(O34,P34,Q34-P34),[6]skilldef!$A:$B,2,FALSE),"-")</f>
        <v>味方全体に / -</v>
      </c>
      <c r="U34" s="46" t="str">
        <f t="shared" si="24"/>
        <v>none</v>
      </c>
      <c r="V34" s="50" t="e">
        <f t="shared" si="25"/>
        <v>#VALUE!</v>
      </c>
      <c r="W34" s="50">
        <f t="shared" si="26"/>
        <v>4</v>
      </c>
      <c r="X34" s="50" t="e">
        <f t="shared" si="27"/>
        <v>#VALUE!</v>
      </c>
      <c r="Y34" s="50" t="e">
        <f t="shared" si="28"/>
        <v>#VALUE!</v>
      </c>
      <c r="Z34" s="50" t="str">
        <f>IFERROR(VLOOKUP(MID(U34,X34,Y34-X34),[6]skilldef!$C:$D,2,FALSE),"-") &amp; " / " &amp; IFERROR(VLOOKUP(MID(U34,V34,W34-V34),[6]skilldef!$A:$B,2,FALSE),"-")</f>
        <v>- / -</v>
      </c>
      <c r="AA34" s="49"/>
      <c r="AB34" s="51"/>
      <c r="AC34" s="49"/>
      <c r="AD34" s="117" t="s">
        <v>559</v>
      </c>
      <c r="AE34" s="189"/>
    </row>
    <row r="35" spans="1:33" s="190" customFormat="1" ht="42" customHeight="1" x14ac:dyDescent="0.15">
      <c r="A35" s="197">
        <v>40045856</v>
      </c>
      <c r="B35" s="47" t="str">
        <f t="shared" si="32"/>
        <v>[effect:enemy_message, val1:1.2, val2:1.2],[effect:rush, count:4, val:0.6]</v>
      </c>
      <c r="C35" s="49">
        <v>3</v>
      </c>
      <c r="D35" s="49" t="s">
        <v>126</v>
      </c>
      <c r="E35" s="50"/>
      <c r="F35" s="50" t="s">
        <v>442</v>
      </c>
      <c r="G35" s="50" t="s">
        <v>387</v>
      </c>
      <c r="H35" s="50" t="str">
        <f t="shared" si="14"/>
        <v>[effect:enemy_message, val1:1.2, val2:1.2]</v>
      </c>
      <c r="I35" s="50">
        <f t="shared" si="15"/>
        <v>9</v>
      </c>
      <c r="J35" s="50">
        <f t="shared" si="16"/>
        <v>22</v>
      </c>
      <c r="K35" s="50" t="e">
        <f t="shared" si="17"/>
        <v>#VALUE!</v>
      </c>
      <c r="L35" s="50">
        <f t="shared" si="18"/>
        <v>32</v>
      </c>
      <c r="M35" s="50" t="str">
        <f>IFERROR(VLOOKUP(MID(H35,K35,L35-K35),[6]skilldef!$C:$D,2,FALSE),"-") &amp; " / " &amp; IFERROR(VLOOKUP(MID(H35,I35,J35-I35),[6]skilldef!$A:$B,2,FALSE),"-")</f>
        <v>- / -</v>
      </c>
      <c r="N35" s="50" t="str">
        <f t="shared" si="19"/>
        <v>[effect:rush, count:4, val:0.6]</v>
      </c>
      <c r="O35" s="46" t="str">
        <f>IFERROR(LEFT(N35,FIND("],",N35)+T46),N35)</f>
        <v>[effect:rush, count:4, val:0.6]</v>
      </c>
      <c r="P35" s="50">
        <f t="shared" si="20"/>
        <v>9</v>
      </c>
      <c r="Q35" s="50">
        <f t="shared" si="21"/>
        <v>13</v>
      </c>
      <c r="R35" s="50" t="e">
        <f t="shared" si="22"/>
        <v>#VALUE!</v>
      </c>
      <c r="S35" s="50">
        <f t="shared" si="23"/>
        <v>22</v>
      </c>
      <c r="T35" s="50" t="str">
        <f>IFERROR(VLOOKUP(MID(O35,R35,S35-R35),[6]skilldef!$C:$D,2,FALSE),"-") &amp; " / " &amp; IFERROR(VLOOKUP(MID(O35,P35,Q35-P35),[6]skilldef!$A:$B,2,FALSE),"-")</f>
        <v>- / 連続攻撃</v>
      </c>
      <c r="U35" s="46" t="str">
        <f t="shared" si="24"/>
        <v>none</v>
      </c>
      <c r="V35" s="50" t="e">
        <f t="shared" si="25"/>
        <v>#VALUE!</v>
      </c>
      <c r="W35" s="50">
        <f t="shared" si="26"/>
        <v>4</v>
      </c>
      <c r="X35" s="50" t="e">
        <f t="shared" si="27"/>
        <v>#VALUE!</v>
      </c>
      <c r="Y35" s="50" t="e">
        <f t="shared" si="28"/>
        <v>#VALUE!</v>
      </c>
      <c r="Z35" s="50" t="str">
        <f>IFERROR(VLOOKUP(MID(U35,X35,Y35-X35),[6]skilldef!$C:$D,2,FALSE),"-") &amp; " / " &amp; IFERROR(VLOOKUP(MID(U35,V35,W35-V35),[6]skilldef!$A:$B,2,FALSE),"-")</f>
        <v>- / -</v>
      </c>
      <c r="AA35" s="49"/>
      <c r="AB35" s="51"/>
      <c r="AC35" s="49"/>
      <c r="AD35" s="116" t="s">
        <v>380</v>
      </c>
      <c r="AE35" s="189"/>
    </row>
    <row r="36" spans="1:33" s="190" customFormat="1" ht="42" customHeight="1" x14ac:dyDescent="0.15">
      <c r="A36" s="197">
        <v>40045860</v>
      </c>
      <c r="B36" s="47" t="str">
        <f t="shared" si="32"/>
        <v>[effect:enemy_message, val1:1.2, val2:5.1],[effect:tolerance, target:myself, turn:-1, count:-1, tolerance_effect:all, animation:enemy_tolerance],[effect:degrade_unit, target:unit_all, turn:3, status:action, val:1, calc:add, animation:enemy_tap_down],[effect:hungup, target:unit_hp, turn:5, rate:1, animation:hungup01]</v>
      </c>
      <c r="C36" s="49">
        <v>3</v>
      </c>
      <c r="D36" s="49" t="s">
        <v>126</v>
      </c>
      <c r="E36" s="50" t="s">
        <v>524</v>
      </c>
      <c r="F36" s="50" t="s">
        <v>468</v>
      </c>
      <c r="G36" s="50" t="s">
        <v>591</v>
      </c>
      <c r="H36" s="50" t="str">
        <f t="shared" si="14"/>
        <v>[effect:enemy_message, val1:1.2, val2:5.1]</v>
      </c>
      <c r="I36" s="50">
        <f t="shared" si="15"/>
        <v>9</v>
      </c>
      <c r="J36" s="50">
        <f t="shared" si="16"/>
        <v>22</v>
      </c>
      <c r="K36" s="50" t="e">
        <f t="shared" si="17"/>
        <v>#VALUE!</v>
      </c>
      <c r="L36" s="50">
        <f t="shared" si="18"/>
        <v>32</v>
      </c>
      <c r="M36" s="50" t="str">
        <f>IFERROR(VLOOKUP(MID(H36,K36,L36-K36),[6]skilldef!$C:$D,2,FALSE),"-") &amp; " / " &amp; IFERROR(VLOOKUP(MID(H36,I36,J36-I36),[6]skilldef!$A:$B,2,FALSE),"-")</f>
        <v>- / -</v>
      </c>
      <c r="N36" s="50" t="str">
        <f t="shared" si="19"/>
        <v>[effect:tolerance, target:myself, turn:-1, count:-1, tolerance_effect:all, animation:enemy_tolerance],[effect:degrade_unit, target:unit_all, turn:3, status:action, val:1, calc:add, animation:enemy_tap_down],[effect:hungup, target:unit_hp, turn:5, rate:1, animation:hungup01]</v>
      </c>
      <c r="O36" s="46" t="str">
        <f>IFERROR(LEFT(N36,FIND("],",N36)+T47),N36)</f>
        <v>[effect:tolerance, target:myself, turn:-1, count:-1, tolerance_effect:all, animation:enemy_tolerance],[effect:degrade_unit, target:unit_all, turn:3, status:action, val:1, calc:add, animation:enemy_tap_down],[effect:hungup, target:unit_hp, turn:5, rate:1, animation:hungup01]</v>
      </c>
      <c r="P36" s="50">
        <f t="shared" si="20"/>
        <v>9</v>
      </c>
      <c r="Q36" s="50">
        <f t="shared" si="21"/>
        <v>18</v>
      </c>
      <c r="R36" s="50">
        <f t="shared" si="22"/>
        <v>27</v>
      </c>
      <c r="S36" s="50">
        <f t="shared" si="23"/>
        <v>33</v>
      </c>
      <c r="T36" s="50" t="str">
        <f>IFERROR(VLOOKUP(MID(O36,R36,S36-R36),[6]skilldef!$C:$D,2,FALSE),"-") &amp; " / " &amp; IFERROR(VLOOKUP(MID(O36,P36,Q36-P36),[6]skilldef!$A:$B,2,FALSE),"-")</f>
        <v>自分自身に / 状態異常耐性</v>
      </c>
      <c r="U36" s="46" t="str">
        <f t="shared" si="24"/>
        <v>[effect:degrade_unit, target:unit_all, turn:3, status:action, val:1, calc:add, animation:enemy_tap_down],[effect:hungup, target:unit_hp, turn:5, rate:1, animation:hungup01]</v>
      </c>
      <c r="V36" s="50">
        <f t="shared" si="25"/>
        <v>9</v>
      </c>
      <c r="W36" s="50">
        <f t="shared" si="26"/>
        <v>21</v>
      </c>
      <c r="X36" s="50">
        <f t="shared" si="27"/>
        <v>30</v>
      </c>
      <c r="Y36" s="50">
        <f t="shared" si="28"/>
        <v>38</v>
      </c>
      <c r="Z36" s="50" t="str">
        <f>IFERROR(VLOOKUP(MID(U36,X36,Y36-X36),[6]skilldef!$C:$D,2,FALSE),"-") &amp; " / " &amp; IFERROR(VLOOKUP(MID(U36,V36,W36-V36),[6]skilldef!$A:$B,2,FALSE),"-")</f>
        <v>味方全体に / ステータスDOWN</v>
      </c>
      <c r="AA36" s="49"/>
      <c r="AB36" s="51"/>
      <c r="AC36" s="49"/>
      <c r="AD36" s="116" t="s">
        <v>592</v>
      </c>
      <c r="AE36" s="189"/>
    </row>
    <row r="37" spans="1:33" s="190" customFormat="1" ht="42" customHeight="1" x14ac:dyDescent="0.15">
      <c r="A37" s="197">
        <v>40045866</v>
      </c>
      <c r="B37" s="47" t="str">
        <f t="shared" si="32"/>
        <v>[effect:enemy_message, val1:1.2, val2:3.4],[effect:virus, target:unit_all, turn:5, rate:1, val:0.14, animation:enemy_virus],[effect:force_change_block, new_block:damage, target:block_green, color:block_green, count:5, val:0.05, animation:change_bock]</v>
      </c>
      <c r="C37" s="49">
        <v>3</v>
      </c>
      <c r="D37" s="49" t="s">
        <v>126</v>
      </c>
      <c r="E37" s="50"/>
      <c r="F37" s="50" t="s">
        <v>550</v>
      </c>
      <c r="G37" s="50" t="s">
        <v>593</v>
      </c>
      <c r="H37" s="50"/>
      <c r="I37" s="50"/>
      <c r="J37" s="50"/>
      <c r="K37" s="50"/>
      <c r="L37" s="50"/>
      <c r="M37" s="50"/>
      <c r="N37" s="50"/>
      <c r="O37" s="46"/>
      <c r="P37" s="50"/>
      <c r="Q37" s="50"/>
      <c r="R37" s="50"/>
      <c r="S37" s="50"/>
      <c r="T37" s="50"/>
      <c r="U37" s="46"/>
      <c r="V37" s="50"/>
      <c r="W37" s="50"/>
      <c r="X37" s="50"/>
      <c r="Y37" s="50"/>
      <c r="Z37" s="50"/>
      <c r="AA37" s="49"/>
      <c r="AB37" s="51"/>
      <c r="AC37" s="49"/>
      <c r="AD37" s="116" t="s">
        <v>594</v>
      </c>
      <c r="AE37" s="189"/>
    </row>
    <row r="38" spans="1:33" s="190" customFormat="1" ht="42" customHeight="1" x14ac:dyDescent="0.15">
      <c r="A38" s="197">
        <v>40045861</v>
      </c>
      <c r="B38" s="47" t="str">
        <f t="shared" si="32"/>
        <v>[effect:enemy_message, val1:1.2, val2:2.2],[effect:break_enchance_enemy, target:myself, val:150, lowest_val:1500, count:-1, status:defense, turn:-1, block01:block_yellow, calc:add, animation:enemy_enhance_defense],[effect:critical, val:1.4, animation:enemy_critical]</v>
      </c>
      <c r="C38" s="49">
        <v>3</v>
      </c>
      <c r="D38" s="49" t="s">
        <v>126</v>
      </c>
      <c r="E38" s="50"/>
      <c r="F38" s="50" t="s">
        <v>478</v>
      </c>
      <c r="G38" s="50" t="s">
        <v>629</v>
      </c>
      <c r="H38" s="50" t="str">
        <f>IFERROR(LEFT(B38,FIND("],",B38)),B38)</f>
        <v>[effect:enemy_message, val1:1.2, val2:2.2]</v>
      </c>
      <c r="I38" s="50">
        <f t="shared" ref="I38:I42" si="33">FIND("effect:",H38)+7</f>
        <v>9</v>
      </c>
      <c r="J38" s="50">
        <f t="shared" ref="J38:J56" si="34">IFERROR(FIND(",",H38),LEN(H38))</f>
        <v>22</v>
      </c>
      <c r="K38" s="50" t="e">
        <f t="shared" ref="K38:K56" si="35">FIND("target:",H38)+7</f>
        <v>#VALUE!</v>
      </c>
      <c r="L38" s="50">
        <f t="shared" ref="L38:L56" si="36">FIND(",",H38,J38+1)</f>
        <v>32</v>
      </c>
      <c r="M38" s="50" t="str">
        <f>IFERROR(VLOOKUP(MID(H38,K38,L38-K38),[6]skilldef!$C:$D,2,FALSE),"-") &amp; " / " &amp; IFERROR(VLOOKUP(MID(H38,I38,J38-I38),[6]skilldef!$A:$B,2,FALSE),"-")</f>
        <v>- / -</v>
      </c>
      <c r="N38" s="50" t="str">
        <f t="shared" ref="N38:N58" si="37">IFERROR(RIGHT(B38,LEN(B38)-FIND("],",B38)-1),"none")</f>
        <v>[effect:break_enchance_enemy, target:myself, val:150, lowest_val:1500, count:-1, status:defense, turn:-1, block01:block_yellow, calc:add, animation:enemy_enhance_defense],[effect:critical, val:1.4, animation:enemy_critical]</v>
      </c>
      <c r="O38" s="46" t="str">
        <f t="shared" ref="O38:O41" si="38">IFERROR(LEFT(N38,FIND("],",N38)+T48),N38)</f>
        <v>[effect:break_enchance_enemy, target:myself, val:150, lowest_val:1500, count:-1, status:defense, turn:-1, block01:block_yellow, calc:add, animation:enemy_enhance_defense],[effect:critical, val:1.4, animation:enemy_critical]</v>
      </c>
      <c r="P38" s="50">
        <f t="shared" ref="P38:P56" si="39">FIND("effect:",O38)+7</f>
        <v>9</v>
      </c>
      <c r="Q38" s="50">
        <f t="shared" ref="Q38:Q56" si="40">IFERROR(FIND(",",O38),LEN(O38))</f>
        <v>29</v>
      </c>
      <c r="R38" s="50">
        <f t="shared" ref="R38:R56" si="41">FIND("target:",O38)+7</f>
        <v>38</v>
      </c>
      <c r="S38" s="50">
        <f t="shared" ref="S38:S56" si="42">FIND(",",O38,Q38+1)</f>
        <v>44</v>
      </c>
      <c r="T38" s="50" t="str">
        <f>IFERROR(VLOOKUP(MID(O38,R38,S38-R38),[6]skilldef!$C:$D,2,FALSE),"-") &amp; " / " &amp; IFERROR(VLOOKUP(MID(O38,P38,Q38-P38),[6]skilldef!$A:$B,2,FALSE),"-")</f>
        <v>自分自身に / -</v>
      </c>
      <c r="U38" s="46" t="str">
        <f t="shared" ref="U38:U56" si="43">IFERROR(RIGHT(N38,LEN(N38)-FIND("],",N38)-1),"none")</f>
        <v>[effect:critical, val:1.4, animation:enemy_critical]</v>
      </c>
      <c r="V38" s="50">
        <f t="shared" ref="V38:V56" si="44">FIND("effect:",U38)+7</f>
        <v>9</v>
      </c>
      <c r="W38" s="50">
        <f t="shared" ref="W38:W56" si="45">IFERROR(FIND(",",U38),LEN(U38))</f>
        <v>17</v>
      </c>
      <c r="X38" s="50" t="e">
        <f t="shared" ref="X38:X56" si="46">FIND("target:",U38)+7</f>
        <v>#VALUE!</v>
      </c>
      <c r="Y38" s="50">
        <f t="shared" ref="Y38:Y56" si="47">FIND(",",U38,W38+1)</f>
        <v>26</v>
      </c>
      <c r="Z38" s="50" t="str">
        <f>IFERROR(VLOOKUP(MID(U38,X38,Y38-X38),[6]skilldef!$C:$D,2,FALSE),"-") &amp; " / " &amp; IFERROR(VLOOKUP(MID(U38,V38,W38-V38),[6]skilldef!$A:$B,2,FALSE),"-")</f>
        <v>- / 大攻撃</v>
      </c>
      <c r="AA38" s="49"/>
      <c r="AB38" s="51"/>
      <c r="AC38" s="49"/>
      <c r="AD38" s="116" t="s">
        <v>560</v>
      </c>
      <c r="AE38" s="189"/>
    </row>
    <row r="39" spans="1:33" s="190" customFormat="1" ht="42" customHeight="1" x14ac:dyDescent="0.15">
      <c r="A39" s="197">
        <v>40045862</v>
      </c>
      <c r="B39" s="47" t="str">
        <f t="shared" si="32"/>
        <v>[effect:enemy_message, val1:1.2, val2:2.2],[effect:break_enchance_enemy, target:myself, val:0.02, lowest_val:0.1, count:-1, status:attack, turn:-1, block01:block_green, calc:mul, animation:enemy_enhance_attack],[effect:critical, val:1.5, animation:enemy_critical]</v>
      </c>
      <c r="C39" s="49">
        <v>3</v>
      </c>
      <c r="D39" s="49" t="s">
        <v>126</v>
      </c>
      <c r="E39" s="50"/>
      <c r="F39" s="50" t="s">
        <v>608</v>
      </c>
      <c r="G39" s="50" t="s">
        <v>474</v>
      </c>
      <c r="H39" s="50" t="str">
        <f>IFERROR(LEFT(B39,FIND("],",B39)),B39)</f>
        <v>[effect:enemy_message, val1:1.2, val2:2.2]</v>
      </c>
      <c r="I39" s="50">
        <f t="shared" si="33"/>
        <v>9</v>
      </c>
      <c r="J39" s="50">
        <f t="shared" si="34"/>
        <v>22</v>
      </c>
      <c r="K39" s="50" t="e">
        <f t="shared" si="35"/>
        <v>#VALUE!</v>
      </c>
      <c r="L39" s="50">
        <f t="shared" si="36"/>
        <v>32</v>
      </c>
      <c r="M39" s="50" t="str">
        <f>IFERROR(VLOOKUP(MID(H39,K39,L39-K39),[6]skilldef!$C:$D,2,FALSE),"-") &amp; " / " &amp; IFERROR(VLOOKUP(MID(H39,I39,J39-I39),[6]skilldef!$A:$B,2,FALSE),"-")</f>
        <v>- / -</v>
      </c>
      <c r="N39" s="50" t="str">
        <f t="shared" si="37"/>
        <v>[effect:break_enchance_enemy, target:myself, val:0.02, lowest_val:0.1, count:-1, status:attack, turn:-1, block01:block_green, calc:mul, animation:enemy_enhance_attack],[effect:critical, val:1.5, animation:enemy_critical]</v>
      </c>
      <c r="O39" s="46" t="str">
        <f t="shared" si="38"/>
        <v>[effect:break_enchance_enemy, target:myself, val:0.02, lowest_val:0.1, count:-1, status:attack, turn:-1, block01:block_green, calc:mul, animation:enemy_enhance_attack],[effect:critical, val:1.5, animation:enemy_critical]</v>
      </c>
      <c r="P39" s="50">
        <f t="shared" si="39"/>
        <v>9</v>
      </c>
      <c r="Q39" s="50">
        <f t="shared" si="40"/>
        <v>29</v>
      </c>
      <c r="R39" s="50">
        <f t="shared" si="41"/>
        <v>38</v>
      </c>
      <c r="S39" s="50">
        <f t="shared" si="42"/>
        <v>44</v>
      </c>
      <c r="T39" s="50" t="str">
        <f>IFERROR(VLOOKUP(MID(O39,R39,S39-R39),[6]skilldef!$C:$D,2,FALSE),"-") &amp; " / " &amp; IFERROR(VLOOKUP(MID(O39,P39,Q39-P39),[6]skilldef!$A:$B,2,FALSE),"-")</f>
        <v>自分自身に / -</v>
      </c>
      <c r="U39" s="46" t="str">
        <f t="shared" si="43"/>
        <v>[effect:critical, val:1.5, animation:enemy_critical]</v>
      </c>
      <c r="V39" s="50">
        <f t="shared" si="44"/>
        <v>9</v>
      </c>
      <c r="W39" s="50">
        <f t="shared" si="45"/>
        <v>17</v>
      </c>
      <c r="X39" s="50" t="e">
        <f t="shared" si="46"/>
        <v>#VALUE!</v>
      </c>
      <c r="Y39" s="50">
        <f t="shared" si="47"/>
        <v>26</v>
      </c>
      <c r="Z39" s="50" t="str">
        <f>IFERROR(VLOOKUP(MID(U39,X39,Y39-X39),[6]skilldef!$C:$D,2,FALSE),"-") &amp; " / " &amp; IFERROR(VLOOKUP(MID(U39,V39,W39-V39),[6]skilldef!$A:$B,2,FALSE),"-")</f>
        <v>- / 大攻撃</v>
      </c>
      <c r="AA39" s="49"/>
      <c r="AB39" s="51"/>
      <c r="AC39" s="49"/>
      <c r="AD39" s="116" t="s">
        <v>476</v>
      </c>
      <c r="AE39" s="189"/>
    </row>
    <row r="40" spans="1:33" s="190" customFormat="1" ht="42" customHeight="1" x14ac:dyDescent="0.15">
      <c r="A40" s="197">
        <v>40045863</v>
      </c>
      <c r="B40" s="47" t="str">
        <f t="shared" si="32"/>
        <v>[effect:enemy_message, val1:1.2, val2:2.2],[effect:damage_anti_abnormal, target:unit_all, target_effect01:virus, val1:0.9, val2:0.5]</v>
      </c>
      <c r="C40" s="49">
        <v>3</v>
      </c>
      <c r="D40" s="49" t="s">
        <v>126</v>
      </c>
      <c r="E40" s="50"/>
      <c r="F40" s="50" t="s">
        <v>469</v>
      </c>
      <c r="G40" s="50" t="s">
        <v>331</v>
      </c>
      <c r="H40" s="50" t="str">
        <f>IFERROR(LEFT(B40,FIND("],",B40)),B40)</f>
        <v>[effect:enemy_message, val1:1.2, val2:2.2]</v>
      </c>
      <c r="I40" s="50">
        <f t="shared" si="33"/>
        <v>9</v>
      </c>
      <c r="J40" s="50">
        <f t="shared" si="34"/>
        <v>22</v>
      </c>
      <c r="K40" s="50" t="e">
        <f t="shared" si="35"/>
        <v>#VALUE!</v>
      </c>
      <c r="L40" s="50">
        <f t="shared" si="36"/>
        <v>32</v>
      </c>
      <c r="M40" s="50" t="str">
        <f>IFERROR(VLOOKUP(MID(H40,K40,L40-K40),[6]skilldef!$C:$D,2,FALSE),"-") &amp; " / " &amp; IFERROR(VLOOKUP(MID(H40,I40,J40-I40),[6]skilldef!$A:$B,2,FALSE),"-")</f>
        <v>- / -</v>
      </c>
      <c r="N40" s="50" t="str">
        <f t="shared" si="37"/>
        <v>[effect:damage_anti_abnormal, target:unit_all, target_effect01:virus, val1:0.9, val2:0.5]</v>
      </c>
      <c r="O40" s="46" t="str">
        <f t="shared" si="38"/>
        <v>[effect:damage_anti_abnormal, target:unit_all, target_effect01:virus, val1:0.9, val2:0.5]</v>
      </c>
      <c r="P40" s="50">
        <f t="shared" si="39"/>
        <v>9</v>
      </c>
      <c r="Q40" s="50">
        <f t="shared" si="40"/>
        <v>29</v>
      </c>
      <c r="R40" s="50">
        <f t="shared" si="41"/>
        <v>38</v>
      </c>
      <c r="S40" s="50">
        <f t="shared" si="42"/>
        <v>46</v>
      </c>
      <c r="T40" s="50" t="str">
        <f>IFERROR(VLOOKUP(MID(O40,R40,S40-R40),[6]skilldef!$C:$D,2,FALSE),"-") &amp; " / " &amp; IFERROR(VLOOKUP(MID(O40,P40,Q40-P40),[6]skilldef!$A:$B,2,FALSE),"-")</f>
        <v>味方全体に / -</v>
      </c>
      <c r="U40" s="46" t="str">
        <f t="shared" si="43"/>
        <v>none</v>
      </c>
      <c r="V40" s="50" t="e">
        <f t="shared" si="44"/>
        <v>#VALUE!</v>
      </c>
      <c r="W40" s="50">
        <f t="shared" si="45"/>
        <v>4</v>
      </c>
      <c r="X40" s="50" t="e">
        <f t="shared" si="46"/>
        <v>#VALUE!</v>
      </c>
      <c r="Y40" s="50" t="e">
        <f t="shared" si="47"/>
        <v>#VALUE!</v>
      </c>
      <c r="Z40" s="50" t="str">
        <f>IFERROR(VLOOKUP(MID(U40,X40,Y40-X40),[6]skilldef!$C:$D,2,FALSE),"-") &amp; " / " &amp; IFERROR(VLOOKUP(MID(U40,V40,W40-V40),[6]skilldef!$A:$B,2,FALSE),"-")</f>
        <v>- / -</v>
      </c>
      <c r="AA40" s="49"/>
      <c r="AB40" s="51"/>
      <c r="AC40" s="49"/>
      <c r="AD40" s="116" t="s">
        <v>590</v>
      </c>
      <c r="AE40" s="189"/>
    </row>
    <row r="41" spans="1:33" s="190" customFormat="1" ht="42" customHeight="1" x14ac:dyDescent="0.15">
      <c r="A41" s="197">
        <v>40045864</v>
      </c>
      <c r="B41" s="47" t="str">
        <f t="shared" si="32"/>
        <v>[effect:enemy_message, val1:1.2, val2:3.0],[effect:damage_abnormal, target:unit_one, val:0.7, status:attack, turn:1, val_abnormal:0.5, calc:mul, animation:attack_break01],[effect:damage_abnormal, target:unit_one, val:0.7, status:attack, turn:1, val_abnormal:0.5, calc:mul, animation:attack_break01]</v>
      </c>
      <c r="C41" s="49">
        <v>3</v>
      </c>
      <c r="D41" s="49" t="s">
        <v>126</v>
      </c>
      <c r="E41" s="50"/>
      <c r="F41" s="50" t="s">
        <v>479</v>
      </c>
      <c r="G41" s="50" t="s">
        <v>575</v>
      </c>
      <c r="H41" s="50" t="str">
        <f>IFERROR(LEFT(B41,FIND("],",B41)),B41)</f>
        <v>[effect:enemy_message, val1:1.2, val2:3.0]</v>
      </c>
      <c r="I41" s="50">
        <f t="shared" si="33"/>
        <v>9</v>
      </c>
      <c r="J41" s="50">
        <f t="shared" si="34"/>
        <v>22</v>
      </c>
      <c r="K41" s="50" t="e">
        <f t="shared" si="35"/>
        <v>#VALUE!</v>
      </c>
      <c r="L41" s="50">
        <f t="shared" si="36"/>
        <v>32</v>
      </c>
      <c r="M41" s="50" t="str">
        <f>IFERROR(VLOOKUP(MID(H41,K41,L41-K41),[6]skilldef!$C:$D,2,FALSE),"-") &amp; " / " &amp; IFERROR(VLOOKUP(MID(H41,I41,J41-I41),[6]skilldef!$A:$B,2,FALSE),"-")</f>
        <v>- / -</v>
      </c>
      <c r="N41" s="50" t="str">
        <f t="shared" si="37"/>
        <v>[effect:damage_abnormal, target:unit_one, val:0.7, status:attack, turn:1, val_abnormal:0.5, calc:mul, animation:attack_break01],[effect:damage_abnormal, target:unit_one, val:0.7, status:attack, turn:1, val_abnormal:0.5, calc:mul, animation:attack_break01]</v>
      </c>
      <c r="O41" s="46" t="str">
        <f t="shared" si="38"/>
        <v>[effect:damage_abnormal, target:unit_one, val:0.7, status:attack, turn:1, val_abnormal:0.5, calc:mul, animation:attack_break01],[effect:damage_abnormal, target:unit_one, val:0.7, status:attack, turn:1, val_abnormal:0.5, calc:mul, animation:attack_break01]</v>
      </c>
      <c r="P41" s="50">
        <f t="shared" si="39"/>
        <v>9</v>
      </c>
      <c r="Q41" s="50">
        <f t="shared" si="40"/>
        <v>24</v>
      </c>
      <c r="R41" s="50">
        <f t="shared" si="41"/>
        <v>33</v>
      </c>
      <c r="S41" s="50">
        <f t="shared" si="42"/>
        <v>41</v>
      </c>
      <c r="T41" s="50" t="str">
        <f>IFERROR(VLOOKUP(MID(O41,R41,S41-R41),[6]skilldef!$C:$D,2,FALSE),"-") &amp; " / " &amp; IFERROR(VLOOKUP(MID(O41,P41,Q41-P41),[6]skilldef!$A:$B,2,FALSE),"-")</f>
        <v>味方単体に / -</v>
      </c>
      <c r="U41" s="46" t="str">
        <f t="shared" si="43"/>
        <v>[effect:damage_abnormal, target:unit_one, val:0.7, status:attack, turn:1, val_abnormal:0.5, calc:mul, animation:attack_break01]</v>
      </c>
      <c r="V41" s="50">
        <f t="shared" si="44"/>
        <v>9</v>
      </c>
      <c r="W41" s="50">
        <f t="shared" si="45"/>
        <v>24</v>
      </c>
      <c r="X41" s="50">
        <f t="shared" si="46"/>
        <v>33</v>
      </c>
      <c r="Y41" s="50">
        <f t="shared" si="47"/>
        <v>41</v>
      </c>
      <c r="Z41" s="50" t="str">
        <f>IFERROR(VLOOKUP(MID(U41,X41,Y41-X41),[6]skilldef!$C:$D,2,FALSE),"-") &amp; " / " &amp; IFERROR(VLOOKUP(MID(U41,V41,W41-V41),[6]skilldef!$A:$B,2,FALSE),"-")</f>
        <v>味方単体に / -</v>
      </c>
      <c r="AA41" s="49"/>
      <c r="AB41" s="51"/>
      <c r="AC41" s="49"/>
      <c r="AD41" s="116" t="s">
        <v>561</v>
      </c>
      <c r="AE41" s="189"/>
    </row>
    <row r="42" spans="1:33" s="190" customFormat="1" ht="42" customHeight="1" x14ac:dyDescent="0.15">
      <c r="A42" s="197">
        <v>40045865</v>
      </c>
      <c r="B42" s="47" t="str">
        <f t="shared" si="32"/>
        <v>[effect:enemy_message, val1:1.2, val2:2.8],[effect:critical, val:1.5, animation:enemy_critical],[effect:force_change_block, new_block:damage, target:normal, color:block_green, count:4, val:0.04, animation:change_bock]</v>
      </c>
      <c r="C42" s="49">
        <v>3</v>
      </c>
      <c r="D42" s="49" t="s">
        <v>126</v>
      </c>
      <c r="E42" s="50"/>
      <c r="F42" s="50" t="s">
        <v>637</v>
      </c>
      <c r="G42" s="50" t="s">
        <v>377</v>
      </c>
      <c r="H42" s="50" t="str">
        <f>IFERROR(LEFT(B42,FIND("],",B42)),B42)</f>
        <v>[effect:enemy_message, val1:1.2, val2:2.8]</v>
      </c>
      <c r="I42" s="50">
        <f t="shared" si="33"/>
        <v>9</v>
      </c>
      <c r="J42" s="50">
        <f t="shared" si="34"/>
        <v>22</v>
      </c>
      <c r="K42" s="50" t="e">
        <f t="shared" si="35"/>
        <v>#VALUE!</v>
      </c>
      <c r="L42" s="50">
        <f t="shared" si="36"/>
        <v>32</v>
      </c>
      <c r="M42" s="50" t="str">
        <f>IFERROR(VLOOKUP(MID(H42,K42,L42-K42),[6]skilldef!$C:$D,2,FALSE),"-") &amp; " / " &amp; IFERROR(VLOOKUP(MID(H42,I42,J42-I42),[6]skilldef!$A:$B,2,FALSE),"-")</f>
        <v>- / -</v>
      </c>
      <c r="N42" s="50" t="str">
        <f t="shared" si="37"/>
        <v>[effect:critical, val:1.5, animation:enemy_critical],[effect:force_change_block, new_block:damage, target:normal, color:block_green, count:4, val:0.04, animation:change_bock]</v>
      </c>
      <c r="O42" s="46" t="str">
        <f>IFERROR(LEFT(N42,FIND("],",N42)+#REF!),N42)</f>
        <v>[effect:critical, val:1.5, animation:enemy_critical],[effect:force_change_block, new_block:damage, target:normal, color:block_green, count:4, val:0.04, animation:change_bock]</v>
      </c>
      <c r="P42" s="50">
        <f t="shared" si="39"/>
        <v>9</v>
      </c>
      <c r="Q42" s="50">
        <f t="shared" si="40"/>
        <v>17</v>
      </c>
      <c r="R42" s="50">
        <f t="shared" si="41"/>
        <v>107</v>
      </c>
      <c r="S42" s="50">
        <f t="shared" si="42"/>
        <v>26</v>
      </c>
      <c r="T42" s="50" t="str">
        <f>IFERROR(VLOOKUP(MID(O42,R42,S42-R42),[6]skilldef!$C:$D,2,FALSE),"-") &amp; " / " &amp; IFERROR(VLOOKUP(MID(O42,P42,Q42-P42),[6]skilldef!$A:$B,2,FALSE),"-")</f>
        <v>- / 大攻撃</v>
      </c>
      <c r="U42" s="46" t="str">
        <f t="shared" si="43"/>
        <v>[effect:force_change_block, new_block:damage, target:normal, color:block_green, count:4, val:0.04, animation:change_bock]</v>
      </c>
      <c r="V42" s="50">
        <f t="shared" si="44"/>
        <v>9</v>
      </c>
      <c r="W42" s="50">
        <f t="shared" si="45"/>
        <v>27</v>
      </c>
      <c r="X42" s="50">
        <f t="shared" si="46"/>
        <v>54</v>
      </c>
      <c r="Y42" s="50">
        <f t="shared" si="47"/>
        <v>45</v>
      </c>
      <c r="Z42" s="50" t="str">
        <f>IFERROR(VLOOKUP(MID(U42,X42,Y42-X42),[6]skilldef!$C:$D,2,FALSE),"-") &amp; " / " &amp; IFERROR(VLOOKUP(MID(U42,V42,W42-V42),[6]skilldef!$A:$B,2,FALSE),"-")</f>
        <v>- / -</v>
      </c>
      <c r="AA42" s="49"/>
      <c r="AB42" s="51"/>
      <c r="AC42" s="49"/>
      <c r="AD42" s="117" t="s">
        <v>376</v>
      </c>
      <c r="AE42" s="189"/>
    </row>
    <row r="43" spans="1:33" s="190" customFormat="1" ht="50" customHeight="1" x14ac:dyDescent="0.15">
      <c r="A43" s="197">
        <v>40045870</v>
      </c>
      <c r="B43" s="47" t="str">
        <f t="shared" si="32"/>
        <v>[effect:enemy_message, val1:1.2, val2:4.5],[effect:tolerance, target:myself, turn:-1, count:-1, tolerance_effect:all, animation:enemy_tolerance],[effect:virus, target:unit_all, turn:-1, rate:1, val:0.12, animation:enemy_virus],[effect:degrade_unit, target:unit_all, turn:3, status:action, val:1, calc:add, animation:enemy_tap_down]</v>
      </c>
      <c r="C43" s="49">
        <v>3</v>
      </c>
      <c r="D43" s="49" t="s">
        <v>126</v>
      </c>
      <c r="E43" s="50" t="s">
        <v>528</v>
      </c>
      <c r="F43" s="50" t="s">
        <v>463</v>
      </c>
      <c r="G43" s="308" t="s">
        <v>562</v>
      </c>
      <c r="H43" s="309"/>
      <c r="I43" s="310"/>
      <c r="J43" s="50">
        <f t="shared" si="34"/>
        <v>0</v>
      </c>
      <c r="K43" s="50" t="e">
        <f t="shared" si="35"/>
        <v>#VALUE!</v>
      </c>
      <c r="L43" s="50" t="e">
        <f t="shared" si="36"/>
        <v>#VALUE!</v>
      </c>
      <c r="M43" s="50" t="str">
        <f>IFERROR(VLOOKUP(MID(H43,K43,L43-K43),[6]skilldef!$C:$D,2,FALSE),"-") &amp; " / " &amp; IFERROR(VLOOKUP(MID(H43,I43,J43-I43),[6]skilldef!$A:$B,2,FALSE),"-")</f>
        <v>- / -</v>
      </c>
      <c r="N43" s="50" t="str">
        <f t="shared" si="37"/>
        <v>[effect:tolerance, target:myself, turn:-1, count:-1, tolerance_effect:all, animation:enemy_tolerance],[effect:virus, target:unit_all, turn:-1, rate:1, val:0.12, animation:enemy_virus],[effect:degrade_unit, target:unit_all, turn:3, status:action, val:1, calc:add, animation:enemy_tap_down]</v>
      </c>
      <c r="O43" s="46" t="str">
        <f>IFERROR(LEFT(N43,FIND("],",N43)+T52),N43)</f>
        <v>[effect:tolerance, target:myself, turn:-1, count:-1, tolerance_effect:all, animation:enemy_tolerance],[effect:virus, target:unit_all, turn:-1, rate:1, val:0.12, animation:enemy_virus],[effect:degrade_unit, target:unit_all, turn:3, status:action, val:1, calc:add, animation:enemy_tap_down]</v>
      </c>
      <c r="P43" s="50">
        <f t="shared" si="39"/>
        <v>9</v>
      </c>
      <c r="Q43" s="50">
        <f t="shared" si="40"/>
        <v>18</v>
      </c>
      <c r="R43" s="50">
        <f t="shared" si="41"/>
        <v>27</v>
      </c>
      <c r="S43" s="50">
        <f t="shared" si="42"/>
        <v>33</v>
      </c>
      <c r="T43" s="50" t="str">
        <f>IFERROR(VLOOKUP(MID(O43,R43,S43-R43),[6]skilldef!$C:$D,2,FALSE),"-") &amp; " / " &amp; IFERROR(VLOOKUP(MID(O43,P43,Q43-P43),[6]skilldef!$A:$B,2,FALSE),"-")</f>
        <v>自分自身に / 状態異常耐性</v>
      </c>
      <c r="U43" s="46" t="str">
        <f t="shared" si="43"/>
        <v>[effect:virus, target:unit_all, turn:-1, rate:1, val:0.12, animation:enemy_virus],[effect:degrade_unit, target:unit_all, turn:3, status:action, val:1, calc:add, animation:enemy_tap_down]</v>
      </c>
      <c r="V43" s="50">
        <f t="shared" si="44"/>
        <v>9</v>
      </c>
      <c r="W43" s="50">
        <f t="shared" si="45"/>
        <v>14</v>
      </c>
      <c r="X43" s="50">
        <f t="shared" si="46"/>
        <v>23</v>
      </c>
      <c r="Y43" s="50">
        <f t="shared" si="47"/>
        <v>31</v>
      </c>
      <c r="Z43" s="50" t="str">
        <f>IFERROR(VLOOKUP(MID(U43,X43,Y43-X43),[6]skilldef!$C:$D,2,FALSE),"-") &amp; " / " &amp; IFERROR(VLOOKUP(MID(U43,V43,W43-V43),[6]skilldef!$A:$B,2,FALSE),"-")</f>
        <v>味方全体に / ウィルス</v>
      </c>
      <c r="AA43" s="49"/>
      <c r="AB43" s="51"/>
      <c r="AC43" s="49"/>
      <c r="AD43" s="116" t="s">
        <v>595</v>
      </c>
      <c r="AE43" s="314"/>
      <c r="AF43" s="316"/>
      <c r="AG43" s="316"/>
    </row>
    <row r="44" spans="1:33" s="190" customFormat="1" ht="42" customHeight="1" x14ac:dyDescent="0.15">
      <c r="A44" s="197">
        <v>40045871</v>
      </c>
      <c r="B44" s="47" t="str">
        <f t="shared" si="32"/>
        <v>[effect:enemy_message, val1:1.2, val2:2.0],[effect:force_change_block, new_block:damage, target:normal, color:block_green, count:8, val:0.08, animation:change_bock]</v>
      </c>
      <c r="C44" s="49">
        <v>3</v>
      </c>
      <c r="D44" s="49" t="s">
        <v>126</v>
      </c>
      <c r="E44" s="50"/>
      <c r="F44" s="50" t="s">
        <v>638</v>
      </c>
      <c r="G44" s="50" t="s">
        <v>596</v>
      </c>
      <c r="H44" s="50" t="str">
        <f t="shared" ref="H44:H58" si="48">IFERROR(LEFT(B44,FIND("],",B44)),B44)</f>
        <v>[effect:enemy_message, val1:1.2, val2:2.0]</v>
      </c>
      <c r="I44" s="50">
        <f t="shared" ref="I44:I56" si="49">FIND("effect:",H44)+7</f>
        <v>9</v>
      </c>
      <c r="J44" s="50">
        <f t="shared" si="34"/>
        <v>22</v>
      </c>
      <c r="K44" s="50" t="e">
        <f t="shared" si="35"/>
        <v>#VALUE!</v>
      </c>
      <c r="L44" s="50">
        <f t="shared" si="36"/>
        <v>32</v>
      </c>
      <c r="M44" s="50" t="str">
        <f>IFERROR(VLOOKUP(MID(H44,K44,L44-K44),[6]skilldef!$C:$D,2,FALSE),"-") &amp; " / " &amp; IFERROR(VLOOKUP(MID(H44,I44,J44-I44),[6]skilldef!$A:$B,2,FALSE),"-")</f>
        <v>- / -</v>
      </c>
      <c r="N44" s="50" t="str">
        <f t="shared" si="37"/>
        <v>[effect:force_change_block, new_block:damage, target:normal, color:block_green, count:8, val:0.08, animation:change_bock]</v>
      </c>
      <c r="O44" s="46" t="str">
        <f>IFERROR(LEFT(N44,FIND("],",N44)+T53),N44)</f>
        <v>[effect:force_change_block, new_block:damage, target:normal, color:block_green, count:8, val:0.08, animation:change_bock]</v>
      </c>
      <c r="P44" s="50">
        <f t="shared" si="39"/>
        <v>9</v>
      </c>
      <c r="Q44" s="50">
        <f t="shared" si="40"/>
        <v>27</v>
      </c>
      <c r="R44" s="50">
        <f t="shared" si="41"/>
        <v>54</v>
      </c>
      <c r="S44" s="50">
        <f t="shared" si="42"/>
        <v>45</v>
      </c>
      <c r="T44" s="50" t="str">
        <f>IFERROR(VLOOKUP(MID(O44,R44,S44-R44),[6]skilldef!$C:$D,2,FALSE),"-") &amp; " / " &amp; IFERROR(VLOOKUP(MID(O44,P44,Q44-P44),[6]skilldef!$A:$B,2,FALSE),"-")</f>
        <v>- / -</v>
      </c>
      <c r="U44" s="46" t="str">
        <f t="shared" si="43"/>
        <v>none</v>
      </c>
      <c r="V44" s="50" t="e">
        <f t="shared" si="44"/>
        <v>#VALUE!</v>
      </c>
      <c r="W44" s="50">
        <f t="shared" si="45"/>
        <v>4</v>
      </c>
      <c r="X44" s="50" t="e">
        <f t="shared" si="46"/>
        <v>#VALUE!</v>
      </c>
      <c r="Y44" s="50" t="e">
        <f t="shared" si="47"/>
        <v>#VALUE!</v>
      </c>
      <c r="Z44" s="50" t="str">
        <f>IFERROR(VLOOKUP(MID(U44,X44,Y44-X44),[6]skilldef!$C:$D,2,FALSE),"-") &amp; " / " &amp; IFERROR(VLOOKUP(MID(U44,V44,W44-V44),[6]skilldef!$A:$B,2,FALSE),"-")</f>
        <v>- / -</v>
      </c>
      <c r="AA44" s="49"/>
      <c r="AB44" s="51"/>
      <c r="AC44" s="49"/>
      <c r="AD44" s="116" t="s">
        <v>597</v>
      </c>
      <c r="AE44" s="189"/>
    </row>
    <row r="45" spans="1:33" s="190" customFormat="1" ht="42" customHeight="1" x14ac:dyDescent="0.15">
      <c r="A45" s="197">
        <v>40045872</v>
      </c>
      <c r="B45" s="47" t="str">
        <f t="shared" si="32"/>
        <v>[effect:enemy_message, val1:1.2, val2:2.2],[effect:damage_anti_abnormal, target:unit_all, target_effect01:virus, val1:0.9, val2:0.55]</v>
      </c>
      <c r="C45" s="49">
        <v>3</v>
      </c>
      <c r="D45" s="49" t="s">
        <v>126</v>
      </c>
      <c r="E45" s="50"/>
      <c r="F45" s="50" t="s">
        <v>469</v>
      </c>
      <c r="G45" s="50" t="s">
        <v>331</v>
      </c>
      <c r="H45" s="50" t="str">
        <f t="shared" si="48"/>
        <v>[effect:enemy_message, val1:1.2, val2:2.2]</v>
      </c>
      <c r="I45" s="50">
        <f t="shared" si="49"/>
        <v>9</v>
      </c>
      <c r="J45" s="50">
        <f t="shared" si="34"/>
        <v>22</v>
      </c>
      <c r="K45" s="50" t="e">
        <f t="shared" si="35"/>
        <v>#VALUE!</v>
      </c>
      <c r="L45" s="50">
        <f t="shared" si="36"/>
        <v>32</v>
      </c>
      <c r="M45" s="50" t="str">
        <f>IFERROR(VLOOKUP(MID(H45,K45,L45-K45),[6]skilldef!$C:$D,2,FALSE),"-") &amp; " / " &amp; IFERROR(VLOOKUP(MID(H45,I45,J45-I45),[6]skilldef!$A:$B,2,FALSE),"-")</f>
        <v>- / -</v>
      </c>
      <c r="N45" s="50" t="str">
        <f t="shared" si="37"/>
        <v>[effect:damage_anti_abnormal, target:unit_all, target_effect01:virus, val1:0.9, val2:0.55]</v>
      </c>
      <c r="O45" s="46" t="str">
        <f t="shared" ref="O45" si="50">IFERROR(LEFT(N45,FIND("],",N45)+T55),N45)</f>
        <v>[effect:damage_anti_abnormal, target:unit_all, target_effect01:virus, val1:0.9, val2:0.55]</v>
      </c>
      <c r="P45" s="50">
        <f t="shared" si="39"/>
        <v>9</v>
      </c>
      <c r="Q45" s="50">
        <f t="shared" si="40"/>
        <v>29</v>
      </c>
      <c r="R45" s="50">
        <f t="shared" si="41"/>
        <v>38</v>
      </c>
      <c r="S45" s="50">
        <f t="shared" si="42"/>
        <v>46</v>
      </c>
      <c r="T45" s="50" t="str">
        <f>IFERROR(VLOOKUP(MID(O45,R45,S45-R45),[6]skilldef!$C:$D,2,FALSE),"-") &amp; " / " &amp; IFERROR(VLOOKUP(MID(O45,P45,Q45-P45),[6]skilldef!$A:$B,2,FALSE),"-")</f>
        <v>味方全体に / -</v>
      </c>
      <c r="U45" s="46" t="str">
        <f t="shared" si="43"/>
        <v>none</v>
      </c>
      <c r="V45" s="50" t="e">
        <f t="shared" si="44"/>
        <v>#VALUE!</v>
      </c>
      <c r="W45" s="50">
        <f t="shared" si="45"/>
        <v>4</v>
      </c>
      <c r="X45" s="50" t="e">
        <f t="shared" si="46"/>
        <v>#VALUE!</v>
      </c>
      <c r="Y45" s="50" t="e">
        <f t="shared" si="47"/>
        <v>#VALUE!</v>
      </c>
      <c r="Z45" s="50" t="str">
        <f>IFERROR(VLOOKUP(MID(U45,X45,Y45-X45),[6]skilldef!$C:$D,2,FALSE),"-") &amp; " / " &amp; IFERROR(VLOOKUP(MID(U45,V45,W45-V45),[6]skilldef!$A:$B,2,FALSE),"-")</f>
        <v>- / -</v>
      </c>
      <c r="AA45" s="49"/>
      <c r="AB45" s="51"/>
      <c r="AC45" s="49"/>
      <c r="AD45" s="116" t="s">
        <v>598</v>
      </c>
      <c r="AE45" s="189"/>
      <c r="AF45" s="189">
        <v>6300</v>
      </c>
    </row>
    <row r="46" spans="1:33" s="190" customFormat="1" ht="42" customHeight="1" x14ac:dyDescent="0.15">
      <c r="A46" s="198">
        <v>40045873</v>
      </c>
      <c r="B46" s="47" t="str">
        <f t="shared" si="32"/>
        <v>[effect:enemy_message, val1:1.2, val2:1.2],[effect:damage_fix_absolute, target:unit_all, val:99999]</v>
      </c>
      <c r="C46" s="49">
        <v>3</v>
      </c>
      <c r="D46" s="49" t="s">
        <v>126</v>
      </c>
      <c r="E46" s="50"/>
      <c r="F46" s="50" t="s">
        <v>464</v>
      </c>
      <c r="G46" s="50" t="s">
        <v>396</v>
      </c>
      <c r="H46" s="50" t="str">
        <f t="shared" si="48"/>
        <v>[effect:enemy_message, val1:1.2, val2:1.2]</v>
      </c>
      <c r="I46" s="50">
        <f t="shared" si="49"/>
        <v>9</v>
      </c>
      <c r="J46" s="50">
        <f t="shared" si="34"/>
        <v>22</v>
      </c>
      <c r="K46" s="50" t="e">
        <f t="shared" si="35"/>
        <v>#VALUE!</v>
      </c>
      <c r="L46" s="50">
        <f t="shared" si="36"/>
        <v>32</v>
      </c>
      <c r="M46" s="50" t="str">
        <f>IFERROR(VLOOKUP(MID(H46,K46,L46-K46),[6]skilldef!$C:$D,2,FALSE),"-") &amp; " / " &amp; IFERROR(VLOOKUP(MID(H46,I46,J46-I46),[6]skilldef!$A:$B,2,FALSE),"-")</f>
        <v>- / -</v>
      </c>
      <c r="N46" s="50" t="str">
        <f t="shared" si="37"/>
        <v>[effect:damage_fix_absolute, target:unit_all, val:99999]</v>
      </c>
      <c r="O46" s="46" t="str">
        <f>IFERROR(LEFT(N46,FIND("],",N46)+T55),N46)</f>
        <v>[effect:damage_fix_absolute, target:unit_all, val:99999]</v>
      </c>
      <c r="P46" s="50">
        <f t="shared" si="39"/>
        <v>9</v>
      </c>
      <c r="Q46" s="50">
        <f t="shared" si="40"/>
        <v>28</v>
      </c>
      <c r="R46" s="50">
        <f t="shared" si="41"/>
        <v>37</v>
      </c>
      <c r="S46" s="50">
        <f t="shared" si="42"/>
        <v>45</v>
      </c>
      <c r="T46" s="50" t="str">
        <f>IFERROR(VLOOKUP(MID(O46,R46,S46-R46),[6]skilldef!$C:$D,2,FALSE),"-") &amp; " / " &amp; IFERROR(VLOOKUP(MID(O46,P46,Q46-P46),[6]skilldef!$A:$B,2,FALSE),"-")</f>
        <v>味方全体に / -</v>
      </c>
      <c r="U46" s="46" t="str">
        <f t="shared" si="43"/>
        <v>none</v>
      </c>
      <c r="V46" s="50" t="e">
        <f t="shared" si="44"/>
        <v>#VALUE!</v>
      </c>
      <c r="W46" s="50">
        <f t="shared" si="45"/>
        <v>4</v>
      </c>
      <c r="X46" s="50" t="e">
        <f t="shared" si="46"/>
        <v>#VALUE!</v>
      </c>
      <c r="Y46" s="50" t="e">
        <f t="shared" si="47"/>
        <v>#VALUE!</v>
      </c>
      <c r="Z46" s="50" t="str">
        <f>IFERROR(VLOOKUP(MID(U46,X46,Y46-X46),[6]skilldef!$C:$D,2,FALSE),"-") &amp; " / " &amp; IFERROR(VLOOKUP(MID(U46,V46,W46-V46),[6]skilldef!$A:$B,2,FALSE),"-")</f>
        <v>- / -</v>
      </c>
      <c r="AA46" s="49"/>
      <c r="AB46" s="51"/>
      <c r="AC46" s="49"/>
      <c r="AD46" s="116" t="s">
        <v>434</v>
      </c>
      <c r="AE46" s="189"/>
    </row>
    <row r="47" spans="1:33" s="190" customFormat="1" ht="42" customHeight="1" x14ac:dyDescent="0.15">
      <c r="A47" s="198">
        <v>40045874</v>
      </c>
      <c r="B47" s="46" t="s">
        <v>641</v>
      </c>
      <c r="C47" s="49">
        <v>3</v>
      </c>
      <c r="D47" s="49" t="s">
        <v>126</v>
      </c>
      <c r="E47" s="50"/>
      <c r="F47" s="50" t="s">
        <v>609</v>
      </c>
      <c r="G47" s="50" t="s">
        <v>465</v>
      </c>
      <c r="H47" s="50" t="str">
        <f t="shared" si="48"/>
        <v>[effect:enemy_message, val1:2.2, val2:3.1]</v>
      </c>
      <c r="I47" s="50">
        <f t="shared" si="49"/>
        <v>9</v>
      </c>
      <c r="J47" s="50">
        <f t="shared" si="34"/>
        <v>22</v>
      </c>
      <c r="K47" s="50" t="e">
        <f t="shared" si="35"/>
        <v>#VALUE!</v>
      </c>
      <c r="L47" s="50">
        <f t="shared" si="36"/>
        <v>32</v>
      </c>
      <c r="M47" s="50" t="str">
        <f>IFERROR(VLOOKUP(MID(H47,K47,L47-K47),[6]skilldef!$C:$D,2,FALSE),"-") &amp; " / " &amp; IFERROR(VLOOKUP(MID(H47,I47,J47-I47),[6]skilldef!$A:$B,2,FALSE),"-")</f>
        <v>- / -</v>
      </c>
      <c r="N47" s="50" t="str">
        <f t="shared" si="37"/>
        <v>none</v>
      </c>
      <c r="O47" s="46" t="str">
        <f>IFERROR(LEFT(N47,FIND("],",N47)+#REF!),N47)</f>
        <v>none</v>
      </c>
      <c r="P47" s="50" t="e">
        <f t="shared" si="39"/>
        <v>#VALUE!</v>
      </c>
      <c r="Q47" s="50">
        <f t="shared" si="40"/>
        <v>4</v>
      </c>
      <c r="R47" s="50" t="e">
        <f t="shared" si="41"/>
        <v>#VALUE!</v>
      </c>
      <c r="S47" s="50" t="e">
        <f t="shared" si="42"/>
        <v>#VALUE!</v>
      </c>
      <c r="T47" s="50" t="str">
        <f>IFERROR(VLOOKUP(MID(O47,R47,S47-R47),[6]skilldef!$C:$D,2,FALSE),"-") &amp; " / " &amp; IFERROR(VLOOKUP(MID(O47,P47,Q47-P47),[6]skilldef!$A:$B,2,FALSE),"-")</f>
        <v>- / -</v>
      </c>
      <c r="U47" s="46" t="str">
        <f t="shared" si="43"/>
        <v>none</v>
      </c>
      <c r="V47" s="50" t="e">
        <f t="shared" si="44"/>
        <v>#VALUE!</v>
      </c>
      <c r="W47" s="50">
        <f t="shared" si="45"/>
        <v>4</v>
      </c>
      <c r="X47" s="50" t="e">
        <f t="shared" si="46"/>
        <v>#VALUE!</v>
      </c>
      <c r="Y47" s="50" t="e">
        <f t="shared" si="47"/>
        <v>#VALUE!</v>
      </c>
      <c r="Z47" s="50" t="str">
        <f>IFERROR(VLOOKUP(MID(U47,X47,Y47-X47),[6]skilldef!$C:$D,2,FALSE),"-") &amp; " / " &amp; IFERROR(VLOOKUP(MID(U47,V47,W47-V47),[6]skilldef!$A:$B,2,FALSE),"-")</f>
        <v>- / -</v>
      </c>
      <c r="AA47" s="49"/>
      <c r="AB47" s="51"/>
      <c r="AC47" s="49"/>
      <c r="AD47" s="116"/>
      <c r="AE47" s="189"/>
    </row>
    <row r="48" spans="1:33" s="190" customFormat="1" ht="42" customHeight="1" x14ac:dyDescent="0.15">
      <c r="A48" s="198">
        <v>40045875</v>
      </c>
      <c r="B48" s="47" t="str">
        <f t="shared" si="32"/>
        <v>[effect:enemy_message, val1:1.2, val2:2.4],[effect:rush, count:1, val:0.08],[effect:rush, count:1, val:0.12],[effect:rush, count:1, val:0.16],[effect:rush, count:1, val:0.20],[effect:rush, count:1, val:0.24],[effect:rush, count:1, val:0.28],[effect:rush, count:1, val:0.32],[effect:rush, count:1, val:0.36]</v>
      </c>
      <c r="C48" s="49">
        <v>3</v>
      </c>
      <c r="D48" s="49" t="s">
        <v>126</v>
      </c>
      <c r="E48" s="50"/>
      <c r="F48" s="50" t="s">
        <v>461</v>
      </c>
      <c r="G48" s="50" t="s">
        <v>425</v>
      </c>
      <c r="H48" s="50" t="str">
        <f t="shared" si="48"/>
        <v>[effect:enemy_message, val1:1.2, val2:2.4]</v>
      </c>
      <c r="I48" s="50">
        <f t="shared" si="49"/>
        <v>9</v>
      </c>
      <c r="J48" s="50">
        <f t="shared" si="34"/>
        <v>22</v>
      </c>
      <c r="K48" s="50" t="e">
        <f t="shared" si="35"/>
        <v>#VALUE!</v>
      </c>
      <c r="L48" s="50">
        <f t="shared" si="36"/>
        <v>32</v>
      </c>
      <c r="M48" s="50" t="str">
        <f>IFERROR(VLOOKUP(MID(H48,K48,L48-K48),[6]skilldef!$C:$D,2,FALSE),"-") &amp; " / " &amp; IFERROR(VLOOKUP(MID(H48,I48,J48-I48),[6]skilldef!$A:$B,2,FALSE),"-")</f>
        <v>- / -</v>
      </c>
      <c r="N48" s="50" t="str">
        <f t="shared" si="37"/>
        <v>[effect:rush, count:1, val:0.08],[effect:rush, count:1, val:0.12],[effect:rush, count:1, val:0.16],[effect:rush, count:1, val:0.20],[effect:rush, count:1, val:0.24],[effect:rush, count:1, val:0.28],[effect:rush, count:1, val:0.32],[effect:rush, count:1, val:0.36]</v>
      </c>
      <c r="O48" s="46" t="str">
        <f>IFERROR(LEFT(N48,FIND("],",N48)+#REF!),N48)</f>
        <v>[effect:rush, count:1, val:0.08],[effect:rush, count:1, val:0.12],[effect:rush, count:1, val:0.16],[effect:rush, count:1, val:0.20],[effect:rush, count:1, val:0.24],[effect:rush, count:1, val:0.28],[effect:rush, count:1, val:0.32],[effect:rush, count:1, val:0.36]</v>
      </c>
      <c r="P48" s="50">
        <f t="shared" si="39"/>
        <v>9</v>
      </c>
      <c r="Q48" s="50">
        <f t="shared" si="40"/>
        <v>13</v>
      </c>
      <c r="R48" s="50" t="e">
        <f t="shared" si="41"/>
        <v>#VALUE!</v>
      </c>
      <c r="S48" s="50">
        <f t="shared" si="42"/>
        <v>22</v>
      </c>
      <c r="T48" s="50" t="str">
        <f>IFERROR(VLOOKUP(MID(O48,R48,S48-R48),[6]skilldef!$C:$D,2,FALSE),"-") &amp; " / " &amp; IFERROR(VLOOKUP(MID(O48,P48,Q48-P48),[6]skilldef!$A:$B,2,FALSE),"-")</f>
        <v>- / 連続攻撃</v>
      </c>
      <c r="U48" s="46" t="str">
        <f t="shared" si="43"/>
        <v>[effect:rush, count:1, val:0.12],[effect:rush, count:1, val:0.16],[effect:rush, count:1, val:0.20],[effect:rush, count:1, val:0.24],[effect:rush, count:1, val:0.28],[effect:rush, count:1, val:0.32],[effect:rush, count:1, val:0.36]</v>
      </c>
      <c r="V48" s="50">
        <f t="shared" si="44"/>
        <v>9</v>
      </c>
      <c r="W48" s="50">
        <f t="shared" si="45"/>
        <v>13</v>
      </c>
      <c r="X48" s="50" t="e">
        <f t="shared" si="46"/>
        <v>#VALUE!</v>
      </c>
      <c r="Y48" s="50">
        <f t="shared" si="47"/>
        <v>22</v>
      </c>
      <c r="Z48" s="50" t="str">
        <f>IFERROR(VLOOKUP(MID(U48,X48,Y48-X48),[6]skilldef!$C:$D,2,FALSE),"-") &amp; " / " &amp; IFERROR(VLOOKUP(MID(U48,V48,W48-V48),[6]skilldef!$A:$B,2,FALSE),"-")</f>
        <v>- / 連続攻撃</v>
      </c>
      <c r="AA48" s="49"/>
      <c r="AB48" s="51"/>
      <c r="AC48" s="49"/>
      <c r="AD48" s="116" t="s">
        <v>389</v>
      </c>
      <c r="AE48" s="189"/>
    </row>
    <row r="49" spans="1:31" s="190" customFormat="1" ht="42" customHeight="1" x14ac:dyDescent="0.15">
      <c r="A49" s="198">
        <v>40045876</v>
      </c>
      <c r="B49" s="47" t="str">
        <f t="shared" si="32"/>
        <v>[effect:enemy_message, val1:1.2, val2:4.3],[effect:spread, val:0.25],[effect:degrade_unit, target:unit_all, turn:3, status:heal, val:0.25, calc:mul, animation:degrade_unit_all_heal]</v>
      </c>
      <c r="C49" s="49">
        <v>3</v>
      </c>
      <c r="D49" s="49" t="s">
        <v>126</v>
      </c>
      <c r="E49" s="50"/>
      <c r="F49" s="50" t="s">
        <v>460</v>
      </c>
      <c r="G49" s="50" t="s">
        <v>563</v>
      </c>
      <c r="H49" s="50" t="str">
        <f t="shared" si="48"/>
        <v>[effect:enemy_message, val1:1.2, val2:4.3]</v>
      </c>
      <c r="I49" s="50">
        <f t="shared" si="49"/>
        <v>9</v>
      </c>
      <c r="J49" s="50">
        <f t="shared" si="34"/>
        <v>22</v>
      </c>
      <c r="K49" s="50" t="e">
        <f t="shared" si="35"/>
        <v>#VALUE!</v>
      </c>
      <c r="L49" s="50">
        <f t="shared" si="36"/>
        <v>32</v>
      </c>
      <c r="M49" s="50" t="str">
        <f>IFERROR(VLOOKUP(MID(H49,K49,L49-K49),[6]skilldef!$C:$D,2,FALSE),"-") &amp; " / " &amp; IFERROR(VLOOKUP(MID(H49,I49,J49-I49),[6]skilldef!$A:$B,2,FALSE),"-")</f>
        <v>- / -</v>
      </c>
      <c r="N49" s="50" t="str">
        <f t="shared" si="37"/>
        <v>[effect:spread, val:0.25],[effect:degrade_unit, target:unit_all, turn:3, status:heal, val:0.25, calc:mul, animation:degrade_unit_all_heal]</v>
      </c>
      <c r="O49" s="46" t="str">
        <f>IFERROR(LEFT(N49,FIND("],",N49)+#REF!),N49)</f>
        <v>[effect:spread, val:0.25],[effect:degrade_unit, target:unit_all, turn:3, status:heal, val:0.25, calc:mul, animation:degrade_unit_all_heal]</v>
      </c>
      <c r="P49" s="50">
        <f t="shared" si="39"/>
        <v>9</v>
      </c>
      <c r="Q49" s="50">
        <f t="shared" si="40"/>
        <v>15</v>
      </c>
      <c r="R49" s="50">
        <f t="shared" si="41"/>
        <v>56</v>
      </c>
      <c r="S49" s="50">
        <f t="shared" si="42"/>
        <v>26</v>
      </c>
      <c r="T49" s="50" t="str">
        <f>IFERROR(VLOOKUP(MID(O49,R49,S49-R49),[6]skilldef!$C:$D,2,FALSE),"-") &amp; " / " &amp; IFERROR(VLOOKUP(MID(O49,P49,Q49-P49),[6]skilldef!$A:$B,2,FALSE),"-")</f>
        <v>- / 全体攻撃</v>
      </c>
      <c r="U49" s="46" t="str">
        <f t="shared" si="43"/>
        <v>[effect:degrade_unit, target:unit_all, turn:3, status:heal, val:0.25, calc:mul, animation:degrade_unit_all_heal]</v>
      </c>
      <c r="V49" s="50">
        <f t="shared" si="44"/>
        <v>9</v>
      </c>
      <c r="W49" s="50">
        <f t="shared" si="45"/>
        <v>21</v>
      </c>
      <c r="X49" s="50">
        <f t="shared" si="46"/>
        <v>30</v>
      </c>
      <c r="Y49" s="50">
        <f t="shared" si="47"/>
        <v>38</v>
      </c>
      <c r="Z49" s="50" t="str">
        <f>IFERROR(VLOOKUP(MID(U49,X49,Y49-X49),[6]skilldef!$C:$D,2,FALSE),"-") &amp; " / " &amp; IFERROR(VLOOKUP(MID(U49,V49,W49-V49),[6]skilldef!$A:$B,2,FALSE),"-")</f>
        <v>味方全体に / ステータスDOWN</v>
      </c>
      <c r="AA49" s="49"/>
      <c r="AB49" s="51"/>
      <c r="AC49" s="49"/>
      <c r="AD49" s="117" t="s">
        <v>564</v>
      </c>
      <c r="AE49" s="189"/>
    </row>
    <row r="50" spans="1:31" s="190" customFormat="1" ht="42" customHeight="1" x14ac:dyDescent="0.15">
      <c r="A50" s="198">
        <v>40045877</v>
      </c>
      <c r="B50" s="47" t="str">
        <f t="shared" si="32"/>
        <v>[effect:enemy_message, val1:1.2, val2:4.6],[effect:force_change_block, new_block:damage, target:normal, color:block_red, count:2, val:0.05, animation:change_block],[effect:force_change_block, new_block:damage, target:normal, color:block_green, count:2, val:0.05, animation:change_block],[effect:force_change_block, new_block:damage, target:normal, color:block_blue, count:2, val:0.05, animation:change_block],[effect:force_change_block, new_block:damage, target:normal, color:block_yellow, count:2, val:0.05, animation:change_block]</v>
      </c>
      <c r="C50" s="49">
        <v>3</v>
      </c>
      <c r="D50" s="49" t="s">
        <v>126</v>
      </c>
      <c r="E50" s="50"/>
      <c r="F50" s="50" t="s">
        <v>466</v>
      </c>
      <c r="G50" s="50" t="s">
        <v>426</v>
      </c>
      <c r="H50" s="50" t="str">
        <f t="shared" si="48"/>
        <v>[effect:enemy_message, val1:1.2, val2:4.6]</v>
      </c>
      <c r="I50" s="50">
        <f t="shared" si="49"/>
        <v>9</v>
      </c>
      <c r="J50" s="50">
        <f t="shared" si="34"/>
        <v>22</v>
      </c>
      <c r="K50" s="50" t="e">
        <f t="shared" si="35"/>
        <v>#VALUE!</v>
      </c>
      <c r="L50" s="50">
        <f t="shared" si="36"/>
        <v>32</v>
      </c>
      <c r="M50" s="50" t="str">
        <f>IFERROR(VLOOKUP(MID(H50,K50,L50-K50),[6]skilldef!$C:$D,2,FALSE),"-") &amp; " / " &amp; IFERROR(VLOOKUP(MID(H50,I50,J50-I50),[6]skilldef!$A:$B,2,FALSE),"-")</f>
        <v>- / -</v>
      </c>
      <c r="N50" s="50" t="str">
        <f t="shared" si="37"/>
        <v>[effect:force_change_block, new_block:damage, target:normal, color:block_red, count:2, val:0.05, animation:change_block],[effect:force_change_block, new_block:damage, target:normal, color:block_green, count:2, val:0.05, animation:change_block],[effect:force_change_block, new_block:damage, target:normal, color:block_blue, count:2, val:0.05, animation:change_block],[effect:force_change_block, new_block:damage, target:normal, color:block_yellow, count:2, val:0.05, animation:change_block]</v>
      </c>
      <c r="O50" s="46" t="str">
        <f>IFERROR(LEFT(N50,FIND("],",N50)+#REF!),N50)</f>
        <v>[effect:force_change_block, new_block:damage, target:normal, color:block_red, count:2, val:0.05, animation:change_block],[effect:force_change_block, new_block:damage, target:normal, color:block_green, count:2, val:0.05, animation:change_block],[effect:force_change_block, new_block:damage, target:normal, color:block_blue, count:2, val:0.05, animation:change_block],[effect:force_change_block, new_block:damage, target:normal, color:block_yellow, count:2, val:0.05, animation:change_block]</v>
      </c>
      <c r="P50" s="50">
        <f t="shared" si="39"/>
        <v>9</v>
      </c>
      <c r="Q50" s="50">
        <f t="shared" si="40"/>
        <v>27</v>
      </c>
      <c r="R50" s="50">
        <f t="shared" si="41"/>
        <v>54</v>
      </c>
      <c r="S50" s="50">
        <f t="shared" si="42"/>
        <v>45</v>
      </c>
      <c r="T50" s="50" t="str">
        <f>IFERROR(VLOOKUP(MID(O50,R50,S50-R50),[6]skilldef!$C:$D,2,FALSE),"-") &amp; " / " &amp; IFERROR(VLOOKUP(MID(O50,P50,Q50-P50),[6]skilldef!$A:$B,2,FALSE),"-")</f>
        <v>- / -</v>
      </c>
      <c r="U50" s="46" t="str">
        <f t="shared" si="43"/>
        <v>[effect:force_change_block, new_block:damage, target:normal, color:block_green, count:2, val:0.05, animation:change_block],[effect:force_change_block, new_block:damage, target:normal, color:block_blue, count:2, val:0.05, animation:change_block],[effect:force_change_block, new_block:damage, target:normal, color:block_yellow, count:2, val:0.05, animation:change_block]</v>
      </c>
      <c r="V50" s="50">
        <f t="shared" si="44"/>
        <v>9</v>
      </c>
      <c r="W50" s="50">
        <f t="shared" si="45"/>
        <v>27</v>
      </c>
      <c r="X50" s="50">
        <f t="shared" si="46"/>
        <v>54</v>
      </c>
      <c r="Y50" s="50">
        <f t="shared" si="47"/>
        <v>45</v>
      </c>
      <c r="Z50" s="50" t="str">
        <f>IFERROR(VLOOKUP(MID(U50,X50,Y50-X50),[6]skilldef!$C:$D,2,FALSE),"-") &amp; " / " &amp; IFERROR(VLOOKUP(MID(U50,V50,W50-V50),[6]skilldef!$A:$B,2,FALSE),"-")</f>
        <v>- / -</v>
      </c>
      <c r="AA50" s="49"/>
      <c r="AB50" s="51"/>
      <c r="AC50" s="49"/>
      <c r="AD50" s="116" t="str">
        <f>"[effect:force_change_block, new_block:damage, target:normal, color:block_red, count:2, val:"&amp;AE50&amp;", animation:change_block],
[effect:force_change_block, new_block:damage, target:normal, color:block_green, count:2, val:"&amp;AE50&amp;", animation:change_block],
[effect:force_change_block, new_block:damage, target:normal, color:block_blue, count:2, val:"&amp;AE50&amp;", animation:change_block],
[effect:force_change_block, new_block:damage, target:normal, color:block_yellow, count:2, val:"&amp;AE50&amp;", animation:change_block]"</f>
        <v>[effect:force_change_block, new_block:damage, target:normal, color:block_red, count:2, val:0.05, animation:change_block],_x000D_[effect:force_change_block, new_block:damage, target:normal, color:block_green, count:2, val:0.05, animation:change_block],_x000D_[effect:force_change_block, new_block:damage, target:normal, color:block_blue, count:2, val:0.05, animation:change_block],_x000D_[effect:force_change_block, new_block:damage, target:normal, color:block_yellow, count:2, val:0.05, animation:change_block]</v>
      </c>
      <c r="AE50" s="189">
        <v>0.05</v>
      </c>
    </row>
    <row r="51" spans="1:31" s="190" customFormat="1" ht="42" customHeight="1" x14ac:dyDescent="0.15">
      <c r="A51" s="198">
        <v>40045878</v>
      </c>
      <c r="B51" s="47" t="str">
        <f t="shared" si="32"/>
        <v>[effect:enemy_message, val1:1.2, val2:3.8],[effect:damage_anti_abnormal, target:unit_all, target_effect01:virus, val1:1.0, val2:0.7]</v>
      </c>
      <c r="C51" s="49">
        <v>3</v>
      </c>
      <c r="D51" s="49" t="s">
        <v>126</v>
      </c>
      <c r="E51" s="50"/>
      <c r="F51" s="50" t="s">
        <v>480</v>
      </c>
      <c r="G51" s="50" t="s">
        <v>427</v>
      </c>
      <c r="H51" s="50" t="str">
        <f t="shared" si="48"/>
        <v>[effect:enemy_message, val1:1.2, val2:3.8]</v>
      </c>
      <c r="I51" s="50">
        <f t="shared" si="49"/>
        <v>9</v>
      </c>
      <c r="J51" s="50">
        <f t="shared" si="34"/>
        <v>22</v>
      </c>
      <c r="K51" s="50" t="e">
        <f t="shared" si="35"/>
        <v>#VALUE!</v>
      </c>
      <c r="L51" s="50">
        <f t="shared" si="36"/>
        <v>32</v>
      </c>
      <c r="M51" s="50" t="str">
        <f>IFERROR(VLOOKUP(MID(H51,K51,L51-K51),[6]skilldef!$C:$D,2,FALSE),"-") &amp; " / " &amp; IFERROR(VLOOKUP(MID(H51,I51,J51-I51),[6]skilldef!$A:$B,2,FALSE),"-")</f>
        <v>- / -</v>
      </c>
      <c r="N51" s="50" t="str">
        <f t="shared" si="37"/>
        <v>[effect:damage_anti_abnormal, target:unit_all, target_effect01:virus, val1:1.0, val2:0.7]</v>
      </c>
      <c r="O51" s="46" t="str">
        <f>IFERROR(LEFT(N51,FIND("],",N51)+#REF!),N51)</f>
        <v>[effect:damage_anti_abnormal, target:unit_all, target_effect01:virus, val1:1.0, val2:0.7]</v>
      </c>
      <c r="P51" s="50">
        <f t="shared" si="39"/>
        <v>9</v>
      </c>
      <c r="Q51" s="50">
        <f t="shared" si="40"/>
        <v>29</v>
      </c>
      <c r="R51" s="50">
        <f t="shared" si="41"/>
        <v>38</v>
      </c>
      <c r="S51" s="50">
        <f t="shared" si="42"/>
        <v>46</v>
      </c>
      <c r="T51" s="50" t="str">
        <f>IFERROR(VLOOKUP(MID(O51,R51,S51-R51),[6]skilldef!$C:$D,2,FALSE),"-") &amp; " / " &amp; IFERROR(VLOOKUP(MID(O51,P51,Q51-P51),[6]skilldef!$A:$B,2,FALSE),"-")</f>
        <v>味方全体に / -</v>
      </c>
      <c r="U51" s="46" t="str">
        <f t="shared" si="43"/>
        <v>none</v>
      </c>
      <c r="V51" s="50" t="e">
        <f t="shared" si="44"/>
        <v>#VALUE!</v>
      </c>
      <c r="W51" s="50">
        <f t="shared" si="45"/>
        <v>4</v>
      </c>
      <c r="X51" s="50" t="e">
        <f t="shared" si="46"/>
        <v>#VALUE!</v>
      </c>
      <c r="Y51" s="50" t="e">
        <f t="shared" si="47"/>
        <v>#VALUE!</v>
      </c>
      <c r="Z51" s="50" t="str">
        <f>IFERROR(VLOOKUP(MID(U51,X51,Y51-X51),[6]skilldef!$C:$D,2,FALSE),"-") &amp; " / " &amp; IFERROR(VLOOKUP(MID(U51,V51,W51-V51),[6]skilldef!$A:$B,2,FALSE),"-")</f>
        <v>- / -</v>
      </c>
      <c r="AA51" s="49"/>
      <c r="AB51" s="51"/>
      <c r="AC51" s="49"/>
      <c r="AD51" s="116" t="s">
        <v>553</v>
      </c>
      <c r="AE51" s="189"/>
    </row>
    <row r="52" spans="1:31" s="190" customFormat="1" ht="42" customHeight="1" x14ac:dyDescent="0.15">
      <c r="A52" s="198">
        <v>40045880</v>
      </c>
      <c r="B52" s="47" t="str">
        <f t="shared" si="32"/>
        <v>[effect:enemy_message, val1:1.2, val2:1.3],[effect:break_attack_fix, target:unit_all, val:150, lowest_val:250, count:-1, block01:block_red]</v>
      </c>
      <c r="C52" s="49">
        <v>3</v>
      </c>
      <c r="D52" s="49" t="s">
        <v>126</v>
      </c>
      <c r="E52" s="50"/>
      <c r="F52" s="50" t="s">
        <v>444</v>
      </c>
      <c r="G52" s="50" t="s">
        <v>388</v>
      </c>
      <c r="H52" s="50" t="str">
        <f t="shared" si="48"/>
        <v>[effect:enemy_message, val1:1.2, val2:1.3]</v>
      </c>
      <c r="I52" s="50">
        <f t="shared" si="49"/>
        <v>9</v>
      </c>
      <c r="J52" s="50">
        <f t="shared" si="34"/>
        <v>22</v>
      </c>
      <c r="K52" s="50" t="e">
        <f t="shared" si="35"/>
        <v>#VALUE!</v>
      </c>
      <c r="L52" s="50">
        <f t="shared" si="36"/>
        <v>32</v>
      </c>
      <c r="M52" s="50" t="str">
        <f>IFERROR(VLOOKUP(MID(H52,K52,L52-K52),[6]skilldef!$C:$D,2,FALSE),"-") &amp; " / " &amp; IFERROR(VLOOKUP(MID(H52,I52,J52-I52),[6]skilldef!$A:$B,2,FALSE),"-")</f>
        <v>- / -</v>
      </c>
      <c r="N52" s="50" t="str">
        <f t="shared" si="37"/>
        <v>[effect:break_attack_fix, target:unit_all, val:150, lowest_val:250, count:-1, block01:block_red]</v>
      </c>
      <c r="O52" s="46" t="str">
        <f>IFERROR(LEFT(N52,FIND("],",N52)+T58),N52)</f>
        <v>[effect:break_attack_fix, target:unit_all, val:150, lowest_val:250, count:-1, block01:block_red]</v>
      </c>
      <c r="P52" s="50">
        <f t="shared" si="39"/>
        <v>9</v>
      </c>
      <c r="Q52" s="50">
        <f t="shared" si="40"/>
        <v>25</v>
      </c>
      <c r="R52" s="50">
        <f t="shared" si="41"/>
        <v>34</v>
      </c>
      <c r="S52" s="50">
        <f t="shared" si="42"/>
        <v>42</v>
      </c>
      <c r="T52" s="50" t="str">
        <f>IFERROR(VLOOKUP(MID(O52,R52,S52-R52),[6]skilldef!$C:$D,2,FALSE),"-") &amp; " / " &amp; IFERROR(VLOOKUP(MID(O52,P52,Q52-P52),[6]skilldef!$A:$B,2,FALSE),"-")</f>
        <v>味方全体に / -</v>
      </c>
      <c r="U52" s="46" t="str">
        <f t="shared" si="43"/>
        <v>none</v>
      </c>
      <c r="V52" s="50" t="e">
        <f t="shared" si="44"/>
        <v>#VALUE!</v>
      </c>
      <c r="W52" s="50">
        <f t="shared" si="45"/>
        <v>4</v>
      </c>
      <c r="X52" s="50" t="e">
        <f t="shared" si="46"/>
        <v>#VALUE!</v>
      </c>
      <c r="Y52" s="50" t="e">
        <f t="shared" si="47"/>
        <v>#VALUE!</v>
      </c>
      <c r="Z52" s="50" t="str">
        <f>IFERROR(VLOOKUP(MID(U52,X52,Y52-X52),[6]skilldef!$C:$D,2,FALSE),"-") &amp; " / " &amp; IFERROR(VLOOKUP(MID(U52,V52,W52-V52),[6]skilldef!$A:$B,2,FALSE),"-")</f>
        <v>- / -</v>
      </c>
      <c r="AA52" s="49"/>
      <c r="AB52" s="51"/>
      <c r="AC52" s="49"/>
      <c r="AD52" s="116" t="s">
        <v>566</v>
      </c>
      <c r="AE52" s="189"/>
    </row>
    <row r="53" spans="1:31" s="190" customFormat="1" ht="42" customHeight="1" x14ac:dyDescent="0.15">
      <c r="A53" s="198">
        <v>40045881</v>
      </c>
      <c r="B53" s="47" t="str">
        <f t="shared" si="32"/>
        <v xml:space="preserve">[effect:enemy_message, val1:1.4, val2:1.6],[effect:break_attack_fix, target:unit_all, val:150, lowest_val:500, count:-1, block01:damage]    </v>
      </c>
      <c r="C53" s="49">
        <v>3</v>
      </c>
      <c r="D53" s="49" t="s">
        <v>126</v>
      </c>
      <c r="E53" s="50"/>
      <c r="F53" s="50" t="s">
        <v>443</v>
      </c>
      <c r="G53" s="50" t="s">
        <v>363</v>
      </c>
      <c r="H53" s="50" t="str">
        <f t="shared" si="48"/>
        <v>[effect:enemy_message, val1:1.4, val2:1.6]</v>
      </c>
      <c r="I53" s="50">
        <f t="shared" si="49"/>
        <v>9</v>
      </c>
      <c r="J53" s="50">
        <f t="shared" si="34"/>
        <v>22</v>
      </c>
      <c r="K53" s="50" t="e">
        <f t="shared" si="35"/>
        <v>#VALUE!</v>
      </c>
      <c r="L53" s="50">
        <f t="shared" si="36"/>
        <v>32</v>
      </c>
      <c r="M53" s="50" t="str">
        <f>IFERROR(VLOOKUP(MID(H53,K53,L53-K53),[6]skilldef!$C:$D,2,FALSE),"-") &amp; " / " &amp; IFERROR(VLOOKUP(MID(H53,I53,J53-I53),[6]skilldef!$A:$B,2,FALSE),"-")</f>
        <v>- / -</v>
      </c>
      <c r="N53" s="50" t="str">
        <f t="shared" si="37"/>
        <v xml:space="preserve">[effect:break_attack_fix, target:unit_all, val:150, lowest_val:500, count:-1, block01:damage]    </v>
      </c>
      <c r="O53" s="46" t="str">
        <f>IFERROR(LEFT(N53,FIND("],",N53)+T59),N53)</f>
        <v xml:space="preserve">[effect:break_attack_fix, target:unit_all, val:150, lowest_val:500, count:-1, block01:damage]    </v>
      </c>
      <c r="P53" s="50">
        <f t="shared" si="39"/>
        <v>9</v>
      </c>
      <c r="Q53" s="50">
        <f t="shared" si="40"/>
        <v>25</v>
      </c>
      <c r="R53" s="50">
        <f t="shared" si="41"/>
        <v>34</v>
      </c>
      <c r="S53" s="50">
        <f t="shared" si="42"/>
        <v>42</v>
      </c>
      <c r="T53" s="50" t="str">
        <f>IFERROR(VLOOKUP(MID(O53,R53,S53-R53),[6]skilldef!$C:$D,2,FALSE),"-") &amp; " / " &amp; IFERROR(VLOOKUP(MID(O53,P53,Q53-P53),[6]skilldef!$A:$B,2,FALSE),"-")</f>
        <v>味方全体に / -</v>
      </c>
      <c r="U53" s="46" t="str">
        <f t="shared" si="43"/>
        <v>none</v>
      </c>
      <c r="V53" s="50" t="e">
        <f t="shared" si="44"/>
        <v>#VALUE!</v>
      </c>
      <c r="W53" s="50">
        <f t="shared" si="45"/>
        <v>4</v>
      </c>
      <c r="X53" s="50" t="e">
        <f t="shared" si="46"/>
        <v>#VALUE!</v>
      </c>
      <c r="Y53" s="50" t="e">
        <f t="shared" si="47"/>
        <v>#VALUE!</v>
      </c>
      <c r="Z53" s="50" t="str">
        <f>IFERROR(VLOOKUP(MID(U53,X53,Y53-X53),[6]skilldef!$C:$D,2,FALSE),"-") &amp; " / " &amp; IFERROR(VLOOKUP(MID(U53,V53,W53-V53),[6]skilldef!$A:$B,2,FALSE),"-")</f>
        <v>- / -</v>
      </c>
      <c r="AA53" s="49"/>
      <c r="AB53" s="51"/>
      <c r="AC53" s="49"/>
      <c r="AD53" s="116" t="s">
        <v>565</v>
      </c>
      <c r="AE53" s="189"/>
    </row>
    <row r="54" spans="1:31" s="190" customFormat="1" ht="42" customHeight="1" x14ac:dyDescent="0.15">
      <c r="A54" s="198">
        <v>40045882</v>
      </c>
      <c r="B54" s="47" t="str">
        <f t="shared" si="32"/>
        <v>[effect:enemy_message, val1:1.2, val2:2.7],[effect:critical, val:1.5, animation:enemy_critical],[effect:force_change_block, new_block:damage, target:block_red, color:block_red, count:3, val:0.1, animation:change_bock]</v>
      </c>
      <c r="C54" s="49">
        <v>3</v>
      </c>
      <c r="D54" s="49" t="s">
        <v>126</v>
      </c>
      <c r="E54" s="50"/>
      <c r="F54" s="50" t="s">
        <v>445</v>
      </c>
      <c r="G54" s="50" t="s">
        <v>379</v>
      </c>
      <c r="H54" s="50" t="str">
        <f t="shared" si="48"/>
        <v>[effect:enemy_message, val1:1.2, val2:2.7]</v>
      </c>
      <c r="I54" s="50">
        <f t="shared" si="49"/>
        <v>9</v>
      </c>
      <c r="J54" s="50">
        <f t="shared" si="34"/>
        <v>22</v>
      </c>
      <c r="K54" s="50" t="e">
        <f t="shared" si="35"/>
        <v>#VALUE!</v>
      </c>
      <c r="L54" s="50">
        <f t="shared" si="36"/>
        <v>32</v>
      </c>
      <c r="M54" s="50" t="str">
        <f>IFERROR(VLOOKUP(MID(H54,K54,L54-K54),[6]skilldef!$C:$D,2,FALSE),"-") &amp; " / " &amp; IFERROR(VLOOKUP(MID(H54,I54,J54-I54),[6]skilldef!$A:$B,2,FALSE),"-")</f>
        <v>- / -</v>
      </c>
      <c r="N54" s="50" t="str">
        <f t="shared" si="37"/>
        <v>[effect:critical, val:1.5, animation:enemy_critical],[effect:force_change_block, new_block:damage, target:block_red, color:block_red, count:3, val:0.1, animation:change_bock]</v>
      </c>
      <c r="O54" s="46" t="str">
        <f>IFERROR(LEFT(N54,FIND("],",N54)+T60),N54)</f>
        <v>[effect:critical, val:1.5, animation:enemy_critical],[effect:force_change_block, new_block:damage, target:block_red, color:block_red, count:3, val:0.1, animation:change_bock]</v>
      </c>
      <c r="P54" s="50">
        <f t="shared" si="39"/>
        <v>9</v>
      </c>
      <c r="Q54" s="50">
        <f t="shared" si="40"/>
        <v>17</v>
      </c>
      <c r="R54" s="50">
        <f t="shared" si="41"/>
        <v>107</v>
      </c>
      <c r="S54" s="50">
        <f t="shared" si="42"/>
        <v>26</v>
      </c>
      <c r="T54" s="50" t="str">
        <f>IFERROR(VLOOKUP(MID(O54,R54,S54-R54),[6]skilldef!$C:$D,2,FALSE),"-") &amp; " / " &amp; IFERROR(VLOOKUP(MID(O54,P54,Q54-P54),[6]skilldef!$A:$B,2,FALSE),"-")</f>
        <v>- / 大攻撃</v>
      </c>
      <c r="U54" s="46" t="str">
        <f t="shared" si="43"/>
        <v>[effect:force_change_block, new_block:damage, target:block_red, color:block_red, count:3, val:0.1, animation:change_bock]</v>
      </c>
      <c r="V54" s="50">
        <f t="shared" si="44"/>
        <v>9</v>
      </c>
      <c r="W54" s="50">
        <f t="shared" si="45"/>
        <v>27</v>
      </c>
      <c r="X54" s="50">
        <f t="shared" si="46"/>
        <v>54</v>
      </c>
      <c r="Y54" s="50">
        <f t="shared" si="47"/>
        <v>45</v>
      </c>
      <c r="Z54" s="50" t="str">
        <f>IFERROR(VLOOKUP(MID(U54,X54,Y54-X54),[6]skilldef!$C:$D,2,FALSE),"-") &amp; " / " &amp; IFERROR(VLOOKUP(MID(U54,V54,W54-V54),[6]skilldef!$A:$B,2,FALSE),"-")</f>
        <v>- / -</v>
      </c>
      <c r="AA54" s="49"/>
      <c r="AB54" s="51"/>
      <c r="AC54" s="49"/>
      <c r="AD54" s="116" t="s">
        <v>378</v>
      </c>
      <c r="AE54" s="189"/>
    </row>
    <row r="55" spans="1:31" s="190" customFormat="1" ht="42" customHeight="1" x14ac:dyDescent="0.15">
      <c r="A55" s="197">
        <v>40045883</v>
      </c>
      <c r="B55" s="47" t="str">
        <f t="shared" si="32"/>
        <v>[effect:enemy_message, val1:1.2, val2:2.5],[effect:spread, val:0.4],[effect:degrade_unit, target:unit_all, turn:2, status:heal, val:0.25, calc:mul, animation:degrade_unit_all_heal]</v>
      </c>
      <c r="C55" s="49">
        <v>3</v>
      </c>
      <c r="D55" s="49" t="s">
        <v>126</v>
      </c>
      <c r="E55" s="50"/>
      <c r="F55" s="50" t="s">
        <v>481</v>
      </c>
      <c r="G55" s="50" t="s">
        <v>568</v>
      </c>
      <c r="H55" s="50" t="str">
        <f t="shared" si="48"/>
        <v>[effect:enemy_message, val1:1.2, val2:2.5]</v>
      </c>
      <c r="I55" s="50">
        <f t="shared" si="49"/>
        <v>9</v>
      </c>
      <c r="J55" s="50">
        <f t="shared" si="34"/>
        <v>22</v>
      </c>
      <c r="K55" s="50" t="e">
        <f t="shared" si="35"/>
        <v>#VALUE!</v>
      </c>
      <c r="L55" s="50">
        <f t="shared" si="36"/>
        <v>32</v>
      </c>
      <c r="M55" s="50" t="str">
        <f>IFERROR(VLOOKUP(MID(H55,K55,L55-K55),[6]skilldef!$C:$D,2,FALSE),"-") &amp; " / " &amp; IFERROR(VLOOKUP(MID(H55,I55,J55-I55),[6]skilldef!$A:$B,2,FALSE),"-")</f>
        <v>- / -</v>
      </c>
      <c r="N55" s="50" t="str">
        <f t="shared" si="37"/>
        <v>[effect:spread, val:0.4],[effect:degrade_unit, target:unit_all, turn:2, status:heal, val:0.25, calc:mul, animation:degrade_unit_all_heal]</v>
      </c>
      <c r="O55" s="46" t="str">
        <f>IFERROR(LEFT(N55,FIND("],",N55)+T57),N55)</f>
        <v>[effect:spread, val:0.4],[effect:degrade_unit, target:unit_all, turn:2, status:heal, val:0.25, calc:mul, animation:degrade_unit_all_heal]</v>
      </c>
      <c r="P55" s="50">
        <f t="shared" si="39"/>
        <v>9</v>
      </c>
      <c r="Q55" s="50">
        <f t="shared" si="40"/>
        <v>15</v>
      </c>
      <c r="R55" s="50">
        <f t="shared" si="41"/>
        <v>55</v>
      </c>
      <c r="S55" s="50">
        <f t="shared" si="42"/>
        <v>25</v>
      </c>
      <c r="T55" s="50" t="str">
        <f>IFERROR(VLOOKUP(MID(O55,R55,S55-R55),[6]skilldef!$C:$D,2,FALSE),"-") &amp; " / " &amp; IFERROR(VLOOKUP(MID(O55,P55,Q55-P55),[6]skilldef!$A:$B,2,FALSE),"-")</f>
        <v>- / 全体攻撃</v>
      </c>
      <c r="U55" s="46" t="str">
        <f t="shared" si="43"/>
        <v>[effect:degrade_unit, target:unit_all, turn:2, status:heal, val:0.25, calc:mul, animation:degrade_unit_all_heal]</v>
      </c>
      <c r="V55" s="50">
        <f t="shared" si="44"/>
        <v>9</v>
      </c>
      <c r="W55" s="50">
        <f t="shared" si="45"/>
        <v>21</v>
      </c>
      <c r="X55" s="50">
        <f t="shared" si="46"/>
        <v>30</v>
      </c>
      <c r="Y55" s="50">
        <f t="shared" si="47"/>
        <v>38</v>
      </c>
      <c r="Z55" s="50" t="str">
        <f>IFERROR(VLOOKUP(MID(U55,X55,Y55-X55),[6]skilldef!$C:$D,2,FALSE),"-") &amp; " / " &amp; IFERROR(VLOOKUP(MID(U55,V55,W55-V55),[6]skilldef!$A:$B,2,FALSE),"-")</f>
        <v>味方全体に / ステータスDOWN</v>
      </c>
      <c r="AA55" s="49"/>
      <c r="AB55" s="51"/>
      <c r="AC55" s="49"/>
      <c r="AD55" s="116" t="s">
        <v>567</v>
      </c>
      <c r="AE55" s="189"/>
    </row>
    <row r="56" spans="1:31" s="196" customFormat="1" ht="42" customHeight="1" thickBot="1" x14ac:dyDescent="0.2">
      <c r="A56" s="199">
        <v>40045884</v>
      </c>
      <c r="B56" s="106" t="s">
        <v>538</v>
      </c>
      <c r="C56" s="49">
        <v>3</v>
      </c>
      <c r="D56" s="192" t="s">
        <v>126</v>
      </c>
      <c r="E56" s="108"/>
      <c r="F56" s="108" t="s">
        <v>506</v>
      </c>
      <c r="G56" s="108" t="s">
        <v>419</v>
      </c>
      <c r="H56" s="108" t="str">
        <f t="shared" si="48"/>
        <v>[effect:enemy_message, val1:1.7, val2:0.0]</v>
      </c>
      <c r="I56" s="108">
        <f t="shared" si="49"/>
        <v>9</v>
      </c>
      <c r="J56" s="108">
        <f t="shared" si="34"/>
        <v>22</v>
      </c>
      <c r="K56" s="108" t="e">
        <f t="shared" si="35"/>
        <v>#VALUE!</v>
      </c>
      <c r="L56" s="108">
        <f t="shared" si="36"/>
        <v>32</v>
      </c>
      <c r="M56" s="108" t="str">
        <f>IFERROR(VLOOKUP(MID(H56,K56,L56-K56),[6]skilldef!$C:$D,2,FALSE),"-") &amp; " / " &amp; IFERROR(VLOOKUP(MID(H56,I56,J56-I56),[6]skilldef!$A:$B,2,FALSE),"-")</f>
        <v>- / -</v>
      </c>
      <c r="N56" s="108" t="str">
        <f t="shared" si="37"/>
        <v>none</v>
      </c>
      <c r="O56" s="106" t="str">
        <f>IFERROR(LEFT(N56,FIND("],",N56)+T65),N56)</f>
        <v>none</v>
      </c>
      <c r="P56" s="108" t="e">
        <f t="shared" si="39"/>
        <v>#VALUE!</v>
      </c>
      <c r="Q56" s="108">
        <f t="shared" si="40"/>
        <v>4</v>
      </c>
      <c r="R56" s="108" t="e">
        <f t="shared" si="41"/>
        <v>#VALUE!</v>
      </c>
      <c r="S56" s="108" t="e">
        <f t="shared" si="42"/>
        <v>#VALUE!</v>
      </c>
      <c r="T56" s="108" t="str">
        <f>IFERROR(VLOOKUP(MID(O56,R56,S56-R56),[6]skilldef!$C:$D,2,FALSE),"-") &amp; " / " &amp; IFERROR(VLOOKUP(MID(O56,P56,Q56-P56),[6]skilldef!$A:$B,2,FALSE),"-")</f>
        <v>- / -</v>
      </c>
      <c r="U56" s="106" t="str">
        <f t="shared" si="43"/>
        <v>none</v>
      </c>
      <c r="V56" s="108" t="e">
        <f t="shared" si="44"/>
        <v>#VALUE!</v>
      </c>
      <c r="W56" s="108">
        <f t="shared" si="45"/>
        <v>4</v>
      </c>
      <c r="X56" s="108" t="e">
        <f t="shared" si="46"/>
        <v>#VALUE!</v>
      </c>
      <c r="Y56" s="108" t="e">
        <f t="shared" si="47"/>
        <v>#VALUE!</v>
      </c>
      <c r="Z56" s="108" t="str">
        <f>IFERROR(VLOOKUP(MID(U56,X56,Y56-X56),[6]skilldef!$C:$D,2,FALSE),"-") &amp; " / " &amp; IFERROR(VLOOKUP(MID(U56,V56,W56-V56),[6]skilldef!$A:$B,2,FALSE),"-")</f>
        <v>- / -</v>
      </c>
      <c r="AA56" s="192"/>
      <c r="AB56" s="193"/>
      <c r="AC56" s="192"/>
      <c r="AD56" s="194"/>
      <c r="AE56" s="195"/>
    </row>
    <row r="57" spans="1:31" ht="42" customHeight="1" x14ac:dyDescent="0.15">
      <c r="A57" s="200">
        <v>40045000</v>
      </c>
      <c r="B57" s="180" t="str">
        <f t="shared" ref="B57:B88" si="51">"[effect:enemy_message, val1:"&amp;TEXT(IF(TEXT(F57,0)="[表示しない]", "0", IF(LEN(SUBSTITUTE(F57,CHAR(13),""))*0.1&lt;1.2, 1.2, LEN(SUBSTITUTE(F57,CHAR(13),""))*0.1)), "0.0")&amp;", val2:"&amp;TEXT(IF(TEXT(G57,0)="[表示しない]", "0", IF(LEN(SUBSTITUTE(G57,CHAR(13),""))*0.1&lt;1.2, 1.2, LEN(SUBSTITUTE(G57,CHAR(13),""))*0.1)),"0.0")&amp;"]"&amp;IF(LEN(AD57)&gt;0, ","&amp;SUBSTITUTE(AD57,CHAR(13),""),SUBSTITUTE(AD57,CHAR(13),""))</f>
        <v>[effect:enemy_message, val1:1.2, val2:1.2],[effect:spread, val:0.3]</v>
      </c>
      <c r="C57" s="49">
        <v>3</v>
      </c>
      <c r="D57" s="185" t="s">
        <v>126</v>
      </c>
      <c r="E57" s="105"/>
      <c r="F57" s="105" t="s">
        <v>430</v>
      </c>
      <c r="G57" s="105" t="s">
        <v>335</v>
      </c>
      <c r="H57" s="105" t="str">
        <f t="shared" si="48"/>
        <v>[effect:enemy_message, val1:1.2, val2:1.2]</v>
      </c>
      <c r="I57" s="105">
        <f>FIND("effect:",H57)+7</f>
        <v>9</v>
      </c>
      <c r="J57" s="105">
        <f>IFERROR(FIND(",",H57),LEN(H57))</f>
        <v>22</v>
      </c>
      <c r="K57" s="105" t="e">
        <f>FIND("target:",H57)+7</f>
        <v>#VALUE!</v>
      </c>
      <c r="L57" s="105">
        <f>FIND(",",H57,J57+1)</f>
        <v>32</v>
      </c>
      <c r="M57" s="105" t="str">
        <f>IFERROR(VLOOKUP(MID(H57,K57,L57-K57),[6]skilldef!$C:$D,2,FALSE),"-") &amp; " / " &amp; IFERROR(VLOOKUP(MID(H57,I57,J57-I57),[6]skilldef!$A:$B,2,FALSE),"-")</f>
        <v>- / -</v>
      </c>
      <c r="N57" s="105" t="str">
        <f t="shared" si="37"/>
        <v>[effect:spread, val:0.3]</v>
      </c>
      <c r="O57" s="104" t="str">
        <f>IFERROR(LEFT(N57,FIND("],",N57)+T65),N57)</f>
        <v>[effect:spread, val:0.3]</v>
      </c>
      <c r="P57" s="105">
        <f>FIND("effect:",O57)+7</f>
        <v>9</v>
      </c>
      <c r="Q57" s="105">
        <f>IFERROR(FIND(",",O57),LEN(O57))</f>
        <v>15</v>
      </c>
      <c r="R57" s="105" t="e">
        <f>FIND("target:",O57)+7</f>
        <v>#VALUE!</v>
      </c>
      <c r="S57" s="105" t="e">
        <f>FIND(",",O57,Q57+1)</f>
        <v>#VALUE!</v>
      </c>
      <c r="T57" s="105" t="str">
        <f>IFERROR(VLOOKUP(MID(O57,R57,S57-R57),[6]skilldef!$C:$D,2,FALSE),"-") &amp; " / " &amp; IFERROR(VLOOKUP(MID(O57,P57,Q57-P57),[6]skilldef!$A:$B,2,FALSE),"-")</f>
        <v>- / 全体攻撃</v>
      </c>
      <c r="U57" s="104" t="str">
        <f>IFERROR(RIGHT(N57,LEN(N57)-FIND("],",N57)-1),"none")</f>
        <v>none</v>
      </c>
      <c r="V57" s="105" t="e">
        <f>FIND("effect:",U57)+7</f>
        <v>#VALUE!</v>
      </c>
      <c r="W57" s="105">
        <f>IFERROR(FIND(",",U57),LEN(U57))</f>
        <v>4</v>
      </c>
      <c r="X57" s="105" t="e">
        <f>FIND("target:",U57)+7</f>
        <v>#VALUE!</v>
      </c>
      <c r="Y57" s="105" t="e">
        <f>FIND(",",U57,W57+1)</f>
        <v>#VALUE!</v>
      </c>
      <c r="Z57" s="105" t="str">
        <f>IFERROR(VLOOKUP(MID(U57,X57,Y57-X57),[6]skilldef!$C:$D,2,FALSE),"-") &amp; " / " &amp; IFERROR(VLOOKUP(MID(U57,V57,W57-V57),[6]skilldef!$A:$B,2,FALSE),"-")</f>
        <v>- / -</v>
      </c>
      <c r="AA57" s="185"/>
      <c r="AB57" s="187"/>
      <c r="AC57" s="185"/>
      <c r="AD57" s="188" t="s">
        <v>369</v>
      </c>
    </row>
    <row r="58" spans="1:31" ht="42" customHeight="1" x14ac:dyDescent="0.15">
      <c r="A58" s="201">
        <v>40045001</v>
      </c>
      <c r="B58" s="47" t="str">
        <f t="shared" si="51"/>
        <v xml:space="preserve">[effect:enemy_message, val1:1.2, val2:1.9],[effect:force_change_block, new_block:damage, target:block_yellow, color:block_yellow, count:2, val:0.1, animation:change_bock]    </v>
      </c>
      <c r="C58" s="49">
        <v>3</v>
      </c>
      <c r="D58" s="49" t="s">
        <v>126</v>
      </c>
      <c r="E58" s="50"/>
      <c r="F58" s="50" t="s">
        <v>431</v>
      </c>
      <c r="G58" s="50" t="s">
        <v>370</v>
      </c>
      <c r="H58" s="50" t="str">
        <f t="shared" si="48"/>
        <v>[effect:enemy_message, val1:1.2, val2:1.9]</v>
      </c>
      <c r="I58" s="50">
        <f t="shared" ref="I58" si="52">FIND("effect:",H58)+7</f>
        <v>9</v>
      </c>
      <c r="J58" s="50">
        <f t="shared" ref="J58:J99" si="53">IFERROR(FIND(",",H58),LEN(H58))</f>
        <v>22</v>
      </c>
      <c r="K58" s="50" t="e">
        <f t="shared" ref="K58:K99" si="54">FIND("target:",H58)+7</f>
        <v>#VALUE!</v>
      </c>
      <c r="L58" s="50">
        <f t="shared" ref="L58:L99" si="55">FIND(",",H58,J58+1)</f>
        <v>32</v>
      </c>
      <c r="M58" s="50" t="str">
        <f>IFERROR(VLOOKUP(MID(H58,K58,L58-K58),[6]skilldef!$C:$D,2,FALSE),"-") &amp; " / " &amp; IFERROR(VLOOKUP(MID(H58,I58,J58-I58),[6]skilldef!$A:$B,2,FALSE),"-")</f>
        <v>- / -</v>
      </c>
      <c r="N58" s="50" t="str">
        <f t="shared" si="37"/>
        <v xml:space="preserve">[effect:force_change_block, new_block:damage, target:block_yellow, color:block_yellow, count:2, val:0.1, animation:change_bock]    </v>
      </c>
      <c r="O58" s="46" t="str">
        <f>IFERROR(LEFT(N58,FIND("],",N58)+T67),N58)</f>
        <v xml:space="preserve">[effect:force_change_block, new_block:damage, target:block_yellow, color:block_yellow, count:2, val:0.1, animation:change_bock]    </v>
      </c>
      <c r="P58" s="50">
        <f t="shared" ref="P58:P110" si="56">FIND("effect:",O58)+7</f>
        <v>9</v>
      </c>
      <c r="Q58" s="50">
        <f t="shared" ref="Q58:Q99" si="57">IFERROR(FIND(",",O58),LEN(O58))</f>
        <v>27</v>
      </c>
      <c r="R58" s="50">
        <f t="shared" ref="R58:R99" si="58">FIND("target:",O58)+7</f>
        <v>54</v>
      </c>
      <c r="S58" s="50">
        <f t="shared" ref="S58:S99" si="59">FIND(",",O58,Q58+1)</f>
        <v>45</v>
      </c>
      <c r="T58" s="50" t="str">
        <f>IFERROR(VLOOKUP(MID(O58,R58,S58-R58),[6]skilldef!$C:$D,2,FALSE),"-") &amp; " / " &amp; IFERROR(VLOOKUP(MID(O58,P58,Q58-P58),[6]skilldef!$A:$B,2,FALSE),"-")</f>
        <v>- / -</v>
      </c>
      <c r="U58" s="46" t="str">
        <f t="shared" ref="U58:U99" si="60">IFERROR(RIGHT(N58,LEN(N58)-FIND("],",N58)-1),"none")</f>
        <v>none</v>
      </c>
      <c r="V58" s="50" t="e">
        <f t="shared" ref="V58:V110" si="61">FIND("effect:",U58)+7</f>
        <v>#VALUE!</v>
      </c>
      <c r="W58" s="50">
        <f t="shared" ref="W58:W99" si="62">IFERROR(FIND(",",U58),LEN(U58))</f>
        <v>4</v>
      </c>
      <c r="X58" s="50" t="e">
        <f t="shared" ref="X58:X99" si="63">FIND("target:",U58)+7</f>
        <v>#VALUE!</v>
      </c>
      <c r="Y58" s="50" t="e">
        <f t="shared" ref="Y58:Y99" si="64">FIND(",",U58,W58+1)</f>
        <v>#VALUE!</v>
      </c>
      <c r="Z58" s="50" t="str">
        <f>IFERROR(VLOOKUP(MID(U58,X58,Y58-X58),[6]skilldef!$C:$D,2,FALSE),"-") &amp; " / " &amp; IFERROR(VLOOKUP(MID(U58,V58,W58-V58),[6]skilldef!$A:$B,2,FALSE),"-")</f>
        <v>- / -</v>
      </c>
      <c r="AA58" s="49"/>
      <c r="AB58" s="51"/>
      <c r="AC58" s="49"/>
      <c r="AD58" s="116" t="s">
        <v>356</v>
      </c>
    </row>
    <row r="59" spans="1:31" ht="42" customHeight="1" x14ac:dyDescent="0.15">
      <c r="A59" s="201">
        <v>40045002</v>
      </c>
      <c r="B59" s="47" t="str">
        <f t="shared" si="51"/>
        <v>[effect:enemy_message, val1:1.2, val2:0.0]</v>
      </c>
      <c r="C59" s="49">
        <v>3</v>
      </c>
      <c r="D59" s="49" t="s">
        <v>126</v>
      </c>
      <c r="E59" s="50"/>
      <c r="F59" s="50" t="s">
        <v>459</v>
      </c>
      <c r="G59" s="50" t="s">
        <v>419</v>
      </c>
      <c r="H59" s="50"/>
      <c r="I59" s="50"/>
      <c r="J59" s="50"/>
      <c r="K59" s="50"/>
      <c r="L59" s="50"/>
      <c r="M59" s="50"/>
      <c r="N59" s="50"/>
      <c r="O59" s="46"/>
      <c r="P59" s="50"/>
      <c r="Q59" s="50"/>
      <c r="R59" s="50"/>
      <c r="S59" s="50"/>
      <c r="T59" s="50"/>
      <c r="U59" s="46"/>
      <c r="V59" s="50"/>
      <c r="W59" s="50"/>
      <c r="X59" s="50"/>
      <c r="Y59" s="50"/>
      <c r="Z59" s="50"/>
      <c r="AA59" s="49"/>
      <c r="AB59" s="51"/>
      <c r="AC59" s="49"/>
      <c r="AD59" s="116"/>
    </row>
    <row r="60" spans="1:31" ht="42" customHeight="1" x14ac:dyDescent="0.15">
      <c r="A60" s="201">
        <v>40045100</v>
      </c>
      <c r="B60" s="47" t="str">
        <f t="shared" si="51"/>
        <v>[effect:enemy_message, val1:1.2, val2:1.5],[effect:virus, target:unit_all, turn:12, rate:1, val:0.11, animation:enemy_virus],[effect:fix_speed, target:myself, turn:2]</v>
      </c>
      <c r="C60" s="49">
        <v>3</v>
      </c>
      <c r="D60" s="49" t="s">
        <v>126</v>
      </c>
      <c r="E60" s="50"/>
      <c r="F60" s="50" t="s">
        <v>634</v>
      </c>
      <c r="G60" s="50" t="s">
        <v>456</v>
      </c>
      <c r="H60" s="50" t="str">
        <f t="shared" ref="H60:H91" si="65">IFERROR(LEFT(B60,FIND("],",B60)),B60)</f>
        <v>[effect:enemy_message, val1:1.2, val2:1.5]</v>
      </c>
      <c r="I60" s="50">
        <f t="shared" ref="I60:I91" si="66">FIND("effect:",H60)+7</f>
        <v>9</v>
      </c>
      <c r="J60" s="50">
        <f t="shared" si="53"/>
        <v>22</v>
      </c>
      <c r="K60" s="50" t="e">
        <f t="shared" si="54"/>
        <v>#VALUE!</v>
      </c>
      <c r="L60" s="50">
        <f t="shared" si="55"/>
        <v>32</v>
      </c>
      <c r="M60" s="50" t="str">
        <f>IFERROR(VLOOKUP(MID(H60,K60,L60-K60),[6]skilldef!$C:$D,2,FALSE),"-") &amp; " / " &amp; IFERROR(VLOOKUP(MID(H60,I60,J60-I60),[6]skilldef!$A:$B,2,FALSE),"-")</f>
        <v>- / -</v>
      </c>
      <c r="N60" s="50" t="str">
        <f t="shared" ref="N60:N91" si="67">IFERROR(RIGHT(B60,LEN(B60)-FIND("],",B60)-1),"none")</f>
        <v>[effect:virus, target:unit_all, turn:12, rate:1, val:0.11, animation:enemy_virus],[effect:fix_speed, target:myself, turn:2]</v>
      </c>
      <c r="O60" s="46" t="str">
        <f>IFERROR(LEFT(N60,FIND("],",N60)+T68),N60)</f>
        <v>[effect:virus, target:unit_all, turn:12, rate:1, val:0.11, animation:enemy_virus],[effect:fix_speed, target:myself, turn:2]</v>
      </c>
      <c r="P60" s="50">
        <f t="shared" si="56"/>
        <v>9</v>
      </c>
      <c r="Q60" s="50">
        <f t="shared" si="57"/>
        <v>14</v>
      </c>
      <c r="R60" s="50">
        <f t="shared" si="58"/>
        <v>23</v>
      </c>
      <c r="S60" s="50">
        <f t="shared" si="59"/>
        <v>31</v>
      </c>
      <c r="T60" s="50" t="str">
        <f>IFERROR(VLOOKUP(MID(O60,R60,S60-R60),[6]skilldef!$C:$D,2,FALSE),"-") &amp; " / " &amp; IFERROR(VLOOKUP(MID(O60,P60,Q60-P60),[6]skilldef!$A:$B,2,FALSE),"-")</f>
        <v>味方全体に / ウィルス</v>
      </c>
      <c r="U60" s="46" t="str">
        <f t="shared" si="60"/>
        <v>[effect:fix_speed, target:myself, turn:2]</v>
      </c>
      <c r="V60" s="50">
        <f t="shared" si="61"/>
        <v>9</v>
      </c>
      <c r="W60" s="50">
        <f t="shared" si="62"/>
        <v>18</v>
      </c>
      <c r="X60" s="50">
        <f t="shared" si="63"/>
        <v>27</v>
      </c>
      <c r="Y60" s="50">
        <f t="shared" si="64"/>
        <v>33</v>
      </c>
      <c r="Z60" s="50" t="str">
        <f>IFERROR(VLOOKUP(MID(U60,X60,Y60-X60),[6]skilldef!$C:$D,2,FALSE),"-") &amp; " / " &amp; IFERROR(VLOOKUP(MID(U60,V60,W60-V60),[6]skilldef!$A:$B,2,FALSE),"-")</f>
        <v>自分自身に / 行動値設定</v>
      </c>
      <c r="AA60" s="49"/>
      <c r="AB60" s="51"/>
      <c r="AC60" s="49"/>
      <c r="AD60" s="116" t="s">
        <v>446</v>
      </c>
    </row>
    <row r="61" spans="1:31" ht="42" customHeight="1" x14ac:dyDescent="0.15">
      <c r="A61" s="201">
        <v>40045101</v>
      </c>
      <c r="B61" s="47" t="str">
        <f t="shared" si="51"/>
        <v>[effect:enemy_message, val1:1.2, val2:1.9],[effect:force_change_block, new_block:damage, target:block_blue, color:block_blue, count:2, val:0.1, animation:change_bock]</v>
      </c>
      <c r="C61" s="49">
        <v>3</v>
      </c>
      <c r="D61" s="49" t="s">
        <v>126</v>
      </c>
      <c r="E61" s="50"/>
      <c r="F61" s="50" t="s">
        <v>435</v>
      </c>
      <c r="G61" s="50" t="s">
        <v>398</v>
      </c>
      <c r="H61" s="50" t="str">
        <f t="shared" si="65"/>
        <v>[effect:enemy_message, val1:1.2, val2:1.9]</v>
      </c>
      <c r="I61" s="50">
        <f t="shared" si="66"/>
        <v>9</v>
      </c>
      <c r="J61" s="50">
        <f t="shared" si="53"/>
        <v>22</v>
      </c>
      <c r="K61" s="50" t="e">
        <f t="shared" si="54"/>
        <v>#VALUE!</v>
      </c>
      <c r="L61" s="50">
        <f t="shared" si="55"/>
        <v>32</v>
      </c>
      <c r="M61" s="50" t="str">
        <f>IFERROR(VLOOKUP(MID(H61,K61,L61-K61),[6]skilldef!$C:$D,2,FALSE),"-") &amp; " / " &amp; IFERROR(VLOOKUP(MID(H61,I61,J61-I61),[6]skilldef!$A:$B,2,FALSE),"-")</f>
        <v>- / -</v>
      </c>
      <c r="N61" s="50" t="str">
        <f t="shared" si="67"/>
        <v>[effect:force_change_block, new_block:damage, target:block_blue, color:block_blue, count:2, val:0.1, animation:change_bock]</v>
      </c>
      <c r="O61" s="46" t="str">
        <f>IFERROR(LEFT(N61,FIND("],",N61)+#REF!),N61)</f>
        <v>[effect:force_change_block, new_block:damage, target:block_blue, color:block_blue, count:2, val:0.1, animation:change_bock]</v>
      </c>
      <c r="P61" s="50">
        <f t="shared" si="56"/>
        <v>9</v>
      </c>
      <c r="Q61" s="50">
        <f t="shared" si="57"/>
        <v>27</v>
      </c>
      <c r="R61" s="50">
        <f t="shared" si="58"/>
        <v>54</v>
      </c>
      <c r="S61" s="50">
        <f t="shared" si="59"/>
        <v>45</v>
      </c>
      <c r="T61" s="50" t="str">
        <f>IFERROR(VLOOKUP(MID(O61,R61,S61-R61),[6]skilldef!$C:$D,2,FALSE),"-") &amp; " / " &amp; IFERROR(VLOOKUP(MID(O61,P61,Q61-P61),[6]skilldef!$A:$B,2,FALSE),"-")</f>
        <v>- / -</v>
      </c>
      <c r="U61" s="46" t="str">
        <f t="shared" si="60"/>
        <v>none</v>
      </c>
      <c r="V61" s="50" t="e">
        <f t="shared" si="61"/>
        <v>#VALUE!</v>
      </c>
      <c r="W61" s="50">
        <f t="shared" si="62"/>
        <v>4</v>
      </c>
      <c r="X61" s="50" t="e">
        <f t="shared" si="63"/>
        <v>#VALUE!</v>
      </c>
      <c r="Y61" s="50" t="e">
        <f t="shared" si="64"/>
        <v>#VALUE!</v>
      </c>
      <c r="Z61" s="50" t="str">
        <f>IFERROR(VLOOKUP(MID(U61,X61,Y61-X61),[6]skilldef!$C:$D,2,FALSE),"-") &amp; " / " &amp; IFERROR(VLOOKUP(MID(U61,V61,W61-V61),[6]skilldef!$A:$B,2,FALSE),"-")</f>
        <v>- / -</v>
      </c>
      <c r="AA61" s="49"/>
      <c r="AB61" s="51"/>
      <c r="AC61" s="49"/>
      <c r="AD61" s="116" t="s">
        <v>357</v>
      </c>
    </row>
    <row r="62" spans="1:31" ht="42" customHeight="1" x14ac:dyDescent="0.15">
      <c r="A62" s="201">
        <v>40045102</v>
      </c>
      <c r="B62" s="47" t="str">
        <f t="shared" si="51"/>
        <v>[effect:enemy_message, val1:1.7, val2:2.2],[effect:damage_anti_abnormal, target:unit_all, target_effect01:virus, val1:0.65, val2:0.35]</v>
      </c>
      <c r="C62" s="49">
        <v>3</v>
      </c>
      <c r="D62" s="49" t="s">
        <v>126</v>
      </c>
      <c r="E62" s="50"/>
      <c r="F62" s="50" t="s">
        <v>432</v>
      </c>
      <c r="G62" s="50" t="s">
        <v>331</v>
      </c>
      <c r="H62" s="50" t="str">
        <f t="shared" si="65"/>
        <v>[effect:enemy_message, val1:1.7, val2:2.2]</v>
      </c>
      <c r="I62" s="50">
        <f t="shared" si="66"/>
        <v>9</v>
      </c>
      <c r="J62" s="50">
        <f t="shared" si="53"/>
        <v>22</v>
      </c>
      <c r="K62" s="50" t="e">
        <f t="shared" si="54"/>
        <v>#VALUE!</v>
      </c>
      <c r="L62" s="50">
        <f t="shared" si="55"/>
        <v>32</v>
      </c>
      <c r="M62" s="50" t="str">
        <f>IFERROR(VLOOKUP(MID(H62,K62,L62-K62),[6]skilldef!$C:$D,2,FALSE),"-") &amp; " / " &amp; IFERROR(VLOOKUP(MID(H62,I62,J62-I62),[6]skilldef!$A:$B,2,FALSE),"-")</f>
        <v>- / -</v>
      </c>
      <c r="N62" s="50" t="str">
        <f t="shared" si="67"/>
        <v>[effect:damage_anti_abnormal, target:unit_all, target_effect01:virus, val1:0.65, val2:0.35]</v>
      </c>
      <c r="O62" s="46" t="str">
        <f>IFERROR(LEFT(N62,FIND("],",N62)+T69),N62)</f>
        <v>[effect:damage_anti_abnormal, target:unit_all, target_effect01:virus, val1:0.65, val2:0.35]</v>
      </c>
      <c r="P62" s="50">
        <f t="shared" si="56"/>
        <v>9</v>
      </c>
      <c r="Q62" s="50">
        <f t="shared" si="57"/>
        <v>29</v>
      </c>
      <c r="R62" s="50">
        <f t="shared" si="58"/>
        <v>38</v>
      </c>
      <c r="S62" s="50">
        <f t="shared" si="59"/>
        <v>46</v>
      </c>
      <c r="T62" s="50" t="str">
        <f>IFERROR(VLOOKUP(MID(O62,R62,S62-R62),[6]skilldef!$C:$D,2,FALSE),"-") &amp; " / " &amp; IFERROR(VLOOKUP(MID(O62,P62,Q62-P62),[6]skilldef!$A:$B,2,FALSE),"-")</f>
        <v>味方全体に / -</v>
      </c>
      <c r="U62" s="46" t="str">
        <f t="shared" si="60"/>
        <v>none</v>
      </c>
      <c r="V62" s="50" t="e">
        <f t="shared" si="61"/>
        <v>#VALUE!</v>
      </c>
      <c r="W62" s="50">
        <f t="shared" si="62"/>
        <v>4</v>
      </c>
      <c r="X62" s="50" t="e">
        <f t="shared" si="63"/>
        <v>#VALUE!</v>
      </c>
      <c r="Y62" s="50" t="e">
        <f t="shared" si="64"/>
        <v>#VALUE!</v>
      </c>
      <c r="Z62" s="50" t="str">
        <f>IFERROR(VLOOKUP(MID(U62,X62,Y62-X62),[6]skilldef!$C:$D,2,FALSE),"-") &amp; " / " &amp; IFERROR(VLOOKUP(MID(U62,V62,W62-V62),[6]skilldef!$A:$B,2,FALSE),"-")</f>
        <v>- / -</v>
      </c>
      <c r="AA62" s="49"/>
      <c r="AB62" s="51"/>
      <c r="AC62" s="49"/>
      <c r="AD62" s="116" t="s">
        <v>470</v>
      </c>
    </row>
    <row r="63" spans="1:31" ht="42" customHeight="1" x14ac:dyDescent="0.15">
      <c r="A63" s="201">
        <v>40045200</v>
      </c>
      <c r="B63" s="47" t="str">
        <f t="shared" si="51"/>
        <v>[effect:enemy_message, val1:1.2, val2:1.2],[effect:break_attack_fix, target:unit_one, val:350, lowest_val:1000, count:-1, block01:block_red]</v>
      </c>
      <c r="C63" s="49">
        <v>3</v>
      </c>
      <c r="D63" s="49" t="s">
        <v>126</v>
      </c>
      <c r="E63" s="50"/>
      <c r="F63" s="50" t="s">
        <v>433</v>
      </c>
      <c r="G63" s="50" t="s">
        <v>333</v>
      </c>
      <c r="H63" s="50" t="str">
        <f t="shared" si="65"/>
        <v>[effect:enemy_message, val1:1.2, val2:1.2]</v>
      </c>
      <c r="I63" s="50">
        <f t="shared" si="66"/>
        <v>9</v>
      </c>
      <c r="J63" s="50">
        <f t="shared" si="53"/>
        <v>22</v>
      </c>
      <c r="K63" s="50" t="e">
        <f t="shared" si="54"/>
        <v>#VALUE!</v>
      </c>
      <c r="L63" s="50">
        <f t="shared" si="55"/>
        <v>32</v>
      </c>
      <c r="M63" s="50" t="str">
        <f>IFERROR(VLOOKUP(MID(H63,K63,L63-K63),[6]skilldef!$C:$D,2,FALSE),"-") &amp; " / " &amp; IFERROR(VLOOKUP(MID(H63,I63,J63-I63),[6]skilldef!$A:$B,2,FALSE),"-")</f>
        <v>- / -</v>
      </c>
      <c r="N63" s="50" t="str">
        <f t="shared" si="67"/>
        <v>[effect:break_attack_fix, target:unit_one, val:350, lowest_val:1000, count:-1, block01:block_red]</v>
      </c>
      <c r="O63" s="46" t="str">
        <f>IFERROR(LEFT(N63,FIND("],",N63)+T71),N63)</f>
        <v>[effect:break_attack_fix, target:unit_one, val:350, lowest_val:1000, count:-1, block01:block_red]</v>
      </c>
      <c r="P63" s="50">
        <f t="shared" si="56"/>
        <v>9</v>
      </c>
      <c r="Q63" s="50">
        <f t="shared" si="57"/>
        <v>25</v>
      </c>
      <c r="R63" s="50">
        <f t="shared" si="58"/>
        <v>34</v>
      </c>
      <c r="S63" s="50">
        <f t="shared" si="59"/>
        <v>42</v>
      </c>
      <c r="T63" s="50" t="str">
        <f>IFERROR(VLOOKUP(MID(O63,R63,S63-R63),[6]skilldef!$C:$D,2,FALSE),"-") &amp; " / " &amp; IFERROR(VLOOKUP(MID(O63,P63,Q63-P63),[6]skilldef!$A:$B,2,FALSE),"-")</f>
        <v>味方単体に / -</v>
      </c>
      <c r="U63" s="46" t="str">
        <f t="shared" si="60"/>
        <v>none</v>
      </c>
      <c r="V63" s="50" t="e">
        <f t="shared" si="61"/>
        <v>#VALUE!</v>
      </c>
      <c r="W63" s="50">
        <f t="shared" si="62"/>
        <v>4</v>
      </c>
      <c r="X63" s="50" t="e">
        <f t="shared" si="63"/>
        <v>#VALUE!</v>
      </c>
      <c r="Y63" s="50" t="e">
        <f t="shared" si="64"/>
        <v>#VALUE!</v>
      </c>
      <c r="Z63" s="50" t="str">
        <f>IFERROR(VLOOKUP(MID(U63,X63,Y63-X63),[6]skilldef!$C:$D,2,FALSE),"-") &amp; " / " &amp; IFERROR(VLOOKUP(MID(U63,V63,W63-V63),[6]skilldef!$A:$B,2,FALSE),"-")</f>
        <v>- / -</v>
      </c>
      <c r="AA63" s="49"/>
      <c r="AB63" s="51"/>
      <c r="AC63" s="49"/>
      <c r="AD63" s="116" t="s">
        <v>358</v>
      </c>
    </row>
    <row r="64" spans="1:31" ht="42" customHeight="1" x14ac:dyDescent="0.15">
      <c r="A64" s="201">
        <v>40045201</v>
      </c>
      <c r="B64" s="47" t="str">
        <f t="shared" si="51"/>
        <v>[effect:enemy_message, val1:1.2, val2:1.2],[effect:spread, val:0.3]</v>
      </c>
      <c r="C64" s="49">
        <v>3</v>
      </c>
      <c r="D64" s="49" t="s">
        <v>126</v>
      </c>
      <c r="E64" s="50"/>
      <c r="F64" s="50" t="s">
        <v>436</v>
      </c>
      <c r="G64" s="50" t="s">
        <v>335</v>
      </c>
      <c r="H64" s="50" t="str">
        <f t="shared" si="65"/>
        <v>[effect:enemy_message, val1:1.2, val2:1.2]</v>
      </c>
      <c r="I64" s="50">
        <f t="shared" si="66"/>
        <v>9</v>
      </c>
      <c r="J64" s="50">
        <f t="shared" si="53"/>
        <v>22</v>
      </c>
      <c r="K64" s="50" t="e">
        <f t="shared" si="54"/>
        <v>#VALUE!</v>
      </c>
      <c r="L64" s="50">
        <f t="shared" si="55"/>
        <v>32</v>
      </c>
      <c r="M64" s="50" t="str">
        <f>IFERROR(VLOOKUP(MID(H64,K64,L64-K64),[6]skilldef!$C:$D,2,FALSE),"-") &amp; " / " &amp; IFERROR(VLOOKUP(MID(H64,I64,J64-I64),[6]skilldef!$A:$B,2,FALSE),"-")</f>
        <v>- / -</v>
      </c>
      <c r="N64" s="50" t="str">
        <f t="shared" si="67"/>
        <v>[effect:spread, val:0.3]</v>
      </c>
      <c r="O64" s="46" t="str">
        <f>IFERROR(LEFT(N64,FIND("],",N64)+T73),N64)</f>
        <v>[effect:spread, val:0.3]</v>
      </c>
      <c r="P64" s="50">
        <f t="shared" si="56"/>
        <v>9</v>
      </c>
      <c r="Q64" s="50">
        <f t="shared" si="57"/>
        <v>15</v>
      </c>
      <c r="R64" s="50" t="e">
        <f t="shared" si="58"/>
        <v>#VALUE!</v>
      </c>
      <c r="S64" s="50" t="e">
        <f t="shared" si="59"/>
        <v>#VALUE!</v>
      </c>
      <c r="T64" s="50" t="str">
        <f>IFERROR(VLOOKUP(MID(O64,R64,S64-R64),[6]skilldef!$C:$D,2,FALSE),"-") &amp; " / " &amp; IFERROR(VLOOKUP(MID(O64,P64,Q64-P64),[6]skilldef!$A:$B,2,FALSE),"-")</f>
        <v>- / 全体攻撃</v>
      </c>
      <c r="U64" s="46" t="str">
        <f t="shared" si="60"/>
        <v>none</v>
      </c>
      <c r="V64" s="50" t="e">
        <f t="shared" si="61"/>
        <v>#VALUE!</v>
      </c>
      <c r="W64" s="50">
        <f t="shared" si="62"/>
        <v>4</v>
      </c>
      <c r="X64" s="50" t="e">
        <f t="shared" si="63"/>
        <v>#VALUE!</v>
      </c>
      <c r="Y64" s="50" t="e">
        <f t="shared" si="64"/>
        <v>#VALUE!</v>
      </c>
      <c r="Z64" s="50" t="str">
        <f>IFERROR(VLOOKUP(MID(U64,X64,Y64-X64),[6]skilldef!$C:$D,2,FALSE),"-") &amp; " / " &amp; IFERROR(VLOOKUP(MID(U64,V64,W64-V64),[6]skilldef!$A:$B,2,FALSE),"-")</f>
        <v>- / -</v>
      </c>
      <c r="AA64" s="49"/>
      <c r="AB64" s="51"/>
      <c r="AC64" s="49"/>
      <c r="AD64" s="116" t="s">
        <v>369</v>
      </c>
    </row>
    <row r="65" spans="1:33" ht="42" customHeight="1" x14ac:dyDescent="0.15">
      <c r="A65" s="201">
        <v>40045202</v>
      </c>
      <c r="B65" s="47" t="str">
        <f t="shared" si="51"/>
        <v>[effect:enemy_message, val1:1.2, val2:1.2],[effect:enhance_enemy, target:myself, turn:-1, status:attack, val:0.4, calc:mul, animation:enemy_enhance_attack]</v>
      </c>
      <c r="C65" s="49">
        <v>3</v>
      </c>
      <c r="D65" s="49" t="s">
        <v>126</v>
      </c>
      <c r="E65" s="50"/>
      <c r="F65" s="50" t="s">
        <v>408</v>
      </c>
      <c r="G65" s="50" t="s">
        <v>391</v>
      </c>
      <c r="H65" s="50" t="str">
        <f t="shared" si="65"/>
        <v>[effect:enemy_message, val1:1.2, val2:1.2]</v>
      </c>
      <c r="I65" s="50">
        <f t="shared" si="66"/>
        <v>9</v>
      </c>
      <c r="J65" s="50">
        <f t="shared" si="53"/>
        <v>22</v>
      </c>
      <c r="K65" s="50" t="e">
        <f t="shared" si="54"/>
        <v>#VALUE!</v>
      </c>
      <c r="L65" s="50">
        <f t="shared" si="55"/>
        <v>32</v>
      </c>
      <c r="M65" s="50" t="str">
        <f>IFERROR(VLOOKUP(MID(H65,K65,L65-K65),[6]skilldef!$C:$D,2,FALSE),"-") &amp; " / " &amp; IFERROR(VLOOKUP(MID(H65,I65,J65-I65),[6]skilldef!$A:$B,2,FALSE),"-")</f>
        <v>- / -</v>
      </c>
      <c r="N65" s="50" t="str">
        <f t="shared" si="67"/>
        <v>[effect:enhance_enemy, target:myself, turn:-1, status:attack, val:0.4, calc:mul, animation:enemy_enhance_attack]</v>
      </c>
      <c r="O65" s="46" t="str">
        <f>IFERROR(LEFT(N65,FIND("],",N65)+T74),N65)</f>
        <v>[effect:enhance_enemy, target:myself, turn:-1, status:attack, val:0.4, calc:mul, animation:enemy_enhance_attack]</v>
      </c>
      <c r="P65" s="50">
        <f t="shared" si="56"/>
        <v>9</v>
      </c>
      <c r="Q65" s="50">
        <f t="shared" si="57"/>
        <v>22</v>
      </c>
      <c r="R65" s="50">
        <f t="shared" si="58"/>
        <v>31</v>
      </c>
      <c r="S65" s="50">
        <f t="shared" si="59"/>
        <v>37</v>
      </c>
      <c r="T65" s="50" t="str">
        <f>IFERROR(VLOOKUP(MID(O65,R65,S65-R65),[6]skilldef!$C:$D,2,FALSE),"-") &amp; " / " &amp; IFERROR(VLOOKUP(MID(O65,P65,Q65-P65),[6]skilldef!$A:$B,2,FALSE),"-")</f>
        <v>自分自身に / ステータス強化</v>
      </c>
      <c r="U65" s="46" t="str">
        <f t="shared" si="60"/>
        <v>none</v>
      </c>
      <c r="V65" s="50" t="e">
        <f t="shared" si="61"/>
        <v>#VALUE!</v>
      </c>
      <c r="W65" s="50">
        <f t="shared" si="62"/>
        <v>4</v>
      </c>
      <c r="X65" s="50" t="e">
        <f t="shared" si="63"/>
        <v>#VALUE!</v>
      </c>
      <c r="Y65" s="50" t="e">
        <f t="shared" si="64"/>
        <v>#VALUE!</v>
      </c>
      <c r="Z65" s="50" t="str">
        <f>IFERROR(VLOOKUP(MID(U65,X65,Y65-X65),[6]skilldef!$C:$D,2,FALSE),"-") &amp; " / " &amp; IFERROR(VLOOKUP(MID(U65,V65,W65-V65),[6]skilldef!$A:$B,2,FALSE),"-")</f>
        <v>- / -</v>
      </c>
      <c r="AA65" s="49"/>
      <c r="AB65" s="51"/>
      <c r="AC65" s="49"/>
      <c r="AD65" s="116" t="s">
        <v>371</v>
      </c>
    </row>
    <row r="66" spans="1:33" ht="42" customHeight="1" x14ac:dyDescent="0.15">
      <c r="A66" s="201">
        <v>40045300</v>
      </c>
      <c r="B66" s="47" t="str">
        <f t="shared" si="51"/>
        <v>[effect:enemy_message, val1:1.7, val2:5.8],[effect:virus, target:unit_all, turn:10, rate:1, val:0.11, animation:enemy_virus],[effect:degrade_unit, target:unit_all, turn:5, status:action, val:1, calc:add, animation:enemy_tap_down],[effect:force_change_block, new_block:damage, target:normal, color:block_green, count:5, val:0.1, animation:change_bock]</v>
      </c>
      <c r="C66" s="49">
        <v>3</v>
      </c>
      <c r="D66" s="49" t="s">
        <v>126</v>
      </c>
      <c r="E66" s="50"/>
      <c r="F66" s="50" t="s">
        <v>406</v>
      </c>
      <c r="G66" s="50" t="s">
        <v>471</v>
      </c>
      <c r="H66" s="50" t="str">
        <f t="shared" si="65"/>
        <v>[effect:enemy_message, val1:1.7, val2:5.8]</v>
      </c>
      <c r="I66" s="50">
        <f t="shared" si="66"/>
        <v>9</v>
      </c>
      <c r="J66" s="50">
        <f t="shared" si="53"/>
        <v>22</v>
      </c>
      <c r="K66" s="50" t="e">
        <f t="shared" si="54"/>
        <v>#VALUE!</v>
      </c>
      <c r="L66" s="50">
        <f t="shared" si="55"/>
        <v>32</v>
      </c>
      <c r="M66" s="50" t="str">
        <f>IFERROR(VLOOKUP(MID(H66,K66,L66-K66),[6]skilldef!$C:$D,2,FALSE),"-") &amp; " / " &amp; IFERROR(VLOOKUP(MID(H66,I66,J66-I66),[6]skilldef!$A:$B,2,FALSE),"-")</f>
        <v>- / -</v>
      </c>
      <c r="N66" s="50" t="str">
        <f t="shared" si="67"/>
        <v>[effect:virus, target:unit_all, turn:10, rate:1, val:0.11, animation:enemy_virus],[effect:degrade_unit, target:unit_all, turn:5, status:action, val:1, calc:add, animation:enemy_tap_down],[effect:force_change_block, new_block:damage, target:normal, color:block_green, count:5, val:0.1, animation:change_bock]</v>
      </c>
      <c r="O66" s="46" t="str">
        <f>IFERROR(LEFT(N66,FIND("],",N66)+T75),N66)</f>
        <v>[effect:virus, target:unit_all, turn:10, rate:1, val:0.11, animation:enemy_virus],[effect:degrade_unit, target:unit_all, turn:5, status:action, val:1, calc:add, animation:enemy_tap_down],[effect:force_change_block, new_block:damage, target:normal, color:block_green, count:5, val:0.1, animation:change_bock]</v>
      </c>
      <c r="P66" s="50">
        <f t="shared" si="56"/>
        <v>9</v>
      </c>
      <c r="Q66" s="50">
        <f t="shared" si="57"/>
        <v>14</v>
      </c>
      <c r="R66" s="50">
        <f t="shared" si="58"/>
        <v>23</v>
      </c>
      <c r="S66" s="50">
        <f t="shared" si="59"/>
        <v>31</v>
      </c>
      <c r="T66" s="50" t="str">
        <f>IFERROR(VLOOKUP(MID(O66,R66,S66-R66),[6]skilldef!$C:$D,2,FALSE),"-") &amp; " / " &amp; IFERROR(VLOOKUP(MID(O66,P66,Q66-P66),[6]skilldef!$A:$B,2,FALSE),"-")</f>
        <v>味方全体に / ウィルス</v>
      </c>
      <c r="U66" s="46" t="str">
        <f t="shared" si="60"/>
        <v>[effect:degrade_unit, target:unit_all, turn:5, status:action, val:1, calc:add, animation:enemy_tap_down],[effect:force_change_block, new_block:damage, target:normal, color:block_green, count:5, val:0.1, animation:change_bock]</v>
      </c>
      <c r="V66" s="50">
        <f t="shared" si="61"/>
        <v>9</v>
      </c>
      <c r="W66" s="50">
        <f t="shared" si="62"/>
        <v>21</v>
      </c>
      <c r="X66" s="50">
        <f t="shared" si="63"/>
        <v>30</v>
      </c>
      <c r="Y66" s="50">
        <f t="shared" si="64"/>
        <v>38</v>
      </c>
      <c r="Z66" s="50" t="str">
        <f>IFERROR(VLOOKUP(MID(U66,X66,Y66-X66),[6]skilldef!$C:$D,2,FALSE),"-") &amp; " / " &amp; IFERROR(VLOOKUP(MID(U66,V66,W66-V66),[6]skilldef!$A:$B,2,FALSE),"-")</f>
        <v>味方全体に / ステータスDOWN</v>
      </c>
      <c r="AA66" s="49"/>
      <c r="AB66" s="51"/>
      <c r="AC66" s="49"/>
      <c r="AD66" s="116" t="s">
        <v>472</v>
      </c>
      <c r="AE66" s="314"/>
      <c r="AF66" s="317"/>
      <c r="AG66" s="317"/>
    </row>
    <row r="67" spans="1:33" ht="42" customHeight="1" x14ac:dyDescent="0.15">
      <c r="A67" s="201">
        <v>40045301</v>
      </c>
      <c r="B67" s="47" t="str">
        <f t="shared" si="51"/>
        <v>[effect:enemy_message, val1:1.2, val2:2.7],[effect:rush, count:2, val:0.7],[effect:force_change_block, new_block:damage, target:normal, color:block_red, count:3, val:0.1, animation:change_bock]</v>
      </c>
      <c r="C67" s="49">
        <v>3</v>
      </c>
      <c r="D67" s="49" t="s">
        <v>126</v>
      </c>
      <c r="E67" s="50"/>
      <c r="F67" s="50" t="s">
        <v>416</v>
      </c>
      <c r="G67" s="50" t="s">
        <v>450</v>
      </c>
      <c r="H67" s="50" t="str">
        <f t="shared" si="65"/>
        <v>[effect:enemy_message, val1:1.2, val2:2.7]</v>
      </c>
      <c r="I67" s="50">
        <f t="shared" si="66"/>
        <v>9</v>
      </c>
      <c r="J67" s="50">
        <f t="shared" si="53"/>
        <v>22</v>
      </c>
      <c r="K67" s="50" t="e">
        <f t="shared" si="54"/>
        <v>#VALUE!</v>
      </c>
      <c r="L67" s="50">
        <f t="shared" si="55"/>
        <v>32</v>
      </c>
      <c r="M67" s="50" t="str">
        <f>IFERROR(VLOOKUP(MID(H67,K67,L67-K67),[6]skilldef!$C:$D,2,FALSE),"-") &amp; " / " &amp; IFERROR(VLOOKUP(MID(H67,I67,J67-I67),[6]skilldef!$A:$B,2,FALSE),"-")</f>
        <v>- / -</v>
      </c>
      <c r="N67" s="50" t="str">
        <f t="shared" si="67"/>
        <v>[effect:rush, count:2, val:0.7],[effect:force_change_block, new_block:damage, target:normal, color:block_red, count:3, val:0.1, animation:change_bock]</v>
      </c>
      <c r="O67" s="46" t="str">
        <f>IFERROR(LEFT(N67,FIND("],",N67)+T76),N67)</f>
        <v>[effect:rush, count:2, val:0.7],[effect:force_change_block, new_block:damage, target:normal, color:block_red, count:3, val:0.1, animation:change_bock]</v>
      </c>
      <c r="P67" s="50">
        <f t="shared" si="56"/>
        <v>9</v>
      </c>
      <c r="Q67" s="50">
        <f t="shared" si="57"/>
        <v>13</v>
      </c>
      <c r="R67" s="50">
        <f t="shared" si="58"/>
        <v>86</v>
      </c>
      <c r="S67" s="50">
        <f t="shared" si="59"/>
        <v>22</v>
      </c>
      <c r="T67" s="50" t="str">
        <f>IFERROR(VLOOKUP(MID(O67,R67,S67-R67),[6]skilldef!$C:$D,2,FALSE),"-") &amp; " / " &amp; IFERROR(VLOOKUP(MID(O67,P67,Q67-P67),[6]skilldef!$A:$B,2,FALSE),"-")</f>
        <v>- / 連続攻撃</v>
      </c>
      <c r="U67" s="46" t="str">
        <f t="shared" si="60"/>
        <v>[effect:force_change_block, new_block:damage, target:normal, color:block_red, count:3, val:0.1, animation:change_bock]</v>
      </c>
      <c r="V67" s="50">
        <f t="shared" si="61"/>
        <v>9</v>
      </c>
      <c r="W67" s="50">
        <f t="shared" si="62"/>
        <v>27</v>
      </c>
      <c r="X67" s="50">
        <f t="shared" si="63"/>
        <v>54</v>
      </c>
      <c r="Y67" s="50">
        <f t="shared" si="64"/>
        <v>45</v>
      </c>
      <c r="Z67" s="50" t="str">
        <f>IFERROR(VLOOKUP(MID(U67,X67,Y67-X67),[6]skilldef!$C:$D,2,FALSE),"-") &amp; " / " &amp; IFERROR(VLOOKUP(MID(U67,V67,W67-V67),[6]skilldef!$A:$B,2,FALSE),"-")</f>
        <v>- / -</v>
      </c>
      <c r="AA67" s="49"/>
      <c r="AB67" s="51"/>
      <c r="AC67" s="49"/>
      <c r="AD67" s="116" t="s">
        <v>449</v>
      </c>
    </row>
    <row r="68" spans="1:33" ht="42" customHeight="1" x14ac:dyDescent="0.15">
      <c r="A68" s="201">
        <v>40045302</v>
      </c>
      <c r="B68" s="47" t="str">
        <f t="shared" si="51"/>
        <v>[effect:enemy_message, val1:1.2, val2:2.2],[effect:damage_anti_abnormal, target:unit_all, target_effect01:virus, val1:0.6, val2:0.35]</v>
      </c>
      <c r="C68" s="49">
        <v>3</v>
      </c>
      <c r="D68" s="49" t="s">
        <v>126</v>
      </c>
      <c r="E68" s="50"/>
      <c r="F68" s="50" t="s">
        <v>417</v>
      </c>
      <c r="G68" s="50" t="s">
        <v>331</v>
      </c>
      <c r="H68" s="50" t="str">
        <f t="shared" si="65"/>
        <v>[effect:enemy_message, val1:1.2, val2:2.2]</v>
      </c>
      <c r="I68" s="50">
        <f t="shared" si="66"/>
        <v>9</v>
      </c>
      <c r="J68" s="50">
        <f t="shared" si="53"/>
        <v>22</v>
      </c>
      <c r="K68" s="50" t="e">
        <f t="shared" si="54"/>
        <v>#VALUE!</v>
      </c>
      <c r="L68" s="50">
        <f t="shared" si="55"/>
        <v>32</v>
      </c>
      <c r="M68" s="50" t="str">
        <f>IFERROR(VLOOKUP(MID(H68,K68,L68-K68),[6]skilldef!$C:$D,2,FALSE),"-") &amp; " / " &amp; IFERROR(VLOOKUP(MID(H68,I68,J68-I68),[6]skilldef!$A:$B,2,FALSE),"-")</f>
        <v>- / -</v>
      </c>
      <c r="N68" s="50" t="str">
        <f t="shared" si="67"/>
        <v>[effect:damage_anti_abnormal, target:unit_all, target_effect01:virus, val1:0.6, val2:0.35]</v>
      </c>
      <c r="O68" s="46" t="str">
        <f>IFERROR(LEFT(N68,FIND("],",N68)+T77),N68)</f>
        <v>[effect:damage_anti_abnormal, target:unit_all, target_effect01:virus, val1:0.6, val2:0.35]</v>
      </c>
      <c r="P68" s="50">
        <f t="shared" si="56"/>
        <v>9</v>
      </c>
      <c r="Q68" s="50">
        <f t="shared" si="57"/>
        <v>29</v>
      </c>
      <c r="R68" s="50">
        <f t="shared" si="58"/>
        <v>38</v>
      </c>
      <c r="S68" s="50">
        <f t="shared" si="59"/>
        <v>46</v>
      </c>
      <c r="T68" s="50" t="str">
        <f>IFERROR(VLOOKUP(MID(O68,R68,S68-R68),[6]skilldef!$C:$D,2,FALSE),"-") &amp; " / " &amp; IFERROR(VLOOKUP(MID(O68,P68,Q68-P68),[6]skilldef!$A:$B,2,FALSE),"-")</f>
        <v>味方全体に / -</v>
      </c>
      <c r="U68" s="46" t="str">
        <f t="shared" si="60"/>
        <v>none</v>
      </c>
      <c r="V68" s="50" t="e">
        <f t="shared" si="61"/>
        <v>#VALUE!</v>
      </c>
      <c r="W68" s="50">
        <f t="shared" si="62"/>
        <v>4</v>
      </c>
      <c r="X68" s="50" t="e">
        <f t="shared" si="63"/>
        <v>#VALUE!</v>
      </c>
      <c r="Y68" s="50" t="e">
        <f t="shared" si="64"/>
        <v>#VALUE!</v>
      </c>
      <c r="Z68" s="50" t="str">
        <f>IFERROR(VLOOKUP(MID(U68,X68,Y68-X68),[6]skilldef!$C:$D,2,FALSE),"-") &amp; " / " &amp; IFERROR(VLOOKUP(MID(U68,V68,W68-V68),[6]skilldef!$A:$B,2,FALSE),"-")</f>
        <v>- / -</v>
      </c>
      <c r="AA68" s="49"/>
      <c r="AB68" s="51"/>
      <c r="AC68" s="49"/>
      <c r="AD68" s="116" t="s">
        <v>447</v>
      </c>
    </row>
    <row r="69" spans="1:33" ht="42" customHeight="1" x14ac:dyDescent="0.15">
      <c r="A69" s="201">
        <v>40045304</v>
      </c>
      <c r="B69" s="47" t="str">
        <f t="shared" si="51"/>
        <v>[effect:enemy_message, val1:1.2, val2:1.2],[effect:freq_turn, target:myself, turn:-1, val:1, animation:enemy_freq_turn]</v>
      </c>
      <c r="C69" s="49">
        <v>3</v>
      </c>
      <c r="D69" s="49" t="s">
        <v>126</v>
      </c>
      <c r="E69" s="50"/>
      <c r="F69" s="50" t="s">
        <v>407</v>
      </c>
      <c r="G69" s="50" t="s">
        <v>393</v>
      </c>
      <c r="H69" s="50" t="str">
        <f t="shared" si="65"/>
        <v>[effect:enemy_message, val1:1.2, val2:1.2]</v>
      </c>
      <c r="I69" s="50">
        <f t="shared" si="66"/>
        <v>9</v>
      </c>
      <c r="J69" s="50">
        <f t="shared" si="53"/>
        <v>22</v>
      </c>
      <c r="K69" s="50" t="e">
        <f t="shared" si="54"/>
        <v>#VALUE!</v>
      </c>
      <c r="L69" s="50">
        <f t="shared" si="55"/>
        <v>32</v>
      </c>
      <c r="M69" s="50" t="str">
        <f>IFERROR(VLOOKUP(MID(H69,K69,L69-K69),[6]skilldef!$C:$D,2,FALSE),"-") &amp; " / " &amp; IFERROR(VLOOKUP(MID(H69,I69,J69-I69),[6]skilldef!$A:$B,2,FALSE),"-")</f>
        <v>- / -</v>
      </c>
      <c r="N69" s="50" t="str">
        <f t="shared" si="67"/>
        <v>[effect:freq_turn, target:myself, turn:-1, val:1, animation:enemy_freq_turn]</v>
      </c>
      <c r="O69" s="46" t="str">
        <f>IFERROR(LEFT(N69,FIND("],",N69)+#REF!),N69)</f>
        <v>[effect:freq_turn, target:myself, turn:-1, val:1, animation:enemy_freq_turn]</v>
      </c>
      <c r="P69" s="50">
        <f t="shared" si="56"/>
        <v>9</v>
      </c>
      <c r="Q69" s="50">
        <f t="shared" si="57"/>
        <v>18</v>
      </c>
      <c r="R69" s="50">
        <f t="shared" si="58"/>
        <v>27</v>
      </c>
      <c r="S69" s="50">
        <f t="shared" si="59"/>
        <v>33</v>
      </c>
      <c r="T69" s="50" t="str">
        <f>IFERROR(VLOOKUP(MID(O69,R69,S69-R69),[6]skilldef!$C:$D,2,FALSE),"-") &amp; " / " &amp; IFERROR(VLOOKUP(MID(O69,P69,Q69-P69),[6]skilldef!$A:$B,2,FALSE),"-")</f>
        <v>自分自身に / 攻撃頻度がUP</v>
      </c>
      <c r="U69" s="46" t="str">
        <f t="shared" si="60"/>
        <v>none</v>
      </c>
      <c r="V69" s="50" t="e">
        <f t="shared" si="61"/>
        <v>#VALUE!</v>
      </c>
      <c r="W69" s="50">
        <f t="shared" si="62"/>
        <v>4</v>
      </c>
      <c r="X69" s="50" t="e">
        <f t="shared" si="63"/>
        <v>#VALUE!</v>
      </c>
      <c r="Y69" s="50" t="e">
        <f t="shared" si="64"/>
        <v>#VALUE!</v>
      </c>
      <c r="Z69" s="50" t="str">
        <f>IFERROR(VLOOKUP(MID(U69,X69,Y69-X69),[6]skilldef!$C:$D,2,FALSE),"-") &amp; " / " &amp; IFERROR(VLOOKUP(MID(U69,V69,W69-V69),[6]skilldef!$A:$B,2,FALSE),"-")</f>
        <v>- / -</v>
      </c>
      <c r="AA69" s="49"/>
      <c r="AB69" s="51"/>
      <c r="AC69" s="49"/>
      <c r="AD69" s="116" t="s">
        <v>424</v>
      </c>
    </row>
    <row r="70" spans="1:33" ht="42" customHeight="1" x14ac:dyDescent="0.15">
      <c r="A70" s="201">
        <v>40045305</v>
      </c>
      <c r="B70" s="47" t="str">
        <f t="shared" si="51"/>
        <v>[effect:enemy_message, val1:1.2, val2:1.2],[effect:enhance_enemy, target:myself, turn:-1, status:attack, val:0.4, calc:mul, animation:enemy_enhance_attack]</v>
      </c>
      <c r="C70" s="49">
        <v>3</v>
      </c>
      <c r="D70" s="49" t="s">
        <v>126</v>
      </c>
      <c r="E70" s="50"/>
      <c r="F70" s="50" t="s">
        <v>384</v>
      </c>
      <c r="G70" s="50" t="s">
        <v>391</v>
      </c>
      <c r="H70" s="50" t="str">
        <f t="shared" si="65"/>
        <v>[effect:enemy_message, val1:1.2, val2:1.2]</v>
      </c>
      <c r="I70" s="50">
        <f t="shared" si="66"/>
        <v>9</v>
      </c>
      <c r="J70" s="50">
        <f t="shared" si="53"/>
        <v>22</v>
      </c>
      <c r="K70" s="50" t="e">
        <f t="shared" si="54"/>
        <v>#VALUE!</v>
      </c>
      <c r="L70" s="50">
        <f t="shared" si="55"/>
        <v>32</v>
      </c>
      <c r="M70" s="50" t="str">
        <f>IFERROR(VLOOKUP(MID(H70,K70,L70-K70),[6]skilldef!$C:$D,2,FALSE),"-") &amp; " / " &amp; IFERROR(VLOOKUP(MID(H70,I70,J70-I70),[6]skilldef!$A:$B,2,FALSE),"-")</f>
        <v>- / -</v>
      </c>
      <c r="N70" s="50" t="str">
        <f t="shared" si="67"/>
        <v>[effect:enhance_enemy, target:myself, turn:-1, status:attack, val:0.4, calc:mul, animation:enemy_enhance_attack]</v>
      </c>
      <c r="O70" s="46" t="str">
        <f t="shared" ref="O70:O76" si="68">IFERROR(LEFT(N70,FIND("],",N70)+T78),N70)</f>
        <v>[effect:enhance_enemy, target:myself, turn:-1, status:attack, val:0.4, calc:mul, animation:enemy_enhance_attack]</v>
      </c>
      <c r="P70" s="50">
        <f t="shared" si="56"/>
        <v>9</v>
      </c>
      <c r="Q70" s="50">
        <f t="shared" si="57"/>
        <v>22</v>
      </c>
      <c r="R70" s="50">
        <f t="shared" si="58"/>
        <v>31</v>
      </c>
      <c r="S70" s="50">
        <f t="shared" si="59"/>
        <v>37</v>
      </c>
      <c r="T70" s="50" t="str">
        <f>IFERROR(VLOOKUP(MID(O70,R70,S70-R70),[6]skilldef!$C:$D,2,FALSE),"-") &amp; " / " &amp; IFERROR(VLOOKUP(MID(O70,P70,Q70-P70),[6]skilldef!$A:$B,2,FALSE),"-")</f>
        <v>自分自身に / ステータス強化</v>
      </c>
      <c r="U70" s="46" t="str">
        <f t="shared" si="60"/>
        <v>none</v>
      </c>
      <c r="V70" s="50" t="e">
        <f t="shared" si="61"/>
        <v>#VALUE!</v>
      </c>
      <c r="W70" s="50">
        <f t="shared" si="62"/>
        <v>4</v>
      </c>
      <c r="X70" s="50" t="e">
        <f t="shared" si="63"/>
        <v>#VALUE!</v>
      </c>
      <c r="Y70" s="50" t="e">
        <f t="shared" si="64"/>
        <v>#VALUE!</v>
      </c>
      <c r="Z70" s="50" t="str">
        <f>IFERROR(VLOOKUP(MID(U70,X70,Y70-X70),[6]skilldef!$C:$D,2,FALSE),"-") &amp; " / " &amp; IFERROR(VLOOKUP(MID(U70,V70,W70-V70),[6]skilldef!$A:$B,2,FALSE),"-")</f>
        <v>- / -</v>
      </c>
      <c r="AA70" s="49"/>
      <c r="AB70" s="51"/>
      <c r="AC70" s="49"/>
      <c r="AD70" s="116" t="s">
        <v>361</v>
      </c>
    </row>
    <row r="71" spans="1:33" ht="42" customHeight="1" x14ac:dyDescent="0.15">
      <c r="A71" s="201">
        <v>40045306</v>
      </c>
      <c r="B71" s="47" t="str">
        <f t="shared" si="51"/>
        <v>[effect:enemy_message, val1:1.2, val2:1.3],[effect:enhance_enemy, target:myself, turn:5, status:defense, val:5000, calc:add, animation:enemy_enhance_defense]</v>
      </c>
      <c r="C71" s="49">
        <v>3</v>
      </c>
      <c r="D71" s="49" t="s">
        <v>126</v>
      </c>
      <c r="E71" s="50"/>
      <c r="F71" s="50" t="s">
        <v>385</v>
      </c>
      <c r="G71" s="50" t="s">
        <v>392</v>
      </c>
      <c r="H71" s="50" t="str">
        <f t="shared" si="65"/>
        <v>[effect:enemy_message, val1:1.2, val2:1.3]</v>
      </c>
      <c r="I71" s="50">
        <f t="shared" si="66"/>
        <v>9</v>
      </c>
      <c r="J71" s="50">
        <f t="shared" si="53"/>
        <v>22</v>
      </c>
      <c r="K71" s="50" t="e">
        <f t="shared" si="54"/>
        <v>#VALUE!</v>
      </c>
      <c r="L71" s="50">
        <f t="shared" si="55"/>
        <v>32</v>
      </c>
      <c r="M71" s="50" t="str">
        <f>IFERROR(VLOOKUP(MID(H71,K71,L71-K71),[6]skilldef!$C:$D,2,FALSE),"-") &amp; " / " &amp; IFERROR(VLOOKUP(MID(H71,I71,J71-I71),[6]skilldef!$A:$B,2,FALSE),"-")</f>
        <v>- / -</v>
      </c>
      <c r="N71" s="50" t="str">
        <f t="shared" si="67"/>
        <v>[effect:enhance_enemy, target:myself, turn:5, status:defense, val:5000, calc:add, animation:enemy_enhance_defense]</v>
      </c>
      <c r="O71" s="46" t="str">
        <f t="shared" si="68"/>
        <v>[effect:enhance_enemy, target:myself, turn:5, status:defense, val:5000, calc:add, animation:enemy_enhance_defense]</v>
      </c>
      <c r="P71" s="50">
        <f t="shared" si="56"/>
        <v>9</v>
      </c>
      <c r="Q71" s="50">
        <f t="shared" si="57"/>
        <v>22</v>
      </c>
      <c r="R71" s="50">
        <f t="shared" si="58"/>
        <v>31</v>
      </c>
      <c r="S71" s="50">
        <f t="shared" si="59"/>
        <v>37</v>
      </c>
      <c r="T71" s="50" t="str">
        <f>IFERROR(VLOOKUP(MID(O71,R71,S71-R71),[6]skilldef!$C:$D,2,FALSE),"-") &amp; " / " &amp; IFERROR(VLOOKUP(MID(O71,P71,Q71-P71),[6]skilldef!$A:$B,2,FALSE),"-")</f>
        <v>自分自身に / ステータス強化</v>
      </c>
      <c r="U71" s="46" t="str">
        <f t="shared" si="60"/>
        <v>none</v>
      </c>
      <c r="V71" s="50" t="e">
        <f t="shared" si="61"/>
        <v>#VALUE!</v>
      </c>
      <c r="W71" s="50">
        <f t="shared" si="62"/>
        <v>4</v>
      </c>
      <c r="X71" s="50" t="e">
        <f t="shared" si="63"/>
        <v>#VALUE!</v>
      </c>
      <c r="Y71" s="50" t="e">
        <f t="shared" si="64"/>
        <v>#VALUE!</v>
      </c>
      <c r="Z71" s="50" t="str">
        <f>IFERROR(VLOOKUP(MID(U71,X71,Y71-X71),[6]skilldef!$C:$D,2,FALSE),"-") &amp; " / " &amp; IFERROR(VLOOKUP(MID(U71,V71,W71-V71),[6]skilldef!$A:$B,2,FALSE),"-")</f>
        <v>- / -</v>
      </c>
      <c r="AA71" s="49"/>
      <c r="AB71" s="51"/>
      <c r="AC71" s="49"/>
      <c r="AD71" s="116" t="s">
        <v>367</v>
      </c>
    </row>
    <row r="72" spans="1:33" ht="42" customHeight="1" x14ac:dyDescent="0.15">
      <c r="A72" s="201">
        <v>40045400</v>
      </c>
      <c r="B72" s="47" t="str">
        <f t="shared" si="51"/>
        <v>[effect:enemy_message, val1:1.2, val2:1.2],[effect:spread, val:0.17]</v>
      </c>
      <c r="C72" s="49">
        <v>3</v>
      </c>
      <c r="D72" s="49" t="s">
        <v>126</v>
      </c>
      <c r="E72" s="50"/>
      <c r="F72" s="50" t="s">
        <v>410</v>
      </c>
      <c r="G72" s="50" t="s">
        <v>335</v>
      </c>
      <c r="H72" s="50" t="str">
        <f t="shared" si="65"/>
        <v>[effect:enemy_message, val1:1.2, val2:1.2]</v>
      </c>
      <c r="I72" s="50">
        <f t="shared" si="66"/>
        <v>9</v>
      </c>
      <c r="J72" s="50">
        <f t="shared" si="53"/>
        <v>22</v>
      </c>
      <c r="K72" s="50" t="e">
        <f t="shared" si="54"/>
        <v>#VALUE!</v>
      </c>
      <c r="L72" s="50">
        <f t="shared" si="55"/>
        <v>32</v>
      </c>
      <c r="M72" s="50" t="str">
        <f>IFERROR(VLOOKUP(MID(H72,K72,L72-K72),[6]skilldef!$C:$D,2,FALSE),"-") &amp; " / " &amp; IFERROR(VLOOKUP(MID(H72,I72,J72-I72),[6]skilldef!$A:$B,2,FALSE),"-")</f>
        <v>- / -</v>
      </c>
      <c r="N72" s="50" t="str">
        <f t="shared" si="67"/>
        <v>[effect:spread, val:0.17]</v>
      </c>
      <c r="O72" s="46" t="str">
        <f t="shared" si="68"/>
        <v>[effect:spread, val:0.17]</v>
      </c>
      <c r="P72" s="50">
        <f t="shared" si="56"/>
        <v>9</v>
      </c>
      <c r="Q72" s="50">
        <f t="shared" si="57"/>
        <v>15</v>
      </c>
      <c r="R72" s="50" t="e">
        <f t="shared" si="58"/>
        <v>#VALUE!</v>
      </c>
      <c r="S72" s="50" t="e">
        <f t="shared" si="59"/>
        <v>#VALUE!</v>
      </c>
      <c r="T72" s="50" t="str">
        <f>IFERROR(VLOOKUP(MID(O72,R72,S72-R72),[6]skilldef!$C:$D,2,FALSE),"-") &amp; " / " &amp; IFERROR(VLOOKUP(MID(O72,P72,Q72-P72),[6]skilldef!$A:$B,2,FALSE),"-")</f>
        <v>- / 全体攻撃</v>
      </c>
      <c r="U72" s="46" t="str">
        <f t="shared" si="60"/>
        <v>none</v>
      </c>
      <c r="V72" s="50" t="e">
        <f t="shared" si="61"/>
        <v>#VALUE!</v>
      </c>
      <c r="W72" s="50">
        <f t="shared" si="62"/>
        <v>4</v>
      </c>
      <c r="X72" s="50" t="e">
        <f t="shared" si="63"/>
        <v>#VALUE!</v>
      </c>
      <c r="Y72" s="50" t="e">
        <f t="shared" si="64"/>
        <v>#VALUE!</v>
      </c>
      <c r="Z72" s="50" t="str">
        <f>IFERROR(VLOOKUP(MID(U72,X72,Y72-X72),[6]skilldef!$C:$D,2,FALSE),"-") &amp; " / " &amp; IFERROR(VLOOKUP(MID(U72,V72,W72-V72),[6]skilldef!$A:$B,2,FALSE),"-")</f>
        <v>- / -</v>
      </c>
      <c r="AA72" s="49"/>
      <c r="AB72" s="51"/>
      <c r="AC72" s="49"/>
      <c r="AD72" s="116" t="s">
        <v>399</v>
      </c>
    </row>
    <row r="73" spans="1:33" ht="42" customHeight="1" x14ac:dyDescent="0.15">
      <c r="A73" s="201">
        <v>40045401</v>
      </c>
      <c r="B73" s="47" t="str">
        <f t="shared" si="51"/>
        <v>[effect:enemy_message, val1:1.2, val2:1.2],[effect:rush, count:3, val:0.35]</v>
      </c>
      <c r="C73" s="49">
        <v>3</v>
      </c>
      <c r="D73" s="49" t="s">
        <v>126</v>
      </c>
      <c r="E73" s="50"/>
      <c r="F73" s="50" t="s">
        <v>411</v>
      </c>
      <c r="G73" s="50" t="s">
        <v>390</v>
      </c>
      <c r="H73" s="50" t="str">
        <f t="shared" si="65"/>
        <v>[effect:enemy_message, val1:1.2, val2:1.2]</v>
      </c>
      <c r="I73" s="50">
        <f t="shared" si="66"/>
        <v>9</v>
      </c>
      <c r="J73" s="50">
        <f t="shared" si="53"/>
        <v>22</v>
      </c>
      <c r="K73" s="50" t="e">
        <f t="shared" si="54"/>
        <v>#VALUE!</v>
      </c>
      <c r="L73" s="50">
        <f t="shared" si="55"/>
        <v>32</v>
      </c>
      <c r="M73" s="50" t="str">
        <f>IFERROR(VLOOKUP(MID(H73,K73,L73-K73),[6]skilldef!$C:$D,2,FALSE),"-") &amp; " / " &amp; IFERROR(VLOOKUP(MID(H73,I73,J73-I73),[6]skilldef!$A:$B,2,FALSE),"-")</f>
        <v>- / -</v>
      </c>
      <c r="N73" s="50" t="str">
        <f t="shared" si="67"/>
        <v>[effect:rush, count:3, val:0.35]</v>
      </c>
      <c r="O73" s="46" t="str">
        <f t="shared" si="68"/>
        <v>[effect:rush, count:3, val:0.35]</v>
      </c>
      <c r="P73" s="50">
        <f t="shared" si="56"/>
        <v>9</v>
      </c>
      <c r="Q73" s="50">
        <f t="shared" si="57"/>
        <v>13</v>
      </c>
      <c r="R73" s="50" t="e">
        <f t="shared" si="58"/>
        <v>#VALUE!</v>
      </c>
      <c r="S73" s="50">
        <f t="shared" si="59"/>
        <v>22</v>
      </c>
      <c r="T73" s="50" t="str">
        <f>IFERROR(VLOOKUP(MID(O73,R73,S73-R73),[6]skilldef!$C:$D,2,FALSE),"-") &amp; " / " &amp; IFERROR(VLOOKUP(MID(O73,P73,Q73-P73),[6]skilldef!$A:$B,2,FALSE),"-")</f>
        <v>- / 連続攻撃</v>
      </c>
      <c r="U73" s="46" t="str">
        <f t="shared" si="60"/>
        <v>none</v>
      </c>
      <c r="V73" s="50" t="e">
        <f t="shared" si="61"/>
        <v>#VALUE!</v>
      </c>
      <c r="W73" s="50">
        <f t="shared" si="62"/>
        <v>4</v>
      </c>
      <c r="X73" s="50" t="e">
        <f t="shared" si="63"/>
        <v>#VALUE!</v>
      </c>
      <c r="Y73" s="50" t="e">
        <f t="shared" si="64"/>
        <v>#VALUE!</v>
      </c>
      <c r="Z73" s="50" t="str">
        <f>IFERROR(VLOOKUP(MID(U73,X73,Y73-X73),[6]skilldef!$C:$D,2,FALSE),"-") &amp; " / " &amp; IFERROR(VLOOKUP(MID(U73,V73,W73-V73),[6]skilldef!$A:$B,2,FALSE),"-")</f>
        <v>- / -</v>
      </c>
      <c r="AA73" s="49"/>
      <c r="AB73" s="51"/>
      <c r="AC73" s="49"/>
      <c r="AD73" s="116" t="s">
        <v>397</v>
      </c>
    </row>
    <row r="74" spans="1:33" ht="42" customHeight="1" x14ac:dyDescent="0.15">
      <c r="A74" s="201">
        <v>40045402</v>
      </c>
      <c r="B74" s="47" t="str">
        <f t="shared" si="51"/>
        <v>[effect:enemy_message, val1:1.2, val2:1.2],[effect:enhance_enemy, target:myself, turn:-1, status:attack, val:0.2, calc:mul, animation:enemy_enhance_attack]</v>
      </c>
      <c r="C74" s="49">
        <v>3</v>
      </c>
      <c r="D74" s="49" t="s">
        <v>126</v>
      </c>
      <c r="E74" s="50"/>
      <c r="F74" s="50" t="s">
        <v>409</v>
      </c>
      <c r="G74" s="50" t="s">
        <v>391</v>
      </c>
      <c r="H74" s="50" t="str">
        <f t="shared" si="65"/>
        <v>[effect:enemy_message, val1:1.2, val2:1.2]</v>
      </c>
      <c r="I74" s="50">
        <f t="shared" si="66"/>
        <v>9</v>
      </c>
      <c r="J74" s="50">
        <f t="shared" si="53"/>
        <v>22</v>
      </c>
      <c r="K74" s="50" t="e">
        <f t="shared" si="54"/>
        <v>#VALUE!</v>
      </c>
      <c r="L74" s="50">
        <f t="shared" si="55"/>
        <v>32</v>
      </c>
      <c r="M74" s="50" t="str">
        <f>IFERROR(VLOOKUP(MID(H74,K74,L74-K74),[6]skilldef!$C:$D,2,FALSE),"-") &amp; " / " &amp; IFERROR(VLOOKUP(MID(H74,I74,J74-I74),[6]skilldef!$A:$B,2,FALSE),"-")</f>
        <v>- / -</v>
      </c>
      <c r="N74" s="50" t="str">
        <f t="shared" si="67"/>
        <v>[effect:enhance_enemy, target:myself, turn:-1, status:attack, val:0.2, calc:mul, animation:enemy_enhance_attack]</v>
      </c>
      <c r="O74" s="46" t="str">
        <f t="shared" si="68"/>
        <v>[effect:enhance_enemy, target:myself, turn:-1, status:attack, val:0.2, calc:mul, animation:enemy_enhance_attack]</v>
      </c>
      <c r="P74" s="50">
        <f t="shared" si="56"/>
        <v>9</v>
      </c>
      <c r="Q74" s="50">
        <f t="shared" si="57"/>
        <v>22</v>
      </c>
      <c r="R74" s="50">
        <f t="shared" si="58"/>
        <v>31</v>
      </c>
      <c r="S74" s="50">
        <f t="shared" si="59"/>
        <v>37</v>
      </c>
      <c r="T74" s="50" t="str">
        <f>IFERROR(VLOOKUP(MID(O74,R74,S74-R74),[6]skilldef!$C:$D,2,FALSE),"-") &amp; " / " &amp; IFERROR(VLOOKUP(MID(O74,P74,Q74-P74),[6]skilldef!$A:$B,2,FALSE),"-")</f>
        <v>自分自身に / ステータス強化</v>
      </c>
      <c r="U74" s="46" t="str">
        <f t="shared" si="60"/>
        <v>none</v>
      </c>
      <c r="V74" s="50" t="e">
        <f t="shared" si="61"/>
        <v>#VALUE!</v>
      </c>
      <c r="W74" s="50">
        <f t="shared" si="62"/>
        <v>4</v>
      </c>
      <c r="X74" s="50" t="e">
        <f t="shared" si="63"/>
        <v>#VALUE!</v>
      </c>
      <c r="Y74" s="50" t="e">
        <f t="shared" si="64"/>
        <v>#VALUE!</v>
      </c>
      <c r="Z74" s="50" t="str">
        <f>IFERROR(VLOOKUP(MID(U74,X74,Y74-X74),[6]skilldef!$C:$D,2,FALSE),"-") &amp; " / " &amp; IFERROR(VLOOKUP(MID(U74,V74,W74-V74),[6]skilldef!$A:$B,2,FALSE),"-")</f>
        <v>- / -</v>
      </c>
      <c r="AA74" s="49"/>
      <c r="AB74" s="51"/>
      <c r="AC74" s="49"/>
      <c r="AD74" s="116" t="s">
        <v>362</v>
      </c>
    </row>
    <row r="75" spans="1:33" ht="42" customHeight="1" x14ac:dyDescent="0.15">
      <c r="A75" s="201">
        <v>40045500</v>
      </c>
      <c r="B75" s="47" t="str">
        <f t="shared" si="51"/>
        <v>[effect:enemy_message, val1:1.2, val2:1.2],[effect:break_attack_fix, target:unit_one, val:300, lowest_val:2000, count:-1, block01:block_red]</v>
      </c>
      <c r="C75" s="49">
        <v>3</v>
      </c>
      <c r="D75" s="49" t="s">
        <v>126</v>
      </c>
      <c r="E75" s="50"/>
      <c r="F75" s="50" t="s">
        <v>413</v>
      </c>
      <c r="G75" s="50" t="s">
        <v>333</v>
      </c>
      <c r="H75" s="50" t="str">
        <f t="shared" si="65"/>
        <v>[effect:enemy_message, val1:1.2, val2:1.2]</v>
      </c>
      <c r="I75" s="50">
        <f t="shared" si="66"/>
        <v>9</v>
      </c>
      <c r="J75" s="50">
        <f t="shared" si="53"/>
        <v>22</v>
      </c>
      <c r="K75" s="50" t="e">
        <f t="shared" si="54"/>
        <v>#VALUE!</v>
      </c>
      <c r="L75" s="50">
        <f t="shared" si="55"/>
        <v>32</v>
      </c>
      <c r="M75" s="50" t="str">
        <f>IFERROR(VLOOKUP(MID(H75,K75,L75-K75),[6]skilldef!$C:$D,2,FALSE),"-") &amp; " / " &amp; IFERROR(VLOOKUP(MID(H75,I75,J75-I75),[6]skilldef!$A:$B,2,FALSE),"-")</f>
        <v>- / -</v>
      </c>
      <c r="N75" s="50" t="str">
        <f t="shared" si="67"/>
        <v>[effect:break_attack_fix, target:unit_one, val:300, lowest_val:2000, count:-1, block01:block_red]</v>
      </c>
      <c r="O75" s="46" t="str">
        <f t="shared" si="68"/>
        <v>[effect:break_attack_fix, target:unit_one, val:300, lowest_val:2000, count:-1, block01:block_red]</v>
      </c>
      <c r="P75" s="50">
        <f t="shared" si="56"/>
        <v>9</v>
      </c>
      <c r="Q75" s="50">
        <f t="shared" si="57"/>
        <v>25</v>
      </c>
      <c r="R75" s="50">
        <f t="shared" si="58"/>
        <v>34</v>
      </c>
      <c r="S75" s="50">
        <f t="shared" si="59"/>
        <v>42</v>
      </c>
      <c r="T75" s="50" t="str">
        <f>IFERROR(VLOOKUP(MID(O75,R75,S75-R75),[6]skilldef!$C:$D,2,FALSE),"-") &amp; " / " &amp; IFERROR(VLOOKUP(MID(O75,P75,Q75-P75),[6]skilldef!$A:$B,2,FALSE),"-")</f>
        <v>味方単体に / -</v>
      </c>
      <c r="U75" s="46" t="str">
        <f t="shared" si="60"/>
        <v>none</v>
      </c>
      <c r="V75" s="50" t="e">
        <f t="shared" si="61"/>
        <v>#VALUE!</v>
      </c>
      <c r="W75" s="50">
        <f t="shared" si="62"/>
        <v>4</v>
      </c>
      <c r="X75" s="50" t="e">
        <f t="shared" si="63"/>
        <v>#VALUE!</v>
      </c>
      <c r="Y75" s="50" t="e">
        <f t="shared" si="64"/>
        <v>#VALUE!</v>
      </c>
      <c r="Z75" s="50" t="str">
        <f>IFERROR(VLOOKUP(MID(U75,X75,Y75-X75),[6]skilldef!$C:$D,2,FALSE),"-") &amp; " / " &amp; IFERROR(VLOOKUP(MID(U75,V75,W75-V75),[6]skilldef!$A:$B,2,FALSE),"-")</f>
        <v>- / -</v>
      </c>
      <c r="AA75" s="49"/>
      <c r="AB75" s="51"/>
      <c r="AC75" s="49"/>
      <c r="AD75" s="116" t="s">
        <v>473</v>
      </c>
    </row>
    <row r="76" spans="1:33" ht="42" customHeight="1" x14ac:dyDescent="0.15">
      <c r="A76" s="201">
        <v>40045501</v>
      </c>
      <c r="B76" s="47" t="str">
        <f t="shared" si="51"/>
        <v>[effect:enemy_message, val1:1.2, val2:2.7],[effect:rush, count:5, val:0.2],[effect:force_change_block, new_block:damage, target:block_green, color:block_yellow, count:5, val:0.05, animation:change_bock]</v>
      </c>
      <c r="C76" s="49">
        <v>3</v>
      </c>
      <c r="D76" s="49" t="s">
        <v>126</v>
      </c>
      <c r="E76" s="50"/>
      <c r="F76" s="50" t="s">
        <v>405</v>
      </c>
      <c r="G76" s="50" t="s">
        <v>452</v>
      </c>
      <c r="H76" s="50" t="str">
        <f t="shared" si="65"/>
        <v>[effect:enemy_message, val1:1.2, val2:2.7]</v>
      </c>
      <c r="I76" s="50">
        <f t="shared" si="66"/>
        <v>9</v>
      </c>
      <c r="J76" s="50">
        <f t="shared" si="53"/>
        <v>22</v>
      </c>
      <c r="K76" s="50" t="e">
        <f t="shared" si="54"/>
        <v>#VALUE!</v>
      </c>
      <c r="L76" s="50">
        <f t="shared" si="55"/>
        <v>32</v>
      </c>
      <c r="M76" s="50" t="str">
        <f>IFERROR(VLOOKUP(MID(H76,K76,L76-K76),[6]skilldef!$C:$D,2,FALSE),"-") &amp; " / " &amp; IFERROR(VLOOKUP(MID(H76,I76,J76-I76),[6]skilldef!$A:$B,2,FALSE),"-")</f>
        <v>- / -</v>
      </c>
      <c r="N76" s="50" t="str">
        <f t="shared" si="67"/>
        <v>[effect:rush, count:5, val:0.2],[effect:force_change_block, new_block:damage, target:block_green, color:block_yellow, count:5, val:0.05, animation:change_bock]</v>
      </c>
      <c r="O76" s="46" t="str">
        <f t="shared" si="68"/>
        <v>[effect:rush, count:5, val:0.2],[effect:force_change_block, new_block:damage, target:block_green, color:block_yellow, count:5, val:0.05, animation:change_bock]</v>
      </c>
      <c r="P76" s="50">
        <f t="shared" si="56"/>
        <v>9</v>
      </c>
      <c r="Q76" s="50">
        <f t="shared" si="57"/>
        <v>13</v>
      </c>
      <c r="R76" s="50">
        <f t="shared" si="58"/>
        <v>86</v>
      </c>
      <c r="S76" s="50">
        <f t="shared" si="59"/>
        <v>22</v>
      </c>
      <c r="T76" s="50" t="str">
        <f>IFERROR(VLOOKUP(MID(O76,R76,S76-R76),[6]skilldef!$C:$D,2,FALSE),"-") &amp; " / " &amp; IFERROR(VLOOKUP(MID(O76,P76,Q76-P76),[6]skilldef!$A:$B,2,FALSE),"-")</f>
        <v>- / 連続攻撃</v>
      </c>
      <c r="U76" s="46" t="str">
        <f t="shared" si="60"/>
        <v>[effect:force_change_block, new_block:damage, target:block_green, color:block_yellow, count:5, val:0.05, animation:change_bock]</v>
      </c>
      <c r="V76" s="50">
        <f t="shared" si="61"/>
        <v>9</v>
      </c>
      <c r="W76" s="50">
        <f t="shared" si="62"/>
        <v>27</v>
      </c>
      <c r="X76" s="50">
        <f t="shared" si="63"/>
        <v>54</v>
      </c>
      <c r="Y76" s="50">
        <f t="shared" si="64"/>
        <v>45</v>
      </c>
      <c r="Z76" s="50" t="str">
        <f>IFERROR(VLOOKUP(MID(U76,X76,Y76-X76),[6]skilldef!$C:$D,2,FALSE),"-") &amp; " / " &amp; IFERROR(VLOOKUP(MID(U76,V76,W76-V76),[6]skilldef!$A:$B,2,FALSE),"-")</f>
        <v>- / -</v>
      </c>
      <c r="AA76" s="49"/>
      <c r="AB76" s="51"/>
      <c r="AC76" s="49"/>
      <c r="AD76" s="116" t="s">
        <v>451</v>
      </c>
    </row>
    <row r="77" spans="1:33" ht="42" customHeight="1" x14ac:dyDescent="0.15">
      <c r="A77" s="201">
        <v>40045502</v>
      </c>
      <c r="B77" s="47" t="str">
        <f t="shared" si="51"/>
        <v>[effect:enemy_message, val1:1.2, val2:1.2],[effect:spread, val:0.3]</v>
      </c>
      <c r="C77" s="49">
        <v>3</v>
      </c>
      <c r="D77" s="49" t="s">
        <v>126</v>
      </c>
      <c r="E77" s="50"/>
      <c r="F77" s="50" t="s">
        <v>415</v>
      </c>
      <c r="G77" s="50" t="s">
        <v>335</v>
      </c>
      <c r="H77" s="50" t="str">
        <f t="shared" si="65"/>
        <v>[effect:enemy_message, val1:1.2, val2:1.2]</v>
      </c>
      <c r="I77" s="50">
        <f t="shared" si="66"/>
        <v>9</v>
      </c>
      <c r="J77" s="50">
        <f t="shared" si="53"/>
        <v>22</v>
      </c>
      <c r="K77" s="50" t="e">
        <f t="shared" si="54"/>
        <v>#VALUE!</v>
      </c>
      <c r="L77" s="50">
        <f t="shared" si="55"/>
        <v>32</v>
      </c>
      <c r="M77" s="50" t="str">
        <f>IFERROR(VLOOKUP(MID(H77,K77,L77-K77),[6]skilldef!$C:$D,2,FALSE),"-") &amp; " / " &amp; IFERROR(VLOOKUP(MID(H77,I77,J77-I77),[6]skilldef!$A:$B,2,FALSE),"-")</f>
        <v>- / -</v>
      </c>
      <c r="N77" s="50" t="str">
        <f t="shared" si="67"/>
        <v>[effect:spread, val:0.3]</v>
      </c>
      <c r="O77" s="46" t="str">
        <f>IFERROR(LEFT(N77,FIND("],",N77)+T85),N77)</f>
        <v>[effect:spread, val:0.3]</v>
      </c>
      <c r="P77" s="50">
        <f t="shared" si="56"/>
        <v>9</v>
      </c>
      <c r="Q77" s="50">
        <f t="shared" si="57"/>
        <v>15</v>
      </c>
      <c r="R77" s="50" t="e">
        <f t="shared" si="58"/>
        <v>#VALUE!</v>
      </c>
      <c r="S77" s="50" t="e">
        <f t="shared" si="59"/>
        <v>#VALUE!</v>
      </c>
      <c r="T77" s="50" t="str">
        <f>IFERROR(VLOOKUP(MID(O77,R77,S77-R77),[6]skilldef!$C:$D,2,FALSE),"-") &amp; " / " &amp; IFERROR(VLOOKUP(MID(O77,P77,Q77-P77),[6]skilldef!$A:$B,2,FALSE),"-")</f>
        <v>- / 全体攻撃</v>
      </c>
      <c r="U77" s="46" t="str">
        <f t="shared" si="60"/>
        <v>none</v>
      </c>
      <c r="V77" s="50" t="e">
        <f t="shared" si="61"/>
        <v>#VALUE!</v>
      </c>
      <c r="W77" s="50">
        <f t="shared" si="62"/>
        <v>4</v>
      </c>
      <c r="X77" s="50" t="e">
        <f t="shared" si="63"/>
        <v>#VALUE!</v>
      </c>
      <c r="Y77" s="50" t="e">
        <f t="shared" si="64"/>
        <v>#VALUE!</v>
      </c>
      <c r="Z77" s="50" t="str">
        <f>IFERROR(VLOOKUP(MID(U77,X77,Y77-X77),[6]skilldef!$C:$D,2,FALSE),"-") &amp; " / " &amp; IFERROR(VLOOKUP(MID(U77,V77,W77-V77),[6]skilldef!$A:$B,2,FALSE),"-")</f>
        <v>- / -</v>
      </c>
      <c r="AA77" s="49"/>
      <c r="AB77" s="51"/>
      <c r="AC77" s="49"/>
      <c r="AD77" s="116" t="s">
        <v>369</v>
      </c>
    </row>
    <row r="78" spans="1:33" ht="42" customHeight="1" x14ac:dyDescent="0.15">
      <c r="A78" s="201">
        <v>40045600</v>
      </c>
      <c r="B78" s="47" t="str">
        <f t="shared" si="51"/>
        <v>[effect:enemy_message, val1:1.2, val2:1.5],[effect:virus, target:unit_all, turn:10, rate:1, val:0.13, animation:enemy_virus]</v>
      </c>
      <c r="C78" s="49">
        <v>3</v>
      </c>
      <c r="D78" s="49" t="s">
        <v>126</v>
      </c>
      <c r="E78" s="50"/>
      <c r="F78" s="50" t="s">
        <v>412</v>
      </c>
      <c r="G78" s="50" t="s">
        <v>508</v>
      </c>
      <c r="H78" s="50" t="str">
        <f t="shared" si="65"/>
        <v>[effect:enemy_message, val1:1.2, val2:1.5]</v>
      </c>
      <c r="I78" s="50">
        <f t="shared" si="66"/>
        <v>9</v>
      </c>
      <c r="J78" s="50">
        <f t="shared" si="53"/>
        <v>22</v>
      </c>
      <c r="K78" s="50" t="e">
        <f t="shared" si="54"/>
        <v>#VALUE!</v>
      </c>
      <c r="L78" s="50">
        <f t="shared" si="55"/>
        <v>32</v>
      </c>
      <c r="M78" s="50" t="str">
        <f>IFERROR(VLOOKUP(MID(H78,K78,L78-K78),[6]skilldef!$C:$D,2,FALSE),"-") &amp; " / " &amp; IFERROR(VLOOKUP(MID(H78,I78,J78-I78),[6]skilldef!$A:$B,2,FALSE),"-")</f>
        <v>- / -</v>
      </c>
      <c r="N78" s="50" t="str">
        <f t="shared" si="67"/>
        <v>[effect:virus, target:unit_all, turn:10, rate:1, val:0.13, animation:enemy_virus]</v>
      </c>
      <c r="O78" s="46" t="str">
        <f>IFERROR(LEFT(N78,FIND("],",N78)+T89),N78)</f>
        <v>[effect:virus, target:unit_all, turn:10, rate:1, val:0.13, animation:enemy_virus]</v>
      </c>
      <c r="P78" s="50">
        <f t="shared" si="56"/>
        <v>9</v>
      </c>
      <c r="Q78" s="50">
        <f t="shared" si="57"/>
        <v>14</v>
      </c>
      <c r="R78" s="50">
        <f t="shared" si="58"/>
        <v>23</v>
      </c>
      <c r="S78" s="50">
        <f t="shared" si="59"/>
        <v>31</v>
      </c>
      <c r="T78" s="50" t="str">
        <f>IFERROR(VLOOKUP(MID(O78,R78,S78-R78),[6]skilldef!$C:$D,2,FALSE),"-") &amp; " / " &amp; IFERROR(VLOOKUP(MID(O78,P78,Q78-P78),[6]skilldef!$A:$B,2,FALSE),"-")</f>
        <v>味方全体に / ウィルス</v>
      </c>
      <c r="U78" s="46" t="str">
        <f t="shared" si="60"/>
        <v>none</v>
      </c>
      <c r="V78" s="50" t="e">
        <f t="shared" si="61"/>
        <v>#VALUE!</v>
      </c>
      <c r="W78" s="50">
        <f t="shared" si="62"/>
        <v>4</v>
      </c>
      <c r="X78" s="50" t="e">
        <f t="shared" si="63"/>
        <v>#VALUE!</v>
      </c>
      <c r="Y78" s="50" t="e">
        <f t="shared" si="64"/>
        <v>#VALUE!</v>
      </c>
      <c r="Z78" s="50" t="str">
        <f>IFERROR(VLOOKUP(MID(U78,X78,Y78-X78),[6]skilldef!$C:$D,2,FALSE),"-") &amp; " / " &amp; IFERROR(VLOOKUP(MID(U78,V78,W78-V78),[6]skilldef!$A:$B,2,FALSE),"-")</f>
        <v>- / -</v>
      </c>
      <c r="AA78" s="49"/>
      <c r="AB78" s="51"/>
      <c r="AC78" s="49"/>
      <c r="AD78" s="116" t="s">
        <v>507</v>
      </c>
    </row>
    <row r="79" spans="1:33" ht="42" customHeight="1" x14ac:dyDescent="0.15">
      <c r="A79" s="201">
        <v>40045601</v>
      </c>
      <c r="B79" s="47" t="str">
        <f t="shared" si="51"/>
        <v>[effect:enemy_message, val1:1.2, val2:2.2],[effect:damage_anti_abnormal, target:unit_all, target_effect01:virus, val1:0.6, val2:0.45]</v>
      </c>
      <c r="C79" s="49">
        <v>3</v>
      </c>
      <c r="D79" s="49" t="s">
        <v>126</v>
      </c>
      <c r="E79" s="50"/>
      <c r="F79" s="50" t="s">
        <v>437</v>
      </c>
      <c r="G79" s="50" t="s">
        <v>331</v>
      </c>
      <c r="H79" s="50" t="str">
        <f t="shared" si="65"/>
        <v>[effect:enemy_message, val1:1.2, val2:2.2]</v>
      </c>
      <c r="I79" s="50">
        <f t="shared" si="66"/>
        <v>9</v>
      </c>
      <c r="J79" s="50">
        <f t="shared" si="53"/>
        <v>22</v>
      </c>
      <c r="K79" s="50" t="e">
        <f t="shared" si="54"/>
        <v>#VALUE!</v>
      </c>
      <c r="L79" s="50">
        <f t="shared" si="55"/>
        <v>32</v>
      </c>
      <c r="M79" s="50" t="str">
        <f>IFERROR(VLOOKUP(MID(H79,K79,L79-K79),[6]skilldef!$C:$D,2,FALSE),"-") &amp; " / " &amp; IFERROR(VLOOKUP(MID(H79,I79,J79-I79),[6]skilldef!$A:$B,2,FALSE),"-")</f>
        <v>- / -</v>
      </c>
      <c r="N79" s="50" t="str">
        <f t="shared" si="67"/>
        <v>[effect:damage_anti_abnormal, target:unit_all, target_effect01:virus, val1:0.6, val2:0.45]</v>
      </c>
      <c r="O79" s="46" t="str">
        <f>IFERROR(LEFT(N79,FIND("],",N79)+T90),N79)</f>
        <v>[effect:damage_anti_abnormal, target:unit_all, target_effect01:virus, val1:0.6, val2:0.45]</v>
      </c>
      <c r="P79" s="50">
        <f t="shared" si="56"/>
        <v>9</v>
      </c>
      <c r="Q79" s="50">
        <f t="shared" si="57"/>
        <v>29</v>
      </c>
      <c r="R79" s="50">
        <f t="shared" si="58"/>
        <v>38</v>
      </c>
      <c r="S79" s="50">
        <f t="shared" si="59"/>
        <v>46</v>
      </c>
      <c r="T79" s="50" t="str">
        <f>IFERROR(VLOOKUP(MID(O79,R79,S79-R79),[6]skilldef!$C:$D,2,FALSE),"-") &amp; " / " &amp; IFERROR(VLOOKUP(MID(O79,P79,Q79-P79),[6]skilldef!$A:$B,2,FALSE),"-")</f>
        <v>味方全体に / -</v>
      </c>
      <c r="U79" s="46" t="str">
        <f t="shared" si="60"/>
        <v>none</v>
      </c>
      <c r="V79" s="50" t="e">
        <f t="shared" si="61"/>
        <v>#VALUE!</v>
      </c>
      <c r="W79" s="50">
        <f t="shared" si="62"/>
        <v>4</v>
      </c>
      <c r="X79" s="50" t="e">
        <f t="shared" si="63"/>
        <v>#VALUE!</v>
      </c>
      <c r="Y79" s="50" t="e">
        <f t="shared" si="64"/>
        <v>#VALUE!</v>
      </c>
      <c r="Z79" s="50" t="str">
        <f>IFERROR(VLOOKUP(MID(U79,X79,Y79-X79),[6]skilldef!$C:$D,2,FALSE),"-") &amp; " / " &amp; IFERROR(VLOOKUP(MID(U79,V79,W79-V79),[6]skilldef!$A:$B,2,FALSE),"-")</f>
        <v>- / -</v>
      </c>
      <c r="AA79" s="49"/>
      <c r="AB79" s="51"/>
      <c r="AC79" s="49"/>
      <c r="AD79" s="116" t="s">
        <v>453</v>
      </c>
    </row>
    <row r="80" spans="1:33" ht="42" customHeight="1" x14ac:dyDescent="0.15">
      <c r="A80" s="201">
        <v>40045602</v>
      </c>
      <c r="B80" s="47" t="str">
        <f t="shared" si="51"/>
        <v>[effect:enemy_message, val1:1.2, val2:1.2],[effect:critical, val:1.5, animation:enemy_critical]</v>
      </c>
      <c r="C80" s="49">
        <v>3</v>
      </c>
      <c r="D80" s="49" t="s">
        <v>126</v>
      </c>
      <c r="E80" s="50"/>
      <c r="F80" s="50" t="s">
        <v>402</v>
      </c>
      <c r="G80" s="50" t="s">
        <v>330</v>
      </c>
      <c r="H80" s="50" t="str">
        <f t="shared" si="65"/>
        <v>[effect:enemy_message, val1:1.2, val2:1.2]</v>
      </c>
      <c r="I80" s="50">
        <f t="shared" si="66"/>
        <v>9</v>
      </c>
      <c r="J80" s="50">
        <f t="shared" si="53"/>
        <v>22</v>
      </c>
      <c r="K80" s="50" t="e">
        <f t="shared" si="54"/>
        <v>#VALUE!</v>
      </c>
      <c r="L80" s="50">
        <f t="shared" si="55"/>
        <v>32</v>
      </c>
      <c r="M80" s="50" t="str">
        <f>IFERROR(VLOOKUP(MID(H80,K80,L80-K80),[6]skilldef!$C:$D,2,FALSE),"-") &amp; " / " &amp; IFERROR(VLOOKUP(MID(H80,I80,J80-I80),[6]skilldef!$A:$B,2,FALSE),"-")</f>
        <v>- / -</v>
      </c>
      <c r="N80" s="50" t="str">
        <f t="shared" si="67"/>
        <v>[effect:critical, val:1.5, animation:enemy_critical]</v>
      </c>
      <c r="O80" s="46" t="str">
        <f>IFERROR(LEFT(N80,FIND("],",N80)+T91),N80)</f>
        <v>[effect:critical, val:1.5, animation:enemy_critical]</v>
      </c>
      <c r="P80" s="50">
        <f t="shared" si="56"/>
        <v>9</v>
      </c>
      <c r="Q80" s="50">
        <f t="shared" si="57"/>
        <v>17</v>
      </c>
      <c r="R80" s="50" t="e">
        <f t="shared" si="58"/>
        <v>#VALUE!</v>
      </c>
      <c r="S80" s="50">
        <f t="shared" si="59"/>
        <v>26</v>
      </c>
      <c r="T80" s="50" t="str">
        <f>IFERROR(VLOOKUP(MID(O80,R80,S80-R80),[6]skilldef!$C:$D,2,FALSE),"-") &amp; " / " &amp; IFERROR(VLOOKUP(MID(O80,P80,Q80-P80),[6]skilldef!$A:$B,2,FALSE),"-")</f>
        <v>- / 大攻撃</v>
      </c>
      <c r="U80" s="46" t="str">
        <f t="shared" si="60"/>
        <v>none</v>
      </c>
      <c r="V80" s="50" t="e">
        <f t="shared" si="61"/>
        <v>#VALUE!</v>
      </c>
      <c r="W80" s="50">
        <f t="shared" si="62"/>
        <v>4</v>
      </c>
      <c r="X80" s="50" t="e">
        <f t="shared" si="63"/>
        <v>#VALUE!</v>
      </c>
      <c r="Y80" s="50" t="e">
        <f t="shared" si="64"/>
        <v>#VALUE!</v>
      </c>
      <c r="Z80" s="50" t="str">
        <f>IFERROR(VLOOKUP(MID(U80,X80,Y80-X80),[6]skilldef!$C:$D,2,FALSE),"-") &amp; " / " &amp; IFERROR(VLOOKUP(MID(U80,V80,W80-V80),[6]skilldef!$A:$B,2,FALSE),"-")</f>
        <v>- / -</v>
      </c>
      <c r="AA80" s="49"/>
      <c r="AB80" s="51"/>
      <c r="AC80" s="49"/>
      <c r="AD80" s="116" t="s">
        <v>373</v>
      </c>
    </row>
    <row r="81" spans="1:32" ht="42" customHeight="1" x14ac:dyDescent="0.15">
      <c r="A81" s="201">
        <v>40045700</v>
      </c>
      <c r="B81" s="47" t="str">
        <f t="shared" si="51"/>
        <v>[effect:enemy_message, val1:1.2, val2:1.2],[effect:dark, target:unit_all, turn:3, animation:enemy_dark]</v>
      </c>
      <c r="C81" s="49">
        <v>3</v>
      </c>
      <c r="D81" s="49" t="s">
        <v>126</v>
      </c>
      <c r="E81" s="50"/>
      <c r="F81" s="50" t="s">
        <v>403</v>
      </c>
      <c r="G81" s="50" t="s">
        <v>366</v>
      </c>
      <c r="H81" s="50" t="str">
        <f t="shared" si="65"/>
        <v>[effect:enemy_message, val1:1.2, val2:1.2]</v>
      </c>
      <c r="I81" s="50">
        <f t="shared" si="66"/>
        <v>9</v>
      </c>
      <c r="J81" s="50">
        <f t="shared" si="53"/>
        <v>22</v>
      </c>
      <c r="K81" s="50" t="e">
        <f t="shared" si="54"/>
        <v>#VALUE!</v>
      </c>
      <c r="L81" s="50">
        <f t="shared" si="55"/>
        <v>32</v>
      </c>
      <c r="M81" s="50" t="str">
        <f>IFERROR(VLOOKUP(MID(H81,K81,L81-K81),[6]skilldef!$C:$D,2,FALSE),"-") &amp; " / " &amp; IFERROR(VLOOKUP(MID(H81,I81,J81-I81),[6]skilldef!$A:$B,2,FALSE),"-")</f>
        <v>- / -</v>
      </c>
      <c r="N81" s="50" t="str">
        <f t="shared" si="67"/>
        <v>[effect:dark, target:unit_all, turn:3, animation:enemy_dark]</v>
      </c>
      <c r="O81" s="46" t="str">
        <f>IFERROR(LEFT(N81,FIND("],",N81)+T93),N81)</f>
        <v>[effect:dark, target:unit_all, turn:3, animation:enemy_dark]</v>
      </c>
      <c r="P81" s="50">
        <f t="shared" si="56"/>
        <v>9</v>
      </c>
      <c r="Q81" s="50">
        <f t="shared" si="57"/>
        <v>13</v>
      </c>
      <c r="R81" s="50">
        <f t="shared" si="58"/>
        <v>22</v>
      </c>
      <c r="S81" s="50">
        <f t="shared" si="59"/>
        <v>30</v>
      </c>
      <c r="T81" s="50" t="str">
        <f>IFERROR(VLOOKUP(MID(O81,R81,S81-R81),[6]skilldef!$C:$D,2,FALSE),"-") &amp; " / " &amp; IFERROR(VLOOKUP(MID(O81,P81,Q81-P81),[6]skilldef!$A:$B,2,FALSE),"-")</f>
        <v>味方全体に / 暗黒</v>
      </c>
      <c r="U81" s="46" t="str">
        <f t="shared" si="60"/>
        <v>none</v>
      </c>
      <c r="V81" s="50" t="e">
        <f t="shared" si="61"/>
        <v>#VALUE!</v>
      </c>
      <c r="W81" s="50">
        <f t="shared" si="62"/>
        <v>4</v>
      </c>
      <c r="X81" s="50" t="e">
        <f t="shared" si="63"/>
        <v>#VALUE!</v>
      </c>
      <c r="Y81" s="50" t="e">
        <f t="shared" si="64"/>
        <v>#VALUE!</v>
      </c>
      <c r="Z81" s="50" t="str">
        <f>IFERROR(VLOOKUP(MID(U81,X81,Y81-X81),[6]skilldef!$C:$D,2,FALSE),"-") &amp; " / " &amp; IFERROR(VLOOKUP(MID(U81,V81,W81-V81),[6]skilldef!$A:$B,2,FALSE),"-")</f>
        <v>- / -</v>
      </c>
      <c r="AA81" s="49"/>
      <c r="AB81" s="51"/>
      <c r="AC81" s="49"/>
      <c r="AD81" s="116" t="s">
        <v>364</v>
      </c>
    </row>
    <row r="82" spans="1:32" ht="42" customHeight="1" x14ac:dyDescent="0.15">
      <c r="A82" s="201">
        <v>40045701</v>
      </c>
      <c r="B82" s="47" t="str">
        <f t="shared" si="51"/>
        <v>[effect:enemy_message, val1:1.2, val2:2.4],[effect:rush, count:1, val:1.0],[effect:force_change_block, new_block:damage, target:block_blue, color:block_red, count:5, val:0.1, animation:change_bock]</v>
      </c>
      <c r="C82" s="49">
        <v>3</v>
      </c>
      <c r="D82" s="49" t="s">
        <v>126</v>
      </c>
      <c r="E82" s="50"/>
      <c r="F82" s="50" t="s">
        <v>414</v>
      </c>
      <c r="G82" s="50" t="s">
        <v>394</v>
      </c>
      <c r="H82" s="50" t="str">
        <f t="shared" si="65"/>
        <v>[effect:enemy_message, val1:1.2, val2:2.4]</v>
      </c>
      <c r="I82" s="50">
        <f t="shared" si="66"/>
        <v>9</v>
      </c>
      <c r="J82" s="50">
        <f t="shared" si="53"/>
        <v>22</v>
      </c>
      <c r="K82" s="50" t="e">
        <f t="shared" si="54"/>
        <v>#VALUE!</v>
      </c>
      <c r="L82" s="50">
        <f t="shared" si="55"/>
        <v>32</v>
      </c>
      <c r="M82" s="50" t="str">
        <f>IFERROR(VLOOKUP(MID(H82,K82,L82-K82),[6]skilldef!$C:$D,2,FALSE),"-") &amp; " / " &amp; IFERROR(VLOOKUP(MID(H82,I82,J82-I82),[6]skilldef!$A:$B,2,FALSE),"-")</f>
        <v>- / -</v>
      </c>
      <c r="N82" s="50" t="str">
        <f t="shared" si="67"/>
        <v>[effect:rush, count:1, val:1.0],[effect:force_change_block, new_block:damage, target:block_blue, color:block_red, count:5, val:0.1, animation:change_bock]</v>
      </c>
      <c r="O82" s="46" t="str">
        <f>IFERROR(LEFT(N82,FIND("],",N82)+T94),N82)</f>
        <v>[effect:rush, count:1, val:1.0],[effect:force_change_block, new_block:damage, target:block_blue, color:block_red, count:5, val:0.1, animation:change_bock]</v>
      </c>
      <c r="P82" s="50">
        <f t="shared" si="56"/>
        <v>9</v>
      </c>
      <c r="Q82" s="50">
        <f t="shared" si="57"/>
        <v>13</v>
      </c>
      <c r="R82" s="50">
        <f t="shared" si="58"/>
        <v>86</v>
      </c>
      <c r="S82" s="50">
        <f t="shared" si="59"/>
        <v>22</v>
      </c>
      <c r="T82" s="50" t="str">
        <f>IFERROR(VLOOKUP(MID(O82,R82,S82-R82),[6]skilldef!$C:$D,2,FALSE),"-") &amp; " / " &amp; IFERROR(VLOOKUP(MID(O82,P82,Q82-P82),[6]skilldef!$A:$B,2,FALSE),"-")</f>
        <v>- / 連続攻撃</v>
      </c>
      <c r="U82" s="46" t="str">
        <f t="shared" si="60"/>
        <v>[effect:force_change_block, new_block:damage, target:block_blue, color:block_red, count:5, val:0.1, animation:change_bock]</v>
      </c>
      <c r="V82" s="50">
        <f t="shared" si="61"/>
        <v>9</v>
      </c>
      <c r="W82" s="50">
        <f t="shared" si="62"/>
        <v>27</v>
      </c>
      <c r="X82" s="50">
        <f t="shared" si="63"/>
        <v>54</v>
      </c>
      <c r="Y82" s="50">
        <f t="shared" si="64"/>
        <v>45</v>
      </c>
      <c r="Z82" s="50" t="str">
        <f>IFERROR(VLOOKUP(MID(U82,X82,Y82-X82),[6]skilldef!$C:$D,2,FALSE),"-") &amp; " / " &amp; IFERROR(VLOOKUP(MID(U82,V82,W82-V82),[6]skilldef!$A:$B,2,FALSE),"-")</f>
        <v>- / -</v>
      </c>
      <c r="AA82" s="49"/>
      <c r="AB82" s="51"/>
      <c r="AC82" s="49"/>
      <c r="AD82" s="116" t="s">
        <v>372</v>
      </c>
    </row>
    <row r="83" spans="1:32" ht="42" customHeight="1" x14ac:dyDescent="0.15">
      <c r="A83" s="201">
        <v>40045702</v>
      </c>
      <c r="B83" s="47" t="str">
        <f t="shared" si="51"/>
        <v>[effect:enemy_message, val1:1.2, val2:1.2],[effect:rush, count:3, val:0.5]</v>
      </c>
      <c r="C83" s="49">
        <v>3</v>
      </c>
      <c r="D83" s="49" t="s">
        <v>126</v>
      </c>
      <c r="E83" s="50"/>
      <c r="F83" s="50" t="s">
        <v>404</v>
      </c>
      <c r="G83" s="50" t="s">
        <v>386</v>
      </c>
      <c r="H83" s="50" t="str">
        <f t="shared" si="65"/>
        <v>[effect:enemy_message, val1:1.2, val2:1.2]</v>
      </c>
      <c r="I83" s="50">
        <f t="shared" si="66"/>
        <v>9</v>
      </c>
      <c r="J83" s="50">
        <f t="shared" si="53"/>
        <v>22</v>
      </c>
      <c r="K83" s="50" t="e">
        <f t="shared" si="54"/>
        <v>#VALUE!</v>
      </c>
      <c r="L83" s="50">
        <f t="shared" si="55"/>
        <v>32</v>
      </c>
      <c r="M83" s="50" t="str">
        <f>IFERROR(VLOOKUP(MID(H83,K83,L83-K83),[6]skilldef!$C:$D,2,FALSE),"-") &amp; " / " &amp; IFERROR(VLOOKUP(MID(H83,I83,J83-I83),[6]skilldef!$A:$B,2,FALSE),"-")</f>
        <v>- / -</v>
      </c>
      <c r="N83" s="50" t="str">
        <f t="shared" si="67"/>
        <v>[effect:rush, count:3, val:0.5]</v>
      </c>
      <c r="O83" s="46" t="str">
        <f>IFERROR(LEFT(N83,FIND("],",N83)+T95),N83)</f>
        <v>[effect:rush, count:3, val:0.5]</v>
      </c>
      <c r="P83" s="50">
        <f t="shared" si="56"/>
        <v>9</v>
      </c>
      <c r="Q83" s="50">
        <f t="shared" si="57"/>
        <v>13</v>
      </c>
      <c r="R83" s="50" t="e">
        <f t="shared" si="58"/>
        <v>#VALUE!</v>
      </c>
      <c r="S83" s="50">
        <f t="shared" si="59"/>
        <v>22</v>
      </c>
      <c r="T83" s="50" t="str">
        <f>IFERROR(VLOOKUP(MID(O83,R83,S83-R83),[6]skilldef!$C:$D,2,FALSE),"-") &amp; " / " &amp; IFERROR(VLOOKUP(MID(O83,P83,Q83-P83),[6]skilldef!$A:$B,2,FALSE),"-")</f>
        <v>- / 連続攻撃</v>
      </c>
      <c r="U83" s="46" t="str">
        <f t="shared" si="60"/>
        <v>none</v>
      </c>
      <c r="V83" s="50" t="e">
        <f t="shared" si="61"/>
        <v>#VALUE!</v>
      </c>
      <c r="W83" s="50">
        <f t="shared" si="62"/>
        <v>4</v>
      </c>
      <c r="X83" s="50" t="e">
        <f t="shared" si="63"/>
        <v>#VALUE!</v>
      </c>
      <c r="Y83" s="50" t="e">
        <f t="shared" si="64"/>
        <v>#VALUE!</v>
      </c>
      <c r="Z83" s="50" t="str">
        <f>IFERROR(VLOOKUP(MID(U83,X83,Y83-X83),[6]skilldef!$C:$D,2,FALSE),"-") &amp; " / " &amp; IFERROR(VLOOKUP(MID(U83,V83,W83-V83),[6]skilldef!$A:$B,2,FALSE),"-")</f>
        <v>- / -</v>
      </c>
      <c r="AA83" s="49"/>
      <c r="AB83" s="51"/>
      <c r="AC83" s="49"/>
      <c r="AD83" s="116" t="s">
        <v>374</v>
      </c>
    </row>
    <row r="84" spans="1:32" ht="60" customHeight="1" x14ac:dyDescent="0.15">
      <c r="A84" s="201">
        <v>40045800</v>
      </c>
      <c r="B84" s="47" t="str">
        <f t="shared" si="51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84" s="49">
        <v>3</v>
      </c>
      <c r="D84" s="49" t="s">
        <v>126</v>
      </c>
      <c r="E84" s="50" t="s">
        <v>525</v>
      </c>
      <c r="F84" s="50" t="s">
        <v>441</v>
      </c>
      <c r="G84" s="50" t="s">
        <v>635</v>
      </c>
      <c r="H84" s="50" t="str">
        <f t="shared" si="65"/>
        <v>[effect:enemy_message, val1:1.2, val2:6.0]</v>
      </c>
      <c r="I84" s="50">
        <f t="shared" si="66"/>
        <v>9</v>
      </c>
      <c r="J84" s="50">
        <f t="shared" si="53"/>
        <v>22</v>
      </c>
      <c r="K84" s="50" t="e">
        <f t="shared" si="54"/>
        <v>#VALUE!</v>
      </c>
      <c r="L84" s="50">
        <f t="shared" si="55"/>
        <v>32</v>
      </c>
      <c r="M84" s="50" t="str">
        <f>IFERROR(VLOOKUP(MID(H84,K84,L84-K84),[6]skilldef!$C:$D,2,FALSE),"-") &amp; " / " &amp; IFERROR(VLOOKUP(MID(H84,I84,J84-I84),[6]skilldef!$A:$B,2,FALSE),"-")</f>
        <v>- / -</v>
      </c>
      <c r="N84" s="50" t="str">
        <f t="shared" si="67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84" s="46" t="str">
        <f>IFERROR(LEFT(N84,FIND("],",N84)+T96),N84)</f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P84" s="50">
        <f t="shared" si="56"/>
        <v>9</v>
      </c>
      <c r="Q84" s="50">
        <f t="shared" si="57"/>
        <v>18</v>
      </c>
      <c r="R84" s="50">
        <f t="shared" si="58"/>
        <v>27</v>
      </c>
      <c r="S84" s="50">
        <f t="shared" si="59"/>
        <v>33</v>
      </c>
      <c r="T84" s="50" t="str">
        <f>IFERROR(VLOOKUP(MID(O84,R84,S84-R84),[6]skilldef!$C:$D,2,FALSE),"-") &amp; " / " &amp; IFERROR(VLOOKUP(MID(O84,P84,Q84-P84),[6]skilldef!$A:$B,2,FALSE),"-")</f>
        <v>自分自身に / 状態異常耐性</v>
      </c>
      <c r="U84" s="46" t="str">
        <f t="shared" si="60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84" s="50">
        <f t="shared" si="61"/>
        <v>9</v>
      </c>
      <c r="W84" s="50">
        <f t="shared" si="62"/>
        <v>23</v>
      </c>
      <c r="X84" s="50">
        <f t="shared" si="63"/>
        <v>83</v>
      </c>
      <c r="Y84" s="50">
        <f t="shared" si="64"/>
        <v>32</v>
      </c>
      <c r="Z84" s="50" t="str">
        <f>IFERROR(VLOOKUP(MID(U84,X84,Y84-X84),[6]skilldef!$C:$D,2,FALSE),"-") &amp; " / " &amp; IFERROR(VLOOKUP(MID(U84,V84,W84-V84),[6]skilldef!$A:$B,2,FALSE),"-")</f>
        <v>- / 割合ダメージ</v>
      </c>
      <c r="AA84" s="49"/>
      <c r="AB84" s="51"/>
      <c r="AC84" s="49"/>
      <c r="AD84" s="116" t="s">
        <v>527</v>
      </c>
    </row>
    <row r="85" spans="1:32" ht="149" customHeight="1" x14ac:dyDescent="0.2">
      <c r="A85" s="201">
        <v>40045801</v>
      </c>
      <c r="B85" s="47" t="str">
        <f t="shared" si="51"/>
        <v>[effect:enemy_message, val1:1.2, val2:3.5],[effect:force_change_block, new_block:crack_bomb, target:block_all, color:block_heart, count:0, val:13, animation:change_block],[effect:change_range_block, block_change:1, base_type:0, square_count:7, position01:0, value_h01:7, value_w01:1, position02:16, value_h02:5, value_w02:1, position03:4, value_h03:5, value_w03:1, position04:6, value_h04:7, value_w04:1, new_block:damage, target:block_all, ignore01:block_negative, color:block_green, count:20, val:0.04, animation:change_range_block]</v>
      </c>
      <c r="C85" s="49">
        <v>3</v>
      </c>
      <c r="D85" s="49" t="s">
        <v>126</v>
      </c>
      <c r="E85" s="50"/>
      <c r="F85" s="50" t="s">
        <v>467</v>
      </c>
      <c r="G85" s="50" t="s">
        <v>574</v>
      </c>
      <c r="H85" s="50" t="str">
        <f t="shared" si="65"/>
        <v>[effect:enemy_message, val1:1.2, val2:3.5]</v>
      </c>
      <c r="I85" s="50">
        <f t="shared" si="66"/>
        <v>9</v>
      </c>
      <c r="J85" s="50">
        <f t="shared" si="53"/>
        <v>22</v>
      </c>
      <c r="K85" s="50" t="e">
        <f t="shared" si="54"/>
        <v>#VALUE!</v>
      </c>
      <c r="L85" s="50">
        <f t="shared" si="55"/>
        <v>32</v>
      </c>
      <c r="M85" s="50" t="str">
        <f>IFERROR(VLOOKUP(MID(H85,K85,L85-K85),[6]skilldef!$C:$D,2,FALSE),"-") &amp; " / " &amp; IFERROR(VLOOKUP(MID(H85,I85,J85-I85),[6]skilldef!$A:$B,2,FALSE),"-")</f>
        <v>- / -</v>
      </c>
      <c r="N85" s="50" t="str">
        <f t="shared" si="67"/>
        <v>[effect:force_change_block, new_block:crack_bomb, target:block_all, color:block_heart, count:0, val:13, animation:change_block],[effect:change_range_block, block_change:1, base_type:0, square_count:7, position01:0, value_h01:7, value_w01:1, position02:16, value_h02:5, value_w02:1, position03:4, value_h03:5, value_w03:1, position04:6, value_h04:7, value_w04:1, new_block:damage, target:block_all, ignore01:block_negative, color:block_green, count:20, val:0.04, animation:change_range_block]</v>
      </c>
      <c r="O85" s="46" t="str">
        <f t="shared" ref="O85:O87" si="69">IFERROR(LEFT(N85,FIND("],",N85)+T97),N85)</f>
        <v>[effect:force_change_block, new_block:crack_bomb, target:block_all, color:block_heart, count:0, val:13, animation:change_block],[effect:change_range_block, block_change:1, base_type:0, square_count:7, position01:0, value_h01:7, value_w01:1, position02:16, value_h02:5, value_w02:1, position03:4, value_h03:5, value_w03:1, position04:6, value_h04:7, value_w04:1, new_block:damage, target:block_all, ignore01:block_negative, color:block_green, count:20, val:0.04, animation:change_range_block]</v>
      </c>
      <c r="P85" s="50">
        <f t="shared" si="56"/>
        <v>9</v>
      </c>
      <c r="Q85" s="50">
        <f t="shared" si="57"/>
        <v>27</v>
      </c>
      <c r="R85" s="50">
        <f t="shared" si="58"/>
        <v>58</v>
      </c>
      <c r="S85" s="50">
        <f t="shared" si="59"/>
        <v>49</v>
      </c>
      <c r="T85" s="50" t="str">
        <f>IFERROR(VLOOKUP(MID(O85,R85,S85-R85),[6]skilldef!$C:$D,2,FALSE),"-") &amp; " / " &amp; IFERROR(VLOOKUP(MID(O85,P85,Q85-P85),[6]skilldef!$A:$B,2,FALSE),"-")</f>
        <v>- / -</v>
      </c>
      <c r="U85" s="46" t="str">
        <f t="shared" si="60"/>
        <v>[effect:change_range_block, block_change:1, base_type:0, square_count:7, position01:0, value_h01:7, value_w01:1, position02:16, value_h02:5, value_w02:1, position03:4, value_h03:5, value_w03:1, position04:6, value_h04:7, value_w04:1, new_block:damage, target:block_all, ignore01:block_negative, color:block_green, count:20, val:0.04, animation:change_range_block]</v>
      </c>
      <c r="V85" s="50">
        <f t="shared" si="61"/>
        <v>9</v>
      </c>
      <c r="W85" s="50">
        <f t="shared" si="62"/>
        <v>27</v>
      </c>
      <c r="X85" s="50">
        <f t="shared" si="63"/>
        <v>260</v>
      </c>
      <c r="Y85" s="50">
        <f t="shared" si="64"/>
        <v>43</v>
      </c>
      <c r="Z85" s="50" t="str">
        <f>IFERROR(VLOOKUP(MID(U85,X85,Y85-X85),[6]skilldef!$C:$D,2,FALSE),"-") &amp; " / " &amp; IFERROR(VLOOKUP(MID(U85,V85,W85-V85),[6]skilldef!$A:$B,2,FALSE),"-")</f>
        <v>- / -</v>
      </c>
      <c r="AA85" s="49"/>
      <c r="AB85" s="51"/>
      <c r="AC85" s="49"/>
      <c r="AD85" s="116" t="s">
        <v>640</v>
      </c>
      <c r="AF85" s="139"/>
    </row>
    <row r="86" spans="1:32" ht="42" customHeight="1" x14ac:dyDescent="0.15">
      <c r="A86" s="201">
        <v>40045802</v>
      </c>
      <c r="B86" s="47" t="str">
        <f t="shared" si="51"/>
        <v>[effect:enemy_message, val1:1.2, val2:2.2],[effect:damage_anti_abnormal, target:unit_all, target_effect01:virus, val1:1.0, val2:0.5]</v>
      </c>
      <c r="C86" s="49">
        <v>3</v>
      </c>
      <c r="D86" s="49" t="s">
        <v>126</v>
      </c>
      <c r="E86" s="50"/>
      <c r="F86" s="50" t="s">
        <v>469</v>
      </c>
      <c r="G86" s="50" t="s">
        <v>368</v>
      </c>
      <c r="H86" s="50" t="str">
        <f t="shared" si="65"/>
        <v>[effect:enemy_message, val1:1.2, val2:2.2]</v>
      </c>
      <c r="I86" s="50">
        <f t="shared" si="66"/>
        <v>9</v>
      </c>
      <c r="J86" s="50">
        <f t="shared" si="53"/>
        <v>22</v>
      </c>
      <c r="K86" s="50" t="e">
        <f t="shared" si="54"/>
        <v>#VALUE!</v>
      </c>
      <c r="L86" s="50">
        <f t="shared" si="55"/>
        <v>32</v>
      </c>
      <c r="M86" s="50" t="str">
        <f>IFERROR(VLOOKUP(MID(H86,K86,L86-K86),[6]skilldef!$C:$D,2,FALSE),"-") &amp; " / " &amp; IFERROR(VLOOKUP(MID(H86,I86,J86-I86),[6]skilldef!$A:$B,2,FALSE),"-")</f>
        <v>- / -</v>
      </c>
      <c r="N86" s="50" t="str">
        <f t="shared" si="67"/>
        <v>[effect:damage_anti_abnormal, target:unit_all, target_effect01:virus, val1:1.0, val2:0.5]</v>
      </c>
      <c r="O86" s="46" t="str">
        <f t="shared" si="69"/>
        <v>[effect:damage_anti_abnormal, target:unit_all, target_effect01:virus, val1:1.0, val2:0.5]</v>
      </c>
      <c r="P86" s="50">
        <f t="shared" si="56"/>
        <v>9</v>
      </c>
      <c r="Q86" s="50">
        <f t="shared" si="57"/>
        <v>29</v>
      </c>
      <c r="R86" s="50">
        <f t="shared" si="58"/>
        <v>38</v>
      </c>
      <c r="S86" s="50">
        <f t="shared" si="59"/>
        <v>46</v>
      </c>
      <c r="T86" s="50" t="str">
        <f>IFERROR(VLOOKUP(MID(O86,R86,S86-R86),[6]skilldef!$C:$D,2,FALSE),"-") &amp; " / " &amp; IFERROR(VLOOKUP(MID(O86,P86,Q86-P86),[6]skilldef!$A:$B,2,FALSE),"-")</f>
        <v>味方全体に / -</v>
      </c>
      <c r="U86" s="46" t="str">
        <f t="shared" si="60"/>
        <v>none</v>
      </c>
      <c r="V86" s="50" t="e">
        <f t="shared" si="61"/>
        <v>#VALUE!</v>
      </c>
      <c r="W86" s="50">
        <f t="shared" si="62"/>
        <v>4</v>
      </c>
      <c r="X86" s="50" t="e">
        <f t="shared" si="63"/>
        <v>#VALUE!</v>
      </c>
      <c r="Y86" s="50" t="e">
        <f t="shared" si="64"/>
        <v>#VALUE!</v>
      </c>
      <c r="Z86" s="50" t="str">
        <f>IFERROR(VLOOKUP(MID(U86,X86,Y86-X86),[6]skilldef!$C:$D,2,FALSE),"-") &amp; " / " &amp; IFERROR(VLOOKUP(MID(U86,V86,W86-V86),[6]skilldef!$A:$B,2,FALSE),"-")</f>
        <v>- / -</v>
      </c>
      <c r="AA86" s="49"/>
      <c r="AB86" s="51"/>
      <c r="AC86" s="49"/>
      <c r="AD86" s="116" t="s">
        <v>375</v>
      </c>
    </row>
    <row r="87" spans="1:32" ht="42" customHeight="1" x14ac:dyDescent="0.15">
      <c r="A87" s="201">
        <v>40045803</v>
      </c>
      <c r="B87" s="47" t="str">
        <f t="shared" si="51"/>
        <v>[effect:enemy_message, val1:1.2, val2:2.2],[effect:damage_anti_abnormal, target:unit_all, target_effect01:virus, val1:1.0, val2:0.5]</v>
      </c>
      <c r="C87" s="49">
        <v>3</v>
      </c>
      <c r="D87" s="49" t="s">
        <v>126</v>
      </c>
      <c r="E87" s="50"/>
      <c r="F87" s="50" t="s">
        <v>469</v>
      </c>
      <c r="G87" s="50" t="s">
        <v>368</v>
      </c>
      <c r="H87" s="50" t="str">
        <f t="shared" si="65"/>
        <v>[effect:enemy_message, val1:1.2, val2:2.2]</v>
      </c>
      <c r="I87" s="50">
        <f t="shared" si="66"/>
        <v>9</v>
      </c>
      <c r="J87" s="50">
        <f t="shared" ref="J87" si="70">IFERROR(FIND(",",H87),LEN(H87))</f>
        <v>22</v>
      </c>
      <c r="K87" s="50" t="e">
        <f t="shared" ref="K87" si="71">FIND("target:",H87)+7</f>
        <v>#VALUE!</v>
      </c>
      <c r="L87" s="50">
        <f t="shared" ref="L87" si="72">FIND(",",H87,J87+1)</f>
        <v>32</v>
      </c>
      <c r="M87" s="50" t="str">
        <f>IFERROR(VLOOKUP(MID(H87,K87,L87-K87),[6]skilldef!$C:$D,2,FALSE),"-") &amp; " / " &amp; IFERROR(VLOOKUP(MID(H87,I87,J87-I87),[6]skilldef!$A:$B,2,FALSE),"-")</f>
        <v>- / -</v>
      </c>
      <c r="N87" s="50" t="str">
        <f t="shared" si="67"/>
        <v>[effect:damage_anti_abnormal, target:unit_all, target_effect01:virus, val1:1.0, val2:0.5]</v>
      </c>
      <c r="O87" s="46" t="str">
        <f t="shared" si="69"/>
        <v>[effect:damage_anti_abnormal, target:unit_all, target_effect01:virus, val1:1.0, val2:0.5]</v>
      </c>
      <c r="P87" s="50">
        <f t="shared" si="56"/>
        <v>9</v>
      </c>
      <c r="Q87" s="50">
        <f t="shared" ref="Q87" si="73">IFERROR(FIND(",",O87),LEN(O87))</f>
        <v>29</v>
      </c>
      <c r="R87" s="50">
        <f t="shared" ref="R87" si="74">FIND("target:",O87)+7</f>
        <v>38</v>
      </c>
      <c r="S87" s="50">
        <f t="shared" ref="S87" si="75">FIND(",",O87,Q87+1)</f>
        <v>46</v>
      </c>
      <c r="T87" s="50" t="str">
        <f>IFERROR(VLOOKUP(MID(O87,R87,S87-R87),[6]skilldef!$C:$D,2,FALSE),"-") &amp; " / " &amp; IFERROR(VLOOKUP(MID(O87,P87,Q87-P87),[6]skilldef!$A:$B,2,FALSE),"-")</f>
        <v>味方全体に / -</v>
      </c>
      <c r="U87" s="46" t="str">
        <f t="shared" ref="U87" si="76">IFERROR(RIGHT(N87,LEN(N87)-FIND("],",N87)-1),"none")</f>
        <v>none</v>
      </c>
      <c r="V87" s="50" t="e">
        <f t="shared" si="61"/>
        <v>#VALUE!</v>
      </c>
      <c r="W87" s="50">
        <f t="shared" ref="W87" si="77">IFERROR(FIND(",",U87),LEN(U87))</f>
        <v>4</v>
      </c>
      <c r="X87" s="50" t="e">
        <f t="shared" ref="X87" si="78">FIND("target:",U87)+7</f>
        <v>#VALUE!</v>
      </c>
      <c r="Y87" s="50" t="e">
        <f t="shared" ref="Y87" si="79">FIND(",",U87,W87+1)</f>
        <v>#VALUE!</v>
      </c>
      <c r="Z87" s="50" t="str">
        <f>IFERROR(VLOOKUP(MID(U87,X87,Y87-X87),[6]skilldef!$C:$D,2,FALSE),"-") &amp; " / " &amp; IFERROR(VLOOKUP(MID(U87,V87,W87-V87),[6]skilldef!$A:$B,2,FALSE),"-")</f>
        <v>- / -</v>
      </c>
      <c r="AA87" s="49"/>
      <c r="AB87" s="51"/>
      <c r="AC87" s="49"/>
      <c r="AD87" s="116" t="s">
        <v>375</v>
      </c>
    </row>
    <row r="88" spans="1:32" ht="42" customHeight="1" x14ac:dyDescent="0.15">
      <c r="A88" s="201">
        <v>40045804</v>
      </c>
      <c r="B88" s="47" t="str">
        <f t="shared" si="51"/>
        <v>[effect:enemy_message, val1:1.2, val2:1.9],[effect:force_change_block, new_block:damage, target:block_blue, color:block_green, count:5, val:0.08, animation:change_bock]</v>
      </c>
      <c r="C88" s="49">
        <v>3</v>
      </c>
      <c r="D88" s="49" t="s">
        <v>126</v>
      </c>
      <c r="E88" s="50"/>
      <c r="F88" s="50" t="s">
        <v>638</v>
      </c>
      <c r="G88" s="50" t="s">
        <v>457</v>
      </c>
      <c r="H88" s="50" t="str">
        <f t="shared" si="65"/>
        <v>[effect:enemy_message, val1:1.2, val2:1.9]</v>
      </c>
      <c r="I88" s="50">
        <f t="shared" si="66"/>
        <v>9</v>
      </c>
      <c r="J88" s="50">
        <f t="shared" si="53"/>
        <v>22</v>
      </c>
      <c r="K88" s="50" t="e">
        <f t="shared" si="54"/>
        <v>#VALUE!</v>
      </c>
      <c r="L88" s="50">
        <f t="shared" si="55"/>
        <v>32</v>
      </c>
      <c r="M88" s="50" t="str">
        <f>IFERROR(VLOOKUP(MID(H88,K88,L88-K88),[6]skilldef!$C:$D,2,FALSE),"-") &amp; " / " &amp; IFERROR(VLOOKUP(MID(H88,I88,J88-I88),[6]skilldef!$A:$B,2,FALSE),"-")</f>
        <v>- / -</v>
      </c>
      <c r="N88" s="50" t="str">
        <f t="shared" si="67"/>
        <v>[effect:force_change_block, new_block:damage, target:block_blue, color:block_green, count:5, val:0.08, animation:change_bock]</v>
      </c>
      <c r="O88" s="46" t="str">
        <f>IFERROR(LEFT(N88,FIND("],",N88)+T99),N88)</f>
        <v>[effect:force_change_block, new_block:damage, target:block_blue, color:block_green, count:5, val:0.08, animation:change_bock]</v>
      </c>
      <c r="P88" s="50">
        <f t="shared" si="56"/>
        <v>9</v>
      </c>
      <c r="Q88" s="50">
        <f t="shared" si="57"/>
        <v>27</v>
      </c>
      <c r="R88" s="50">
        <f t="shared" si="58"/>
        <v>54</v>
      </c>
      <c r="S88" s="50">
        <f t="shared" si="59"/>
        <v>45</v>
      </c>
      <c r="T88" s="50" t="str">
        <f>IFERROR(VLOOKUP(MID(O88,R88,S88-R88),[6]skilldef!$C:$D,2,FALSE),"-") &amp; " / " &amp; IFERROR(VLOOKUP(MID(O88,P88,Q88-P88),[6]skilldef!$A:$B,2,FALSE),"-")</f>
        <v>- / -</v>
      </c>
      <c r="U88" s="46" t="str">
        <f t="shared" si="60"/>
        <v>none</v>
      </c>
      <c r="V88" s="50" t="e">
        <f t="shared" si="61"/>
        <v>#VALUE!</v>
      </c>
      <c r="W88" s="50">
        <f t="shared" si="62"/>
        <v>4</v>
      </c>
      <c r="X88" s="50" t="e">
        <f t="shared" si="63"/>
        <v>#VALUE!</v>
      </c>
      <c r="Y88" s="50" t="e">
        <f t="shared" si="64"/>
        <v>#VALUE!</v>
      </c>
      <c r="Z88" s="50" t="str">
        <f>IFERROR(VLOOKUP(MID(U88,X88,Y88-X88),[6]skilldef!$C:$D,2,FALSE),"-") &amp; " / " &amp; IFERROR(VLOOKUP(MID(U88,V88,W88-V88),[6]skilldef!$A:$B,2,FALSE),"-")</f>
        <v>- / -</v>
      </c>
      <c r="AA88" s="49"/>
      <c r="AB88" s="51"/>
      <c r="AC88" s="49"/>
      <c r="AD88" s="116" t="s">
        <v>458</v>
      </c>
    </row>
    <row r="89" spans="1:32" ht="42" customHeight="1" x14ac:dyDescent="0.15">
      <c r="A89" s="201">
        <v>40045805</v>
      </c>
      <c r="B89" s="47" t="str">
        <f t="shared" ref="B89:B110" si="80">"[effect:enemy_message, val1:"&amp;TEXT(IF(TEXT(F89,0)="[表示しない]", "0", IF(LEN(SUBSTITUTE(F89,CHAR(13),""))*0.1&lt;1.2, 1.2, LEN(SUBSTITUTE(F89,CHAR(13),""))*0.1)), "0.0")&amp;", val2:"&amp;TEXT(IF(TEXT(G89,0)="[表示しない]", "0", IF(LEN(SUBSTITUTE(G89,CHAR(13),""))*0.1&lt;1.2, 1.2, LEN(SUBSTITUTE(G89,CHAR(13),""))*0.1)),"0.0")&amp;"]"&amp;IF(LEN(AD89)&gt;0, ","&amp;SUBSTITUTE(AD89,CHAR(13),""),SUBSTITUTE(AD89,CHAR(13),""))</f>
        <v>[effect:enemy_message, val1:1.4, val2:1.6],[effect:break_attack_fix, target:unit_all, val:150, lowest_val:1750, count:-1, block01:damage]</v>
      </c>
      <c r="C89" s="49">
        <v>3</v>
      </c>
      <c r="D89" s="49" t="s">
        <v>126</v>
      </c>
      <c r="E89" s="50"/>
      <c r="F89" s="50" t="s">
        <v>443</v>
      </c>
      <c r="G89" s="48" t="s">
        <v>324</v>
      </c>
      <c r="H89" s="50" t="str">
        <f t="shared" si="65"/>
        <v>[effect:enemy_message, val1:1.4, val2:1.6]</v>
      </c>
      <c r="I89" s="50">
        <f t="shared" si="66"/>
        <v>9</v>
      </c>
      <c r="J89" s="50">
        <f t="shared" si="53"/>
        <v>22</v>
      </c>
      <c r="K89" s="50" t="e">
        <f t="shared" si="54"/>
        <v>#VALUE!</v>
      </c>
      <c r="L89" s="50">
        <f t="shared" si="55"/>
        <v>32</v>
      </c>
      <c r="M89" s="50" t="str">
        <f>IFERROR(VLOOKUP(MID(H89,K89,L89-K89),[6]skilldef!$C:$D,2,FALSE),"-") &amp; " / " &amp; IFERROR(VLOOKUP(MID(H89,I89,J89-I89),[6]skilldef!$A:$B,2,FALSE),"-")</f>
        <v>- / -</v>
      </c>
      <c r="N89" s="50" t="str">
        <f t="shared" si="67"/>
        <v>[effect:break_attack_fix, target:unit_all, val:150, lowest_val:1750, count:-1, block01:damage]</v>
      </c>
      <c r="O89" s="46" t="str">
        <f>IFERROR(LEFT(N89,FIND("],",N89)+T100),N89)</f>
        <v>[effect:break_attack_fix, target:unit_all, val:150, lowest_val:1750, count:-1, block01:damage]</v>
      </c>
      <c r="P89" s="50">
        <f t="shared" si="56"/>
        <v>9</v>
      </c>
      <c r="Q89" s="50">
        <f t="shared" si="57"/>
        <v>25</v>
      </c>
      <c r="R89" s="50">
        <f t="shared" si="58"/>
        <v>34</v>
      </c>
      <c r="S89" s="50">
        <f t="shared" si="59"/>
        <v>42</v>
      </c>
      <c r="T89" s="50" t="str">
        <f>IFERROR(VLOOKUP(MID(O89,R89,S89-R89),[6]skilldef!$C:$D,2,FALSE),"-") &amp; " / " &amp; IFERROR(VLOOKUP(MID(O89,P89,Q89-P89),[6]skilldef!$A:$B,2,FALSE),"-")</f>
        <v>味方全体に / -</v>
      </c>
      <c r="U89" s="46" t="str">
        <f t="shared" si="60"/>
        <v>none</v>
      </c>
      <c r="V89" s="50" t="e">
        <f t="shared" si="61"/>
        <v>#VALUE!</v>
      </c>
      <c r="W89" s="50">
        <f t="shared" si="62"/>
        <v>4</v>
      </c>
      <c r="X89" s="50" t="e">
        <f t="shared" si="63"/>
        <v>#VALUE!</v>
      </c>
      <c r="Y89" s="50" t="e">
        <f t="shared" si="64"/>
        <v>#VALUE!</v>
      </c>
      <c r="Z89" s="50" t="str">
        <f>IFERROR(VLOOKUP(MID(U89,X89,Y89-X89),[6]skilldef!$C:$D,2,FALSE),"-") &amp; " / " &amp; IFERROR(VLOOKUP(MID(U89,V89,W89-V89),[6]skilldef!$A:$B,2,FALSE),"-")</f>
        <v>- / -</v>
      </c>
      <c r="AA89" s="49"/>
      <c r="AB89" s="51"/>
      <c r="AC89" s="49"/>
      <c r="AD89" s="117" t="s">
        <v>512</v>
      </c>
    </row>
    <row r="90" spans="1:32" ht="42" customHeight="1" x14ac:dyDescent="0.15">
      <c r="A90" s="201">
        <v>40045806</v>
      </c>
      <c r="B90" s="47" t="str">
        <f t="shared" si="80"/>
        <v>[effect:enemy_message, val1:1.2, val2:1.2],[effect:rush, count:4, val:0.6]</v>
      </c>
      <c r="C90" s="49">
        <v>3</v>
      </c>
      <c r="D90" s="49" t="s">
        <v>126</v>
      </c>
      <c r="E90" s="50"/>
      <c r="F90" s="50" t="s">
        <v>442</v>
      </c>
      <c r="G90" s="50" t="s">
        <v>387</v>
      </c>
      <c r="H90" s="50" t="str">
        <f t="shared" si="65"/>
        <v>[effect:enemy_message, val1:1.2, val2:1.2]</v>
      </c>
      <c r="I90" s="50">
        <f t="shared" si="66"/>
        <v>9</v>
      </c>
      <c r="J90" s="50">
        <f t="shared" si="53"/>
        <v>22</v>
      </c>
      <c r="K90" s="50" t="e">
        <f t="shared" si="54"/>
        <v>#VALUE!</v>
      </c>
      <c r="L90" s="50">
        <f t="shared" si="55"/>
        <v>32</v>
      </c>
      <c r="M90" s="50" t="str">
        <f>IFERROR(VLOOKUP(MID(H90,K90,L90-K90),[6]skilldef!$C:$D,2,FALSE),"-") &amp; " / " &amp; IFERROR(VLOOKUP(MID(H90,I90,J90-I90),[6]skilldef!$A:$B,2,FALSE),"-")</f>
        <v>- / -</v>
      </c>
      <c r="N90" s="50" t="str">
        <f t="shared" si="67"/>
        <v>[effect:rush, count:4, val:0.6]</v>
      </c>
      <c r="O90" s="46" t="str">
        <f>IFERROR(LEFT(N90,FIND("],",N90)+T101),N90)</f>
        <v>[effect:rush, count:4, val:0.6]</v>
      </c>
      <c r="P90" s="50">
        <f t="shared" si="56"/>
        <v>9</v>
      </c>
      <c r="Q90" s="50">
        <f t="shared" si="57"/>
        <v>13</v>
      </c>
      <c r="R90" s="50" t="e">
        <f t="shared" si="58"/>
        <v>#VALUE!</v>
      </c>
      <c r="S90" s="50">
        <f t="shared" si="59"/>
        <v>22</v>
      </c>
      <c r="T90" s="50" t="str">
        <f>IFERROR(VLOOKUP(MID(O90,R90,S90-R90),[6]skilldef!$C:$D,2,FALSE),"-") &amp; " / " &amp; IFERROR(VLOOKUP(MID(O90,P90,Q90-P90),[6]skilldef!$A:$B,2,FALSE),"-")</f>
        <v>- / 連続攻撃</v>
      </c>
      <c r="U90" s="46" t="str">
        <f t="shared" si="60"/>
        <v>none</v>
      </c>
      <c r="V90" s="50" t="e">
        <f t="shared" si="61"/>
        <v>#VALUE!</v>
      </c>
      <c r="W90" s="50">
        <f t="shared" si="62"/>
        <v>4</v>
      </c>
      <c r="X90" s="50" t="e">
        <f t="shared" si="63"/>
        <v>#VALUE!</v>
      </c>
      <c r="Y90" s="50" t="e">
        <f t="shared" si="64"/>
        <v>#VALUE!</v>
      </c>
      <c r="Z90" s="50" t="str">
        <f>IFERROR(VLOOKUP(MID(U90,X90,Y90-X90),[6]skilldef!$C:$D,2,FALSE),"-") &amp; " / " &amp; IFERROR(VLOOKUP(MID(U90,V90,W90-V90),[6]skilldef!$A:$B,2,FALSE),"-")</f>
        <v>- / -</v>
      </c>
      <c r="AA90" s="49"/>
      <c r="AB90" s="51"/>
      <c r="AC90" s="49"/>
      <c r="AD90" s="116" t="s">
        <v>380</v>
      </c>
    </row>
    <row r="91" spans="1:32" ht="42" customHeight="1" x14ac:dyDescent="0.15">
      <c r="A91" s="201">
        <v>40045810</v>
      </c>
      <c r="B91" s="47" t="str">
        <f t="shared" si="80"/>
        <v>[effect:enemy_message, val1:1.2, val2:5.1],[effect:tolerance, target:myself, turn:-1, count:-1, tolerance_effect:all, animation:enemy_tolerance],[effect:degrade_unit, target:unit_all, turn:5, status:action, val:1, calc:add, animation:enemy_tap_down],[effect:hungup, target:unit_hp, turn:8, rate:1, animation:hungup01]</v>
      </c>
      <c r="C91" s="49">
        <v>3</v>
      </c>
      <c r="D91" s="49" t="s">
        <v>126</v>
      </c>
      <c r="E91" s="50" t="s">
        <v>524</v>
      </c>
      <c r="F91" s="50" t="s">
        <v>468</v>
      </c>
      <c r="G91" s="50" t="s">
        <v>576</v>
      </c>
      <c r="H91" s="50" t="str">
        <f t="shared" si="65"/>
        <v>[effect:enemy_message, val1:1.2, val2:5.1]</v>
      </c>
      <c r="I91" s="50">
        <f t="shared" si="66"/>
        <v>9</v>
      </c>
      <c r="J91" s="50">
        <f t="shared" si="53"/>
        <v>22</v>
      </c>
      <c r="K91" s="50" t="e">
        <f t="shared" si="54"/>
        <v>#VALUE!</v>
      </c>
      <c r="L91" s="50">
        <f t="shared" si="55"/>
        <v>32</v>
      </c>
      <c r="M91" s="50" t="str">
        <f>IFERROR(VLOOKUP(MID(H91,K91,L91-K91),[6]skilldef!$C:$D,2,FALSE),"-") &amp; " / " &amp; IFERROR(VLOOKUP(MID(H91,I91,J91-I91),[6]skilldef!$A:$B,2,FALSE),"-")</f>
        <v>- / -</v>
      </c>
      <c r="N91" s="50" t="str">
        <f t="shared" si="67"/>
        <v>[effect:tolerance, target:myself, turn:-1, count:-1, tolerance_effect:all, animation:enemy_tolerance],[effect:degrade_unit, target:unit_all, turn:5, status:action, val:1, calc:add, animation:enemy_tap_down],[effect:hungup, target:unit_hp, turn:8, rate:1, animation:hungup01]</v>
      </c>
      <c r="O91" s="46" t="str">
        <f>IFERROR(LEFT(N91,FIND("],",N91)+T102),N91)</f>
        <v>[effect:tolerance, target:myself, turn:-1, count:-1, tolerance_effect:all, animation:enemy_tolerance],[effect:degrade_unit, target:unit_all, turn:5, status:action, val:1, calc:add, animation:enemy_tap_down],[effect:hungup, target:unit_hp, turn:8, rate:1, animation:hungup01]</v>
      </c>
      <c r="P91" s="50">
        <f t="shared" si="56"/>
        <v>9</v>
      </c>
      <c r="Q91" s="50">
        <f t="shared" si="57"/>
        <v>18</v>
      </c>
      <c r="R91" s="50">
        <f t="shared" si="58"/>
        <v>27</v>
      </c>
      <c r="S91" s="50">
        <f t="shared" si="59"/>
        <v>33</v>
      </c>
      <c r="T91" s="50" t="str">
        <f>IFERROR(VLOOKUP(MID(O91,R91,S91-R91),[6]skilldef!$C:$D,2,FALSE),"-") &amp; " / " &amp; IFERROR(VLOOKUP(MID(O91,P91,Q91-P91),[6]skilldef!$A:$B,2,FALSE),"-")</f>
        <v>自分自身に / 状態異常耐性</v>
      </c>
      <c r="U91" s="46" t="str">
        <f t="shared" si="60"/>
        <v>[effect:degrade_unit, target:unit_all, turn:5, status:action, val:1, calc:add, animation:enemy_tap_down],[effect:hungup, target:unit_hp, turn:8, rate:1, animation:hungup01]</v>
      </c>
      <c r="V91" s="50">
        <f t="shared" si="61"/>
        <v>9</v>
      </c>
      <c r="W91" s="50">
        <f t="shared" si="62"/>
        <v>21</v>
      </c>
      <c r="X91" s="50">
        <f t="shared" si="63"/>
        <v>30</v>
      </c>
      <c r="Y91" s="50">
        <f t="shared" si="64"/>
        <v>38</v>
      </c>
      <c r="Z91" s="50" t="str">
        <f>IFERROR(VLOOKUP(MID(U91,X91,Y91-X91),[6]skilldef!$C:$D,2,FALSE),"-") &amp; " / " &amp; IFERROR(VLOOKUP(MID(U91,V91,W91-V91),[6]skilldef!$A:$B,2,FALSE),"-")</f>
        <v>味方全体に / ステータスDOWN</v>
      </c>
      <c r="AA91" s="49"/>
      <c r="AB91" s="51"/>
      <c r="AC91" s="49"/>
      <c r="AD91" s="116" t="s">
        <v>526</v>
      </c>
    </row>
    <row r="92" spans="1:32" ht="42" customHeight="1" x14ac:dyDescent="0.15">
      <c r="A92" s="201">
        <v>40045816</v>
      </c>
      <c r="B92" s="47" t="str">
        <f t="shared" si="80"/>
        <v>[effect:enemy_message, val1:1.2, val2:3.4],[effect:virus, target:unit_all, turn:6, rate:1, val:0.14, animation:enemy_virus],[effect:force_change_block, new_block:damage, target:block_green, color:block_green, count:6, val:0.05, animation:change_bock]</v>
      </c>
      <c r="C92" s="49">
        <v>3</v>
      </c>
      <c r="D92" s="49" t="s">
        <v>126</v>
      </c>
      <c r="E92" s="50"/>
      <c r="F92" s="50" t="s">
        <v>550</v>
      </c>
      <c r="G92" s="50" t="s">
        <v>462</v>
      </c>
      <c r="H92" s="50"/>
      <c r="I92" s="50"/>
      <c r="J92" s="50"/>
      <c r="K92" s="50"/>
      <c r="L92" s="50"/>
      <c r="M92" s="50"/>
      <c r="N92" s="50"/>
      <c r="O92" s="46"/>
      <c r="P92" s="50"/>
      <c r="Q92" s="50"/>
      <c r="R92" s="50"/>
      <c r="S92" s="50"/>
      <c r="T92" s="50"/>
      <c r="U92" s="46"/>
      <c r="V92" s="50"/>
      <c r="W92" s="50"/>
      <c r="X92" s="50"/>
      <c r="Y92" s="50"/>
      <c r="Z92" s="50"/>
      <c r="AA92" s="49"/>
      <c r="AB92" s="51"/>
      <c r="AC92" s="49"/>
      <c r="AD92" s="116" t="s">
        <v>477</v>
      </c>
    </row>
    <row r="93" spans="1:32" ht="42" customHeight="1" x14ac:dyDescent="0.15">
      <c r="A93" s="201">
        <v>40045811</v>
      </c>
      <c r="B93" s="47" t="str">
        <f t="shared" si="80"/>
        <v>[effect:enemy_message, val1:1.2, val2:2.3],[effect:break_enchance_enemy, target:myself, val:300, lowest_val:3000, count:-1, status:defense, turn:-1, block01:block_yellow, calc:add, animation:enemy_enhance_defense],[effect:critical, val:1.4, animation:enemy_critical]</v>
      </c>
      <c r="C93" s="49">
        <v>3</v>
      </c>
      <c r="D93" s="49" t="s">
        <v>126</v>
      </c>
      <c r="E93" s="50"/>
      <c r="F93" s="50" t="s">
        <v>478</v>
      </c>
      <c r="G93" s="50" t="s">
        <v>630</v>
      </c>
      <c r="H93" s="50" t="str">
        <f>IFERROR(LEFT(B93,FIND("],",B93)),B93)</f>
        <v>[effect:enemy_message, val1:1.2, val2:2.3]</v>
      </c>
      <c r="I93" s="50">
        <f t="shared" ref="I93:I97" si="81">FIND("effect:",H93)+7</f>
        <v>9</v>
      </c>
      <c r="J93" s="50">
        <f t="shared" si="53"/>
        <v>22</v>
      </c>
      <c r="K93" s="50" t="e">
        <f t="shared" si="54"/>
        <v>#VALUE!</v>
      </c>
      <c r="L93" s="50">
        <f t="shared" si="55"/>
        <v>32</v>
      </c>
      <c r="M93" s="50" t="str">
        <f>IFERROR(VLOOKUP(MID(H93,K93,L93-K93),[6]skilldef!$C:$D,2,FALSE),"-") &amp; " / " &amp; IFERROR(VLOOKUP(MID(H93,I93,J93-I93),[6]skilldef!$A:$B,2,FALSE),"-")</f>
        <v>- / -</v>
      </c>
      <c r="N93" s="50" t="str">
        <f t="shared" ref="N93:N124" si="82">IFERROR(RIGHT(B93,LEN(B93)-FIND("],",B93)-1),"none")</f>
        <v>[effect:break_enchance_enemy, target:myself, val:300, lowest_val:3000, count:-1, status:defense, turn:-1, block01:block_yellow, calc:add, animation:enemy_enhance_defense],[effect:critical, val:1.4, animation:enemy_critical]</v>
      </c>
      <c r="O93" s="46" t="str">
        <f t="shared" ref="O93:O96" si="83">IFERROR(LEFT(N93,FIND("],",N93)+T103),N93)</f>
        <v>[effect:break_enchance_enemy, target:myself, val:300, lowest_val:3000, count:-1, status:defense, turn:-1, block01:block_yellow, calc:add, animation:enemy_enhance_defense],[effect:critical, val:1.4, animation:enemy_critical]</v>
      </c>
      <c r="P93" s="50">
        <f t="shared" si="56"/>
        <v>9</v>
      </c>
      <c r="Q93" s="50">
        <f t="shared" si="57"/>
        <v>29</v>
      </c>
      <c r="R93" s="50">
        <f t="shared" si="58"/>
        <v>38</v>
      </c>
      <c r="S93" s="50">
        <f t="shared" si="59"/>
        <v>44</v>
      </c>
      <c r="T93" s="50" t="str">
        <f>IFERROR(VLOOKUP(MID(O93,R93,S93-R93),[6]skilldef!$C:$D,2,FALSE),"-") &amp; " / " &amp; IFERROR(VLOOKUP(MID(O93,P93,Q93-P93),[6]skilldef!$A:$B,2,FALSE),"-")</f>
        <v>自分自身に / -</v>
      </c>
      <c r="U93" s="46" t="str">
        <f t="shared" si="60"/>
        <v>[effect:critical, val:1.4, animation:enemy_critical]</v>
      </c>
      <c r="V93" s="50">
        <f t="shared" si="61"/>
        <v>9</v>
      </c>
      <c r="W93" s="50">
        <f t="shared" si="62"/>
        <v>17</v>
      </c>
      <c r="X93" s="50" t="e">
        <f t="shared" si="63"/>
        <v>#VALUE!</v>
      </c>
      <c r="Y93" s="50">
        <f t="shared" si="64"/>
        <v>26</v>
      </c>
      <c r="Z93" s="50" t="str">
        <f>IFERROR(VLOOKUP(MID(U93,X93,Y93-X93),[6]skilldef!$C:$D,2,FALSE),"-") &amp; " / " &amp; IFERROR(VLOOKUP(MID(U93,V93,W93-V93),[6]skilldef!$A:$B,2,FALSE),"-")</f>
        <v>- / 大攻撃</v>
      </c>
      <c r="AA93" s="49"/>
      <c r="AB93" s="51"/>
      <c r="AC93" s="49"/>
      <c r="AD93" s="116" t="s">
        <v>475</v>
      </c>
    </row>
    <row r="94" spans="1:32" ht="42" customHeight="1" x14ac:dyDescent="0.15">
      <c r="A94" s="201">
        <v>40045812</v>
      </c>
      <c r="B94" s="47" t="str">
        <f t="shared" si="80"/>
        <v>[effect:enemy_message, val1:1.2, val2:2.2],[effect:break_enchance_enemy, target:myself, val:0.02, lowest_val:0.1, count:-1, status:attack, turn:-1, block01:block_green, calc:mul, animation:enemy_enhance_attack],[effect:critical, val:1.5, animation:enemy_critical]</v>
      </c>
      <c r="C94" s="49">
        <v>3</v>
      </c>
      <c r="D94" s="49" t="s">
        <v>126</v>
      </c>
      <c r="E94" s="50"/>
      <c r="F94" s="50" t="s">
        <v>627</v>
      </c>
      <c r="G94" s="50" t="s">
        <v>474</v>
      </c>
      <c r="H94" s="50" t="str">
        <f>IFERROR(LEFT(B94,FIND("],",B94)),B94)</f>
        <v>[effect:enemy_message, val1:1.2, val2:2.2]</v>
      </c>
      <c r="I94" s="50">
        <f t="shared" si="81"/>
        <v>9</v>
      </c>
      <c r="J94" s="50">
        <f t="shared" si="53"/>
        <v>22</v>
      </c>
      <c r="K94" s="50" t="e">
        <f t="shared" si="54"/>
        <v>#VALUE!</v>
      </c>
      <c r="L94" s="50">
        <f t="shared" si="55"/>
        <v>32</v>
      </c>
      <c r="M94" s="50" t="str">
        <f>IFERROR(VLOOKUP(MID(H94,K94,L94-K94),[6]skilldef!$C:$D,2,FALSE),"-") &amp; " / " &amp; IFERROR(VLOOKUP(MID(H94,I94,J94-I94),[6]skilldef!$A:$B,2,FALSE),"-")</f>
        <v>- / -</v>
      </c>
      <c r="N94" s="50" t="str">
        <f t="shared" si="82"/>
        <v>[effect:break_enchance_enemy, target:myself, val:0.02, lowest_val:0.1, count:-1, status:attack, turn:-1, block01:block_green, calc:mul, animation:enemy_enhance_attack],[effect:critical, val:1.5, animation:enemy_critical]</v>
      </c>
      <c r="O94" s="46" t="str">
        <f t="shared" si="83"/>
        <v>[effect:break_enchance_enemy, target:myself, val:0.02, lowest_val:0.1, count:-1, status:attack, turn:-1, block01:block_green, calc:mul, animation:enemy_enhance_attack],[effect:critical, val:1.5, animation:enemy_critical]</v>
      </c>
      <c r="P94" s="50">
        <f t="shared" si="56"/>
        <v>9</v>
      </c>
      <c r="Q94" s="50">
        <f t="shared" si="57"/>
        <v>29</v>
      </c>
      <c r="R94" s="50">
        <f t="shared" si="58"/>
        <v>38</v>
      </c>
      <c r="S94" s="50">
        <f t="shared" si="59"/>
        <v>44</v>
      </c>
      <c r="T94" s="50" t="str">
        <f>IFERROR(VLOOKUP(MID(O94,R94,S94-R94),[6]skilldef!$C:$D,2,FALSE),"-") &amp; " / " &amp; IFERROR(VLOOKUP(MID(O94,P94,Q94-P94),[6]skilldef!$A:$B,2,FALSE),"-")</f>
        <v>自分自身に / -</v>
      </c>
      <c r="U94" s="46" t="str">
        <f t="shared" si="60"/>
        <v>[effect:critical, val:1.5, animation:enemy_critical]</v>
      </c>
      <c r="V94" s="50">
        <f t="shared" si="61"/>
        <v>9</v>
      </c>
      <c r="W94" s="50">
        <f t="shared" si="62"/>
        <v>17</v>
      </c>
      <c r="X94" s="50" t="e">
        <f t="shared" si="63"/>
        <v>#VALUE!</v>
      </c>
      <c r="Y94" s="50">
        <f t="shared" si="64"/>
        <v>26</v>
      </c>
      <c r="Z94" s="50" t="str">
        <f>IFERROR(VLOOKUP(MID(U94,X94,Y94-X94),[6]skilldef!$C:$D,2,FALSE),"-") &amp; " / " &amp; IFERROR(VLOOKUP(MID(U94,V94,W94-V94),[6]skilldef!$A:$B,2,FALSE),"-")</f>
        <v>- / 大攻撃</v>
      </c>
      <c r="AA94" s="49"/>
      <c r="AB94" s="51"/>
      <c r="AC94" s="49"/>
      <c r="AD94" s="116" t="s">
        <v>476</v>
      </c>
    </row>
    <row r="95" spans="1:32" ht="42" customHeight="1" x14ac:dyDescent="0.15">
      <c r="A95" s="201">
        <v>40045813</v>
      </c>
      <c r="B95" s="47" t="str">
        <f t="shared" si="80"/>
        <v>[effect:enemy_message, val1:1.2, val2:2.2],[effect:damage_anti_abnormal, target:unit_all, target_effect01:virus, val1:1.0, val2:0.5]</v>
      </c>
      <c r="C95" s="49">
        <v>3</v>
      </c>
      <c r="D95" s="49" t="s">
        <v>126</v>
      </c>
      <c r="E95" s="50"/>
      <c r="F95" s="50" t="s">
        <v>469</v>
      </c>
      <c r="G95" s="50" t="s">
        <v>331</v>
      </c>
      <c r="H95" s="50" t="str">
        <f>IFERROR(LEFT(B95,FIND("],",B95)),B95)</f>
        <v>[effect:enemy_message, val1:1.2, val2:2.2]</v>
      </c>
      <c r="I95" s="50">
        <f t="shared" si="81"/>
        <v>9</v>
      </c>
      <c r="J95" s="50">
        <f t="shared" si="53"/>
        <v>22</v>
      </c>
      <c r="K95" s="50" t="e">
        <f t="shared" si="54"/>
        <v>#VALUE!</v>
      </c>
      <c r="L95" s="50">
        <f t="shared" si="55"/>
        <v>32</v>
      </c>
      <c r="M95" s="50" t="str">
        <f>IFERROR(VLOOKUP(MID(H95,K95,L95-K95),[6]skilldef!$C:$D,2,FALSE),"-") &amp; " / " &amp; IFERROR(VLOOKUP(MID(H95,I95,J95-I95),[6]skilldef!$A:$B,2,FALSE),"-")</f>
        <v>- / -</v>
      </c>
      <c r="N95" s="50" t="str">
        <f t="shared" si="82"/>
        <v>[effect:damage_anti_abnormal, target:unit_all, target_effect01:virus, val1:1.0, val2:0.5]</v>
      </c>
      <c r="O95" s="46" t="str">
        <f t="shared" si="83"/>
        <v>[effect:damage_anti_abnormal, target:unit_all, target_effect01:virus, val1:1.0, val2:0.5]</v>
      </c>
      <c r="P95" s="50">
        <f t="shared" si="56"/>
        <v>9</v>
      </c>
      <c r="Q95" s="50">
        <f t="shared" si="57"/>
        <v>29</v>
      </c>
      <c r="R95" s="50">
        <f t="shared" si="58"/>
        <v>38</v>
      </c>
      <c r="S95" s="50">
        <f t="shared" si="59"/>
        <v>46</v>
      </c>
      <c r="T95" s="50" t="str">
        <f>IFERROR(VLOOKUP(MID(O95,R95,S95-R95),[6]skilldef!$C:$D,2,FALSE),"-") &amp; " / " &amp; IFERROR(VLOOKUP(MID(O95,P95,Q95-P95),[6]skilldef!$A:$B,2,FALSE),"-")</f>
        <v>味方全体に / -</v>
      </c>
      <c r="U95" s="46" t="str">
        <f t="shared" si="60"/>
        <v>none</v>
      </c>
      <c r="V95" s="50" t="e">
        <f t="shared" si="61"/>
        <v>#VALUE!</v>
      </c>
      <c r="W95" s="50">
        <f t="shared" si="62"/>
        <v>4</v>
      </c>
      <c r="X95" s="50" t="e">
        <f t="shared" si="63"/>
        <v>#VALUE!</v>
      </c>
      <c r="Y95" s="50" t="e">
        <f t="shared" si="64"/>
        <v>#VALUE!</v>
      </c>
      <c r="Z95" s="50" t="str">
        <f>IFERROR(VLOOKUP(MID(U95,X95,Y95-X95),[6]skilldef!$C:$D,2,FALSE),"-") &amp; " / " &amp; IFERROR(VLOOKUP(MID(U95,V95,W95-V95),[6]skilldef!$A:$B,2,FALSE),"-")</f>
        <v>- / -</v>
      </c>
      <c r="AA95" s="49"/>
      <c r="AB95" s="51"/>
      <c r="AC95" s="49"/>
      <c r="AD95" s="116" t="s">
        <v>375</v>
      </c>
    </row>
    <row r="96" spans="1:32" ht="42" customHeight="1" x14ac:dyDescent="0.15">
      <c r="A96" s="201">
        <v>40045814</v>
      </c>
      <c r="B96" s="47" t="str">
        <f t="shared" si="80"/>
        <v>[effect:enemy_message, val1:1.2, val2:3.0],[effect:damage_abnormal, target:unit_one, val:0.7, status:attack, turn:1, val_abnormal:0.5, calc:mul, animation:attack_break01],[effect:damage_abnormal, target:unit_one, val:0.7, status:attack, turn:1, val_abnormal:0.5, calc:mul, animation:attack_break01]</v>
      </c>
      <c r="C96" s="49">
        <v>3</v>
      </c>
      <c r="D96" s="49" t="s">
        <v>126</v>
      </c>
      <c r="E96" s="50"/>
      <c r="F96" s="50" t="s">
        <v>479</v>
      </c>
      <c r="G96" s="50" t="s">
        <v>575</v>
      </c>
      <c r="H96" s="50" t="str">
        <f>IFERROR(LEFT(B96,FIND("],",B96)),B96)</f>
        <v>[effect:enemy_message, val1:1.2, val2:3.0]</v>
      </c>
      <c r="I96" s="50">
        <f t="shared" si="81"/>
        <v>9</v>
      </c>
      <c r="J96" s="50">
        <f t="shared" si="53"/>
        <v>22</v>
      </c>
      <c r="K96" s="50" t="e">
        <f t="shared" si="54"/>
        <v>#VALUE!</v>
      </c>
      <c r="L96" s="50">
        <f t="shared" si="55"/>
        <v>32</v>
      </c>
      <c r="M96" s="50" t="str">
        <f>IFERROR(VLOOKUP(MID(H96,K96,L96-K96),[6]skilldef!$C:$D,2,FALSE),"-") &amp; " / " &amp; IFERROR(VLOOKUP(MID(H96,I96,J96-I96),[6]skilldef!$A:$B,2,FALSE),"-")</f>
        <v>- / -</v>
      </c>
      <c r="N96" s="50" t="str">
        <f t="shared" si="82"/>
        <v>[effect:damage_abnormal, target:unit_one, val:0.7, status:attack, turn:1, val_abnormal:0.5, calc:mul, animation:attack_break01],[effect:damage_abnormal, target:unit_one, val:0.7, status:attack, turn:1, val_abnormal:0.5, calc:mul, animation:attack_break01]</v>
      </c>
      <c r="O96" s="46" t="str">
        <f t="shared" si="83"/>
        <v>[effect:damage_abnormal, target:unit_one, val:0.7, status:attack, turn:1, val_abnormal:0.5, calc:mul, animation:attack_break01],[effect:damage_abnormal, target:unit_one, val:0.7, status:attack, turn:1, val_abnormal:0.5, calc:mul, animation:attack_break01]</v>
      </c>
      <c r="P96" s="50">
        <f t="shared" si="56"/>
        <v>9</v>
      </c>
      <c r="Q96" s="50">
        <f t="shared" si="57"/>
        <v>24</v>
      </c>
      <c r="R96" s="50">
        <f t="shared" si="58"/>
        <v>33</v>
      </c>
      <c r="S96" s="50">
        <f t="shared" si="59"/>
        <v>41</v>
      </c>
      <c r="T96" s="50" t="str">
        <f>IFERROR(VLOOKUP(MID(O96,R96,S96-R96),[6]skilldef!$C:$D,2,FALSE),"-") &amp; " / " &amp; IFERROR(VLOOKUP(MID(O96,P96,Q96-P96),[6]skilldef!$A:$B,2,FALSE),"-")</f>
        <v>味方単体に / -</v>
      </c>
      <c r="U96" s="46" t="str">
        <f t="shared" si="60"/>
        <v>[effect:damage_abnormal, target:unit_one, val:0.7, status:attack, turn:1, val_abnormal:0.5, calc:mul, animation:attack_break01]</v>
      </c>
      <c r="V96" s="50">
        <f t="shared" si="61"/>
        <v>9</v>
      </c>
      <c r="W96" s="50">
        <f t="shared" si="62"/>
        <v>24</v>
      </c>
      <c r="X96" s="50">
        <f t="shared" si="63"/>
        <v>33</v>
      </c>
      <c r="Y96" s="50">
        <f t="shared" si="64"/>
        <v>41</v>
      </c>
      <c r="Z96" s="50" t="str">
        <f>IFERROR(VLOOKUP(MID(U96,X96,Y96-X96),[6]skilldef!$C:$D,2,FALSE),"-") &amp; " / " &amp; IFERROR(VLOOKUP(MID(U96,V96,W96-V96),[6]skilldef!$A:$B,2,FALSE),"-")</f>
        <v>味方単体に / -</v>
      </c>
      <c r="AA96" s="49"/>
      <c r="AB96" s="51"/>
      <c r="AC96" s="49"/>
      <c r="AD96" s="116" t="s">
        <v>383</v>
      </c>
    </row>
    <row r="97" spans="1:33" ht="42" customHeight="1" x14ac:dyDescent="0.15">
      <c r="A97" s="201">
        <v>40045815</v>
      </c>
      <c r="B97" s="47" t="str">
        <f t="shared" si="80"/>
        <v>[effect:enemy_message, val1:1.2, val2:2.8],[effect:critical, val:1.5, animation:enemy_critical],[effect:force_change_block, new_block:damage, target:normal, color:block_green, count:4, val:0.04, animation:change_bock]</v>
      </c>
      <c r="C97" s="49">
        <v>3</v>
      </c>
      <c r="D97" s="49" t="s">
        <v>126</v>
      </c>
      <c r="E97" s="50"/>
      <c r="F97" s="50" t="s">
        <v>637</v>
      </c>
      <c r="G97" s="50" t="s">
        <v>377</v>
      </c>
      <c r="H97" s="50" t="str">
        <f>IFERROR(LEFT(B97,FIND("],",B97)),B97)</f>
        <v>[effect:enemy_message, val1:1.2, val2:2.8]</v>
      </c>
      <c r="I97" s="50">
        <f t="shared" si="81"/>
        <v>9</v>
      </c>
      <c r="J97" s="50">
        <f t="shared" si="53"/>
        <v>22</v>
      </c>
      <c r="K97" s="50" t="e">
        <f t="shared" si="54"/>
        <v>#VALUE!</v>
      </c>
      <c r="L97" s="50">
        <f t="shared" si="55"/>
        <v>32</v>
      </c>
      <c r="M97" s="50" t="str">
        <f>IFERROR(VLOOKUP(MID(H97,K97,L97-K97),[6]skilldef!$C:$D,2,FALSE),"-") &amp; " / " &amp; IFERROR(VLOOKUP(MID(H97,I97,J97-I97),[6]skilldef!$A:$B,2,FALSE),"-")</f>
        <v>- / -</v>
      </c>
      <c r="N97" s="50" t="str">
        <f t="shared" si="82"/>
        <v>[effect:critical, val:1.5, animation:enemy_critical],[effect:force_change_block, new_block:damage, target:normal, color:block_green, count:4, val:0.04, animation:change_bock]</v>
      </c>
      <c r="O97" s="46" t="str">
        <f>IFERROR(LEFT(N97,FIND("],",N97)+#REF!),N97)</f>
        <v>[effect:critical, val:1.5, animation:enemy_critical],[effect:force_change_block, new_block:damage, target:normal, color:block_green, count:4, val:0.04, animation:change_bock]</v>
      </c>
      <c r="P97" s="50">
        <f t="shared" si="56"/>
        <v>9</v>
      </c>
      <c r="Q97" s="50">
        <f t="shared" si="57"/>
        <v>17</v>
      </c>
      <c r="R97" s="50">
        <f t="shared" si="58"/>
        <v>107</v>
      </c>
      <c r="S97" s="50">
        <f t="shared" si="59"/>
        <v>26</v>
      </c>
      <c r="T97" s="50" t="str">
        <f>IFERROR(VLOOKUP(MID(O97,R97,S97-R97),[6]skilldef!$C:$D,2,FALSE),"-") &amp; " / " &amp; IFERROR(VLOOKUP(MID(O97,P97,Q97-P97),[6]skilldef!$A:$B,2,FALSE),"-")</f>
        <v>- / 大攻撃</v>
      </c>
      <c r="U97" s="46" t="str">
        <f t="shared" si="60"/>
        <v>[effect:force_change_block, new_block:damage, target:normal, color:block_green, count:4, val:0.04, animation:change_bock]</v>
      </c>
      <c r="V97" s="50">
        <f t="shared" si="61"/>
        <v>9</v>
      </c>
      <c r="W97" s="50">
        <f t="shared" si="62"/>
        <v>27</v>
      </c>
      <c r="X97" s="50">
        <f t="shared" si="63"/>
        <v>54</v>
      </c>
      <c r="Y97" s="50">
        <f t="shared" si="64"/>
        <v>45</v>
      </c>
      <c r="Z97" s="50" t="str">
        <f>IFERROR(VLOOKUP(MID(U97,X97,Y97-X97),[6]skilldef!$C:$D,2,FALSE),"-") &amp; " / " &amp; IFERROR(VLOOKUP(MID(U97,V97,W97-V97),[6]skilldef!$A:$B,2,FALSE),"-")</f>
        <v>- / -</v>
      </c>
      <c r="AA97" s="49"/>
      <c r="AB97" s="51"/>
      <c r="AC97" s="49"/>
      <c r="AD97" s="117" t="s">
        <v>376</v>
      </c>
    </row>
    <row r="98" spans="1:33" ht="50" customHeight="1" x14ac:dyDescent="0.15">
      <c r="A98" s="201">
        <v>40045820</v>
      </c>
      <c r="B98" s="47" t="str">
        <f t="shared" si="80"/>
        <v>[effect:enemy_message, val1:1.2, val2:4.5],[effect:tolerance, target:myself, turn:-1, count:-1, tolerance_effect:all, animation:enemy_tolerance],[effect:virus, target:unit_all, turn:-1, rate:1, val:0.15, animation:enemy_virus],[effect:degrade_unit, target:unit_all, turn:5, status:action, val:1, calc:add, animation:enemy_tap_down]</v>
      </c>
      <c r="C98" s="49">
        <v>3</v>
      </c>
      <c r="D98" s="49" t="s">
        <v>126</v>
      </c>
      <c r="E98" s="50" t="s">
        <v>528</v>
      </c>
      <c r="F98" s="50" t="s">
        <v>463</v>
      </c>
      <c r="G98" s="311" t="s">
        <v>510</v>
      </c>
      <c r="H98" s="312"/>
      <c r="I98" s="313"/>
      <c r="J98" s="50">
        <f t="shared" si="53"/>
        <v>0</v>
      </c>
      <c r="K98" s="50" t="e">
        <f t="shared" si="54"/>
        <v>#VALUE!</v>
      </c>
      <c r="L98" s="50" t="e">
        <f t="shared" si="55"/>
        <v>#VALUE!</v>
      </c>
      <c r="M98" s="50" t="str">
        <f>IFERROR(VLOOKUP(MID(H98,K98,L98-K98),[6]skilldef!$C:$D,2,FALSE),"-") &amp; " / " &amp; IFERROR(VLOOKUP(MID(H98,I98,J98-I98),[6]skilldef!$A:$B,2,FALSE),"-")</f>
        <v>- / -</v>
      </c>
      <c r="N98" s="50" t="str">
        <f t="shared" si="82"/>
        <v>[effect:tolerance, target:myself, turn:-1, count:-1, tolerance_effect:all, animation:enemy_tolerance],[effect:virus, target:unit_all, turn:-1, rate:1, val:0.15, animation:enemy_virus],[effect:degrade_unit, target:unit_all, turn:5, status:action, val:1, calc:add, animation:enemy_tap_down]</v>
      </c>
      <c r="O98" s="46" t="str">
        <f>IFERROR(LEFT(N98,FIND("],",N98)+T107),N98)</f>
        <v>[effect:tolerance, target:myself, turn:-1, count:-1, tolerance_effect:all, animation:enemy_tolerance],[effect:virus, target:unit_all, turn:-1, rate:1, val:0.15, animation:enemy_virus],[effect:degrade_unit, target:unit_all, turn:5, status:action, val:1, calc:add, animation:enemy_tap_down]</v>
      </c>
      <c r="P98" s="50">
        <f t="shared" si="56"/>
        <v>9</v>
      </c>
      <c r="Q98" s="50">
        <f t="shared" si="57"/>
        <v>18</v>
      </c>
      <c r="R98" s="50">
        <f t="shared" si="58"/>
        <v>27</v>
      </c>
      <c r="S98" s="50">
        <f t="shared" si="59"/>
        <v>33</v>
      </c>
      <c r="T98" s="50" t="str">
        <f>IFERROR(VLOOKUP(MID(O98,R98,S98-R98),[6]skilldef!$C:$D,2,FALSE),"-") &amp; " / " &amp; IFERROR(VLOOKUP(MID(O98,P98,Q98-P98),[6]skilldef!$A:$B,2,FALSE),"-")</f>
        <v>自分自身に / 状態異常耐性</v>
      </c>
      <c r="U98" s="46" t="str">
        <f t="shared" si="60"/>
        <v>[effect:virus, target:unit_all, turn:-1, rate:1, val:0.15, animation:enemy_virus],[effect:degrade_unit, target:unit_all, turn:5, status:action, val:1, calc:add, animation:enemy_tap_down]</v>
      </c>
      <c r="V98" s="50">
        <f t="shared" si="61"/>
        <v>9</v>
      </c>
      <c r="W98" s="50">
        <f t="shared" si="62"/>
        <v>14</v>
      </c>
      <c r="X98" s="50">
        <f t="shared" si="63"/>
        <v>23</v>
      </c>
      <c r="Y98" s="50">
        <f t="shared" si="64"/>
        <v>31</v>
      </c>
      <c r="Z98" s="50" t="str">
        <f>IFERROR(VLOOKUP(MID(U98,X98,Y98-X98),[6]skilldef!$C:$D,2,FALSE),"-") &amp; " / " &amp; IFERROR(VLOOKUP(MID(U98,V98,W98-V98),[6]skilldef!$A:$B,2,FALSE),"-")</f>
        <v>味方全体に / ウィルス</v>
      </c>
      <c r="AA98" s="49"/>
      <c r="AB98" s="51"/>
      <c r="AC98" s="49"/>
      <c r="AD98" s="116" t="s">
        <v>509</v>
      </c>
      <c r="AE98" s="314"/>
      <c r="AF98" s="316"/>
      <c r="AG98" s="316"/>
    </row>
    <row r="99" spans="1:33" ht="42" customHeight="1" x14ac:dyDescent="0.15">
      <c r="A99" s="201">
        <v>40045821</v>
      </c>
      <c r="B99" s="47" t="str">
        <f t="shared" si="80"/>
        <v>[effect:enemy_message, val1:1.2, val2:2.1],[effect:force_change_block, new_block:damage, target:normal, color:block_green, count:10, val:0.1, animation:change_bock]</v>
      </c>
      <c r="C99" s="49">
        <v>3</v>
      </c>
      <c r="D99" s="49" t="s">
        <v>126</v>
      </c>
      <c r="E99" s="50"/>
      <c r="F99" s="50" t="s">
        <v>638</v>
      </c>
      <c r="G99" s="50" t="s">
        <v>395</v>
      </c>
      <c r="H99" s="50" t="str">
        <f t="shared" ref="H99:H143" si="84">IFERROR(LEFT(B99,FIND("],",B99)),B99)</f>
        <v>[effect:enemy_message, val1:1.2, val2:2.1]</v>
      </c>
      <c r="I99" s="50">
        <f t="shared" ref="I99:I111" si="85">FIND("effect:",H99)+7</f>
        <v>9</v>
      </c>
      <c r="J99" s="50">
        <f t="shared" si="53"/>
        <v>22</v>
      </c>
      <c r="K99" s="50" t="e">
        <f t="shared" si="54"/>
        <v>#VALUE!</v>
      </c>
      <c r="L99" s="50">
        <f t="shared" si="55"/>
        <v>32</v>
      </c>
      <c r="M99" s="50" t="str">
        <f>IFERROR(VLOOKUP(MID(H99,K99,L99-K99),[6]skilldef!$C:$D,2,FALSE),"-") &amp; " / " &amp; IFERROR(VLOOKUP(MID(H99,I99,J99-I99),[6]skilldef!$A:$B,2,FALSE),"-")</f>
        <v>- / -</v>
      </c>
      <c r="N99" s="50" t="str">
        <f t="shared" si="82"/>
        <v>[effect:force_change_block, new_block:damage, target:normal, color:block_green, count:10, val:0.1, animation:change_bock]</v>
      </c>
      <c r="O99" s="46" t="str">
        <f>IFERROR(LEFT(N99,FIND("],",N99)+T108),N99)</f>
        <v>[effect:force_change_block, new_block:damage, target:normal, color:block_green, count:10, val:0.1, animation:change_bock]</v>
      </c>
      <c r="P99" s="50">
        <f t="shared" si="56"/>
        <v>9</v>
      </c>
      <c r="Q99" s="50">
        <f t="shared" si="57"/>
        <v>27</v>
      </c>
      <c r="R99" s="50">
        <f t="shared" si="58"/>
        <v>54</v>
      </c>
      <c r="S99" s="50">
        <f t="shared" si="59"/>
        <v>45</v>
      </c>
      <c r="T99" s="50" t="str">
        <f>IFERROR(VLOOKUP(MID(O99,R99,S99-R99),[6]skilldef!$C:$D,2,FALSE),"-") &amp; " / " &amp; IFERROR(VLOOKUP(MID(O99,P99,Q99-P99),[6]skilldef!$A:$B,2,FALSE),"-")</f>
        <v>- / -</v>
      </c>
      <c r="U99" s="46" t="str">
        <f t="shared" si="60"/>
        <v>none</v>
      </c>
      <c r="V99" s="50" t="e">
        <f t="shared" si="61"/>
        <v>#VALUE!</v>
      </c>
      <c r="W99" s="50">
        <f t="shared" si="62"/>
        <v>4</v>
      </c>
      <c r="X99" s="50" t="e">
        <f t="shared" si="63"/>
        <v>#VALUE!</v>
      </c>
      <c r="Y99" s="50" t="e">
        <f t="shared" si="64"/>
        <v>#VALUE!</v>
      </c>
      <c r="Z99" s="50" t="str">
        <f>IFERROR(VLOOKUP(MID(U99,X99,Y99-X99),[6]skilldef!$C:$D,2,FALSE),"-") &amp; " / " &amp; IFERROR(VLOOKUP(MID(U99,V99,W99-V99),[6]skilldef!$A:$B,2,FALSE),"-")</f>
        <v>- / -</v>
      </c>
      <c r="AA99" s="49"/>
      <c r="AB99" s="51"/>
      <c r="AC99" s="49"/>
      <c r="AD99" s="116" t="s">
        <v>448</v>
      </c>
    </row>
    <row r="100" spans="1:33" ht="42" customHeight="1" x14ac:dyDescent="0.15">
      <c r="A100" s="201">
        <v>40045822</v>
      </c>
      <c r="B100" s="47" t="str">
        <f t="shared" si="80"/>
        <v>[effect:enemy_message, val1:1.2, val2:2.2],[effect:damage_anti_abnormal, target:unit_all, target_effect01:virus, val1:1.0, val2:0.7]</v>
      </c>
      <c r="C100" s="49">
        <v>3</v>
      </c>
      <c r="D100" s="49" t="s">
        <v>126</v>
      </c>
      <c r="E100" s="50"/>
      <c r="F100" s="50" t="s">
        <v>469</v>
      </c>
      <c r="G100" s="50" t="s">
        <v>331</v>
      </c>
      <c r="H100" s="50" t="str">
        <f t="shared" si="84"/>
        <v>[effect:enemy_message, val1:1.2, val2:2.2]</v>
      </c>
      <c r="I100" s="50">
        <f t="shared" si="85"/>
        <v>9</v>
      </c>
      <c r="J100" s="50">
        <f t="shared" ref="J100" si="86">IFERROR(FIND(",",H100),LEN(H100))</f>
        <v>22</v>
      </c>
      <c r="K100" s="50" t="e">
        <f t="shared" ref="K100" si="87">FIND("target:",H100)+7</f>
        <v>#VALUE!</v>
      </c>
      <c r="L100" s="50">
        <f t="shared" ref="L100" si="88">FIND(",",H100,J100+1)</f>
        <v>32</v>
      </c>
      <c r="M100" s="50" t="str">
        <f>IFERROR(VLOOKUP(MID(H100,K100,L100-K100),[6]skilldef!$C:$D,2,FALSE),"-") &amp; " / " &amp; IFERROR(VLOOKUP(MID(H100,I100,J100-I100),[6]skilldef!$A:$B,2,FALSE),"-")</f>
        <v>- / -</v>
      </c>
      <c r="N100" s="50" t="str">
        <f t="shared" si="82"/>
        <v>[effect:damage_anti_abnormal, target:unit_all, target_effect01:virus, val1:1.0, val2:0.7]</v>
      </c>
      <c r="O100" s="46" t="str">
        <f t="shared" ref="O100" si="89">IFERROR(LEFT(N100,FIND("],",N100)+T110),N100)</f>
        <v>[effect:damage_anti_abnormal, target:unit_all, target_effect01:virus, val1:1.0, val2:0.7]</v>
      </c>
      <c r="P100" s="50">
        <f t="shared" ref="P100" si="90">FIND("effect:",O100)+7</f>
        <v>9</v>
      </c>
      <c r="Q100" s="50">
        <f t="shared" ref="Q100" si="91">IFERROR(FIND(",",O100),LEN(O100))</f>
        <v>29</v>
      </c>
      <c r="R100" s="50">
        <f t="shared" ref="R100" si="92">FIND("target:",O100)+7</f>
        <v>38</v>
      </c>
      <c r="S100" s="50">
        <f t="shared" ref="S100" si="93">FIND(",",O100,Q100+1)</f>
        <v>46</v>
      </c>
      <c r="T100" s="50" t="str">
        <f>IFERROR(VLOOKUP(MID(O100,R100,S100-R100),[6]skilldef!$C:$D,2,FALSE),"-") &amp; " / " &amp; IFERROR(VLOOKUP(MID(O100,P100,Q100-P100),[6]skilldef!$A:$B,2,FALSE),"-")</f>
        <v>味方全体に / -</v>
      </c>
      <c r="U100" s="46" t="str">
        <f t="shared" ref="U100" si="94">IFERROR(RIGHT(N100,LEN(N100)-FIND("],",N100)-1),"none")</f>
        <v>none</v>
      </c>
      <c r="V100" s="50" t="e">
        <f t="shared" ref="V100" si="95">FIND("effect:",U100)+7</f>
        <v>#VALUE!</v>
      </c>
      <c r="W100" s="50">
        <f t="shared" ref="W100" si="96">IFERROR(FIND(",",U100),LEN(U100))</f>
        <v>4</v>
      </c>
      <c r="X100" s="50" t="e">
        <f t="shared" ref="X100" si="97">FIND("target:",U100)+7</f>
        <v>#VALUE!</v>
      </c>
      <c r="Y100" s="50" t="e">
        <f t="shared" ref="Y100" si="98">FIND(",",U100,W100+1)</f>
        <v>#VALUE!</v>
      </c>
      <c r="Z100" s="50" t="str">
        <f>IFERROR(VLOOKUP(MID(U100,X100,Y100-X100),[6]skilldef!$C:$D,2,FALSE),"-") &amp; " / " &amp; IFERROR(VLOOKUP(MID(U100,V100,W100-V100),[6]skilldef!$A:$B,2,FALSE),"-")</f>
        <v>- / -</v>
      </c>
      <c r="AA100" s="49"/>
      <c r="AB100" s="51"/>
      <c r="AC100" s="49"/>
      <c r="AD100" s="116" t="s">
        <v>553</v>
      </c>
      <c r="AF100" s="127"/>
    </row>
    <row r="101" spans="1:33" ht="42" customHeight="1" x14ac:dyDescent="0.15">
      <c r="A101" s="201">
        <v>40045823</v>
      </c>
      <c r="B101" s="47" t="str">
        <f t="shared" si="80"/>
        <v>[effect:enemy_message, val1:1.2, val2:1.2],[effect:damage_fix_absolute, target:unit_all, val:99999]</v>
      </c>
      <c r="C101" s="49">
        <v>3</v>
      </c>
      <c r="D101" s="49" t="s">
        <v>126</v>
      </c>
      <c r="E101" s="50"/>
      <c r="F101" s="50" t="s">
        <v>464</v>
      </c>
      <c r="G101" s="50" t="s">
        <v>396</v>
      </c>
      <c r="H101" s="50" t="str">
        <f t="shared" si="84"/>
        <v>[effect:enemy_message, val1:1.2, val2:1.2]</v>
      </c>
      <c r="I101" s="50">
        <f t="shared" si="85"/>
        <v>9</v>
      </c>
      <c r="J101" s="50">
        <f t="shared" ref="J101:J106" si="99">IFERROR(FIND(",",H101),LEN(H101))</f>
        <v>22</v>
      </c>
      <c r="K101" s="50" t="e">
        <f t="shared" ref="K101:K106" si="100">FIND("target:",H101)+7</f>
        <v>#VALUE!</v>
      </c>
      <c r="L101" s="50">
        <f t="shared" ref="L101:L106" si="101">FIND(",",H101,J101+1)</f>
        <v>32</v>
      </c>
      <c r="M101" s="50" t="str">
        <f>IFERROR(VLOOKUP(MID(H101,K101,L101-K101),[6]skilldef!$C:$D,2,FALSE),"-") &amp; " / " &amp; IFERROR(VLOOKUP(MID(H101,I101,J101-I101),[6]skilldef!$A:$B,2,FALSE),"-")</f>
        <v>- / -</v>
      </c>
      <c r="N101" s="50" t="str">
        <f t="shared" si="82"/>
        <v>[effect:damage_fix_absolute, target:unit_all, val:99999]</v>
      </c>
      <c r="O101" s="46" t="str">
        <f>IFERROR(LEFT(N101,FIND("],",N101)+T110),N101)</f>
        <v>[effect:damage_fix_absolute, target:unit_all, val:99999]</v>
      </c>
      <c r="P101" s="50">
        <f t="shared" si="56"/>
        <v>9</v>
      </c>
      <c r="Q101" s="50">
        <f t="shared" ref="Q101:Q106" si="102">IFERROR(FIND(",",O101),LEN(O101))</f>
        <v>28</v>
      </c>
      <c r="R101" s="50">
        <f t="shared" ref="R101:R106" si="103">FIND("target:",O101)+7</f>
        <v>37</v>
      </c>
      <c r="S101" s="50">
        <f t="shared" ref="S101:S106" si="104">FIND(",",O101,Q101+1)</f>
        <v>45</v>
      </c>
      <c r="T101" s="50" t="str">
        <f>IFERROR(VLOOKUP(MID(O101,R101,S101-R101),[6]skilldef!$C:$D,2,FALSE),"-") &amp; " / " &amp; IFERROR(VLOOKUP(MID(O101,P101,Q101-P101),[6]skilldef!$A:$B,2,FALSE),"-")</f>
        <v>味方全体に / -</v>
      </c>
      <c r="U101" s="46" t="str">
        <f t="shared" ref="U101:U106" si="105">IFERROR(RIGHT(N101,LEN(N101)-FIND("],",N101)-1),"none")</f>
        <v>none</v>
      </c>
      <c r="V101" s="50" t="e">
        <f t="shared" si="61"/>
        <v>#VALUE!</v>
      </c>
      <c r="W101" s="50">
        <f t="shared" ref="W101:W106" si="106">IFERROR(FIND(",",U101),LEN(U101))</f>
        <v>4</v>
      </c>
      <c r="X101" s="50" t="e">
        <f t="shared" ref="X101:X106" si="107">FIND("target:",U101)+7</f>
        <v>#VALUE!</v>
      </c>
      <c r="Y101" s="50" t="e">
        <f t="shared" ref="Y101:Y106" si="108">FIND(",",U101,W101+1)</f>
        <v>#VALUE!</v>
      </c>
      <c r="Z101" s="50" t="str">
        <f>IFERROR(VLOOKUP(MID(U101,X101,Y101-X101),[6]skilldef!$C:$D,2,FALSE),"-") &amp; " / " &amp; IFERROR(VLOOKUP(MID(U101,V101,W101-V101),[6]skilldef!$A:$B,2,FALSE),"-")</f>
        <v>- / -</v>
      </c>
      <c r="AA101" s="49"/>
      <c r="AB101" s="51"/>
      <c r="AC101" s="49"/>
      <c r="AD101" s="116" t="s">
        <v>434</v>
      </c>
    </row>
    <row r="102" spans="1:33" ht="42" customHeight="1" x14ac:dyDescent="0.15">
      <c r="A102" s="201">
        <v>40045824</v>
      </c>
      <c r="B102" s="46" t="s">
        <v>641</v>
      </c>
      <c r="C102" s="49">
        <v>3</v>
      </c>
      <c r="D102" s="49" t="s">
        <v>126</v>
      </c>
      <c r="E102" s="50"/>
      <c r="F102" s="50" t="s">
        <v>609</v>
      </c>
      <c r="G102" s="50" t="s">
        <v>465</v>
      </c>
      <c r="H102" s="50" t="str">
        <f t="shared" si="84"/>
        <v>[effect:enemy_message, val1:2.2, val2:3.1]</v>
      </c>
      <c r="I102" s="50">
        <f t="shared" si="85"/>
        <v>9</v>
      </c>
      <c r="J102" s="50">
        <f t="shared" si="99"/>
        <v>22</v>
      </c>
      <c r="K102" s="50" t="e">
        <f t="shared" si="100"/>
        <v>#VALUE!</v>
      </c>
      <c r="L102" s="50">
        <f t="shared" si="101"/>
        <v>32</v>
      </c>
      <c r="M102" s="50" t="str">
        <f>IFERROR(VLOOKUP(MID(H102,K102,L102-K102),[6]skilldef!$C:$D,2,FALSE),"-") &amp; " / " &amp; IFERROR(VLOOKUP(MID(H102,I102,J102-I102),[6]skilldef!$A:$B,2,FALSE),"-")</f>
        <v>- / -</v>
      </c>
      <c r="N102" s="50" t="str">
        <f t="shared" si="82"/>
        <v>none</v>
      </c>
      <c r="O102" s="46" t="str">
        <f>IFERROR(LEFT(N102,FIND("],",N102)+#REF!),N102)</f>
        <v>none</v>
      </c>
      <c r="P102" s="50" t="e">
        <f t="shared" si="56"/>
        <v>#VALUE!</v>
      </c>
      <c r="Q102" s="50">
        <f t="shared" si="102"/>
        <v>4</v>
      </c>
      <c r="R102" s="50" t="e">
        <f t="shared" si="103"/>
        <v>#VALUE!</v>
      </c>
      <c r="S102" s="50" t="e">
        <f t="shared" si="104"/>
        <v>#VALUE!</v>
      </c>
      <c r="T102" s="50" t="str">
        <f>IFERROR(VLOOKUP(MID(O102,R102,S102-R102),[6]skilldef!$C:$D,2,FALSE),"-") &amp; " / " &amp; IFERROR(VLOOKUP(MID(O102,P102,Q102-P102),[6]skilldef!$A:$B,2,FALSE),"-")</f>
        <v>- / -</v>
      </c>
      <c r="U102" s="46" t="str">
        <f t="shared" si="105"/>
        <v>none</v>
      </c>
      <c r="V102" s="50" t="e">
        <f t="shared" si="61"/>
        <v>#VALUE!</v>
      </c>
      <c r="W102" s="50">
        <f t="shared" si="106"/>
        <v>4</v>
      </c>
      <c r="X102" s="50" t="e">
        <f t="shared" si="107"/>
        <v>#VALUE!</v>
      </c>
      <c r="Y102" s="50" t="e">
        <f t="shared" si="108"/>
        <v>#VALUE!</v>
      </c>
      <c r="Z102" s="50" t="str">
        <f>IFERROR(VLOOKUP(MID(U102,X102,Y102-X102),[6]skilldef!$C:$D,2,FALSE),"-") &amp; " / " &amp; IFERROR(VLOOKUP(MID(U102,V102,W102-V102),[6]skilldef!$A:$B,2,FALSE),"-")</f>
        <v>- / -</v>
      </c>
      <c r="AA102" s="49"/>
      <c r="AB102" s="51"/>
      <c r="AC102" s="49"/>
      <c r="AD102" s="116"/>
    </row>
    <row r="103" spans="1:33" ht="42" customHeight="1" x14ac:dyDescent="0.15">
      <c r="A103" s="201">
        <v>40045825</v>
      </c>
      <c r="B103" s="47" t="str">
        <f t="shared" si="80"/>
        <v>[effect:enemy_message, val1:1.2, val2:2.4],[effect:rush, count:1, val:0.08],[effect:rush, count:1, val:0.12],[effect:rush, count:1, val:0.16],[effect:rush, count:1, val:0.20],[effect:rush, count:1, val:0.24],[effect:rush, count:1, val:0.28],[effect:rush, count:1, val:0.32],[effect:rush, count:1, val:0.36]</v>
      </c>
      <c r="C103" s="49">
        <v>3</v>
      </c>
      <c r="D103" s="49" t="s">
        <v>126</v>
      </c>
      <c r="E103" s="50"/>
      <c r="F103" s="50" t="s">
        <v>461</v>
      </c>
      <c r="G103" s="50" t="s">
        <v>425</v>
      </c>
      <c r="H103" s="50" t="str">
        <f t="shared" si="84"/>
        <v>[effect:enemy_message, val1:1.2, val2:2.4]</v>
      </c>
      <c r="I103" s="50">
        <f t="shared" si="85"/>
        <v>9</v>
      </c>
      <c r="J103" s="50">
        <f t="shared" si="99"/>
        <v>22</v>
      </c>
      <c r="K103" s="50" t="e">
        <f t="shared" si="100"/>
        <v>#VALUE!</v>
      </c>
      <c r="L103" s="50">
        <f t="shared" si="101"/>
        <v>32</v>
      </c>
      <c r="M103" s="50" t="str">
        <f>IFERROR(VLOOKUP(MID(H103,K103,L103-K103),[6]skilldef!$C:$D,2,FALSE),"-") &amp; " / " &amp; IFERROR(VLOOKUP(MID(H103,I103,J103-I103),[6]skilldef!$A:$B,2,FALSE),"-")</f>
        <v>- / -</v>
      </c>
      <c r="N103" s="50" t="str">
        <f t="shared" si="82"/>
        <v>[effect:rush, count:1, val:0.08],[effect:rush, count:1, val:0.12],[effect:rush, count:1, val:0.16],[effect:rush, count:1, val:0.20],[effect:rush, count:1, val:0.24],[effect:rush, count:1, val:0.28],[effect:rush, count:1, val:0.32],[effect:rush, count:1, val:0.36]</v>
      </c>
      <c r="O103" s="46" t="str">
        <f>IFERROR(LEFT(N103,FIND("],",N103)+#REF!),N103)</f>
        <v>[effect:rush, count:1, val:0.08],[effect:rush, count:1, val:0.12],[effect:rush, count:1, val:0.16],[effect:rush, count:1, val:0.20],[effect:rush, count:1, val:0.24],[effect:rush, count:1, val:0.28],[effect:rush, count:1, val:0.32],[effect:rush, count:1, val:0.36]</v>
      </c>
      <c r="P103" s="50">
        <f t="shared" si="56"/>
        <v>9</v>
      </c>
      <c r="Q103" s="50">
        <f t="shared" si="102"/>
        <v>13</v>
      </c>
      <c r="R103" s="50" t="e">
        <f t="shared" si="103"/>
        <v>#VALUE!</v>
      </c>
      <c r="S103" s="50">
        <f t="shared" si="104"/>
        <v>22</v>
      </c>
      <c r="T103" s="50" t="str">
        <f>IFERROR(VLOOKUP(MID(O103,R103,S103-R103),[6]skilldef!$C:$D,2,FALSE),"-") &amp; " / " &amp; IFERROR(VLOOKUP(MID(O103,P103,Q103-P103),[6]skilldef!$A:$B,2,FALSE),"-")</f>
        <v>- / 連続攻撃</v>
      </c>
      <c r="U103" s="46" t="str">
        <f t="shared" si="105"/>
        <v>[effect:rush, count:1, val:0.12],[effect:rush, count:1, val:0.16],[effect:rush, count:1, val:0.20],[effect:rush, count:1, val:0.24],[effect:rush, count:1, val:0.28],[effect:rush, count:1, val:0.32],[effect:rush, count:1, val:0.36]</v>
      </c>
      <c r="V103" s="50">
        <f t="shared" si="61"/>
        <v>9</v>
      </c>
      <c r="W103" s="50">
        <f t="shared" si="106"/>
        <v>13</v>
      </c>
      <c r="X103" s="50" t="e">
        <f t="shared" si="107"/>
        <v>#VALUE!</v>
      </c>
      <c r="Y103" s="50">
        <f t="shared" si="108"/>
        <v>22</v>
      </c>
      <c r="Z103" s="50" t="str">
        <f>IFERROR(VLOOKUP(MID(U103,X103,Y103-X103),[6]skilldef!$C:$D,2,FALSE),"-") &amp; " / " &amp; IFERROR(VLOOKUP(MID(U103,V103,W103-V103),[6]skilldef!$A:$B,2,FALSE),"-")</f>
        <v>- / 連続攻撃</v>
      </c>
      <c r="AA103" s="49"/>
      <c r="AB103" s="51"/>
      <c r="AC103" s="49"/>
      <c r="AD103" s="116" t="s">
        <v>389</v>
      </c>
    </row>
    <row r="104" spans="1:33" ht="42" customHeight="1" x14ac:dyDescent="0.15">
      <c r="A104" s="201">
        <v>40045826</v>
      </c>
      <c r="B104" s="47" t="str">
        <f t="shared" si="80"/>
        <v>[effect:enemy_message, val1:1.2, val2:4.3],[effect:spread, val:0.25],[effect:degrade_unit, target:unit_all, turn:3, status:heal, val:0.5, calc:mul, animation:degrade_unit_all_heal]</v>
      </c>
      <c r="C104" s="49">
        <v>3</v>
      </c>
      <c r="D104" s="49" t="s">
        <v>126</v>
      </c>
      <c r="E104" s="50"/>
      <c r="F104" s="50" t="s">
        <v>460</v>
      </c>
      <c r="G104" s="50" t="s">
        <v>428</v>
      </c>
      <c r="H104" s="50" t="str">
        <f t="shared" si="84"/>
        <v>[effect:enemy_message, val1:1.2, val2:4.3]</v>
      </c>
      <c r="I104" s="50">
        <f t="shared" si="85"/>
        <v>9</v>
      </c>
      <c r="J104" s="50">
        <f t="shared" si="99"/>
        <v>22</v>
      </c>
      <c r="K104" s="50" t="e">
        <f t="shared" si="100"/>
        <v>#VALUE!</v>
      </c>
      <c r="L104" s="50">
        <f t="shared" si="101"/>
        <v>32</v>
      </c>
      <c r="M104" s="50" t="str">
        <f>IFERROR(VLOOKUP(MID(H104,K104,L104-K104),[6]skilldef!$C:$D,2,FALSE),"-") &amp; " / " &amp; IFERROR(VLOOKUP(MID(H104,I104,J104-I104),[6]skilldef!$A:$B,2,FALSE),"-")</f>
        <v>- / -</v>
      </c>
      <c r="N104" s="50" t="str">
        <f t="shared" si="82"/>
        <v>[effect:spread, val:0.25],[effect:degrade_unit, target:unit_all, turn:3, status:heal, val:0.5, calc:mul, animation:degrade_unit_all_heal]</v>
      </c>
      <c r="O104" s="46" t="str">
        <f>IFERROR(LEFT(N104,FIND("],",N104)+#REF!),N104)</f>
        <v>[effect:spread, val:0.25],[effect:degrade_unit, target:unit_all, turn:3, status:heal, val:0.5, calc:mul, animation:degrade_unit_all_heal]</v>
      </c>
      <c r="P104" s="50">
        <f t="shared" si="56"/>
        <v>9</v>
      </c>
      <c r="Q104" s="50">
        <f t="shared" si="102"/>
        <v>15</v>
      </c>
      <c r="R104" s="50">
        <f t="shared" si="103"/>
        <v>56</v>
      </c>
      <c r="S104" s="50">
        <f t="shared" si="104"/>
        <v>26</v>
      </c>
      <c r="T104" s="50" t="str">
        <f>IFERROR(VLOOKUP(MID(O104,R104,S104-R104),[6]skilldef!$C:$D,2,FALSE),"-") &amp; " / " &amp; IFERROR(VLOOKUP(MID(O104,P104,Q104-P104),[6]skilldef!$A:$B,2,FALSE),"-")</f>
        <v>- / 全体攻撃</v>
      </c>
      <c r="U104" s="46" t="str">
        <f t="shared" si="105"/>
        <v>[effect:degrade_unit, target:unit_all, turn:3, status:heal, val:0.5, calc:mul, animation:degrade_unit_all_heal]</v>
      </c>
      <c r="V104" s="50">
        <f t="shared" si="61"/>
        <v>9</v>
      </c>
      <c r="W104" s="50">
        <f t="shared" si="106"/>
        <v>21</v>
      </c>
      <c r="X104" s="50">
        <f t="shared" si="107"/>
        <v>30</v>
      </c>
      <c r="Y104" s="50">
        <f t="shared" si="108"/>
        <v>38</v>
      </c>
      <c r="Z104" s="50" t="str">
        <f>IFERROR(VLOOKUP(MID(U104,X104,Y104-X104),[6]skilldef!$C:$D,2,FALSE),"-") &amp; " / " &amp; IFERROR(VLOOKUP(MID(U104,V104,W104-V104),[6]skilldef!$A:$B,2,FALSE),"-")</f>
        <v>味方全体に / ステータスDOWN</v>
      </c>
      <c r="AA104" s="49"/>
      <c r="AB104" s="51"/>
      <c r="AC104" s="49"/>
      <c r="AD104" s="117" t="s">
        <v>365</v>
      </c>
    </row>
    <row r="105" spans="1:33" ht="42" customHeight="1" x14ac:dyDescent="0.15">
      <c r="A105" s="201">
        <v>40045827</v>
      </c>
      <c r="B105" s="47" t="str">
        <f t="shared" si="80"/>
        <v>[effect:enemy_message, val1:1.2, val2:4.6],[effect:force_change_block, new_block:damage, target:normal, color:block_red, count:2, val:0.06, animation:change_block],[effect:force_change_block, new_block:damage, target:normal, color:block_green, count:2, val:0.06, animation:change_block],[effect:force_change_block, new_block:damage, target:normal, color:block_blue, count:2, val:0.06, animation:change_block],[effect:force_change_block, new_block:damage, target:normal, color:block_yellow, count:2, val:0.06, animation:change_block]</v>
      </c>
      <c r="C105" s="49">
        <v>3</v>
      </c>
      <c r="D105" s="49" t="s">
        <v>126</v>
      </c>
      <c r="E105" s="50"/>
      <c r="F105" s="50" t="s">
        <v>466</v>
      </c>
      <c r="G105" s="50" t="s">
        <v>426</v>
      </c>
      <c r="H105" s="50" t="str">
        <f t="shared" si="84"/>
        <v>[effect:enemy_message, val1:1.2, val2:4.6]</v>
      </c>
      <c r="I105" s="50">
        <f t="shared" si="85"/>
        <v>9</v>
      </c>
      <c r="J105" s="50">
        <f t="shared" si="99"/>
        <v>22</v>
      </c>
      <c r="K105" s="50" t="e">
        <f t="shared" si="100"/>
        <v>#VALUE!</v>
      </c>
      <c r="L105" s="50">
        <f t="shared" si="101"/>
        <v>32</v>
      </c>
      <c r="M105" s="50" t="str">
        <f>IFERROR(VLOOKUP(MID(H105,K105,L105-K105),[6]skilldef!$C:$D,2,FALSE),"-") &amp; " / " &amp; IFERROR(VLOOKUP(MID(H105,I105,J105-I105),[6]skilldef!$A:$B,2,FALSE),"-")</f>
        <v>- / -</v>
      </c>
      <c r="N105" s="50" t="str">
        <f t="shared" si="82"/>
        <v>[effect:force_change_block, new_block:damage, target:normal, color:block_red, count:2, val:0.06, animation:change_block],[effect:force_change_block, new_block:damage, target:normal, color:block_green, count:2, val:0.06, animation:change_block],[effect:force_change_block, new_block:damage, target:normal, color:block_blue, count:2, val:0.06, animation:change_block],[effect:force_change_block, new_block:damage, target:normal, color:block_yellow, count:2, val:0.06, animation:change_block]</v>
      </c>
      <c r="O105" s="46" t="str">
        <f>IFERROR(LEFT(N105,FIND("],",N105)+#REF!),N105)</f>
        <v>[effect:force_change_block, new_block:damage, target:normal, color:block_red, count:2, val:0.06, animation:change_block],[effect:force_change_block, new_block:damage, target:normal, color:block_green, count:2, val:0.06, animation:change_block],[effect:force_change_block, new_block:damage, target:normal, color:block_blue, count:2, val:0.06, animation:change_block],[effect:force_change_block, new_block:damage, target:normal, color:block_yellow, count:2, val:0.06, animation:change_block]</v>
      </c>
      <c r="P105" s="50">
        <f t="shared" si="56"/>
        <v>9</v>
      </c>
      <c r="Q105" s="50">
        <f t="shared" si="102"/>
        <v>27</v>
      </c>
      <c r="R105" s="50">
        <f t="shared" si="103"/>
        <v>54</v>
      </c>
      <c r="S105" s="50">
        <f t="shared" si="104"/>
        <v>45</v>
      </c>
      <c r="T105" s="50" t="str">
        <f>IFERROR(VLOOKUP(MID(O105,R105,S105-R105),[6]skilldef!$C:$D,2,FALSE),"-") &amp; " / " &amp; IFERROR(VLOOKUP(MID(O105,P105,Q105-P105),[6]skilldef!$A:$B,2,FALSE),"-")</f>
        <v>- / -</v>
      </c>
      <c r="U105" s="46" t="str">
        <f t="shared" si="105"/>
        <v>[effect:force_change_block, new_block:damage, target:normal, color:block_green, count:2, val:0.06, animation:change_block],[effect:force_change_block, new_block:damage, target:normal, color:block_blue, count:2, val:0.06, animation:change_block],[effect:force_change_block, new_block:damage, target:normal, color:block_yellow, count:2, val:0.06, animation:change_block]</v>
      </c>
      <c r="V105" s="50">
        <f t="shared" si="61"/>
        <v>9</v>
      </c>
      <c r="W105" s="50">
        <f t="shared" si="106"/>
        <v>27</v>
      </c>
      <c r="X105" s="50">
        <f t="shared" si="107"/>
        <v>54</v>
      </c>
      <c r="Y105" s="50">
        <f t="shared" si="108"/>
        <v>45</v>
      </c>
      <c r="Z105" s="50" t="str">
        <f>IFERROR(VLOOKUP(MID(U105,X105,Y105-X105),[6]skilldef!$C:$D,2,FALSE),"-") &amp; " / " &amp; IFERROR(VLOOKUP(MID(U105,V105,W105-V105),[6]skilldef!$A:$B,2,FALSE),"-")</f>
        <v>- / -</v>
      </c>
      <c r="AA105" s="49"/>
      <c r="AB105" s="51"/>
      <c r="AC105" s="49"/>
      <c r="AD105" s="116" t="str">
        <f>"[effect:force_change_block, new_block:damage, target:normal, color:block_red, count:2, val:"&amp;AE105&amp;", animation:change_block],
[effect:force_change_block, new_block:damage, target:normal, color:block_green, count:2, val:"&amp;AE105&amp;", animation:change_block],
[effect:force_change_block, new_block:damage, target:normal, color:block_blue, count:2, val:"&amp;AE105&amp;", animation:change_block],
[effect:force_change_block, new_block:damage, target:normal, color:block_yellow, count:2, val:"&amp;AE105&amp;", animation:change_block]"</f>
        <v>[effect:force_change_block, new_block:damage, target:normal, color:block_red, count:2, val:0.06, animation:change_block],_x000D_[effect:force_change_block, new_block:damage, target:normal, color:block_green, count:2, val:0.06, animation:change_block],_x000D_[effect:force_change_block, new_block:damage, target:normal, color:block_blue, count:2, val:0.06, animation:change_block],_x000D_[effect:force_change_block, new_block:damage, target:normal, color:block_yellow, count:2, val:0.06, animation:change_block]</v>
      </c>
      <c r="AE105" s="127">
        <v>0.06</v>
      </c>
    </row>
    <row r="106" spans="1:33" ht="42" customHeight="1" x14ac:dyDescent="0.15">
      <c r="A106" s="201">
        <v>40045828</v>
      </c>
      <c r="B106" s="47" t="str">
        <f t="shared" si="80"/>
        <v>[effect:enemy_message, val1:1.2, val2:3.8],[effect:damage_anti_abnormal, target:unit_all, target_effect01:virus, val1:1.0, val2:0.7]</v>
      </c>
      <c r="C106" s="49">
        <v>3</v>
      </c>
      <c r="D106" s="49" t="s">
        <v>126</v>
      </c>
      <c r="E106" s="50"/>
      <c r="F106" s="50" t="s">
        <v>480</v>
      </c>
      <c r="G106" s="50" t="s">
        <v>427</v>
      </c>
      <c r="H106" s="50" t="str">
        <f t="shared" si="84"/>
        <v>[effect:enemy_message, val1:1.2, val2:3.8]</v>
      </c>
      <c r="I106" s="50">
        <f t="shared" si="85"/>
        <v>9</v>
      </c>
      <c r="J106" s="50">
        <f t="shared" si="99"/>
        <v>22</v>
      </c>
      <c r="K106" s="50" t="e">
        <f t="shared" si="100"/>
        <v>#VALUE!</v>
      </c>
      <c r="L106" s="50">
        <f t="shared" si="101"/>
        <v>32</v>
      </c>
      <c r="M106" s="50" t="str">
        <f>IFERROR(VLOOKUP(MID(H106,K106,L106-K106),[6]skilldef!$C:$D,2,FALSE),"-") &amp; " / " &amp; IFERROR(VLOOKUP(MID(H106,I106,J106-I106),[6]skilldef!$A:$B,2,FALSE),"-")</f>
        <v>- / -</v>
      </c>
      <c r="N106" s="50" t="str">
        <f t="shared" si="82"/>
        <v>[effect:damage_anti_abnormal, target:unit_all, target_effect01:virus, val1:1.0, val2:0.7]</v>
      </c>
      <c r="O106" s="46" t="str">
        <f>IFERROR(LEFT(N106,FIND("],",N106)+#REF!),N106)</f>
        <v>[effect:damage_anti_abnormal, target:unit_all, target_effect01:virus, val1:1.0, val2:0.7]</v>
      </c>
      <c r="P106" s="50">
        <f t="shared" si="56"/>
        <v>9</v>
      </c>
      <c r="Q106" s="50">
        <f t="shared" si="102"/>
        <v>29</v>
      </c>
      <c r="R106" s="50">
        <f t="shared" si="103"/>
        <v>38</v>
      </c>
      <c r="S106" s="50">
        <f t="shared" si="104"/>
        <v>46</v>
      </c>
      <c r="T106" s="50" t="str">
        <f>IFERROR(VLOOKUP(MID(O106,R106,S106-R106),[6]skilldef!$C:$D,2,FALSE),"-") &amp; " / " &amp; IFERROR(VLOOKUP(MID(O106,P106,Q106-P106),[6]skilldef!$A:$B,2,FALSE),"-")</f>
        <v>味方全体に / -</v>
      </c>
      <c r="U106" s="46" t="str">
        <f t="shared" si="105"/>
        <v>none</v>
      </c>
      <c r="V106" s="50" t="e">
        <f t="shared" si="61"/>
        <v>#VALUE!</v>
      </c>
      <c r="W106" s="50">
        <f t="shared" si="106"/>
        <v>4</v>
      </c>
      <c r="X106" s="50" t="e">
        <f t="shared" si="107"/>
        <v>#VALUE!</v>
      </c>
      <c r="Y106" s="50" t="e">
        <f t="shared" si="108"/>
        <v>#VALUE!</v>
      </c>
      <c r="Z106" s="50" t="str">
        <f>IFERROR(VLOOKUP(MID(U106,X106,Y106-X106),[6]skilldef!$C:$D,2,FALSE),"-") &amp; " / " &amp; IFERROR(VLOOKUP(MID(U106,V106,W106-V106),[6]skilldef!$A:$B,2,FALSE),"-")</f>
        <v>- / -</v>
      </c>
      <c r="AA106" s="49"/>
      <c r="AB106" s="51"/>
      <c r="AC106" s="49"/>
      <c r="AD106" s="116" t="s">
        <v>553</v>
      </c>
    </row>
    <row r="107" spans="1:33" ht="42" customHeight="1" x14ac:dyDescent="0.15">
      <c r="A107" s="201">
        <v>40045830</v>
      </c>
      <c r="B107" s="47" t="str">
        <f t="shared" si="80"/>
        <v>[effect:enemy_message, val1:1.2, val2:1.3],[effect:break_attack_fix, target:unit_all, val:200, lowest_val:500, count:-1, block01:block_red]</v>
      </c>
      <c r="C107" s="49">
        <v>3</v>
      </c>
      <c r="D107" s="49" t="s">
        <v>126</v>
      </c>
      <c r="E107" s="50"/>
      <c r="F107" s="50" t="s">
        <v>444</v>
      </c>
      <c r="G107" s="50" t="s">
        <v>388</v>
      </c>
      <c r="H107" s="50" t="str">
        <f t="shared" si="84"/>
        <v>[effect:enemy_message, val1:1.2, val2:1.3]</v>
      </c>
      <c r="I107" s="50">
        <f t="shared" si="85"/>
        <v>9</v>
      </c>
      <c r="J107" s="50">
        <f t="shared" ref="J107:J110" si="109">IFERROR(FIND(",",H107),LEN(H107))</f>
        <v>22</v>
      </c>
      <c r="K107" s="50" t="e">
        <f t="shared" ref="K107:K110" si="110">FIND("target:",H107)+7</f>
        <v>#VALUE!</v>
      </c>
      <c r="L107" s="50">
        <f t="shared" ref="L107:L110" si="111">FIND(",",H107,J107+1)</f>
        <v>32</v>
      </c>
      <c r="M107" s="50" t="str">
        <f>IFERROR(VLOOKUP(MID(H107,K107,L107-K107),[6]skilldef!$C:$D,2,FALSE),"-") &amp; " / " &amp; IFERROR(VLOOKUP(MID(H107,I107,J107-I107),[6]skilldef!$A:$B,2,FALSE),"-")</f>
        <v>- / -</v>
      </c>
      <c r="N107" s="50" t="str">
        <f t="shared" si="82"/>
        <v>[effect:break_attack_fix, target:unit_all, val:200, lowest_val:500, count:-1, block01:block_red]</v>
      </c>
      <c r="O107" s="46" t="str">
        <f>IFERROR(LEFT(N107,FIND("],",N107)+T129),N107)</f>
        <v>[effect:break_attack_fix, target:unit_all, val:200, lowest_val:500, count:-1, block01:block_red]</v>
      </c>
      <c r="P107" s="50">
        <f t="shared" si="56"/>
        <v>9</v>
      </c>
      <c r="Q107" s="50">
        <f t="shared" ref="Q107:Q110" si="112">IFERROR(FIND(",",O107),LEN(O107))</f>
        <v>25</v>
      </c>
      <c r="R107" s="50">
        <f t="shared" ref="R107:R110" si="113">FIND("target:",O107)+7</f>
        <v>34</v>
      </c>
      <c r="S107" s="50">
        <f t="shared" ref="S107:S110" si="114">FIND(",",O107,Q107+1)</f>
        <v>42</v>
      </c>
      <c r="T107" s="50" t="str">
        <f>IFERROR(VLOOKUP(MID(O107,R107,S107-R107),[6]skilldef!$C:$D,2,FALSE),"-") &amp; " / " &amp; IFERROR(VLOOKUP(MID(O107,P107,Q107-P107),[6]skilldef!$A:$B,2,FALSE),"-")</f>
        <v>味方全体に / -</v>
      </c>
      <c r="U107" s="46" t="str">
        <f t="shared" ref="U107:U110" si="115">IFERROR(RIGHT(N107,LEN(N107)-FIND("],",N107)-1),"none")</f>
        <v>none</v>
      </c>
      <c r="V107" s="50" t="e">
        <f t="shared" si="61"/>
        <v>#VALUE!</v>
      </c>
      <c r="W107" s="50">
        <f t="shared" ref="W107:W110" si="116">IFERROR(FIND(",",U107),LEN(U107))</f>
        <v>4</v>
      </c>
      <c r="X107" s="50" t="e">
        <f t="shared" ref="X107:X110" si="117">FIND("target:",U107)+7</f>
        <v>#VALUE!</v>
      </c>
      <c r="Y107" s="50" t="e">
        <f t="shared" ref="Y107:Y110" si="118">FIND(",",U107,W107+1)</f>
        <v>#VALUE!</v>
      </c>
      <c r="Z107" s="50" t="str">
        <f>IFERROR(VLOOKUP(MID(U107,X107,Y107-X107),[6]skilldef!$C:$D,2,FALSE),"-") &amp; " / " &amp; IFERROR(VLOOKUP(MID(U107,V107,W107-V107),[6]skilldef!$A:$B,2,FALSE),"-")</f>
        <v>- / -</v>
      </c>
      <c r="AA107" s="49"/>
      <c r="AB107" s="51"/>
      <c r="AC107" s="49"/>
      <c r="AD107" s="116" t="s">
        <v>359</v>
      </c>
    </row>
    <row r="108" spans="1:33" ht="42" customHeight="1" x14ac:dyDescent="0.15">
      <c r="A108" s="201">
        <v>40045831</v>
      </c>
      <c r="B108" s="47" t="str">
        <f t="shared" si="80"/>
        <v xml:space="preserve">[effect:enemy_message, val1:1.4, val2:1.6],[effect:break_attack_fix, target:unit_all, val:150, lowest_val:1000, count:-1, block01:damage]    </v>
      </c>
      <c r="C108" s="49">
        <v>3</v>
      </c>
      <c r="D108" s="49" t="s">
        <v>126</v>
      </c>
      <c r="E108" s="50"/>
      <c r="F108" s="50" t="s">
        <v>443</v>
      </c>
      <c r="G108" s="50" t="s">
        <v>363</v>
      </c>
      <c r="H108" s="50" t="str">
        <f t="shared" si="84"/>
        <v>[effect:enemy_message, val1:1.4, val2:1.6]</v>
      </c>
      <c r="I108" s="50">
        <f t="shared" si="85"/>
        <v>9</v>
      </c>
      <c r="J108" s="50">
        <f t="shared" si="109"/>
        <v>22</v>
      </c>
      <c r="K108" s="50" t="e">
        <f t="shared" si="110"/>
        <v>#VALUE!</v>
      </c>
      <c r="L108" s="50">
        <f t="shared" si="111"/>
        <v>32</v>
      </c>
      <c r="M108" s="50" t="str">
        <f>IFERROR(VLOOKUP(MID(H108,K108,L108-K108),[6]skilldef!$C:$D,2,FALSE),"-") &amp; " / " &amp; IFERROR(VLOOKUP(MID(H108,I108,J108-I108),[6]skilldef!$A:$B,2,FALSE),"-")</f>
        <v>- / -</v>
      </c>
      <c r="N108" s="50" t="str">
        <f t="shared" si="82"/>
        <v xml:space="preserve">[effect:break_attack_fix, target:unit_all, val:150, lowest_val:1000, count:-1, block01:damage]    </v>
      </c>
      <c r="O108" s="46" t="str">
        <f>IFERROR(LEFT(N108,FIND("],",N108)+T130),N108)</f>
        <v xml:space="preserve">[effect:break_attack_fix, target:unit_all, val:150, lowest_val:1000, count:-1, block01:damage]    </v>
      </c>
      <c r="P108" s="50">
        <f t="shared" si="56"/>
        <v>9</v>
      </c>
      <c r="Q108" s="50">
        <f t="shared" si="112"/>
        <v>25</v>
      </c>
      <c r="R108" s="50">
        <f t="shared" si="113"/>
        <v>34</v>
      </c>
      <c r="S108" s="50">
        <f t="shared" si="114"/>
        <v>42</v>
      </c>
      <c r="T108" s="50" t="str">
        <f>IFERROR(VLOOKUP(MID(O108,R108,S108-R108),[6]skilldef!$C:$D,2,FALSE),"-") &amp; " / " &amp; IFERROR(VLOOKUP(MID(O108,P108,Q108-P108),[6]skilldef!$A:$B,2,FALSE),"-")</f>
        <v>味方全体に / -</v>
      </c>
      <c r="U108" s="46" t="str">
        <f t="shared" si="115"/>
        <v>none</v>
      </c>
      <c r="V108" s="50" t="e">
        <f t="shared" si="61"/>
        <v>#VALUE!</v>
      </c>
      <c r="W108" s="50">
        <f t="shared" si="116"/>
        <v>4</v>
      </c>
      <c r="X108" s="50" t="e">
        <f t="shared" si="117"/>
        <v>#VALUE!</v>
      </c>
      <c r="Y108" s="50" t="e">
        <f t="shared" si="118"/>
        <v>#VALUE!</v>
      </c>
      <c r="Z108" s="50" t="str">
        <f>IFERROR(VLOOKUP(MID(U108,X108,Y108-X108),[6]skilldef!$C:$D,2,FALSE),"-") &amp; " / " &amp; IFERROR(VLOOKUP(MID(U108,V108,W108-V108),[6]skilldef!$A:$B,2,FALSE),"-")</f>
        <v>- / -</v>
      </c>
      <c r="AA108" s="49"/>
      <c r="AB108" s="51"/>
      <c r="AC108" s="49"/>
      <c r="AD108" s="116" t="s">
        <v>360</v>
      </c>
    </row>
    <row r="109" spans="1:33" ht="42" customHeight="1" x14ac:dyDescent="0.15">
      <c r="A109" s="201">
        <v>40045832</v>
      </c>
      <c r="B109" s="47" t="str">
        <f t="shared" si="80"/>
        <v>[effect:enemy_message, val1:1.2, val2:2.7],[effect:critical, val:1.5, animation:enemy_critical],[effect:force_change_block, new_block:damage, target:block_red, color:block_red, count:3, val:0.1, animation:change_bock]</v>
      </c>
      <c r="C109" s="49">
        <v>3</v>
      </c>
      <c r="D109" s="49" t="s">
        <v>126</v>
      </c>
      <c r="E109" s="50"/>
      <c r="F109" s="50" t="s">
        <v>445</v>
      </c>
      <c r="G109" s="50" t="s">
        <v>379</v>
      </c>
      <c r="H109" s="50" t="str">
        <f t="shared" si="84"/>
        <v>[effect:enemy_message, val1:1.2, val2:2.7]</v>
      </c>
      <c r="I109" s="50">
        <f t="shared" si="85"/>
        <v>9</v>
      </c>
      <c r="J109" s="50">
        <f t="shared" si="109"/>
        <v>22</v>
      </c>
      <c r="K109" s="50" t="e">
        <f t="shared" si="110"/>
        <v>#VALUE!</v>
      </c>
      <c r="L109" s="50">
        <f t="shared" si="111"/>
        <v>32</v>
      </c>
      <c r="M109" s="50" t="str">
        <f>IFERROR(VLOOKUP(MID(H109,K109,L109-K109),[6]skilldef!$C:$D,2,FALSE),"-") &amp; " / " &amp; IFERROR(VLOOKUP(MID(H109,I109,J109-I109),[6]skilldef!$A:$B,2,FALSE),"-")</f>
        <v>- / -</v>
      </c>
      <c r="N109" s="50" t="str">
        <f t="shared" si="82"/>
        <v>[effect:critical, val:1.5, animation:enemy_critical],[effect:force_change_block, new_block:damage, target:block_red, color:block_red, count:3, val:0.1, animation:change_bock]</v>
      </c>
      <c r="O109" s="46" t="str">
        <f>IFERROR(LEFT(N109,FIND("],",N109)+T131),N109)</f>
        <v>[effect:critical, val:1.5, animation:enemy_critical],[effect:force_change_block, new_block:damage, target:block_red, color:block_red, count:3, val:0.1, animation:change_bock]</v>
      </c>
      <c r="P109" s="50">
        <f t="shared" si="56"/>
        <v>9</v>
      </c>
      <c r="Q109" s="50">
        <f t="shared" si="112"/>
        <v>17</v>
      </c>
      <c r="R109" s="50">
        <f t="shared" si="113"/>
        <v>107</v>
      </c>
      <c r="S109" s="50">
        <f t="shared" si="114"/>
        <v>26</v>
      </c>
      <c r="T109" s="50" t="str">
        <f>IFERROR(VLOOKUP(MID(O109,R109,S109-R109),[6]skilldef!$C:$D,2,FALSE),"-") &amp; " / " &amp; IFERROR(VLOOKUP(MID(O109,P109,Q109-P109),[6]skilldef!$A:$B,2,FALSE),"-")</f>
        <v>- / 大攻撃</v>
      </c>
      <c r="U109" s="46" t="str">
        <f t="shared" si="115"/>
        <v>[effect:force_change_block, new_block:damage, target:block_red, color:block_red, count:3, val:0.1, animation:change_bock]</v>
      </c>
      <c r="V109" s="50">
        <f t="shared" si="61"/>
        <v>9</v>
      </c>
      <c r="W109" s="50">
        <f t="shared" si="116"/>
        <v>27</v>
      </c>
      <c r="X109" s="50">
        <f t="shared" si="117"/>
        <v>54</v>
      </c>
      <c r="Y109" s="50">
        <f t="shared" si="118"/>
        <v>45</v>
      </c>
      <c r="Z109" s="50" t="str">
        <f>IFERROR(VLOOKUP(MID(U109,X109,Y109-X109),[6]skilldef!$C:$D,2,FALSE),"-") &amp; " / " &amp; IFERROR(VLOOKUP(MID(U109,V109,W109-V109),[6]skilldef!$A:$B,2,FALSE),"-")</f>
        <v>- / -</v>
      </c>
      <c r="AA109" s="49"/>
      <c r="AB109" s="51"/>
      <c r="AC109" s="49"/>
      <c r="AD109" s="116" t="s">
        <v>378</v>
      </c>
    </row>
    <row r="110" spans="1:33" ht="42" customHeight="1" x14ac:dyDescent="0.15">
      <c r="A110" s="201">
        <v>40045833</v>
      </c>
      <c r="B110" s="47" t="str">
        <f t="shared" si="80"/>
        <v>[effect:enemy_message, val1:1.2, val2:2.5],[effect:spread, val:0.4],[effect:degrade_unit, target:unit_all, turn:2, status:heal, val:0.5, calc:mul, animation:degrade_unit_all_heal]</v>
      </c>
      <c r="C110" s="49">
        <v>3</v>
      </c>
      <c r="D110" s="49" t="s">
        <v>126</v>
      </c>
      <c r="E110" s="50"/>
      <c r="F110" s="50" t="s">
        <v>481</v>
      </c>
      <c r="G110" s="50" t="s">
        <v>381</v>
      </c>
      <c r="H110" s="50" t="str">
        <f t="shared" si="84"/>
        <v>[effect:enemy_message, val1:1.2, val2:2.5]</v>
      </c>
      <c r="I110" s="50">
        <f t="shared" si="85"/>
        <v>9</v>
      </c>
      <c r="J110" s="50">
        <f t="shared" si="109"/>
        <v>22</v>
      </c>
      <c r="K110" s="50" t="e">
        <f t="shared" si="110"/>
        <v>#VALUE!</v>
      </c>
      <c r="L110" s="50">
        <f t="shared" si="111"/>
        <v>32</v>
      </c>
      <c r="M110" s="50" t="str">
        <f>IFERROR(VLOOKUP(MID(H110,K110,L110-K110),[6]skilldef!$C:$D,2,FALSE),"-") &amp; " / " &amp; IFERROR(VLOOKUP(MID(H110,I110,J110-I110),[6]skilldef!$A:$B,2,FALSE),"-")</f>
        <v>- / -</v>
      </c>
      <c r="N110" s="50" t="str">
        <f t="shared" si="82"/>
        <v>[effect:spread, val:0.4],[effect:degrade_unit, target:unit_all, turn:2, status:heal, val:0.5, calc:mul, animation:degrade_unit_all_heal]</v>
      </c>
      <c r="O110" s="46" t="str">
        <f>IFERROR(LEFT(N110,FIND("],",N110)+T128),N110)</f>
        <v>[effect:spread, val:0.4],[effect:degrade_unit, target:unit_all, turn:2, status:heal, val:0.5, calc:mul, animation:degrade_unit_all_heal]</v>
      </c>
      <c r="P110" s="50">
        <f t="shared" si="56"/>
        <v>9</v>
      </c>
      <c r="Q110" s="50">
        <f t="shared" si="112"/>
        <v>15</v>
      </c>
      <c r="R110" s="50">
        <f t="shared" si="113"/>
        <v>55</v>
      </c>
      <c r="S110" s="50">
        <f t="shared" si="114"/>
        <v>25</v>
      </c>
      <c r="T110" s="50" t="str">
        <f>IFERROR(VLOOKUP(MID(O110,R110,S110-R110),[6]skilldef!$C:$D,2,FALSE),"-") &amp; " / " &amp; IFERROR(VLOOKUP(MID(O110,P110,Q110-P110),[6]skilldef!$A:$B,2,FALSE),"-")</f>
        <v>- / 全体攻撃</v>
      </c>
      <c r="U110" s="46" t="str">
        <f t="shared" si="115"/>
        <v>[effect:degrade_unit, target:unit_all, turn:2, status:heal, val:0.5, calc:mul, animation:degrade_unit_all_heal]</v>
      </c>
      <c r="V110" s="50">
        <f t="shared" si="61"/>
        <v>9</v>
      </c>
      <c r="W110" s="50">
        <f t="shared" si="116"/>
        <v>21</v>
      </c>
      <c r="X110" s="50">
        <f t="shared" si="117"/>
        <v>30</v>
      </c>
      <c r="Y110" s="50">
        <f t="shared" si="118"/>
        <v>38</v>
      </c>
      <c r="Z110" s="50" t="str">
        <f>IFERROR(VLOOKUP(MID(U110,X110,Y110-X110),[6]skilldef!$C:$D,2,FALSE),"-") &amp; " / " &amp; IFERROR(VLOOKUP(MID(U110,V110,W110-V110),[6]skilldef!$A:$B,2,FALSE),"-")</f>
        <v>味方全体に / ステータスDOWN</v>
      </c>
      <c r="AA110" s="49"/>
      <c r="AB110" s="51"/>
      <c r="AC110" s="49"/>
      <c r="AD110" s="116" t="s">
        <v>382</v>
      </c>
    </row>
    <row r="111" spans="1:33" ht="42" customHeight="1" thickBot="1" x14ac:dyDescent="0.2">
      <c r="A111" s="307">
        <v>40045834</v>
      </c>
      <c r="B111" s="106" t="s">
        <v>538</v>
      </c>
      <c r="C111" s="192">
        <v>3</v>
      </c>
      <c r="D111" s="192" t="s">
        <v>126</v>
      </c>
      <c r="E111" s="108"/>
      <c r="F111" s="108" t="s">
        <v>506</v>
      </c>
      <c r="G111" s="108" t="s">
        <v>419</v>
      </c>
      <c r="H111" s="108" t="str">
        <f t="shared" si="84"/>
        <v>[effect:enemy_message, val1:1.7, val2:0.0]</v>
      </c>
      <c r="I111" s="108">
        <f t="shared" si="85"/>
        <v>9</v>
      </c>
      <c r="J111" s="108">
        <f t="shared" ref="J111:J135" si="119">IFERROR(FIND(",",H111),LEN(H111))</f>
        <v>22</v>
      </c>
      <c r="K111" s="108" t="e">
        <f t="shared" ref="K111:K135" si="120">FIND("target:",H111)+7</f>
        <v>#VALUE!</v>
      </c>
      <c r="L111" s="108">
        <f t="shared" ref="L111:L135" si="121">FIND(",",H111,J111+1)</f>
        <v>32</v>
      </c>
      <c r="M111" s="108" t="str">
        <f>IFERROR(VLOOKUP(MID(H111,K111,L111-K111),[6]skilldef!$C:$D,2,FALSE),"-") &amp; " / " &amp; IFERROR(VLOOKUP(MID(H111,I111,J111-I111),[6]skilldef!$A:$B,2,FALSE),"-")</f>
        <v>- / -</v>
      </c>
      <c r="N111" s="108" t="str">
        <f t="shared" si="82"/>
        <v>none</v>
      </c>
      <c r="O111" s="106" t="str">
        <f>IFERROR(LEFT(N111,FIND("],",N111)+T136),N111)</f>
        <v>none</v>
      </c>
      <c r="P111" s="108" t="e">
        <f t="shared" ref="P111:P135" si="122">FIND("effect:",O111)+7</f>
        <v>#VALUE!</v>
      </c>
      <c r="Q111" s="108">
        <f t="shared" ref="Q111:Q135" si="123">IFERROR(FIND(",",O111),LEN(O111))</f>
        <v>4</v>
      </c>
      <c r="R111" s="108" t="e">
        <f t="shared" ref="R111:R135" si="124">FIND("target:",O111)+7</f>
        <v>#VALUE!</v>
      </c>
      <c r="S111" s="108" t="e">
        <f t="shared" ref="S111:S135" si="125">FIND(",",O111,Q111+1)</f>
        <v>#VALUE!</v>
      </c>
      <c r="T111" s="108" t="str">
        <f>IFERROR(VLOOKUP(MID(O111,R111,S111-R111),[6]skilldef!$C:$D,2,FALSE),"-") &amp; " / " &amp; IFERROR(VLOOKUP(MID(O111,P111,Q111-P111),[6]skilldef!$A:$B,2,FALSE),"-")</f>
        <v>- / -</v>
      </c>
      <c r="U111" s="106" t="str">
        <f t="shared" ref="U111:U135" si="126">IFERROR(RIGHT(N111,LEN(N111)-FIND("],",N111)-1),"none")</f>
        <v>none</v>
      </c>
      <c r="V111" s="108" t="e">
        <f t="shared" ref="V111:V135" si="127">FIND("effect:",U111)+7</f>
        <v>#VALUE!</v>
      </c>
      <c r="W111" s="108">
        <f t="shared" ref="W111:W135" si="128">IFERROR(FIND(",",U111),LEN(U111))</f>
        <v>4</v>
      </c>
      <c r="X111" s="108" t="e">
        <f t="shared" ref="X111:X135" si="129">FIND("target:",U111)+7</f>
        <v>#VALUE!</v>
      </c>
      <c r="Y111" s="108" t="e">
        <f t="shared" ref="Y111:Y135" si="130">FIND(",",U111,W111+1)</f>
        <v>#VALUE!</v>
      </c>
      <c r="Z111" s="108" t="str">
        <f>IFERROR(VLOOKUP(MID(U111,X111,Y111-X111),[6]skilldef!$C:$D,2,FALSE),"-") &amp; " / " &amp; IFERROR(VLOOKUP(MID(U111,V111,W111-V111),[6]skilldef!$A:$B,2,FALSE),"-")</f>
        <v>- / -</v>
      </c>
      <c r="AA111" s="192"/>
      <c r="AB111" s="193"/>
      <c r="AC111" s="192"/>
      <c r="AD111" s="194"/>
    </row>
    <row r="112" spans="1:33" s="130" customFormat="1" ht="42" customHeight="1" x14ac:dyDescent="0.15">
      <c r="A112" s="304">
        <v>40045950</v>
      </c>
      <c r="B112" s="47" t="str">
        <f t="shared" ref="B112:B121" si="131">"[effect:enemy_message, val1:"&amp;TEXT(IF(TEXT(F112,0)="[表示しない]", "0", IF(LEN(SUBSTITUTE(F112,CHAR(13),""))*0.1&lt;1.2, 1.2, LEN(SUBSTITUTE(F112,CHAR(13),""))*0.1)), "0.0")&amp;", val2:"&amp;TEXT(IF(TEXT(G112,0)="[表示しない]", "0", IF(LEN(SUBSTITUTE(G112,CHAR(13),""))*0.1&lt;1.2, 1.2, LEN(SUBSTITUTE(G112,CHAR(13),""))*0.1)),"0.0")&amp;"]"&amp;IF(LEN(AD112)&gt;0, ","&amp;SUBSTITUTE(AD112,CHAR(13),""),SUBSTITUTE(AD112,CHAR(13),""))</f>
        <v>[effect:enemy_message, val1:1.3,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112" s="185">
        <v>3</v>
      </c>
      <c r="D112" s="306" t="s">
        <v>126</v>
      </c>
      <c r="E112" s="135" t="s">
        <v>485</v>
      </c>
      <c r="F112" s="305" t="s">
        <v>511</v>
      </c>
      <c r="G112" s="105" t="s">
        <v>636</v>
      </c>
      <c r="H112" s="105" t="s">
        <v>601</v>
      </c>
      <c r="I112" s="105">
        <v>9</v>
      </c>
      <c r="J112" s="105">
        <v>22</v>
      </c>
      <c r="K112" s="105" t="e">
        <v>#VALUE!</v>
      </c>
      <c r="L112" s="105">
        <v>32</v>
      </c>
      <c r="M112" s="105" t="s">
        <v>602</v>
      </c>
      <c r="N112" s="105" t="s">
        <v>603</v>
      </c>
      <c r="O112" s="104" t="s">
        <v>603</v>
      </c>
      <c r="P112" s="105">
        <v>9</v>
      </c>
      <c r="Q112" s="105">
        <v>18</v>
      </c>
      <c r="R112" s="105">
        <v>27</v>
      </c>
      <c r="S112" s="105">
        <v>33</v>
      </c>
      <c r="T112" s="105" t="s">
        <v>604</v>
      </c>
      <c r="U112" s="104" t="s">
        <v>605</v>
      </c>
      <c r="V112" s="105">
        <v>9</v>
      </c>
      <c r="W112" s="105">
        <v>23</v>
      </c>
      <c r="X112" s="105">
        <v>83</v>
      </c>
      <c r="Y112" s="105">
        <v>32</v>
      </c>
      <c r="Z112" s="105" t="s">
        <v>606</v>
      </c>
      <c r="AA112" s="185"/>
      <c r="AB112" s="187"/>
      <c r="AC112" s="185"/>
      <c r="AD112" s="116" t="s">
        <v>589</v>
      </c>
      <c r="AE112" s="129"/>
    </row>
    <row r="113" spans="1:31" s="130" customFormat="1" ht="42" customHeight="1" x14ac:dyDescent="0.15">
      <c r="A113" s="204">
        <v>40045951</v>
      </c>
      <c r="B113" s="47" t="str">
        <f t="shared" si="131"/>
        <v>[effect:enemy_message, val1:1.8,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113" s="49">
        <v>3</v>
      </c>
      <c r="D113" s="125" t="s">
        <v>126</v>
      </c>
      <c r="E113" s="123" t="s">
        <v>482</v>
      </c>
      <c r="F113" s="123" t="s">
        <v>551</v>
      </c>
      <c r="G113" s="105" t="s">
        <v>636</v>
      </c>
      <c r="H113" s="50" t="s">
        <v>601</v>
      </c>
      <c r="I113" s="50">
        <v>9</v>
      </c>
      <c r="J113" s="50">
        <v>22</v>
      </c>
      <c r="K113" s="50" t="e">
        <v>#VALUE!</v>
      </c>
      <c r="L113" s="50">
        <v>32</v>
      </c>
      <c r="M113" s="50" t="s">
        <v>602</v>
      </c>
      <c r="N113" s="50" t="s">
        <v>603</v>
      </c>
      <c r="O113" s="46" t="s">
        <v>603</v>
      </c>
      <c r="P113" s="50">
        <v>9</v>
      </c>
      <c r="Q113" s="50">
        <v>18</v>
      </c>
      <c r="R113" s="50">
        <v>27</v>
      </c>
      <c r="S113" s="50">
        <v>33</v>
      </c>
      <c r="T113" s="50" t="s">
        <v>604</v>
      </c>
      <c r="U113" s="46" t="s">
        <v>605</v>
      </c>
      <c r="V113" s="50">
        <v>9</v>
      </c>
      <c r="W113" s="50">
        <v>23</v>
      </c>
      <c r="X113" s="50">
        <v>83</v>
      </c>
      <c r="Y113" s="50">
        <v>32</v>
      </c>
      <c r="Z113" s="50" t="s">
        <v>606</v>
      </c>
      <c r="AA113" s="49"/>
      <c r="AB113" s="51"/>
      <c r="AC113" s="49"/>
      <c r="AD113" s="116" t="s">
        <v>589</v>
      </c>
      <c r="AE113" s="129"/>
    </row>
    <row r="114" spans="1:31" s="130" customFormat="1" ht="42" customHeight="1" x14ac:dyDescent="0.15">
      <c r="A114" s="204">
        <v>40045952</v>
      </c>
      <c r="B114" s="47" t="str">
        <f t="shared" si="131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114" s="49">
        <v>3</v>
      </c>
      <c r="D114" s="125" t="s">
        <v>126</v>
      </c>
      <c r="E114" s="123" t="s">
        <v>483</v>
      </c>
      <c r="F114" s="123" t="s">
        <v>522</v>
      </c>
      <c r="G114" s="105" t="s">
        <v>636</v>
      </c>
      <c r="H114" s="50" t="s">
        <v>601</v>
      </c>
      <c r="I114" s="50">
        <v>9</v>
      </c>
      <c r="J114" s="50">
        <v>22</v>
      </c>
      <c r="K114" s="50" t="e">
        <v>#VALUE!</v>
      </c>
      <c r="L114" s="50">
        <v>32</v>
      </c>
      <c r="M114" s="50" t="s">
        <v>602</v>
      </c>
      <c r="N114" s="50" t="s">
        <v>603</v>
      </c>
      <c r="O114" s="46" t="s">
        <v>603</v>
      </c>
      <c r="P114" s="50">
        <v>9</v>
      </c>
      <c r="Q114" s="50">
        <v>18</v>
      </c>
      <c r="R114" s="50">
        <v>27</v>
      </c>
      <c r="S114" s="50">
        <v>33</v>
      </c>
      <c r="T114" s="50" t="s">
        <v>604</v>
      </c>
      <c r="U114" s="46" t="s">
        <v>605</v>
      </c>
      <c r="V114" s="50">
        <v>9</v>
      </c>
      <c r="W114" s="50">
        <v>23</v>
      </c>
      <c r="X114" s="50">
        <v>83</v>
      </c>
      <c r="Y114" s="50">
        <v>32</v>
      </c>
      <c r="Z114" s="50" t="s">
        <v>606</v>
      </c>
      <c r="AA114" s="49"/>
      <c r="AB114" s="51"/>
      <c r="AC114" s="49"/>
      <c r="AD114" s="116" t="s">
        <v>589</v>
      </c>
      <c r="AE114" s="129"/>
    </row>
    <row r="115" spans="1:31" s="130" customFormat="1" ht="42" customHeight="1" x14ac:dyDescent="0.15">
      <c r="A115" s="204">
        <v>40045953</v>
      </c>
      <c r="B115" s="47" t="str">
        <f t="shared" si="131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115" s="49">
        <v>3</v>
      </c>
      <c r="D115" s="125" t="s">
        <v>126</v>
      </c>
      <c r="E115" s="123" t="s">
        <v>484</v>
      </c>
      <c r="F115" s="123" t="s">
        <v>523</v>
      </c>
      <c r="G115" s="105" t="s">
        <v>636</v>
      </c>
      <c r="H115" s="50" t="s">
        <v>601</v>
      </c>
      <c r="I115" s="50">
        <v>9</v>
      </c>
      <c r="J115" s="50">
        <v>22</v>
      </c>
      <c r="K115" s="50" t="e">
        <v>#VALUE!</v>
      </c>
      <c r="L115" s="50">
        <v>32</v>
      </c>
      <c r="M115" s="50" t="s">
        <v>602</v>
      </c>
      <c r="N115" s="50" t="s">
        <v>603</v>
      </c>
      <c r="O115" s="46" t="s">
        <v>603</v>
      </c>
      <c r="P115" s="50">
        <v>9</v>
      </c>
      <c r="Q115" s="50">
        <v>18</v>
      </c>
      <c r="R115" s="50">
        <v>27</v>
      </c>
      <c r="S115" s="50">
        <v>33</v>
      </c>
      <c r="T115" s="50" t="s">
        <v>604</v>
      </c>
      <c r="U115" s="46" t="s">
        <v>605</v>
      </c>
      <c r="V115" s="50">
        <v>9</v>
      </c>
      <c r="W115" s="50">
        <v>23</v>
      </c>
      <c r="X115" s="50">
        <v>83</v>
      </c>
      <c r="Y115" s="50">
        <v>32</v>
      </c>
      <c r="Z115" s="50" t="s">
        <v>606</v>
      </c>
      <c r="AA115" s="49"/>
      <c r="AB115" s="51"/>
      <c r="AC115" s="49"/>
      <c r="AD115" s="116" t="s">
        <v>589</v>
      </c>
      <c r="AE115" s="129"/>
    </row>
    <row r="116" spans="1:31" s="130" customFormat="1" ht="42" customHeight="1" x14ac:dyDescent="0.15">
      <c r="A116" s="204">
        <v>40045954</v>
      </c>
      <c r="B116" s="47" t="str">
        <f t="shared" si="131"/>
        <v>[effect:enemy_message, val1:1.3,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116" s="49">
        <v>3</v>
      </c>
      <c r="D116" s="125" t="s">
        <v>126</v>
      </c>
      <c r="E116" s="123" t="s">
        <v>513</v>
      </c>
      <c r="F116" s="123" t="s">
        <v>530</v>
      </c>
      <c r="G116" s="105" t="s">
        <v>636</v>
      </c>
      <c r="H116" s="50" t="s">
        <v>601</v>
      </c>
      <c r="I116" s="50">
        <v>9</v>
      </c>
      <c r="J116" s="50">
        <v>22</v>
      </c>
      <c r="K116" s="50" t="e">
        <v>#VALUE!</v>
      </c>
      <c r="L116" s="50">
        <v>32</v>
      </c>
      <c r="M116" s="50" t="s">
        <v>602</v>
      </c>
      <c r="N116" s="50" t="s">
        <v>603</v>
      </c>
      <c r="O116" s="46" t="s">
        <v>603</v>
      </c>
      <c r="P116" s="50">
        <v>9</v>
      </c>
      <c r="Q116" s="50">
        <v>18</v>
      </c>
      <c r="R116" s="50">
        <v>27</v>
      </c>
      <c r="S116" s="50">
        <v>33</v>
      </c>
      <c r="T116" s="50" t="s">
        <v>604</v>
      </c>
      <c r="U116" s="46" t="s">
        <v>605</v>
      </c>
      <c r="V116" s="50">
        <v>9</v>
      </c>
      <c r="W116" s="50">
        <v>23</v>
      </c>
      <c r="X116" s="50">
        <v>83</v>
      </c>
      <c r="Y116" s="50">
        <v>32</v>
      </c>
      <c r="Z116" s="50" t="s">
        <v>606</v>
      </c>
      <c r="AA116" s="49"/>
      <c r="AB116" s="51"/>
      <c r="AC116" s="49"/>
      <c r="AD116" s="116" t="s">
        <v>589</v>
      </c>
      <c r="AE116" s="129"/>
    </row>
    <row r="117" spans="1:31" s="130" customFormat="1" ht="42" customHeight="1" x14ac:dyDescent="0.15">
      <c r="A117" s="204">
        <v>40045955</v>
      </c>
      <c r="B117" s="47" t="str">
        <f t="shared" si="131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117" s="49">
        <v>3</v>
      </c>
      <c r="D117" s="125" t="s">
        <v>126</v>
      </c>
      <c r="E117" s="123" t="s">
        <v>514</v>
      </c>
      <c r="F117" s="123" t="s">
        <v>531</v>
      </c>
      <c r="G117" s="105" t="s">
        <v>636</v>
      </c>
      <c r="H117" s="50" t="s">
        <v>601</v>
      </c>
      <c r="I117" s="50">
        <v>9</v>
      </c>
      <c r="J117" s="50">
        <v>22</v>
      </c>
      <c r="K117" s="50" t="e">
        <v>#VALUE!</v>
      </c>
      <c r="L117" s="50">
        <v>32</v>
      </c>
      <c r="M117" s="50" t="s">
        <v>602</v>
      </c>
      <c r="N117" s="50" t="s">
        <v>603</v>
      </c>
      <c r="O117" s="46" t="s">
        <v>603</v>
      </c>
      <c r="P117" s="50">
        <v>9</v>
      </c>
      <c r="Q117" s="50">
        <v>18</v>
      </c>
      <c r="R117" s="50">
        <v>27</v>
      </c>
      <c r="S117" s="50">
        <v>33</v>
      </c>
      <c r="T117" s="50" t="s">
        <v>604</v>
      </c>
      <c r="U117" s="46" t="s">
        <v>605</v>
      </c>
      <c r="V117" s="50">
        <v>9</v>
      </c>
      <c r="W117" s="50">
        <v>23</v>
      </c>
      <c r="X117" s="50">
        <v>83</v>
      </c>
      <c r="Y117" s="50">
        <v>32</v>
      </c>
      <c r="Z117" s="50" t="s">
        <v>606</v>
      </c>
      <c r="AA117" s="49"/>
      <c r="AB117" s="51"/>
      <c r="AC117" s="49"/>
      <c r="AD117" s="116" t="s">
        <v>589</v>
      </c>
      <c r="AE117" s="129"/>
    </row>
    <row r="118" spans="1:31" s="130" customFormat="1" ht="42" customHeight="1" x14ac:dyDescent="0.15">
      <c r="A118" s="204">
        <v>40045956</v>
      </c>
      <c r="B118" s="47" t="str">
        <f t="shared" si="131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118" s="49">
        <v>3</v>
      </c>
      <c r="D118" s="125" t="s">
        <v>126</v>
      </c>
      <c r="E118" s="123" t="s">
        <v>515</v>
      </c>
      <c r="F118" s="123" t="s">
        <v>531</v>
      </c>
      <c r="G118" s="105" t="s">
        <v>636</v>
      </c>
      <c r="H118" s="50" t="s">
        <v>601</v>
      </c>
      <c r="I118" s="50">
        <v>9</v>
      </c>
      <c r="J118" s="50">
        <v>22</v>
      </c>
      <c r="K118" s="50" t="e">
        <v>#VALUE!</v>
      </c>
      <c r="L118" s="50">
        <v>32</v>
      </c>
      <c r="M118" s="50" t="s">
        <v>602</v>
      </c>
      <c r="N118" s="50" t="s">
        <v>603</v>
      </c>
      <c r="O118" s="46" t="s">
        <v>603</v>
      </c>
      <c r="P118" s="50">
        <v>9</v>
      </c>
      <c r="Q118" s="50">
        <v>18</v>
      </c>
      <c r="R118" s="50">
        <v>27</v>
      </c>
      <c r="S118" s="50">
        <v>33</v>
      </c>
      <c r="T118" s="50" t="s">
        <v>604</v>
      </c>
      <c r="U118" s="46" t="s">
        <v>605</v>
      </c>
      <c r="V118" s="50">
        <v>9</v>
      </c>
      <c r="W118" s="50">
        <v>23</v>
      </c>
      <c r="X118" s="50">
        <v>83</v>
      </c>
      <c r="Y118" s="50">
        <v>32</v>
      </c>
      <c r="Z118" s="50" t="s">
        <v>606</v>
      </c>
      <c r="AA118" s="49"/>
      <c r="AB118" s="51"/>
      <c r="AC118" s="49"/>
      <c r="AD118" s="116" t="s">
        <v>589</v>
      </c>
      <c r="AE118" s="129"/>
    </row>
    <row r="119" spans="1:31" s="130" customFormat="1" ht="42" customHeight="1" x14ac:dyDescent="0.15">
      <c r="A119" s="204">
        <v>40045957</v>
      </c>
      <c r="B119" s="47" t="str">
        <f t="shared" si="131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turn:5, rate:1, animation:hungup01],[effect:freq_turn, target:myself, turn:1, val:1, animation:enemy_freq_turn]</v>
      </c>
      <c r="C119" s="49">
        <v>3</v>
      </c>
      <c r="D119" s="125" t="s">
        <v>126</v>
      </c>
      <c r="E119" s="123" t="s">
        <v>516</v>
      </c>
      <c r="F119" s="123" t="s">
        <v>531</v>
      </c>
      <c r="G119" s="105" t="s">
        <v>636</v>
      </c>
      <c r="H119" s="50" t="s">
        <v>601</v>
      </c>
      <c r="I119" s="50">
        <v>9</v>
      </c>
      <c r="J119" s="50">
        <v>22</v>
      </c>
      <c r="K119" s="50" t="e">
        <v>#VALUE!</v>
      </c>
      <c r="L119" s="50">
        <v>32</v>
      </c>
      <c r="M119" s="50" t="s">
        <v>602</v>
      </c>
      <c r="N119" s="50" t="s">
        <v>603</v>
      </c>
      <c r="O119" s="46" t="s">
        <v>603</v>
      </c>
      <c r="P119" s="50">
        <v>9</v>
      </c>
      <c r="Q119" s="50">
        <v>18</v>
      </c>
      <c r="R119" s="50">
        <v>27</v>
      </c>
      <c r="S119" s="50">
        <v>33</v>
      </c>
      <c r="T119" s="50" t="s">
        <v>604</v>
      </c>
      <c r="U119" s="46" t="s">
        <v>605</v>
      </c>
      <c r="V119" s="50">
        <v>9</v>
      </c>
      <c r="W119" s="50">
        <v>23</v>
      </c>
      <c r="X119" s="50">
        <v>83</v>
      </c>
      <c r="Y119" s="50">
        <v>32</v>
      </c>
      <c r="Z119" s="50" t="s">
        <v>606</v>
      </c>
      <c r="AA119" s="49"/>
      <c r="AB119" s="51"/>
      <c r="AC119" s="49"/>
      <c r="AD119" s="116" t="s">
        <v>589</v>
      </c>
      <c r="AE119" s="129"/>
    </row>
    <row r="120" spans="1:31" s="261" customFormat="1" ht="42" customHeight="1" x14ac:dyDescent="0.15">
      <c r="A120" s="279">
        <v>40045958</v>
      </c>
      <c r="B120" s="47" t="str">
        <f t="shared" si="131"/>
        <v>[effect:enemy_message, val1:1.4, val2:0.0]</v>
      </c>
      <c r="C120" s="49">
        <v>3</v>
      </c>
      <c r="D120" s="254" t="s">
        <v>126</v>
      </c>
      <c r="E120" s="255" t="s">
        <v>489</v>
      </c>
      <c r="F120" s="255" t="s">
        <v>529</v>
      </c>
      <c r="G120" s="255" t="s">
        <v>419</v>
      </c>
      <c r="H120" s="255" t="str">
        <f t="shared" si="84"/>
        <v>[effect:enemy_message, val1:1.4, val2:0.0]</v>
      </c>
      <c r="I120" s="255">
        <f t="shared" ref="I120:I123" si="132">FIND("effect:",H120)+7</f>
        <v>9</v>
      </c>
      <c r="J120" s="255">
        <f t="shared" ref="J120:J123" si="133">IFERROR(FIND(",",H120),LEN(H120))</f>
        <v>22</v>
      </c>
      <c r="K120" s="255" t="e">
        <f t="shared" ref="K120:K123" si="134">FIND("target:",H120)+7</f>
        <v>#VALUE!</v>
      </c>
      <c r="L120" s="255">
        <f t="shared" ref="L120:L123" si="135">FIND(",",H120,J120+1)</f>
        <v>32</v>
      </c>
      <c r="M120" s="255" t="str">
        <f>IFERROR(VLOOKUP(MID(H120,K120,L120-K120),[6]skilldef!$C:$D,2,FALSE),"-") &amp; " / " &amp; IFERROR(VLOOKUP(MID(H120,I120,J120-I120),[6]skilldef!$A:$B,2,FALSE),"-")</f>
        <v>- / -</v>
      </c>
      <c r="N120" s="255" t="str">
        <f t="shared" si="82"/>
        <v>none</v>
      </c>
      <c r="O120" s="303" t="str">
        <f t="shared" ref="O120:O122" si="136">IFERROR(LEFT(N120,FIND("],",N120)+T125),N120)</f>
        <v>none</v>
      </c>
      <c r="P120" s="255" t="e">
        <f t="shared" ref="P120:P123" si="137">FIND("effect:",O120)+7</f>
        <v>#VALUE!</v>
      </c>
      <c r="Q120" s="255">
        <f t="shared" ref="Q120:Q123" si="138">IFERROR(FIND(",",O120),LEN(O120))</f>
        <v>4</v>
      </c>
      <c r="R120" s="255" t="e">
        <f t="shared" ref="R120:R123" si="139">FIND("target:",O120)+7</f>
        <v>#VALUE!</v>
      </c>
      <c r="S120" s="255" t="e">
        <f t="shared" ref="S120:S123" si="140">FIND(",",O120,Q120+1)</f>
        <v>#VALUE!</v>
      </c>
      <c r="T120" s="255" t="str">
        <f>IFERROR(VLOOKUP(MID(O120,R120,S120-R120),[6]skilldef!$C:$D,2,FALSE),"-") &amp; " / " &amp; IFERROR(VLOOKUP(MID(O120,P120,Q120-P120),[6]skilldef!$A:$B,2,FALSE),"-")</f>
        <v>- / -</v>
      </c>
      <c r="U120" s="303" t="str">
        <f t="shared" ref="U120:U123" si="141">IFERROR(RIGHT(N120,LEN(N120)-FIND("],",N120)-1),"none")</f>
        <v>none</v>
      </c>
      <c r="V120" s="255" t="e">
        <f t="shared" ref="V120:V123" si="142">FIND("effect:",U120)+7</f>
        <v>#VALUE!</v>
      </c>
      <c r="W120" s="255">
        <f t="shared" ref="W120:W123" si="143">IFERROR(FIND(",",U120),LEN(U120))</f>
        <v>4</v>
      </c>
      <c r="X120" s="255" t="e">
        <f t="shared" ref="X120:X123" si="144">FIND("target:",U120)+7</f>
        <v>#VALUE!</v>
      </c>
      <c r="Y120" s="255" t="e">
        <f t="shared" ref="Y120:Y123" si="145">FIND(",",U120,W120+1)</f>
        <v>#VALUE!</v>
      </c>
      <c r="Z120" s="255" t="str">
        <f>IFERROR(VLOOKUP(MID(U120,X120,Y120-X120),[6]skilldef!$C:$D,2,FALSE),"-") &amp; " / " &amp; IFERROR(VLOOKUP(MID(U120,V120,W120-V120),[6]skilldef!$A:$B,2,FALSE),"-")</f>
        <v>- / -</v>
      </c>
      <c r="AA120" s="254"/>
      <c r="AB120" s="258"/>
      <c r="AC120" s="254"/>
      <c r="AD120" s="116"/>
      <c r="AE120" s="260"/>
    </row>
    <row r="121" spans="1:31" s="261" customFormat="1" ht="42" customHeight="1" x14ac:dyDescent="0.15">
      <c r="A121" s="279">
        <v>40045959</v>
      </c>
      <c r="B121" s="47" t="str">
        <f t="shared" si="131"/>
        <v>[effect:enemy_message, val1:1.5, val2:0.0]</v>
      </c>
      <c r="C121" s="49">
        <v>3</v>
      </c>
      <c r="D121" s="254" t="s">
        <v>126</v>
      </c>
      <c r="E121" s="255" t="s">
        <v>486</v>
      </c>
      <c r="F121" s="255" t="s">
        <v>534</v>
      </c>
      <c r="G121" s="255" t="s">
        <v>419</v>
      </c>
      <c r="H121" s="255" t="str">
        <f t="shared" si="84"/>
        <v>[effect:enemy_message, val1:1.5, val2:0.0]</v>
      </c>
      <c r="I121" s="255">
        <f t="shared" si="132"/>
        <v>9</v>
      </c>
      <c r="J121" s="255">
        <f t="shared" si="133"/>
        <v>22</v>
      </c>
      <c r="K121" s="255" t="e">
        <f t="shared" si="134"/>
        <v>#VALUE!</v>
      </c>
      <c r="L121" s="255">
        <f t="shared" si="135"/>
        <v>32</v>
      </c>
      <c r="M121" s="255" t="str">
        <f>IFERROR(VLOOKUP(MID(H121,K121,L121-K121),[6]skilldef!$C:$D,2,FALSE),"-") &amp; " / " &amp; IFERROR(VLOOKUP(MID(H121,I121,J121-I121),[6]skilldef!$A:$B,2,FALSE),"-")</f>
        <v>- / -</v>
      </c>
      <c r="N121" s="255" t="str">
        <f t="shared" si="82"/>
        <v>none</v>
      </c>
      <c r="O121" s="303" t="str">
        <f t="shared" si="136"/>
        <v>none</v>
      </c>
      <c r="P121" s="255" t="e">
        <f t="shared" si="137"/>
        <v>#VALUE!</v>
      </c>
      <c r="Q121" s="255">
        <f t="shared" si="138"/>
        <v>4</v>
      </c>
      <c r="R121" s="255" t="e">
        <f t="shared" si="139"/>
        <v>#VALUE!</v>
      </c>
      <c r="S121" s="255" t="e">
        <f t="shared" si="140"/>
        <v>#VALUE!</v>
      </c>
      <c r="T121" s="255" t="str">
        <f>IFERROR(VLOOKUP(MID(O121,R121,S121-R121),[6]skilldef!$C:$D,2,FALSE),"-") &amp; " / " &amp; IFERROR(VLOOKUP(MID(O121,P121,Q121-P121),[6]skilldef!$A:$B,2,FALSE),"-")</f>
        <v>- / -</v>
      </c>
      <c r="U121" s="303" t="str">
        <f t="shared" si="141"/>
        <v>none</v>
      </c>
      <c r="V121" s="255" t="e">
        <f t="shared" si="142"/>
        <v>#VALUE!</v>
      </c>
      <c r="W121" s="255">
        <f t="shared" si="143"/>
        <v>4</v>
      </c>
      <c r="X121" s="255" t="e">
        <f t="shared" si="144"/>
        <v>#VALUE!</v>
      </c>
      <c r="Y121" s="255" t="e">
        <f t="shared" si="145"/>
        <v>#VALUE!</v>
      </c>
      <c r="Z121" s="255" t="str">
        <f>IFERROR(VLOOKUP(MID(U121,X121,Y121-X121),[6]skilldef!$C:$D,2,FALSE),"-") &amp; " / " &amp; IFERROR(VLOOKUP(MID(U121,V121,W121-V121),[6]skilldef!$A:$B,2,FALSE),"-")</f>
        <v>- / -</v>
      </c>
      <c r="AA121" s="254"/>
      <c r="AB121" s="258"/>
      <c r="AC121" s="254"/>
      <c r="AD121" s="259"/>
      <c r="AE121" s="260"/>
    </row>
    <row r="122" spans="1:31" s="261" customFormat="1" ht="42" customHeight="1" x14ac:dyDescent="0.15">
      <c r="A122" s="279">
        <v>40045960</v>
      </c>
      <c r="B122" s="257" t="s">
        <v>538</v>
      </c>
      <c r="C122" s="49">
        <v>3</v>
      </c>
      <c r="D122" s="254" t="s">
        <v>126</v>
      </c>
      <c r="E122" s="255" t="s">
        <v>487</v>
      </c>
      <c r="F122" s="255" t="s">
        <v>535</v>
      </c>
      <c r="G122" s="255" t="s">
        <v>419</v>
      </c>
      <c r="H122" s="255" t="str">
        <f t="shared" si="84"/>
        <v>[effect:enemy_message, val1:1.7, val2:0.0]</v>
      </c>
      <c r="I122" s="255">
        <f t="shared" si="132"/>
        <v>9</v>
      </c>
      <c r="J122" s="255">
        <f t="shared" si="133"/>
        <v>22</v>
      </c>
      <c r="K122" s="255" t="e">
        <f t="shared" si="134"/>
        <v>#VALUE!</v>
      </c>
      <c r="L122" s="255">
        <f t="shared" si="135"/>
        <v>32</v>
      </c>
      <c r="M122" s="255" t="str">
        <f>IFERROR(VLOOKUP(MID(H122,K122,L122-K122),[6]skilldef!$C:$D,2,FALSE),"-") &amp; " / " &amp; IFERROR(VLOOKUP(MID(H122,I122,J122-I122),[6]skilldef!$A:$B,2,FALSE),"-")</f>
        <v>- / -</v>
      </c>
      <c r="N122" s="255" t="str">
        <f t="shared" si="82"/>
        <v>none</v>
      </c>
      <c r="O122" s="303" t="str">
        <f t="shared" si="136"/>
        <v>none</v>
      </c>
      <c r="P122" s="255" t="e">
        <f t="shared" si="137"/>
        <v>#VALUE!</v>
      </c>
      <c r="Q122" s="255">
        <f t="shared" si="138"/>
        <v>4</v>
      </c>
      <c r="R122" s="255" t="e">
        <f t="shared" si="139"/>
        <v>#VALUE!</v>
      </c>
      <c r="S122" s="255" t="e">
        <f t="shared" si="140"/>
        <v>#VALUE!</v>
      </c>
      <c r="T122" s="255" t="str">
        <f>IFERROR(VLOOKUP(MID(O122,R122,S122-R122),[6]skilldef!$C:$D,2,FALSE),"-") &amp; " / " &amp; IFERROR(VLOOKUP(MID(O122,P122,Q122-P122),[6]skilldef!$A:$B,2,FALSE),"-")</f>
        <v>- / -</v>
      </c>
      <c r="U122" s="303" t="str">
        <f t="shared" si="141"/>
        <v>none</v>
      </c>
      <c r="V122" s="255" t="e">
        <f t="shared" si="142"/>
        <v>#VALUE!</v>
      </c>
      <c r="W122" s="255">
        <f t="shared" si="143"/>
        <v>4</v>
      </c>
      <c r="X122" s="255" t="e">
        <f t="shared" si="144"/>
        <v>#VALUE!</v>
      </c>
      <c r="Y122" s="255" t="e">
        <f t="shared" si="145"/>
        <v>#VALUE!</v>
      </c>
      <c r="Z122" s="255" t="str">
        <f>IFERROR(VLOOKUP(MID(U122,X122,Y122-X122),[6]skilldef!$C:$D,2,FALSE),"-") &amp; " / " &amp; IFERROR(VLOOKUP(MID(U122,V122,W122-V122),[6]skilldef!$A:$B,2,FALSE),"-")</f>
        <v>- / -</v>
      </c>
      <c r="AA122" s="254"/>
      <c r="AB122" s="258"/>
      <c r="AC122" s="254"/>
      <c r="AD122" s="259"/>
      <c r="AE122" s="260"/>
    </row>
    <row r="123" spans="1:31" s="261" customFormat="1" ht="42" customHeight="1" x14ac:dyDescent="0.15">
      <c r="A123" s="279">
        <v>40045961</v>
      </c>
      <c r="B123" s="257" t="s">
        <v>633</v>
      </c>
      <c r="C123" s="49">
        <v>3</v>
      </c>
      <c r="D123" s="254" t="s">
        <v>126</v>
      </c>
      <c r="E123" s="255" t="s">
        <v>488</v>
      </c>
      <c r="F123" s="255" t="s">
        <v>628</v>
      </c>
      <c r="G123" s="255" t="s">
        <v>419</v>
      </c>
      <c r="H123" s="255" t="str">
        <f t="shared" si="84"/>
        <v>[effect:enemy_message, val1:2.0, val2:0.0]</v>
      </c>
      <c r="I123" s="255">
        <f t="shared" si="132"/>
        <v>9</v>
      </c>
      <c r="J123" s="255">
        <f t="shared" si="133"/>
        <v>22</v>
      </c>
      <c r="K123" s="255" t="e">
        <f t="shared" si="134"/>
        <v>#VALUE!</v>
      </c>
      <c r="L123" s="255">
        <f t="shared" si="135"/>
        <v>32</v>
      </c>
      <c r="M123" s="255" t="str">
        <f>IFERROR(VLOOKUP(MID(H123,K123,L123-K123),[6]skilldef!$C:$D,2,FALSE),"-") &amp; " / " &amp; IFERROR(VLOOKUP(MID(H123,I123,J123-I123),[6]skilldef!$A:$B,2,FALSE),"-")</f>
        <v>- / -</v>
      </c>
      <c r="N123" s="255" t="str">
        <f t="shared" si="82"/>
        <v>none</v>
      </c>
      <c r="O123" s="303" t="str">
        <f>IFERROR(LEFT(N123,FIND("],",N123)+T160),N123)</f>
        <v>none</v>
      </c>
      <c r="P123" s="255" t="e">
        <f t="shared" si="137"/>
        <v>#VALUE!</v>
      </c>
      <c r="Q123" s="255">
        <f t="shared" si="138"/>
        <v>4</v>
      </c>
      <c r="R123" s="255" t="e">
        <f t="shared" si="139"/>
        <v>#VALUE!</v>
      </c>
      <c r="S123" s="255" t="e">
        <f t="shared" si="140"/>
        <v>#VALUE!</v>
      </c>
      <c r="T123" s="255" t="str">
        <f>IFERROR(VLOOKUP(MID(O123,R123,S123-R123),[6]skilldef!$C:$D,2,FALSE),"-") &amp; " / " &amp; IFERROR(VLOOKUP(MID(O123,P123,Q123-P123),[6]skilldef!$A:$B,2,FALSE),"-")</f>
        <v>- / -</v>
      </c>
      <c r="U123" s="303" t="str">
        <f t="shared" si="141"/>
        <v>none</v>
      </c>
      <c r="V123" s="255" t="e">
        <f t="shared" si="142"/>
        <v>#VALUE!</v>
      </c>
      <c r="W123" s="255">
        <f t="shared" si="143"/>
        <v>4</v>
      </c>
      <c r="X123" s="255" t="e">
        <f t="shared" si="144"/>
        <v>#VALUE!</v>
      </c>
      <c r="Y123" s="255" t="e">
        <f t="shared" si="145"/>
        <v>#VALUE!</v>
      </c>
      <c r="Z123" s="255" t="str">
        <f>IFERROR(VLOOKUP(MID(U123,X123,Y123-X123),[6]skilldef!$C:$D,2,FALSE),"-") &amp; " / " &amp; IFERROR(VLOOKUP(MID(U123,V123,W123-V123),[6]skilldef!$A:$B,2,FALSE),"-")</f>
        <v>- / -</v>
      </c>
      <c r="AA123" s="254"/>
      <c r="AB123" s="258"/>
      <c r="AC123" s="254"/>
      <c r="AD123" s="259"/>
      <c r="AE123" s="260"/>
    </row>
    <row r="124" spans="1:31" s="261" customFormat="1" ht="42" customHeight="1" x14ac:dyDescent="0.15">
      <c r="A124" s="279">
        <v>40045962</v>
      </c>
      <c r="B124" s="257" t="s">
        <v>537</v>
      </c>
      <c r="C124" s="49">
        <v>3</v>
      </c>
      <c r="D124" s="254" t="s">
        <v>126</v>
      </c>
      <c r="E124" s="255" t="s">
        <v>517</v>
      </c>
      <c r="F124" s="255" t="s">
        <v>532</v>
      </c>
      <c r="G124" s="255" t="s">
        <v>419</v>
      </c>
      <c r="H124" s="255" t="str">
        <f t="shared" si="84"/>
        <v>[effect:enemy_message, val1:2.0, val2:0.0]</v>
      </c>
      <c r="I124" s="255">
        <f t="shared" ref="I124:I127" si="146">FIND("effect:",H124)+7</f>
        <v>9</v>
      </c>
      <c r="J124" s="255">
        <f t="shared" ref="J124:J127" si="147">IFERROR(FIND(",",H124),LEN(H124))</f>
        <v>22</v>
      </c>
      <c r="K124" s="255" t="e">
        <f t="shared" ref="K124:K127" si="148">FIND("target:",H124)+7</f>
        <v>#VALUE!</v>
      </c>
      <c r="L124" s="255">
        <f t="shared" ref="L124:L127" si="149">FIND(",",H124,J124+1)</f>
        <v>32</v>
      </c>
      <c r="M124" s="255" t="str">
        <f>IFERROR(VLOOKUP(MID(H124,K124,L124-K124),[6]skilldef!$C:$D,2,FALSE),"-") &amp; " / " &amp; IFERROR(VLOOKUP(MID(H124,I124,J124-I124),[6]skilldef!$A:$B,2,FALSE),"-")</f>
        <v>- / -</v>
      </c>
      <c r="N124" s="255" t="str">
        <f t="shared" si="82"/>
        <v>none</v>
      </c>
      <c r="O124" s="303" t="str">
        <f>IFERROR(LEFT(N124,FIND("],",N124)+T161),N124)</f>
        <v>none</v>
      </c>
      <c r="P124" s="255" t="e">
        <f t="shared" ref="P124:P127" si="150">FIND("effect:",O124)+7</f>
        <v>#VALUE!</v>
      </c>
      <c r="Q124" s="255">
        <f t="shared" ref="Q124:Q127" si="151">IFERROR(FIND(",",O124),LEN(O124))</f>
        <v>4</v>
      </c>
      <c r="R124" s="255" t="e">
        <f t="shared" ref="R124:R127" si="152">FIND("target:",O124)+7</f>
        <v>#VALUE!</v>
      </c>
      <c r="S124" s="255" t="e">
        <f t="shared" ref="S124:S127" si="153">FIND(",",O124,Q124+1)</f>
        <v>#VALUE!</v>
      </c>
      <c r="T124" s="255" t="str">
        <f>IFERROR(VLOOKUP(MID(O124,R124,S124-R124),[6]skilldef!$C:$D,2,FALSE),"-") &amp; " / " &amp; IFERROR(VLOOKUP(MID(O124,P124,Q124-P124),[6]skilldef!$A:$B,2,FALSE),"-")</f>
        <v>- / -</v>
      </c>
      <c r="U124" s="303" t="str">
        <f t="shared" ref="U124:U127" si="154">IFERROR(RIGHT(N124,LEN(N124)-FIND("],",N124)-1),"none")</f>
        <v>none</v>
      </c>
      <c r="V124" s="255" t="e">
        <f t="shared" ref="V124:V127" si="155">FIND("effect:",U124)+7</f>
        <v>#VALUE!</v>
      </c>
      <c r="W124" s="255">
        <f t="shared" ref="W124:W127" si="156">IFERROR(FIND(",",U124),LEN(U124))</f>
        <v>4</v>
      </c>
      <c r="X124" s="255" t="e">
        <f t="shared" ref="X124:X127" si="157">FIND("target:",U124)+7</f>
        <v>#VALUE!</v>
      </c>
      <c r="Y124" s="255" t="e">
        <f t="shared" ref="Y124:Y127" si="158">FIND(",",U124,W124+1)</f>
        <v>#VALUE!</v>
      </c>
      <c r="Z124" s="255" t="str">
        <f>IFERROR(VLOOKUP(MID(U124,X124,Y124-X124),[6]skilldef!$C:$D,2,FALSE),"-") &amp; " / " &amp; IFERROR(VLOOKUP(MID(U124,V124,W124-V124),[6]skilldef!$A:$B,2,FALSE),"-")</f>
        <v>- / -</v>
      </c>
      <c r="AA124" s="254"/>
      <c r="AB124" s="258"/>
      <c r="AC124" s="254"/>
      <c r="AD124" s="259"/>
      <c r="AE124" s="260"/>
    </row>
    <row r="125" spans="1:31" s="261" customFormat="1" ht="42" customHeight="1" x14ac:dyDescent="0.15">
      <c r="A125" s="279">
        <v>40045963</v>
      </c>
      <c r="B125" s="257" t="s">
        <v>538</v>
      </c>
      <c r="C125" s="49">
        <v>3</v>
      </c>
      <c r="D125" s="254" t="s">
        <v>126</v>
      </c>
      <c r="E125" s="255" t="s">
        <v>518</v>
      </c>
      <c r="F125" s="255" t="s">
        <v>533</v>
      </c>
      <c r="G125" s="255" t="s">
        <v>419</v>
      </c>
      <c r="H125" s="255" t="str">
        <f t="shared" si="84"/>
        <v>[effect:enemy_message, val1:1.7, val2:0.0]</v>
      </c>
      <c r="I125" s="255">
        <f t="shared" si="146"/>
        <v>9</v>
      </c>
      <c r="J125" s="255">
        <f t="shared" si="147"/>
        <v>22</v>
      </c>
      <c r="K125" s="255" t="e">
        <f t="shared" si="148"/>
        <v>#VALUE!</v>
      </c>
      <c r="L125" s="255">
        <f t="shared" si="149"/>
        <v>32</v>
      </c>
      <c r="M125" s="255" t="str">
        <f>IFERROR(VLOOKUP(MID(H125,K125,L125-K125),[6]skilldef!$C:$D,2,FALSE),"-") &amp; " / " &amp; IFERROR(VLOOKUP(MID(H125,I125,J125-I125),[6]skilldef!$A:$B,2,FALSE),"-")</f>
        <v>- / -</v>
      </c>
      <c r="N125" s="255" t="str">
        <f t="shared" ref="N125:N143" si="159">IFERROR(RIGHT(B125,LEN(B125)-FIND("],",B125)-1),"none")</f>
        <v>none</v>
      </c>
      <c r="O125" s="303" t="str">
        <f>IFERROR(LEFT(N125,FIND("],",N125)+T162),N125)</f>
        <v>none</v>
      </c>
      <c r="P125" s="255" t="e">
        <f t="shared" si="150"/>
        <v>#VALUE!</v>
      </c>
      <c r="Q125" s="255">
        <f t="shared" si="151"/>
        <v>4</v>
      </c>
      <c r="R125" s="255" t="e">
        <f t="shared" si="152"/>
        <v>#VALUE!</v>
      </c>
      <c r="S125" s="255" t="e">
        <f t="shared" si="153"/>
        <v>#VALUE!</v>
      </c>
      <c r="T125" s="255" t="str">
        <f>IFERROR(VLOOKUP(MID(O125,R125,S125-R125),[6]skilldef!$C:$D,2,FALSE),"-") &amp; " / " &amp; IFERROR(VLOOKUP(MID(O125,P125,Q125-P125),[6]skilldef!$A:$B,2,FALSE),"-")</f>
        <v>- / -</v>
      </c>
      <c r="U125" s="303" t="str">
        <f t="shared" si="154"/>
        <v>none</v>
      </c>
      <c r="V125" s="255" t="e">
        <f t="shared" si="155"/>
        <v>#VALUE!</v>
      </c>
      <c r="W125" s="255">
        <f t="shared" si="156"/>
        <v>4</v>
      </c>
      <c r="X125" s="255" t="e">
        <f t="shared" si="157"/>
        <v>#VALUE!</v>
      </c>
      <c r="Y125" s="255" t="e">
        <f t="shared" si="158"/>
        <v>#VALUE!</v>
      </c>
      <c r="Z125" s="255" t="str">
        <f>IFERROR(VLOOKUP(MID(U125,X125,Y125-X125),[6]skilldef!$C:$D,2,FALSE),"-") &amp; " / " &amp; IFERROR(VLOOKUP(MID(U125,V125,W125-V125),[6]skilldef!$A:$B,2,FALSE),"-")</f>
        <v>- / -</v>
      </c>
      <c r="AA125" s="254"/>
      <c r="AB125" s="258"/>
      <c r="AC125" s="254"/>
      <c r="AD125" s="259"/>
      <c r="AE125" s="260"/>
    </row>
    <row r="126" spans="1:31" s="261" customFormat="1" ht="42" customHeight="1" x14ac:dyDescent="0.15">
      <c r="A126" s="279">
        <v>40045964</v>
      </c>
      <c r="B126" s="257" t="s">
        <v>538</v>
      </c>
      <c r="C126" s="49">
        <v>3</v>
      </c>
      <c r="D126" s="254" t="s">
        <v>126</v>
      </c>
      <c r="E126" s="255" t="s">
        <v>519</v>
      </c>
      <c r="F126" s="255" t="s">
        <v>533</v>
      </c>
      <c r="G126" s="255" t="s">
        <v>419</v>
      </c>
      <c r="H126" s="255" t="str">
        <f t="shared" si="84"/>
        <v>[effect:enemy_message, val1:1.7, val2:0.0]</v>
      </c>
      <c r="I126" s="255">
        <f t="shared" si="146"/>
        <v>9</v>
      </c>
      <c r="J126" s="255">
        <f t="shared" si="147"/>
        <v>22</v>
      </c>
      <c r="K126" s="255" t="e">
        <f t="shared" si="148"/>
        <v>#VALUE!</v>
      </c>
      <c r="L126" s="255">
        <f t="shared" si="149"/>
        <v>32</v>
      </c>
      <c r="M126" s="255" t="str">
        <f>IFERROR(VLOOKUP(MID(H126,K126,L126-K126),[6]skilldef!$C:$D,2,FALSE),"-") &amp; " / " &amp; IFERROR(VLOOKUP(MID(H126,I126,J126-I126),[6]skilldef!$A:$B,2,FALSE),"-")</f>
        <v>- / -</v>
      </c>
      <c r="N126" s="255" t="str">
        <f t="shared" si="159"/>
        <v>none</v>
      </c>
      <c r="O126" s="303" t="str">
        <f>IFERROR(LEFT(N126,FIND("],",N126)+T163),N126)</f>
        <v>none</v>
      </c>
      <c r="P126" s="255" t="e">
        <f t="shared" si="150"/>
        <v>#VALUE!</v>
      </c>
      <c r="Q126" s="255">
        <f t="shared" si="151"/>
        <v>4</v>
      </c>
      <c r="R126" s="255" t="e">
        <f t="shared" si="152"/>
        <v>#VALUE!</v>
      </c>
      <c r="S126" s="255" t="e">
        <f t="shared" si="153"/>
        <v>#VALUE!</v>
      </c>
      <c r="T126" s="255" t="str">
        <f>IFERROR(VLOOKUP(MID(O126,R126,S126-R126),[6]skilldef!$C:$D,2,FALSE),"-") &amp; " / " &amp; IFERROR(VLOOKUP(MID(O126,P126,Q126-P126),[6]skilldef!$A:$B,2,FALSE),"-")</f>
        <v>- / -</v>
      </c>
      <c r="U126" s="303" t="str">
        <f t="shared" si="154"/>
        <v>none</v>
      </c>
      <c r="V126" s="255" t="e">
        <f t="shared" si="155"/>
        <v>#VALUE!</v>
      </c>
      <c r="W126" s="255">
        <f t="shared" si="156"/>
        <v>4</v>
      </c>
      <c r="X126" s="255" t="e">
        <f t="shared" si="157"/>
        <v>#VALUE!</v>
      </c>
      <c r="Y126" s="255" t="e">
        <f t="shared" si="158"/>
        <v>#VALUE!</v>
      </c>
      <c r="Z126" s="255" t="str">
        <f>IFERROR(VLOOKUP(MID(U126,X126,Y126-X126),[6]skilldef!$C:$D,2,FALSE),"-") &amp; " / " &amp; IFERROR(VLOOKUP(MID(U126,V126,W126-V126),[6]skilldef!$A:$B,2,FALSE),"-")</f>
        <v>- / -</v>
      </c>
      <c r="AA126" s="254"/>
      <c r="AB126" s="258"/>
      <c r="AC126" s="254"/>
      <c r="AD126" s="259"/>
      <c r="AE126" s="260"/>
    </row>
    <row r="127" spans="1:31" s="261" customFormat="1" ht="42" customHeight="1" x14ac:dyDescent="0.15">
      <c r="A127" s="279">
        <v>40045965</v>
      </c>
      <c r="B127" s="257" t="s">
        <v>538</v>
      </c>
      <c r="C127" s="49">
        <v>3</v>
      </c>
      <c r="D127" s="254" t="s">
        <v>126</v>
      </c>
      <c r="E127" s="255" t="s">
        <v>520</v>
      </c>
      <c r="F127" s="255" t="s">
        <v>533</v>
      </c>
      <c r="G127" s="255" t="s">
        <v>419</v>
      </c>
      <c r="H127" s="255" t="str">
        <f t="shared" si="84"/>
        <v>[effect:enemy_message, val1:1.7, val2:0.0]</v>
      </c>
      <c r="I127" s="255">
        <f t="shared" si="146"/>
        <v>9</v>
      </c>
      <c r="J127" s="255">
        <f t="shared" si="147"/>
        <v>22</v>
      </c>
      <c r="K127" s="255" t="e">
        <f t="shared" si="148"/>
        <v>#VALUE!</v>
      </c>
      <c r="L127" s="255">
        <f t="shared" si="149"/>
        <v>32</v>
      </c>
      <c r="M127" s="255" t="str">
        <f>IFERROR(VLOOKUP(MID(H127,K127,L127-K127),[6]skilldef!$C:$D,2,FALSE),"-") &amp; " / " &amp; IFERROR(VLOOKUP(MID(H127,I127,J127-I127),[6]skilldef!$A:$B,2,FALSE),"-")</f>
        <v>- / -</v>
      </c>
      <c r="N127" s="255" t="str">
        <f t="shared" si="159"/>
        <v>none</v>
      </c>
      <c r="O127" s="303" t="str">
        <f>IFERROR(LEFT(N127,FIND("],",N127)+T164),N127)</f>
        <v>none</v>
      </c>
      <c r="P127" s="255" t="e">
        <f t="shared" si="150"/>
        <v>#VALUE!</v>
      </c>
      <c r="Q127" s="255">
        <f t="shared" si="151"/>
        <v>4</v>
      </c>
      <c r="R127" s="255" t="e">
        <f t="shared" si="152"/>
        <v>#VALUE!</v>
      </c>
      <c r="S127" s="255" t="e">
        <f t="shared" si="153"/>
        <v>#VALUE!</v>
      </c>
      <c r="T127" s="255" t="str">
        <f>IFERROR(VLOOKUP(MID(O127,R127,S127-R127),[6]skilldef!$C:$D,2,FALSE),"-") &amp; " / " &amp; IFERROR(VLOOKUP(MID(O127,P127,Q127-P127),[6]skilldef!$A:$B,2,FALSE),"-")</f>
        <v>- / -</v>
      </c>
      <c r="U127" s="303" t="str">
        <f t="shared" si="154"/>
        <v>none</v>
      </c>
      <c r="V127" s="255" t="e">
        <f t="shared" si="155"/>
        <v>#VALUE!</v>
      </c>
      <c r="W127" s="255">
        <f t="shared" si="156"/>
        <v>4</v>
      </c>
      <c r="X127" s="255" t="e">
        <f t="shared" si="157"/>
        <v>#VALUE!</v>
      </c>
      <c r="Y127" s="255" t="e">
        <f t="shared" si="158"/>
        <v>#VALUE!</v>
      </c>
      <c r="Z127" s="255" t="str">
        <f>IFERROR(VLOOKUP(MID(U127,X127,Y127-X127),[6]skilldef!$C:$D,2,FALSE),"-") &amp; " / " &amp; IFERROR(VLOOKUP(MID(U127,V127,W127-V127),[6]skilldef!$A:$B,2,FALSE),"-")</f>
        <v>- / -</v>
      </c>
      <c r="AA127" s="254"/>
      <c r="AB127" s="258"/>
      <c r="AC127" s="254"/>
      <c r="AD127" s="259"/>
      <c r="AE127" s="260"/>
    </row>
    <row r="128" spans="1:31" s="130" customFormat="1" ht="42" customHeight="1" x14ac:dyDescent="0.15">
      <c r="A128" s="288">
        <v>40045900</v>
      </c>
      <c r="B128" s="47" t="str">
        <f t="shared" ref="B128:B135" si="160">"[effect:enemy_message, val1:"&amp;TEXT(IF(TEXT(F128,0)="[表示しない]", "0", IF(LEN(SUBSTITUTE(F128,CHAR(13),""))*0.1&lt;1.2, 1.2, LEN(SUBSTITUTE(F128,CHAR(13),""))*0.1)), "0.0")&amp;", val2:"&amp;TEXT(IF(TEXT(G128,0)="[表示しない]", "0", IF(LEN(SUBSTITUTE(G128,CHAR(13),""))*0.1&lt;1.2, 1.2, LEN(SUBSTITUTE(G128,CHAR(13),""))*0.1)),"0.0")&amp;"]"&amp;IF(LEN(AD128)&gt;0, ","&amp;SUBSTITUTE(AD128,CHAR(13),""),SUBSTITUTE(AD128,CHAR(13),""))</f>
        <v>[effect:enemy_message, val1:1.3,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128" s="49">
        <v>3</v>
      </c>
      <c r="D128" s="125" t="s">
        <v>126</v>
      </c>
      <c r="E128" s="123" t="s">
        <v>485</v>
      </c>
      <c r="F128" s="137" t="s">
        <v>511</v>
      </c>
      <c r="G128" s="50" t="s">
        <v>635</v>
      </c>
      <c r="H128" s="50" t="str">
        <f t="shared" si="84"/>
        <v>[effect:enemy_message, val1:1.3, val2:6.0]</v>
      </c>
      <c r="I128" s="50">
        <f t="shared" ref="I128:I135" si="161">FIND("effect:",H128)+7</f>
        <v>9</v>
      </c>
      <c r="J128" s="50">
        <f t="shared" si="119"/>
        <v>22</v>
      </c>
      <c r="K128" s="50" t="e">
        <f t="shared" si="120"/>
        <v>#VALUE!</v>
      </c>
      <c r="L128" s="50">
        <f t="shared" si="121"/>
        <v>32</v>
      </c>
      <c r="M128" s="50" t="str">
        <f>IFERROR(VLOOKUP(MID(H128,K128,L128-K128),[6]skilldef!$C:$D,2,FALSE),"-") &amp; " / " &amp; IFERROR(VLOOKUP(MID(H128,I128,J128-I128),[6]skilldef!$A:$B,2,FALSE),"-")</f>
        <v>- / -</v>
      </c>
      <c r="N128" s="50" t="str">
        <f t="shared" si="15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128" s="46" t="str">
        <f t="shared" ref="O128:O131" si="162">IFERROR(LEFT(N128,FIND("],",N128)+T140),N128)</f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P128" s="50">
        <f t="shared" si="122"/>
        <v>9</v>
      </c>
      <c r="Q128" s="50">
        <f t="shared" si="123"/>
        <v>18</v>
      </c>
      <c r="R128" s="50">
        <f t="shared" si="124"/>
        <v>27</v>
      </c>
      <c r="S128" s="50">
        <f t="shared" si="125"/>
        <v>33</v>
      </c>
      <c r="T128" s="50" t="str">
        <f>IFERROR(VLOOKUP(MID(O128,R128,S128-R128),[6]skilldef!$C:$D,2,FALSE),"-") &amp; " / " &amp; IFERROR(VLOOKUP(MID(O128,P128,Q128-P128),[6]skilldef!$A:$B,2,FALSE),"-")</f>
        <v>自分自身に / 状態異常耐性</v>
      </c>
      <c r="U128" s="46" t="str">
        <f t="shared" si="126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128" s="50">
        <f t="shared" si="127"/>
        <v>9</v>
      </c>
      <c r="W128" s="50">
        <f t="shared" si="128"/>
        <v>23</v>
      </c>
      <c r="X128" s="50">
        <f t="shared" si="129"/>
        <v>83</v>
      </c>
      <c r="Y128" s="50">
        <f t="shared" si="130"/>
        <v>32</v>
      </c>
      <c r="Z128" s="50" t="str">
        <f>IFERROR(VLOOKUP(MID(U128,X128,Y128-X128),[6]skilldef!$C:$D,2,FALSE),"-") &amp; " / " &amp; IFERROR(VLOOKUP(MID(U128,V128,W128-V128),[6]skilldef!$A:$B,2,FALSE),"-")</f>
        <v>- / 割合ダメージ</v>
      </c>
      <c r="AA128" s="49"/>
      <c r="AB128" s="51"/>
      <c r="AC128" s="49"/>
      <c r="AD128" s="116" t="s">
        <v>527</v>
      </c>
      <c r="AE128" s="129"/>
    </row>
    <row r="129" spans="1:31" s="130" customFormat="1" ht="42" customHeight="1" x14ac:dyDescent="0.15">
      <c r="A129" s="288">
        <v>40045901</v>
      </c>
      <c r="B129" s="47" t="str">
        <f t="shared" si="160"/>
        <v>[effect:enemy_message, val1:1.8,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129" s="49">
        <v>3</v>
      </c>
      <c r="D129" s="125" t="s">
        <v>126</v>
      </c>
      <c r="E129" s="123" t="s">
        <v>482</v>
      </c>
      <c r="F129" s="123" t="s">
        <v>551</v>
      </c>
      <c r="G129" s="50" t="s">
        <v>635</v>
      </c>
      <c r="H129" s="50" t="str">
        <f t="shared" si="84"/>
        <v>[effect:enemy_message, val1:1.8, val2:6.0]</v>
      </c>
      <c r="I129" s="50">
        <f t="shared" si="161"/>
        <v>9</v>
      </c>
      <c r="J129" s="50">
        <f t="shared" si="119"/>
        <v>22</v>
      </c>
      <c r="K129" s="50" t="e">
        <f t="shared" si="120"/>
        <v>#VALUE!</v>
      </c>
      <c r="L129" s="50">
        <f t="shared" si="121"/>
        <v>32</v>
      </c>
      <c r="M129" s="50" t="str">
        <f>IFERROR(VLOOKUP(MID(H129,K129,L129-K129),[6]skilldef!$C:$D,2,FALSE),"-") &amp; " / " &amp; IFERROR(VLOOKUP(MID(H129,I129,J129-I129),[6]skilldef!$A:$B,2,FALSE),"-")</f>
        <v>- / -</v>
      </c>
      <c r="N129" s="50" t="str">
        <f t="shared" si="15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129" s="46" t="str">
        <f t="shared" si="162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P129" s="50">
        <f t="shared" si="122"/>
        <v>9</v>
      </c>
      <c r="Q129" s="50">
        <f t="shared" si="123"/>
        <v>18</v>
      </c>
      <c r="R129" s="50">
        <f t="shared" si="124"/>
        <v>27</v>
      </c>
      <c r="S129" s="50">
        <f t="shared" si="125"/>
        <v>33</v>
      </c>
      <c r="T129" s="50" t="str">
        <f>IFERROR(VLOOKUP(MID(O129,R129,S129-R129),[6]skilldef!$C:$D,2,FALSE),"-") &amp; " / " &amp; IFERROR(VLOOKUP(MID(O129,P129,Q129-P129),[6]skilldef!$A:$B,2,FALSE),"-")</f>
        <v>自分自身に / 状態異常耐性</v>
      </c>
      <c r="U129" s="46" t="str">
        <f t="shared" si="126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129" s="50">
        <f t="shared" si="127"/>
        <v>9</v>
      </c>
      <c r="W129" s="50">
        <f t="shared" si="128"/>
        <v>23</v>
      </c>
      <c r="X129" s="50">
        <f t="shared" si="129"/>
        <v>83</v>
      </c>
      <c r="Y129" s="50">
        <f t="shared" si="130"/>
        <v>32</v>
      </c>
      <c r="Z129" s="50" t="str">
        <f>IFERROR(VLOOKUP(MID(U129,X129,Y129-X129),[6]skilldef!$C:$D,2,FALSE),"-") &amp; " / " &amp; IFERROR(VLOOKUP(MID(U129,V129,W129-V129),[6]skilldef!$A:$B,2,FALSE),"-")</f>
        <v>- / 割合ダメージ</v>
      </c>
      <c r="AA129" s="49"/>
      <c r="AB129" s="51"/>
      <c r="AC129" s="49"/>
      <c r="AD129" s="116" t="s">
        <v>527</v>
      </c>
      <c r="AE129" s="129"/>
    </row>
    <row r="130" spans="1:31" s="130" customFormat="1" ht="42" customHeight="1" x14ac:dyDescent="0.15">
      <c r="A130" s="288">
        <v>40045902</v>
      </c>
      <c r="B130" s="47" t="str">
        <f t="shared" si="160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130" s="49">
        <v>3</v>
      </c>
      <c r="D130" s="125" t="s">
        <v>126</v>
      </c>
      <c r="E130" s="123" t="s">
        <v>483</v>
      </c>
      <c r="F130" s="123" t="s">
        <v>522</v>
      </c>
      <c r="G130" s="50" t="s">
        <v>635</v>
      </c>
      <c r="H130" s="50" t="str">
        <f t="shared" si="84"/>
        <v>[effect:enemy_message, val1:1.2, val2:6.0]</v>
      </c>
      <c r="I130" s="50">
        <f t="shared" si="161"/>
        <v>9</v>
      </c>
      <c r="J130" s="50">
        <f t="shared" si="119"/>
        <v>22</v>
      </c>
      <c r="K130" s="50" t="e">
        <f t="shared" si="120"/>
        <v>#VALUE!</v>
      </c>
      <c r="L130" s="50">
        <f t="shared" si="121"/>
        <v>32</v>
      </c>
      <c r="M130" s="50" t="str">
        <f>IFERROR(VLOOKUP(MID(H130,K130,L130-K130),[6]skilldef!$C:$D,2,FALSE),"-") &amp; " / " &amp; IFERROR(VLOOKUP(MID(H130,I130,J130-I130),[6]skilldef!$A:$B,2,FALSE),"-")</f>
        <v>- / -</v>
      </c>
      <c r="N130" s="50" t="str">
        <f t="shared" si="15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130" s="46" t="str">
        <f t="shared" si="162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P130" s="50">
        <f t="shared" si="122"/>
        <v>9</v>
      </c>
      <c r="Q130" s="50">
        <f t="shared" si="123"/>
        <v>18</v>
      </c>
      <c r="R130" s="50">
        <f t="shared" si="124"/>
        <v>27</v>
      </c>
      <c r="S130" s="50">
        <f t="shared" si="125"/>
        <v>33</v>
      </c>
      <c r="T130" s="50" t="str">
        <f>IFERROR(VLOOKUP(MID(O130,R130,S130-R130),[6]skilldef!$C:$D,2,FALSE),"-") &amp; " / " &amp; IFERROR(VLOOKUP(MID(O130,P130,Q130-P130),[6]skilldef!$A:$B,2,FALSE),"-")</f>
        <v>自分自身に / 状態異常耐性</v>
      </c>
      <c r="U130" s="46" t="str">
        <f t="shared" si="126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130" s="50">
        <f t="shared" si="127"/>
        <v>9</v>
      </c>
      <c r="W130" s="50">
        <f t="shared" si="128"/>
        <v>23</v>
      </c>
      <c r="X130" s="50">
        <f t="shared" si="129"/>
        <v>83</v>
      </c>
      <c r="Y130" s="50">
        <f t="shared" si="130"/>
        <v>32</v>
      </c>
      <c r="Z130" s="50" t="str">
        <f>IFERROR(VLOOKUP(MID(U130,X130,Y130-X130),[6]skilldef!$C:$D,2,FALSE),"-") &amp; " / " &amp; IFERROR(VLOOKUP(MID(U130,V130,W130-V130),[6]skilldef!$A:$B,2,FALSE),"-")</f>
        <v>- / 割合ダメージ</v>
      </c>
      <c r="AA130" s="49"/>
      <c r="AB130" s="51"/>
      <c r="AC130" s="49"/>
      <c r="AD130" s="116" t="s">
        <v>527</v>
      </c>
      <c r="AE130" s="129"/>
    </row>
    <row r="131" spans="1:31" s="130" customFormat="1" ht="42" customHeight="1" x14ac:dyDescent="0.15">
      <c r="A131" s="288">
        <v>40045903</v>
      </c>
      <c r="B131" s="47" t="str">
        <f t="shared" si="160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131" s="49">
        <v>3</v>
      </c>
      <c r="D131" s="125" t="s">
        <v>126</v>
      </c>
      <c r="E131" s="123" t="s">
        <v>484</v>
      </c>
      <c r="F131" s="123" t="s">
        <v>523</v>
      </c>
      <c r="G131" s="50" t="s">
        <v>635</v>
      </c>
      <c r="H131" s="50" t="str">
        <f t="shared" si="84"/>
        <v>[effect:enemy_message, val1:1.2, val2:6.0]</v>
      </c>
      <c r="I131" s="50">
        <f t="shared" si="161"/>
        <v>9</v>
      </c>
      <c r="J131" s="50">
        <f t="shared" si="119"/>
        <v>22</v>
      </c>
      <c r="K131" s="50" t="e">
        <f t="shared" si="120"/>
        <v>#VALUE!</v>
      </c>
      <c r="L131" s="50">
        <f t="shared" si="121"/>
        <v>32</v>
      </c>
      <c r="M131" s="50" t="str">
        <f>IFERROR(VLOOKUP(MID(H131,K131,L131-K131),[6]skilldef!$C:$D,2,FALSE),"-") &amp; " / " &amp; IFERROR(VLOOKUP(MID(H131,I131,J131-I131),[6]skilldef!$A:$B,2,FALSE),"-")</f>
        <v>- / -</v>
      </c>
      <c r="N131" s="50" t="str">
        <f t="shared" si="15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131" s="46" t="str">
        <f t="shared" si="162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P131" s="50">
        <f t="shared" si="122"/>
        <v>9</v>
      </c>
      <c r="Q131" s="50">
        <f t="shared" si="123"/>
        <v>18</v>
      </c>
      <c r="R131" s="50">
        <f t="shared" si="124"/>
        <v>27</v>
      </c>
      <c r="S131" s="50">
        <f t="shared" si="125"/>
        <v>33</v>
      </c>
      <c r="T131" s="50" t="str">
        <f>IFERROR(VLOOKUP(MID(O131,R131,S131-R131),[6]skilldef!$C:$D,2,FALSE),"-") &amp; " / " &amp; IFERROR(VLOOKUP(MID(O131,P131,Q131-P131),[6]skilldef!$A:$B,2,FALSE),"-")</f>
        <v>自分自身に / 状態異常耐性</v>
      </c>
      <c r="U131" s="46" t="str">
        <f t="shared" si="126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131" s="50">
        <f t="shared" si="127"/>
        <v>9</v>
      </c>
      <c r="W131" s="50">
        <f t="shared" si="128"/>
        <v>23</v>
      </c>
      <c r="X131" s="50">
        <f t="shared" si="129"/>
        <v>83</v>
      </c>
      <c r="Y131" s="50">
        <f t="shared" si="130"/>
        <v>32</v>
      </c>
      <c r="Z131" s="50" t="str">
        <f>IFERROR(VLOOKUP(MID(U131,X131,Y131-X131),[6]skilldef!$C:$D,2,FALSE),"-") &amp; " / " &amp; IFERROR(VLOOKUP(MID(U131,V131,W131-V131),[6]skilldef!$A:$B,2,FALSE),"-")</f>
        <v>- / 割合ダメージ</v>
      </c>
      <c r="AA131" s="49"/>
      <c r="AB131" s="51"/>
      <c r="AC131" s="49"/>
      <c r="AD131" s="116" t="s">
        <v>527</v>
      </c>
      <c r="AE131" s="129"/>
    </row>
    <row r="132" spans="1:31" s="130" customFormat="1" ht="42" customHeight="1" x14ac:dyDescent="0.15">
      <c r="A132" s="288">
        <v>40045904</v>
      </c>
      <c r="B132" s="47" t="str">
        <f t="shared" si="160"/>
        <v>[effect:enemy_message, val1:1.3,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132" s="49">
        <v>3</v>
      </c>
      <c r="D132" s="125" t="s">
        <v>126</v>
      </c>
      <c r="E132" s="123" t="s">
        <v>513</v>
      </c>
      <c r="F132" s="123" t="s">
        <v>530</v>
      </c>
      <c r="G132" s="50" t="s">
        <v>635</v>
      </c>
      <c r="H132" s="50" t="str">
        <f t="shared" si="84"/>
        <v>[effect:enemy_message, val1:1.3, val2:6.0]</v>
      </c>
      <c r="I132" s="50">
        <f t="shared" si="161"/>
        <v>9</v>
      </c>
      <c r="J132" s="50">
        <f t="shared" si="119"/>
        <v>22</v>
      </c>
      <c r="K132" s="50" t="e">
        <f t="shared" si="120"/>
        <v>#VALUE!</v>
      </c>
      <c r="L132" s="50">
        <f t="shared" si="121"/>
        <v>32</v>
      </c>
      <c r="M132" s="50" t="str">
        <f>IFERROR(VLOOKUP(MID(H132,K132,L132-K132),[6]skilldef!$C:$D,2,FALSE),"-") &amp; " / " &amp; IFERROR(VLOOKUP(MID(H132,I132,J132-I132),[6]skilldef!$A:$B,2,FALSE),"-")</f>
        <v>- / -</v>
      </c>
      <c r="N132" s="50" t="str">
        <f t="shared" si="15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132" s="46" t="str">
        <f>IFERROR(LEFT(N132,FIND("],",N132)+T144),N132)</f>
        <v>[effect:tolerance, target:myself, turn:-1, count:-1, tolerance_effect:all, animation:enemy_tolerance]</v>
      </c>
      <c r="P132" s="50">
        <f t="shared" si="122"/>
        <v>9</v>
      </c>
      <c r="Q132" s="50">
        <f t="shared" si="123"/>
        <v>18</v>
      </c>
      <c r="R132" s="50">
        <f t="shared" si="124"/>
        <v>27</v>
      </c>
      <c r="S132" s="50">
        <f t="shared" si="125"/>
        <v>33</v>
      </c>
      <c r="T132" s="50" t="str">
        <f>IFERROR(VLOOKUP(MID(O132,R132,S132-R132),[6]skilldef!$C:$D,2,FALSE),"-") &amp; " / " &amp; IFERROR(VLOOKUP(MID(O132,P132,Q132-P132),[6]skilldef!$A:$B,2,FALSE),"-")</f>
        <v>自分自身に / 状態異常耐性</v>
      </c>
      <c r="U132" s="46" t="str">
        <f t="shared" si="126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132" s="50">
        <f t="shared" si="127"/>
        <v>9</v>
      </c>
      <c r="W132" s="50">
        <f t="shared" si="128"/>
        <v>23</v>
      </c>
      <c r="X132" s="50">
        <f t="shared" si="129"/>
        <v>83</v>
      </c>
      <c r="Y132" s="50">
        <f t="shared" si="130"/>
        <v>32</v>
      </c>
      <c r="Z132" s="50" t="str">
        <f>IFERROR(VLOOKUP(MID(U132,X132,Y132-X132),[6]skilldef!$C:$D,2,FALSE),"-") &amp; " / " &amp; IFERROR(VLOOKUP(MID(U132,V132,W132-V132),[6]skilldef!$A:$B,2,FALSE),"-")</f>
        <v>- / 割合ダメージ</v>
      </c>
      <c r="AA132" s="49"/>
      <c r="AB132" s="51"/>
      <c r="AC132" s="49"/>
      <c r="AD132" s="116" t="s">
        <v>527</v>
      </c>
      <c r="AE132" s="129"/>
    </row>
    <row r="133" spans="1:31" s="130" customFormat="1" ht="42" customHeight="1" x14ac:dyDescent="0.15">
      <c r="A133" s="288">
        <v>40045905</v>
      </c>
      <c r="B133" s="47" t="str">
        <f t="shared" si="160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133" s="49">
        <v>3</v>
      </c>
      <c r="D133" s="125" t="s">
        <v>126</v>
      </c>
      <c r="E133" s="123" t="s">
        <v>514</v>
      </c>
      <c r="F133" s="123" t="s">
        <v>531</v>
      </c>
      <c r="G133" s="50" t="s">
        <v>635</v>
      </c>
      <c r="H133" s="50" t="str">
        <f t="shared" si="84"/>
        <v>[effect:enemy_message, val1:1.2, val2:6.0]</v>
      </c>
      <c r="I133" s="50">
        <f t="shared" si="161"/>
        <v>9</v>
      </c>
      <c r="J133" s="50">
        <f t="shared" si="119"/>
        <v>22</v>
      </c>
      <c r="K133" s="50" t="e">
        <f t="shared" si="120"/>
        <v>#VALUE!</v>
      </c>
      <c r="L133" s="50">
        <f t="shared" si="121"/>
        <v>32</v>
      </c>
      <c r="M133" s="50" t="str">
        <f>IFERROR(VLOOKUP(MID(H133,K133,L133-K133),[6]skilldef!$C:$D,2,FALSE),"-") &amp; " / " &amp; IFERROR(VLOOKUP(MID(H133,I133,J133-I133),[6]skilldef!$A:$B,2,FALSE),"-")</f>
        <v>- / -</v>
      </c>
      <c r="N133" s="50" t="str">
        <f t="shared" si="15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133" s="46" t="str">
        <f>IFERROR(LEFT(N133,FIND("],",N133)+T145),N133)</f>
        <v>[effect:tolerance, target:myself, turn:-1, count:-1, tolerance_effect:all, animation:enemy_tolerance]</v>
      </c>
      <c r="P133" s="50">
        <f t="shared" si="122"/>
        <v>9</v>
      </c>
      <c r="Q133" s="50">
        <f t="shared" si="123"/>
        <v>18</v>
      </c>
      <c r="R133" s="50">
        <f t="shared" si="124"/>
        <v>27</v>
      </c>
      <c r="S133" s="50">
        <f t="shared" si="125"/>
        <v>33</v>
      </c>
      <c r="T133" s="50" t="str">
        <f>IFERROR(VLOOKUP(MID(O133,R133,S133-R133),[6]skilldef!$C:$D,2,FALSE),"-") &amp; " / " &amp; IFERROR(VLOOKUP(MID(O133,P133,Q133-P133),[6]skilldef!$A:$B,2,FALSE),"-")</f>
        <v>自分自身に / 状態異常耐性</v>
      </c>
      <c r="U133" s="46" t="str">
        <f t="shared" si="126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133" s="50">
        <f t="shared" si="127"/>
        <v>9</v>
      </c>
      <c r="W133" s="50">
        <f t="shared" si="128"/>
        <v>23</v>
      </c>
      <c r="X133" s="50">
        <f t="shared" si="129"/>
        <v>83</v>
      </c>
      <c r="Y133" s="50">
        <f t="shared" si="130"/>
        <v>32</v>
      </c>
      <c r="Z133" s="50" t="str">
        <f>IFERROR(VLOOKUP(MID(U133,X133,Y133-X133),[6]skilldef!$C:$D,2,FALSE),"-") &amp; " / " &amp; IFERROR(VLOOKUP(MID(U133,V133,W133-V133),[6]skilldef!$A:$B,2,FALSE),"-")</f>
        <v>- / 割合ダメージ</v>
      </c>
      <c r="AA133" s="49"/>
      <c r="AB133" s="51"/>
      <c r="AC133" s="49"/>
      <c r="AD133" s="116" t="s">
        <v>527</v>
      </c>
      <c r="AE133" s="129"/>
    </row>
    <row r="134" spans="1:31" s="130" customFormat="1" ht="42" customHeight="1" x14ac:dyDescent="0.15">
      <c r="A134" s="288">
        <v>40045906</v>
      </c>
      <c r="B134" s="47" t="str">
        <f t="shared" si="160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134" s="49">
        <v>3</v>
      </c>
      <c r="D134" s="125" t="s">
        <v>126</v>
      </c>
      <c r="E134" s="123" t="s">
        <v>515</v>
      </c>
      <c r="F134" s="123" t="s">
        <v>531</v>
      </c>
      <c r="G134" s="50" t="s">
        <v>635</v>
      </c>
      <c r="H134" s="60" t="str">
        <f t="shared" si="84"/>
        <v>[effect:enemy_message, val1:1.2, val2:6.0]</v>
      </c>
      <c r="I134" s="60">
        <f t="shared" si="161"/>
        <v>9</v>
      </c>
      <c r="J134" s="60">
        <f t="shared" si="119"/>
        <v>22</v>
      </c>
      <c r="K134" s="60" t="e">
        <f t="shared" si="120"/>
        <v>#VALUE!</v>
      </c>
      <c r="L134" s="60">
        <f t="shared" si="121"/>
        <v>32</v>
      </c>
      <c r="M134" s="60" t="str">
        <f>IFERROR(VLOOKUP(MID(H134,K134,L134-K134),[6]skilldef!$C:$D,2,FALSE),"-") &amp; " / " &amp; IFERROR(VLOOKUP(MID(H134,I134,J134-I134),[6]skilldef!$A:$B,2,FALSE),"-")</f>
        <v>- / -</v>
      </c>
      <c r="N134" s="60" t="str">
        <f t="shared" si="15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134" s="47" t="str">
        <f>IFERROR(LEFT(N134,FIND("],",N134)+T146),N134)</f>
        <v>[effect:tolerance, target:myself, turn:-1, count:-1, tolerance_effect:all, animation:enemy_tolerance]</v>
      </c>
      <c r="P134" s="60">
        <f t="shared" si="122"/>
        <v>9</v>
      </c>
      <c r="Q134" s="60">
        <f t="shared" si="123"/>
        <v>18</v>
      </c>
      <c r="R134" s="60">
        <f t="shared" si="124"/>
        <v>27</v>
      </c>
      <c r="S134" s="60">
        <f t="shared" si="125"/>
        <v>33</v>
      </c>
      <c r="T134" s="60" t="str">
        <f>IFERROR(VLOOKUP(MID(O134,R134,S134-R134),[6]skilldef!$C:$D,2,FALSE),"-") &amp; " / " &amp; IFERROR(VLOOKUP(MID(O134,P134,Q134-P134),[6]skilldef!$A:$B,2,FALSE),"-")</f>
        <v>自分自身に / 状態異常耐性</v>
      </c>
      <c r="U134" s="47" t="str">
        <f t="shared" si="126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134" s="60">
        <f t="shared" si="127"/>
        <v>9</v>
      </c>
      <c r="W134" s="60">
        <f t="shared" si="128"/>
        <v>23</v>
      </c>
      <c r="X134" s="60">
        <f t="shared" si="129"/>
        <v>83</v>
      </c>
      <c r="Y134" s="60">
        <f t="shared" si="130"/>
        <v>32</v>
      </c>
      <c r="Z134" s="60" t="str">
        <f>IFERROR(VLOOKUP(MID(U134,X134,Y134-X134),[6]skilldef!$C:$D,2,FALSE),"-") &amp; " / " &amp; IFERROR(VLOOKUP(MID(U134,V134,W134-V134),[6]skilldef!$A:$B,2,FALSE),"-")</f>
        <v>- / 割合ダメージ</v>
      </c>
      <c r="AA134" s="49"/>
      <c r="AB134" s="51"/>
      <c r="AC134" s="49"/>
      <c r="AD134" s="116" t="s">
        <v>527</v>
      </c>
      <c r="AE134" s="129"/>
    </row>
    <row r="135" spans="1:31" s="130" customFormat="1" ht="42" customHeight="1" x14ac:dyDescent="0.15">
      <c r="A135" s="288">
        <v>40045907</v>
      </c>
      <c r="B135" s="47" t="str">
        <f t="shared" si="160"/>
        <v>[effect:enemy_message, val1:1.2, val2:6.0],[effect:tolerance,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C135" s="49">
        <v>3</v>
      </c>
      <c r="D135" s="125" t="s">
        <v>126</v>
      </c>
      <c r="E135" s="123" t="s">
        <v>516</v>
      </c>
      <c r="F135" s="123" t="s">
        <v>531</v>
      </c>
      <c r="G135" s="50" t="s">
        <v>635</v>
      </c>
      <c r="H135" s="60" t="str">
        <f t="shared" si="84"/>
        <v>[effect:enemy_message, val1:1.2, val2:6.0]</v>
      </c>
      <c r="I135" s="60">
        <f t="shared" si="161"/>
        <v>9</v>
      </c>
      <c r="J135" s="60">
        <f t="shared" si="119"/>
        <v>22</v>
      </c>
      <c r="K135" s="60" t="e">
        <f t="shared" si="120"/>
        <v>#VALUE!</v>
      </c>
      <c r="L135" s="60">
        <f t="shared" si="121"/>
        <v>32</v>
      </c>
      <c r="M135" s="60" t="str">
        <f>IFERROR(VLOOKUP(MID(H135,K135,L135-K135),[6]skilldef!$C:$D,2,FALSE),"-") &amp; " / " &amp; IFERROR(VLOOKUP(MID(H135,I135,J135-I135),[6]skilldef!$A:$B,2,FALSE),"-")</f>
        <v>- / -</v>
      </c>
      <c r="N135" s="60" t="str">
        <f t="shared" si="159"/>
        <v>[effect:tolerance, target:myself, turn:-1, count:-1, tolerance_effect:all, animation:enemy_tolerance],[effect:damage_gravity,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O135" s="47" t="str">
        <f>IFERROR(LEFT(N135,FIND("],",N135)+T147),N135)</f>
        <v>[effect:tolerance, target:myself, turn:-1, count:-1, tolerance_effect:all, animation:enemy_tolerance]</v>
      </c>
      <c r="P135" s="60">
        <f t="shared" si="122"/>
        <v>9</v>
      </c>
      <c r="Q135" s="60">
        <f t="shared" si="123"/>
        <v>18</v>
      </c>
      <c r="R135" s="60">
        <f t="shared" si="124"/>
        <v>27</v>
      </c>
      <c r="S135" s="60">
        <f t="shared" si="125"/>
        <v>33</v>
      </c>
      <c r="T135" s="60" t="str">
        <f>IFERROR(VLOOKUP(MID(O135,R135,S135-R135),[6]skilldef!$C:$D,2,FALSE),"-") &amp; " / " &amp; IFERROR(VLOOKUP(MID(O135,P135,Q135-P135),[6]skilldef!$A:$B,2,FALSE),"-")</f>
        <v>自分自身に / 状態異常耐性</v>
      </c>
      <c r="U135" s="47" t="str">
        <f t="shared" si="126"/>
        <v>[effect:damage_gravity, val:0.8, animation:fevergauge_down],[effect:virus, target:unit_all, turn:-1, rate:1, val:0.14, animation:enemy_virus],[effect:hungup, target:unit_hp, turn:8, rate:1, animation:hungup01],[effect:freq_turn, target:myself, turn:1, val:1, animation:enemy_freq_turn]</v>
      </c>
      <c r="V135" s="60">
        <f t="shared" si="127"/>
        <v>9</v>
      </c>
      <c r="W135" s="60">
        <f t="shared" si="128"/>
        <v>23</v>
      </c>
      <c r="X135" s="60">
        <f t="shared" si="129"/>
        <v>83</v>
      </c>
      <c r="Y135" s="60">
        <f t="shared" si="130"/>
        <v>32</v>
      </c>
      <c r="Z135" s="60" t="str">
        <f>IFERROR(VLOOKUP(MID(U135,X135,Y135-X135),[6]skilldef!$C:$D,2,FALSE),"-") &amp; " / " &amp; IFERROR(VLOOKUP(MID(U135,V135,W135-V135),[6]skilldef!$A:$B,2,FALSE),"-")</f>
        <v>- / 割合ダメージ</v>
      </c>
      <c r="AA135" s="49"/>
      <c r="AB135" s="51"/>
      <c r="AC135" s="49"/>
      <c r="AD135" s="116" t="s">
        <v>527</v>
      </c>
      <c r="AE135" s="129"/>
    </row>
    <row r="136" spans="1:31" s="261" customFormat="1" ht="42" customHeight="1" x14ac:dyDescent="0.15">
      <c r="A136" s="289">
        <v>40045908</v>
      </c>
      <c r="B136" s="257" t="s">
        <v>536</v>
      </c>
      <c r="C136" s="49">
        <v>3</v>
      </c>
      <c r="D136" s="254" t="s">
        <v>126</v>
      </c>
      <c r="E136" s="255" t="s">
        <v>489</v>
      </c>
      <c r="F136" s="255" t="s">
        <v>529</v>
      </c>
      <c r="G136" s="255" t="s">
        <v>419</v>
      </c>
      <c r="H136" s="256" t="str">
        <f t="shared" si="84"/>
        <v>[effect:enemy_message, val1:1.9, val2:0.0]</v>
      </c>
      <c r="I136" s="256">
        <f t="shared" ref="I136" si="163">FIND("effect:",H136)+7</f>
        <v>9</v>
      </c>
      <c r="J136" s="256">
        <f t="shared" ref="J136" si="164">IFERROR(FIND(",",H136),LEN(H136))</f>
        <v>22</v>
      </c>
      <c r="K136" s="256" t="e">
        <f t="shared" ref="K136" si="165">FIND("target:",H136)+7</f>
        <v>#VALUE!</v>
      </c>
      <c r="L136" s="256">
        <f t="shared" ref="L136" si="166">FIND(",",H136,J136+1)</f>
        <v>32</v>
      </c>
      <c r="M136" s="256" t="str">
        <f>IFERROR(VLOOKUP(MID(H136,K136,L136-K136),[6]skilldef!$C:$D,2,FALSE),"-") &amp; " / " &amp; IFERROR(VLOOKUP(MID(H136,I136,J136-I136),[6]skilldef!$A:$B,2,FALSE),"-")</f>
        <v>- / -</v>
      </c>
      <c r="N136" s="256" t="str">
        <f t="shared" si="159"/>
        <v>none</v>
      </c>
      <c r="O136" s="257" t="str">
        <f t="shared" ref="O136" si="167">IFERROR(LEFT(N136,FIND("],",N136)+T141),N136)</f>
        <v>none</v>
      </c>
      <c r="P136" s="256" t="e">
        <f t="shared" ref="P136" si="168">FIND("effect:",O136)+7</f>
        <v>#VALUE!</v>
      </c>
      <c r="Q136" s="256">
        <f t="shared" ref="Q136" si="169">IFERROR(FIND(",",O136),LEN(O136))</f>
        <v>4</v>
      </c>
      <c r="R136" s="256" t="e">
        <f t="shared" ref="R136" si="170">FIND("target:",O136)+7</f>
        <v>#VALUE!</v>
      </c>
      <c r="S136" s="256" t="e">
        <f t="shared" ref="S136" si="171">FIND(",",O136,Q136+1)</f>
        <v>#VALUE!</v>
      </c>
      <c r="T136" s="256" t="str">
        <f>IFERROR(VLOOKUP(MID(O136,R136,S136-R136),[6]skilldef!$C:$D,2,FALSE),"-") &amp; " / " &amp; IFERROR(VLOOKUP(MID(O136,P136,Q136-P136),[6]skilldef!$A:$B,2,FALSE),"-")</f>
        <v>- / -</v>
      </c>
      <c r="U136" s="257" t="str">
        <f t="shared" ref="U136" si="172">IFERROR(RIGHT(N136,LEN(N136)-FIND("],",N136)-1),"none")</f>
        <v>none</v>
      </c>
      <c r="V136" s="256" t="e">
        <f t="shared" ref="V136" si="173">FIND("effect:",U136)+7</f>
        <v>#VALUE!</v>
      </c>
      <c r="W136" s="256">
        <f t="shared" ref="W136" si="174">IFERROR(FIND(",",U136),LEN(U136))</f>
        <v>4</v>
      </c>
      <c r="X136" s="256" t="e">
        <f t="shared" ref="X136" si="175">FIND("target:",U136)+7</f>
        <v>#VALUE!</v>
      </c>
      <c r="Y136" s="256" t="e">
        <f t="shared" ref="Y136" si="176">FIND(",",U136,W136+1)</f>
        <v>#VALUE!</v>
      </c>
      <c r="Z136" s="256" t="str">
        <f>IFERROR(VLOOKUP(MID(U136,X136,Y136-X136),[6]skilldef!$C:$D,2,FALSE),"-") &amp; " / " &amp; IFERROR(VLOOKUP(MID(U136,V136,W136-V136),[6]skilldef!$A:$B,2,FALSE),"-")</f>
        <v>- / -</v>
      </c>
      <c r="AA136" s="254"/>
      <c r="AB136" s="258"/>
      <c r="AC136" s="254"/>
      <c r="AD136" s="259"/>
      <c r="AE136" s="260"/>
    </row>
    <row r="137" spans="1:31" s="261" customFormat="1" ht="42" customHeight="1" x14ac:dyDescent="0.15">
      <c r="A137" s="289">
        <v>40045909</v>
      </c>
      <c r="B137" s="257" t="s">
        <v>537</v>
      </c>
      <c r="C137" s="49">
        <v>3</v>
      </c>
      <c r="D137" s="254" t="s">
        <v>126</v>
      </c>
      <c r="E137" s="255" t="s">
        <v>486</v>
      </c>
      <c r="F137" s="255" t="s">
        <v>534</v>
      </c>
      <c r="G137" s="255" t="s">
        <v>419</v>
      </c>
      <c r="H137" s="256" t="str">
        <f t="shared" si="84"/>
        <v>[effect:enemy_message, val1:2.0, val2:0.0]</v>
      </c>
      <c r="I137" s="256">
        <f t="shared" ref="I137:I139" si="177">FIND("effect:",H137)+7</f>
        <v>9</v>
      </c>
      <c r="J137" s="256">
        <f t="shared" ref="J137:J139" si="178">IFERROR(FIND(",",H137),LEN(H137))</f>
        <v>22</v>
      </c>
      <c r="K137" s="256" t="e">
        <f t="shared" ref="K137:K139" si="179">FIND("target:",H137)+7</f>
        <v>#VALUE!</v>
      </c>
      <c r="L137" s="256">
        <f t="shared" ref="L137:L139" si="180">FIND(",",H137,J137+1)</f>
        <v>32</v>
      </c>
      <c r="M137" s="256" t="str">
        <f>IFERROR(VLOOKUP(MID(H137,K137,L137-K137),[6]skilldef!$C:$D,2,FALSE),"-") &amp; " / " &amp; IFERROR(VLOOKUP(MID(H137,I137,J137-I137),[6]skilldef!$A:$B,2,FALSE),"-")</f>
        <v>- / -</v>
      </c>
      <c r="N137" s="256" t="str">
        <f t="shared" si="159"/>
        <v>none</v>
      </c>
      <c r="O137" s="257" t="str">
        <f t="shared" ref="O137:O138" si="181">IFERROR(LEFT(N137,FIND("],",N137)+T142),N137)</f>
        <v>none</v>
      </c>
      <c r="P137" s="256" t="e">
        <f t="shared" ref="P137:P139" si="182">FIND("effect:",O137)+7</f>
        <v>#VALUE!</v>
      </c>
      <c r="Q137" s="256">
        <f t="shared" ref="Q137:Q139" si="183">IFERROR(FIND(",",O137),LEN(O137))</f>
        <v>4</v>
      </c>
      <c r="R137" s="256" t="e">
        <f t="shared" ref="R137:R139" si="184">FIND("target:",O137)+7</f>
        <v>#VALUE!</v>
      </c>
      <c r="S137" s="256" t="e">
        <f t="shared" ref="S137:S139" si="185">FIND(",",O137,Q137+1)</f>
        <v>#VALUE!</v>
      </c>
      <c r="T137" s="256" t="str">
        <f>IFERROR(VLOOKUP(MID(O137,R137,S137-R137),[6]skilldef!$C:$D,2,FALSE),"-") &amp; " / " &amp; IFERROR(VLOOKUP(MID(O137,P137,Q137-P137),[6]skilldef!$A:$B,2,FALSE),"-")</f>
        <v>- / -</v>
      </c>
      <c r="U137" s="257" t="str">
        <f t="shared" ref="U137:U139" si="186">IFERROR(RIGHT(N137,LEN(N137)-FIND("],",N137)-1),"none")</f>
        <v>none</v>
      </c>
      <c r="V137" s="256" t="e">
        <f t="shared" ref="V137:V139" si="187">FIND("effect:",U137)+7</f>
        <v>#VALUE!</v>
      </c>
      <c r="W137" s="256">
        <f t="shared" ref="W137:W139" si="188">IFERROR(FIND(",",U137),LEN(U137))</f>
        <v>4</v>
      </c>
      <c r="X137" s="256" t="e">
        <f t="shared" ref="X137:X139" si="189">FIND("target:",U137)+7</f>
        <v>#VALUE!</v>
      </c>
      <c r="Y137" s="256" t="e">
        <f t="shared" ref="Y137:Y139" si="190">FIND(",",U137,W137+1)</f>
        <v>#VALUE!</v>
      </c>
      <c r="Z137" s="256" t="str">
        <f>IFERROR(VLOOKUP(MID(U137,X137,Y137-X137),[6]skilldef!$C:$D,2,FALSE),"-") &amp; " / " &amp; IFERROR(VLOOKUP(MID(U137,V137,W137-V137),[6]skilldef!$A:$B,2,FALSE),"-")</f>
        <v>- / -</v>
      </c>
      <c r="AA137" s="254"/>
      <c r="AB137" s="258"/>
      <c r="AC137" s="254"/>
      <c r="AD137" s="259"/>
      <c r="AE137" s="260"/>
    </row>
    <row r="138" spans="1:31" s="261" customFormat="1" ht="42" customHeight="1" x14ac:dyDescent="0.15">
      <c r="A138" s="289">
        <v>40045910</v>
      </c>
      <c r="B138" s="257" t="s">
        <v>538</v>
      </c>
      <c r="C138" s="49">
        <v>3</v>
      </c>
      <c r="D138" s="254" t="s">
        <v>126</v>
      </c>
      <c r="E138" s="255" t="s">
        <v>487</v>
      </c>
      <c r="F138" s="255" t="s">
        <v>535</v>
      </c>
      <c r="G138" s="255" t="s">
        <v>419</v>
      </c>
      <c r="H138" s="256" t="str">
        <f t="shared" si="84"/>
        <v>[effect:enemy_message, val1:1.7, val2:0.0]</v>
      </c>
      <c r="I138" s="256">
        <f t="shared" si="177"/>
        <v>9</v>
      </c>
      <c r="J138" s="256">
        <f t="shared" si="178"/>
        <v>22</v>
      </c>
      <c r="K138" s="256" t="e">
        <f t="shared" si="179"/>
        <v>#VALUE!</v>
      </c>
      <c r="L138" s="256">
        <f t="shared" si="180"/>
        <v>32</v>
      </c>
      <c r="M138" s="256" t="str">
        <f>IFERROR(VLOOKUP(MID(H138,K138,L138-K138),[6]skilldef!$C:$D,2,FALSE),"-") &amp; " / " &amp; IFERROR(VLOOKUP(MID(H138,I138,J138-I138),[6]skilldef!$A:$B,2,FALSE),"-")</f>
        <v>- / -</v>
      </c>
      <c r="N138" s="256" t="str">
        <f t="shared" si="159"/>
        <v>none</v>
      </c>
      <c r="O138" s="257" t="str">
        <f t="shared" si="181"/>
        <v>none</v>
      </c>
      <c r="P138" s="256" t="e">
        <f t="shared" si="182"/>
        <v>#VALUE!</v>
      </c>
      <c r="Q138" s="256">
        <f t="shared" si="183"/>
        <v>4</v>
      </c>
      <c r="R138" s="256" t="e">
        <f t="shared" si="184"/>
        <v>#VALUE!</v>
      </c>
      <c r="S138" s="256" t="e">
        <f t="shared" si="185"/>
        <v>#VALUE!</v>
      </c>
      <c r="T138" s="256" t="str">
        <f>IFERROR(VLOOKUP(MID(O138,R138,S138-R138),[6]skilldef!$C:$D,2,FALSE),"-") &amp; " / " &amp; IFERROR(VLOOKUP(MID(O138,P138,Q138-P138),[6]skilldef!$A:$B,2,FALSE),"-")</f>
        <v>- / -</v>
      </c>
      <c r="U138" s="257" t="str">
        <f t="shared" si="186"/>
        <v>none</v>
      </c>
      <c r="V138" s="256" t="e">
        <f t="shared" si="187"/>
        <v>#VALUE!</v>
      </c>
      <c r="W138" s="256">
        <f t="shared" si="188"/>
        <v>4</v>
      </c>
      <c r="X138" s="256" t="e">
        <f t="shared" si="189"/>
        <v>#VALUE!</v>
      </c>
      <c r="Y138" s="256" t="e">
        <f t="shared" si="190"/>
        <v>#VALUE!</v>
      </c>
      <c r="Z138" s="256" t="str">
        <f>IFERROR(VLOOKUP(MID(U138,X138,Y138-X138),[6]skilldef!$C:$D,2,FALSE),"-") &amp; " / " &amp; IFERROR(VLOOKUP(MID(U138,V138,W138-V138),[6]skilldef!$A:$B,2,FALSE),"-")</f>
        <v>- / -</v>
      </c>
      <c r="AA138" s="254"/>
      <c r="AB138" s="258"/>
      <c r="AC138" s="254"/>
      <c r="AD138" s="259"/>
      <c r="AE138" s="260"/>
    </row>
    <row r="139" spans="1:31" s="261" customFormat="1" ht="42" customHeight="1" x14ac:dyDescent="0.15">
      <c r="A139" s="289">
        <v>40045911</v>
      </c>
      <c r="B139" s="257" t="s">
        <v>633</v>
      </c>
      <c r="C139" s="49">
        <v>3</v>
      </c>
      <c r="D139" s="254" t="s">
        <v>126</v>
      </c>
      <c r="E139" s="255" t="s">
        <v>488</v>
      </c>
      <c r="F139" s="255" t="s">
        <v>628</v>
      </c>
      <c r="G139" s="255" t="s">
        <v>419</v>
      </c>
      <c r="H139" s="256" t="str">
        <f t="shared" si="84"/>
        <v>[effect:enemy_message, val1:2.0, val2:0.0]</v>
      </c>
      <c r="I139" s="256">
        <f t="shared" si="177"/>
        <v>9</v>
      </c>
      <c r="J139" s="256">
        <f t="shared" si="178"/>
        <v>22</v>
      </c>
      <c r="K139" s="256" t="e">
        <f t="shared" si="179"/>
        <v>#VALUE!</v>
      </c>
      <c r="L139" s="256">
        <f t="shared" si="180"/>
        <v>32</v>
      </c>
      <c r="M139" s="256" t="str">
        <f>IFERROR(VLOOKUP(MID(H139,K139,L139-K139),[6]skilldef!$C:$D,2,FALSE),"-") &amp; " / " &amp; IFERROR(VLOOKUP(MID(H139,I139,J139-I139),[6]skilldef!$A:$B,2,FALSE),"-")</f>
        <v>- / -</v>
      </c>
      <c r="N139" s="256" t="str">
        <f t="shared" si="159"/>
        <v>none</v>
      </c>
      <c r="O139" s="257" t="str">
        <f>IFERROR(LEFT(N139,FIND("],",N139)+T144),N139)</f>
        <v>none</v>
      </c>
      <c r="P139" s="256" t="e">
        <f t="shared" si="182"/>
        <v>#VALUE!</v>
      </c>
      <c r="Q139" s="256">
        <f t="shared" si="183"/>
        <v>4</v>
      </c>
      <c r="R139" s="256" t="e">
        <f t="shared" si="184"/>
        <v>#VALUE!</v>
      </c>
      <c r="S139" s="256" t="e">
        <f t="shared" si="185"/>
        <v>#VALUE!</v>
      </c>
      <c r="T139" s="256" t="str">
        <f>IFERROR(VLOOKUP(MID(O139,R139,S139-R139),[6]skilldef!$C:$D,2,FALSE),"-") &amp; " / " &amp; IFERROR(VLOOKUP(MID(O139,P139,Q139-P139),[6]skilldef!$A:$B,2,FALSE),"-")</f>
        <v>- / -</v>
      </c>
      <c r="U139" s="257" t="str">
        <f t="shared" si="186"/>
        <v>none</v>
      </c>
      <c r="V139" s="256" t="e">
        <f t="shared" si="187"/>
        <v>#VALUE!</v>
      </c>
      <c r="W139" s="256">
        <f t="shared" si="188"/>
        <v>4</v>
      </c>
      <c r="X139" s="256" t="e">
        <f t="shared" si="189"/>
        <v>#VALUE!</v>
      </c>
      <c r="Y139" s="256" t="e">
        <f t="shared" si="190"/>
        <v>#VALUE!</v>
      </c>
      <c r="Z139" s="256" t="str">
        <f>IFERROR(VLOOKUP(MID(U139,X139,Y139-X139),[6]skilldef!$C:$D,2,FALSE),"-") &amp; " / " &amp; IFERROR(VLOOKUP(MID(U139,V139,W139-V139),[6]skilldef!$A:$B,2,FALSE),"-")</f>
        <v>- / -</v>
      </c>
      <c r="AA139" s="254"/>
      <c r="AB139" s="258"/>
      <c r="AC139" s="254"/>
      <c r="AD139" s="259"/>
      <c r="AE139" s="260"/>
    </row>
    <row r="140" spans="1:31" s="261" customFormat="1" ht="42" customHeight="1" x14ac:dyDescent="0.15">
      <c r="A140" s="289">
        <v>40045912</v>
      </c>
      <c r="B140" s="257" t="s">
        <v>537</v>
      </c>
      <c r="C140" s="49">
        <v>3</v>
      </c>
      <c r="D140" s="254" t="s">
        <v>126</v>
      </c>
      <c r="E140" s="255" t="s">
        <v>517</v>
      </c>
      <c r="F140" s="255" t="s">
        <v>532</v>
      </c>
      <c r="G140" s="255" t="s">
        <v>419</v>
      </c>
      <c r="H140" s="256" t="str">
        <f t="shared" si="84"/>
        <v>[effect:enemy_message, val1:2.0, val2:0.0]</v>
      </c>
      <c r="I140" s="256">
        <f t="shared" ref="I140:I143" si="191">FIND("effect:",H140)+7</f>
        <v>9</v>
      </c>
      <c r="J140" s="256">
        <f t="shared" ref="J140:J143" si="192">IFERROR(FIND(",",H140),LEN(H140))</f>
        <v>22</v>
      </c>
      <c r="K140" s="256" t="e">
        <f t="shared" ref="K140:K143" si="193">FIND("target:",H140)+7</f>
        <v>#VALUE!</v>
      </c>
      <c r="L140" s="256">
        <f t="shared" ref="L140:L143" si="194">FIND(",",H140,J140+1)</f>
        <v>32</v>
      </c>
      <c r="M140" s="256" t="str">
        <f>IFERROR(VLOOKUP(MID(H140,K140,L140-K140),[6]skilldef!$C:$D,2,FALSE),"-") &amp; " / " &amp; IFERROR(VLOOKUP(MID(H140,I140,J140-I140),[6]skilldef!$A:$B,2,FALSE),"-")</f>
        <v>- / -</v>
      </c>
      <c r="N140" s="256" t="str">
        <f t="shared" si="159"/>
        <v>none</v>
      </c>
      <c r="O140" s="257" t="str">
        <f>IFERROR(LEFT(N140,FIND("],",N140)+T145),N140)</f>
        <v>none</v>
      </c>
      <c r="P140" s="256" t="e">
        <f t="shared" ref="P140:P143" si="195">FIND("effect:",O140)+7</f>
        <v>#VALUE!</v>
      </c>
      <c r="Q140" s="256">
        <f t="shared" ref="Q140:Q143" si="196">IFERROR(FIND(",",O140),LEN(O140))</f>
        <v>4</v>
      </c>
      <c r="R140" s="256" t="e">
        <f t="shared" ref="R140:R143" si="197">FIND("target:",O140)+7</f>
        <v>#VALUE!</v>
      </c>
      <c r="S140" s="256" t="e">
        <f t="shared" ref="S140:S143" si="198">FIND(",",O140,Q140+1)</f>
        <v>#VALUE!</v>
      </c>
      <c r="T140" s="256" t="str">
        <f>IFERROR(VLOOKUP(MID(O140,R140,S140-R140),[6]skilldef!$C:$D,2,FALSE),"-") &amp; " / " &amp; IFERROR(VLOOKUP(MID(O140,P140,Q140-P140),[6]skilldef!$A:$B,2,FALSE),"-")</f>
        <v>- / -</v>
      </c>
      <c r="U140" s="257" t="str">
        <f t="shared" ref="U140:U143" si="199">IFERROR(RIGHT(N140,LEN(N140)-FIND("],",N140)-1),"none")</f>
        <v>none</v>
      </c>
      <c r="V140" s="256" t="e">
        <f t="shared" ref="V140:V143" si="200">FIND("effect:",U140)+7</f>
        <v>#VALUE!</v>
      </c>
      <c r="W140" s="256">
        <f t="shared" ref="W140:W143" si="201">IFERROR(FIND(",",U140),LEN(U140))</f>
        <v>4</v>
      </c>
      <c r="X140" s="256" t="e">
        <f t="shared" ref="X140:X143" si="202">FIND("target:",U140)+7</f>
        <v>#VALUE!</v>
      </c>
      <c r="Y140" s="256" t="e">
        <f t="shared" ref="Y140:Y143" si="203">FIND(",",U140,W140+1)</f>
        <v>#VALUE!</v>
      </c>
      <c r="Z140" s="256" t="str">
        <f>IFERROR(VLOOKUP(MID(U140,X140,Y140-X140),[6]skilldef!$C:$D,2,FALSE),"-") &amp; " / " &amp; IFERROR(VLOOKUP(MID(U140,V140,W140-V140),[6]skilldef!$A:$B,2,FALSE),"-")</f>
        <v>- / -</v>
      </c>
      <c r="AA140" s="254"/>
      <c r="AB140" s="258"/>
      <c r="AC140" s="254"/>
      <c r="AD140" s="259"/>
      <c r="AE140" s="260"/>
    </row>
    <row r="141" spans="1:31" s="261" customFormat="1" ht="42" customHeight="1" x14ac:dyDescent="0.15">
      <c r="A141" s="289">
        <v>40045913</v>
      </c>
      <c r="B141" s="257" t="s">
        <v>538</v>
      </c>
      <c r="C141" s="49">
        <v>3</v>
      </c>
      <c r="D141" s="254" t="s">
        <v>126</v>
      </c>
      <c r="E141" s="255" t="s">
        <v>518</v>
      </c>
      <c r="F141" s="255" t="s">
        <v>533</v>
      </c>
      <c r="G141" s="255" t="s">
        <v>419</v>
      </c>
      <c r="H141" s="256" t="str">
        <f t="shared" si="84"/>
        <v>[effect:enemy_message, val1:1.7, val2:0.0]</v>
      </c>
      <c r="I141" s="256">
        <f t="shared" si="191"/>
        <v>9</v>
      </c>
      <c r="J141" s="256">
        <f t="shared" si="192"/>
        <v>22</v>
      </c>
      <c r="K141" s="256" t="e">
        <f t="shared" si="193"/>
        <v>#VALUE!</v>
      </c>
      <c r="L141" s="256">
        <f t="shared" si="194"/>
        <v>32</v>
      </c>
      <c r="M141" s="256" t="str">
        <f>IFERROR(VLOOKUP(MID(H141,K141,L141-K141),[6]skilldef!$C:$D,2,FALSE),"-") &amp; " / " &amp; IFERROR(VLOOKUP(MID(H141,I141,J141-I141),[6]skilldef!$A:$B,2,FALSE),"-")</f>
        <v>- / -</v>
      </c>
      <c r="N141" s="256" t="str">
        <f t="shared" si="159"/>
        <v>none</v>
      </c>
      <c r="O141" s="257" t="str">
        <f>IFERROR(LEFT(N141,FIND("],",N141)+T146),N141)</f>
        <v>none</v>
      </c>
      <c r="P141" s="256" t="e">
        <f t="shared" si="195"/>
        <v>#VALUE!</v>
      </c>
      <c r="Q141" s="256">
        <f t="shared" si="196"/>
        <v>4</v>
      </c>
      <c r="R141" s="256" t="e">
        <f t="shared" si="197"/>
        <v>#VALUE!</v>
      </c>
      <c r="S141" s="256" t="e">
        <f t="shared" si="198"/>
        <v>#VALUE!</v>
      </c>
      <c r="T141" s="256" t="str">
        <f>IFERROR(VLOOKUP(MID(O141,R141,S141-R141),[6]skilldef!$C:$D,2,FALSE),"-") &amp; " / " &amp; IFERROR(VLOOKUP(MID(O141,P141,Q141-P141),[6]skilldef!$A:$B,2,FALSE),"-")</f>
        <v>- / -</v>
      </c>
      <c r="U141" s="257" t="str">
        <f t="shared" si="199"/>
        <v>none</v>
      </c>
      <c r="V141" s="256" t="e">
        <f t="shared" si="200"/>
        <v>#VALUE!</v>
      </c>
      <c r="W141" s="256">
        <f t="shared" si="201"/>
        <v>4</v>
      </c>
      <c r="X141" s="256" t="e">
        <f t="shared" si="202"/>
        <v>#VALUE!</v>
      </c>
      <c r="Y141" s="256" t="e">
        <f t="shared" si="203"/>
        <v>#VALUE!</v>
      </c>
      <c r="Z141" s="256" t="str">
        <f>IFERROR(VLOOKUP(MID(U141,X141,Y141-X141),[6]skilldef!$C:$D,2,FALSE),"-") &amp; " / " &amp; IFERROR(VLOOKUP(MID(U141,V141,W141-V141),[6]skilldef!$A:$B,2,FALSE),"-")</f>
        <v>- / -</v>
      </c>
      <c r="AA141" s="254"/>
      <c r="AB141" s="258"/>
      <c r="AC141" s="254"/>
      <c r="AD141" s="259"/>
      <c r="AE141" s="260"/>
    </row>
    <row r="142" spans="1:31" s="261" customFormat="1" ht="42" customHeight="1" x14ac:dyDescent="0.15">
      <c r="A142" s="289">
        <v>40045914</v>
      </c>
      <c r="B142" s="257" t="s">
        <v>538</v>
      </c>
      <c r="C142" s="49">
        <v>3</v>
      </c>
      <c r="D142" s="254" t="s">
        <v>126</v>
      </c>
      <c r="E142" s="255" t="s">
        <v>519</v>
      </c>
      <c r="F142" s="255" t="s">
        <v>533</v>
      </c>
      <c r="G142" s="255" t="s">
        <v>419</v>
      </c>
      <c r="H142" s="256" t="str">
        <f t="shared" si="84"/>
        <v>[effect:enemy_message, val1:1.7, val2:0.0]</v>
      </c>
      <c r="I142" s="256">
        <f t="shared" si="191"/>
        <v>9</v>
      </c>
      <c r="J142" s="256">
        <f t="shared" si="192"/>
        <v>22</v>
      </c>
      <c r="K142" s="256" t="e">
        <f t="shared" si="193"/>
        <v>#VALUE!</v>
      </c>
      <c r="L142" s="256">
        <f t="shared" si="194"/>
        <v>32</v>
      </c>
      <c r="M142" s="256" t="str">
        <f>IFERROR(VLOOKUP(MID(H142,K142,L142-K142),[6]skilldef!$C:$D,2,FALSE),"-") &amp; " / " &amp; IFERROR(VLOOKUP(MID(H142,I142,J142-I142),[6]skilldef!$A:$B,2,FALSE),"-")</f>
        <v>- / -</v>
      </c>
      <c r="N142" s="256" t="str">
        <f t="shared" si="159"/>
        <v>none</v>
      </c>
      <c r="O142" s="257" t="str">
        <f>IFERROR(LEFT(N142,FIND("],",N142)+T147),N142)</f>
        <v>none</v>
      </c>
      <c r="P142" s="256" t="e">
        <f t="shared" si="195"/>
        <v>#VALUE!</v>
      </c>
      <c r="Q142" s="256">
        <f t="shared" si="196"/>
        <v>4</v>
      </c>
      <c r="R142" s="256" t="e">
        <f t="shared" si="197"/>
        <v>#VALUE!</v>
      </c>
      <c r="S142" s="256" t="e">
        <f t="shared" si="198"/>
        <v>#VALUE!</v>
      </c>
      <c r="T142" s="256" t="str">
        <f>IFERROR(VLOOKUP(MID(O142,R142,S142-R142),[6]skilldef!$C:$D,2,FALSE),"-") &amp; " / " &amp; IFERROR(VLOOKUP(MID(O142,P142,Q142-P142),[6]skilldef!$A:$B,2,FALSE),"-")</f>
        <v>- / -</v>
      </c>
      <c r="U142" s="257" t="str">
        <f t="shared" si="199"/>
        <v>none</v>
      </c>
      <c r="V142" s="256" t="e">
        <f t="shared" si="200"/>
        <v>#VALUE!</v>
      </c>
      <c r="W142" s="256">
        <f t="shared" si="201"/>
        <v>4</v>
      </c>
      <c r="X142" s="256" t="e">
        <f t="shared" si="202"/>
        <v>#VALUE!</v>
      </c>
      <c r="Y142" s="256" t="e">
        <f t="shared" si="203"/>
        <v>#VALUE!</v>
      </c>
      <c r="Z142" s="256" t="str">
        <f>IFERROR(VLOOKUP(MID(U142,X142,Y142-X142),[6]skilldef!$C:$D,2,FALSE),"-") &amp; " / " &amp; IFERROR(VLOOKUP(MID(U142,V142,W142-V142),[6]skilldef!$A:$B,2,FALSE),"-")</f>
        <v>- / -</v>
      </c>
      <c r="AA142" s="254"/>
      <c r="AB142" s="258"/>
      <c r="AC142" s="254"/>
      <c r="AD142" s="259"/>
      <c r="AE142" s="260"/>
    </row>
    <row r="143" spans="1:31" s="261" customFormat="1" ht="42" customHeight="1" x14ac:dyDescent="0.15">
      <c r="A143" s="289">
        <v>40045915</v>
      </c>
      <c r="B143" s="257" t="s">
        <v>538</v>
      </c>
      <c r="C143" s="49">
        <v>3</v>
      </c>
      <c r="D143" s="254" t="s">
        <v>126</v>
      </c>
      <c r="E143" s="255" t="s">
        <v>520</v>
      </c>
      <c r="F143" s="255" t="s">
        <v>533</v>
      </c>
      <c r="G143" s="255" t="s">
        <v>419</v>
      </c>
      <c r="H143" s="256" t="str">
        <f t="shared" si="84"/>
        <v>[effect:enemy_message, val1:1.7, val2:0.0]</v>
      </c>
      <c r="I143" s="256">
        <f t="shared" si="191"/>
        <v>9</v>
      </c>
      <c r="J143" s="256">
        <f t="shared" si="192"/>
        <v>22</v>
      </c>
      <c r="K143" s="256" t="e">
        <f t="shared" si="193"/>
        <v>#VALUE!</v>
      </c>
      <c r="L143" s="256">
        <f t="shared" si="194"/>
        <v>32</v>
      </c>
      <c r="M143" s="256" t="str">
        <f>IFERROR(VLOOKUP(MID(H143,K143,L143-K143),[6]skilldef!$C:$D,2,FALSE),"-") &amp; " / " &amp; IFERROR(VLOOKUP(MID(H143,I143,J143-I143),[6]skilldef!$A:$B,2,FALSE),"-")</f>
        <v>- / -</v>
      </c>
      <c r="N143" s="256" t="str">
        <f t="shared" si="159"/>
        <v>none</v>
      </c>
      <c r="O143" s="257" t="str">
        <f>IFERROR(LEFT(N143,FIND("],",N143)+T148),N143)</f>
        <v>none</v>
      </c>
      <c r="P143" s="256" t="e">
        <f t="shared" si="195"/>
        <v>#VALUE!</v>
      </c>
      <c r="Q143" s="256">
        <f t="shared" si="196"/>
        <v>4</v>
      </c>
      <c r="R143" s="256" t="e">
        <f t="shared" si="197"/>
        <v>#VALUE!</v>
      </c>
      <c r="S143" s="256" t="e">
        <f t="shared" si="198"/>
        <v>#VALUE!</v>
      </c>
      <c r="T143" s="256" t="str">
        <f>IFERROR(VLOOKUP(MID(O143,R143,S143-R143),[6]skilldef!$C:$D,2,FALSE),"-") &amp; " / " &amp; IFERROR(VLOOKUP(MID(O143,P143,Q143-P143),[6]skilldef!$A:$B,2,FALSE),"-")</f>
        <v>- / -</v>
      </c>
      <c r="U143" s="257" t="str">
        <f t="shared" si="199"/>
        <v>none</v>
      </c>
      <c r="V143" s="256" t="e">
        <f t="shared" si="200"/>
        <v>#VALUE!</v>
      </c>
      <c r="W143" s="256">
        <f t="shared" si="201"/>
        <v>4</v>
      </c>
      <c r="X143" s="256" t="e">
        <f t="shared" si="202"/>
        <v>#VALUE!</v>
      </c>
      <c r="Y143" s="256" t="e">
        <f t="shared" si="203"/>
        <v>#VALUE!</v>
      </c>
      <c r="Z143" s="256" t="str">
        <f>IFERROR(VLOOKUP(MID(U143,X143,Y143-X143),[6]skilldef!$C:$D,2,FALSE),"-") &amp; " / " &amp; IFERROR(VLOOKUP(MID(U143,V143,W143-V143),[6]skilldef!$A:$B,2,FALSE),"-")</f>
        <v>- / -</v>
      </c>
      <c r="AA143" s="254"/>
      <c r="AB143" s="258"/>
      <c r="AC143" s="254"/>
      <c r="AD143" s="259"/>
      <c r="AE143" s="260"/>
    </row>
  </sheetData>
  <autoFilter ref="A1:AC1"/>
  <mergeCells count="5">
    <mergeCell ref="G98:I98"/>
    <mergeCell ref="AE11:AG11"/>
    <mergeCell ref="AE43:AG43"/>
    <mergeCell ref="AE98:AG98"/>
    <mergeCell ref="AE66:AG66"/>
  </mergeCells>
  <phoneticPr fontId="6"/>
  <conditionalFormatting sqref="AE98">
    <cfRule type="containsText" dxfId="33" priority="27" operator="containsText" text="ウィルス">
      <formula>NOT(ISERROR(SEARCH("ウィルス",AE98)))</formula>
    </cfRule>
  </conditionalFormatting>
  <conditionalFormatting sqref="AE43">
    <cfRule type="containsText" dxfId="32" priority="2" operator="containsText" text="ウィルス">
      <formula>NOT(ISERROR(SEARCH("ウィルス",AE43)))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N112"/>
  <sheetViews>
    <sheetView showGridLines="0" workbookViewId="0">
      <pane ySplit="1" topLeftCell="A77" activePane="bottomLeft" state="frozenSplit"/>
      <selection pane="bottomLeft" activeCell="G92" sqref="G92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.83203125" style="38" customWidth="1"/>
    <col min="12" max="13" width="26.1640625" style="44" customWidth="1"/>
    <col min="14" max="16384" width="12.83203125" style="44"/>
  </cols>
  <sheetData>
    <row r="1" spans="1:13" ht="21" customHeight="1" x14ac:dyDescent="0.15">
      <c r="A1" s="52" t="s">
        <v>83</v>
      </c>
      <c r="B1" s="52" t="s">
        <v>84</v>
      </c>
      <c r="C1" s="52" t="s">
        <v>85</v>
      </c>
      <c r="D1" s="52" t="s">
        <v>86</v>
      </c>
      <c r="E1" s="52" t="s">
        <v>69</v>
      </c>
      <c r="F1" s="52" t="s">
        <v>70</v>
      </c>
      <c r="G1" s="52" t="s">
        <v>71</v>
      </c>
      <c r="H1" s="52" t="s">
        <v>72</v>
      </c>
      <c r="I1" s="52" t="s">
        <v>73</v>
      </c>
      <c r="J1" s="52" t="s">
        <v>74</v>
      </c>
      <c r="K1" s="103"/>
    </row>
    <row r="2" spans="1:13" ht="21" customHeight="1" x14ac:dyDescent="0.15">
      <c r="A2" s="110">
        <v>40045000</v>
      </c>
      <c r="B2" s="110">
        <v>0</v>
      </c>
      <c r="C2" s="110">
        <v>490</v>
      </c>
      <c r="D2" s="110">
        <v>100</v>
      </c>
      <c r="E2" s="110" t="s">
        <v>252</v>
      </c>
      <c r="F2" s="110" t="s">
        <v>88</v>
      </c>
      <c r="G2" s="110" t="s">
        <v>252</v>
      </c>
      <c r="H2" s="110">
        <v>2</v>
      </c>
      <c r="I2" s="110" t="s">
        <v>88</v>
      </c>
      <c r="J2" s="111">
        <f t="shared" ref="J2" si="0">D2</f>
        <v>100</v>
      </c>
      <c r="K2" s="202"/>
      <c r="L2" s="50" t="s">
        <v>349</v>
      </c>
      <c r="M2" s="50" t="s">
        <v>335</v>
      </c>
    </row>
    <row r="3" spans="1:13" ht="21" customHeight="1" x14ac:dyDescent="0.15">
      <c r="A3" s="110">
        <v>40045001</v>
      </c>
      <c r="B3" s="110">
        <v>0</v>
      </c>
      <c r="C3" s="110">
        <v>500</v>
      </c>
      <c r="D3" s="110">
        <v>100</v>
      </c>
      <c r="E3" s="110" t="s">
        <v>252</v>
      </c>
      <c r="F3" s="110" t="s">
        <v>88</v>
      </c>
      <c r="G3" s="110" t="s">
        <v>252</v>
      </c>
      <c r="H3" s="110">
        <v>4</v>
      </c>
      <c r="I3" s="110" t="s">
        <v>88</v>
      </c>
      <c r="J3" s="111">
        <f t="shared" ref="J3:J55" si="1">D3</f>
        <v>100</v>
      </c>
      <c r="K3" s="202"/>
      <c r="L3" s="50" t="s">
        <v>255</v>
      </c>
      <c r="M3" s="50" t="s">
        <v>348</v>
      </c>
    </row>
    <row r="4" spans="1:13" ht="21" customHeight="1" x14ac:dyDescent="0.15">
      <c r="A4" s="110">
        <v>40045002</v>
      </c>
      <c r="B4" s="110">
        <v>1</v>
      </c>
      <c r="C4" s="110">
        <v>510</v>
      </c>
      <c r="D4" s="110">
        <v>100</v>
      </c>
      <c r="E4" s="110" t="s">
        <v>87</v>
      </c>
      <c r="F4" s="110" t="s">
        <v>87</v>
      </c>
      <c r="G4" s="110">
        <v>1</v>
      </c>
      <c r="H4" s="110">
        <v>1</v>
      </c>
      <c r="I4" s="110" t="s">
        <v>87</v>
      </c>
      <c r="J4" s="111">
        <f t="shared" ref="J4" si="2">D4</f>
        <v>100</v>
      </c>
      <c r="K4" s="202"/>
      <c r="L4" s="50" t="s">
        <v>418</v>
      </c>
      <c r="M4" s="50"/>
    </row>
    <row r="5" spans="1:13" ht="21" customHeight="1" x14ac:dyDescent="0.15">
      <c r="A5" s="110">
        <v>40045100</v>
      </c>
      <c r="B5" s="110">
        <v>1</v>
      </c>
      <c r="C5" s="110">
        <v>510</v>
      </c>
      <c r="D5" s="110">
        <v>100</v>
      </c>
      <c r="E5" s="110" t="s">
        <v>252</v>
      </c>
      <c r="F5" s="110" t="s">
        <v>88</v>
      </c>
      <c r="G5" s="110">
        <v>1</v>
      </c>
      <c r="H5" s="110">
        <v>1</v>
      </c>
      <c r="I5" s="110" t="s">
        <v>88</v>
      </c>
      <c r="J5" s="111">
        <f t="shared" si="1"/>
        <v>100</v>
      </c>
      <c r="K5" s="202"/>
      <c r="L5" s="50" t="s">
        <v>256</v>
      </c>
      <c r="M5" s="50" t="s">
        <v>347</v>
      </c>
    </row>
    <row r="6" spans="1:13" ht="21" customHeight="1" x14ac:dyDescent="0.15">
      <c r="A6" s="110">
        <v>40045101</v>
      </c>
      <c r="B6" s="110">
        <v>0</v>
      </c>
      <c r="C6" s="110">
        <v>490</v>
      </c>
      <c r="D6" s="110">
        <v>100</v>
      </c>
      <c r="E6" s="110" t="s">
        <v>252</v>
      </c>
      <c r="F6" s="110" t="s">
        <v>88</v>
      </c>
      <c r="G6" s="110" t="s">
        <v>252</v>
      </c>
      <c r="H6" s="110">
        <v>2</v>
      </c>
      <c r="I6" s="110" t="s">
        <v>88</v>
      </c>
      <c r="J6" s="111">
        <f t="shared" si="1"/>
        <v>100</v>
      </c>
      <c r="K6" s="202"/>
      <c r="L6" s="50" t="s">
        <v>257</v>
      </c>
      <c r="M6" s="50" t="s">
        <v>346</v>
      </c>
    </row>
    <row r="7" spans="1:13" ht="21" customHeight="1" x14ac:dyDescent="0.15">
      <c r="A7" s="110">
        <v>40045102</v>
      </c>
      <c r="B7" s="110">
        <v>0</v>
      </c>
      <c r="C7" s="110">
        <v>500</v>
      </c>
      <c r="D7" s="110">
        <v>100</v>
      </c>
      <c r="E7" s="110" t="s">
        <v>252</v>
      </c>
      <c r="F7" s="110" t="s">
        <v>88</v>
      </c>
      <c r="G7" s="110" t="s">
        <v>252</v>
      </c>
      <c r="H7" s="110">
        <v>3</v>
      </c>
      <c r="I7" s="110" t="s">
        <v>88</v>
      </c>
      <c r="J7" s="111">
        <f t="shared" si="1"/>
        <v>100</v>
      </c>
      <c r="K7" s="202"/>
      <c r="L7" s="50" t="s">
        <v>258</v>
      </c>
      <c r="M7" s="50" t="s">
        <v>331</v>
      </c>
    </row>
    <row r="8" spans="1:13" ht="21" customHeight="1" x14ac:dyDescent="0.15">
      <c r="A8" s="110">
        <v>40045200</v>
      </c>
      <c r="B8" s="110">
        <v>0</v>
      </c>
      <c r="C8" s="110">
        <v>500</v>
      </c>
      <c r="D8" s="110">
        <v>100</v>
      </c>
      <c r="E8" s="110" t="s">
        <v>252</v>
      </c>
      <c r="F8" s="110" t="s">
        <v>88</v>
      </c>
      <c r="G8" s="110" t="s">
        <v>252</v>
      </c>
      <c r="H8" s="110">
        <v>3</v>
      </c>
      <c r="I8" s="110" t="s">
        <v>88</v>
      </c>
      <c r="J8" s="111">
        <f t="shared" si="1"/>
        <v>100</v>
      </c>
      <c r="K8" s="202"/>
      <c r="L8" s="50" t="s">
        <v>350</v>
      </c>
      <c r="M8" s="50" t="s">
        <v>333</v>
      </c>
    </row>
    <row r="9" spans="1:13" ht="21" customHeight="1" x14ac:dyDescent="0.15">
      <c r="A9" s="110">
        <v>40045201</v>
      </c>
      <c r="B9" s="110">
        <v>0</v>
      </c>
      <c r="C9" s="110">
        <v>490</v>
      </c>
      <c r="D9" s="110">
        <v>50</v>
      </c>
      <c r="E9" s="110" t="s">
        <v>252</v>
      </c>
      <c r="F9" s="110" t="s">
        <v>88</v>
      </c>
      <c r="G9" s="110" t="s">
        <v>252</v>
      </c>
      <c r="H9" s="110">
        <v>1</v>
      </c>
      <c r="I9" s="110" t="s">
        <v>88</v>
      </c>
      <c r="J9" s="111">
        <f t="shared" si="1"/>
        <v>50</v>
      </c>
      <c r="K9" s="202"/>
      <c r="L9" s="50" t="s">
        <v>345</v>
      </c>
      <c r="M9" s="50" t="s">
        <v>344</v>
      </c>
    </row>
    <row r="10" spans="1:13" ht="21" customHeight="1" x14ac:dyDescent="0.15">
      <c r="A10" s="110">
        <v>40045202</v>
      </c>
      <c r="B10" s="110">
        <v>0</v>
      </c>
      <c r="C10" s="110">
        <v>520</v>
      </c>
      <c r="D10" s="110">
        <v>100</v>
      </c>
      <c r="E10" s="110" t="s">
        <v>252</v>
      </c>
      <c r="F10" s="110" t="s">
        <v>88</v>
      </c>
      <c r="G10" s="110" t="s">
        <v>252</v>
      </c>
      <c r="H10" s="110">
        <v>1</v>
      </c>
      <c r="I10" s="110">
        <v>371</v>
      </c>
      <c r="J10" s="111">
        <f t="shared" si="1"/>
        <v>100</v>
      </c>
      <c r="K10" s="202"/>
      <c r="L10" s="50" t="s">
        <v>259</v>
      </c>
      <c r="M10" s="50" t="s">
        <v>336</v>
      </c>
    </row>
    <row r="11" spans="1:13" ht="21" customHeight="1" x14ac:dyDescent="0.15">
      <c r="A11" s="110">
        <v>40045300</v>
      </c>
      <c r="B11" s="110">
        <v>1</v>
      </c>
      <c r="C11" s="110">
        <v>510</v>
      </c>
      <c r="D11" s="110">
        <v>100</v>
      </c>
      <c r="E11" s="110" t="s">
        <v>252</v>
      </c>
      <c r="F11" s="110" t="s">
        <v>88</v>
      </c>
      <c r="G11" s="110">
        <v>1</v>
      </c>
      <c r="H11" s="110">
        <v>1</v>
      </c>
      <c r="I11" s="110" t="s">
        <v>88</v>
      </c>
      <c r="J11" s="111">
        <f t="shared" si="1"/>
        <v>100</v>
      </c>
      <c r="K11" s="202"/>
      <c r="L11" s="50" t="s">
        <v>269</v>
      </c>
      <c r="M11" s="50" t="s">
        <v>355</v>
      </c>
    </row>
    <row r="12" spans="1:13" ht="21" customHeight="1" x14ac:dyDescent="0.15">
      <c r="A12" s="110">
        <v>40045301</v>
      </c>
      <c r="B12" s="110">
        <v>0</v>
      </c>
      <c r="C12" s="110">
        <v>470</v>
      </c>
      <c r="D12" s="110">
        <v>100</v>
      </c>
      <c r="E12" s="110" t="s">
        <v>252</v>
      </c>
      <c r="F12" s="110" t="s">
        <v>88</v>
      </c>
      <c r="G12" s="110" t="s">
        <v>252</v>
      </c>
      <c r="H12" s="110">
        <v>1</v>
      </c>
      <c r="I12" s="110" t="s">
        <v>88</v>
      </c>
      <c r="J12" s="111">
        <f t="shared" si="1"/>
        <v>100</v>
      </c>
      <c r="K12" s="202"/>
      <c r="L12" s="50" t="s">
        <v>266</v>
      </c>
      <c r="M12" s="50" t="s">
        <v>343</v>
      </c>
    </row>
    <row r="13" spans="1:13" ht="21" customHeight="1" x14ac:dyDescent="0.15">
      <c r="A13" s="110">
        <v>40045302</v>
      </c>
      <c r="B13" s="110">
        <v>0</v>
      </c>
      <c r="C13" s="110">
        <v>480</v>
      </c>
      <c r="D13" s="110">
        <v>100</v>
      </c>
      <c r="E13" s="110" t="s">
        <v>252</v>
      </c>
      <c r="F13" s="110" t="s">
        <v>88</v>
      </c>
      <c r="G13" s="110" t="s">
        <v>252</v>
      </c>
      <c r="H13" s="110">
        <v>2</v>
      </c>
      <c r="I13" s="110" t="s">
        <v>88</v>
      </c>
      <c r="J13" s="111">
        <f t="shared" si="1"/>
        <v>100</v>
      </c>
      <c r="K13" s="202"/>
      <c r="L13" s="50" t="s">
        <v>267</v>
      </c>
      <c r="M13" s="50" t="s">
        <v>342</v>
      </c>
    </row>
    <row r="14" spans="1:13" ht="21" customHeight="1" x14ac:dyDescent="0.15">
      <c r="A14" s="110">
        <v>40045303</v>
      </c>
      <c r="B14" s="110">
        <v>0</v>
      </c>
      <c r="C14" s="110">
        <v>490</v>
      </c>
      <c r="D14" s="110">
        <v>100</v>
      </c>
      <c r="E14" s="110" t="s">
        <v>252</v>
      </c>
      <c r="F14" s="110" t="s">
        <v>88</v>
      </c>
      <c r="G14" s="110" t="s">
        <v>252</v>
      </c>
      <c r="H14" s="110">
        <v>4</v>
      </c>
      <c r="I14" s="110" t="s">
        <v>88</v>
      </c>
      <c r="J14" s="111">
        <f t="shared" si="1"/>
        <v>100</v>
      </c>
      <c r="K14" s="202"/>
      <c r="L14" s="50" t="s">
        <v>268</v>
      </c>
      <c r="M14" s="50" t="s">
        <v>341</v>
      </c>
    </row>
    <row r="15" spans="1:13" ht="21" customHeight="1" x14ac:dyDescent="0.15">
      <c r="A15" s="110">
        <v>40045304</v>
      </c>
      <c r="B15" s="110">
        <v>0</v>
      </c>
      <c r="C15" s="110">
        <v>500</v>
      </c>
      <c r="D15" s="110">
        <v>100</v>
      </c>
      <c r="E15" s="110">
        <v>70</v>
      </c>
      <c r="F15" s="110" t="s">
        <v>88</v>
      </c>
      <c r="G15" s="110">
        <v>1</v>
      </c>
      <c r="H15" s="110">
        <v>1</v>
      </c>
      <c r="I15" s="110" t="s">
        <v>88</v>
      </c>
      <c r="J15" s="111">
        <f t="shared" si="1"/>
        <v>100</v>
      </c>
      <c r="K15" s="202"/>
      <c r="L15" s="50" t="s">
        <v>260</v>
      </c>
      <c r="M15" s="50" t="s">
        <v>354</v>
      </c>
    </row>
    <row r="16" spans="1:13" ht="21" customHeight="1" x14ac:dyDescent="0.15">
      <c r="A16" s="110">
        <v>40045305</v>
      </c>
      <c r="B16" s="110">
        <v>0</v>
      </c>
      <c r="C16" s="110">
        <v>530</v>
      </c>
      <c r="D16" s="110">
        <v>100</v>
      </c>
      <c r="E16" s="110" t="s">
        <v>252</v>
      </c>
      <c r="F16" s="110" t="s">
        <v>88</v>
      </c>
      <c r="G16" s="110" t="s">
        <v>252</v>
      </c>
      <c r="H16" s="110">
        <v>1</v>
      </c>
      <c r="I16" s="110">
        <v>41</v>
      </c>
      <c r="J16" s="111">
        <f t="shared" si="1"/>
        <v>100</v>
      </c>
      <c r="K16" s="202"/>
      <c r="L16" s="50" t="s">
        <v>265</v>
      </c>
      <c r="M16" s="50" t="s">
        <v>339</v>
      </c>
    </row>
    <row r="17" spans="1:14" ht="21" customHeight="1" x14ac:dyDescent="0.15">
      <c r="A17" s="110">
        <v>40045306</v>
      </c>
      <c r="B17" s="110">
        <v>0</v>
      </c>
      <c r="C17" s="110">
        <v>520</v>
      </c>
      <c r="D17" s="110">
        <v>100</v>
      </c>
      <c r="E17" s="110" t="s">
        <v>252</v>
      </c>
      <c r="F17" s="110" t="s">
        <v>88</v>
      </c>
      <c r="G17" s="110" t="s">
        <v>252</v>
      </c>
      <c r="H17" s="110">
        <v>1</v>
      </c>
      <c r="I17" s="110">
        <v>22</v>
      </c>
      <c r="J17" s="111">
        <f t="shared" si="1"/>
        <v>100</v>
      </c>
      <c r="K17" s="202"/>
      <c r="L17" s="50" t="s">
        <v>264</v>
      </c>
      <c r="M17" s="50" t="s">
        <v>340</v>
      </c>
    </row>
    <row r="18" spans="1:14" ht="21" customHeight="1" x14ac:dyDescent="0.15">
      <c r="A18" s="110">
        <v>40045400</v>
      </c>
      <c r="B18" s="110">
        <v>0</v>
      </c>
      <c r="C18" s="110">
        <v>500</v>
      </c>
      <c r="D18" s="110">
        <v>50</v>
      </c>
      <c r="E18" s="110" t="s">
        <v>252</v>
      </c>
      <c r="F18" s="110" t="s">
        <v>88</v>
      </c>
      <c r="G18" s="110" t="s">
        <v>252</v>
      </c>
      <c r="H18" s="110">
        <v>1</v>
      </c>
      <c r="I18" s="110" t="s">
        <v>88</v>
      </c>
      <c r="J18" s="111">
        <f t="shared" si="1"/>
        <v>50</v>
      </c>
      <c r="K18" s="202"/>
      <c r="L18" s="50" t="s">
        <v>261</v>
      </c>
      <c r="M18" s="50" t="s">
        <v>338</v>
      </c>
    </row>
    <row r="19" spans="1:14" ht="21" customHeight="1" x14ac:dyDescent="0.15">
      <c r="A19" s="110">
        <v>40045401</v>
      </c>
      <c r="B19" s="110">
        <v>0</v>
      </c>
      <c r="C19" s="110">
        <v>490</v>
      </c>
      <c r="D19" s="110">
        <v>50</v>
      </c>
      <c r="E19" s="110" t="s">
        <v>252</v>
      </c>
      <c r="F19" s="110" t="s">
        <v>88</v>
      </c>
      <c r="G19" s="110" t="s">
        <v>252</v>
      </c>
      <c r="H19" s="110">
        <v>1</v>
      </c>
      <c r="I19" s="110" t="s">
        <v>88</v>
      </c>
      <c r="J19" s="111">
        <f t="shared" si="1"/>
        <v>50</v>
      </c>
      <c r="K19" s="202"/>
      <c r="L19" s="50" t="s">
        <v>262</v>
      </c>
      <c r="M19" s="50" t="s">
        <v>337</v>
      </c>
    </row>
    <row r="20" spans="1:14" ht="21" customHeight="1" x14ac:dyDescent="0.15">
      <c r="A20" s="110">
        <v>40045402</v>
      </c>
      <c r="B20" s="110">
        <v>0</v>
      </c>
      <c r="C20" s="110">
        <v>520</v>
      </c>
      <c r="D20" s="110">
        <v>100</v>
      </c>
      <c r="E20" s="110" t="s">
        <v>252</v>
      </c>
      <c r="F20" s="110" t="s">
        <v>88</v>
      </c>
      <c r="G20" s="110" t="s">
        <v>252</v>
      </c>
      <c r="H20" s="110">
        <v>1</v>
      </c>
      <c r="I20" s="110">
        <v>371</v>
      </c>
      <c r="J20" s="111">
        <f t="shared" si="1"/>
        <v>100</v>
      </c>
      <c r="K20" s="202"/>
      <c r="L20" s="50" t="s">
        <v>263</v>
      </c>
      <c r="M20" s="50" t="s">
        <v>336</v>
      </c>
    </row>
    <row r="21" spans="1:14" ht="21" customHeight="1" x14ac:dyDescent="0.15">
      <c r="A21" s="110">
        <v>40045500</v>
      </c>
      <c r="B21" s="110">
        <v>0</v>
      </c>
      <c r="C21" s="110">
        <v>500</v>
      </c>
      <c r="D21" s="110">
        <v>100</v>
      </c>
      <c r="E21" s="110" t="s">
        <v>252</v>
      </c>
      <c r="F21" s="110" t="s">
        <v>88</v>
      </c>
      <c r="G21" s="110" t="s">
        <v>252</v>
      </c>
      <c r="H21" s="110">
        <v>3</v>
      </c>
      <c r="I21" s="110" t="s">
        <v>88</v>
      </c>
      <c r="J21" s="111">
        <f t="shared" si="1"/>
        <v>100</v>
      </c>
      <c r="K21" s="202"/>
      <c r="L21" s="50" t="s">
        <v>270</v>
      </c>
      <c r="M21" s="50" t="s">
        <v>333</v>
      </c>
    </row>
    <row r="22" spans="1:14" ht="21" customHeight="1" x14ac:dyDescent="0.15">
      <c r="A22" s="110">
        <v>40045501</v>
      </c>
      <c r="B22" s="110">
        <v>0</v>
      </c>
      <c r="C22" s="110">
        <v>490</v>
      </c>
      <c r="D22" s="110">
        <v>50</v>
      </c>
      <c r="E22" s="110" t="s">
        <v>252</v>
      </c>
      <c r="F22" s="110" t="s">
        <v>88</v>
      </c>
      <c r="G22" s="110" t="s">
        <v>252</v>
      </c>
      <c r="H22" s="110">
        <v>2</v>
      </c>
      <c r="I22" s="110" t="s">
        <v>88</v>
      </c>
      <c r="J22" s="111">
        <f t="shared" si="1"/>
        <v>50</v>
      </c>
      <c r="K22" s="202"/>
      <c r="L22" s="50" t="s">
        <v>271</v>
      </c>
      <c r="M22" s="50" t="s">
        <v>334</v>
      </c>
    </row>
    <row r="23" spans="1:14" ht="21" customHeight="1" x14ac:dyDescent="0.15">
      <c r="A23" s="110">
        <v>40045502</v>
      </c>
      <c r="B23" s="110">
        <v>0</v>
      </c>
      <c r="C23" s="110">
        <v>480</v>
      </c>
      <c r="D23" s="110">
        <v>100</v>
      </c>
      <c r="E23" s="110" t="s">
        <v>252</v>
      </c>
      <c r="F23" s="110" t="s">
        <v>88</v>
      </c>
      <c r="G23" s="110" t="s">
        <v>252</v>
      </c>
      <c r="H23" s="110">
        <v>2</v>
      </c>
      <c r="I23" s="110" t="s">
        <v>88</v>
      </c>
      <c r="J23" s="111">
        <f t="shared" si="1"/>
        <v>100</v>
      </c>
      <c r="K23" s="202"/>
      <c r="L23" s="50" t="s">
        <v>272</v>
      </c>
      <c r="M23" s="50" t="s">
        <v>335</v>
      </c>
    </row>
    <row r="24" spans="1:14" ht="21" customHeight="1" x14ac:dyDescent="0.15">
      <c r="A24" s="110">
        <v>40045600</v>
      </c>
      <c r="B24" s="110">
        <v>1</v>
      </c>
      <c r="C24" s="110">
        <v>510</v>
      </c>
      <c r="D24" s="110">
        <v>100</v>
      </c>
      <c r="E24" s="110" t="s">
        <v>252</v>
      </c>
      <c r="F24" s="110" t="s">
        <v>88</v>
      </c>
      <c r="G24" s="110">
        <v>1</v>
      </c>
      <c r="H24" s="110">
        <v>1</v>
      </c>
      <c r="I24" s="110" t="s">
        <v>88</v>
      </c>
      <c r="J24" s="111">
        <f t="shared" si="1"/>
        <v>100</v>
      </c>
      <c r="K24" s="202"/>
      <c r="L24" s="50" t="s">
        <v>273</v>
      </c>
      <c r="M24" s="50" t="s">
        <v>332</v>
      </c>
    </row>
    <row r="25" spans="1:14" ht="21" customHeight="1" x14ac:dyDescent="0.15">
      <c r="A25" s="110">
        <v>40045601</v>
      </c>
      <c r="B25" s="110">
        <v>0</v>
      </c>
      <c r="C25" s="110">
        <v>500</v>
      </c>
      <c r="D25" s="110">
        <v>100</v>
      </c>
      <c r="E25" s="110" t="s">
        <v>252</v>
      </c>
      <c r="F25" s="110" t="s">
        <v>88</v>
      </c>
      <c r="G25" s="110" t="s">
        <v>252</v>
      </c>
      <c r="H25" s="110">
        <v>3</v>
      </c>
      <c r="I25" s="110" t="s">
        <v>88</v>
      </c>
      <c r="J25" s="111">
        <f t="shared" si="1"/>
        <v>100</v>
      </c>
      <c r="K25" s="202"/>
      <c r="L25" s="50" t="s">
        <v>274</v>
      </c>
      <c r="M25" s="50" t="s">
        <v>331</v>
      </c>
    </row>
    <row r="26" spans="1:14" ht="21" customHeight="1" x14ac:dyDescent="0.15">
      <c r="A26" s="110">
        <v>40045602</v>
      </c>
      <c r="B26" s="110">
        <v>0</v>
      </c>
      <c r="C26" s="110">
        <v>490</v>
      </c>
      <c r="D26" s="110">
        <v>50</v>
      </c>
      <c r="E26" s="110" t="s">
        <v>252</v>
      </c>
      <c r="F26" s="110" t="s">
        <v>88</v>
      </c>
      <c r="G26" s="110" t="s">
        <v>252</v>
      </c>
      <c r="H26" s="110">
        <v>1</v>
      </c>
      <c r="I26" s="110" t="s">
        <v>88</v>
      </c>
      <c r="J26" s="111">
        <f t="shared" si="1"/>
        <v>50</v>
      </c>
      <c r="K26" s="202"/>
      <c r="L26" s="50" t="s">
        <v>275</v>
      </c>
      <c r="M26" s="50" t="s">
        <v>330</v>
      </c>
    </row>
    <row r="27" spans="1:14" ht="21" customHeight="1" x14ac:dyDescent="0.15">
      <c r="A27" s="110">
        <v>40045700</v>
      </c>
      <c r="B27" s="110">
        <v>1</v>
      </c>
      <c r="C27" s="110">
        <v>510</v>
      </c>
      <c r="D27" s="110">
        <v>100</v>
      </c>
      <c r="E27" s="110" t="s">
        <v>252</v>
      </c>
      <c r="F27" s="110" t="s">
        <v>88</v>
      </c>
      <c r="G27" s="110">
        <v>1</v>
      </c>
      <c r="H27" s="110">
        <v>1</v>
      </c>
      <c r="I27" s="110" t="s">
        <v>88</v>
      </c>
      <c r="J27" s="111">
        <f t="shared" si="1"/>
        <v>100</v>
      </c>
      <c r="K27" s="202"/>
      <c r="L27" s="50" t="s">
        <v>276</v>
      </c>
      <c r="M27" s="50" t="s">
        <v>329</v>
      </c>
    </row>
    <row r="28" spans="1:14" ht="21" customHeight="1" x14ac:dyDescent="0.15">
      <c r="A28" s="110">
        <v>40045701</v>
      </c>
      <c r="B28" s="110">
        <v>0</v>
      </c>
      <c r="C28" s="110">
        <v>500</v>
      </c>
      <c r="D28" s="110">
        <v>100</v>
      </c>
      <c r="E28" s="110" t="s">
        <v>252</v>
      </c>
      <c r="F28" s="110" t="s">
        <v>88</v>
      </c>
      <c r="G28" s="110" t="s">
        <v>252</v>
      </c>
      <c r="H28" s="110">
        <v>2</v>
      </c>
      <c r="I28" s="110" t="s">
        <v>88</v>
      </c>
      <c r="J28" s="111">
        <f t="shared" si="1"/>
        <v>100</v>
      </c>
      <c r="K28" s="202"/>
      <c r="L28" s="50" t="s">
        <v>278</v>
      </c>
      <c r="M28" s="50" t="s">
        <v>328</v>
      </c>
    </row>
    <row r="29" spans="1:14" ht="21" customHeight="1" x14ac:dyDescent="0.15">
      <c r="A29" s="110">
        <v>40045702</v>
      </c>
      <c r="B29" s="110">
        <v>0</v>
      </c>
      <c r="C29" s="110">
        <v>490</v>
      </c>
      <c r="D29" s="110">
        <v>100</v>
      </c>
      <c r="E29" s="110" t="s">
        <v>252</v>
      </c>
      <c r="F29" s="110" t="s">
        <v>88</v>
      </c>
      <c r="G29" s="110" t="s">
        <v>252</v>
      </c>
      <c r="H29" s="110">
        <v>1</v>
      </c>
      <c r="I29" s="110" t="s">
        <v>88</v>
      </c>
      <c r="J29" s="111">
        <f t="shared" si="1"/>
        <v>100</v>
      </c>
      <c r="K29" s="202"/>
      <c r="L29" s="50" t="s">
        <v>277</v>
      </c>
      <c r="M29" s="50" t="s">
        <v>327</v>
      </c>
    </row>
    <row r="30" spans="1:14" ht="21" customHeight="1" x14ac:dyDescent="0.15">
      <c r="A30" s="110">
        <v>40045800</v>
      </c>
      <c r="B30" s="110">
        <v>1</v>
      </c>
      <c r="C30" s="110">
        <v>510</v>
      </c>
      <c r="D30" s="110">
        <v>100</v>
      </c>
      <c r="E30" s="110" t="s">
        <v>252</v>
      </c>
      <c r="F30" s="110" t="s">
        <v>88</v>
      </c>
      <c r="G30" s="110">
        <v>1</v>
      </c>
      <c r="H30" s="110">
        <v>1</v>
      </c>
      <c r="I30" s="110" t="s">
        <v>88</v>
      </c>
      <c r="J30" s="111">
        <f t="shared" si="1"/>
        <v>100</v>
      </c>
      <c r="K30" s="202"/>
      <c r="L30" s="50" t="s">
        <v>279</v>
      </c>
      <c r="M30" s="50" t="s">
        <v>326</v>
      </c>
    </row>
    <row r="31" spans="1:14" ht="21" customHeight="1" x14ac:dyDescent="0.15">
      <c r="A31" s="110">
        <v>40045801</v>
      </c>
      <c r="B31" s="110">
        <v>0</v>
      </c>
      <c r="C31" s="110">
        <v>500</v>
      </c>
      <c r="D31" s="110">
        <v>100</v>
      </c>
      <c r="E31" s="110" t="s">
        <v>252</v>
      </c>
      <c r="F31" s="110" t="s">
        <v>88</v>
      </c>
      <c r="G31" s="110">
        <v>1</v>
      </c>
      <c r="H31" s="110">
        <v>1</v>
      </c>
      <c r="I31" s="110" t="s">
        <v>88</v>
      </c>
      <c r="J31" s="111">
        <f t="shared" si="1"/>
        <v>100</v>
      </c>
      <c r="K31" s="202"/>
      <c r="L31" s="50" t="s">
        <v>280</v>
      </c>
      <c r="M31" s="50" t="s">
        <v>322</v>
      </c>
    </row>
    <row r="32" spans="1:14" ht="21" customHeight="1" x14ac:dyDescent="0.15">
      <c r="A32" s="110">
        <v>40045802</v>
      </c>
      <c r="B32" s="110">
        <v>0</v>
      </c>
      <c r="C32" s="110">
        <v>460</v>
      </c>
      <c r="D32" s="110">
        <v>100</v>
      </c>
      <c r="E32" s="110" t="s">
        <v>252</v>
      </c>
      <c r="F32" s="110" t="s">
        <v>88</v>
      </c>
      <c r="G32" s="110" t="s">
        <v>252</v>
      </c>
      <c r="H32" s="110">
        <v>2</v>
      </c>
      <c r="I32" s="110" t="s">
        <v>88</v>
      </c>
      <c r="J32" s="111">
        <f t="shared" si="1"/>
        <v>100</v>
      </c>
      <c r="K32" s="202"/>
      <c r="L32" s="50" t="s">
        <v>281</v>
      </c>
      <c r="M32" s="50" t="s">
        <v>318</v>
      </c>
      <c r="N32" s="44" t="s">
        <v>351</v>
      </c>
    </row>
    <row r="33" spans="1:14" ht="21" customHeight="1" x14ac:dyDescent="0.15">
      <c r="A33" s="110">
        <v>40045803</v>
      </c>
      <c r="B33" s="110">
        <v>0</v>
      </c>
      <c r="C33" s="110">
        <v>490</v>
      </c>
      <c r="D33" s="110">
        <v>100</v>
      </c>
      <c r="E33" s="110" t="s">
        <v>252</v>
      </c>
      <c r="F33" s="110" t="s">
        <v>88</v>
      </c>
      <c r="G33" s="110" t="s">
        <v>252</v>
      </c>
      <c r="H33" s="110">
        <v>5</v>
      </c>
      <c r="I33" s="110" t="s">
        <v>88</v>
      </c>
      <c r="J33" s="111">
        <f t="shared" ref="J33" si="3">D33</f>
        <v>100</v>
      </c>
      <c r="K33" s="202"/>
      <c r="L33" s="50" t="s">
        <v>281</v>
      </c>
      <c r="M33" s="50" t="s">
        <v>318</v>
      </c>
      <c r="N33" s="44" t="s">
        <v>352</v>
      </c>
    </row>
    <row r="34" spans="1:14" ht="21" customHeight="1" x14ac:dyDescent="0.15">
      <c r="A34" s="110">
        <v>40045804</v>
      </c>
      <c r="B34" s="110">
        <v>0</v>
      </c>
      <c r="C34" s="110">
        <v>470</v>
      </c>
      <c r="D34" s="110">
        <v>100</v>
      </c>
      <c r="E34" s="110" t="s">
        <v>252</v>
      </c>
      <c r="F34" s="110" t="s">
        <v>88</v>
      </c>
      <c r="G34" s="110" t="s">
        <v>252</v>
      </c>
      <c r="H34" s="110">
        <v>3</v>
      </c>
      <c r="I34" s="110" t="s">
        <v>88</v>
      </c>
      <c r="J34" s="111">
        <f t="shared" si="1"/>
        <v>100</v>
      </c>
      <c r="K34" s="202"/>
      <c r="L34" s="50" t="s">
        <v>282</v>
      </c>
      <c r="M34" s="50" t="s">
        <v>325</v>
      </c>
    </row>
    <row r="35" spans="1:14" ht="21" customHeight="1" x14ac:dyDescent="0.15">
      <c r="A35" s="110">
        <v>40045805</v>
      </c>
      <c r="B35" s="110">
        <v>0</v>
      </c>
      <c r="C35" s="110">
        <v>480</v>
      </c>
      <c r="D35" s="110">
        <v>100</v>
      </c>
      <c r="E35" s="110" t="s">
        <v>252</v>
      </c>
      <c r="F35" s="110" t="s">
        <v>88</v>
      </c>
      <c r="G35" s="110" t="s">
        <v>252</v>
      </c>
      <c r="H35" s="110">
        <v>4</v>
      </c>
      <c r="I35" s="110" t="s">
        <v>88</v>
      </c>
      <c r="J35" s="111">
        <f t="shared" si="1"/>
        <v>100</v>
      </c>
      <c r="K35" s="202"/>
      <c r="L35" s="50" t="s">
        <v>283</v>
      </c>
      <c r="M35" s="46" t="s">
        <v>324</v>
      </c>
    </row>
    <row r="36" spans="1:14" ht="21" customHeight="1" x14ac:dyDescent="0.15">
      <c r="A36" s="110">
        <v>40045806</v>
      </c>
      <c r="B36" s="110">
        <v>0</v>
      </c>
      <c r="C36" s="110">
        <v>450</v>
      </c>
      <c r="D36" s="110">
        <v>100</v>
      </c>
      <c r="E36" s="110" t="s">
        <v>252</v>
      </c>
      <c r="F36" s="110" t="s">
        <v>88</v>
      </c>
      <c r="G36" s="110" t="s">
        <v>252</v>
      </c>
      <c r="H36" s="110">
        <v>1</v>
      </c>
      <c r="I36" s="110" t="s">
        <v>88</v>
      </c>
      <c r="J36" s="111">
        <f t="shared" si="1"/>
        <v>100</v>
      </c>
      <c r="K36" s="203"/>
      <c r="L36" s="50" t="s">
        <v>284</v>
      </c>
      <c r="M36" s="50" t="s">
        <v>323</v>
      </c>
    </row>
    <row r="37" spans="1:14" ht="21" customHeight="1" x14ac:dyDescent="0.15">
      <c r="A37" s="110">
        <v>40045810</v>
      </c>
      <c r="B37" s="110">
        <v>1</v>
      </c>
      <c r="C37" s="110">
        <v>510</v>
      </c>
      <c r="D37" s="110">
        <v>100</v>
      </c>
      <c r="E37" s="110" t="s">
        <v>252</v>
      </c>
      <c r="F37" s="110" t="s">
        <v>88</v>
      </c>
      <c r="G37" s="110">
        <v>1</v>
      </c>
      <c r="H37" s="110">
        <v>1</v>
      </c>
      <c r="I37" s="110" t="s">
        <v>88</v>
      </c>
      <c r="J37" s="111">
        <f t="shared" si="1"/>
        <v>100</v>
      </c>
      <c r="K37" s="202"/>
      <c r="L37" s="50" t="s">
        <v>285</v>
      </c>
      <c r="M37" s="50" t="s">
        <v>321</v>
      </c>
    </row>
    <row r="38" spans="1:14" ht="21" customHeight="1" x14ac:dyDescent="0.15">
      <c r="A38" s="110">
        <v>40045811</v>
      </c>
      <c r="B38" s="110">
        <v>0</v>
      </c>
      <c r="C38" s="110">
        <v>490</v>
      </c>
      <c r="D38" s="110">
        <v>100</v>
      </c>
      <c r="E38" s="110">
        <v>50</v>
      </c>
      <c r="F38" s="110" t="s">
        <v>88</v>
      </c>
      <c r="G38" s="110">
        <v>1</v>
      </c>
      <c r="H38" s="110">
        <v>1</v>
      </c>
      <c r="I38" s="110" t="s">
        <v>88</v>
      </c>
      <c r="J38" s="111">
        <f t="shared" si="1"/>
        <v>100</v>
      </c>
      <c r="K38" s="202"/>
      <c r="L38" s="50" t="s">
        <v>286</v>
      </c>
      <c r="M38" s="50" t="s">
        <v>320</v>
      </c>
    </row>
    <row r="39" spans="1:14" ht="21" customHeight="1" x14ac:dyDescent="0.15">
      <c r="A39" s="110">
        <v>40045812</v>
      </c>
      <c r="B39" s="110">
        <v>0</v>
      </c>
      <c r="C39" s="110">
        <v>500</v>
      </c>
      <c r="D39" s="110">
        <v>100</v>
      </c>
      <c r="E39" s="110">
        <v>70</v>
      </c>
      <c r="F39" s="110" t="s">
        <v>88</v>
      </c>
      <c r="G39" s="110">
        <v>1</v>
      </c>
      <c r="H39" s="110">
        <v>1</v>
      </c>
      <c r="I39" s="110" t="s">
        <v>88</v>
      </c>
      <c r="J39" s="111">
        <f t="shared" si="1"/>
        <v>100</v>
      </c>
      <c r="K39" s="202"/>
      <c r="L39" s="50" t="s">
        <v>287</v>
      </c>
      <c r="M39" s="50" t="s">
        <v>319</v>
      </c>
      <c r="N39" s="44" t="s">
        <v>353</v>
      </c>
    </row>
    <row r="40" spans="1:14" ht="21" customHeight="1" x14ac:dyDescent="0.15">
      <c r="A40" s="110">
        <v>40045813</v>
      </c>
      <c r="B40" s="110">
        <v>1</v>
      </c>
      <c r="C40" s="110">
        <v>480</v>
      </c>
      <c r="D40" s="110">
        <v>100</v>
      </c>
      <c r="E40" s="110" t="s">
        <v>252</v>
      </c>
      <c r="F40" s="110" t="s">
        <v>88</v>
      </c>
      <c r="G40" s="110" t="s">
        <v>252</v>
      </c>
      <c r="H40" s="110">
        <v>3</v>
      </c>
      <c r="I40" s="110" t="s">
        <v>88</v>
      </c>
      <c r="J40" s="111">
        <f t="shared" si="1"/>
        <v>100</v>
      </c>
      <c r="K40" s="202"/>
      <c r="L40" s="50" t="s">
        <v>288</v>
      </c>
      <c r="M40" s="50" t="s">
        <v>318</v>
      </c>
    </row>
    <row r="41" spans="1:14" ht="21" customHeight="1" x14ac:dyDescent="0.15">
      <c r="A41" s="110">
        <v>40045814</v>
      </c>
      <c r="B41" s="110">
        <v>0</v>
      </c>
      <c r="C41" s="110">
        <v>470</v>
      </c>
      <c r="D41" s="110">
        <v>50</v>
      </c>
      <c r="E41" s="110" t="s">
        <v>252</v>
      </c>
      <c r="F41" s="110" t="s">
        <v>88</v>
      </c>
      <c r="G41" s="110" t="s">
        <v>252</v>
      </c>
      <c r="H41" s="110">
        <v>1</v>
      </c>
      <c r="I41" s="110" t="s">
        <v>88</v>
      </c>
      <c r="J41" s="111">
        <f t="shared" si="1"/>
        <v>50</v>
      </c>
      <c r="K41" s="202"/>
      <c r="L41" s="50" t="s">
        <v>289</v>
      </c>
      <c r="M41" s="50" t="s">
        <v>317</v>
      </c>
    </row>
    <row r="42" spans="1:14" ht="21" customHeight="1" x14ac:dyDescent="0.15">
      <c r="A42" s="110">
        <v>40045815</v>
      </c>
      <c r="B42" s="110">
        <v>0</v>
      </c>
      <c r="C42" s="110">
        <v>460</v>
      </c>
      <c r="D42" s="110">
        <v>100</v>
      </c>
      <c r="E42" s="110" t="s">
        <v>87</v>
      </c>
      <c r="F42" s="110" t="s">
        <v>87</v>
      </c>
      <c r="G42" s="110" t="s">
        <v>87</v>
      </c>
      <c r="H42" s="110">
        <v>1</v>
      </c>
      <c r="I42" s="110" t="s">
        <v>87</v>
      </c>
      <c r="J42" s="111">
        <f t="shared" ref="J42" si="4">D42</f>
        <v>100</v>
      </c>
      <c r="K42" s="202"/>
      <c r="L42" s="50" t="s">
        <v>290</v>
      </c>
      <c r="M42" s="50" t="s">
        <v>316</v>
      </c>
    </row>
    <row r="43" spans="1:14" ht="21" customHeight="1" x14ac:dyDescent="0.15">
      <c r="A43" s="110">
        <v>40045816</v>
      </c>
      <c r="B43" s="110">
        <v>0</v>
      </c>
      <c r="C43" s="110">
        <v>509</v>
      </c>
      <c r="D43" s="110">
        <v>100</v>
      </c>
      <c r="E43" s="110" t="s">
        <v>252</v>
      </c>
      <c r="F43" s="110" t="s">
        <v>88</v>
      </c>
      <c r="G43" s="110">
        <v>1</v>
      </c>
      <c r="H43" s="110">
        <v>1</v>
      </c>
      <c r="I43" s="110" t="s">
        <v>88</v>
      </c>
      <c r="J43" s="111">
        <f t="shared" si="1"/>
        <v>100</v>
      </c>
      <c r="K43" s="202"/>
      <c r="L43" s="50" t="s">
        <v>454</v>
      </c>
      <c r="M43" s="50" t="s">
        <v>455</v>
      </c>
    </row>
    <row r="44" spans="1:14" ht="21" customHeight="1" x14ac:dyDescent="0.15">
      <c r="A44" s="110">
        <v>40045820</v>
      </c>
      <c r="B44" s="110">
        <v>1</v>
      </c>
      <c r="C44" s="110">
        <v>510</v>
      </c>
      <c r="D44" s="110">
        <v>100</v>
      </c>
      <c r="E44" s="110" t="s">
        <v>252</v>
      </c>
      <c r="F44" s="110" t="s">
        <v>88</v>
      </c>
      <c r="G44" s="110">
        <v>1</v>
      </c>
      <c r="H44" s="110">
        <v>1</v>
      </c>
      <c r="I44" s="110" t="s">
        <v>88</v>
      </c>
      <c r="J44" s="111">
        <f t="shared" si="1"/>
        <v>100</v>
      </c>
      <c r="K44" s="202"/>
      <c r="L44" s="50" t="s">
        <v>291</v>
      </c>
      <c r="M44" s="50" t="s">
        <v>315</v>
      </c>
    </row>
    <row r="45" spans="1:14" ht="21" customHeight="1" x14ac:dyDescent="0.15">
      <c r="A45" s="110">
        <v>40045821</v>
      </c>
      <c r="B45" s="110">
        <v>0</v>
      </c>
      <c r="C45" s="110">
        <v>500</v>
      </c>
      <c r="D45" s="110">
        <v>100</v>
      </c>
      <c r="E45" s="110" t="s">
        <v>252</v>
      </c>
      <c r="F45" s="110" t="s">
        <v>88</v>
      </c>
      <c r="G45" s="110">
        <v>1</v>
      </c>
      <c r="H45" s="110">
        <v>1</v>
      </c>
      <c r="I45" s="110" t="s">
        <v>88</v>
      </c>
      <c r="J45" s="111">
        <f t="shared" si="1"/>
        <v>100</v>
      </c>
      <c r="K45" s="202"/>
      <c r="L45" s="50" t="s">
        <v>292</v>
      </c>
      <c r="M45" s="50" t="s">
        <v>304</v>
      </c>
    </row>
    <row r="46" spans="1:14" ht="21" customHeight="1" x14ac:dyDescent="0.15">
      <c r="A46" s="110">
        <v>40045822</v>
      </c>
      <c r="B46" s="110">
        <v>0</v>
      </c>
      <c r="C46" s="110">
        <v>490</v>
      </c>
      <c r="D46" s="110">
        <v>100</v>
      </c>
      <c r="E46" s="110" t="s">
        <v>252</v>
      </c>
      <c r="F46" s="110" t="s">
        <v>88</v>
      </c>
      <c r="G46" s="110">
        <v>1</v>
      </c>
      <c r="H46" s="110">
        <v>1</v>
      </c>
      <c r="I46" s="110" t="s">
        <v>88</v>
      </c>
      <c r="J46" s="111">
        <f t="shared" si="1"/>
        <v>100</v>
      </c>
      <c r="K46" s="202"/>
      <c r="L46" s="50" t="s">
        <v>293</v>
      </c>
      <c r="M46" s="50" t="s">
        <v>305</v>
      </c>
    </row>
    <row r="47" spans="1:14" ht="21" customHeight="1" x14ac:dyDescent="0.15">
      <c r="A47" s="110">
        <v>40045823</v>
      </c>
      <c r="B47" s="110">
        <v>0</v>
      </c>
      <c r="C47" s="110">
        <v>420</v>
      </c>
      <c r="D47" s="110">
        <v>100</v>
      </c>
      <c r="E47" s="110">
        <v>50</v>
      </c>
      <c r="F47" s="110" t="s">
        <v>88</v>
      </c>
      <c r="G47" s="110">
        <v>1</v>
      </c>
      <c r="H47" s="110">
        <v>1</v>
      </c>
      <c r="I47" s="110" t="s">
        <v>88</v>
      </c>
      <c r="J47" s="111">
        <f t="shared" si="1"/>
        <v>100</v>
      </c>
      <c r="K47" s="202"/>
      <c r="L47" s="50" t="s">
        <v>294</v>
      </c>
      <c r="M47" s="50" t="s">
        <v>313</v>
      </c>
    </row>
    <row r="48" spans="1:14" ht="21" customHeight="1" x14ac:dyDescent="0.15">
      <c r="A48" s="110">
        <v>40045824</v>
      </c>
      <c r="B48" s="110">
        <v>0</v>
      </c>
      <c r="C48" s="110">
        <v>430</v>
      </c>
      <c r="D48" s="110">
        <v>100</v>
      </c>
      <c r="E48" s="110">
        <v>50</v>
      </c>
      <c r="F48" s="110" t="s">
        <v>88</v>
      </c>
      <c r="G48" s="110">
        <v>1</v>
      </c>
      <c r="H48" s="110">
        <v>1</v>
      </c>
      <c r="I48" s="110" t="s">
        <v>88</v>
      </c>
      <c r="J48" s="111">
        <f t="shared" si="1"/>
        <v>100</v>
      </c>
      <c r="K48" s="202"/>
      <c r="L48" s="50" t="s">
        <v>295</v>
      </c>
      <c r="M48" s="50" t="s">
        <v>314</v>
      </c>
    </row>
    <row r="49" spans="1:13" ht="21" customHeight="1" x14ac:dyDescent="0.15">
      <c r="A49" s="110">
        <v>40045825</v>
      </c>
      <c r="B49" s="110">
        <v>0</v>
      </c>
      <c r="C49" s="110">
        <v>440</v>
      </c>
      <c r="D49" s="110">
        <v>100</v>
      </c>
      <c r="E49" s="110">
        <v>50</v>
      </c>
      <c r="F49" s="110" t="s">
        <v>88</v>
      </c>
      <c r="G49" s="110">
        <v>1</v>
      </c>
      <c r="H49" s="110">
        <v>1</v>
      </c>
      <c r="I49" s="110" t="s">
        <v>88</v>
      </c>
      <c r="J49" s="111">
        <f t="shared" si="1"/>
        <v>100</v>
      </c>
      <c r="K49" s="202"/>
      <c r="L49" s="50" t="s">
        <v>296</v>
      </c>
      <c r="M49" s="50" t="s">
        <v>312</v>
      </c>
    </row>
    <row r="50" spans="1:13" ht="21" customHeight="1" x14ac:dyDescent="0.15">
      <c r="A50" s="110">
        <v>40045826</v>
      </c>
      <c r="B50" s="110">
        <v>0</v>
      </c>
      <c r="C50" s="110">
        <v>450</v>
      </c>
      <c r="D50" s="110">
        <v>100</v>
      </c>
      <c r="E50" s="110">
        <v>50</v>
      </c>
      <c r="F50" s="110" t="s">
        <v>88</v>
      </c>
      <c r="G50" s="110">
        <v>1</v>
      </c>
      <c r="H50" s="110">
        <v>1</v>
      </c>
      <c r="I50" s="110" t="s">
        <v>88</v>
      </c>
      <c r="J50" s="111">
        <f t="shared" si="1"/>
        <v>100</v>
      </c>
      <c r="K50" s="202"/>
      <c r="L50" s="50" t="s">
        <v>297</v>
      </c>
      <c r="M50" s="50" t="s">
        <v>311</v>
      </c>
    </row>
    <row r="51" spans="1:13" ht="21" customHeight="1" x14ac:dyDescent="0.15">
      <c r="A51" s="114">
        <v>40045827</v>
      </c>
      <c r="B51" s="114">
        <v>0</v>
      </c>
      <c r="C51" s="114">
        <v>460</v>
      </c>
      <c r="D51" s="114">
        <v>100</v>
      </c>
      <c r="E51" s="114">
        <v>50</v>
      </c>
      <c r="F51" s="114" t="s">
        <v>88</v>
      </c>
      <c r="G51" s="114">
        <v>1</v>
      </c>
      <c r="H51" s="114">
        <v>1</v>
      </c>
      <c r="I51" s="114" t="s">
        <v>88</v>
      </c>
      <c r="J51" s="115">
        <f t="shared" si="1"/>
        <v>100</v>
      </c>
      <c r="L51" s="105" t="s">
        <v>298</v>
      </c>
      <c r="M51" s="105" t="s">
        <v>310</v>
      </c>
    </row>
    <row r="52" spans="1:13" ht="21" customHeight="1" x14ac:dyDescent="0.15">
      <c r="A52" s="114">
        <v>40045828</v>
      </c>
      <c r="B52" s="110">
        <v>0</v>
      </c>
      <c r="C52" s="110">
        <v>470</v>
      </c>
      <c r="D52" s="110">
        <v>100</v>
      </c>
      <c r="E52" s="110">
        <v>50</v>
      </c>
      <c r="F52" s="110" t="s">
        <v>88</v>
      </c>
      <c r="G52" s="110">
        <v>1</v>
      </c>
      <c r="H52" s="110">
        <v>1</v>
      </c>
      <c r="I52" s="110" t="s">
        <v>88</v>
      </c>
      <c r="J52" s="111">
        <f t="shared" si="1"/>
        <v>100</v>
      </c>
      <c r="L52" s="50" t="s">
        <v>299</v>
      </c>
      <c r="M52" s="50" t="s">
        <v>309</v>
      </c>
    </row>
    <row r="53" spans="1:13" ht="21" customHeight="1" x14ac:dyDescent="0.15">
      <c r="A53" s="114">
        <v>40045830</v>
      </c>
      <c r="B53" s="110">
        <v>0</v>
      </c>
      <c r="C53" s="110">
        <v>410</v>
      </c>
      <c r="D53" s="110">
        <v>100</v>
      </c>
      <c r="E53" s="110" t="s">
        <v>252</v>
      </c>
      <c r="F53" s="110" t="s">
        <v>88</v>
      </c>
      <c r="G53" s="110" t="s">
        <v>252</v>
      </c>
      <c r="H53" s="110">
        <v>4</v>
      </c>
      <c r="I53" s="110" t="s">
        <v>88</v>
      </c>
      <c r="J53" s="111">
        <f t="shared" si="1"/>
        <v>100</v>
      </c>
      <c r="L53" s="50" t="s">
        <v>300</v>
      </c>
      <c r="M53" s="50" t="s">
        <v>308</v>
      </c>
    </row>
    <row r="54" spans="1:13" ht="21" customHeight="1" x14ac:dyDescent="0.15">
      <c r="A54" s="114">
        <v>40045831</v>
      </c>
      <c r="B54" s="110">
        <v>0</v>
      </c>
      <c r="C54" s="110">
        <v>400</v>
      </c>
      <c r="D54" s="110">
        <v>100</v>
      </c>
      <c r="E54" s="110" t="s">
        <v>252</v>
      </c>
      <c r="F54" s="110" t="s">
        <v>88</v>
      </c>
      <c r="G54" s="110" t="s">
        <v>252</v>
      </c>
      <c r="H54" s="110">
        <v>3</v>
      </c>
      <c r="I54" s="110" t="s">
        <v>88</v>
      </c>
      <c r="J54" s="111">
        <f t="shared" si="1"/>
        <v>100</v>
      </c>
      <c r="L54" s="50" t="s">
        <v>301</v>
      </c>
      <c r="M54" s="50" t="s">
        <v>307</v>
      </c>
    </row>
    <row r="55" spans="1:13" ht="21" customHeight="1" x14ac:dyDescent="0.15">
      <c r="A55" s="114">
        <v>40045832</v>
      </c>
      <c r="B55" s="110">
        <v>0</v>
      </c>
      <c r="C55" s="110">
        <v>390</v>
      </c>
      <c r="D55" s="110">
        <v>50</v>
      </c>
      <c r="E55" s="110" t="s">
        <v>252</v>
      </c>
      <c r="F55" s="110" t="s">
        <v>88</v>
      </c>
      <c r="G55" s="110" t="s">
        <v>252</v>
      </c>
      <c r="H55" s="110">
        <v>1</v>
      </c>
      <c r="I55" s="110" t="s">
        <v>88</v>
      </c>
      <c r="J55" s="111">
        <f t="shared" si="1"/>
        <v>50</v>
      </c>
      <c r="L55" s="50" t="s">
        <v>302</v>
      </c>
      <c r="M55" s="50" t="s">
        <v>306</v>
      </c>
    </row>
    <row r="56" spans="1:13" ht="21" customHeight="1" x14ac:dyDescent="0.15">
      <c r="A56" s="114">
        <v>40045833</v>
      </c>
      <c r="B56" s="110">
        <v>0</v>
      </c>
      <c r="C56" s="110">
        <v>380</v>
      </c>
      <c r="D56" s="110">
        <v>50</v>
      </c>
      <c r="E56" s="110" t="s">
        <v>87</v>
      </c>
      <c r="F56" s="110" t="s">
        <v>87</v>
      </c>
      <c r="G56" s="110" t="s">
        <v>87</v>
      </c>
      <c r="H56" s="110">
        <v>1</v>
      </c>
      <c r="I56" s="110" t="s">
        <v>87</v>
      </c>
      <c r="J56" s="111">
        <v>50</v>
      </c>
      <c r="L56" s="50" t="s">
        <v>303</v>
      </c>
      <c r="M56" s="50" t="s">
        <v>400</v>
      </c>
    </row>
    <row r="57" spans="1:13" ht="21" customHeight="1" thickBot="1" x14ac:dyDescent="0.2">
      <c r="A57" s="112">
        <v>40045834</v>
      </c>
      <c r="B57" s="112">
        <v>0</v>
      </c>
      <c r="C57" s="112">
        <v>520</v>
      </c>
      <c r="D57" s="112">
        <v>100</v>
      </c>
      <c r="E57" s="112" t="s">
        <v>252</v>
      </c>
      <c r="F57" s="112" t="s">
        <v>88</v>
      </c>
      <c r="G57" s="112">
        <v>0</v>
      </c>
      <c r="H57" s="112">
        <v>1</v>
      </c>
      <c r="I57" s="112">
        <v>0</v>
      </c>
      <c r="J57" s="113">
        <f>D57</f>
        <v>100</v>
      </c>
      <c r="K57" s="107"/>
      <c r="L57" s="108" t="s">
        <v>401</v>
      </c>
      <c r="M57" s="108"/>
    </row>
    <row r="58" spans="1:13" s="138" customFormat="1" ht="21" customHeight="1" x14ac:dyDescent="0.15">
      <c r="A58" s="126">
        <v>40045900</v>
      </c>
      <c r="B58" s="126">
        <v>1</v>
      </c>
      <c r="C58" s="126">
        <v>800</v>
      </c>
      <c r="D58" s="126">
        <v>100</v>
      </c>
      <c r="E58" s="126" t="s">
        <v>167</v>
      </c>
      <c r="F58" s="126" t="s">
        <v>88</v>
      </c>
      <c r="G58" s="126">
        <v>1</v>
      </c>
      <c r="H58" s="126">
        <v>1</v>
      </c>
      <c r="I58" s="133">
        <v>1244</v>
      </c>
      <c r="J58" s="131">
        <f t="shared" ref="J58:J81" si="5">D58</f>
        <v>100</v>
      </c>
      <c r="K58" s="132"/>
      <c r="L58" s="133" t="s">
        <v>504</v>
      </c>
      <c r="M58" s="135" t="s">
        <v>505</v>
      </c>
    </row>
    <row r="59" spans="1:13" s="138" customFormat="1" ht="21" customHeight="1" x14ac:dyDescent="0.15">
      <c r="A59" s="126">
        <v>40045901</v>
      </c>
      <c r="B59" s="126">
        <v>1</v>
      </c>
      <c r="C59" s="126">
        <v>799</v>
      </c>
      <c r="D59" s="126">
        <v>100</v>
      </c>
      <c r="E59" s="126" t="s">
        <v>167</v>
      </c>
      <c r="F59" s="126" t="s">
        <v>88</v>
      </c>
      <c r="G59" s="126">
        <v>1</v>
      </c>
      <c r="H59" s="126">
        <v>1</v>
      </c>
      <c r="I59" s="133">
        <v>1245</v>
      </c>
      <c r="J59" s="131">
        <f t="shared" si="5"/>
        <v>100</v>
      </c>
      <c r="K59" s="132"/>
      <c r="L59" s="133" t="s">
        <v>504</v>
      </c>
      <c r="M59" s="135" t="s">
        <v>505</v>
      </c>
    </row>
    <row r="60" spans="1:13" s="138" customFormat="1" ht="21" customHeight="1" x14ac:dyDescent="0.15">
      <c r="A60" s="126">
        <v>40045902</v>
      </c>
      <c r="B60" s="126">
        <v>1</v>
      </c>
      <c r="C60" s="126">
        <v>798</v>
      </c>
      <c r="D60" s="126">
        <v>100</v>
      </c>
      <c r="E60" s="126" t="s">
        <v>167</v>
      </c>
      <c r="F60" s="126" t="s">
        <v>88</v>
      </c>
      <c r="G60" s="126">
        <v>1</v>
      </c>
      <c r="H60" s="126">
        <v>1</v>
      </c>
      <c r="I60" s="134">
        <v>1246</v>
      </c>
      <c r="J60" s="131">
        <f t="shared" si="5"/>
        <v>100</v>
      </c>
      <c r="K60" s="132"/>
      <c r="L60" s="134" t="s">
        <v>499</v>
      </c>
      <c r="M60" s="135" t="s">
        <v>505</v>
      </c>
    </row>
    <row r="61" spans="1:13" s="138" customFormat="1" ht="21" customHeight="1" x14ac:dyDescent="0.15">
      <c r="A61" s="126">
        <v>40045903</v>
      </c>
      <c r="B61" s="126">
        <v>1</v>
      </c>
      <c r="C61" s="126">
        <v>797</v>
      </c>
      <c r="D61" s="126">
        <v>100</v>
      </c>
      <c r="E61" s="126" t="s">
        <v>167</v>
      </c>
      <c r="F61" s="126" t="s">
        <v>88</v>
      </c>
      <c r="G61" s="126">
        <v>1</v>
      </c>
      <c r="H61" s="126">
        <v>1</v>
      </c>
      <c r="I61" s="134">
        <v>1247</v>
      </c>
      <c r="J61" s="131">
        <f t="shared" si="5"/>
        <v>100</v>
      </c>
      <c r="K61" s="132"/>
      <c r="L61" s="134" t="s">
        <v>499</v>
      </c>
      <c r="M61" s="135" t="s">
        <v>505</v>
      </c>
    </row>
    <row r="62" spans="1:13" s="138" customFormat="1" ht="21" customHeight="1" x14ac:dyDescent="0.15">
      <c r="A62" s="126">
        <v>40045904</v>
      </c>
      <c r="B62" s="126">
        <v>1</v>
      </c>
      <c r="C62" s="126">
        <v>796</v>
      </c>
      <c r="D62" s="126">
        <v>100</v>
      </c>
      <c r="E62" s="126" t="s">
        <v>167</v>
      </c>
      <c r="F62" s="126" t="s">
        <v>88</v>
      </c>
      <c r="G62" s="126">
        <v>1</v>
      </c>
      <c r="H62" s="126">
        <v>1</v>
      </c>
      <c r="I62" s="134">
        <v>724</v>
      </c>
      <c r="J62" s="131">
        <f t="shared" si="5"/>
        <v>100</v>
      </c>
      <c r="K62" s="132"/>
      <c r="L62" s="134" t="s">
        <v>496</v>
      </c>
      <c r="M62" s="135"/>
    </row>
    <row r="63" spans="1:13" s="138" customFormat="1" ht="21" customHeight="1" x14ac:dyDescent="0.15">
      <c r="A63" s="126">
        <v>40045905</v>
      </c>
      <c r="B63" s="126">
        <v>1</v>
      </c>
      <c r="C63" s="126">
        <v>795</v>
      </c>
      <c r="D63" s="126">
        <v>100</v>
      </c>
      <c r="E63" s="126" t="s">
        <v>167</v>
      </c>
      <c r="F63" s="126" t="s">
        <v>88</v>
      </c>
      <c r="G63" s="126">
        <v>1</v>
      </c>
      <c r="H63" s="126">
        <v>1</v>
      </c>
      <c r="I63" s="134">
        <v>725</v>
      </c>
      <c r="J63" s="131">
        <f t="shared" si="5"/>
        <v>100</v>
      </c>
      <c r="K63" s="132"/>
      <c r="L63" s="134" t="s">
        <v>496</v>
      </c>
      <c r="M63" s="135"/>
    </row>
    <row r="64" spans="1:13" s="138" customFormat="1" ht="21" customHeight="1" x14ac:dyDescent="0.15">
      <c r="A64" s="126">
        <v>40045906</v>
      </c>
      <c r="B64" s="126">
        <v>1</v>
      </c>
      <c r="C64" s="126">
        <v>794</v>
      </c>
      <c r="D64" s="126">
        <v>100</v>
      </c>
      <c r="E64" s="126" t="s">
        <v>167</v>
      </c>
      <c r="F64" s="126" t="s">
        <v>88</v>
      </c>
      <c r="G64" s="126">
        <v>1</v>
      </c>
      <c r="H64" s="126">
        <v>1</v>
      </c>
      <c r="I64" s="222">
        <v>726</v>
      </c>
      <c r="J64" s="131">
        <f t="shared" si="5"/>
        <v>100</v>
      </c>
      <c r="K64" s="132"/>
      <c r="L64" s="222" t="s">
        <v>497</v>
      </c>
      <c r="M64" s="135"/>
    </row>
    <row r="65" spans="1:13" s="138" customFormat="1" ht="21" customHeight="1" x14ac:dyDescent="0.15">
      <c r="A65" s="126">
        <v>40045907</v>
      </c>
      <c r="B65" s="126">
        <v>1</v>
      </c>
      <c r="C65" s="126">
        <v>793</v>
      </c>
      <c r="D65" s="126">
        <v>100</v>
      </c>
      <c r="E65" s="126" t="s">
        <v>167</v>
      </c>
      <c r="F65" s="126" t="s">
        <v>88</v>
      </c>
      <c r="G65" s="126">
        <v>1</v>
      </c>
      <c r="H65" s="126">
        <v>1</v>
      </c>
      <c r="I65" s="222">
        <v>727</v>
      </c>
      <c r="J65" s="131">
        <f t="shared" si="5"/>
        <v>100</v>
      </c>
      <c r="K65" s="132"/>
      <c r="L65" s="222" t="s">
        <v>497</v>
      </c>
      <c r="M65" s="135"/>
    </row>
    <row r="66" spans="1:13" s="138" customFormat="1" ht="21" customHeight="1" x14ac:dyDescent="0.15">
      <c r="A66" s="126">
        <v>40045908</v>
      </c>
      <c r="B66" s="126">
        <v>1</v>
      </c>
      <c r="C66" s="126">
        <v>792</v>
      </c>
      <c r="D66" s="126">
        <v>100</v>
      </c>
      <c r="E66" s="126" t="s">
        <v>167</v>
      </c>
      <c r="F66" s="126" t="s">
        <v>88</v>
      </c>
      <c r="G66" s="126">
        <v>1</v>
      </c>
      <c r="H66" s="126">
        <v>1</v>
      </c>
      <c r="I66" s="222">
        <v>1273</v>
      </c>
      <c r="J66" s="131">
        <f t="shared" si="5"/>
        <v>100</v>
      </c>
      <c r="K66" s="132"/>
      <c r="L66" s="222" t="s">
        <v>497</v>
      </c>
      <c r="M66" s="135"/>
    </row>
    <row r="67" spans="1:13" s="138" customFormat="1" ht="21" customHeight="1" x14ac:dyDescent="0.15">
      <c r="A67" s="126">
        <v>40045909</v>
      </c>
      <c r="B67" s="126">
        <v>1</v>
      </c>
      <c r="C67" s="126">
        <v>791</v>
      </c>
      <c r="D67" s="126">
        <v>100</v>
      </c>
      <c r="E67" s="126" t="s">
        <v>167</v>
      </c>
      <c r="F67" s="126" t="s">
        <v>88</v>
      </c>
      <c r="G67" s="126">
        <v>1</v>
      </c>
      <c r="H67" s="126">
        <v>1</v>
      </c>
      <c r="I67" s="133">
        <v>1242</v>
      </c>
      <c r="J67" s="131">
        <f t="shared" si="5"/>
        <v>100</v>
      </c>
      <c r="K67" s="132"/>
      <c r="L67" s="133" t="s">
        <v>503</v>
      </c>
      <c r="M67" s="135"/>
    </row>
    <row r="68" spans="1:13" s="138" customFormat="1" ht="21" customHeight="1" x14ac:dyDescent="0.15">
      <c r="A68" s="126">
        <v>40045910</v>
      </c>
      <c r="B68" s="126">
        <v>1</v>
      </c>
      <c r="C68" s="126">
        <v>790</v>
      </c>
      <c r="D68" s="126">
        <v>100</v>
      </c>
      <c r="E68" s="126" t="s">
        <v>167</v>
      </c>
      <c r="F68" s="126" t="s">
        <v>88</v>
      </c>
      <c r="G68" s="126">
        <v>1</v>
      </c>
      <c r="H68" s="126">
        <v>1</v>
      </c>
      <c r="I68" s="133">
        <v>1243</v>
      </c>
      <c r="J68" s="131">
        <f t="shared" si="5"/>
        <v>100</v>
      </c>
      <c r="K68" s="132"/>
      <c r="L68" s="133" t="s">
        <v>503</v>
      </c>
      <c r="M68" s="135"/>
    </row>
    <row r="69" spans="1:13" s="138" customFormat="1" ht="21" customHeight="1" x14ac:dyDescent="0.15">
      <c r="A69" s="126">
        <v>40045911</v>
      </c>
      <c r="B69" s="126">
        <v>1</v>
      </c>
      <c r="C69" s="126">
        <v>789</v>
      </c>
      <c r="D69" s="126">
        <v>100</v>
      </c>
      <c r="E69" s="126" t="s">
        <v>167</v>
      </c>
      <c r="F69" s="126" t="s">
        <v>88</v>
      </c>
      <c r="G69" s="126">
        <v>1</v>
      </c>
      <c r="H69" s="126">
        <v>1</v>
      </c>
      <c r="I69" s="223">
        <v>732</v>
      </c>
      <c r="J69" s="131">
        <f t="shared" si="5"/>
        <v>100</v>
      </c>
      <c r="K69" s="132"/>
      <c r="L69" s="223" t="s">
        <v>521</v>
      </c>
      <c r="M69" s="135"/>
    </row>
    <row r="70" spans="1:13" s="138" customFormat="1" ht="21" customHeight="1" x14ac:dyDescent="0.15">
      <c r="A70" s="126">
        <v>40045912</v>
      </c>
      <c r="B70" s="126">
        <v>1</v>
      </c>
      <c r="C70" s="126">
        <v>788</v>
      </c>
      <c r="D70" s="126">
        <v>100</v>
      </c>
      <c r="E70" s="126" t="s">
        <v>167</v>
      </c>
      <c r="F70" s="126" t="s">
        <v>88</v>
      </c>
      <c r="G70" s="126">
        <v>1</v>
      </c>
      <c r="H70" s="126">
        <v>1</v>
      </c>
      <c r="I70" s="223">
        <v>733</v>
      </c>
      <c r="J70" s="131">
        <f t="shared" si="5"/>
        <v>100</v>
      </c>
      <c r="K70" s="132"/>
      <c r="L70" s="223" t="s">
        <v>490</v>
      </c>
      <c r="M70" s="135"/>
    </row>
    <row r="71" spans="1:13" s="138" customFormat="1" ht="21" customHeight="1" x14ac:dyDescent="0.15">
      <c r="A71" s="126">
        <v>40045913</v>
      </c>
      <c r="B71" s="126">
        <v>1</v>
      </c>
      <c r="C71" s="126">
        <v>787</v>
      </c>
      <c r="D71" s="126">
        <v>100</v>
      </c>
      <c r="E71" s="126" t="s">
        <v>167</v>
      </c>
      <c r="F71" s="126" t="s">
        <v>88</v>
      </c>
      <c r="G71" s="126">
        <v>1</v>
      </c>
      <c r="H71" s="126">
        <v>1</v>
      </c>
      <c r="I71" s="224">
        <v>728</v>
      </c>
      <c r="J71" s="131">
        <f t="shared" si="5"/>
        <v>100</v>
      </c>
      <c r="K71" s="132"/>
      <c r="L71" s="224" t="s">
        <v>491</v>
      </c>
      <c r="M71" s="135"/>
    </row>
    <row r="72" spans="1:13" s="138" customFormat="1" ht="21" customHeight="1" x14ac:dyDescent="0.15">
      <c r="A72" s="126">
        <v>40045914</v>
      </c>
      <c r="B72" s="126">
        <v>1</v>
      </c>
      <c r="C72" s="126">
        <v>786</v>
      </c>
      <c r="D72" s="126">
        <v>100</v>
      </c>
      <c r="E72" s="126" t="s">
        <v>167</v>
      </c>
      <c r="F72" s="126" t="s">
        <v>88</v>
      </c>
      <c r="G72" s="126">
        <v>1</v>
      </c>
      <c r="H72" s="126">
        <v>1</v>
      </c>
      <c r="I72" s="224">
        <v>729</v>
      </c>
      <c r="J72" s="131">
        <f t="shared" si="5"/>
        <v>100</v>
      </c>
      <c r="K72" s="132"/>
      <c r="L72" s="224" t="s">
        <v>491</v>
      </c>
      <c r="M72" s="135"/>
    </row>
    <row r="73" spans="1:13" s="138" customFormat="1" ht="21" customHeight="1" x14ac:dyDescent="0.15">
      <c r="A73" s="126">
        <v>40045915</v>
      </c>
      <c r="B73" s="126">
        <v>1</v>
      </c>
      <c r="C73" s="126">
        <v>785</v>
      </c>
      <c r="D73" s="126">
        <v>100</v>
      </c>
      <c r="E73" s="126" t="s">
        <v>167</v>
      </c>
      <c r="F73" s="126" t="s">
        <v>88</v>
      </c>
      <c r="G73" s="126">
        <v>1</v>
      </c>
      <c r="H73" s="126">
        <v>1</v>
      </c>
      <c r="I73" s="225">
        <v>734</v>
      </c>
      <c r="J73" s="131">
        <f t="shared" si="5"/>
        <v>100</v>
      </c>
      <c r="K73" s="132"/>
      <c r="L73" s="225" t="s">
        <v>492</v>
      </c>
      <c r="M73" s="135"/>
    </row>
    <row r="74" spans="1:13" s="138" customFormat="1" ht="21" customHeight="1" x14ac:dyDescent="0.15">
      <c r="A74" s="126">
        <v>40045916</v>
      </c>
      <c r="B74" s="126">
        <v>1</v>
      </c>
      <c r="C74" s="126">
        <v>784</v>
      </c>
      <c r="D74" s="126">
        <v>100</v>
      </c>
      <c r="E74" s="126" t="s">
        <v>167</v>
      </c>
      <c r="F74" s="126" t="s">
        <v>88</v>
      </c>
      <c r="G74" s="126">
        <v>1</v>
      </c>
      <c r="H74" s="126">
        <v>1</v>
      </c>
      <c r="I74" s="225">
        <v>735</v>
      </c>
      <c r="J74" s="131">
        <f t="shared" si="5"/>
        <v>100</v>
      </c>
      <c r="K74" s="132"/>
      <c r="L74" s="225" t="s">
        <v>492</v>
      </c>
      <c r="M74" s="135"/>
    </row>
    <row r="75" spans="1:13" s="138" customFormat="1" ht="21" customHeight="1" x14ac:dyDescent="0.15">
      <c r="A75" s="126">
        <v>40045918</v>
      </c>
      <c r="B75" s="126">
        <v>1</v>
      </c>
      <c r="C75" s="126">
        <v>782</v>
      </c>
      <c r="D75" s="126">
        <v>100</v>
      </c>
      <c r="E75" s="126" t="s">
        <v>167</v>
      </c>
      <c r="F75" s="126" t="s">
        <v>88</v>
      </c>
      <c r="G75" s="126">
        <v>1</v>
      </c>
      <c r="H75" s="126">
        <v>1</v>
      </c>
      <c r="I75" s="226">
        <v>730</v>
      </c>
      <c r="J75" s="131">
        <f t="shared" si="5"/>
        <v>100</v>
      </c>
      <c r="K75" s="132"/>
      <c r="L75" s="226" t="s">
        <v>493</v>
      </c>
      <c r="M75" s="135"/>
    </row>
    <row r="76" spans="1:13" s="138" customFormat="1" ht="21" customHeight="1" x14ac:dyDescent="0.15">
      <c r="A76" s="126">
        <v>40045920</v>
      </c>
      <c r="B76" s="126">
        <v>1</v>
      </c>
      <c r="C76" s="126">
        <v>780</v>
      </c>
      <c r="D76" s="126">
        <v>100</v>
      </c>
      <c r="E76" s="126" t="s">
        <v>167</v>
      </c>
      <c r="F76" s="126" t="s">
        <v>88</v>
      </c>
      <c r="G76" s="126">
        <v>1</v>
      </c>
      <c r="H76" s="126">
        <v>1</v>
      </c>
      <c r="I76" s="223">
        <v>720</v>
      </c>
      <c r="J76" s="131">
        <f t="shared" si="5"/>
        <v>100</v>
      </c>
      <c r="K76" s="132"/>
      <c r="L76" s="223" t="s">
        <v>494</v>
      </c>
      <c r="M76" s="135"/>
    </row>
    <row r="77" spans="1:13" s="138" customFormat="1" ht="21" customHeight="1" x14ac:dyDescent="0.15">
      <c r="A77" s="126">
        <v>40045922</v>
      </c>
      <c r="B77" s="126">
        <v>1</v>
      </c>
      <c r="C77" s="126">
        <v>778</v>
      </c>
      <c r="D77" s="126">
        <v>100</v>
      </c>
      <c r="E77" s="126" t="s">
        <v>167</v>
      </c>
      <c r="F77" s="126" t="s">
        <v>88</v>
      </c>
      <c r="G77" s="126">
        <v>1</v>
      </c>
      <c r="H77" s="126">
        <v>1</v>
      </c>
      <c r="I77" s="222">
        <v>722</v>
      </c>
      <c r="J77" s="131">
        <f t="shared" si="5"/>
        <v>100</v>
      </c>
      <c r="K77" s="132"/>
      <c r="L77" s="222" t="s">
        <v>495</v>
      </c>
      <c r="M77" s="135"/>
    </row>
    <row r="78" spans="1:13" s="138" customFormat="1" ht="21" customHeight="1" x14ac:dyDescent="0.15">
      <c r="A78" s="126">
        <v>40045924</v>
      </c>
      <c r="B78" s="126">
        <v>1</v>
      </c>
      <c r="C78" s="126">
        <v>776</v>
      </c>
      <c r="D78" s="126">
        <v>100</v>
      </c>
      <c r="E78" s="126" t="s">
        <v>167</v>
      </c>
      <c r="F78" s="126" t="s">
        <v>88</v>
      </c>
      <c r="G78" s="126">
        <v>1</v>
      </c>
      <c r="H78" s="126">
        <v>1</v>
      </c>
      <c r="I78" s="133">
        <v>1250</v>
      </c>
      <c r="J78" s="131">
        <f t="shared" si="5"/>
        <v>100</v>
      </c>
      <c r="K78" s="132"/>
      <c r="L78" s="133" t="s">
        <v>498</v>
      </c>
      <c r="M78" s="135"/>
    </row>
    <row r="79" spans="1:13" s="138" customFormat="1" ht="21" customHeight="1" x14ac:dyDescent="0.15">
      <c r="A79" s="126">
        <v>40045926</v>
      </c>
      <c r="B79" s="126">
        <v>1</v>
      </c>
      <c r="C79" s="126">
        <v>774</v>
      </c>
      <c r="D79" s="126">
        <v>100</v>
      </c>
      <c r="E79" s="126" t="s">
        <v>167</v>
      </c>
      <c r="F79" s="126" t="s">
        <v>88</v>
      </c>
      <c r="G79" s="126">
        <v>1</v>
      </c>
      <c r="H79" s="126">
        <v>1</v>
      </c>
      <c r="I79" s="133">
        <v>1248</v>
      </c>
      <c r="J79" s="131">
        <f t="shared" si="5"/>
        <v>100</v>
      </c>
      <c r="K79" s="132"/>
      <c r="L79" s="133" t="s">
        <v>500</v>
      </c>
      <c r="M79" s="135"/>
    </row>
    <row r="80" spans="1:13" s="138" customFormat="1" ht="21" customHeight="1" x14ac:dyDescent="0.15">
      <c r="A80" s="126">
        <v>40045928</v>
      </c>
      <c r="B80" s="126">
        <v>1</v>
      </c>
      <c r="C80" s="126">
        <v>772</v>
      </c>
      <c r="D80" s="126">
        <v>100</v>
      </c>
      <c r="E80" s="126" t="s">
        <v>167</v>
      </c>
      <c r="F80" s="126" t="s">
        <v>88</v>
      </c>
      <c r="G80" s="126">
        <v>1</v>
      </c>
      <c r="H80" s="126">
        <v>1</v>
      </c>
      <c r="I80" s="133">
        <v>1236</v>
      </c>
      <c r="J80" s="131">
        <f t="shared" si="5"/>
        <v>100</v>
      </c>
      <c r="K80" s="132"/>
      <c r="L80" s="133" t="s">
        <v>501</v>
      </c>
      <c r="M80" s="135"/>
    </row>
    <row r="81" spans="1:13" s="138" customFormat="1" ht="21" customHeight="1" thickBot="1" x14ac:dyDescent="0.2">
      <c r="A81" s="227">
        <v>40045930</v>
      </c>
      <c r="B81" s="227">
        <v>1</v>
      </c>
      <c r="C81" s="227">
        <v>770</v>
      </c>
      <c r="D81" s="227">
        <v>100</v>
      </c>
      <c r="E81" s="227" t="s">
        <v>167</v>
      </c>
      <c r="F81" s="227" t="s">
        <v>88</v>
      </c>
      <c r="G81" s="227">
        <v>1</v>
      </c>
      <c r="H81" s="227">
        <v>1</v>
      </c>
      <c r="I81" s="228">
        <v>1240</v>
      </c>
      <c r="J81" s="229">
        <f t="shared" si="5"/>
        <v>100</v>
      </c>
      <c r="K81" s="230"/>
      <c r="L81" s="231" t="s">
        <v>502</v>
      </c>
      <c r="M81" s="232"/>
    </row>
    <row r="82" spans="1:13" s="210" customFormat="1" ht="21" customHeight="1" x14ac:dyDescent="0.15">
      <c r="A82" s="211">
        <v>40045931</v>
      </c>
      <c r="B82" s="211">
        <v>0</v>
      </c>
      <c r="C82" s="211">
        <v>800</v>
      </c>
      <c r="D82" s="211">
        <v>100</v>
      </c>
      <c r="E82" s="211" t="s">
        <v>167</v>
      </c>
      <c r="F82" s="211" t="s">
        <v>88</v>
      </c>
      <c r="G82" s="211">
        <v>0</v>
      </c>
      <c r="H82" s="211">
        <v>1</v>
      </c>
      <c r="I82" s="212">
        <v>1244</v>
      </c>
      <c r="J82" s="213">
        <f t="shared" ref="J82:J112" si="6">D82</f>
        <v>100</v>
      </c>
      <c r="K82" s="205"/>
      <c r="L82" s="212" t="s">
        <v>504</v>
      </c>
      <c r="M82" s="214" t="s">
        <v>505</v>
      </c>
    </row>
    <row r="83" spans="1:13" s="210" customFormat="1" ht="21" customHeight="1" x14ac:dyDescent="0.15">
      <c r="A83" s="211">
        <v>40045932</v>
      </c>
      <c r="B83" s="211">
        <v>0</v>
      </c>
      <c r="C83" s="211">
        <v>799</v>
      </c>
      <c r="D83" s="211">
        <v>100</v>
      </c>
      <c r="E83" s="211" t="s">
        <v>167</v>
      </c>
      <c r="F83" s="211" t="s">
        <v>88</v>
      </c>
      <c r="G83" s="211">
        <v>0</v>
      </c>
      <c r="H83" s="211">
        <v>1</v>
      </c>
      <c r="I83" s="215">
        <v>1245</v>
      </c>
      <c r="J83" s="213">
        <f t="shared" si="6"/>
        <v>100</v>
      </c>
      <c r="K83" s="205"/>
      <c r="L83" s="215" t="s">
        <v>504</v>
      </c>
      <c r="M83" s="214" t="s">
        <v>505</v>
      </c>
    </row>
    <row r="84" spans="1:13" s="210" customFormat="1" ht="21" customHeight="1" x14ac:dyDescent="0.15">
      <c r="A84" s="211">
        <v>40045933</v>
      </c>
      <c r="B84" s="211">
        <v>0</v>
      </c>
      <c r="C84" s="211">
        <v>798</v>
      </c>
      <c r="D84" s="211">
        <v>100</v>
      </c>
      <c r="E84" s="211" t="s">
        <v>167</v>
      </c>
      <c r="F84" s="211" t="s">
        <v>88</v>
      </c>
      <c r="G84" s="211">
        <v>0</v>
      </c>
      <c r="H84" s="211">
        <v>1</v>
      </c>
      <c r="I84" s="216">
        <v>1246</v>
      </c>
      <c r="J84" s="213">
        <f t="shared" si="6"/>
        <v>100</v>
      </c>
      <c r="K84" s="205"/>
      <c r="L84" s="216" t="s">
        <v>499</v>
      </c>
      <c r="M84" s="214" t="s">
        <v>505</v>
      </c>
    </row>
    <row r="85" spans="1:13" s="210" customFormat="1" ht="21" customHeight="1" x14ac:dyDescent="0.15">
      <c r="A85" s="211">
        <v>40045934</v>
      </c>
      <c r="B85" s="211">
        <v>0</v>
      </c>
      <c r="C85" s="211">
        <v>797</v>
      </c>
      <c r="D85" s="211">
        <v>100</v>
      </c>
      <c r="E85" s="211" t="s">
        <v>167</v>
      </c>
      <c r="F85" s="211" t="s">
        <v>88</v>
      </c>
      <c r="G85" s="211">
        <v>0</v>
      </c>
      <c r="H85" s="211">
        <v>1</v>
      </c>
      <c r="I85" s="216">
        <v>1247</v>
      </c>
      <c r="J85" s="213">
        <f t="shared" si="6"/>
        <v>100</v>
      </c>
      <c r="K85" s="205"/>
      <c r="L85" s="216" t="s">
        <v>499</v>
      </c>
      <c r="M85" s="214" t="s">
        <v>505</v>
      </c>
    </row>
    <row r="86" spans="1:13" s="210" customFormat="1" ht="21" customHeight="1" x14ac:dyDescent="0.15">
      <c r="A86" s="211">
        <v>40045935</v>
      </c>
      <c r="B86" s="211">
        <v>0</v>
      </c>
      <c r="C86" s="211">
        <v>796</v>
      </c>
      <c r="D86" s="211">
        <v>100</v>
      </c>
      <c r="E86" s="211" t="s">
        <v>167</v>
      </c>
      <c r="F86" s="211" t="s">
        <v>88</v>
      </c>
      <c r="G86" s="211">
        <v>0</v>
      </c>
      <c r="H86" s="211">
        <v>1</v>
      </c>
      <c r="I86" s="216">
        <v>724</v>
      </c>
      <c r="J86" s="213">
        <f t="shared" si="6"/>
        <v>100</v>
      </c>
      <c r="K86" s="205"/>
      <c r="L86" s="216" t="s">
        <v>496</v>
      </c>
      <c r="M86" s="214"/>
    </row>
    <row r="87" spans="1:13" s="210" customFormat="1" ht="21" customHeight="1" x14ac:dyDescent="0.15">
      <c r="A87" s="211">
        <v>40045936</v>
      </c>
      <c r="B87" s="211">
        <v>0</v>
      </c>
      <c r="C87" s="211">
        <v>795</v>
      </c>
      <c r="D87" s="211">
        <v>100</v>
      </c>
      <c r="E87" s="211" t="s">
        <v>167</v>
      </c>
      <c r="F87" s="211" t="s">
        <v>88</v>
      </c>
      <c r="G87" s="211">
        <v>0</v>
      </c>
      <c r="H87" s="211">
        <v>1</v>
      </c>
      <c r="I87" s="216">
        <v>725</v>
      </c>
      <c r="J87" s="213">
        <f t="shared" si="6"/>
        <v>100</v>
      </c>
      <c r="K87" s="205"/>
      <c r="L87" s="216" t="s">
        <v>496</v>
      </c>
      <c r="M87" s="214"/>
    </row>
    <row r="88" spans="1:13" s="210" customFormat="1" ht="21" customHeight="1" x14ac:dyDescent="0.15">
      <c r="A88" s="211">
        <v>40045937</v>
      </c>
      <c r="B88" s="211">
        <v>0</v>
      </c>
      <c r="C88" s="211">
        <v>794</v>
      </c>
      <c r="D88" s="211">
        <v>100</v>
      </c>
      <c r="E88" s="211" t="s">
        <v>167</v>
      </c>
      <c r="F88" s="211" t="s">
        <v>88</v>
      </c>
      <c r="G88" s="211">
        <v>0</v>
      </c>
      <c r="H88" s="211">
        <v>1</v>
      </c>
      <c r="I88" s="217">
        <v>726</v>
      </c>
      <c r="J88" s="213">
        <f t="shared" si="6"/>
        <v>100</v>
      </c>
      <c r="K88" s="205"/>
      <c r="L88" s="217" t="s">
        <v>497</v>
      </c>
      <c r="M88" s="214"/>
    </row>
    <row r="89" spans="1:13" s="210" customFormat="1" ht="21" customHeight="1" x14ac:dyDescent="0.15">
      <c r="A89" s="211">
        <v>40045938</v>
      </c>
      <c r="B89" s="211">
        <v>0</v>
      </c>
      <c r="C89" s="211">
        <v>793</v>
      </c>
      <c r="D89" s="211">
        <v>100</v>
      </c>
      <c r="E89" s="211" t="s">
        <v>167</v>
      </c>
      <c r="F89" s="211" t="s">
        <v>88</v>
      </c>
      <c r="G89" s="211">
        <v>0</v>
      </c>
      <c r="H89" s="211">
        <v>1</v>
      </c>
      <c r="I89" s="217">
        <v>727</v>
      </c>
      <c r="J89" s="213">
        <f t="shared" si="6"/>
        <v>100</v>
      </c>
      <c r="K89" s="205"/>
      <c r="L89" s="217" t="s">
        <v>497</v>
      </c>
      <c r="M89" s="214"/>
    </row>
    <row r="90" spans="1:13" s="210" customFormat="1" ht="21" customHeight="1" x14ac:dyDescent="0.15">
      <c r="A90" s="211">
        <v>40045939</v>
      </c>
      <c r="B90" s="211">
        <v>0</v>
      </c>
      <c r="C90" s="211">
        <v>792</v>
      </c>
      <c r="D90" s="211">
        <v>100</v>
      </c>
      <c r="E90" s="211" t="s">
        <v>167</v>
      </c>
      <c r="F90" s="211" t="s">
        <v>88</v>
      </c>
      <c r="G90" s="211">
        <v>0</v>
      </c>
      <c r="H90" s="211">
        <v>1</v>
      </c>
      <c r="I90" s="217">
        <v>1273</v>
      </c>
      <c r="J90" s="213">
        <f t="shared" si="6"/>
        <v>100</v>
      </c>
      <c r="K90" s="205"/>
      <c r="L90" s="217" t="s">
        <v>497</v>
      </c>
      <c r="M90" s="214"/>
    </row>
    <row r="91" spans="1:13" s="210" customFormat="1" ht="21" customHeight="1" x14ac:dyDescent="0.15">
      <c r="A91" s="211">
        <v>40045940</v>
      </c>
      <c r="B91" s="211">
        <v>0</v>
      </c>
      <c r="C91" s="211">
        <v>791</v>
      </c>
      <c r="D91" s="211">
        <v>100</v>
      </c>
      <c r="E91" s="211" t="s">
        <v>167</v>
      </c>
      <c r="F91" s="211" t="s">
        <v>88</v>
      </c>
      <c r="G91" s="211">
        <v>0</v>
      </c>
      <c r="H91" s="211">
        <v>1</v>
      </c>
      <c r="I91" s="215">
        <v>1242</v>
      </c>
      <c r="J91" s="213">
        <f t="shared" si="6"/>
        <v>100</v>
      </c>
      <c r="K91" s="205"/>
      <c r="L91" s="215" t="s">
        <v>503</v>
      </c>
      <c r="M91" s="214"/>
    </row>
    <row r="92" spans="1:13" s="210" customFormat="1" ht="21" customHeight="1" x14ac:dyDescent="0.15">
      <c r="A92" s="211">
        <v>40045941</v>
      </c>
      <c r="B92" s="211">
        <v>0</v>
      </c>
      <c r="C92" s="211">
        <v>790</v>
      </c>
      <c r="D92" s="211">
        <v>100</v>
      </c>
      <c r="E92" s="211" t="s">
        <v>167</v>
      </c>
      <c r="F92" s="211" t="s">
        <v>88</v>
      </c>
      <c r="G92" s="211">
        <v>0</v>
      </c>
      <c r="H92" s="211">
        <v>1</v>
      </c>
      <c r="I92" s="215">
        <v>1243</v>
      </c>
      <c r="J92" s="213">
        <f t="shared" si="6"/>
        <v>100</v>
      </c>
      <c r="K92" s="205"/>
      <c r="L92" s="215" t="s">
        <v>503</v>
      </c>
      <c r="M92" s="214"/>
    </row>
    <row r="93" spans="1:13" s="210" customFormat="1" ht="21" customHeight="1" x14ac:dyDescent="0.15">
      <c r="A93" s="211">
        <v>40045942</v>
      </c>
      <c r="B93" s="211">
        <v>0</v>
      </c>
      <c r="C93" s="211">
        <v>789</v>
      </c>
      <c r="D93" s="211">
        <v>100</v>
      </c>
      <c r="E93" s="211" t="s">
        <v>167</v>
      </c>
      <c r="F93" s="211" t="s">
        <v>88</v>
      </c>
      <c r="G93" s="211">
        <v>0</v>
      </c>
      <c r="H93" s="211">
        <v>1</v>
      </c>
      <c r="I93" s="218">
        <v>732</v>
      </c>
      <c r="J93" s="213">
        <f t="shared" si="6"/>
        <v>100</v>
      </c>
      <c r="K93" s="205"/>
      <c r="L93" s="218" t="s">
        <v>521</v>
      </c>
      <c r="M93" s="214"/>
    </row>
    <row r="94" spans="1:13" s="210" customFormat="1" ht="21" customHeight="1" x14ac:dyDescent="0.15">
      <c r="A94" s="211">
        <v>40045943</v>
      </c>
      <c r="B94" s="211">
        <v>0</v>
      </c>
      <c r="C94" s="211">
        <v>788</v>
      </c>
      <c r="D94" s="211">
        <v>100</v>
      </c>
      <c r="E94" s="211" t="s">
        <v>167</v>
      </c>
      <c r="F94" s="211" t="s">
        <v>88</v>
      </c>
      <c r="G94" s="211">
        <v>0</v>
      </c>
      <c r="H94" s="211">
        <v>1</v>
      </c>
      <c r="I94" s="218">
        <v>733</v>
      </c>
      <c r="J94" s="213">
        <f t="shared" si="6"/>
        <v>100</v>
      </c>
      <c r="K94" s="205"/>
      <c r="L94" s="218" t="s">
        <v>490</v>
      </c>
      <c r="M94" s="214"/>
    </row>
    <row r="95" spans="1:13" s="210" customFormat="1" ht="21" customHeight="1" x14ac:dyDescent="0.15">
      <c r="A95" s="211">
        <v>40045944</v>
      </c>
      <c r="B95" s="211">
        <v>0</v>
      </c>
      <c r="C95" s="211">
        <v>787</v>
      </c>
      <c r="D95" s="211">
        <v>100</v>
      </c>
      <c r="E95" s="211" t="s">
        <v>167</v>
      </c>
      <c r="F95" s="211" t="s">
        <v>88</v>
      </c>
      <c r="G95" s="211">
        <v>0</v>
      </c>
      <c r="H95" s="211">
        <v>1</v>
      </c>
      <c r="I95" s="219">
        <v>728</v>
      </c>
      <c r="J95" s="213">
        <f t="shared" si="6"/>
        <v>100</v>
      </c>
      <c r="K95" s="205"/>
      <c r="L95" s="219" t="s">
        <v>491</v>
      </c>
      <c r="M95" s="214"/>
    </row>
    <row r="96" spans="1:13" s="210" customFormat="1" ht="21" customHeight="1" x14ac:dyDescent="0.15">
      <c r="A96" s="211">
        <v>40045945</v>
      </c>
      <c r="B96" s="211">
        <v>0</v>
      </c>
      <c r="C96" s="211">
        <v>786</v>
      </c>
      <c r="D96" s="211">
        <v>100</v>
      </c>
      <c r="E96" s="211" t="s">
        <v>167</v>
      </c>
      <c r="F96" s="211" t="s">
        <v>88</v>
      </c>
      <c r="G96" s="211">
        <v>0</v>
      </c>
      <c r="H96" s="211">
        <v>1</v>
      </c>
      <c r="I96" s="219">
        <v>729</v>
      </c>
      <c r="J96" s="213">
        <f t="shared" si="6"/>
        <v>100</v>
      </c>
      <c r="K96" s="205"/>
      <c r="L96" s="219" t="s">
        <v>491</v>
      </c>
      <c r="M96" s="214"/>
    </row>
    <row r="97" spans="1:13" s="210" customFormat="1" ht="21" customHeight="1" x14ac:dyDescent="0.15">
      <c r="A97" s="211">
        <v>40045946</v>
      </c>
      <c r="B97" s="211">
        <v>0</v>
      </c>
      <c r="C97" s="211">
        <v>785</v>
      </c>
      <c r="D97" s="211">
        <v>100</v>
      </c>
      <c r="E97" s="211" t="s">
        <v>167</v>
      </c>
      <c r="F97" s="211" t="s">
        <v>88</v>
      </c>
      <c r="G97" s="211">
        <v>0</v>
      </c>
      <c r="H97" s="211">
        <v>1</v>
      </c>
      <c r="I97" s="220">
        <v>734</v>
      </c>
      <c r="J97" s="213">
        <f t="shared" si="6"/>
        <v>100</v>
      </c>
      <c r="K97" s="205"/>
      <c r="L97" s="220" t="s">
        <v>492</v>
      </c>
      <c r="M97" s="214"/>
    </row>
    <row r="98" spans="1:13" s="210" customFormat="1" ht="21" customHeight="1" x14ac:dyDescent="0.15">
      <c r="A98" s="211">
        <v>40045947</v>
      </c>
      <c r="B98" s="211">
        <v>0</v>
      </c>
      <c r="C98" s="211">
        <v>784</v>
      </c>
      <c r="D98" s="211">
        <v>100</v>
      </c>
      <c r="E98" s="211" t="s">
        <v>167</v>
      </c>
      <c r="F98" s="211" t="s">
        <v>88</v>
      </c>
      <c r="G98" s="211">
        <v>0</v>
      </c>
      <c r="H98" s="211">
        <v>1</v>
      </c>
      <c r="I98" s="220">
        <v>735</v>
      </c>
      <c r="J98" s="213">
        <f t="shared" si="6"/>
        <v>100</v>
      </c>
      <c r="K98" s="205"/>
      <c r="L98" s="220" t="s">
        <v>492</v>
      </c>
      <c r="M98" s="214"/>
    </row>
    <row r="99" spans="1:13" s="210" customFormat="1" ht="21" customHeight="1" x14ac:dyDescent="0.15">
      <c r="A99" s="211">
        <v>40045948</v>
      </c>
      <c r="B99" s="211">
        <v>0</v>
      </c>
      <c r="C99" s="211">
        <v>783</v>
      </c>
      <c r="D99" s="211">
        <v>100</v>
      </c>
      <c r="E99" s="211" t="s">
        <v>167</v>
      </c>
      <c r="F99" s="211" t="s">
        <v>88</v>
      </c>
      <c r="G99" s="211">
        <v>0</v>
      </c>
      <c r="H99" s="211">
        <v>1</v>
      </c>
      <c r="I99" s="221">
        <v>730</v>
      </c>
      <c r="J99" s="213">
        <f t="shared" si="6"/>
        <v>100</v>
      </c>
      <c r="K99" s="205"/>
      <c r="L99" s="221" t="s">
        <v>493</v>
      </c>
      <c r="M99" s="214"/>
    </row>
    <row r="100" spans="1:13" s="210" customFormat="1" ht="21" customHeight="1" x14ac:dyDescent="0.15">
      <c r="A100" s="211">
        <v>40045949</v>
      </c>
      <c r="B100" s="211">
        <v>0</v>
      </c>
      <c r="C100" s="211">
        <v>782</v>
      </c>
      <c r="D100" s="211">
        <v>100</v>
      </c>
      <c r="E100" s="211" t="s">
        <v>167</v>
      </c>
      <c r="F100" s="211" t="s">
        <v>88</v>
      </c>
      <c r="G100" s="211">
        <v>0</v>
      </c>
      <c r="H100" s="211">
        <v>1</v>
      </c>
      <c r="I100" s="221">
        <v>731</v>
      </c>
      <c r="J100" s="213">
        <f t="shared" si="6"/>
        <v>100</v>
      </c>
      <c r="K100" s="205"/>
      <c r="L100" s="221" t="s">
        <v>493</v>
      </c>
      <c r="M100" s="214"/>
    </row>
    <row r="101" spans="1:13" s="210" customFormat="1" ht="21" customHeight="1" x14ac:dyDescent="0.15">
      <c r="A101" s="211">
        <v>40045950</v>
      </c>
      <c r="B101" s="211">
        <v>0</v>
      </c>
      <c r="C101" s="211">
        <v>781</v>
      </c>
      <c r="D101" s="211">
        <v>100</v>
      </c>
      <c r="E101" s="211" t="s">
        <v>167</v>
      </c>
      <c r="F101" s="211" t="s">
        <v>88</v>
      </c>
      <c r="G101" s="211">
        <v>0</v>
      </c>
      <c r="H101" s="211">
        <v>1</v>
      </c>
      <c r="I101" s="218">
        <v>720</v>
      </c>
      <c r="J101" s="213">
        <f t="shared" si="6"/>
        <v>100</v>
      </c>
      <c r="K101" s="205"/>
      <c r="L101" s="218" t="s">
        <v>494</v>
      </c>
      <c r="M101" s="214"/>
    </row>
    <row r="102" spans="1:13" s="210" customFormat="1" ht="21" customHeight="1" x14ac:dyDescent="0.15">
      <c r="A102" s="211">
        <v>40045951</v>
      </c>
      <c r="B102" s="211">
        <v>0</v>
      </c>
      <c r="C102" s="211">
        <v>780</v>
      </c>
      <c r="D102" s="211">
        <v>100</v>
      </c>
      <c r="E102" s="211" t="s">
        <v>167</v>
      </c>
      <c r="F102" s="211" t="s">
        <v>88</v>
      </c>
      <c r="G102" s="211">
        <v>0</v>
      </c>
      <c r="H102" s="211">
        <v>1</v>
      </c>
      <c r="I102" s="218">
        <v>721</v>
      </c>
      <c r="J102" s="213">
        <f t="shared" si="6"/>
        <v>100</v>
      </c>
      <c r="K102" s="205"/>
      <c r="L102" s="218" t="s">
        <v>494</v>
      </c>
      <c r="M102" s="214"/>
    </row>
    <row r="103" spans="1:13" s="210" customFormat="1" ht="21" customHeight="1" x14ac:dyDescent="0.15">
      <c r="A103" s="211">
        <v>40045952</v>
      </c>
      <c r="B103" s="211">
        <v>0</v>
      </c>
      <c r="C103" s="211">
        <v>779</v>
      </c>
      <c r="D103" s="211">
        <v>100</v>
      </c>
      <c r="E103" s="211" t="s">
        <v>167</v>
      </c>
      <c r="F103" s="211" t="s">
        <v>88</v>
      </c>
      <c r="G103" s="211">
        <v>0</v>
      </c>
      <c r="H103" s="211">
        <v>1</v>
      </c>
      <c r="I103" s="217">
        <v>722</v>
      </c>
      <c r="J103" s="213">
        <f t="shared" si="6"/>
        <v>100</v>
      </c>
      <c r="K103" s="205"/>
      <c r="L103" s="217" t="s">
        <v>495</v>
      </c>
      <c r="M103" s="214"/>
    </row>
    <row r="104" spans="1:13" s="210" customFormat="1" ht="21" customHeight="1" x14ac:dyDescent="0.15">
      <c r="A104" s="211">
        <v>40045953</v>
      </c>
      <c r="B104" s="211">
        <v>0</v>
      </c>
      <c r="C104" s="211">
        <v>778</v>
      </c>
      <c r="D104" s="211">
        <v>100</v>
      </c>
      <c r="E104" s="211" t="s">
        <v>167</v>
      </c>
      <c r="F104" s="211" t="s">
        <v>88</v>
      </c>
      <c r="G104" s="211">
        <v>0</v>
      </c>
      <c r="H104" s="211">
        <v>1</v>
      </c>
      <c r="I104" s="217">
        <v>723</v>
      </c>
      <c r="J104" s="213">
        <f t="shared" si="6"/>
        <v>100</v>
      </c>
      <c r="K104" s="205"/>
      <c r="L104" s="217" t="s">
        <v>495</v>
      </c>
      <c r="M104" s="214"/>
    </row>
    <row r="105" spans="1:13" s="210" customFormat="1" ht="21" customHeight="1" x14ac:dyDescent="0.15">
      <c r="A105" s="211">
        <v>40045954</v>
      </c>
      <c r="B105" s="211">
        <v>0</v>
      </c>
      <c r="C105" s="211">
        <v>777</v>
      </c>
      <c r="D105" s="211">
        <v>100</v>
      </c>
      <c r="E105" s="211" t="s">
        <v>167</v>
      </c>
      <c r="F105" s="211" t="s">
        <v>88</v>
      </c>
      <c r="G105" s="211">
        <v>0</v>
      </c>
      <c r="H105" s="211">
        <v>1</v>
      </c>
      <c r="I105" s="215">
        <v>1250</v>
      </c>
      <c r="J105" s="213">
        <f t="shared" si="6"/>
        <v>100</v>
      </c>
      <c r="K105" s="205"/>
      <c r="L105" s="215" t="s">
        <v>498</v>
      </c>
      <c r="M105" s="214"/>
    </row>
    <row r="106" spans="1:13" s="210" customFormat="1" ht="21" customHeight="1" x14ac:dyDescent="0.15">
      <c r="A106" s="211">
        <v>40045955</v>
      </c>
      <c r="B106" s="211">
        <v>0</v>
      </c>
      <c r="C106" s="211">
        <v>776</v>
      </c>
      <c r="D106" s="211">
        <v>100</v>
      </c>
      <c r="E106" s="211" t="s">
        <v>167</v>
      </c>
      <c r="F106" s="211" t="s">
        <v>88</v>
      </c>
      <c r="G106" s="211">
        <v>0</v>
      </c>
      <c r="H106" s="211">
        <v>1</v>
      </c>
      <c r="I106" s="215">
        <v>1251</v>
      </c>
      <c r="J106" s="213">
        <f t="shared" si="6"/>
        <v>100</v>
      </c>
      <c r="K106" s="205"/>
      <c r="L106" s="215" t="s">
        <v>498</v>
      </c>
      <c r="M106" s="214"/>
    </row>
    <row r="107" spans="1:13" s="210" customFormat="1" ht="21" customHeight="1" x14ac:dyDescent="0.15">
      <c r="A107" s="211">
        <v>40045956</v>
      </c>
      <c r="B107" s="211">
        <v>0</v>
      </c>
      <c r="C107" s="211">
        <v>775</v>
      </c>
      <c r="D107" s="211">
        <v>100</v>
      </c>
      <c r="E107" s="211" t="s">
        <v>167</v>
      </c>
      <c r="F107" s="211" t="s">
        <v>88</v>
      </c>
      <c r="G107" s="211">
        <v>0</v>
      </c>
      <c r="H107" s="211">
        <v>1</v>
      </c>
      <c r="I107" s="215">
        <v>1248</v>
      </c>
      <c r="J107" s="213">
        <f t="shared" si="6"/>
        <v>100</v>
      </c>
      <c r="K107" s="205"/>
      <c r="L107" s="215" t="s">
        <v>500</v>
      </c>
      <c r="M107" s="214"/>
    </row>
    <row r="108" spans="1:13" s="210" customFormat="1" ht="21" customHeight="1" x14ac:dyDescent="0.15">
      <c r="A108" s="211">
        <v>40045957</v>
      </c>
      <c r="B108" s="211">
        <v>0</v>
      </c>
      <c r="C108" s="211">
        <v>774</v>
      </c>
      <c r="D108" s="211">
        <v>100</v>
      </c>
      <c r="E108" s="211" t="s">
        <v>167</v>
      </c>
      <c r="F108" s="211" t="s">
        <v>88</v>
      </c>
      <c r="G108" s="211">
        <v>0</v>
      </c>
      <c r="H108" s="211">
        <v>1</v>
      </c>
      <c r="I108" s="215">
        <v>1249</v>
      </c>
      <c r="J108" s="213">
        <f t="shared" si="6"/>
        <v>100</v>
      </c>
      <c r="K108" s="205"/>
      <c r="L108" s="215" t="s">
        <v>500</v>
      </c>
      <c r="M108" s="214"/>
    </row>
    <row r="109" spans="1:13" s="210" customFormat="1" ht="21" customHeight="1" x14ac:dyDescent="0.15">
      <c r="A109" s="211">
        <v>40045958</v>
      </c>
      <c r="B109" s="211">
        <v>0</v>
      </c>
      <c r="C109" s="211">
        <v>773</v>
      </c>
      <c r="D109" s="211">
        <v>100</v>
      </c>
      <c r="E109" s="211" t="s">
        <v>167</v>
      </c>
      <c r="F109" s="211" t="s">
        <v>88</v>
      </c>
      <c r="G109" s="211">
        <v>0</v>
      </c>
      <c r="H109" s="211">
        <v>1</v>
      </c>
      <c r="I109" s="215">
        <v>1236</v>
      </c>
      <c r="J109" s="213">
        <f t="shared" si="6"/>
        <v>100</v>
      </c>
      <c r="K109" s="205"/>
      <c r="L109" s="215" t="s">
        <v>501</v>
      </c>
      <c r="M109" s="214"/>
    </row>
    <row r="110" spans="1:13" s="210" customFormat="1" ht="21" customHeight="1" x14ac:dyDescent="0.15">
      <c r="A110" s="211">
        <v>40045959</v>
      </c>
      <c r="B110" s="211">
        <v>0</v>
      </c>
      <c r="C110" s="211">
        <v>772</v>
      </c>
      <c r="D110" s="211">
        <v>100</v>
      </c>
      <c r="E110" s="211" t="s">
        <v>167</v>
      </c>
      <c r="F110" s="211" t="s">
        <v>88</v>
      </c>
      <c r="G110" s="211">
        <v>0</v>
      </c>
      <c r="H110" s="211">
        <v>1</v>
      </c>
      <c r="I110" s="215">
        <v>1237</v>
      </c>
      <c r="J110" s="213">
        <f t="shared" si="6"/>
        <v>100</v>
      </c>
      <c r="K110" s="205"/>
      <c r="L110" s="215" t="s">
        <v>501</v>
      </c>
      <c r="M110" s="214"/>
    </row>
    <row r="111" spans="1:13" s="210" customFormat="1" ht="21" customHeight="1" x14ac:dyDescent="0.15">
      <c r="A111" s="211">
        <v>40045960</v>
      </c>
      <c r="B111" s="211">
        <v>0</v>
      </c>
      <c r="C111" s="211">
        <v>771</v>
      </c>
      <c r="D111" s="211">
        <v>100</v>
      </c>
      <c r="E111" s="211" t="s">
        <v>167</v>
      </c>
      <c r="F111" s="211" t="s">
        <v>88</v>
      </c>
      <c r="G111" s="211">
        <v>0</v>
      </c>
      <c r="H111" s="211">
        <v>1</v>
      </c>
      <c r="I111" s="215">
        <v>1240</v>
      </c>
      <c r="J111" s="213">
        <f t="shared" si="6"/>
        <v>100</v>
      </c>
      <c r="K111" s="205"/>
      <c r="L111" s="215" t="s">
        <v>502</v>
      </c>
      <c r="M111" s="214"/>
    </row>
    <row r="112" spans="1:13" s="210" customFormat="1" ht="21" customHeight="1" x14ac:dyDescent="0.15">
      <c r="A112" s="211">
        <v>40045961</v>
      </c>
      <c r="B112" s="211">
        <v>0</v>
      </c>
      <c r="C112" s="211">
        <v>770</v>
      </c>
      <c r="D112" s="211">
        <v>100</v>
      </c>
      <c r="E112" s="211" t="s">
        <v>167</v>
      </c>
      <c r="F112" s="211" t="s">
        <v>88</v>
      </c>
      <c r="G112" s="211">
        <v>0</v>
      </c>
      <c r="H112" s="211">
        <v>1</v>
      </c>
      <c r="I112" s="215">
        <v>1241</v>
      </c>
      <c r="J112" s="213">
        <f t="shared" si="6"/>
        <v>100</v>
      </c>
      <c r="K112" s="205"/>
      <c r="L112" s="215" t="s">
        <v>502</v>
      </c>
      <c r="M112" s="214"/>
    </row>
  </sheetData>
  <autoFilter ref="A1:G1"/>
  <phoneticPr fontId="6"/>
  <conditionalFormatting sqref="L1:L3 L34:L41 L5:L32 L113:L1048576 L43:L81">
    <cfRule type="containsText" dxfId="31" priority="34" operator="containsText" text="死亡">
      <formula>NOT(ISERROR(SEARCH("死亡",L1)))</formula>
    </cfRule>
    <cfRule type="containsText" dxfId="30" priority="36" operator="containsText" text="開幕">
      <formula>NOT(ISERROR(SEARCH("開幕",L1)))</formula>
    </cfRule>
  </conditionalFormatting>
  <conditionalFormatting sqref="B1:B3 B34:B41 B5:B32 B113:B1048576 B43:B81">
    <cfRule type="containsText" dxfId="29" priority="35" operator="containsText" text="1">
      <formula>NOT(ISERROR(SEARCH("1",B1)))</formula>
    </cfRule>
  </conditionalFormatting>
  <conditionalFormatting sqref="G1:G3 G34:G41 G5:G32 G113:G1048576 G43:G81">
    <cfRule type="notContainsText" dxfId="28" priority="33" operator="notContains" text="null">
      <formula>ISERROR(SEARCH("null",G1))</formula>
    </cfRule>
  </conditionalFormatting>
  <conditionalFormatting sqref="D1:D3 D34:D41 D5:D32 D113:D1048576 D43:D81">
    <cfRule type="notContainsText" dxfId="27" priority="32" operator="notContains" text="100">
      <formula>ISERROR(SEARCH("100",D1))</formula>
    </cfRule>
  </conditionalFormatting>
  <conditionalFormatting sqref="K33">
    <cfRule type="duplicateValues" dxfId="26" priority="31"/>
  </conditionalFormatting>
  <conditionalFormatting sqref="L33">
    <cfRule type="containsText" dxfId="25" priority="28" operator="containsText" text="死亡">
      <formula>NOT(ISERROR(SEARCH("死亡",L33)))</formula>
    </cfRule>
    <cfRule type="containsText" dxfId="24" priority="30" operator="containsText" text="開幕">
      <formula>NOT(ISERROR(SEARCH("開幕",L33)))</formula>
    </cfRule>
  </conditionalFormatting>
  <conditionalFormatting sqref="B33">
    <cfRule type="containsText" dxfId="23" priority="29" operator="containsText" text="1">
      <formula>NOT(ISERROR(SEARCH("1",B33)))</formula>
    </cfRule>
  </conditionalFormatting>
  <conditionalFormatting sqref="G33">
    <cfRule type="notContainsText" dxfId="22" priority="27" operator="notContains" text="null">
      <formula>ISERROR(SEARCH("null",G33))</formula>
    </cfRule>
  </conditionalFormatting>
  <conditionalFormatting sqref="D33">
    <cfRule type="notContainsText" dxfId="21" priority="26" operator="notContains" text="100">
      <formula>ISERROR(SEARCH("100",D33))</formula>
    </cfRule>
  </conditionalFormatting>
  <conditionalFormatting sqref="K113:K1048576 K59:K81 K34:K41 K1:K3 K5:K32 K43:K57">
    <cfRule type="duplicateValues" dxfId="20" priority="38"/>
  </conditionalFormatting>
  <conditionalFormatting sqref="L4">
    <cfRule type="containsText" dxfId="19" priority="22" operator="containsText" text="死亡">
      <formula>NOT(ISERROR(SEARCH("死亡",L4)))</formula>
    </cfRule>
    <cfRule type="containsText" dxfId="18" priority="24" operator="containsText" text="開幕">
      <formula>NOT(ISERROR(SEARCH("開幕",L4)))</formula>
    </cfRule>
  </conditionalFormatting>
  <conditionalFormatting sqref="B4">
    <cfRule type="containsText" dxfId="17" priority="23" operator="containsText" text="1">
      <formula>NOT(ISERROR(SEARCH("1",B4)))</formula>
    </cfRule>
  </conditionalFormatting>
  <conditionalFormatting sqref="G4">
    <cfRule type="notContainsText" dxfId="16" priority="21" operator="notContains" text="null">
      <formula>ISERROR(SEARCH("null",G4))</formula>
    </cfRule>
  </conditionalFormatting>
  <conditionalFormatting sqref="D4">
    <cfRule type="notContainsText" dxfId="15" priority="20" operator="notContains" text="100">
      <formula>ISERROR(SEARCH("100",D4))</formula>
    </cfRule>
  </conditionalFormatting>
  <conditionalFormatting sqref="K4">
    <cfRule type="duplicateValues" dxfId="14" priority="25"/>
  </conditionalFormatting>
  <conditionalFormatting sqref="L42">
    <cfRule type="containsText" dxfId="13" priority="16" operator="containsText" text="死亡">
      <formula>NOT(ISERROR(SEARCH("死亡",L42)))</formula>
    </cfRule>
    <cfRule type="containsText" dxfId="12" priority="18" operator="containsText" text="開幕">
      <formula>NOT(ISERROR(SEARCH("開幕",L42)))</formula>
    </cfRule>
  </conditionalFormatting>
  <conditionalFormatting sqref="B42">
    <cfRule type="containsText" dxfId="11" priority="17" operator="containsText" text="1">
      <formula>NOT(ISERROR(SEARCH("1",B42)))</formula>
    </cfRule>
  </conditionalFormatting>
  <conditionalFormatting sqref="G42">
    <cfRule type="notContainsText" dxfId="10" priority="15" operator="notContains" text="null">
      <formula>ISERROR(SEARCH("null",G42))</formula>
    </cfRule>
  </conditionalFormatting>
  <conditionalFormatting sqref="D42">
    <cfRule type="notContainsText" dxfId="9" priority="14" operator="notContains" text="100">
      <formula>ISERROR(SEARCH("100",D42))</formula>
    </cfRule>
  </conditionalFormatting>
  <conditionalFormatting sqref="K42">
    <cfRule type="duplicateValues" dxfId="8" priority="19"/>
  </conditionalFormatting>
  <conditionalFormatting sqref="K58">
    <cfRule type="duplicateValues" dxfId="7" priority="13"/>
  </conditionalFormatting>
  <conditionalFormatting sqref="K83:K112">
    <cfRule type="duplicateValues" dxfId="6" priority="7"/>
  </conditionalFormatting>
  <conditionalFormatting sqref="L82:L112">
    <cfRule type="containsText" dxfId="5" priority="3" operator="containsText" text="死亡">
      <formula>NOT(ISERROR(SEARCH("死亡",L82)))</formula>
    </cfRule>
    <cfRule type="containsText" dxfId="4" priority="5" operator="containsText" text="開幕">
      <formula>NOT(ISERROR(SEARCH("開幕",L82)))</formula>
    </cfRule>
  </conditionalFormatting>
  <conditionalFormatting sqref="B82:B112">
    <cfRule type="containsText" dxfId="3" priority="4" operator="containsText" text="1">
      <formula>NOT(ISERROR(SEARCH("1",B82)))</formula>
    </cfRule>
  </conditionalFormatting>
  <conditionalFormatting sqref="G82:G112">
    <cfRule type="notContainsText" dxfId="2" priority="2" operator="notContains" text="null">
      <formula>ISERROR(SEARCH("null",G82))</formula>
    </cfRule>
  </conditionalFormatting>
  <conditionalFormatting sqref="D82:D112">
    <cfRule type="notContainsText" dxfId="1" priority="1" operator="notContains" text="100">
      <formula>ISERROR(SEARCH("100",D82))</formula>
    </cfRule>
  </conditionalFormatting>
  <conditionalFormatting sqref="K82">
    <cfRule type="duplicateValues" dxfId="0" priority="6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I2" sqref="I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149</v>
      </c>
      <c r="B1" s="61" t="s">
        <v>150</v>
      </c>
      <c r="C1" s="62" t="s">
        <v>151</v>
      </c>
      <c r="D1" s="68" t="s">
        <v>152</v>
      </c>
      <c r="E1" s="63" t="s">
        <v>153</v>
      </c>
      <c r="F1" s="61" t="s">
        <v>154</v>
      </c>
      <c r="G1" s="61" t="s">
        <v>155</v>
      </c>
      <c r="H1" s="61" t="s">
        <v>156</v>
      </c>
      <c r="I1" s="61" t="s">
        <v>157</v>
      </c>
      <c r="J1" s="61" t="s">
        <v>158</v>
      </c>
      <c r="K1" s="61" t="s">
        <v>159</v>
      </c>
      <c r="L1" s="61" t="s">
        <v>160</v>
      </c>
      <c r="M1" s="61" t="s">
        <v>161</v>
      </c>
      <c r="N1" s="61" t="s">
        <v>162</v>
      </c>
      <c r="O1" s="61" t="s">
        <v>163</v>
      </c>
      <c r="P1" s="61" t="s">
        <v>164</v>
      </c>
      <c r="Q1" s="61" t="s">
        <v>165</v>
      </c>
      <c r="R1" s="61" t="s">
        <v>166</v>
      </c>
    </row>
    <row r="2" spans="1:18" x14ac:dyDescent="0.15">
      <c r="A2" s="55">
        <v>40045</v>
      </c>
      <c r="B2" s="55">
        <v>1</v>
      </c>
      <c r="C2" s="67" t="str">
        <f>A2&amp; "_"&amp;B2</f>
        <v>40045_1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95">
        <v>1</v>
      </c>
      <c r="F2" s="296" t="s">
        <v>570</v>
      </c>
      <c r="G2" s="296">
        <v>40000</v>
      </c>
      <c r="H2" s="296" t="s">
        <v>571</v>
      </c>
      <c r="I2" s="296">
        <v>1</v>
      </c>
      <c r="J2" s="296">
        <v>1</v>
      </c>
      <c r="K2" s="296">
        <v>0</v>
      </c>
      <c r="L2" s="296">
        <v>0</v>
      </c>
      <c r="M2" s="296">
        <v>0</v>
      </c>
      <c r="N2" s="296">
        <v>0</v>
      </c>
      <c r="O2" s="296">
        <v>1</v>
      </c>
      <c r="P2" s="296">
        <v>150</v>
      </c>
      <c r="Q2" s="55" t="s">
        <v>168</v>
      </c>
      <c r="R2" s="55" t="s">
        <v>169</v>
      </c>
    </row>
    <row r="3" spans="1:18" x14ac:dyDescent="0.15">
      <c r="A3" s="55">
        <v>40045</v>
      </c>
      <c r="B3" s="55">
        <v>1</v>
      </c>
      <c r="C3" s="67" t="str">
        <f t="shared" ref="C3:C18" si="0">A3&amp; "_"&amp;B3</f>
        <v>40045_1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297">
        <v>2</v>
      </c>
      <c r="F3" s="298" t="s">
        <v>572</v>
      </c>
      <c r="G3" s="298">
        <v>30</v>
      </c>
      <c r="H3" s="298" t="s">
        <v>571</v>
      </c>
      <c r="I3" s="298">
        <v>1</v>
      </c>
      <c r="J3" s="298">
        <v>1</v>
      </c>
      <c r="K3" s="298">
        <v>0</v>
      </c>
      <c r="L3" s="298">
        <v>0</v>
      </c>
      <c r="M3" s="298">
        <v>0</v>
      </c>
      <c r="N3" s="298">
        <v>0</v>
      </c>
      <c r="O3" s="298">
        <v>1</v>
      </c>
      <c r="P3" s="298">
        <v>150</v>
      </c>
      <c r="Q3" s="55" t="s">
        <v>168</v>
      </c>
      <c r="R3" s="55" t="s">
        <v>169</v>
      </c>
    </row>
    <row r="4" spans="1:18" x14ac:dyDescent="0.15">
      <c r="A4" s="55">
        <v>40045</v>
      </c>
      <c r="B4" s="55">
        <v>1</v>
      </c>
      <c r="C4" s="67" t="str">
        <f t="shared" si="0"/>
        <v>40045_1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297">
        <v>3</v>
      </c>
      <c r="F4" s="298" t="s">
        <v>573</v>
      </c>
      <c r="G4" s="299">
        <v>1238</v>
      </c>
      <c r="H4" s="298">
        <v>1</v>
      </c>
      <c r="I4" s="298">
        <v>1</v>
      </c>
      <c r="J4" s="298">
        <v>1</v>
      </c>
      <c r="K4" s="298">
        <v>0</v>
      </c>
      <c r="L4" s="298">
        <v>0</v>
      </c>
      <c r="M4" s="298">
        <v>0</v>
      </c>
      <c r="N4" s="298">
        <v>0</v>
      </c>
      <c r="O4" s="298">
        <v>1</v>
      </c>
      <c r="P4" s="298">
        <v>100</v>
      </c>
      <c r="Q4" s="55" t="s">
        <v>168</v>
      </c>
      <c r="R4" s="55" t="s">
        <v>169</v>
      </c>
    </row>
    <row r="5" spans="1:18" x14ac:dyDescent="0.15">
      <c r="A5" s="55">
        <v>40045</v>
      </c>
      <c r="B5" s="55">
        <v>1</v>
      </c>
      <c r="C5" s="67" t="str">
        <f t="shared" si="0"/>
        <v>40045_1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97">
        <v>4</v>
      </c>
      <c r="F5" s="298" t="s">
        <v>573</v>
      </c>
      <c r="G5" s="298">
        <v>337</v>
      </c>
      <c r="H5" s="298">
        <v>1</v>
      </c>
      <c r="I5" s="298">
        <v>1</v>
      </c>
      <c r="J5" s="298">
        <v>1</v>
      </c>
      <c r="K5" s="298">
        <v>0</v>
      </c>
      <c r="L5" s="298">
        <v>0</v>
      </c>
      <c r="M5" s="298">
        <v>0</v>
      </c>
      <c r="N5" s="298">
        <v>0</v>
      </c>
      <c r="O5" s="298">
        <v>1</v>
      </c>
      <c r="P5" s="298">
        <v>28</v>
      </c>
      <c r="Q5" s="55" t="s">
        <v>168</v>
      </c>
      <c r="R5" s="55" t="s">
        <v>169</v>
      </c>
    </row>
    <row r="6" spans="1:18" x14ac:dyDescent="0.15">
      <c r="A6" s="55">
        <v>40045</v>
      </c>
      <c r="B6" s="55">
        <v>1</v>
      </c>
      <c r="C6" s="67" t="str">
        <f t="shared" si="0"/>
        <v>40045_1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97">
        <v>5</v>
      </c>
      <c r="F6" s="298" t="s">
        <v>573</v>
      </c>
      <c r="G6" s="298">
        <v>338</v>
      </c>
      <c r="H6" s="298">
        <v>1</v>
      </c>
      <c r="I6" s="298">
        <v>1</v>
      </c>
      <c r="J6" s="298">
        <v>1</v>
      </c>
      <c r="K6" s="298">
        <v>0</v>
      </c>
      <c r="L6" s="298">
        <v>0</v>
      </c>
      <c r="M6" s="298">
        <v>0</v>
      </c>
      <c r="N6" s="298">
        <v>0</v>
      </c>
      <c r="O6" s="298">
        <v>1</v>
      </c>
      <c r="P6" s="298">
        <v>112</v>
      </c>
      <c r="Q6" s="55" t="s">
        <v>168</v>
      </c>
      <c r="R6" s="55" t="s">
        <v>169</v>
      </c>
    </row>
    <row r="7" spans="1:18" x14ac:dyDescent="0.15">
      <c r="A7" s="55">
        <v>40045</v>
      </c>
      <c r="B7" s="55">
        <v>1</v>
      </c>
      <c r="C7" s="67" t="str">
        <f t="shared" si="0"/>
        <v>40045_1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297">
        <v>6</v>
      </c>
      <c r="F7" s="298" t="s">
        <v>573</v>
      </c>
      <c r="G7" s="298">
        <v>350</v>
      </c>
      <c r="H7" s="298">
        <v>1</v>
      </c>
      <c r="I7" s="298">
        <v>1</v>
      </c>
      <c r="J7" s="298">
        <v>1</v>
      </c>
      <c r="K7" s="298">
        <v>0</v>
      </c>
      <c r="L7" s="298">
        <v>0</v>
      </c>
      <c r="M7" s="298">
        <v>0</v>
      </c>
      <c r="N7" s="298">
        <v>0</v>
      </c>
      <c r="O7" s="298">
        <v>1</v>
      </c>
      <c r="P7" s="298">
        <v>150</v>
      </c>
      <c r="Q7" s="55" t="s">
        <v>168</v>
      </c>
      <c r="R7" s="55" t="s">
        <v>169</v>
      </c>
    </row>
    <row r="8" spans="1:18" x14ac:dyDescent="0.15">
      <c r="A8" s="55">
        <v>40045</v>
      </c>
      <c r="B8" s="55">
        <v>1</v>
      </c>
      <c r="C8" s="67" t="str">
        <f t="shared" si="0"/>
        <v>40045_1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97">
        <v>7</v>
      </c>
      <c r="F8" s="298" t="s">
        <v>573</v>
      </c>
      <c r="G8" s="298">
        <v>121</v>
      </c>
      <c r="H8" s="298">
        <v>1</v>
      </c>
      <c r="I8" s="298">
        <v>1</v>
      </c>
      <c r="J8" s="298">
        <v>1</v>
      </c>
      <c r="K8" s="298">
        <v>0</v>
      </c>
      <c r="L8" s="298">
        <v>0</v>
      </c>
      <c r="M8" s="298">
        <v>0</v>
      </c>
      <c r="N8" s="298">
        <v>0</v>
      </c>
      <c r="O8" s="298">
        <v>1</v>
      </c>
      <c r="P8" s="298">
        <v>100</v>
      </c>
      <c r="Q8" s="55" t="s">
        <v>168</v>
      </c>
      <c r="R8" s="55" t="s">
        <v>169</v>
      </c>
    </row>
    <row r="9" spans="1:18" x14ac:dyDescent="0.15">
      <c r="A9" s="55">
        <v>40045</v>
      </c>
      <c r="B9" s="55">
        <v>1</v>
      </c>
      <c r="C9" s="67" t="str">
        <f t="shared" si="0"/>
        <v>40045_1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97">
        <v>8</v>
      </c>
      <c r="F9" s="298" t="s">
        <v>573</v>
      </c>
      <c r="G9" s="298">
        <v>122</v>
      </c>
      <c r="H9" s="298">
        <v>1</v>
      </c>
      <c r="I9" s="298">
        <v>1</v>
      </c>
      <c r="J9" s="298">
        <v>1</v>
      </c>
      <c r="K9" s="298">
        <v>0</v>
      </c>
      <c r="L9" s="298">
        <v>0</v>
      </c>
      <c r="M9" s="298">
        <v>0</v>
      </c>
      <c r="N9" s="298">
        <v>0</v>
      </c>
      <c r="O9" s="298">
        <v>1</v>
      </c>
      <c r="P9" s="298">
        <v>100</v>
      </c>
      <c r="Q9" s="55" t="s">
        <v>168</v>
      </c>
      <c r="R9" s="55" t="s">
        <v>169</v>
      </c>
    </row>
    <row r="10" spans="1:18" x14ac:dyDescent="0.15">
      <c r="A10" s="55">
        <v>40045</v>
      </c>
      <c r="B10" s="55">
        <v>1</v>
      </c>
      <c r="C10" s="67" t="str">
        <f t="shared" si="0"/>
        <v>40045_1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297">
        <v>9</v>
      </c>
      <c r="F10" s="298" t="s">
        <v>573</v>
      </c>
      <c r="G10" s="298">
        <v>123</v>
      </c>
      <c r="H10" s="298">
        <v>1</v>
      </c>
      <c r="I10" s="298">
        <v>1</v>
      </c>
      <c r="J10" s="298">
        <v>1</v>
      </c>
      <c r="K10" s="298">
        <v>0</v>
      </c>
      <c r="L10" s="298">
        <v>0</v>
      </c>
      <c r="M10" s="298">
        <v>0</v>
      </c>
      <c r="N10" s="298">
        <v>0</v>
      </c>
      <c r="O10" s="298">
        <v>1</v>
      </c>
      <c r="P10" s="298">
        <v>100</v>
      </c>
      <c r="Q10" s="55" t="s">
        <v>168</v>
      </c>
      <c r="R10" s="55" t="s">
        <v>169</v>
      </c>
    </row>
    <row r="11" spans="1:18" x14ac:dyDescent="0.15">
      <c r="A11" s="55">
        <v>40045</v>
      </c>
      <c r="B11" s="55">
        <v>1</v>
      </c>
      <c r="C11" s="67" t="str">
        <f t="shared" si="0"/>
        <v>40045_1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97">
        <v>10</v>
      </c>
      <c r="F11" s="298" t="s">
        <v>573</v>
      </c>
      <c r="G11" s="298">
        <v>125</v>
      </c>
      <c r="H11" s="298">
        <v>1</v>
      </c>
      <c r="I11" s="298">
        <v>1</v>
      </c>
      <c r="J11" s="298">
        <v>1</v>
      </c>
      <c r="K11" s="298">
        <v>0</v>
      </c>
      <c r="L11" s="298">
        <v>0</v>
      </c>
      <c r="M11" s="298">
        <v>0</v>
      </c>
      <c r="N11" s="298">
        <v>0</v>
      </c>
      <c r="O11" s="298">
        <v>1</v>
      </c>
      <c r="P11" s="298">
        <v>10</v>
      </c>
      <c r="Q11" s="55" t="s">
        <v>168</v>
      </c>
      <c r="R11" s="55" t="s">
        <v>169</v>
      </c>
    </row>
    <row r="12" spans="1:18" x14ac:dyDescent="0.15">
      <c r="A12" s="55">
        <v>40045</v>
      </c>
      <c r="B12" s="56">
        <v>2</v>
      </c>
      <c r="C12" s="67" t="str">
        <f t="shared" si="0"/>
        <v>40045_2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300">
        <v>11</v>
      </c>
      <c r="F12" s="301" t="s">
        <v>573</v>
      </c>
      <c r="G12" s="302">
        <v>1238</v>
      </c>
      <c r="H12" s="301">
        <v>1</v>
      </c>
      <c r="I12" s="301">
        <v>1</v>
      </c>
      <c r="J12" s="301">
        <v>1</v>
      </c>
      <c r="K12" s="301">
        <v>0</v>
      </c>
      <c r="L12" s="301">
        <v>0</v>
      </c>
      <c r="M12" s="301">
        <v>0</v>
      </c>
      <c r="N12" s="301">
        <v>0</v>
      </c>
      <c r="O12" s="301">
        <v>1</v>
      </c>
      <c r="P12" s="301">
        <v>500</v>
      </c>
      <c r="Q12" s="56" t="s">
        <v>168</v>
      </c>
      <c r="R12" s="56" t="s">
        <v>169</v>
      </c>
    </row>
    <row r="13" spans="1:18" x14ac:dyDescent="0.15">
      <c r="A13" s="55">
        <v>40045</v>
      </c>
      <c r="B13" s="56">
        <v>2</v>
      </c>
      <c r="C13" s="67" t="str">
        <f t="shared" si="0"/>
        <v>40045_2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300">
        <v>12</v>
      </c>
      <c r="F13" s="301" t="s">
        <v>573</v>
      </c>
      <c r="G13" s="301">
        <v>338</v>
      </c>
      <c r="H13" s="301">
        <v>1</v>
      </c>
      <c r="I13" s="301">
        <v>1</v>
      </c>
      <c r="J13" s="301">
        <v>1</v>
      </c>
      <c r="K13" s="301">
        <v>0</v>
      </c>
      <c r="L13" s="301">
        <v>0</v>
      </c>
      <c r="M13" s="301">
        <v>0</v>
      </c>
      <c r="N13" s="301">
        <v>0</v>
      </c>
      <c r="O13" s="301">
        <v>1</v>
      </c>
      <c r="P13" s="301">
        <v>50</v>
      </c>
      <c r="Q13" s="56" t="s">
        <v>168</v>
      </c>
      <c r="R13" s="56" t="s">
        <v>169</v>
      </c>
    </row>
    <row r="14" spans="1:18" x14ac:dyDescent="0.15">
      <c r="A14" s="55">
        <v>40045</v>
      </c>
      <c r="B14" s="56">
        <v>2</v>
      </c>
      <c r="C14" s="67" t="str">
        <f t="shared" si="0"/>
        <v>40045_2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300">
        <v>13</v>
      </c>
      <c r="F14" s="301" t="s">
        <v>573</v>
      </c>
      <c r="G14" s="301">
        <v>350</v>
      </c>
      <c r="H14" s="301">
        <v>1</v>
      </c>
      <c r="I14" s="301">
        <v>1</v>
      </c>
      <c r="J14" s="301">
        <v>1</v>
      </c>
      <c r="K14" s="301">
        <v>0</v>
      </c>
      <c r="L14" s="301">
        <v>0</v>
      </c>
      <c r="M14" s="301">
        <v>0</v>
      </c>
      <c r="N14" s="301">
        <v>0</v>
      </c>
      <c r="O14" s="301">
        <v>1</v>
      </c>
      <c r="P14" s="301">
        <v>120</v>
      </c>
      <c r="Q14" s="56" t="s">
        <v>168</v>
      </c>
      <c r="R14" s="56" t="s">
        <v>169</v>
      </c>
    </row>
    <row r="15" spans="1:18" x14ac:dyDescent="0.15">
      <c r="A15" s="55">
        <v>40045</v>
      </c>
      <c r="B15" s="56">
        <v>2</v>
      </c>
      <c r="C15" s="67" t="str">
        <f t="shared" si="0"/>
        <v>40045_2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300">
        <v>14</v>
      </c>
      <c r="F15" s="301" t="s">
        <v>573</v>
      </c>
      <c r="G15" s="301">
        <v>607</v>
      </c>
      <c r="H15" s="301">
        <v>1</v>
      </c>
      <c r="I15" s="301">
        <v>1</v>
      </c>
      <c r="J15" s="301">
        <v>1</v>
      </c>
      <c r="K15" s="301">
        <v>0</v>
      </c>
      <c r="L15" s="301">
        <v>0</v>
      </c>
      <c r="M15" s="301">
        <v>0</v>
      </c>
      <c r="N15" s="301">
        <v>0</v>
      </c>
      <c r="O15" s="301">
        <v>1</v>
      </c>
      <c r="P15" s="301">
        <v>100</v>
      </c>
      <c r="Q15" s="56" t="s">
        <v>168</v>
      </c>
      <c r="R15" s="56" t="s">
        <v>169</v>
      </c>
    </row>
    <row r="16" spans="1:18" x14ac:dyDescent="0.15">
      <c r="A16" s="55">
        <v>40045</v>
      </c>
      <c r="B16" s="56">
        <v>2</v>
      </c>
      <c r="C16" s="67" t="str">
        <f t="shared" si="0"/>
        <v>40045_2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300">
        <v>15</v>
      </c>
      <c r="F16" s="301" t="s">
        <v>573</v>
      </c>
      <c r="G16" s="301">
        <v>608</v>
      </c>
      <c r="H16" s="301">
        <v>1</v>
      </c>
      <c r="I16" s="301">
        <v>1</v>
      </c>
      <c r="J16" s="301">
        <v>1</v>
      </c>
      <c r="K16" s="301">
        <v>0</v>
      </c>
      <c r="L16" s="301">
        <v>0</v>
      </c>
      <c r="M16" s="301">
        <v>0</v>
      </c>
      <c r="N16" s="301">
        <v>0</v>
      </c>
      <c r="O16" s="301">
        <v>1</v>
      </c>
      <c r="P16" s="301">
        <v>100</v>
      </c>
      <c r="Q16" s="56" t="s">
        <v>168</v>
      </c>
      <c r="R16" s="56" t="s">
        <v>169</v>
      </c>
    </row>
    <row r="17" spans="1:18" x14ac:dyDescent="0.15">
      <c r="A17" s="55">
        <v>40045</v>
      </c>
      <c r="B17" s="56">
        <v>2</v>
      </c>
      <c r="C17" s="67" t="str">
        <f t="shared" si="0"/>
        <v>40045_2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300">
        <v>16</v>
      </c>
      <c r="F17" s="301" t="s">
        <v>573</v>
      </c>
      <c r="G17" s="301">
        <v>609</v>
      </c>
      <c r="H17" s="301">
        <v>1</v>
      </c>
      <c r="I17" s="301">
        <v>1</v>
      </c>
      <c r="J17" s="301">
        <v>1</v>
      </c>
      <c r="K17" s="301">
        <v>0</v>
      </c>
      <c r="L17" s="301">
        <v>0</v>
      </c>
      <c r="M17" s="301">
        <v>0</v>
      </c>
      <c r="N17" s="301">
        <v>0</v>
      </c>
      <c r="O17" s="301">
        <v>1</v>
      </c>
      <c r="P17" s="301">
        <v>100</v>
      </c>
      <c r="Q17" s="56" t="s">
        <v>168</v>
      </c>
      <c r="R17" s="56" t="s">
        <v>169</v>
      </c>
    </row>
    <row r="18" spans="1:18" x14ac:dyDescent="0.15">
      <c r="A18" s="55">
        <v>40045</v>
      </c>
      <c r="B18" s="56">
        <v>2</v>
      </c>
      <c r="C18" s="67" t="str">
        <f t="shared" si="0"/>
        <v>40045_2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300">
        <v>17</v>
      </c>
      <c r="F18" s="301" t="s">
        <v>573</v>
      </c>
      <c r="G18" s="301">
        <v>125</v>
      </c>
      <c r="H18" s="301">
        <v>1</v>
      </c>
      <c r="I18" s="301">
        <v>1</v>
      </c>
      <c r="J18" s="301">
        <v>1</v>
      </c>
      <c r="K18" s="301">
        <v>0</v>
      </c>
      <c r="L18" s="301">
        <v>0</v>
      </c>
      <c r="M18" s="301">
        <v>0</v>
      </c>
      <c r="N18" s="301">
        <v>0</v>
      </c>
      <c r="O18" s="301">
        <v>1</v>
      </c>
      <c r="P18" s="301">
        <v>30</v>
      </c>
      <c r="Q18" s="56" t="s">
        <v>168</v>
      </c>
      <c r="R18" s="56" t="s">
        <v>169</v>
      </c>
    </row>
  </sheetData>
  <phoneticPr fontId="6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34" sqref="H34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186</v>
      </c>
      <c r="B1" s="69" t="s">
        <v>187</v>
      </c>
      <c r="C1" s="73" t="s">
        <v>188</v>
      </c>
      <c r="D1" s="73" t="s">
        <v>33</v>
      </c>
      <c r="E1" s="69" t="s">
        <v>189</v>
      </c>
      <c r="F1" s="73" t="s">
        <v>190</v>
      </c>
      <c r="G1" s="73" t="s">
        <v>33</v>
      </c>
      <c r="H1" s="69" t="s">
        <v>191</v>
      </c>
      <c r="I1" s="86" t="s">
        <v>193</v>
      </c>
      <c r="J1" s="75" t="s">
        <v>125</v>
      </c>
      <c r="K1" s="74" t="s">
        <v>185</v>
      </c>
      <c r="L1" s="87" t="s">
        <v>184</v>
      </c>
      <c r="M1" s="76" t="s">
        <v>194</v>
      </c>
    </row>
  </sheetData>
  <phoneticPr fontId="6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19"/>
  <sheetViews>
    <sheetView showGridLines="0" zoomScale="118" zoomScaleNormal="118" zoomScalePageLayoutView="118" workbookViewId="0">
      <pane ySplit="1" topLeftCell="A12" activePane="bottomLeft" state="frozen"/>
      <selection pane="bottomLeft" activeCell="I15" sqref="I15"/>
    </sheetView>
  </sheetViews>
  <sheetFormatPr baseColWidth="12" defaultColWidth="13" defaultRowHeight="19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5" max="15" width="37.83203125" customWidth="1"/>
    <col min="16" max="16" width="8.5" style="121" customWidth="1"/>
  </cols>
  <sheetData>
    <row r="1" spans="1:16" ht="15" x14ac:dyDescent="0.15">
      <c r="A1" s="72" t="s">
        <v>186</v>
      </c>
      <c r="B1" s="69" t="s">
        <v>149</v>
      </c>
      <c r="C1" s="73" t="s">
        <v>188</v>
      </c>
      <c r="D1" s="73" t="s">
        <v>33</v>
      </c>
      <c r="E1" s="69" t="s">
        <v>189</v>
      </c>
      <c r="F1" s="73" t="s">
        <v>18</v>
      </c>
      <c r="G1" s="73" t="s">
        <v>33</v>
      </c>
      <c r="H1" s="69" t="s">
        <v>191</v>
      </c>
      <c r="I1" s="84" t="s">
        <v>192</v>
      </c>
      <c r="J1" s="86" t="s">
        <v>193</v>
      </c>
      <c r="K1" s="75" t="s">
        <v>125</v>
      </c>
      <c r="L1" s="74" t="s">
        <v>185</v>
      </c>
      <c r="M1" s="87" t="s">
        <v>184</v>
      </c>
      <c r="N1" s="76" t="s">
        <v>194</v>
      </c>
      <c r="O1" s="118" t="s">
        <v>422</v>
      </c>
      <c r="P1" s="118" t="s">
        <v>438</v>
      </c>
    </row>
    <row r="2" spans="1:16" ht="70" customHeight="1" x14ac:dyDescent="0.15">
      <c r="A2" s="253" t="s">
        <v>195</v>
      </c>
      <c r="B2" s="77">
        <v>40045</v>
      </c>
      <c r="C2" s="78" t="str">
        <f ca="1">VLOOKUP($B2,OFFSET([2]quests!$A$1,0,0,COUNTA([2]quests!$A:$A),MATCH(C$1,[2]quests!$1:$1,0)-MATCH($B$1,[2]quests!$1:$1,0)+1),MATCH(C$1,[2]quests!$1:$1,0)-MATCH($B$1,[2]quests!$1:$1,0)+1,FALSE)</f>
        <v>服部半蔵襲来！</v>
      </c>
      <c r="D2" s="78" t="str">
        <f ca="1">VLOOKUP($B2,OFFSET([2]quests!$A$1,0,0,COUNTA([2]quests!$A:$A),MATCH(D$1,[2]quests!$1:$1,0)-MATCH($B$1,[2]quests!$1:$1,0)+1),MATCH(D$1,[2]quests!$1:$1,0)-MATCH($B$1,[2]quests!$1:$1,0)+1,FALSE)</f>
        <v>降臨45</v>
      </c>
      <c r="E2" s="79">
        <v>2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降臨45</v>
      </c>
      <c r="H2" s="80">
        <v>1</v>
      </c>
      <c r="I2" s="85">
        <f>ROW()-1</f>
        <v>1</v>
      </c>
      <c r="J2" s="81" t="str">
        <f>B2&amp;TEXT(I2,"00")</f>
        <v>4004501</v>
      </c>
      <c r="K2" s="79" t="s">
        <v>196</v>
      </c>
      <c r="L2" s="82" t="s">
        <v>251</v>
      </c>
      <c r="M2" s="120" t="s">
        <v>617</v>
      </c>
      <c r="N2" s="55" t="s">
        <v>197</v>
      </c>
      <c r="O2" s="119" t="str">
        <f>"１２３４５６７８９０１２３４５６７８９０"&amp;DBCS(M2)</f>
        <v>１２３４５６７８９０１２３４５６７８９０沢庵宗彭はウィルス状態のユニットに_x000D_大ダメージのスキルを使用します_x000D__x000D_ウィルスを解除か無効にできない場合は_x000D_沢庵宗彭から倒すと有利に戦えます</v>
      </c>
      <c r="P2" s="122">
        <f>LEN(M2)</f>
        <v>70</v>
      </c>
    </row>
    <row r="3" spans="1:16" ht="85" customHeight="1" x14ac:dyDescent="0.15">
      <c r="A3" s="253" t="s">
        <v>195</v>
      </c>
      <c r="B3" s="77">
        <v>40045</v>
      </c>
      <c r="C3" s="78" t="str">
        <f ca="1">VLOOKUP($B3,OFFSET([2]quests!$A$1,0,0,COUNTA([2]quests!$A:$A),MATCH(C$1,[2]quests!$1:$1,0)-MATCH($B$1,[2]quests!$1:$1,0)+1),MATCH(C$1,[2]quests!$1:$1,0)-MATCH($B$1,[2]quests!$1:$1,0)+1,FALSE)</f>
        <v>服部半蔵襲来！</v>
      </c>
      <c r="D3" s="78" t="str">
        <f ca="1">VLOOKUP($B3,OFFSET([2]quests!$A$1,0,0,COUNTA([2]quests!$A:$A),MATCH(D$1,[2]quests!$1:$1,0)-MATCH($B$1,[2]quests!$1:$1,0)+1),MATCH(D$1,[2]quests!$1:$1,0)-MATCH($B$1,[2]quests!$1:$1,0)+1,FALSE)</f>
        <v>降臨45</v>
      </c>
      <c r="E3" s="79">
        <v>2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降臨45</v>
      </c>
      <c r="H3" s="80">
        <v>2</v>
      </c>
      <c r="I3" s="85">
        <f t="shared" ref="I3:I19" si="0">ROW()-1</f>
        <v>2</v>
      </c>
      <c r="J3" s="81" t="str">
        <f t="shared" ref="J3:J5" si="1">B3&amp;TEXT(I3,"00")</f>
        <v>4004502</v>
      </c>
      <c r="K3" s="79" t="s">
        <v>196</v>
      </c>
      <c r="L3" s="82" t="s">
        <v>251</v>
      </c>
      <c r="M3" s="120" t="s">
        <v>619</v>
      </c>
      <c r="N3" s="55" t="s">
        <v>197</v>
      </c>
      <c r="O3" s="119" t="str">
        <f t="shared" ref="O3:O5" si="2">"１２３４５６７８９０１２３４５６７８９０"&amp;DBCS(M3)</f>
        <v>１２３４５６７８９０１２３４５６７８９０２フロア目の敵は１体倒すと_x000D_残っている敵の能力があがります_x000D_同時に倒すか防御力ＵＰスキルなどで_x000D_猛攻を耐えられるようにしましょう</v>
      </c>
      <c r="P3" s="122">
        <f t="shared" ref="P3:P10" si="3">LEN(M3)</f>
        <v>64</v>
      </c>
    </row>
    <row r="4" spans="1:16" ht="70" customHeight="1" x14ac:dyDescent="0.15">
      <c r="A4" s="253" t="s">
        <v>195</v>
      </c>
      <c r="B4" s="77">
        <v>40045</v>
      </c>
      <c r="C4" s="78" t="str">
        <f ca="1">VLOOKUP($B4,OFFSET([2]quests!$A$1,0,0,COUNTA([2]quests!$A:$A),MATCH(C$1,[2]quests!$1:$1,0)-MATCH($B$1,[2]quests!$1:$1,0)+1),MATCH(C$1,[2]quests!$1:$1,0)-MATCH($B$1,[2]quests!$1:$1,0)+1,FALSE)</f>
        <v>服部半蔵襲来！</v>
      </c>
      <c r="D4" s="78" t="str">
        <f ca="1">VLOOKUP($B4,OFFSET([2]quests!$A$1,0,0,COUNTA([2]quests!$A:$A),MATCH(D$1,[2]quests!$1:$1,0)-MATCH($B$1,[2]quests!$1:$1,0)+1),MATCH(D$1,[2]quests!$1:$1,0)-MATCH($B$1,[2]quests!$1:$1,0)+1,FALSE)</f>
        <v>降臨45</v>
      </c>
      <c r="E4" s="79">
        <v>2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降臨45</v>
      </c>
      <c r="H4" s="80">
        <v>3</v>
      </c>
      <c r="I4" s="85">
        <f t="shared" si="0"/>
        <v>3</v>
      </c>
      <c r="J4" s="81" t="str">
        <f t="shared" si="1"/>
        <v>4004503</v>
      </c>
      <c r="K4" s="79" t="s">
        <v>196</v>
      </c>
      <c r="L4" s="82" t="s">
        <v>251</v>
      </c>
      <c r="M4" s="120" t="s">
        <v>621</v>
      </c>
      <c r="N4" s="55" t="s">
        <v>197</v>
      </c>
      <c r="O4" s="119" t="str">
        <f t="shared" si="2"/>
        <v>１２３４５６７８９０１２３４５６７８９０影丸は数が多く複数が同時に行動します_x000D_スキルやフィーバーを使って_x000D_素早く数を減らすと戦いやすくなります</v>
      </c>
      <c r="P4" s="122">
        <f t="shared" si="3"/>
        <v>51</v>
      </c>
    </row>
    <row r="5" spans="1:16" ht="70" customHeight="1" x14ac:dyDescent="0.15">
      <c r="A5" s="253" t="s">
        <v>195</v>
      </c>
      <c r="B5" s="77">
        <v>40045</v>
      </c>
      <c r="C5" s="78" t="str">
        <f ca="1">VLOOKUP($B5,OFFSET([2]quests!$A$1,0,0,COUNTA([2]quests!$A:$A),MATCH(C$1,[2]quests!$1:$1,0)-MATCH($B$1,[2]quests!$1:$1,0)+1),MATCH(C$1,[2]quests!$1:$1,0)-MATCH($B$1,[2]quests!$1:$1,0)+1,FALSE)</f>
        <v>服部半蔵襲来！</v>
      </c>
      <c r="D5" s="78" t="str">
        <f ca="1">VLOOKUP($B5,OFFSET([2]quests!$A$1,0,0,COUNTA([2]quests!$A:$A),MATCH(D$1,[2]quests!$1:$1,0)-MATCH($B$1,[2]quests!$1:$1,0)+1),MATCH(D$1,[2]quests!$1:$1,0)-MATCH($B$1,[2]quests!$1:$1,0)+1,FALSE)</f>
        <v>降臨45</v>
      </c>
      <c r="E5" s="79">
        <v>2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降臨45</v>
      </c>
      <c r="H5" s="80">
        <v>4</v>
      </c>
      <c r="I5" s="85">
        <f t="shared" si="0"/>
        <v>4</v>
      </c>
      <c r="J5" s="81" t="str">
        <f t="shared" si="1"/>
        <v>4004504</v>
      </c>
      <c r="K5" s="79" t="s">
        <v>196</v>
      </c>
      <c r="L5" s="82" t="s">
        <v>251</v>
      </c>
      <c r="M5" s="120" t="s">
        <v>623</v>
      </c>
      <c r="N5" s="55" t="s">
        <v>197</v>
      </c>
      <c r="O5" s="119" t="str">
        <f t="shared" si="2"/>
        <v>１２３４５６７８９０１２３４５６７８９０１ゲージ目のパネル全変換スキルは_x000D_ダメージパネル吸収や変換スキルを使うか_x000D_回復力のあるユニットで突破しましょう</v>
      </c>
      <c r="P5" s="122">
        <f t="shared" si="3"/>
        <v>55</v>
      </c>
    </row>
    <row r="6" spans="1:16" ht="70" customHeight="1" x14ac:dyDescent="0.15">
      <c r="A6" s="253" t="s">
        <v>195</v>
      </c>
      <c r="B6" s="77">
        <v>40045</v>
      </c>
      <c r="C6" s="78" t="str">
        <f ca="1">VLOOKUP($B6,OFFSET([2]quests!$A$1,0,0,COUNTA([2]quests!$A:$A),MATCH(C$1,[2]quests!$1:$1,0)-MATCH($B$1,[2]quests!$1:$1,0)+1),MATCH(C$1,[2]quests!$1:$1,0)-MATCH($B$1,[2]quests!$1:$1,0)+1,FALSE)</f>
        <v>服部半蔵襲来！</v>
      </c>
      <c r="D6" s="78" t="str">
        <f ca="1">VLOOKUP($B6,OFFSET([2]quests!$A$1,0,0,COUNTA([2]quests!$A:$A),MATCH(D$1,[2]quests!$1:$1,0)-MATCH($B$1,[2]quests!$1:$1,0)+1),MATCH(D$1,[2]quests!$1:$1,0)-MATCH($B$1,[2]quests!$1:$1,0)+1,FALSE)</f>
        <v>降臨45</v>
      </c>
      <c r="E6" s="79">
        <v>2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降臨45</v>
      </c>
      <c r="H6" s="80">
        <v>4</v>
      </c>
      <c r="I6" s="85">
        <f t="shared" si="0"/>
        <v>5</v>
      </c>
      <c r="J6" s="81" t="str">
        <f t="shared" ref="J6:J7" si="4">B6&amp;TEXT(I6,"00")</f>
        <v>4004505</v>
      </c>
      <c r="K6" s="79" t="s">
        <v>196</v>
      </c>
      <c r="L6" s="82" t="s">
        <v>251</v>
      </c>
      <c r="M6" s="120" t="s">
        <v>625</v>
      </c>
      <c r="N6" s="55" t="s">
        <v>197</v>
      </c>
      <c r="O6" s="119" t="str">
        <f t="shared" ref="O6:O7" si="5">"１２３４５６７８９０１２３４５６７８９０"&amp;DBCS(M6)</f>
        <v>１２３４５６７８９０１２３４５６７８９０服部半蔵は体力タイプのユニットに対し_x000D_強力なスキルバインドを使用します_x000D_パーティ編成に注意しましょう</v>
      </c>
      <c r="P6" s="122">
        <f t="shared" si="3"/>
        <v>50</v>
      </c>
    </row>
    <row r="7" spans="1:16" ht="70" customHeight="1" x14ac:dyDescent="0.15">
      <c r="A7" s="253" t="s">
        <v>195</v>
      </c>
      <c r="B7" s="77">
        <v>40045</v>
      </c>
      <c r="C7" s="78" t="str">
        <f ca="1">VLOOKUP($B7,OFFSET([2]quests!$A$1,0,0,COUNTA([2]quests!$A:$A),MATCH(C$1,[2]quests!$1:$1,0)-MATCH($B$1,[2]quests!$1:$1,0)+1),MATCH(C$1,[2]quests!$1:$1,0)-MATCH($B$1,[2]quests!$1:$1,0)+1,FALSE)</f>
        <v>服部半蔵襲来！</v>
      </c>
      <c r="D7" s="78" t="str">
        <f ca="1">VLOOKUP($B7,OFFSET([2]quests!$A$1,0,0,COUNTA([2]quests!$A:$A),MATCH(D$1,[2]quests!$1:$1,0)-MATCH($B$1,[2]quests!$1:$1,0)+1),MATCH(D$1,[2]quests!$1:$1,0)-MATCH($B$1,[2]quests!$1:$1,0)+1,FALSE)</f>
        <v>降臨45</v>
      </c>
      <c r="E7" s="79">
        <v>2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降臨45</v>
      </c>
      <c r="H7" s="80">
        <v>4</v>
      </c>
      <c r="I7" s="85">
        <f t="shared" si="0"/>
        <v>6</v>
      </c>
      <c r="J7" s="81" t="str">
        <f t="shared" si="4"/>
        <v>4004506</v>
      </c>
      <c r="K7" s="79" t="s">
        <v>196</v>
      </c>
      <c r="L7" s="82" t="s">
        <v>251</v>
      </c>
      <c r="M7" s="120" t="s">
        <v>631</v>
      </c>
      <c r="N7" s="55" t="s">
        <v>197</v>
      </c>
      <c r="O7" s="119" t="str">
        <f t="shared" si="5"/>
        <v>１２３４５６７８９０１２３４５６７８９０服部半蔵の３ゲージ目は_x000D_一定以下のＨＰになると_x000D_数ターン後超強力な全体攻撃を使用します_x000D_予告の後は一気に倒し切りましょう</v>
      </c>
      <c r="P7" s="122">
        <f t="shared" si="3"/>
        <v>60</v>
      </c>
    </row>
    <row r="8" spans="1:16" ht="70" customHeight="1" x14ac:dyDescent="0.15">
      <c r="A8" s="251" t="s">
        <v>423</v>
      </c>
      <c r="B8" s="77">
        <v>40045</v>
      </c>
      <c r="C8" s="78" t="str">
        <f ca="1">VLOOKUP($B8,OFFSET([2]quests!$A$1,0,0,COUNTA([2]quests!$A:$A),MATCH(C$1,[2]quests!$1:$1,0)-MATCH($B$1,[2]quests!$1:$1,0)+1),MATCH(C$1,[2]quests!$1:$1,0)-MATCH($B$1,[2]quests!$1:$1,0)+1,FALSE)</f>
        <v>服部半蔵襲来！</v>
      </c>
      <c r="D8" s="78" t="str">
        <f ca="1">VLOOKUP($B8,OFFSET([2]quests!$A$1,0,0,COUNTA([2]quests!$A:$A),MATCH(D$1,[2]quests!$1:$1,0)-MATCH($B$1,[2]quests!$1:$1,0)+1),MATCH(D$1,[2]quests!$1:$1,0)-MATCH($B$1,[2]quests!$1:$1,0)+1,FALSE)</f>
        <v>降臨45</v>
      </c>
      <c r="E8" s="79">
        <v>2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降臨45</v>
      </c>
      <c r="H8" s="80">
        <v>0</v>
      </c>
      <c r="I8" s="85">
        <f t="shared" si="0"/>
        <v>7</v>
      </c>
      <c r="J8" s="81" t="str">
        <f t="shared" ref="J8" si="6">B8&amp;TEXT(I8,"00")</f>
        <v>4004507</v>
      </c>
      <c r="K8" s="79" t="s">
        <v>196</v>
      </c>
      <c r="L8" s="82" t="s">
        <v>439</v>
      </c>
      <c r="M8" s="120" t="s">
        <v>610</v>
      </c>
      <c r="N8" s="55" t="s">
        <v>197</v>
      </c>
      <c r="O8" s="119" t="str">
        <f t="shared" ref="O8" si="7">"１２３４５６７８９０１２３４５６７８９０"&amp;DBCS(M8)</f>
        <v>１２３４５６７８９０１２３４５６７８９０服部半蔵は忍びたちのトップとして_x000D_密命によって暗躍していました_x000D_戦闘となれば多彩な術で敵を圧倒します</v>
      </c>
      <c r="P8" s="122">
        <f t="shared" si="3"/>
        <v>50</v>
      </c>
    </row>
    <row r="9" spans="1:16" ht="70" x14ac:dyDescent="0.15">
      <c r="A9" s="251" t="s">
        <v>423</v>
      </c>
      <c r="B9" s="77">
        <v>40045</v>
      </c>
      <c r="C9" s="78" t="str">
        <f ca="1">VLOOKUP($B9,OFFSET([2]quests!$A$1,0,0,COUNTA([2]quests!$A:$A),MATCH(C$1,[2]quests!$1:$1,0)-MATCH($B$1,[2]quests!$1:$1,0)+1),MATCH(C$1,[2]quests!$1:$1,0)-MATCH($B$1,[2]quests!$1:$1,0)+1,FALSE)</f>
        <v>服部半蔵襲来！</v>
      </c>
      <c r="D9" s="78" t="str">
        <f ca="1">VLOOKUP($B9,OFFSET([2]quests!$A$1,0,0,COUNTA([2]quests!$A:$A),MATCH(D$1,[2]quests!$1:$1,0)-MATCH($B$1,[2]quests!$1:$1,0)+1),MATCH(D$1,[2]quests!$1:$1,0)-MATCH($B$1,[2]quests!$1:$1,0)+1,FALSE)</f>
        <v>降臨45</v>
      </c>
      <c r="E9" s="79">
        <v>2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降臨45</v>
      </c>
      <c r="H9" s="80">
        <v>0</v>
      </c>
      <c r="I9" s="85">
        <f t="shared" si="0"/>
        <v>8</v>
      </c>
      <c r="J9" s="81" t="str">
        <f t="shared" ref="J9:J10" si="8">B9&amp;TEXT(I9,"00")</f>
        <v>4004508</v>
      </c>
      <c r="K9" s="79" t="s">
        <v>196</v>
      </c>
      <c r="L9" s="82" t="s">
        <v>611</v>
      </c>
      <c r="M9" s="120" t="s">
        <v>612</v>
      </c>
      <c r="N9" s="55" t="s">
        <v>197</v>
      </c>
      <c r="O9" s="119" t="str">
        <f t="shared" ref="O9:O10" si="9">"１２３４５６７８９０１２３４５６７８９０"&amp;DBCS(M9)</f>
        <v>１２３４５６７８９０１２３４５６７８９０服部半蔵は密命によって_x000D_秀吉や武田勢力の動向を探っており_x000D_秀吉がＡＩの力を欲している事を_x000D_突き止めました</v>
      </c>
      <c r="P9" s="122">
        <f t="shared" si="3"/>
        <v>52</v>
      </c>
    </row>
    <row r="10" spans="1:16" ht="63" customHeight="1" thickBot="1" x14ac:dyDescent="0.2">
      <c r="A10" s="252" t="s">
        <v>423</v>
      </c>
      <c r="B10" s="240">
        <v>40045</v>
      </c>
      <c r="C10" s="241" t="str">
        <f ca="1">VLOOKUP($B10,OFFSET([2]quests!$A$1,0,0,COUNTA([2]quests!$A:$A),MATCH(C$1,[2]quests!$1:$1,0)-MATCH($B$1,[2]quests!$1:$1,0)+1),MATCH(C$1,[2]quests!$1:$1,0)-MATCH($B$1,[2]quests!$1:$1,0)+1,FALSE)</f>
        <v>服部半蔵襲来！</v>
      </c>
      <c r="D10" s="241" t="str">
        <f ca="1">VLOOKUP($B10,OFFSET([2]quests!$A$1,0,0,COUNTA([2]quests!$A:$A),MATCH(D$1,[2]quests!$1:$1,0)-MATCH($B$1,[2]quests!$1:$1,0)+1),MATCH(D$1,[2]quests!$1:$1,0)-MATCH($B$1,[2]quests!$1:$1,0)+1,FALSE)</f>
        <v>降臨45</v>
      </c>
      <c r="E10" s="242">
        <v>2</v>
      </c>
      <c r="F10" s="24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10" s="241" t="str">
        <f ca="1">VLOOKUP($B10&amp;"_"&amp;$E10,OFFSET([2]stages!$A$1,0,0,COUNTA([2]stages!$A:$A),MATCH(G$1,[2]stages!$2:$2,0)-MATCH("temp_stage",[2]stages!$2:$2,0)+1),MATCH(G$1,[2]stages!$2:$2,0)-MATCH("temp_stage",[2]stages!$2:$2,0)+1,FALSE)</f>
        <v>降臨45</v>
      </c>
      <c r="H10" s="243">
        <v>0</v>
      </c>
      <c r="I10" s="244">
        <f t="shared" si="0"/>
        <v>9</v>
      </c>
      <c r="J10" s="245" t="str">
        <f t="shared" si="8"/>
        <v>4004509</v>
      </c>
      <c r="K10" s="242" t="s">
        <v>196</v>
      </c>
      <c r="L10" s="246" t="s">
        <v>440</v>
      </c>
      <c r="M10" s="247" t="s">
        <v>615</v>
      </c>
      <c r="N10" s="248" t="s">
        <v>197</v>
      </c>
      <c r="O10" s="249" t="str">
        <f t="shared" si="9"/>
        <v>１２３４５６７８９０１２３４５６７８９０ＡＬＩＣＥには他にも忍者が存在します_x000D_その中でも同世代の猿飛佐助は_x000D_服部半蔵をライバル視し_x000D_会うたびに勝負を挑んでいます</v>
      </c>
      <c r="P10" s="250">
        <f t="shared" si="3"/>
        <v>60</v>
      </c>
    </row>
    <row r="11" spans="1:16" ht="70" customHeight="1" x14ac:dyDescent="0.15">
      <c r="A11" s="253" t="s">
        <v>195</v>
      </c>
      <c r="B11" s="233">
        <v>40045</v>
      </c>
      <c r="C11" s="78" t="str">
        <f ca="1">VLOOKUP($B11,OFFSET([2]quests!$A$1,0,0,COUNTA([2]quests!$A:$A),MATCH(C$1,[2]quests!$1:$1,0)-MATCH($B$1,[2]quests!$1:$1,0)+1),MATCH(C$1,[2]quests!$1:$1,0)-MATCH($B$1,[2]quests!$1:$1,0)+1,FALSE)</f>
        <v>服部半蔵襲来！</v>
      </c>
      <c r="D11" s="78" t="str">
        <f ca="1">VLOOKUP($B11,OFFSET([2]quests!$A$1,0,0,COUNTA([2]quests!$A:$A),MATCH(D$1,[2]quests!$1:$1,0)-MATCH($B$1,[2]quests!$1:$1,0)+1),MATCH(D$1,[2]quests!$1:$1,0)-MATCH($B$1,[2]quests!$1:$1,0)+1,FALSE)</f>
        <v>降臨45</v>
      </c>
      <c r="E11" s="234">
        <v>1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【超絶級】服部半蔵襲来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降臨45</v>
      </c>
      <c r="H11" s="80">
        <v>1</v>
      </c>
      <c r="I11" s="235">
        <f>ROW()-1</f>
        <v>10</v>
      </c>
      <c r="J11" s="236" t="str">
        <f>B11&amp;TEXT(I11,"00")</f>
        <v>4004510</v>
      </c>
      <c r="K11" s="234" t="s">
        <v>126</v>
      </c>
      <c r="L11" s="237" t="s">
        <v>251</v>
      </c>
      <c r="M11" s="120" t="s">
        <v>616</v>
      </c>
      <c r="N11" s="238" t="s">
        <v>197</v>
      </c>
      <c r="O11" s="119" t="str">
        <f>"１２３４５６７８９０１２３４５６７８９０"&amp;DBCS(M11)</f>
        <v>１２３４５６７８９０１２３４５６７８９０沢庵宗彭はウィルス状態のユニットに_x000D_大ダメージのスキルを使用します_x000D__x000D_ウィルスを解除か無効にできない場合は_x000D_沢庵宗彭から倒すと有利に戦えます</v>
      </c>
      <c r="P11" s="239">
        <f>LEN(M11)</f>
        <v>70</v>
      </c>
    </row>
    <row r="12" spans="1:16" ht="85" customHeight="1" x14ac:dyDescent="0.15">
      <c r="A12" s="253" t="s">
        <v>195</v>
      </c>
      <c r="B12" s="77">
        <v>40045</v>
      </c>
      <c r="C12" s="78" t="str">
        <f ca="1">VLOOKUP($B12,OFFSET([2]quests!$A$1,0,0,COUNTA([2]quests!$A:$A),MATCH(C$1,[2]quests!$1:$1,0)-MATCH($B$1,[2]quests!$1:$1,0)+1),MATCH(C$1,[2]quests!$1:$1,0)-MATCH($B$1,[2]quests!$1:$1,0)+1,FALSE)</f>
        <v>服部半蔵襲来！</v>
      </c>
      <c r="D12" s="78" t="str">
        <f ca="1">VLOOKUP($B12,OFFSET([2]quests!$A$1,0,0,COUNTA([2]quests!$A:$A),MATCH(D$1,[2]quests!$1:$1,0)-MATCH($B$1,[2]quests!$1:$1,0)+1),MATCH(D$1,[2]quests!$1:$1,0)-MATCH($B$1,[2]quests!$1:$1,0)+1,FALSE)</f>
        <v>降臨45</v>
      </c>
      <c r="E12" s="79">
        <v>1</v>
      </c>
      <c r="F12" s="78" t="str">
        <f ca="1">VLOOKUP($B12&amp;"_"&amp;$E12,OFFSET([2]stages!$A$1,0,0,COUNTA([2]stages!$A:$A),MATCH(F$1,[2]stages!$2:$2,0)-MATCH("temp_stage",[2]stages!$2:$2,0)+1),MATCH(F$1,[2]stages!$2:$2,0)-MATCH("temp_stage",[2]stages!$2:$2,0)+1,FALSE)</f>
        <v>【超絶級】服部半蔵襲来</v>
      </c>
      <c r="G12" s="78" t="str">
        <f ca="1">VLOOKUP($B12&amp;"_"&amp;$E12,OFFSET([2]stages!$A$1,0,0,COUNTA([2]stages!$A:$A),MATCH(G$1,[2]stages!$2:$2,0)-MATCH("temp_stage",[2]stages!$2:$2,0)+1),MATCH(G$1,[2]stages!$2:$2,0)-MATCH("temp_stage",[2]stages!$2:$2,0)+1,FALSE)</f>
        <v>降臨45</v>
      </c>
      <c r="H12" s="80">
        <v>2</v>
      </c>
      <c r="I12" s="85">
        <f t="shared" si="0"/>
        <v>11</v>
      </c>
      <c r="J12" s="81" t="str">
        <f t="shared" ref="J12:J19" si="10">B12&amp;TEXT(I12,"00")</f>
        <v>4004511</v>
      </c>
      <c r="K12" s="79" t="s">
        <v>126</v>
      </c>
      <c r="L12" s="82" t="s">
        <v>251</v>
      </c>
      <c r="M12" s="120" t="s">
        <v>618</v>
      </c>
      <c r="N12" s="55" t="s">
        <v>197</v>
      </c>
      <c r="O12" s="119" t="str">
        <f t="shared" ref="O12:O19" si="11">"１２３４５６７８９０１２３４５６７８９０"&amp;DBCS(M12)</f>
        <v>１２３４５６７８９０１２３４５６７８９０２フロア目の敵は１体倒すと_x000D_残っている敵の能力があがります_x000D_同時に倒すか防御力ＵＰスキルなどで_x000D_猛攻を耐えられるようにしましょう</v>
      </c>
      <c r="P12" s="122">
        <f t="shared" ref="P12:P19" si="12">LEN(M12)</f>
        <v>64</v>
      </c>
    </row>
    <row r="13" spans="1:16" ht="70" customHeight="1" x14ac:dyDescent="0.15">
      <c r="A13" s="253" t="s">
        <v>195</v>
      </c>
      <c r="B13" s="77">
        <v>40045</v>
      </c>
      <c r="C13" s="78" t="str">
        <f ca="1">VLOOKUP($B13,OFFSET([2]quests!$A$1,0,0,COUNTA([2]quests!$A:$A),MATCH(C$1,[2]quests!$1:$1,0)-MATCH($B$1,[2]quests!$1:$1,0)+1),MATCH(C$1,[2]quests!$1:$1,0)-MATCH($B$1,[2]quests!$1:$1,0)+1,FALSE)</f>
        <v>服部半蔵襲来！</v>
      </c>
      <c r="D13" s="78" t="str">
        <f ca="1">VLOOKUP($B13,OFFSET([2]quests!$A$1,0,0,COUNTA([2]quests!$A:$A),MATCH(D$1,[2]quests!$1:$1,0)-MATCH($B$1,[2]quests!$1:$1,0)+1),MATCH(D$1,[2]quests!$1:$1,0)-MATCH($B$1,[2]quests!$1:$1,0)+1,FALSE)</f>
        <v>降臨45</v>
      </c>
      <c r="E13" s="79">
        <v>1</v>
      </c>
      <c r="F13" s="78" t="str">
        <f ca="1">VLOOKUP($B13&amp;"_"&amp;$E13,OFFSET([2]stages!$A$1,0,0,COUNTA([2]stages!$A:$A),MATCH(F$1,[2]stages!$2:$2,0)-MATCH("temp_stage",[2]stages!$2:$2,0)+1),MATCH(F$1,[2]stages!$2:$2,0)-MATCH("temp_stage",[2]stages!$2:$2,0)+1,FALSE)</f>
        <v>【超絶級】服部半蔵襲来</v>
      </c>
      <c r="G13" s="78" t="str">
        <f ca="1">VLOOKUP($B13&amp;"_"&amp;$E13,OFFSET([2]stages!$A$1,0,0,COUNTA([2]stages!$A:$A),MATCH(G$1,[2]stages!$2:$2,0)-MATCH("temp_stage",[2]stages!$2:$2,0)+1),MATCH(G$1,[2]stages!$2:$2,0)-MATCH("temp_stage",[2]stages!$2:$2,0)+1,FALSE)</f>
        <v>降臨45</v>
      </c>
      <c r="H13" s="80">
        <v>3</v>
      </c>
      <c r="I13" s="85">
        <f t="shared" si="0"/>
        <v>12</v>
      </c>
      <c r="J13" s="81" t="str">
        <f t="shared" si="10"/>
        <v>4004512</v>
      </c>
      <c r="K13" s="79" t="s">
        <v>126</v>
      </c>
      <c r="L13" s="82" t="s">
        <v>251</v>
      </c>
      <c r="M13" s="120" t="s">
        <v>620</v>
      </c>
      <c r="N13" s="55" t="s">
        <v>197</v>
      </c>
      <c r="O13" s="119" t="str">
        <f t="shared" si="11"/>
        <v>１２３４５６７８９０１２３４５６７８９０影丸は数が多く複数が同時に行動します_x000D_スキルやフィーバーを使って_x000D_素早く数を減らすと戦いやすくなります</v>
      </c>
      <c r="P13" s="122">
        <f t="shared" si="12"/>
        <v>51</v>
      </c>
    </row>
    <row r="14" spans="1:16" ht="70" customHeight="1" x14ac:dyDescent="0.15">
      <c r="A14" s="253" t="s">
        <v>195</v>
      </c>
      <c r="B14" s="77">
        <v>40045</v>
      </c>
      <c r="C14" s="78" t="str">
        <f ca="1">VLOOKUP($B14,OFFSET([2]quests!$A$1,0,0,COUNTA([2]quests!$A:$A),MATCH(C$1,[2]quests!$1:$1,0)-MATCH($B$1,[2]quests!$1:$1,0)+1),MATCH(C$1,[2]quests!$1:$1,0)-MATCH($B$1,[2]quests!$1:$1,0)+1,FALSE)</f>
        <v>服部半蔵襲来！</v>
      </c>
      <c r="D14" s="78" t="str">
        <f ca="1">VLOOKUP($B14,OFFSET([2]quests!$A$1,0,0,COUNTA([2]quests!$A:$A),MATCH(D$1,[2]quests!$1:$1,0)-MATCH($B$1,[2]quests!$1:$1,0)+1),MATCH(D$1,[2]quests!$1:$1,0)-MATCH($B$1,[2]quests!$1:$1,0)+1,FALSE)</f>
        <v>降臨45</v>
      </c>
      <c r="E14" s="79">
        <v>1</v>
      </c>
      <c r="F14" s="78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【超絶級】服部半蔵襲来</v>
      </c>
      <c r="G14" s="78" t="str">
        <f ca="1">VLOOKUP($B14&amp;"_"&amp;$E14,OFFSET([2]stages!$A$1,0,0,COUNTA([2]stages!$A:$A),MATCH(G$1,[2]stages!$2:$2,0)-MATCH("temp_stage",[2]stages!$2:$2,0)+1),MATCH(G$1,[2]stages!$2:$2,0)-MATCH("temp_stage",[2]stages!$2:$2,0)+1,FALSE)</f>
        <v>降臨45</v>
      </c>
      <c r="H14" s="80">
        <v>4</v>
      </c>
      <c r="I14" s="85">
        <f t="shared" si="0"/>
        <v>13</v>
      </c>
      <c r="J14" s="81" t="str">
        <f t="shared" si="10"/>
        <v>4004513</v>
      </c>
      <c r="K14" s="79" t="s">
        <v>126</v>
      </c>
      <c r="L14" s="82" t="s">
        <v>251</v>
      </c>
      <c r="M14" s="120" t="s">
        <v>622</v>
      </c>
      <c r="N14" s="55" t="s">
        <v>197</v>
      </c>
      <c r="O14" s="119" t="str">
        <f t="shared" si="11"/>
        <v>１２３４５６７８９０１２３４５６７８９０１ゲージ目のパネル全変換スキルは_x000D_ダメージパネル吸収や変換スキルを使うか_x000D_回復力のあるユニットで突破しましょう</v>
      </c>
      <c r="P14" s="122">
        <f t="shared" si="12"/>
        <v>55</v>
      </c>
    </row>
    <row r="15" spans="1:16" ht="70" customHeight="1" x14ac:dyDescent="0.15">
      <c r="A15" s="253" t="s">
        <v>195</v>
      </c>
      <c r="B15" s="77">
        <v>40045</v>
      </c>
      <c r="C15" s="78" t="str">
        <f ca="1">VLOOKUP($B15,OFFSET([2]quests!$A$1,0,0,COUNTA([2]quests!$A:$A),MATCH(C$1,[2]quests!$1:$1,0)-MATCH($B$1,[2]quests!$1:$1,0)+1),MATCH(C$1,[2]quests!$1:$1,0)-MATCH($B$1,[2]quests!$1:$1,0)+1,FALSE)</f>
        <v>服部半蔵襲来！</v>
      </c>
      <c r="D15" s="78" t="str">
        <f ca="1">VLOOKUP($B15,OFFSET([2]quests!$A$1,0,0,COUNTA([2]quests!$A:$A),MATCH(D$1,[2]quests!$1:$1,0)-MATCH($B$1,[2]quests!$1:$1,0)+1),MATCH(D$1,[2]quests!$1:$1,0)-MATCH($B$1,[2]quests!$1:$1,0)+1,FALSE)</f>
        <v>降臨45</v>
      </c>
      <c r="E15" s="79">
        <v>1</v>
      </c>
      <c r="F15" s="78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【超絶級】服部半蔵襲来</v>
      </c>
      <c r="G15" s="78" t="str">
        <f ca="1">VLOOKUP($B15&amp;"_"&amp;$E15,OFFSET([2]stages!$A$1,0,0,COUNTA([2]stages!$A:$A),MATCH(G$1,[2]stages!$2:$2,0)-MATCH("temp_stage",[2]stages!$2:$2,0)+1),MATCH(G$1,[2]stages!$2:$2,0)-MATCH("temp_stage",[2]stages!$2:$2,0)+1,FALSE)</f>
        <v>降臨45</v>
      </c>
      <c r="H15" s="80">
        <v>4</v>
      </c>
      <c r="I15" s="85">
        <f t="shared" si="0"/>
        <v>14</v>
      </c>
      <c r="J15" s="81" t="str">
        <f t="shared" si="10"/>
        <v>4004514</v>
      </c>
      <c r="K15" s="79" t="s">
        <v>126</v>
      </c>
      <c r="L15" s="82" t="s">
        <v>251</v>
      </c>
      <c r="M15" s="120" t="s">
        <v>624</v>
      </c>
      <c r="N15" s="55" t="s">
        <v>197</v>
      </c>
      <c r="O15" s="119" t="str">
        <f t="shared" si="11"/>
        <v>１２３４５６７８９０１２３４５６７８９０服部半蔵は体力タイプのユニットに対し_x000D_強力なスキルバインドを使用します_x000D_パーティ編成に注意しましょう</v>
      </c>
      <c r="P15" s="122">
        <f t="shared" si="12"/>
        <v>50</v>
      </c>
    </row>
    <row r="16" spans="1:16" ht="70" customHeight="1" x14ac:dyDescent="0.15">
      <c r="A16" s="253" t="s">
        <v>195</v>
      </c>
      <c r="B16" s="77">
        <v>40045</v>
      </c>
      <c r="C16" s="78" t="str">
        <f ca="1">VLOOKUP($B16,OFFSET([2]quests!$A$1,0,0,COUNTA([2]quests!$A:$A),MATCH(C$1,[2]quests!$1:$1,0)-MATCH($B$1,[2]quests!$1:$1,0)+1),MATCH(C$1,[2]quests!$1:$1,0)-MATCH($B$1,[2]quests!$1:$1,0)+1,FALSE)</f>
        <v>服部半蔵襲来！</v>
      </c>
      <c r="D16" s="78" t="str">
        <f ca="1">VLOOKUP($B16,OFFSET([2]quests!$A$1,0,0,COUNTA([2]quests!$A:$A),MATCH(D$1,[2]quests!$1:$1,0)-MATCH($B$1,[2]quests!$1:$1,0)+1),MATCH(D$1,[2]quests!$1:$1,0)-MATCH($B$1,[2]quests!$1:$1,0)+1,FALSE)</f>
        <v>降臨45</v>
      </c>
      <c r="E16" s="79">
        <v>1</v>
      </c>
      <c r="F16" s="78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【超絶級】服部半蔵襲来</v>
      </c>
      <c r="G16" s="78" t="str">
        <f ca="1">VLOOKUP($B16&amp;"_"&amp;$E16,OFFSET([2]stages!$A$1,0,0,COUNTA([2]stages!$A:$A),MATCH(G$1,[2]stages!$2:$2,0)-MATCH("temp_stage",[2]stages!$2:$2,0)+1),MATCH(G$1,[2]stages!$2:$2,0)-MATCH("temp_stage",[2]stages!$2:$2,0)+1,FALSE)</f>
        <v>降臨45</v>
      </c>
      <c r="H16" s="80">
        <v>4</v>
      </c>
      <c r="I16" s="85">
        <f t="shared" si="0"/>
        <v>15</v>
      </c>
      <c r="J16" s="81" t="str">
        <f t="shared" si="10"/>
        <v>4004515</v>
      </c>
      <c r="K16" s="79" t="s">
        <v>126</v>
      </c>
      <c r="L16" s="82" t="s">
        <v>251</v>
      </c>
      <c r="M16" s="120" t="s">
        <v>631</v>
      </c>
      <c r="N16" s="55" t="s">
        <v>197</v>
      </c>
      <c r="O16" s="119" t="str">
        <f t="shared" si="11"/>
        <v>１２３４５６７８９０１２３４５６７８９０服部半蔵の３ゲージ目は_x000D_一定以下のＨＰになると_x000D_数ターン後超強力な全体攻撃を使用します_x000D_予告の後は一気に倒し切りましょう</v>
      </c>
      <c r="P16" s="122">
        <f t="shared" si="12"/>
        <v>60</v>
      </c>
    </row>
    <row r="17" spans="1:16" ht="70" customHeight="1" x14ac:dyDescent="0.15">
      <c r="A17" s="251" t="s">
        <v>423</v>
      </c>
      <c r="B17" s="77">
        <v>40045</v>
      </c>
      <c r="C17" s="78" t="str">
        <f ca="1">VLOOKUP($B17,OFFSET([2]quests!$A$1,0,0,COUNTA([2]quests!$A:$A),MATCH(C$1,[2]quests!$1:$1,0)-MATCH($B$1,[2]quests!$1:$1,0)+1),MATCH(C$1,[2]quests!$1:$1,0)-MATCH($B$1,[2]quests!$1:$1,0)+1,FALSE)</f>
        <v>服部半蔵襲来！</v>
      </c>
      <c r="D17" s="78" t="str">
        <f ca="1">VLOOKUP($B17,OFFSET([2]quests!$A$1,0,0,COUNTA([2]quests!$A:$A),MATCH(D$1,[2]quests!$1:$1,0)-MATCH($B$1,[2]quests!$1:$1,0)+1),MATCH(D$1,[2]quests!$1:$1,0)-MATCH($B$1,[2]quests!$1:$1,0)+1,FALSE)</f>
        <v>降臨45</v>
      </c>
      <c r="E17" s="79">
        <v>1</v>
      </c>
      <c r="F17" s="78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【超絶級】服部半蔵襲来</v>
      </c>
      <c r="G17" s="78" t="str">
        <f ca="1">VLOOKUP($B17&amp;"_"&amp;$E17,OFFSET([2]stages!$A$1,0,0,COUNTA([2]stages!$A:$A),MATCH(G$1,[2]stages!$2:$2,0)-MATCH("temp_stage",[2]stages!$2:$2,0)+1),MATCH(G$1,[2]stages!$2:$2,0)-MATCH("temp_stage",[2]stages!$2:$2,0)+1,FALSE)</f>
        <v>降臨45</v>
      </c>
      <c r="H17" s="80">
        <v>0</v>
      </c>
      <c r="I17" s="85">
        <f t="shared" si="0"/>
        <v>16</v>
      </c>
      <c r="J17" s="81" t="str">
        <f t="shared" si="10"/>
        <v>4004516</v>
      </c>
      <c r="K17" s="79" t="s">
        <v>126</v>
      </c>
      <c r="L17" s="82" t="s">
        <v>439</v>
      </c>
      <c r="M17" s="120" t="s">
        <v>626</v>
      </c>
      <c r="N17" s="55" t="s">
        <v>197</v>
      </c>
      <c r="O17" s="119" t="str">
        <f t="shared" si="11"/>
        <v>１２３４５６７８９０１２３４５６７８９０服部半蔵は忍びたちのトップとして_x000D_密命によって暗躍していました_x000D_戦闘となれば多彩な術で敵を圧倒します</v>
      </c>
      <c r="P17" s="122">
        <f t="shared" si="12"/>
        <v>50</v>
      </c>
    </row>
    <row r="18" spans="1:16" ht="70" x14ac:dyDescent="0.15">
      <c r="A18" s="251" t="s">
        <v>423</v>
      </c>
      <c r="B18" s="77">
        <v>40045</v>
      </c>
      <c r="C18" s="78" t="str">
        <f ca="1">VLOOKUP($B18,OFFSET([2]quests!$A$1,0,0,COUNTA([2]quests!$A:$A),MATCH(C$1,[2]quests!$1:$1,0)-MATCH($B$1,[2]quests!$1:$1,0)+1),MATCH(C$1,[2]quests!$1:$1,0)-MATCH($B$1,[2]quests!$1:$1,0)+1,FALSE)</f>
        <v>服部半蔵襲来！</v>
      </c>
      <c r="D18" s="78" t="str">
        <f ca="1">VLOOKUP($B18,OFFSET([2]quests!$A$1,0,0,COUNTA([2]quests!$A:$A),MATCH(D$1,[2]quests!$1:$1,0)-MATCH($B$1,[2]quests!$1:$1,0)+1),MATCH(D$1,[2]quests!$1:$1,0)-MATCH($B$1,[2]quests!$1:$1,0)+1,FALSE)</f>
        <v>降臨45</v>
      </c>
      <c r="E18" s="79">
        <v>1</v>
      </c>
      <c r="F18" s="78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【超絶級】服部半蔵襲来</v>
      </c>
      <c r="G18" s="78" t="str">
        <f ca="1">VLOOKUP($B18&amp;"_"&amp;$E18,OFFSET([2]stages!$A$1,0,0,COUNTA([2]stages!$A:$A),MATCH(G$1,[2]stages!$2:$2,0)-MATCH("temp_stage",[2]stages!$2:$2,0)+1),MATCH(G$1,[2]stages!$2:$2,0)-MATCH("temp_stage",[2]stages!$2:$2,0)+1,FALSE)</f>
        <v>降臨45</v>
      </c>
      <c r="H18" s="80">
        <v>0</v>
      </c>
      <c r="I18" s="85">
        <f t="shared" si="0"/>
        <v>17</v>
      </c>
      <c r="J18" s="81" t="str">
        <f t="shared" si="10"/>
        <v>4004517</v>
      </c>
      <c r="K18" s="79" t="s">
        <v>126</v>
      </c>
      <c r="L18" s="82" t="s">
        <v>611</v>
      </c>
      <c r="M18" s="120" t="s">
        <v>613</v>
      </c>
      <c r="N18" s="55" t="s">
        <v>197</v>
      </c>
      <c r="O18" s="119" t="str">
        <f t="shared" si="11"/>
        <v>１２３４５６７８９０１２３４５６７８９０服部半蔵は密命によって_x000D_秀吉や武田勢力の動向を探っており_x000D_秀吉がＡＩの力を欲している事を_x000D_突き止めました</v>
      </c>
      <c r="P18" s="122">
        <f t="shared" si="12"/>
        <v>52</v>
      </c>
    </row>
    <row r="19" spans="1:16" ht="63" customHeight="1" thickBot="1" x14ac:dyDescent="0.2">
      <c r="A19" s="252" t="s">
        <v>423</v>
      </c>
      <c r="B19" s="77">
        <v>40045</v>
      </c>
      <c r="C19" s="78" t="str">
        <f ca="1">VLOOKUP($B19,OFFSET([2]quests!$A$1,0,0,COUNTA([2]quests!$A:$A),MATCH(C$1,[2]quests!$1:$1,0)-MATCH($B$1,[2]quests!$1:$1,0)+1),MATCH(C$1,[2]quests!$1:$1,0)-MATCH($B$1,[2]quests!$1:$1,0)+1,FALSE)</f>
        <v>服部半蔵襲来！</v>
      </c>
      <c r="D19" s="78" t="str">
        <f ca="1">VLOOKUP($B19,OFFSET([2]quests!$A$1,0,0,COUNTA([2]quests!$A:$A),MATCH(D$1,[2]quests!$1:$1,0)-MATCH($B$1,[2]quests!$1:$1,0)+1),MATCH(D$1,[2]quests!$1:$1,0)-MATCH($B$1,[2]quests!$1:$1,0)+1,FALSE)</f>
        <v>降臨45</v>
      </c>
      <c r="E19" s="79">
        <v>1</v>
      </c>
      <c r="F19" s="78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【超絶級】服部半蔵襲来</v>
      </c>
      <c r="G19" s="78" t="str">
        <f ca="1">VLOOKUP($B19&amp;"_"&amp;$E19,OFFSET([2]stages!$A$1,0,0,COUNTA([2]stages!$A:$A),MATCH(G$1,[2]stages!$2:$2,0)-MATCH("temp_stage",[2]stages!$2:$2,0)+1),MATCH(G$1,[2]stages!$2:$2,0)-MATCH("temp_stage",[2]stages!$2:$2,0)+1,FALSE)</f>
        <v>降臨45</v>
      </c>
      <c r="H19" s="80">
        <v>0</v>
      </c>
      <c r="I19" s="85">
        <f t="shared" si="0"/>
        <v>18</v>
      </c>
      <c r="J19" s="81" t="str">
        <f t="shared" si="10"/>
        <v>4004518</v>
      </c>
      <c r="K19" s="79" t="s">
        <v>126</v>
      </c>
      <c r="L19" s="246" t="s">
        <v>440</v>
      </c>
      <c r="M19" s="247" t="s">
        <v>614</v>
      </c>
      <c r="N19" s="55" t="s">
        <v>197</v>
      </c>
      <c r="O19" s="119" t="str">
        <f t="shared" si="11"/>
        <v>１２３４５６７８９０１２３４５６７８９０ＡＬＩＣＥには他にも忍者が存在します_x000D_その中でも同世代の猿飛佐助は_x000D_服部半蔵をライバル視し_x000D_会うたびに勝負を挑んでいます</v>
      </c>
      <c r="P19" s="122">
        <f t="shared" si="12"/>
        <v>60</v>
      </c>
    </row>
  </sheetData>
  <phoneticPr fontId="6"/>
  <dataValidations count="1">
    <dataValidation type="list" allowBlank="1" showInputMessage="1" showErrorMessage="1" sqref="A2:A19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O3" sqref="O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9" t="s">
        <v>209</v>
      </c>
      <c r="B1" s="90" t="s">
        <v>210</v>
      </c>
      <c r="C1" s="73" t="s">
        <v>211</v>
      </c>
      <c r="D1" s="73" t="s">
        <v>33</v>
      </c>
      <c r="E1" s="90" t="s">
        <v>212</v>
      </c>
      <c r="F1" s="73" t="s">
        <v>213</v>
      </c>
      <c r="G1" s="73" t="s">
        <v>33</v>
      </c>
      <c r="H1" s="90" t="s">
        <v>214</v>
      </c>
      <c r="I1" s="90" t="s">
        <v>215</v>
      </c>
      <c r="J1" s="90" t="s">
        <v>216</v>
      </c>
      <c r="K1" s="69" t="s">
        <v>217</v>
      </c>
      <c r="L1" s="69" t="s">
        <v>218</v>
      </c>
      <c r="M1" s="69" t="s">
        <v>155</v>
      </c>
      <c r="N1" s="73" t="s">
        <v>16</v>
      </c>
      <c r="O1" s="69" t="s">
        <v>219</v>
      </c>
      <c r="P1" s="69" t="s">
        <v>56</v>
      </c>
      <c r="Q1" s="69" t="s">
        <v>220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221</v>
      </c>
      <c r="X1" s="69" t="s">
        <v>222</v>
      </c>
    </row>
    <row r="2" spans="1:24" x14ac:dyDescent="0.15">
      <c r="A2" s="91" t="str">
        <f>B2&amp;"_"&amp;E2&amp;"_"&amp;H2&amp;"_"&amp;I2&amp;"_"&amp;J2</f>
        <v>40045_2_everyone_no_continue_1</v>
      </c>
      <c r="B2" s="77">
        <v>40045</v>
      </c>
      <c r="C2" s="78" t="str">
        <f ca="1">VLOOKUP($B2,OFFSET([2]quests!$A$1,0,0,COUNTA([2]quests!$A:$A),MATCH(C$1,[2]quests!$1:$1,0)-MATCH($B$1,[2]quests!$1:$1,0)+1),MATCH(C$1,[2]quests!$1:$1,0)-MATCH($B$1,[2]quests!$1:$1,0)+1,FALSE)</f>
        <v>服部半蔵襲来！</v>
      </c>
      <c r="D2" s="78" t="str">
        <f ca="1">VLOOKUP($B2,OFFSET([2]quests!$A$1,0,0,COUNTA([2]quests!$A:$A),MATCH(D$1,[2]quests!$1:$1,0)-MATCH($B$1,[2]quests!$1:$1,0)+1),MATCH(D$1,[2]quests!$1:$1,0)-MATCH($B$1,[2]quests!$1:$1,0)+1,FALSE)</f>
        <v>降臨45</v>
      </c>
      <c r="E2" s="79">
        <v>2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降臨45</v>
      </c>
      <c r="H2" s="80" t="s">
        <v>223</v>
      </c>
      <c r="I2" s="79" t="s">
        <v>227</v>
      </c>
      <c r="J2" s="79">
        <v>1</v>
      </c>
      <c r="K2" s="79">
        <v>1000</v>
      </c>
      <c r="L2" s="79" t="s">
        <v>224</v>
      </c>
      <c r="M2" s="79">
        <v>1238</v>
      </c>
      <c r="N2" s="9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服部半蔵</v>
      </c>
      <c r="O2" s="79">
        <v>1</v>
      </c>
      <c r="P2" s="79">
        <v>1</v>
      </c>
      <c r="Q2" s="79">
        <v>1</v>
      </c>
      <c r="R2" s="79">
        <v>0</v>
      </c>
      <c r="S2" s="79">
        <v>0</v>
      </c>
      <c r="T2" s="79">
        <v>0</v>
      </c>
      <c r="U2" s="79">
        <v>0</v>
      </c>
      <c r="V2" s="79">
        <v>1</v>
      </c>
      <c r="W2" s="93" t="s">
        <v>225</v>
      </c>
      <c r="X2" s="94" t="s">
        <v>226</v>
      </c>
    </row>
    <row r="3" spans="1:24" x14ac:dyDescent="0.15">
      <c r="A3" s="91" t="str">
        <f>B3&amp;"_"&amp;E3&amp;"_"&amp;H3&amp;"_"&amp;I3&amp;"_"&amp;J3</f>
        <v>40045_2_everyone_full_member_1</v>
      </c>
      <c r="B3" s="77">
        <v>40045</v>
      </c>
      <c r="C3" s="78" t="str">
        <f ca="1">VLOOKUP($B3,OFFSET([2]quests!$A$1,0,0,COUNTA([2]quests!$A:$A),MATCH(C$1,[2]quests!$1:$1,0)-MATCH($B$1,[2]quests!$1:$1,0)+1),MATCH(C$1,[2]quests!$1:$1,0)-MATCH($B$1,[2]quests!$1:$1,0)+1,FALSE)</f>
        <v>服部半蔵襲来！</v>
      </c>
      <c r="D3" s="78" t="str">
        <f ca="1">VLOOKUP($B3,OFFSET([2]quests!$A$1,0,0,COUNTA([2]quests!$A:$A),MATCH(D$1,[2]quests!$1:$1,0)-MATCH($B$1,[2]quests!$1:$1,0)+1),MATCH(D$1,[2]quests!$1:$1,0)-MATCH($B$1,[2]quests!$1:$1,0)+1,FALSE)</f>
        <v>降臨45</v>
      </c>
      <c r="E3" s="79">
        <v>2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【ウィザード級】服部半蔵襲来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降臨45</v>
      </c>
      <c r="H3" s="80" t="s">
        <v>223</v>
      </c>
      <c r="I3" s="79" t="s">
        <v>569</v>
      </c>
      <c r="J3" s="79">
        <v>1</v>
      </c>
      <c r="K3" s="79">
        <v>1000</v>
      </c>
      <c r="L3" s="79" t="s">
        <v>224</v>
      </c>
      <c r="M3" s="79">
        <v>1238</v>
      </c>
      <c r="N3" s="92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服部半蔵</v>
      </c>
      <c r="O3" s="79">
        <v>1</v>
      </c>
      <c r="P3" s="79">
        <v>1</v>
      </c>
      <c r="Q3" s="79">
        <v>1</v>
      </c>
      <c r="R3" s="79">
        <v>0</v>
      </c>
      <c r="S3" s="79">
        <v>0</v>
      </c>
      <c r="T3" s="79">
        <v>0</v>
      </c>
      <c r="U3" s="79">
        <v>0</v>
      </c>
      <c r="V3" s="79">
        <v>1</v>
      </c>
      <c r="W3" s="93" t="s">
        <v>225</v>
      </c>
      <c r="X3" s="94" t="s">
        <v>226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2017-04-14T06:44:12Z</dcterms:modified>
</cp:coreProperties>
</file>