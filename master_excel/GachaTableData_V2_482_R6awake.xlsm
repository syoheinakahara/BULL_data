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7460" tabRatio="943" activeTab="2"/>
  </bookViews>
  <sheets>
    <sheet name="確率の考え方" sheetId="110" r:id="rId1"/>
    <sheet name="Sheet1" sheetId="107" r:id="rId2"/>
    <sheet name="output" sheetId="103" r:id="rId3"/>
    <sheet name="input_482010" sheetId="157" r:id="rId4"/>
    <sheet name="tables_482010" sheetId="158" r:id="rId5"/>
    <sheet name="input_482100" sheetId="153" r:id="rId6"/>
    <sheet name="tables_482100" sheetId="154" r:id="rId7"/>
    <sheet name="tables_settle_482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tables_482010!$A$1:$V$294</definedName>
    <definedName name="_xlnm._FilterDatabase" localSheetId="6" hidden="1">tables_482100!$A$1:$V$294</definedName>
    <definedName name="_xlnm._FilterDatabase" localSheetId="7" hidden="1">tables_settle_482105!$A$1:$V$5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6" i="153" l="1"/>
  <c r="M5" i="153"/>
  <c r="M4" i="153"/>
  <c r="M3" i="153"/>
  <c r="B18" i="157"/>
  <c r="B20" i="157"/>
  <c r="A2" i="157"/>
  <c r="O44" i="158"/>
  <c r="O47" i="158"/>
  <c r="O50" i="158"/>
  <c r="B21" i="157"/>
  <c r="G21" i="157"/>
  <c r="H21" i="157"/>
  <c r="O53" i="158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5" i="158"/>
  <c r="O46" i="158"/>
  <c r="O48" i="158"/>
  <c r="O49" i="158"/>
  <c r="O51" i="158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F42" i="157"/>
  <c r="G42" i="157"/>
  <c r="F35" i="157"/>
  <c r="A2" i="153"/>
  <c r="Q3" i="153"/>
  <c r="Q4" i="153"/>
  <c r="Q5" i="153"/>
  <c r="Q6" i="153"/>
  <c r="E29" i="153"/>
  <c r="E5" i="153"/>
  <c r="B29" i="153"/>
  <c r="A36" i="153"/>
  <c r="G29" i="153"/>
  <c r="H29" i="153"/>
  <c r="E19" i="153"/>
  <c r="B10" i="153"/>
  <c r="E6" i="153"/>
  <c r="B19" i="153"/>
  <c r="E24" i="153"/>
  <c r="B24" i="153"/>
  <c r="B17" i="153"/>
  <c r="G17" i="153"/>
  <c r="E17" i="153"/>
  <c r="H17" i="153"/>
  <c r="E18" i="153"/>
  <c r="B18" i="153"/>
  <c r="G18" i="153"/>
  <c r="H18" i="153"/>
  <c r="G24" i="153"/>
  <c r="H24" i="153"/>
  <c r="E25" i="153"/>
  <c r="B25" i="153"/>
  <c r="G25" i="153"/>
  <c r="H25" i="153"/>
  <c r="E26" i="153"/>
  <c r="B26" i="153"/>
  <c r="G26" i="153"/>
  <c r="H26" i="153"/>
  <c r="G19" i="153"/>
  <c r="H19" i="153"/>
  <c r="E20" i="153"/>
  <c r="B20" i="153"/>
  <c r="G20" i="153"/>
  <c r="H20" i="153"/>
  <c r="E23" i="153"/>
  <c r="B23" i="153"/>
  <c r="E28" i="153"/>
  <c r="B28" i="153"/>
  <c r="B21" i="153"/>
  <c r="G21" i="153"/>
  <c r="E21" i="153"/>
  <c r="H21" i="153"/>
  <c r="E27" i="153"/>
  <c r="B27" i="153"/>
  <c r="G27" i="153"/>
  <c r="H27" i="153"/>
  <c r="G28" i="153"/>
  <c r="H28" i="153"/>
  <c r="I2" i="159"/>
  <c r="D2" i="159"/>
  <c r="J2" i="159"/>
  <c r="E2" i="159"/>
  <c r="F2" i="159"/>
  <c r="C2" i="159"/>
  <c r="R3" i="153"/>
  <c r="I3" i="159"/>
  <c r="D3" i="159"/>
  <c r="J3" i="159"/>
  <c r="E3" i="159"/>
  <c r="F3" i="159"/>
  <c r="C3" i="159"/>
  <c r="R4" i="153"/>
  <c r="I4" i="159"/>
  <c r="D4" i="159"/>
  <c r="J4" i="159"/>
  <c r="E4" i="159"/>
  <c r="F4" i="159"/>
  <c r="C4" i="159"/>
  <c r="R5" i="153"/>
  <c r="I5" i="159"/>
  <c r="D5" i="159"/>
  <c r="J5" i="159"/>
  <c r="E5" i="159"/>
  <c r="F5" i="159"/>
  <c r="C5" i="159"/>
  <c r="R6" i="153"/>
  <c r="G23" i="153"/>
  <c r="H23" i="153"/>
  <c r="E22" i="153"/>
  <c r="B22" i="153"/>
  <c r="G22" i="153"/>
  <c r="H22" i="153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I336" i="154"/>
  <c r="D336" i="154"/>
  <c r="J336" i="154"/>
  <c r="E336" i="154"/>
  <c r="F336" i="154"/>
  <c r="C336" i="154"/>
  <c r="H336" i="154"/>
  <c r="K336" i="154"/>
  <c r="L336" i="154"/>
  <c r="M336" i="154"/>
  <c r="N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F5" i="153"/>
  <c r="F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O336" i="154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7" i="154"/>
  <c r="O338" i="154"/>
  <c r="O339" i="154"/>
  <c r="O340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I336" i="158"/>
  <c r="D336" i="158"/>
  <c r="J336" i="158"/>
  <c r="E336" i="158"/>
  <c r="F336" i="158"/>
  <c r="C336" i="158"/>
  <c r="H336" i="158"/>
  <c r="K336" i="158"/>
  <c r="L336" i="158"/>
  <c r="M336" i="158"/>
  <c r="N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F5" i="157"/>
  <c r="F6" i="157"/>
  <c r="A36" i="157"/>
  <c r="B10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E19" i="157"/>
  <c r="B19" i="157"/>
  <c r="E24" i="157"/>
  <c r="B24" i="157"/>
  <c r="B17" i="157"/>
  <c r="G17" i="157"/>
  <c r="E17" i="157"/>
  <c r="H17" i="157"/>
  <c r="E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E5" i="157"/>
  <c r="E28" i="157"/>
  <c r="B28" i="157"/>
  <c r="E29" i="157"/>
  <c r="B29" i="157"/>
  <c r="E21" i="157"/>
  <c r="E27" i="157"/>
  <c r="B27" i="157"/>
  <c r="G27" i="157"/>
  <c r="H27" i="157"/>
  <c r="G28" i="157"/>
  <c r="H28" i="157"/>
  <c r="R3" i="157"/>
  <c r="R4" i="157"/>
  <c r="R5" i="157"/>
  <c r="R6" i="157"/>
  <c r="G23" i="157"/>
  <c r="H23" i="157"/>
  <c r="G29" i="157"/>
  <c r="H29" i="157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F34" i="157"/>
  <c r="F41" i="153"/>
  <c r="G41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F42" i="153"/>
  <c r="G42" i="153"/>
  <c r="B30" i="153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<sst xmlns="http://schemas.openxmlformats.org/spreadsheetml/2006/main" count="535" uniqueCount="256">
  <si>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</si>
  <si>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</si>
  <si>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</si>
  <si>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</si>
  <si>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</si>
  <si>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</si>
  <si>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</si>
  <si>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</si>
  <si>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</si>
  <si>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</si>
  <si>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</si>
  <si>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</si>
  <si>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</si>
  <si>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</si>
  <si>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</si>
  <si>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</si>
  <si>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</si>
  <si>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</si>
  <si>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</si>
  <si>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</si>
  <si>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</si>
  <si>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</si>
  <si>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</si>
  <si>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</si>
  <si>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</si>
  <si>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</si>
  <si>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</si>
  <si>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</si>
  <si>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</si>
  <si>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</si>
  <si>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</si>
  <si>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</si>
  <si>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</si>
  <si>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</si>
  <si>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</si>
  <si>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</si>
  <si>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</si>
  <si>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</si>
  <si>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</si>
  <si>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</si>
  <si>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</si>
  <si>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</si>
  <si>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</si>
  <si>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</si>
  <si>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</si>
  <si>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</si>
  <si>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</si>
  <si>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</si>
  <si>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</si>
  <si>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</si>
  <si>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</si>
  <si>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</si>
  <si>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</si>
  <si>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</si>
  <si>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</si>
  <si>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</si>
  <si>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</si>
  <si>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</si>
  <si>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</si>
  <si>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</si>
  <si>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</si>
  <si>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</si>
  <si>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</si>
  <si>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</si>
  <si>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</si>
  <si>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</si>
  <si>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</si>
  <si>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</si>
  <si>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</si>
  <si>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</si>
  <si>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</si>
  <si>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</si>
  <si>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</si>
  <si>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</si>
  <si>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</si>
  <si>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</si>
  <si>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</si>
  <si>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</si>
  <si>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</si>
  <si>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</si>
  <si>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</si>
  <si>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</si>
  <si>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</si>
  <si>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</si>
  <si>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</si>
  <si>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</si>
  <si>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</si>
  <si>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</si>
  <si>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</si>
  <si>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</si>
  <si>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</si>
  <si>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</si>
  <si>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</si>
  <si>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</si>
  <si>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</si>
  <si>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</si>
  <si>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</si>
  <si>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</si>
  <si>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</si>
  <si>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</si>
  <si>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</si>
  <si>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</si>
  <si>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</si>
  <si>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</si>
  <si>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</si>
  <si>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</si>
  <si>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</si>
  <si>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</si>
  <si>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</si>
  <si>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</si>
  <si>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</si>
  <si>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</si>
  <si>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</si>
  <si>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</si>
  <si>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</si>
  <si>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</si>
  <si>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</si>
  <si>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</si>
  <si>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</si>
  <si>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</si>
  <si>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</si>
  <si>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</si>
  <si>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</si>
  <si>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</si>
  <si>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</si>
  <si>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</si>
  <si>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</si>
  <si>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</si>
  <si>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</si>
  <si>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</si>
  <si>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</si>
  <si>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</si>
  <si>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</si>
  <si>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</si>
  <si>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</si>
  <si>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</si>
  <si>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</si>
  <si>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</si>
  <si>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</si>
  <si>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</si>
  <si>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</si>
  <si>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</si>
  <si>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</si>
  <si>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</si>
  <si>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</si>
  <si>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</si>
  <si>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</si>
  <si>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</si>
  <si>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</si>
  <si>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</si>
  <si>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</si>
  <si>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</si>
  <si>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</si>
  <si>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</si>
  <si>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</si>
  <si>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</si>
  <si>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</si>
  <si>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</si>
  <si>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</si>
  <si>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</si>
  <si>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</si>
  <si>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</si>
  <si>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</si>
  <si>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</si>
  <si>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</si>
  <si>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</si>
  <si>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</si>
  <si>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</si>
  <si>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</si>
  <si>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</si>
  <si>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</si>
  <si>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</si>
  <si>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</si>
  <si>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</si>
  <si>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</si>
  <si>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</si>
  <si>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</si>
  <si>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</si>
  <si>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</si>
  <si>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</si>
  <si>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</si>
  <si>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</si>
  <si>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</si>
  <si>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</si>
  <si>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</si>
  <si>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</si>
  <si>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</si>
  <si>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</si>
  <si>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</si>
  <si>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</si>
  <si>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</si>
  <si>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</si>
  <si>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</si>
  <si>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</si>
  <si>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</si>
  <si>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</si>
  <si>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</si>
  <si>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</si>
  <si>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</si>
  <si>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</si>
  <si>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</si>
  <si>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</si>
  <si>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</si>
  <si>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</si>
  <si>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</si>
  <si>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</si>
  <si>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</si>
  <si>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</si>
  <si>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</si>
  <si>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</si>
  <si>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</si>
  <si>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</si>
  <si>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</si>
  <si>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</si>
  <si>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</si>
  <si>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</si>
  <si>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</si>
  <si>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</si>
  <si>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</si>
  <si>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</si>
  <si>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</si>
  <si>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</si>
  <si>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</si>
  <si>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</si>
  <si>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</si>
  <si>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</si>
  <si>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</si>
  <si>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</si>
  <si>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</si>
  <si>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</si>
  <si>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</si>
  <si>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</si>
  <si>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</si>
  <si>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</si>
  <si>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</si>
  <si>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</si>
  <si>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</si>
  <si>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</si>
  <si>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</si>
  <si>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</si>
  <si>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</si>
  <si>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</si>
  <si>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</si>
  <si>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</si>
  <si>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</si>
  <si>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</si>
  <si>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</si>
  <si>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</si>
  <si>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</si>
  <si>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</si>
  <si>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</si>
  <si>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</si>
  <si>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old</t>
    <phoneticPr fontId="20"/>
  </si>
  <si>
    <t>tables_482100</t>
    <phoneticPr fontId="20"/>
  </si>
  <si>
    <t>tables_482010</t>
    <phoneticPr fontId="20"/>
  </si>
  <si>
    <t>tables_settle_482105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</si>
</sst>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0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4" fillId="0" borderId="1" xfId="3036" applyFont="1" applyBorder="1"/>
    <xf numFmtId="0" fontId="3" fillId="0" borderId="1" xfId="3036" applyFont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" fillId="0" borderId="1" xfId="2978" applyFont="1" applyBorder="1"/>
    <xf numFmtId="0" fontId="2" fillId="4" borderId="1" xfId="2978" applyFont="1" applyFill="1" applyBorder="1"/>
    <xf numFmtId="0" fontId="25" fillId="3" borderId="14" xfId="2" applyFont="1" applyFill="1" applyBorder="1" applyAlignment="1">
      <alignment vertical="center"/>
    </xf>
    <xf numFmtId="0" fontId="1" fillId="0" borderId="1" xfId="3036" applyFont="1" applyBorder="1"/>
    <xf numFmtId="0" fontId="1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ミカエル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balance</v>
          </cell>
          <cell r="L1235" t="str">
            <v>バランスタイプ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balance</v>
          </cell>
          <cell r="L1236" t="str">
            <v>バランスタイプ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technical</v>
          </cell>
          <cell r="L1283" t="str">
            <v>テクニカルタイプ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technical</v>
          </cell>
          <cell r="L1284" t="str">
            <v>テクニカルタイプ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hp</v>
          </cell>
          <cell r="L1291" t="str">
            <v>体力タイプ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blue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blue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宣導する天海妃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呼嵐の蒼棲龍 蛟龍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慈戒の呪封使 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花果の天猿仙人 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F31" sqref="F3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482100</v>
      </c>
      <c r="D2" s="19" t="s">
        <v>45</v>
      </c>
      <c r="E2" s="17" t="str">
        <f t="shared" ref="E2" si="1">B2&amp;C2&amp;D2</f>
        <v>gacha_select_tables_482100.tmp</v>
      </c>
      <c r="F2" s="99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482010</v>
      </c>
      <c r="D3" s="19" t="s">
        <v>45</v>
      </c>
      <c r="E3" s="17" t="str">
        <f t="shared" ref="E3:E10" si="3">B3&amp;C3&amp;D3</f>
        <v>gacha_select_tables_482010.tmp</v>
      </c>
      <c r="F3" s="99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252</v>
      </c>
      <c r="B4" s="95" t="s">
        <v>248</v>
      </c>
      <c r="C4" s="96" t="str">
        <f t="shared" si="2"/>
        <v>482105</v>
      </c>
      <c r="D4" s="19" t="s">
        <v>249</v>
      </c>
      <c r="E4" s="17" t="str">
        <f t="shared" si="3"/>
        <v>gacha_settle_tables_482105.tmp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E34" sqref="E34:E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322</v>
      </c>
      <c r="M3" s="37" t="str">
        <f>VLOOKUP(L3,[1]characters!$A:$C,3,FALSE)</f>
        <v>愛志士 土方歳三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VLOOKUP(L3,tables_482010!B:C,2,FALSE)</f>
        <v>PremiumSS4</v>
      </c>
      <c r="R3" s="62">
        <f t="shared" ref="R3:R20" si="1">N3*A$36</f>
        <v>3233610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323</v>
      </c>
      <c r="M4" s="37" t="str">
        <f>VLOOKUP(L4,[1]characters!$A:$C,3,FALSE)</f>
        <v>流麗の愛志士 土方歳三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VLOOKUP(L4,tables_482010!B:C,2,FALSE)</f>
        <v>PremiumSS5</v>
      </c>
      <c r="R4" s="62">
        <f t="shared" si="1"/>
        <v>170190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2.4590163934426229E-4</v>
      </c>
      <c r="F5">
        <f>(COUNTIF(tables_482010!C:C,input_482010!A28)+COUNTIF(tables_482010!C:C,input_482010!A29))</f>
        <v>63</v>
      </c>
      <c r="H5" s="84">
        <v>0.06</v>
      </c>
      <c r="I5" s="31">
        <v>2</v>
      </c>
      <c r="L5" s="60">
        <v>326</v>
      </c>
      <c r="M5" s="37" t="str">
        <f>VLOOKUP(L5,[1]characters!$A:$C,3,FALSE)</f>
        <v>妖志士 斎藤一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VLOOKUP(L5,tables_482010!B:C,2,FALSE)</f>
        <v>PremiumSS4</v>
      </c>
      <c r="R5" s="62">
        <f t="shared" si="1"/>
        <v>3233610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9.9462365591397855E-3</v>
      </c>
      <c r="F6">
        <f>(COUNTIF(tables_482010!C:C,input_482010!A25)+COUNTIF(tables_482010!C:C,input_482010!A18)+COUNTIF(tables_482010!C:C,input_482010!A20)+COUNTIF(tables_482010!C:C,input_482010!A22))</f>
        <v>93</v>
      </c>
      <c r="H6" s="89">
        <v>0</v>
      </c>
      <c r="I6" s="31">
        <v>0</v>
      </c>
      <c r="L6" s="93">
        <v>327</v>
      </c>
      <c r="M6" s="37" t="str">
        <f>VLOOKUP(L6,[1]characters!$A:$C,3,FALSE)</f>
        <v>千殺の妖志士 斎藤一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VLOOKUP(L6,tables_482010!B:C,2,FALSE)</f>
        <v>PremiumSS5</v>
      </c>
      <c r="R6" s="62">
        <f t="shared" si="1"/>
        <v>170190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5.7000000000000002E-2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3.0000000000000001E-3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0.22150537634408601</v>
      </c>
      <c r="C17" s="85">
        <f t="shared" ref="C17:C31" si="2">SUMIF(Q:Q,A17,N:N)</f>
        <v>0</v>
      </c>
      <c r="D17" s="74">
        <f t="shared" ref="D17:D32" si="3">B17-C17</f>
        <v>0.22150537634408601</v>
      </c>
      <c r="E17">
        <f>COUNTIF(tables_482010!C:C,input_482010!A17)-COUNTIF(Q:Q,A17)</f>
        <v>20</v>
      </c>
      <c r="F17" s="43">
        <f>IFERROR(B17/E17,0)</f>
        <v>1.10752688172043E-2</v>
      </c>
      <c r="G17">
        <f t="shared" ref="G17:G31" si="4">A$36*B17</f>
        <v>25132000</v>
      </c>
      <c r="H17">
        <f t="shared" ref="H17:H31" si="5">IFERROR(ROUND(G17/E17,5),0)</f>
        <v>1256600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1.863321875586104E-2</v>
      </c>
      <c r="C18" s="85">
        <f t="shared" si="2"/>
        <v>0</v>
      </c>
      <c r="D18" s="74">
        <f t="shared" si="3"/>
        <v>1.863321875586104E-2</v>
      </c>
      <c r="E18">
        <f>COUNTIF(tables_482010!C:C,input_482010!A18)-COUNTIF(Q:Q,A18)</f>
        <v>20</v>
      </c>
      <c r="F18" s="43">
        <f>IFERROR(B18/E18,0)</f>
        <v>9.3166093779305204E-4</v>
      </c>
      <c r="G18">
        <f t="shared" si="4"/>
        <v>2114125.0000399938</v>
      </c>
      <c r="H18">
        <f t="shared" si="5"/>
        <v>105706.25</v>
      </c>
      <c r="I18">
        <f t="shared" si="6"/>
        <v>0.25</v>
      </c>
      <c r="J18">
        <f t="shared" si="7"/>
        <v>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0.25860215053763441</v>
      </c>
      <c r="C19" s="85">
        <f t="shared" si="2"/>
        <v>0</v>
      </c>
      <c r="D19" s="74">
        <f t="shared" si="3"/>
        <v>0.25860215053763441</v>
      </c>
      <c r="E19">
        <f>COUNTIF(tables_482010!C:C,input_482010!A19)-COUNTIF(Q:Q,A19)</f>
        <v>52</v>
      </c>
      <c r="F19" s="43">
        <f t="shared" ref="F19:F31" si="8">IFERROR(B19/E19,0)</f>
        <v>4.9731182795698927E-3</v>
      </c>
      <c r="G19">
        <f t="shared" si="4"/>
        <v>29341000</v>
      </c>
      <c r="H19">
        <f t="shared" si="5"/>
        <v>564250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E$6*E20*B$6-0.04</f>
        <v>0.19274193548387097</v>
      </c>
      <c r="C20" s="85">
        <f t="shared" si="2"/>
        <v>0</v>
      </c>
      <c r="D20" s="74">
        <f t="shared" si="3"/>
        <v>0.19274193548387097</v>
      </c>
      <c r="E20">
        <f>COUNTIF(tables_482010!C:C,input_482010!A20)-COUNTIF(Q:Q,A20)</f>
        <v>52</v>
      </c>
      <c r="F20" s="43">
        <f t="shared" si="8"/>
        <v>3.706575682382134E-3</v>
      </c>
      <c r="G20">
        <f t="shared" si="4"/>
        <v>21868500</v>
      </c>
      <c r="H20">
        <f t="shared" si="5"/>
        <v>420548.07692000002</v>
      </c>
      <c r="I20">
        <f t="shared" si="6"/>
        <v>7.6920000021345913E-2</v>
      </c>
      <c r="J20">
        <f t="shared" si="7"/>
        <v>13.000520017193084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2.4646351136259462E-2</v>
      </c>
      <c r="C21" s="85">
        <f t="shared" si="2"/>
        <v>0</v>
      </c>
      <c r="D21" s="74">
        <f t="shared" si="3"/>
        <v>2.4646351136259462E-2</v>
      </c>
      <c r="E21">
        <f>COUNTIF(tables_482010!C:C,input_482010!A21)-COUNTIF(Q:Q,A21)</f>
        <v>52</v>
      </c>
      <c r="F21" s="43">
        <f t="shared" si="8"/>
        <v>4.7396829108191276E-4</v>
      </c>
      <c r="G21">
        <f t="shared" si="4"/>
        <v>2796374.9999199985</v>
      </c>
      <c r="H21">
        <f t="shared" si="5"/>
        <v>53776.442309999999</v>
      </c>
      <c r="I21">
        <f t="shared" si="6"/>
        <v>0.44230999999854248</v>
      </c>
      <c r="J21">
        <f t="shared" si="7"/>
        <v>2.2608577694451748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0.1576478494623656</v>
      </c>
      <c r="C22" s="85">
        <f t="shared" si="2"/>
        <v>0</v>
      </c>
      <c r="D22" s="74">
        <f t="shared" si="3"/>
        <v>0.1576478494623656</v>
      </c>
      <c r="E22">
        <f>COUNTIF(tables_482010!C:C,input_482010!A22)-COUNTIF(Q:Q,A22)</f>
        <v>17</v>
      </c>
      <c r="F22" s="43">
        <f t="shared" si="8"/>
        <v>9.2734029095509173E-3</v>
      </c>
      <c r="G22">
        <f t="shared" si="4"/>
        <v>17886725</v>
      </c>
      <c r="H22">
        <f t="shared" si="5"/>
        <v>1052160.29412</v>
      </c>
      <c r="I22">
        <f t="shared" si="6"/>
        <v>0.29411999997682869</v>
      </c>
      <c r="J22">
        <f t="shared" si="7"/>
        <v>3.3999728004854544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1.1438172043010755E-2</v>
      </c>
      <c r="C23" s="85">
        <f t="shared" si="2"/>
        <v>0</v>
      </c>
      <c r="D23" s="74">
        <f t="shared" si="3"/>
        <v>1.1438172043010755E-2</v>
      </c>
      <c r="E23">
        <f>COUNTIF(tables_482010!C:C,input_482010!A23)-COUNTIF(Q:Q,A23)</f>
        <v>23</v>
      </c>
      <c r="F23" s="43">
        <f t="shared" si="8"/>
        <v>4.9731182795698938E-4</v>
      </c>
      <c r="G23">
        <f t="shared" si="4"/>
        <v>1297775.0000000002</v>
      </c>
      <c r="H23">
        <f t="shared" si="5"/>
        <v>56425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1.9892473118279571E-2</v>
      </c>
      <c r="C24" s="85">
        <f t="shared" si="2"/>
        <v>0</v>
      </c>
      <c r="D24" s="74">
        <f t="shared" si="3"/>
        <v>1.9892473118279571E-2</v>
      </c>
      <c r="E24">
        <f>COUNTIF(tables_482010!C:C,input_482010!A24)-COUNTIF(Q:Q,A24)</f>
        <v>4</v>
      </c>
      <c r="F24" s="43">
        <f t="shared" si="8"/>
        <v>4.9731182795698927E-3</v>
      </c>
      <c r="G24">
        <f t="shared" si="4"/>
        <v>2257000</v>
      </c>
      <c r="H24">
        <f t="shared" si="5"/>
        <v>564250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1.7903225806451616E-2</v>
      </c>
      <c r="C25" s="85">
        <f t="shared" si="2"/>
        <v>0</v>
      </c>
      <c r="D25" s="74">
        <f t="shared" si="3"/>
        <v>1.7903225806451616E-2</v>
      </c>
      <c r="E25">
        <f>COUNTIF(tables_482010!C:C,input_482010!A25)-COUNTIF(Q:Q,A25)</f>
        <v>4</v>
      </c>
      <c r="F25" s="43">
        <f t="shared" si="8"/>
        <v>4.4758064516129039E-3</v>
      </c>
      <c r="G25">
        <f t="shared" si="4"/>
        <v>2031300.0000000002</v>
      </c>
      <c r="H25">
        <f t="shared" si="5"/>
        <v>507825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1.9892473118279571E-3</v>
      </c>
      <c r="C26" s="85">
        <f t="shared" si="2"/>
        <v>0</v>
      </c>
      <c r="D26" s="74">
        <f t="shared" si="3"/>
        <v>1.9892473118279571E-3</v>
      </c>
      <c r="E26">
        <f>COUNTIF(tables_482010!C:C,input_482010!A26)-COUNTIF(Q:Q,A26)</f>
        <v>4</v>
      </c>
      <c r="F26" s="43">
        <f t="shared" si="8"/>
        <v>4.9731182795698927E-4</v>
      </c>
      <c r="G26">
        <f t="shared" si="4"/>
        <v>225700</v>
      </c>
      <c r="H26">
        <f t="shared" si="5"/>
        <v>56425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6.0737704918032778E-3</v>
      </c>
      <c r="C27" s="85">
        <f t="shared" si="2"/>
        <v>5.7000000000000002E-2</v>
      </c>
      <c r="D27" s="74">
        <f t="shared" si="3"/>
        <v>-5.0926229508196724E-2</v>
      </c>
      <c r="E27">
        <f>COUNTIF(tables_482010!C:C,input_482010!A27)-COUNTIF(Q:Q,A27)</f>
        <v>26</v>
      </c>
      <c r="F27" s="43">
        <f>IFERROR(B27/E27,0)</f>
        <v>2.3360655737704914E-4</v>
      </c>
      <c r="G27">
        <f t="shared" si="4"/>
        <v>689129.99999999988</v>
      </c>
      <c r="H27">
        <f t="shared" si="5"/>
        <v>26505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3.1967213114754097E-4</v>
      </c>
      <c r="C28" s="85">
        <f t="shared" si="2"/>
        <v>3.0000000000000001E-3</v>
      </c>
      <c r="D28" s="74">
        <f t="shared" si="3"/>
        <v>-2.6803278688524593E-3</v>
      </c>
      <c r="E28">
        <f>COUNTIF(tables_482010!C:C,input_482010!A28)-COUNTIF(Q:Q,A28)</f>
        <v>26</v>
      </c>
      <c r="F28" s="43">
        <f t="shared" si="8"/>
        <v>1.2295081967213114E-5</v>
      </c>
      <c r="G28">
        <f t="shared" si="4"/>
        <v>36270</v>
      </c>
      <c r="H28">
        <f t="shared" si="5"/>
        <v>1395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8.6065573770491809E-3</v>
      </c>
      <c r="C29" s="85">
        <f t="shared" si="2"/>
        <v>0</v>
      </c>
      <c r="D29" s="74">
        <f t="shared" si="3"/>
        <v>8.6065573770491809E-3</v>
      </c>
      <c r="E29">
        <f>COUNTIF(tables_482010!C:C,input_482010!A29)-COUNTIF(Q:Q,A29)</f>
        <v>35</v>
      </c>
      <c r="F29" s="43">
        <f t="shared" si="8"/>
        <v>2.4590163934426229E-4</v>
      </c>
      <c r="G29">
        <f t="shared" si="4"/>
        <v>976500.00000000012</v>
      </c>
      <c r="H29">
        <f t="shared" si="5"/>
        <v>27900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COUNTIF(tables_482010!C:C,input_482010!A30)-COUNTIF(Q:Q,A30)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COUNTIF(tables_482010!C:C,input_482010!A31)-COUNTIF(Q:Q,A31)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0.93999999999964745</v>
      </c>
      <c r="C32" s="41">
        <f>SUM(C19:C31)</f>
        <v>6.0000000000000005E-2</v>
      </c>
      <c r="D32" s="42">
        <f t="shared" si="3"/>
        <v>0.8799999999996474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1.2138639171513366E-3</v>
      </c>
      <c r="F34" s="55">
        <f ca="1">0.45-G41</f>
        <v>1.0578204978628492E-12</v>
      </c>
    </row>
    <row r="35" spans="1:7" x14ac:dyDescent="0.15">
      <c r="A35" t="s">
        <v>73</v>
      </c>
      <c r="E35">
        <v>3.0000000007050984E-3</v>
      </c>
      <c r="F35">
        <f ca="1">G42-0.05</f>
        <v>1.0576123310457319E-12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SUMIF(tables_482010!C:C,input_482010!A40,tables_482010!O:O)</f>
        <v>29341000</v>
      </c>
      <c r="C40" s="54">
        <f t="shared" ref="C40:C46" ca="1" si="9">B40/B$47</f>
        <v>0.4767880465806219</v>
      </c>
      <c r="E40">
        <v>3</v>
      </c>
      <c r="F40">
        <f ca="1">SUMIF(tables_482010!J:J,input_482010!E40,tables_482010!O:O)</f>
        <v>56730000</v>
      </c>
      <c r="G40">
        <f ca="1">F40/A36</f>
        <v>0.5</v>
      </c>
    </row>
    <row r="41" spans="1:7" x14ac:dyDescent="0.15">
      <c r="A41" s="33" t="s">
        <v>104</v>
      </c>
      <c r="B41">
        <f ca="1">SUMIF(tables_482010!C:C,input_482010!A41,tables_482010!O:O)</f>
        <v>21868499.999840003</v>
      </c>
      <c r="C41" s="54">
        <f t="shared" ca="1" si="9"/>
        <v>0.35536073741767649</v>
      </c>
      <c r="E41">
        <v>4</v>
      </c>
      <c r="F41">
        <f ca="1">SUMIF(tables_482010!J:J,input_482010!E41,tables_482010!O:O)</f>
        <v>51056999.999879979</v>
      </c>
      <c r="G41">
        <f ca="1">F41/A36</f>
        <v>0.44999999999894219</v>
      </c>
    </row>
    <row r="42" spans="1:7" x14ac:dyDescent="0.15">
      <c r="A42" s="33" t="s">
        <v>106</v>
      </c>
      <c r="B42">
        <f ca="1">SUMIF(tables_482010!C:C,input_482010!A42,tables_482010!O:O)</f>
        <v>7156350</v>
      </c>
      <c r="C42" s="54">
        <f t="shared" ca="1" si="9"/>
        <v>0.11628990617726845</v>
      </c>
      <c r="E42">
        <v>5</v>
      </c>
      <c r="F42">
        <f ca="1">SUMIF(tables_482010!J:J,input_482010!E42,tables_482010!O:O)</f>
        <v>5673000.0001199972</v>
      </c>
      <c r="G42">
        <f ca="1">F42/A36</f>
        <v>5.0000000001057615E-2</v>
      </c>
    </row>
    <row r="43" spans="1:7" x14ac:dyDescent="0.15">
      <c r="A43" s="33" t="s">
        <v>109</v>
      </c>
      <c r="B43">
        <f>SUMIF(tables_482010!C:C,input_482010!A43,tables_482010!O:O)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SUMIF(tables_482010!C:C,input_482010!A44,tables_482010!O:O)</f>
        <v>2796375.0001199986</v>
      </c>
      <c r="C44" s="54">
        <f t="shared" ca="1" si="9"/>
        <v>4.5440788446682132E-2</v>
      </c>
      <c r="E44" t="s">
        <v>54</v>
      </c>
      <c r="F44" s="55"/>
    </row>
    <row r="45" spans="1:7" x14ac:dyDescent="0.15">
      <c r="A45" s="33" t="s">
        <v>107</v>
      </c>
      <c r="B45">
        <f ca="1">SUMIF(tables_482010!C:C,input_482010!A45,tables_482010!O:O)</f>
        <v>376650</v>
      </c>
      <c r="C45" s="54">
        <f t="shared" ca="1" si="9"/>
        <v>6.1205213777509714E-3</v>
      </c>
      <c r="E45" t="s">
        <v>204</v>
      </c>
      <c r="F45" s="55">
        <f ca="1">SUMIF(tables_482010!I:I,input_482010!E45,tables_482010!P:P)</f>
        <v>0.24312246606733592</v>
      </c>
    </row>
    <row r="46" spans="1:7" x14ac:dyDescent="0.15">
      <c r="A46" s="33" t="s">
        <v>108</v>
      </c>
      <c r="B46">
        <f>SUMIF(tables_482010!C:C,input_482010!A46,tables_482010!O:O)</f>
        <v>0</v>
      </c>
      <c r="C46" s="54">
        <f t="shared" ca="1" si="9"/>
        <v>0</v>
      </c>
      <c r="E46" t="s">
        <v>205</v>
      </c>
      <c r="F46" s="55">
        <f ca="1">SUMIF(tables_482010!I:I,input_482010!E46,tables_482010!P:P)</f>
        <v>0.18545096797911131</v>
      </c>
    </row>
    <row r="47" spans="1:7" x14ac:dyDescent="0.15">
      <c r="A47" s="39" t="s">
        <v>59</v>
      </c>
      <c r="B47">
        <f ca="1">SUM(B40:B46)</f>
        <v>61538874.999960005</v>
      </c>
      <c r="C47" s="55">
        <f ca="1">SUM(C40:C46)</f>
        <v>0.99999999999999989</v>
      </c>
      <c r="E47" t="s">
        <v>206</v>
      </c>
      <c r="F47" s="55">
        <f ca="1">SUMIF(tables_482010!I:I,input_482010!E47,tables_482010!P:P)</f>
        <v>0.49642656595355034</v>
      </c>
    </row>
    <row r="48" spans="1:7" x14ac:dyDescent="0.15">
      <c r="E48" t="s">
        <v>207</v>
      </c>
      <c r="F48" s="55">
        <f ca="1">SUMIF(tables_482010!I:I,input_482010!E48,tables_482010!P:P)</f>
        <v>7.3524590163934242E-2</v>
      </c>
      <c r="G48" s="55"/>
    </row>
    <row r="49" spans="5:6" x14ac:dyDescent="0.15">
      <c r="E49" t="s">
        <v>250</v>
      </c>
      <c r="F49" s="55">
        <f ca="1">SUMIF(tables_482010!I:I,input_482010!E49,tables_482010!P:P)</f>
        <v>1.475409836065571E-3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123" activePane="bottomLeft" state="frozen"/>
      <selection activeCell="H276" sqref="H276"/>
      <selection pane="bottomLeft" activeCell="H141" sqref="H14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input_482010!A$2</f>
        <v>482010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IFERROR(VLOOKUP(B2,input_482010!L:R,7,FALSE),VLOOKUP(tables_482010!C2,input_482010!A:H,8,FALSE))</f>
        <v>1256600</v>
      </c>
      <c r="P2" s="46">
        <f t="shared" ref="P2:P65" ca="1" si="1">O2/SUM(O:O)</f>
        <v>1.1075268817204283E-2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input_482010!A$2</f>
        <v>482010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IFERROR(VLOOKUP(B3,input_482010!L:R,7,FALSE),VLOOKUP(tables_482010!C3,input_482010!A:H,8,FALSE))</f>
        <v>105706.25</v>
      </c>
      <c r="P3" s="46">
        <f t="shared" ca="1" si="1"/>
        <v>9.3166093777542584E-4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input_482010!A$2</f>
        <v>482010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IFERROR(VLOOKUP(B4,input_482010!L:R,7,FALSE),VLOOKUP(tables_482010!C4,input_482010!A:H,8,FALSE))</f>
        <v>1256600</v>
      </c>
      <c r="P4" s="46">
        <f t="shared" ca="1" si="1"/>
        <v>1.1075268817204283E-2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input_482010!A$2</f>
        <v>482010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IFERROR(VLOOKUP(B5,input_482010!L:R,7,FALSE),VLOOKUP(tables_482010!C5,input_482010!A:H,8,FALSE))</f>
        <v>105706.25</v>
      </c>
      <c r="P5" s="46">
        <f t="shared" ca="1" si="1"/>
        <v>9.3166093777542584E-4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input_482010!A$2</f>
        <v>482010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IFERROR(VLOOKUP(B6,input_482010!L:R,7,FALSE),VLOOKUP(tables_482010!C6,input_482010!A:H,8,FALSE))</f>
        <v>1256600</v>
      </c>
      <c r="P6" s="46">
        <f t="shared" ca="1" si="1"/>
        <v>1.1075268817204283E-2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input_482010!A$2</f>
        <v>482010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IFERROR(VLOOKUP(B7,input_482010!L:R,7,FALSE),VLOOKUP(tables_482010!C7,input_482010!A:H,8,FALSE))</f>
        <v>105706.25</v>
      </c>
      <c r="P7" s="46">
        <f t="shared" ca="1" si="1"/>
        <v>9.3166093777542584E-4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input_482010!A$2</f>
        <v>482010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IFERROR(VLOOKUP(B8,input_482010!L:R,7,FALSE),VLOOKUP(tables_482010!C8,input_482010!A:H,8,FALSE))</f>
        <v>1256600</v>
      </c>
      <c r="P8" s="46">
        <f t="shared" ca="1" si="1"/>
        <v>1.1075268817204283E-2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input_482010!A$2</f>
        <v>482010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IFERROR(VLOOKUP(B9,input_482010!L:R,7,FALSE),VLOOKUP(tables_482010!C9,input_482010!A:H,8,FALSE))</f>
        <v>105706.25</v>
      </c>
      <c r="P9" s="46">
        <f t="shared" ca="1" si="1"/>
        <v>9.3166093777542584E-4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input_482010!A$2</f>
        <v>482010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IFERROR(VLOOKUP(B10,input_482010!L:R,7,FALSE),VLOOKUP(tables_482010!C10,input_482010!A:H,8,FALSE))</f>
        <v>1256600</v>
      </c>
      <c r="P10" s="46">
        <f t="shared" ca="1" si="1"/>
        <v>1.1075268817204283E-2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input_482010!A$2</f>
        <v>482010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IFERROR(VLOOKUP(B11,input_482010!L:R,7,FALSE),VLOOKUP(tables_482010!C11,input_482010!A:H,8,FALSE))</f>
        <v>105706.25</v>
      </c>
      <c r="P11" s="46">
        <f t="shared" ca="1" si="1"/>
        <v>9.3166093777542584E-4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input_482010!A$2</f>
        <v>482010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IFERROR(VLOOKUP(B12,input_482010!L:R,7,FALSE),VLOOKUP(tables_482010!C12,input_482010!A:H,8,FALSE))</f>
        <v>1256600</v>
      </c>
      <c r="P12" s="46">
        <f t="shared" ca="1" si="1"/>
        <v>1.1075268817204283E-2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input_482010!A$2</f>
        <v>482010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IFERROR(VLOOKUP(B13,input_482010!L:R,7,FALSE),VLOOKUP(tables_482010!C13,input_482010!A:H,8,FALSE))</f>
        <v>105706.25</v>
      </c>
      <c r="P13" s="46">
        <f t="shared" ca="1" si="1"/>
        <v>9.3166093777542584E-4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input_482010!A$2</f>
        <v>482010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IFERROR(VLOOKUP(B14,input_482010!L:R,7,FALSE),VLOOKUP(tables_482010!C14,input_482010!A:H,8,FALSE))</f>
        <v>1256600</v>
      </c>
      <c r="P14" s="46">
        <f t="shared" ca="1" si="1"/>
        <v>1.1075268817204283E-2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input_482010!A$2</f>
        <v>482010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IFERROR(VLOOKUP(B15,input_482010!L:R,7,FALSE),VLOOKUP(tables_482010!C15,input_482010!A:H,8,FALSE))</f>
        <v>105706.25</v>
      </c>
      <c r="P15" s="46">
        <f t="shared" ca="1" si="1"/>
        <v>9.3166093777542584E-4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input_482010!A$2</f>
        <v>482010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IFERROR(VLOOKUP(B16,input_482010!L:R,7,FALSE),VLOOKUP(tables_482010!C16,input_482010!A:H,8,FALSE))</f>
        <v>1256600</v>
      </c>
      <c r="P16" s="46">
        <f t="shared" ca="1" si="1"/>
        <v>1.1075268817204283E-2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input_482010!A$2</f>
        <v>482010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IFERROR(VLOOKUP(B17,input_482010!L:R,7,FALSE),VLOOKUP(tables_482010!C17,input_482010!A:H,8,FALSE))</f>
        <v>105706.25</v>
      </c>
      <c r="P17" s="46">
        <f t="shared" ca="1" si="1"/>
        <v>9.3166093777542584E-4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input_482010!A$2</f>
        <v>482010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IFERROR(VLOOKUP(B18,input_482010!L:R,7,FALSE),VLOOKUP(tables_482010!C18,input_482010!A:H,8,FALSE))</f>
        <v>1256600</v>
      </c>
      <c r="P18" s="46">
        <f t="shared" ca="1" si="1"/>
        <v>1.1075268817204283E-2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input_482010!A$2</f>
        <v>482010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IFERROR(VLOOKUP(B19,input_482010!L:R,7,FALSE),VLOOKUP(tables_482010!C19,input_482010!A:H,8,FALSE))</f>
        <v>105706.25</v>
      </c>
      <c r="P19" s="46">
        <f t="shared" ca="1" si="1"/>
        <v>9.3166093777542584E-4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input_482010!A$2</f>
        <v>482010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IFERROR(VLOOKUP(B20,input_482010!L:R,7,FALSE),VLOOKUP(tables_482010!C20,input_482010!A:H,8,FALSE))</f>
        <v>1256600</v>
      </c>
      <c r="P20" s="46">
        <f t="shared" ca="1" si="1"/>
        <v>1.1075268817204283E-2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input_482010!A$2</f>
        <v>482010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IFERROR(VLOOKUP(B21,input_482010!L:R,7,FALSE),VLOOKUP(tables_482010!C21,input_482010!A:H,8,FALSE))</f>
        <v>105706.25</v>
      </c>
      <c r="P21" s="46">
        <f t="shared" ca="1" si="1"/>
        <v>9.3166093777542584E-4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input_482010!A$2</f>
        <v>482010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IFERROR(VLOOKUP(B22,input_482010!L:R,7,FALSE),VLOOKUP(tables_482010!C22,input_482010!A:H,8,FALSE))</f>
        <v>1256600</v>
      </c>
      <c r="P22" s="46">
        <f t="shared" ca="1" si="1"/>
        <v>1.1075268817204283E-2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input_482010!A$2</f>
        <v>482010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IFERROR(VLOOKUP(B23,input_482010!L:R,7,FALSE),VLOOKUP(tables_482010!C23,input_482010!A:H,8,FALSE))</f>
        <v>105706.25</v>
      </c>
      <c r="P23" s="46">
        <f t="shared" ca="1" si="1"/>
        <v>9.3166093777542584E-4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input_482010!A$2</f>
        <v>482010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IFERROR(VLOOKUP(B24,input_482010!L:R,7,FALSE),VLOOKUP(tables_482010!C24,input_482010!A:H,8,FALSE))</f>
        <v>1256600</v>
      </c>
      <c r="P24" s="46">
        <f t="shared" ca="1" si="1"/>
        <v>1.1075268817204283E-2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input_482010!A$2</f>
        <v>482010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IFERROR(VLOOKUP(B25,input_482010!L:R,7,FALSE),VLOOKUP(tables_482010!C25,input_482010!A:H,8,FALSE))</f>
        <v>105706.25</v>
      </c>
      <c r="P25" s="46">
        <f t="shared" ca="1" si="1"/>
        <v>9.3166093777542584E-4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input_482010!A$2</f>
        <v>482010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IFERROR(VLOOKUP(B26,input_482010!L:R,7,FALSE),VLOOKUP(tables_482010!C26,input_482010!A:H,8,FALSE))</f>
        <v>1256600</v>
      </c>
      <c r="P26" s="46">
        <f t="shared" ca="1" si="1"/>
        <v>1.1075268817204283E-2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input_482010!A$2</f>
        <v>482010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IFERROR(VLOOKUP(B27,input_482010!L:R,7,FALSE),VLOOKUP(tables_482010!C27,input_482010!A:H,8,FALSE))</f>
        <v>105706.25</v>
      </c>
      <c r="P27" s="46">
        <f t="shared" ca="1" si="1"/>
        <v>9.3166093777542584E-4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input_482010!A$2</f>
        <v>482010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IFERROR(VLOOKUP(B28,input_482010!L:R,7,FALSE),VLOOKUP(tables_482010!C28,input_482010!A:H,8,FALSE))</f>
        <v>1256600</v>
      </c>
      <c r="P28" s="46">
        <f t="shared" ca="1" si="1"/>
        <v>1.1075268817204283E-2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input_482010!A$2</f>
        <v>482010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IFERROR(VLOOKUP(B29,input_482010!L:R,7,FALSE),VLOOKUP(tables_482010!C29,input_482010!A:H,8,FALSE))</f>
        <v>105706.25</v>
      </c>
      <c r="P29" s="46">
        <f t="shared" ca="1" si="1"/>
        <v>9.3166093777542584E-4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input_482010!A$2</f>
        <v>482010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IFERROR(VLOOKUP(B30,input_482010!L:R,7,FALSE),VLOOKUP(tables_482010!C30,input_482010!A:H,8,FALSE))</f>
        <v>1256600</v>
      </c>
      <c r="P30" s="46">
        <f t="shared" ca="1" si="1"/>
        <v>1.1075268817204283E-2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input_482010!A$2</f>
        <v>482010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IFERROR(VLOOKUP(B31,input_482010!L:R,7,FALSE),VLOOKUP(tables_482010!C31,input_482010!A:H,8,FALSE))</f>
        <v>105706.25</v>
      </c>
      <c r="P31" s="46">
        <f t="shared" ca="1" si="1"/>
        <v>9.3166093777542584E-4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input_482010!A$2</f>
        <v>482010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IFERROR(VLOOKUP(B32,input_482010!L:R,7,FALSE),VLOOKUP(tables_482010!C32,input_482010!A:H,8,FALSE))</f>
        <v>1256600</v>
      </c>
      <c r="P32" s="46">
        <f t="shared" ca="1" si="1"/>
        <v>1.1075268817204283E-2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input_482010!A$2</f>
        <v>482010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IFERROR(VLOOKUP(B33,input_482010!L:R,7,FALSE),VLOOKUP(tables_482010!C33,input_482010!A:H,8,FALSE))</f>
        <v>105706.25</v>
      </c>
      <c r="P33" s="46">
        <f t="shared" ca="1" si="1"/>
        <v>9.3166093777542584E-4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input_482010!A$2</f>
        <v>482010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IFERROR(VLOOKUP(B34,input_482010!L:R,7,FALSE),VLOOKUP(tables_482010!C34,input_482010!A:H,8,FALSE))</f>
        <v>1256600</v>
      </c>
      <c r="P34" s="46">
        <f t="shared" ca="1" si="1"/>
        <v>1.1075268817204283E-2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input_482010!A$2</f>
        <v>482010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IFERROR(VLOOKUP(B35,input_482010!L:R,7,FALSE),VLOOKUP(tables_482010!C35,input_482010!A:H,8,FALSE))</f>
        <v>105706.25</v>
      </c>
      <c r="P35" s="46">
        <f t="shared" ca="1" si="1"/>
        <v>9.3166093777542584E-4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input_482010!A$2</f>
        <v>482010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IFERROR(VLOOKUP(B36,input_482010!L:R,7,FALSE),VLOOKUP(tables_482010!C36,input_482010!A:H,8,FALSE))</f>
        <v>1256600</v>
      </c>
      <c r="P36" s="46">
        <f t="shared" ca="1" si="1"/>
        <v>1.1075268817204283E-2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input_482010!A$2</f>
        <v>482010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IFERROR(VLOOKUP(B37,input_482010!L:R,7,FALSE),VLOOKUP(tables_482010!C37,input_482010!A:H,8,FALSE))</f>
        <v>105706.25</v>
      </c>
      <c r="P37" s="46">
        <f t="shared" ca="1" si="1"/>
        <v>9.3166093777542584E-4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input_482010!A$2</f>
        <v>482010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IFERROR(VLOOKUP(B38,input_482010!L:R,7,FALSE),VLOOKUP(tables_482010!C38,input_482010!A:H,8,FALSE))</f>
        <v>1256600</v>
      </c>
      <c r="P38" s="46">
        <f t="shared" ca="1" si="1"/>
        <v>1.1075268817204283E-2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input_482010!A$2</f>
        <v>482010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IFERROR(VLOOKUP(B39,input_482010!L:R,7,FALSE),VLOOKUP(tables_482010!C39,input_482010!A:H,8,FALSE))</f>
        <v>105706.25</v>
      </c>
      <c r="P39" s="46">
        <f t="shared" ca="1" si="1"/>
        <v>9.3166093777542584E-4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input_482010!A$2</f>
        <v>482010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IFERROR(VLOOKUP(B40,input_482010!L:R,7,FALSE),VLOOKUP(tables_482010!C40,input_482010!A:H,8,FALSE))</f>
        <v>1256600</v>
      </c>
      <c r="P40" s="46">
        <f t="shared" ca="1" si="1"/>
        <v>1.1075268817204283E-2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input_482010!A$2</f>
        <v>482010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IFERROR(VLOOKUP(B41,input_482010!L:R,7,FALSE),VLOOKUP(tables_482010!C41,input_482010!A:H,8,FALSE))</f>
        <v>105706.25</v>
      </c>
      <c r="P41" s="46">
        <f t="shared" ca="1" si="1"/>
        <v>9.3166093777542584E-4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input_482010!A$2</f>
        <v>482010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IFERROR(VLOOKUP(B42,input_482010!L:R,7,FALSE),VLOOKUP(tables_482010!C42,input_482010!A:H,8,FALSE))</f>
        <v>564250</v>
      </c>
      <c r="P42" s="46">
        <f t="shared" ca="1" si="1"/>
        <v>4.9731182795698841E-3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input_482010!A$2</f>
        <v>482010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IFERROR(VLOOKUP(B43,input_482010!L:R,7,FALSE),VLOOKUP(tables_482010!C43,input_482010!A:H,8,FALSE))</f>
        <v>507825</v>
      </c>
      <c r="P43" s="46">
        <f t="shared" ca="1" si="1"/>
        <v>4.4758064516128952E-3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input_482010!A$2</f>
        <v>482010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IFERROR(VLOOKUP(B44,input_482010!L:R,7,FALSE),VLOOKUP(tables_482010!C44,input_482010!A:H,8,FALSE))</f>
        <v>56425</v>
      </c>
      <c r="P44" s="46">
        <f t="shared" ca="1" si="1"/>
        <v>4.9731182795698841E-4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input_482010!A$2</f>
        <v>482010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IFERROR(VLOOKUP(B45,input_482010!L:R,7,FALSE),VLOOKUP(tables_482010!C45,input_482010!A:H,8,FALSE))</f>
        <v>564250</v>
      </c>
      <c r="P45" s="46">
        <f t="shared" ca="1" si="1"/>
        <v>4.9731182795698841E-3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input_482010!A$2</f>
        <v>482010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IFERROR(VLOOKUP(B46,input_482010!L:R,7,FALSE),VLOOKUP(tables_482010!C46,input_482010!A:H,8,FALSE))</f>
        <v>507825</v>
      </c>
      <c r="P46" s="46">
        <f t="shared" ca="1" si="1"/>
        <v>4.4758064516128952E-3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input_482010!A$2</f>
        <v>482010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IFERROR(VLOOKUP(B47,input_482010!L:R,7,FALSE),VLOOKUP(tables_482010!C47,input_482010!A:H,8,FALSE))</f>
        <v>56425</v>
      </c>
      <c r="P47" s="46">
        <f t="shared" ca="1" si="1"/>
        <v>4.9731182795698841E-4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input_482010!A$2</f>
        <v>482010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IFERROR(VLOOKUP(B48,input_482010!L:R,7,FALSE),VLOOKUP(tables_482010!C48,input_482010!A:H,8,FALSE))</f>
        <v>564250</v>
      </c>
      <c r="P48" s="46">
        <f t="shared" ca="1" si="1"/>
        <v>4.9731182795698841E-3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input_482010!A$2</f>
        <v>482010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IFERROR(VLOOKUP(B49,input_482010!L:R,7,FALSE),VLOOKUP(tables_482010!C49,input_482010!A:H,8,FALSE))</f>
        <v>507825</v>
      </c>
      <c r="P49" s="46">
        <f t="shared" ca="1" si="1"/>
        <v>4.4758064516128952E-3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input_482010!A$2</f>
        <v>482010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IFERROR(VLOOKUP(B50,input_482010!L:R,7,FALSE),VLOOKUP(tables_482010!C50,input_482010!A:H,8,FALSE))</f>
        <v>56425</v>
      </c>
      <c r="P50" s="46">
        <f t="shared" ca="1" si="1"/>
        <v>4.9731182795698841E-4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input_482010!A$2</f>
        <v>482010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IFERROR(VLOOKUP(B51,input_482010!L:R,7,FALSE),VLOOKUP(tables_482010!C51,input_482010!A:H,8,FALSE))</f>
        <v>564250</v>
      </c>
      <c r="P51" s="46">
        <f t="shared" ca="1" si="1"/>
        <v>4.9731182795698841E-3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input_482010!A$2</f>
        <v>482010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IFERROR(VLOOKUP(B52,input_482010!L:R,7,FALSE),VLOOKUP(tables_482010!C52,input_482010!A:H,8,FALSE))</f>
        <v>420548.07692000002</v>
      </c>
      <c r="P52" s="46">
        <f t="shared" ca="1" si="1"/>
        <v>3.706575682355009E-3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input_482010!A$2</f>
        <v>482010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IFERROR(VLOOKUP(B53,input_482010!L:R,7,FALSE),VLOOKUP(tables_482010!C53,input_482010!A:H,8,FALSE))</f>
        <v>53776.442309999999</v>
      </c>
      <c r="P53" s="46">
        <f t="shared" ca="1" si="1"/>
        <v>4.7396829111581094E-4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input_482010!A$2</f>
        <v>482010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IFERROR(VLOOKUP(B54,input_482010!L:R,7,FALSE),VLOOKUP(tables_482010!C54,input_482010!A:H,8,FALSE))</f>
        <v>564250</v>
      </c>
      <c r="P54" s="46">
        <f t="shared" ca="1" si="1"/>
        <v>4.9731182795698841E-3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input_482010!A$2</f>
        <v>482010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IFERROR(VLOOKUP(B55,input_482010!L:R,7,FALSE),VLOOKUP(tables_482010!C55,input_482010!A:H,8,FALSE))</f>
        <v>420548.07692000002</v>
      </c>
      <c r="P55" s="46">
        <f t="shared" ca="1" si="1"/>
        <v>3.706575682355009E-3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input_482010!A$2</f>
        <v>482010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IFERROR(VLOOKUP(B56,input_482010!L:R,7,FALSE),VLOOKUP(tables_482010!C56,input_482010!A:H,8,FALSE))</f>
        <v>53776.442309999999</v>
      </c>
      <c r="P56" s="46">
        <f t="shared" ca="1" si="1"/>
        <v>4.7396829111581094E-4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input_482010!A$2</f>
        <v>482010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IFERROR(VLOOKUP(B57,input_482010!L:R,7,FALSE),VLOOKUP(tables_482010!C57,input_482010!A:H,8,FALSE))</f>
        <v>564250</v>
      </c>
      <c r="P57" s="46">
        <f t="shared" ca="1" si="1"/>
        <v>4.9731182795698841E-3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input_482010!A$2</f>
        <v>482010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IFERROR(VLOOKUP(B58,input_482010!L:R,7,FALSE),VLOOKUP(tables_482010!C58,input_482010!A:H,8,FALSE))</f>
        <v>420548.07692000002</v>
      </c>
      <c r="P58" s="46">
        <f t="shared" ca="1" si="1"/>
        <v>3.706575682355009E-3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input_482010!A$2</f>
        <v>482010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IFERROR(VLOOKUP(B59,input_482010!L:R,7,FALSE),VLOOKUP(tables_482010!C59,input_482010!A:H,8,FALSE))</f>
        <v>53776.442309999999</v>
      </c>
      <c r="P59" s="46">
        <f t="shared" ca="1" si="1"/>
        <v>4.7396829111581094E-4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input_482010!A$2</f>
        <v>482010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IFERROR(VLOOKUP(B60,input_482010!L:R,7,FALSE),VLOOKUP(tables_482010!C60,input_482010!A:H,8,FALSE))</f>
        <v>564250</v>
      </c>
      <c r="P60" s="46">
        <f t="shared" ca="1" si="1"/>
        <v>4.9731182795698841E-3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input_482010!A$2</f>
        <v>482010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IFERROR(VLOOKUP(B61,input_482010!L:R,7,FALSE),VLOOKUP(tables_482010!C61,input_482010!A:H,8,FALSE))</f>
        <v>420548.07692000002</v>
      </c>
      <c r="P61" s="46">
        <f t="shared" ca="1" si="1"/>
        <v>3.706575682355009E-3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input_482010!A$2</f>
        <v>482010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IFERROR(VLOOKUP(B62,input_482010!L:R,7,FALSE),VLOOKUP(tables_482010!C62,input_482010!A:H,8,FALSE))</f>
        <v>53776.442309999999</v>
      </c>
      <c r="P62" s="46">
        <f t="shared" ca="1" si="1"/>
        <v>4.7396829111581094E-4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input_482010!A$2</f>
        <v>482010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IFERROR(VLOOKUP(B63,input_482010!L:R,7,FALSE),VLOOKUP(tables_482010!C63,input_482010!A:H,8,FALSE))</f>
        <v>564250</v>
      </c>
      <c r="P63" s="46">
        <f t="shared" ca="1" si="1"/>
        <v>4.9731182795698841E-3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input_482010!A$2</f>
        <v>482010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IFERROR(VLOOKUP(B64,input_482010!L:R,7,FALSE),VLOOKUP(tables_482010!C64,input_482010!A:H,8,FALSE))</f>
        <v>420548.07692000002</v>
      </c>
      <c r="P64" s="46">
        <f t="shared" ca="1" si="1"/>
        <v>3.706575682355009E-3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input_482010!A$2</f>
        <v>482010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IFERROR(VLOOKUP(B65,input_482010!L:R,7,FALSE),VLOOKUP(tables_482010!C65,input_482010!A:H,8,FALSE))</f>
        <v>53776.442309999999</v>
      </c>
      <c r="P65" s="46">
        <f t="shared" ca="1" si="1"/>
        <v>4.7396829111581094E-4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input_482010!A$2</f>
        <v>482010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IFERROR(VLOOKUP(B66,input_482010!L:R,7,FALSE),VLOOKUP(tables_482010!C66,input_482010!A:H,8,FALSE))</f>
        <v>564250</v>
      </c>
      <c r="P66" s="46">
        <f t="shared" ref="P66:P129" ca="1" si="4">O66/SUM(O:O)</f>
        <v>4.9731182795698841E-3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input_482010!A$2</f>
        <v>482010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IFERROR(VLOOKUP(B67,input_482010!L:R,7,FALSE),VLOOKUP(tables_482010!C67,input_482010!A:H,8,FALSE))</f>
        <v>420548.07692000002</v>
      </c>
      <c r="P67" s="46">
        <f t="shared" ca="1" si="4"/>
        <v>3.706575682355009E-3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input_482010!A$2</f>
        <v>482010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IFERROR(VLOOKUP(B68,input_482010!L:R,7,FALSE),VLOOKUP(tables_482010!C68,input_482010!A:H,8,FALSE))</f>
        <v>53776.442309999999</v>
      </c>
      <c r="P68" s="46">
        <f t="shared" ca="1" si="4"/>
        <v>4.7396829111581094E-4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input_482010!A$2</f>
        <v>482010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IFERROR(VLOOKUP(B69,input_482010!L:R,7,FALSE),VLOOKUP(tables_482010!C69,input_482010!A:H,8,FALSE))</f>
        <v>564250</v>
      </c>
      <c r="P69" s="46">
        <f t="shared" ca="1" si="4"/>
        <v>4.9731182795698841E-3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input_482010!A$2</f>
        <v>482010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IFERROR(VLOOKUP(B70,input_482010!L:R,7,FALSE),VLOOKUP(tables_482010!C70,input_482010!A:H,8,FALSE))</f>
        <v>420548.07692000002</v>
      </c>
      <c r="P70" s="46">
        <f t="shared" ca="1" si="4"/>
        <v>3.706575682355009E-3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input_482010!A$2</f>
        <v>482010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IFERROR(VLOOKUP(B71,input_482010!L:R,7,FALSE),VLOOKUP(tables_482010!C71,input_482010!A:H,8,FALSE))</f>
        <v>53776.442309999999</v>
      </c>
      <c r="P71" s="46">
        <f t="shared" ca="1" si="4"/>
        <v>4.7396829111581094E-4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input_482010!A$2</f>
        <v>482010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IFERROR(VLOOKUP(B72,input_482010!L:R,7,FALSE),VLOOKUP(tables_482010!C72,input_482010!A:H,8,FALSE))</f>
        <v>564250</v>
      </c>
      <c r="P72" s="46">
        <f t="shared" ca="1" si="4"/>
        <v>4.9731182795698841E-3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input_482010!A$2</f>
        <v>482010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IFERROR(VLOOKUP(B73,input_482010!L:R,7,FALSE),VLOOKUP(tables_482010!C73,input_482010!A:H,8,FALSE))</f>
        <v>420548.07692000002</v>
      </c>
      <c r="P73" s="46">
        <f t="shared" ca="1" si="4"/>
        <v>3.706575682355009E-3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input_482010!A$2</f>
        <v>482010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IFERROR(VLOOKUP(B74,input_482010!L:R,7,FALSE),VLOOKUP(tables_482010!C74,input_482010!A:H,8,FALSE))</f>
        <v>53776.442309999999</v>
      </c>
      <c r="P74" s="46">
        <f t="shared" ca="1" si="4"/>
        <v>4.7396829111581094E-4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input_482010!A$2</f>
        <v>482010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IFERROR(VLOOKUP(B75,input_482010!L:R,7,FALSE),VLOOKUP(tables_482010!C75,input_482010!A:H,8,FALSE))</f>
        <v>564250</v>
      </c>
      <c r="P75" s="46">
        <f t="shared" ca="1" si="4"/>
        <v>4.9731182795698841E-3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input_482010!A$2</f>
        <v>482010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IFERROR(VLOOKUP(B76,input_482010!L:R,7,FALSE),VLOOKUP(tables_482010!C76,input_482010!A:H,8,FALSE))</f>
        <v>420548.07692000002</v>
      </c>
      <c r="P76" s="46">
        <f t="shared" ca="1" si="4"/>
        <v>3.706575682355009E-3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input_482010!A$2</f>
        <v>482010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IFERROR(VLOOKUP(B77,input_482010!L:R,7,FALSE),VLOOKUP(tables_482010!C77,input_482010!A:H,8,FALSE))</f>
        <v>53776.442309999999</v>
      </c>
      <c r="P77" s="46">
        <f t="shared" ca="1" si="4"/>
        <v>4.7396829111581094E-4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input_482010!A$2</f>
        <v>482010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IFERROR(VLOOKUP(B78,input_482010!L:R,7,FALSE),VLOOKUP(tables_482010!C78,input_482010!A:H,8,FALSE))</f>
        <v>564250</v>
      </c>
      <c r="P78" s="46">
        <f t="shared" ca="1" si="4"/>
        <v>4.9731182795698841E-3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input_482010!A$2</f>
        <v>482010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IFERROR(VLOOKUP(B79,input_482010!L:R,7,FALSE),VLOOKUP(tables_482010!C79,input_482010!A:H,8,FALSE))</f>
        <v>420548.07692000002</v>
      </c>
      <c r="P79" s="46">
        <f t="shared" ca="1" si="4"/>
        <v>3.706575682355009E-3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input_482010!A$2</f>
        <v>482010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IFERROR(VLOOKUP(B80,input_482010!L:R,7,FALSE),VLOOKUP(tables_482010!C80,input_482010!A:H,8,FALSE))</f>
        <v>53776.442309999999</v>
      </c>
      <c r="P80" s="46">
        <f t="shared" ca="1" si="4"/>
        <v>4.7396829111581094E-4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input_482010!A$2</f>
        <v>482010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IFERROR(VLOOKUP(B81,input_482010!L:R,7,FALSE),VLOOKUP(tables_482010!C81,input_482010!A:H,8,FALSE))</f>
        <v>564250</v>
      </c>
      <c r="P81" s="46">
        <f t="shared" ca="1" si="4"/>
        <v>4.9731182795698841E-3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input_482010!A$2</f>
        <v>482010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IFERROR(VLOOKUP(B82,input_482010!L:R,7,FALSE),VLOOKUP(tables_482010!C82,input_482010!A:H,8,FALSE))</f>
        <v>420548.07692000002</v>
      </c>
      <c r="P82" s="46">
        <f t="shared" ca="1" si="4"/>
        <v>3.706575682355009E-3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input_482010!A$2</f>
        <v>482010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IFERROR(VLOOKUP(B83,input_482010!L:R,7,FALSE),VLOOKUP(tables_482010!C83,input_482010!A:H,8,FALSE))</f>
        <v>53776.442309999999</v>
      </c>
      <c r="P83" s="46">
        <f t="shared" ca="1" si="4"/>
        <v>4.7396829111581094E-4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input_482010!A$2</f>
        <v>482010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IFERROR(VLOOKUP(B84,input_482010!L:R,7,FALSE),VLOOKUP(tables_482010!C84,input_482010!A:H,8,FALSE))</f>
        <v>564250</v>
      </c>
      <c r="P84" s="46">
        <f t="shared" ca="1" si="4"/>
        <v>4.9731182795698841E-3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input_482010!A$2</f>
        <v>482010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IFERROR(VLOOKUP(B85,input_482010!L:R,7,FALSE),VLOOKUP(tables_482010!C85,input_482010!A:H,8,FALSE))</f>
        <v>420548.07692000002</v>
      </c>
      <c r="P85" s="46">
        <f t="shared" ca="1" si="4"/>
        <v>3.706575682355009E-3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input_482010!A$2</f>
        <v>482010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IFERROR(VLOOKUP(B86,input_482010!L:R,7,FALSE),VLOOKUP(tables_482010!C86,input_482010!A:H,8,FALSE))</f>
        <v>53776.442309999999</v>
      </c>
      <c r="P86" s="46">
        <f t="shared" ca="1" si="4"/>
        <v>4.7396829111581094E-4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input_482010!A$2</f>
        <v>482010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IFERROR(VLOOKUP(B87,input_482010!L:R,7,FALSE),VLOOKUP(tables_482010!C87,input_482010!A:H,8,FALSE))</f>
        <v>564250</v>
      </c>
      <c r="P87" s="46">
        <f t="shared" ca="1" si="4"/>
        <v>4.9731182795698841E-3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input_482010!A$2</f>
        <v>482010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IFERROR(VLOOKUP(B88,input_482010!L:R,7,FALSE),VLOOKUP(tables_482010!C88,input_482010!A:H,8,FALSE))</f>
        <v>420548.07692000002</v>
      </c>
      <c r="P88" s="46">
        <f t="shared" ca="1" si="4"/>
        <v>3.706575682355009E-3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input_482010!A$2</f>
        <v>482010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IFERROR(VLOOKUP(B89,input_482010!L:R,7,FALSE),VLOOKUP(tables_482010!C89,input_482010!A:H,8,FALSE))</f>
        <v>53776.442309999999</v>
      </c>
      <c r="P89" s="46">
        <f t="shared" ca="1" si="4"/>
        <v>4.7396829111581094E-4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input_482010!A$2</f>
        <v>482010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IFERROR(VLOOKUP(B90,input_482010!L:R,7,FALSE),VLOOKUP(tables_482010!C90,input_482010!A:H,8,FALSE))</f>
        <v>564250</v>
      </c>
      <c r="P90" s="46">
        <f t="shared" ca="1" si="4"/>
        <v>4.9731182795698841E-3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input_482010!A$2</f>
        <v>482010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IFERROR(VLOOKUP(B91,input_482010!L:R,7,FALSE),VLOOKUP(tables_482010!C91,input_482010!A:H,8,FALSE))</f>
        <v>420548.07692000002</v>
      </c>
      <c r="P91" s="46">
        <f t="shared" ca="1" si="4"/>
        <v>3.706575682355009E-3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input_482010!A$2</f>
        <v>482010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IFERROR(VLOOKUP(B92,input_482010!L:R,7,FALSE),VLOOKUP(tables_482010!C92,input_482010!A:H,8,FALSE))</f>
        <v>53776.442309999999</v>
      </c>
      <c r="P92" s="46">
        <f t="shared" ca="1" si="4"/>
        <v>4.7396829111581094E-4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input_482010!A$2</f>
        <v>482010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IFERROR(VLOOKUP(B93,input_482010!L:R,7,FALSE),VLOOKUP(tables_482010!C93,input_482010!A:H,8,FALSE))</f>
        <v>564250</v>
      </c>
      <c r="P93" s="46">
        <f t="shared" ca="1" si="4"/>
        <v>4.9731182795698841E-3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input_482010!A$2</f>
        <v>482010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IFERROR(VLOOKUP(B94,input_482010!L:R,7,FALSE),VLOOKUP(tables_482010!C94,input_482010!A:H,8,FALSE))</f>
        <v>420548.07692000002</v>
      </c>
      <c r="P94" s="46">
        <f t="shared" ca="1" si="4"/>
        <v>3.706575682355009E-3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input_482010!A$2</f>
        <v>482010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IFERROR(VLOOKUP(B95,input_482010!L:R,7,FALSE),VLOOKUP(tables_482010!C95,input_482010!A:H,8,FALSE))</f>
        <v>53776.442309999999</v>
      </c>
      <c r="P95" s="46">
        <f t="shared" ca="1" si="4"/>
        <v>4.7396829111581094E-4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input_482010!A$2</f>
        <v>482010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IFERROR(VLOOKUP(B96,input_482010!L:R,7,FALSE),VLOOKUP(tables_482010!C96,input_482010!A:H,8,FALSE))</f>
        <v>564250</v>
      </c>
      <c r="P96" s="46">
        <f t="shared" ca="1" si="4"/>
        <v>4.9731182795698841E-3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input_482010!A$2</f>
        <v>482010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IFERROR(VLOOKUP(B97,input_482010!L:R,7,FALSE),VLOOKUP(tables_482010!C97,input_482010!A:H,8,FALSE))</f>
        <v>420548.07692000002</v>
      </c>
      <c r="P97" s="46">
        <f t="shared" ca="1" si="4"/>
        <v>3.706575682355009E-3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input_482010!A$2</f>
        <v>482010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IFERROR(VLOOKUP(B98,input_482010!L:R,7,FALSE),VLOOKUP(tables_482010!C98,input_482010!A:H,8,FALSE))</f>
        <v>53776.442309999999</v>
      </c>
      <c r="P98" s="46">
        <f t="shared" ca="1" si="4"/>
        <v>4.7396829111581094E-4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input_482010!A$2</f>
        <v>482010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IFERROR(VLOOKUP(B99,input_482010!L:R,7,FALSE),VLOOKUP(tables_482010!C99,input_482010!A:H,8,FALSE))</f>
        <v>564250</v>
      </c>
      <c r="P99" s="46">
        <f t="shared" ca="1" si="4"/>
        <v>4.9731182795698841E-3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input_482010!A$2</f>
        <v>482010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IFERROR(VLOOKUP(B100,input_482010!L:R,7,FALSE),VLOOKUP(tables_482010!C100,input_482010!A:H,8,FALSE))</f>
        <v>420548.07692000002</v>
      </c>
      <c r="P100" s="46">
        <f t="shared" ca="1" si="4"/>
        <v>3.706575682355009E-3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input_482010!A$2</f>
        <v>482010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IFERROR(VLOOKUP(B101,input_482010!L:R,7,FALSE),VLOOKUP(tables_482010!C101,input_482010!A:H,8,FALSE))</f>
        <v>53776.442309999999</v>
      </c>
      <c r="P101" s="46">
        <f t="shared" ca="1" si="4"/>
        <v>4.7396829111581094E-4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input_482010!A$2</f>
        <v>482010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IFERROR(VLOOKUP(B102,input_482010!L:R,7,FALSE),VLOOKUP(tables_482010!C102,input_482010!A:H,8,FALSE))</f>
        <v>564250</v>
      </c>
      <c r="P102" s="46">
        <f t="shared" ca="1" si="4"/>
        <v>4.9731182795698841E-3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input_482010!A$2</f>
        <v>482010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IFERROR(VLOOKUP(B103,input_482010!L:R,7,FALSE),VLOOKUP(tables_482010!C103,input_482010!A:H,8,FALSE))</f>
        <v>420548.07692000002</v>
      </c>
      <c r="P103" s="46">
        <f t="shared" ca="1" si="4"/>
        <v>3.706575682355009E-3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input_482010!A$2</f>
        <v>482010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IFERROR(VLOOKUP(B104,input_482010!L:R,7,FALSE),VLOOKUP(tables_482010!C104,input_482010!A:H,8,FALSE))</f>
        <v>53776.442309999999</v>
      </c>
      <c r="P104" s="46">
        <f t="shared" ca="1" si="4"/>
        <v>4.7396829111581094E-4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input_482010!A$2</f>
        <v>482010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IFERROR(VLOOKUP(B105,input_482010!L:R,7,FALSE),VLOOKUP(tables_482010!C105,input_482010!A:H,8,FALSE))</f>
        <v>564250</v>
      </c>
      <c r="P105" s="46">
        <f t="shared" ca="1" si="4"/>
        <v>4.9731182795698841E-3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input_482010!A$2</f>
        <v>482010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IFERROR(VLOOKUP(B106,input_482010!L:R,7,FALSE),VLOOKUP(tables_482010!C106,input_482010!A:H,8,FALSE))</f>
        <v>420548.07692000002</v>
      </c>
      <c r="P106" s="46">
        <f t="shared" ca="1" si="4"/>
        <v>3.706575682355009E-3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input_482010!A$2</f>
        <v>482010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IFERROR(VLOOKUP(B107,input_482010!L:R,7,FALSE),VLOOKUP(tables_482010!C107,input_482010!A:H,8,FALSE))</f>
        <v>53776.442309999999</v>
      </c>
      <c r="P107" s="46">
        <f t="shared" ca="1" si="4"/>
        <v>4.7396829111581094E-4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input_482010!A$2</f>
        <v>482010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IFERROR(VLOOKUP(B108,input_482010!L:R,7,FALSE),VLOOKUP(tables_482010!C108,input_482010!A:H,8,FALSE))</f>
        <v>564250</v>
      </c>
      <c r="P108" s="46">
        <f t="shared" ca="1" si="4"/>
        <v>4.9731182795698841E-3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input_482010!A$2</f>
        <v>482010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IFERROR(VLOOKUP(B109,input_482010!L:R,7,FALSE),VLOOKUP(tables_482010!C109,input_482010!A:H,8,FALSE))</f>
        <v>420548.07692000002</v>
      </c>
      <c r="P109" s="46">
        <f t="shared" ca="1" si="4"/>
        <v>3.706575682355009E-3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input_482010!A$2</f>
        <v>482010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IFERROR(VLOOKUP(B110,input_482010!L:R,7,FALSE),VLOOKUP(tables_482010!C110,input_482010!A:H,8,FALSE))</f>
        <v>53776.442309999999</v>
      </c>
      <c r="P110" s="46">
        <f t="shared" ca="1" si="4"/>
        <v>4.7396829111581094E-4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input_482010!A$2</f>
        <v>482010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IFERROR(VLOOKUP(B111,input_482010!L:R,7,FALSE),VLOOKUP(tables_482010!C111,input_482010!A:H,8,FALSE))</f>
        <v>564250</v>
      </c>
      <c r="P111" s="46">
        <f t="shared" ca="1" si="4"/>
        <v>4.9731182795698841E-3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input_482010!A$2</f>
        <v>482010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IFERROR(VLOOKUP(B112,input_482010!L:R,7,FALSE),VLOOKUP(tables_482010!C112,input_482010!A:H,8,FALSE))</f>
        <v>507825</v>
      </c>
      <c r="P112" s="46">
        <f t="shared" ca="1" si="4"/>
        <v>4.4758064516128952E-3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input_482010!A$2</f>
        <v>482010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IFERROR(VLOOKUP(B113,input_482010!L:R,7,FALSE),VLOOKUP(tables_482010!C113,input_482010!A:H,8,FALSE))</f>
        <v>56425</v>
      </c>
      <c r="P113" s="46">
        <f t="shared" ca="1" si="4"/>
        <v>4.9731182795698841E-4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input_482010!A$2</f>
        <v>482010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IFERROR(VLOOKUP(B114,input_482010!L:R,7,FALSE),VLOOKUP(tables_482010!C114,input_482010!A:H,8,FALSE))</f>
        <v>564250</v>
      </c>
      <c r="P114" s="46">
        <f t="shared" ca="1" si="4"/>
        <v>4.9731182795698841E-3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input_482010!A$2</f>
        <v>482010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IFERROR(VLOOKUP(B115,input_482010!L:R,7,FALSE),VLOOKUP(tables_482010!C115,input_482010!A:H,8,FALSE))</f>
        <v>420548.07692000002</v>
      </c>
      <c r="P115" s="46">
        <f t="shared" ca="1" si="4"/>
        <v>3.706575682355009E-3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input_482010!A$2</f>
        <v>482010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IFERROR(VLOOKUP(B116,input_482010!L:R,7,FALSE),VLOOKUP(tables_482010!C116,input_482010!A:H,8,FALSE))</f>
        <v>53776.442309999999</v>
      </c>
      <c r="P116" s="46">
        <f t="shared" ca="1" si="4"/>
        <v>4.7396829111581094E-4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input_482010!A$2</f>
        <v>482010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IFERROR(VLOOKUP(B117,input_482010!L:R,7,FALSE),VLOOKUP(tables_482010!C117,input_482010!A:H,8,FALSE))</f>
        <v>564250</v>
      </c>
      <c r="P117" s="46">
        <f t="shared" ca="1" si="4"/>
        <v>4.9731182795698841E-3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input_482010!A$2</f>
        <v>482010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IFERROR(VLOOKUP(B118,input_482010!L:R,7,FALSE),VLOOKUP(tables_482010!C118,input_482010!A:H,8,FALSE))</f>
        <v>420548.07692000002</v>
      </c>
      <c r="P118" s="46">
        <f t="shared" ca="1" si="4"/>
        <v>3.706575682355009E-3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input_482010!A$2</f>
        <v>482010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IFERROR(VLOOKUP(B119,input_482010!L:R,7,FALSE),VLOOKUP(tables_482010!C119,input_482010!A:H,8,FALSE))</f>
        <v>53776.442309999999</v>
      </c>
      <c r="P119" s="46">
        <f t="shared" ca="1" si="4"/>
        <v>4.7396829111581094E-4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input_482010!A$2</f>
        <v>482010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IFERROR(VLOOKUP(B120,input_482010!L:R,7,FALSE),VLOOKUP(tables_482010!C120,input_482010!A:H,8,FALSE))</f>
        <v>564250</v>
      </c>
      <c r="P120" s="46">
        <f t="shared" ca="1" si="4"/>
        <v>4.9731182795698841E-3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input_482010!A$2</f>
        <v>482010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IFERROR(VLOOKUP(B121,input_482010!L:R,7,FALSE),VLOOKUP(tables_482010!C121,input_482010!A:H,8,FALSE))</f>
        <v>420548.07692000002</v>
      </c>
      <c r="P121" s="46">
        <f t="shared" ca="1" si="4"/>
        <v>3.706575682355009E-3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input_482010!A$2</f>
        <v>482010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IFERROR(VLOOKUP(B122,input_482010!L:R,7,FALSE),VLOOKUP(tables_482010!C122,input_482010!A:H,8,FALSE))</f>
        <v>53776.442309999999</v>
      </c>
      <c r="P122" s="46">
        <f t="shared" ca="1" si="4"/>
        <v>4.7396829111581094E-4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input_482010!A$2</f>
        <v>482010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IFERROR(VLOOKUP(B123,input_482010!L:R,7,FALSE),VLOOKUP(tables_482010!C123,input_482010!A:H,8,FALSE))</f>
        <v>564250</v>
      </c>
      <c r="P123" s="46">
        <f t="shared" ca="1" si="4"/>
        <v>4.9731182795698841E-3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input_482010!A$2</f>
        <v>482010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IFERROR(VLOOKUP(B124,input_482010!L:R,7,FALSE),VLOOKUP(tables_482010!C124,input_482010!A:H,8,FALSE))</f>
        <v>420548.07692000002</v>
      </c>
      <c r="P124" s="46">
        <f t="shared" ca="1" si="4"/>
        <v>3.706575682355009E-3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input_482010!A$2</f>
        <v>482010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IFERROR(VLOOKUP(B125,input_482010!L:R,7,FALSE),VLOOKUP(tables_482010!C125,input_482010!A:H,8,FALSE))</f>
        <v>53776.442309999999</v>
      </c>
      <c r="P125" s="46">
        <f t="shared" ca="1" si="4"/>
        <v>4.7396829111581094E-4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input_482010!A$2</f>
        <v>482010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IFERROR(VLOOKUP(B126,input_482010!L:R,7,FALSE),VLOOKUP(tables_482010!C126,input_482010!A:H,8,FALSE))</f>
        <v>564250</v>
      </c>
      <c r="P126" s="46">
        <f t="shared" ca="1" si="4"/>
        <v>4.9731182795698841E-3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input_482010!A$2</f>
        <v>482010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IFERROR(VLOOKUP(B127,input_482010!L:R,7,FALSE),VLOOKUP(tables_482010!C127,input_482010!A:H,8,FALSE))</f>
        <v>420548.07692000002</v>
      </c>
      <c r="P127" s="46">
        <f t="shared" ca="1" si="4"/>
        <v>3.706575682355009E-3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input_482010!A$2</f>
        <v>482010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IFERROR(VLOOKUP(B128,input_482010!L:R,7,FALSE),VLOOKUP(tables_482010!C128,input_482010!A:H,8,FALSE))</f>
        <v>53776.442309999999</v>
      </c>
      <c r="P128" s="46">
        <f t="shared" ca="1" si="4"/>
        <v>4.7396829111581094E-4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input_482010!A$2</f>
        <v>482010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IFERROR(VLOOKUP(B129,input_482010!L:R,7,FALSE),VLOOKUP(tables_482010!C129,input_482010!A:H,8,FALSE))</f>
        <v>564250</v>
      </c>
      <c r="P129" s="46">
        <f t="shared" ca="1" si="4"/>
        <v>4.9731182795698841E-3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input_482010!A$2</f>
        <v>482010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IFERROR(VLOOKUP(B130,input_482010!L:R,7,FALSE),VLOOKUP(tables_482010!C130,input_482010!A:H,8,FALSE))</f>
        <v>420548.07692000002</v>
      </c>
      <c r="P130" s="46">
        <f t="shared" ref="P130:P193" ca="1" si="7">O130/SUM(O:O)</f>
        <v>3.706575682355009E-3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input_482010!A$2</f>
        <v>482010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IFERROR(VLOOKUP(B131,input_482010!L:R,7,FALSE),VLOOKUP(tables_482010!C131,input_482010!A:H,8,FALSE))</f>
        <v>53776.442309999999</v>
      </c>
      <c r="P131" s="46">
        <f t="shared" ca="1" si="7"/>
        <v>4.7396829111581094E-4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input_482010!A$2</f>
        <v>482010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IFERROR(VLOOKUP(B132,input_482010!L:R,7,FALSE),VLOOKUP(tables_482010!C132,input_482010!A:H,8,FALSE))</f>
        <v>564250</v>
      </c>
      <c r="P132" s="46">
        <f t="shared" ca="1" si="7"/>
        <v>4.9731182795698841E-3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input_482010!A$2</f>
        <v>482010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IFERROR(VLOOKUP(B133,input_482010!L:R,7,FALSE),VLOOKUP(tables_482010!C133,input_482010!A:H,8,FALSE))</f>
        <v>420548.07692000002</v>
      </c>
      <c r="P133" s="46">
        <f t="shared" ca="1" si="7"/>
        <v>3.706575682355009E-3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input_482010!A$2</f>
        <v>482010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IFERROR(VLOOKUP(B134,input_482010!L:R,7,FALSE),VLOOKUP(tables_482010!C134,input_482010!A:H,8,FALSE))</f>
        <v>53776.442309999999</v>
      </c>
      <c r="P134" s="46">
        <f t="shared" ca="1" si="7"/>
        <v>4.7396829111581094E-4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input_482010!A$2</f>
        <v>482010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IFERROR(VLOOKUP(B135,input_482010!L:R,7,FALSE),VLOOKUP(tables_482010!C135,input_482010!A:H,8,FALSE))</f>
        <v>564250</v>
      </c>
      <c r="P135" s="46">
        <f t="shared" ca="1" si="7"/>
        <v>4.9731182795698841E-3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input_482010!A$2</f>
        <v>482010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IFERROR(VLOOKUP(B136,input_482010!L:R,7,FALSE),VLOOKUP(tables_482010!C136,input_482010!A:H,8,FALSE))</f>
        <v>420548.07692000002</v>
      </c>
      <c r="P136" s="46">
        <f t="shared" ca="1" si="7"/>
        <v>3.706575682355009E-3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input_482010!A$2</f>
        <v>482010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IFERROR(VLOOKUP(B137,input_482010!L:R,7,FALSE),VLOOKUP(tables_482010!C137,input_482010!A:H,8,FALSE))</f>
        <v>53776.442309999999</v>
      </c>
      <c r="P137" s="46">
        <f t="shared" ca="1" si="7"/>
        <v>4.7396829111581094E-4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input_482010!A$2</f>
        <v>482010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IFERROR(VLOOKUP(B138,input_482010!L:R,7,FALSE),VLOOKUP(tables_482010!C138,input_482010!A:H,8,FALSE))</f>
        <v>26505</v>
      </c>
      <c r="P138" s="46">
        <f t="shared" ca="1" si="7"/>
        <v>2.3360655737704878E-4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input_482010!A$2</f>
        <v>482010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IFERROR(VLOOKUP(B139,input_482010!L:R,7,FALSE),VLOOKUP(tables_482010!C139,input_482010!A:H,8,FALSE))</f>
        <v>1395</v>
      </c>
      <c r="P139" s="46">
        <f t="shared" ca="1" si="7"/>
        <v>1.2295081967213094E-5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input_482010!A$2</f>
        <v>482010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>IFERROR(VLOOKUP(B140,input_482010!L:R,7,FALSE),VLOOKUP(tables_482010!C140,input_482010!A:H,8,FALSE))</f>
        <v>3233610</v>
      </c>
      <c r="P140" s="46">
        <f t="shared" ca="1" si="7"/>
        <v>2.8499999999999952E-2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input_482010!A$2</f>
        <v>482010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>IFERROR(VLOOKUP(B141,input_482010!L:R,7,FALSE),VLOOKUP(tables_482010!C141,input_482010!A:H,8,FALSE))</f>
        <v>170190</v>
      </c>
      <c r="P141" s="46">
        <f t="shared" ca="1" si="7"/>
        <v>1.4999999999999974E-3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input_482010!A$2</f>
        <v>482010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IFERROR(VLOOKUP(B142,input_482010!L:R,7,FALSE),VLOOKUP(tables_482010!C142,input_482010!A:H,8,FALSE))</f>
        <v>26505</v>
      </c>
      <c r="P142" s="46">
        <f t="shared" ca="1" si="7"/>
        <v>2.3360655737704878E-4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input_482010!A$2</f>
        <v>482010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IFERROR(VLOOKUP(B143,input_482010!L:R,7,FALSE),VLOOKUP(tables_482010!C143,input_482010!A:H,8,FALSE))</f>
        <v>1395</v>
      </c>
      <c r="P143" s="46">
        <f t="shared" ca="1" si="7"/>
        <v>1.2295081967213094E-5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input_482010!A$2</f>
        <v>482010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>IFERROR(VLOOKUP(B144,input_482010!L:R,7,FALSE),VLOOKUP(tables_482010!C144,input_482010!A:H,8,FALSE))</f>
        <v>3233610</v>
      </c>
      <c r="P144" s="46">
        <f t="shared" ca="1" si="7"/>
        <v>2.8499999999999952E-2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input_482010!A$2</f>
        <v>482010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>IFERROR(VLOOKUP(B145,input_482010!L:R,7,FALSE),VLOOKUP(tables_482010!C145,input_482010!A:H,8,FALSE))</f>
        <v>170190</v>
      </c>
      <c r="P145" s="46">
        <f t="shared" ca="1" si="7"/>
        <v>1.4999999999999974E-3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input_482010!A$2</f>
        <v>482010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IFERROR(VLOOKUP(B146,input_482010!L:R,7,FALSE),VLOOKUP(tables_482010!C146,input_482010!A:H,8,FALSE))</f>
        <v>564250</v>
      </c>
      <c r="P146" s="46">
        <f t="shared" ca="1" si="7"/>
        <v>4.9731182795698841E-3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input_482010!A$2</f>
        <v>482010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IFERROR(VLOOKUP(B147,input_482010!L:R,7,FALSE),VLOOKUP(tables_482010!C147,input_482010!A:H,8,FALSE))</f>
        <v>420548.07692000002</v>
      </c>
      <c r="P147" s="46">
        <f t="shared" ca="1" si="7"/>
        <v>3.706575682355009E-3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input_482010!A$2</f>
        <v>482010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IFERROR(VLOOKUP(B148,input_482010!L:R,7,FALSE),VLOOKUP(tables_482010!C148,input_482010!A:H,8,FALSE))</f>
        <v>53776.442309999999</v>
      </c>
      <c r="P148" s="46">
        <f t="shared" ca="1" si="7"/>
        <v>4.7396829111581094E-4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input_482010!A$2</f>
        <v>482010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IFERROR(VLOOKUP(B149,input_482010!L:R,7,FALSE),VLOOKUP(tables_482010!C149,input_482010!A:H,8,FALSE))</f>
        <v>26505</v>
      </c>
      <c r="P149" s="46">
        <f t="shared" ca="1" si="7"/>
        <v>2.3360655737704878E-4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input_482010!A$2</f>
        <v>482010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IFERROR(VLOOKUP(B150,input_482010!L:R,7,FALSE),VLOOKUP(tables_482010!C150,input_482010!A:H,8,FALSE))</f>
        <v>1395</v>
      </c>
      <c r="P150" s="46">
        <f t="shared" ca="1" si="7"/>
        <v>1.2295081967213094E-5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input_482010!A$2</f>
        <v>482010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IFERROR(VLOOKUP(B151,input_482010!L:R,7,FALSE),VLOOKUP(tables_482010!C151,input_482010!A:H,8,FALSE))</f>
        <v>26505</v>
      </c>
      <c r="P151" s="46">
        <f t="shared" ca="1" si="7"/>
        <v>2.3360655737704878E-4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input_482010!A$2</f>
        <v>482010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IFERROR(VLOOKUP(B152,input_482010!L:R,7,FALSE),VLOOKUP(tables_482010!C152,input_482010!A:H,8,FALSE))</f>
        <v>1395</v>
      </c>
      <c r="P152" s="46">
        <f t="shared" ca="1" si="7"/>
        <v>1.2295081967213094E-5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input_482010!A$2</f>
        <v>482010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IFERROR(VLOOKUP(B153,input_482010!L:R,7,FALSE),VLOOKUP(tables_482010!C153,input_482010!A:H,8,FALSE))</f>
        <v>564250</v>
      </c>
      <c r="P153" s="46">
        <f t="shared" ca="1" si="7"/>
        <v>4.9731182795698841E-3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input_482010!A$2</f>
        <v>482010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IFERROR(VLOOKUP(B154,input_482010!L:R,7,FALSE),VLOOKUP(tables_482010!C154,input_482010!A:H,8,FALSE))</f>
        <v>420548.07692000002</v>
      </c>
      <c r="P154" s="46">
        <f t="shared" ca="1" si="7"/>
        <v>3.706575682355009E-3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input_482010!A$2</f>
        <v>482010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IFERROR(VLOOKUP(B155,input_482010!L:R,7,FALSE),VLOOKUP(tables_482010!C155,input_482010!A:H,8,FALSE))</f>
        <v>53776.442309999999</v>
      </c>
      <c r="P155" s="46">
        <f t="shared" ca="1" si="7"/>
        <v>4.7396829111581094E-4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input_482010!A$2</f>
        <v>482010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IFERROR(VLOOKUP(B156,input_482010!L:R,7,FALSE),VLOOKUP(tables_482010!C156,input_482010!A:H,8,FALSE))</f>
        <v>26505</v>
      </c>
      <c r="P156" s="46">
        <f t="shared" ca="1" si="7"/>
        <v>2.3360655737704878E-4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input_482010!A$2</f>
        <v>482010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IFERROR(VLOOKUP(B157,input_482010!L:R,7,FALSE),VLOOKUP(tables_482010!C157,input_482010!A:H,8,FALSE))</f>
        <v>1395</v>
      </c>
      <c r="P157" s="46">
        <f t="shared" ca="1" si="7"/>
        <v>1.2295081967213094E-5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input_482010!A$2</f>
        <v>482010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IFERROR(VLOOKUP(B158,input_482010!L:R,7,FALSE),VLOOKUP(tables_482010!C158,input_482010!A:H,8,FALSE))</f>
        <v>564250</v>
      </c>
      <c r="P158" s="46">
        <f t="shared" ca="1" si="7"/>
        <v>4.9731182795698841E-3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input_482010!A$2</f>
        <v>482010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IFERROR(VLOOKUP(B159,input_482010!L:R,7,FALSE),VLOOKUP(tables_482010!C159,input_482010!A:H,8,FALSE))</f>
        <v>420548.07692000002</v>
      </c>
      <c r="P159" s="46">
        <f t="shared" ca="1" si="7"/>
        <v>3.706575682355009E-3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input_482010!A$2</f>
        <v>482010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IFERROR(VLOOKUP(B160,input_482010!L:R,7,FALSE),VLOOKUP(tables_482010!C160,input_482010!A:H,8,FALSE))</f>
        <v>53776.442309999999</v>
      </c>
      <c r="P160" s="46">
        <f t="shared" ca="1" si="7"/>
        <v>4.7396829111581094E-4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input_482010!A$2</f>
        <v>482010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IFERROR(VLOOKUP(B161,input_482010!L:R,7,FALSE),VLOOKUP(tables_482010!C161,input_482010!A:H,8,FALSE))</f>
        <v>564250</v>
      </c>
      <c r="P161" s="46">
        <f t="shared" ca="1" si="7"/>
        <v>4.9731182795698841E-3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input_482010!A$2</f>
        <v>482010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IFERROR(VLOOKUP(B162,input_482010!L:R,7,FALSE),VLOOKUP(tables_482010!C162,input_482010!A:H,8,FALSE))</f>
        <v>420548.07692000002</v>
      </c>
      <c r="P162" s="46">
        <f t="shared" ca="1" si="7"/>
        <v>3.706575682355009E-3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input_482010!A$2</f>
        <v>482010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IFERROR(VLOOKUP(B163,input_482010!L:R,7,FALSE),VLOOKUP(tables_482010!C163,input_482010!A:H,8,FALSE))</f>
        <v>53776.442309999999</v>
      </c>
      <c r="P163" s="46">
        <f t="shared" ca="1" si="7"/>
        <v>4.7396829111581094E-4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input_482010!A$2</f>
        <v>482010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IFERROR(VLOOKUP(B164,input_482010!L:R,7,FALSE),VLOOKUP(tables_482010!C164,input_482010!A:H,8,FALSE))</f>
        <v>26505</v>
      </c>
      <c r="P164" s="46">
        <f t="shared" ca="1" si="7"/>
        <v>2.3360655737704878E-4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input_482010!A$2</f>
        <v>482010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IFERROR(VLOOKUP(B165,input_482010!L:R,7,FALSE),VLOOKUP(tables_482010!C165,input_482010!A:H,8,FALSE))</f>
        <v>1395</v>
      </c>
      <c r="P165" s="46">
        <f t="shared" ca="1" si="7"/>
        <v>1.2295081967213094E-5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input_482010!A$2</f>
        <v>482010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IFERROR(VLOOKUP(B166,input_482010!L:R,7,FALSE),VLOOKUP(tables_482010!C166,input_482010!A:H,8,FALSE))</f>
        <v>564250</v>
      </c>
      <c r="P166" s="46">
        <f t="shared" ca="1" si="7"/>
        <v>4.9731182795698841E-3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input_482010!A$2</f>
        <v>482010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IFERROR(VLOOKUP(B167,input_482010!L:R,7,FALSE),VLOOKUP(tables_482010!C167,input_482010!A:H,8,FALSE))</f>
        <v>420548.07692000002</v>
      </c>
      <c r="P167" s="46">
        <f t="shared" ca="1" si="7"/>
        <v>3.706575682355009E-3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input_482010!A$2</f>
        <v>482010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IFERROR(VLOOKUP(B168,input_482010!L:R,7,FALSE),VLOOKUP(tables_482010!C168,input_482010!A:H,8,FALSE))</f>
        <v>53776.442309999999</v>
      </c>
      <c r="P168" s="46">
        <f t="shared" ca="1" si="7"/>
        <v>4.7396829111581094E-4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input_482010!A$2</f>
        <v>482010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IFERROR(VLOOKUP(B169,input_482010!L:R,7,FALSE),VLOOKUP(tables_482010!C169,input_482010!A:H,8,FALSE))</f>
        <v>26505</v>
      </c>
      <c r="P169" s="46">
        <f t="shared" ca="1" si="7"/>
        <v>2.3360655737704878E-4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input_482010!A$2</f>
        <v>482010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IFERROR(VLOOKUP(B170,input_482010!L:R,7,FALSE),VLOOKUP(tables_482010!C170,input_482010!A:H,8,FALSE))</f>
        <v>1395</v>
      </c>
      <c r="P170" s="46">
        <f t="shared" ca="1" si="7"/>
        <v>1.2295081967213094E-5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input_482010!A$2</f>
        <v>482010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IFERROR(VLOOKUP(B171,input_482010!L:R,7,FALSE),VLOOKUP(tables_482010!C171,input_482010!A:H,8,FALSE))</f>
        <v>564250</v>
      </c>
      <c r="P171" s="46">
        <f t="shared" ca="1" si="7"/>
        <v>4.9731182795698841E-3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input_482010!A$2</f>
        <v>482010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IFERROR(VLOOKUP(B172,input_482010!L:R,7,FALSE),VLOOKUP(tables_482010!C172,input_482010!A:H,8,FALSE))</f>
        <v>420548.07692000002</v>
      </c>
      <c r="P172" s="46">
        <f t="shared" ca="1" si="7"/>
        <v>3.706575682355009E-3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input_482010!A$2</f>
        <v>482010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IFERROR(VLOOKUP(B173,input_482010!L:R,7,FALSE),VLOOKUP(tables_482010!C173,input_482010!A:H,8,FALSE))</f>
        <v>53776.442309999999</v>
      </c>
      <c r="P173" s="46">
        <f t="shared" ca="1" si="7"/>
        <v>4.7396829111581094E-4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input_482010!A$2</f>
        <v>482010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IFERROR(VLOOKUP(B174,input_482010!L:R,7,FALSE),VLOOKUP(tables_482010!C174,input_482010!A:H,8,FALSE))</f>
        <v>26505</v>
      </c>
      <c r="P174" s="46">
        <f t="shared" ca="1" si="7"/>
        <v>2.3360655737704878E-4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input_482010!A$2</f>
        <v>482010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IFERROR(VLOOKUP(B175,input_482010!L:R,7,FALSE),VLOOKUP(tables_482010!C175,input_482010!A:H,8,FALSE))</f>
        <v>1395</v>
      </c>
      <c r="P175" s="46">
        <f t="shared" ca="1" si="7"/>
        <v>1.2295081967213094E-5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input_482010!A$2</f>
        <v>482010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IFERROR(VLOOKUP(B176,input_482010!L:R,7,FALSE),VLOOKUP(tables_482010!C176,input_482010!A:H,8,FALSE))</f>
        <v>26505</v>
      </c>
      <c r="P176" s="46">
        <f t="shared" ca="1" si="7"/>
        <v>2.3360655737704878E-4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input_482010!A$2</f>
        <v>482010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IFERROR(VLOOKUP(B177,input_482010!L:R,7,FALSE),VLOOKUP(tables_482010!C177,input_482010!A:H,8,FALSE))</f>
        <v>1395</v>
      </c>
      <c r="P177" s="46">
        <f t="shared" ca="1" si="7"/>
        <v>1.2295081967213094E-5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input_482010!A$2</f>
        <v>482010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IFERROR(VLOOKUP(B178,input_482010!L:R,7,FALSE),VLOOKUP(tables_482010!C178,input_482010!A:H,8,FALSE))</f>
        <v>564250</v>
      </c>
      <c r="P178" s="46">
        <f t="shared" ca="1" si="7"/>
        <v>4.9731182795698841E-3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input_482010!A$2</f>
        <v>482010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IFERROR(VLOOKUP(B179,input_482010!L:R,7,FALSE),VLOOKUP(tables_482010!C179,input_482010!A:H,8,FALSE))</f>
        <v>420548.07692000002</v>
      </c>
      <c r="P179" s="46">
        <f t="shared" ca="1" si="7"/>
        <v>3.706575682355009E-3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input_482010!A$2</f>
        <v>482010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IFERROR(VLOOKUP(B180,input_482010!L:R,7,FALSE),VLOOKUP(tables_482010!C180,input_482010!A:H,8,FALSE))</f>
        <v>53776.442309999999</v>
      </c>
      <c r="P180" s="46">
        <f t="shared" ca="1" si="7"/>
        <v>4.7396829111581094E-4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input_482010!A$2</f>
        <v>482010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IFERROR(VLOOKUP(B181,input_482010!L:R,7,FALSE),VLOOKUP(tables_482010!C181,input_482010!A:H,8,FALSE))</f>
        <v>564250</v>
      </c>
      <c r="P181" s="46">
        <f t="shared" ca="1" si="7"/>
        <v>4.9731182795698841E-3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input_482010!A$2</f>
        <v>482010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IFERROR(VLOOKUP(B182,input_482010!L:R,7,FALSE),VLOOKUP(tables_482010!C182,input_482010!A:H,8,FALSE))</f>
        <v>420548.07692000002</v>
      </c>
      <c r="P182" s="46">
        <f t="shared" ca="1" si="7"/>
        <v>3.706575682355009E-3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input_482010!A$2</f>
        <v>482010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IFERROR(VLOOKUP(B183,input_482010!L:R,7,FALSE),VLOOKUP(tables_482010!C183,input_482010!A:H,8,FALSE))</f>
        <v>53776.442309999999</v>
      </c>
      <c r="P183" s="46">
        <f t="shared" ca="1" si="7"/>
        <v>4.7396829111581094E-4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input_482010!A$2</f>
        <v>482010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IFERROR(VLOOKUP(B184,input_482010!L:R,7,FALSE),VLOOKUP(tables_482010!C184,input_482010!A:H,8,FALSE))</f>
        <v>26505</v>
      </c>
      <c r="P184" s="46">
        <f t="shared" ca="1" si="7"/>
        <v>2.3360655737704878E-4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input_482010!A$2</f>
        <v>482010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IFERROR(VLOOKUP(B185,input_482010!L:R,7,FALSE),VLOOKUP(tables_482010!C185,input_482010!A:H,8,FALSE))</f>
        <v>1395</v>
      </c>
      <c r="P185" s="46">
        <f t="shared" ca="1" si="7"/>
        <v>1.2295081967213094E-5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input_482010!A$2</f>
        <v>482010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IFERROR(VLOOKUP(B186,input_482010!L:R,7,FALSE),VLOOKUP(tables_482010!C186,input_482010!A:H,8,FALSE))</f>
        <v>564250</v>
      </c>
      <c r="P186" s="46">
        <f t="shared" ca="1" si="7"/>
        <v>4.9731182795698841E-3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input_482010!A$2</f>
        <v>482010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IFERROR(VLOOKUP(B187,input_482010!L:R,7,FALSE),VLOOKUP(tables_482010!C187,input_482010!A:H,8,FALSE))</f>
        <v>420548.07692000002</v>
      </c>
      <c r="P187" s="46">
        <f t="shared" ca="1" si="7"/>
        <v>3.706575682355009E-3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input_482010!A$2</f>
        <v>482010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IFERROR(VLOOKUP(B188,input_482010!L:R,7,FALSE),VLOOKUP(tables_482010!C188,input_482010!A:H,8,FALSE))</f>
        <v>53776.442309999999</v>
      </c>
      <c r="P188" s="46">
        <f t="shared" ca="1" si="7"/>
        <v>4.7396829111581094E-4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input_482010!A$2</f>
        <v>482010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IFERROR(VLOOKUP(B189,input_482010!L:R,7,FALSE),VLOOKUP(tables_482010!C189,input_482010!A:H,8,FALSE))</f>
        <v>26505</v>
      </c>
      <c r="P189" s="46">
        <f t="shared" ca="1" si="7"/>
        <v>2.3360655737704878E-4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input_482010!A$2</f>
        <v>482010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IFERROR(VLOOKUP(B190,input_482010!L:R,7,FALSE),VLOOKUP(tables_482010!C190,input_482010!A:H,8,FALSE))</f>
        <v>1395</v>
      </c>
      <c r="P190" s="46">
        <f t="shared" ca="1" si="7"/>
        <v>1.2295081967213094E-5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input_482010!A$2</f>
        <v>482010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IFERROR(VLOOKUP(B191,input_482010!L:R,7,FALSE),VLOOKUP(tables_482010!C191,input_482010!A:H,8,FALSE))</f>
        <v>26505</v>
      </c>
      <c r="P191" s="46">
        <f t="shared" ca="1" si="7"/>
        <v>2.3360655737704878E-4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input_482010!A$2</f>
        <v>482010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IFERROR(VLOOKUP(B192,input_482010!L:R,7,FALSE),VLOOKUP(tables_482010!C192,input_482010!A:H,8,FALSE))</f>
        <v>1395</v>
      </c>
      <c r="P192" s="46">
        <f t="shared" ca="1" si="7"/>
        <v>1.2295081967213094E-5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input_482010!A$2</f>
        <v>482010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IFERROR(VLOOKUP(B193,input_482010!L:R,7,FALSE),VLOOKUP(tables_482010!C193,input_482010!A:H,8,FALSE))</f>
        <v>564250</v>
      </c>
      <c r="P193" s="46">
        <f t="shared" ca="1" si="7"/>
        <v>4.9731182795698841E-3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input_482010!A$2</f>
        <v>482010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IFERROR(VLOOKUP(B194,input_482010!L:R,7,FALSE),VLOOKUP(tables_482010!C194,input_482010!A:H,8,FALSE))</f>
        <v>420548.07692000002</v>
      </c>
      <c r="P194" s="46">
        <f t="shared" ref="P194:P257" ca="1" si="10">O194/SUM(O:O)</f>
        <v>3.706575682355009E-3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input_482010!A$2</f>
        <v>482010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IFERROR(VLOOKUP(B195,input_482010!L:R,7,FALSE),VLOOKUP(tables_482010!C195,input_482010!A:H,8,FALSE))</f>
        <v>53776.442309999999</v>
      </c>
      <c r="P195" s="46">
        <f t="shared" ca="1" si="10"/>
        <v>4.7396829111581094E-4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input_482010!A$2</f>
        <v>482010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IFERROR(VLOOKUP(B196,input_482010!L:R,7,FALSE),VLOOKUP(tables_482010!C196,input_482010!A:H,8,FALSE))</f>
        <v>26505</v>
      </c>
      <c r="P196" s="46">
        <f t="shared" ca="1" si="10"/>
        <v>2.3360655737704878E-4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input_482010!A$2</f>
        <v>482010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IFERROR(VLOOKUP(B197,input_482010!L:R,7,FALSE),VLOOKUP(tables_482010!C197,input_482010!A:H,8,FALSE))</f>
        <v>1395</v>
      </c>
      <c r="P197" s="46">
        <f t="shared" ca="1" si="10"/>
        <v>1.2295081967213094E-5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input_482010!A$2</f>
        <v>482010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IFERROR(VLOOKUP(B198,input_482010!L:R,7,FALSE),VLOOKUP(tables_482010!C198,input_482010!A:H,8,FALSE))</f>
        <v>564250</v>
      </c>
      <c r="P198" s="46">
        <f t="shared" ca="1" si="10"/>
        <v>4.9731182795698841E-3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input_482010!A$2</f>
        <v>482010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IFERROR(VLOOKUP(B199,input_482010!L:R,7,FALSE),VLOOKUP(tables_482010!C199,input_482010!A:H,8,FALSE))</f>
        <v>420548.07692000002</v>
      </c>
      <c r="P199" s="46">
        <f t="shared" ca="1" si="10"/>
        <v>3.706575682355009E-3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input_482010!A$2</f>
        <v>482010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IFERROR(VLOOKUP(B200,input_482010!L:R,7,FALSE),VLOOKUP(tables_482010!C200,input_482010!A:H,8,FALSE))</f>
        <v>53776.442309999999</v>
      </c>
      <c r="P200" s="46">
        <f t="shared" ca="1" si="10"/>
        <v>4.7396829111581094E-4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input_482010!A$2</f>
        <v>482010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IFERROR(VLOOKUP(B201,input_482010!L:R,7,FALSE),VLOOKUP(tables_482010!C201,input_482010!A:H,8,FALSE))</f>
        <v>26505</v>
      </c>
      <c r="P201" s="46">
        <f t="shared" ca="1" si="10"/>
        <v>2.3360655737704878E-4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input_482010!A$2</f>
        <v>482010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IFERROR(VLOOKUP(B202,input_482010!L:R,7,FALSE),VLOOKUP(tables_482010!C202,input_482010!A:H,8,FALSE))</f>
        <v>1395</v>
      </c>
      <c r="P202" s="46">
        <f t="shared" ca="1" si="10"/>
        <v>1.2295081967213094E-5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input_482010!A$2</f>
        <v>482010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IFERROR(VLOOKUP(B203,input_482010!L:R,7,FALSE),VLOOKUP(tables_482010!C203,input_482010!A:H,8,FALSE))</f>
        <v>564250</v>
      </c>
      <c r="P203" s="46">
        <f t="shared" ca="1" si="10"/>
        <v>4.9731182795698841E-3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input_482010!A$2</f>
        <v>482010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IFERROR(VLOOKUP(B204,input_482010!L:R,7,FALSE),VLOOKUP(tables_482010!C204,input_482010!A:H,8,FALSE))</f>
        <v>420548.07692000002</v>
      </c>
      <c r="P204" s="46">
        <f t="shared" ca="1" si="10"/>
        <v>3.706575682355009E-3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input_482010!A$2</f>
        <v>482010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IFERROR(VLOOKUP(B205,input_482010!L:R,7,FALSE),VLOOKUP(tables_482010!C205,input_482010!A:H,8,FALSE))</f>
        <v>53776.442309999999</v>
      </c>
      <c r="P205" s="46">
        <f t="shared" ca="1" si="10"/>
        <v>4.7396829111581094E-4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input_482010!A$2</f>
        <v>482010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IFERROR(VLOOKUP(B206,input_482010!L:R,7,FALSE),VLOOKUP(tables_482010!C206,input_482010!A:H,8,FALSE))</f>
        <v>26505</v>
      </c>
      <c r="P206" s="46">
        <f t="shared" ca="1" si="10"/>
        <v>2.3360655737704878E-4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input_482010!A$2</f>
        <v>482010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IFERROR(VLOOKUP(B207,input_482010!L:R,7,FALSE),VLOOKUP(tables_482010!C207,input_482010!A:H,8,FALSE))</f>
        <v>1395</v>
      </c>
      <c r="P207" s="46">
        <f t="shared" ca="1" si="10"/>
        <v>1.2295081967213094E-5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input_482010!A$2</f>
        <v>482010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IFERROR(VLOOKUP(B208,input_482010!L:R,7,FALSE),VLOOKUP(tables_482010!C208,input_482010!A:H,8,FALSE))</f>
        <v>26505</v>
      </c>
      <c r="P208" s="46">
        <f t="shared" ca="1" si="10"/>
        <v>2.3360655737704878E-4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input_482010!A$2</f>
        <v>482010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IFERROR(VLOOKUP(B209,input_482010!L:R,7,FALSE),VLOOKUP(tables_482010!C209,input_482010!A:H,8,FALSE))</f>
        <v>1395</v>
      </c>
      <c r="P209" s="46">
        <f t="shared" ca="1" si="10"/>
        <v>1.2295081967213094E-5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input_482010!A$2</f>
        <v>482010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IFERROR(VLOOKUP(B210,input_482010!L:R,7,FALSE),VLOOKUP(tables_482010!C210,input_482010!A:H,8,FALSE))</f>
        <v>564250</v>
      </c>
      <c r="P210" s="46">
        <f t="shared" ca="1" si="10"/>
        <v>4.9731182795698841E-3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input_482010!A$2</f>
        <v>482010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IFERROR(VLOOKUP(B211,input_482010!L:R,7,FALSE),VLOOKUP(tables_482010!C211,input_482010!A:H,8,FALSE))</f>
        <v>420548.07692000002</v>
      </c>
      <c r="P211" s="46">
        <f t="shared" ca="1" si="10"/>
        <v>3.706575682355009E-3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input_482010!A$2</f>
        <v>482010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IFERROR(VLOOKUP(B212,input_482010!L:R,7,FALSE),VLOOKUP(tables_482010!C212,input_482010!A:H,8,FALSE))</f>
        <v>53776.442309999999</v>
      </c>
      <c r="P212" s="46">
        <f t="shared" ca="1" si="10"/>
        <v>4.7396829111581094E-4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input_482010!A$2</f>
        <v>482010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IFERROR(VLOOKUP(B213,input_482010!L:R,7,FALSE),VLOOKUP(tables_482010!C213,input_482010!A:H,8,FALSE))</f>
        <v>26505</v>
      </c>
      <c r="P213" s="46">
        <f t="shared" ca="1" si="10"/>
        <v>2.3360655737704878E-4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input_482010!A$2</f>
        <v>482010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IFERROR(VLOOKUP(B214,input_482010!L:R,7,FALSE),VLOOKUP(tables_482010!C214,input_482010!A:H,8,FALSE))</f>
        <v>1395</v>
      </c>
      <c r="P214" s="46">
        <f t="shared" ca="1" si="10"/>
        <v>1.2295081967213094E-5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input_482010!A$2</f>
        <v>482010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IFERROR(VLOOKUP(B215,input_482010!L:R,7,FALSE),VLOOKUP(tables_482010!C215,input_482010!A:H,8,FALSE))</f>
        <v>56425</v>
      </c>
      <c r="P215" s="46">
        <f t="shared" ca="1" si="10"/>
        <v>4.9731182795698841E-4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input_482010!A$2</f>
        <v>482010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IFERROR(VLOOKUP(B216,input_482010!L:R,7,FALSE),VLOOKUP(tables_482010!C216,input_482010!A:H,8,FALSE))</f>
        <v>56425</v>
      </c>
      <c r="P216" s="46">
        <f t="shared" ca="1" si="10"/>
        <v>4.9731182795698841E-4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input_482010!A$2</f>
        <v>482010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IFERROR(VLOOKUP(B217,input_482010!L:R,7,FALSE),VLOOKUP(tables_482010!C217,input_482010!A:H,8,FALSE))</f>
        <v>56425</v>
      </c>
      <c r="P217" s="46">
        <f t="shared" ca="1" si="10"/>
        <v>4.9731182795698841E-4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input_482010!A$2</f>
        <v>482010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IFERROR(VLOOKUP(B218,input_482010!L:R,7,FALSE),VLOOKUP(tables_482010!C218,input_482010!A:H,8,FALSE))</f>
        <v>56425</v>
      </c>
      <c r="P218" s="46">
        <f t="shared" ca="1" si="10"/>
        <v>4.9731182795698841E-4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input_482010!A$2</f>
        <v>482010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IFERROR(VLOOKUP(B219,input_482010!L:R,7,FALSE),VLOOKUP(tables_482010!C219,input_482010!A:H,8,FALSE))</f>
        <v>56425</v>
      </c>
      <c r="P219" s="46">
        <f t="shared" ca="1" si="10"/>
        <v>4.9731182795698841E-4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input_482010!A$2</f>
        <v>482010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IFERROR(VLOOKUP(B220,input_482010!L:R,7,FALSE),VLOOKUP(tables_482010!C220,input_482010!A:H,8,FALSE))</f>
        <v>56425</v>
      </c>
      <c r="P220" s="46">
        <f t="shared" ca="1" si="10"/>
        <v>4.9731182795698841E-4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input_482010!A$2</f>
        <v>482010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IFERROR(VLOOKUP(B221,input_482010!L:R,7,FALSE),VLOOKUP(tables_482010!C221,input_482010!A:H,8,FALSE))</f>
        <v>26505</v>
      </c>
      <c r="P221" s="46">
        <f t="shared" ca="1" si="10"/>
        <v>2.3360655737704878E-4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input_482010!A$2</f>
        <v>482010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IFERROR(VLOOKUP(B222,input_482010!L:R,7,FALSE),VLOOKUP(tables_482010!C222,input_482010!A:H,8,FALSE))</f>
        <v>1395</v>
      </c>
      <c r="P222" s="46">
        <f t="shared" ca="1" si="10"/>
        <v>1.2295081967213094E-5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input_482010!A$2</f>
        <v>482010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IFERROR(VLOOKUP(B223,input_482010!L:R,7,FALSE),VLOOKUP(tables_482010!C223,input_482010!A:H,8,FALSE))</f>
        <v>564250</v>
      </c>
      <c r="P223" s="46">
        <f t="shared" ca="1" si="10"/>
        <v>4.9731182795698841E-3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input_482010!A$2</f>
        <v>482010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IFERROR(VLOOKUP(B224,input_482010!L:R,7,FALSE),VLOOKUP(tables_482010!C224,input_482010!A:H,8,FALSE))</f>
        <v>420548.07692000002</v>
      </c>
      <c r="P224" s="46">
        <f t="shared" ca="1" si="10"/>
        <v>3.706575682355009E-3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input_482010!A$2</f>
        <v>482010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IFERROR(VLOOKUP(B225,input_482010!L:R,7,FALSE),VLOOKUP(tables_482010!C225,input_482010!A:H,8,FALSE))</f>
        <v>53776.442309999999</v>
      </c>
      <c r="P225" s="46">
        <f t="shared" ca="1" si="10"/>
        <v>4.7396829111581094E-4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input_482010!A$2</f>
        <v>482010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IFERROR(VLOOKUP(B226,input_482010!L:R,7,FALSE),VLOOKUP(tables_482010!C226,input_482010!A:H,8,FALSE))</f>
        <v>564250</v>
      </c>
      <c r="P226" s="46">
        <f t="shared" ca="1" si="10"/>
        <v>4.9731182795698841E-3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input_482010!A$2</f>
        <v>482010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IFERROR(VLOOKUP(B227,input_482010!L:R,7,FALSE),VLOOKUP(tables_482010!C227,input_482010!A:H,8,FALSE))</f>
        <v>420548.07692000002</v>
      </c>
      <c r="P227" s="46">
        <f t="shared" ca="1" si="10"/>
        <v>3.706575682355009E-3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input_482010!A$2</f>
        <v>482010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IFERROR(VLOOKUP(B228,input_482010!L:R,7,FALSE),VLOOKUP(tables_482010!C228,input_482010!A:H,8,FALSE))</f>
        <v>53776.442309999999</v>
      </c>
      <c r="P228" s="46">
        <f t="shared" ca="1" si="10"/>
        <v>4.7396829111581094E-4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input_482010!A$2</f>
        <v>482010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IFERROR(VLOOKUP(B229,input_482010!L:R,7,FALSE),VLOOKUP(tables_482010!C229,input_482010!A:H,8,FALSE))</f>
        <v>26505</v>
      </c>
      <c r="P229" s="46">
        <f t="shared" ca="1" si="10"/>
        <v>2.3360655737704878E-4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input_482010!A$2</f>
        <v>482010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IFERROR(VLOOKUP(B230,input_482010!L:R,7,FALSE),VLOOKUP(tables_482010!C230,input_482010!A:H,8,FALSE))</f>
        <v>1395</v>
      </c>
      <c r="P230" s="46">
        <f t="shared" ca="1" si="10"/>
        <v>1.2295081967213094E-5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input_482010!A$2</f>
        <v>482010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IFERROR(VLOOKUP(B231,input_482010!L:R,7,FALSE),VLOOKUP(tables_482010!C231,input_482010!A:H,8,FALSE))</f>
        <v>564250</v>
      </c>
      <c r="P231" s="46">
        <f t="shared" ca="1" si="10"/>
        <v>4.9731182795698841E-3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input_482010!A$2</f>
        <v>482010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IFERROR(VLOOKUP(B232,input_482010!L:R,7,FALSE),VLOOKUP(tables_482010!C232,input_482010!A:H,8,FALSE))</f>
        <v>420548.07692000002</v>
      </c>
      <c r="P232" s="46">
        <f t="shared" ca="1" si="10"/>
        <v>3.706575682355009E-3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input_482010!A$2</f>
        <v>482010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IFERROR(VLOOKUP(B233,input_482010!L:R,7,FALSE),VLOOKUP(tables_482010!C233,input_482010!A:H,8,FALSE))</f>
        <v>53776.442309999999</v>
      </c>
      <c r="P233" s="46">
        <f t="shared" ca="1" si="10"/>
        <v>4.7396829111581094E-4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input_482010!A$2</f>
        <v>482010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IFERROR(VLOOKUP(B234,input_482010!L:R,7,FALSE),VLOOKUP(tables_482010!C234,input_482010!A:H,8,FALSE))</f>
        <v>564250</v>
      </c>
      <c r="P234" s="46">
        <f t="shared" ca="1" si="10"/>
        <v>4.9731182795698841E-3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input_482010!A$2</f>
        <v>482010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IFERROR(VLOOKUP(B235,input_482010!L:R,7,FALSE),VLOOKUP(tables_482010!C235,input_482010!A:H,8,FALSE))</f>
        <v>420548.07692000002</v>
      </c>
      <c r="P235" s="46">
        <f t="shared" ca="1" si="10"/>
        <v>3.706575682355009E-3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input_482010!A$2</f>
        <v>482010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IFERROR(VLOOKUP(B236,input_482010!L:R,7,FALSE),VLOOKUP(tables_482010!C236,input_482010!A:H,8,FALSE))</f>
        <v>53776.442309999999</v>
      </c>
      <c r="P236" s="46">
        <f t="shared" ca="1" si="10"/>
        <v>4.7396829111581094E-4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input_482010!A$2</f>
        <v>482010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IFERROR(VLOOKUP(B237,input_482010!L:R,7,FALSE),VLOOKUP(tables_482010!C237,input_482010!A:H,8,FALSE))</f>
        <v>26505</v>
      </c>
      <c r="P237" s="46">
        <f t="shared" ca="1" si="10"/>
        <v>2.3360655737704878E-4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input_482010!A$2</f>
        <v>482010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IFERROR(VLOOKUP(B238,input_482010!L:R,7,FALSE),VLOOKUP(tables_482010!C238,input_482010!A:H,8,FALSE))</f>
        <v>1395</v>
      </c>
      <c r="P238" s="46">
        <f t="shared" ca="1" si="10"/>
        <v>1.2295081967213094E-5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input_482010!A$2</f>
        <v>482010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IFERROR(VLOOKUP(B239,input_482010!L:R,7,FALSE),VLOOKUP(tables_482010!C239,input_482010!A:H,8,FALSE))</f>
        <v>564250</v>
      </c>
      <c r="P239" s="46">
        <f t="shared" ca="1" si="10"/>
        <v>4.9731182795698841E-3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input_482010!A$2</f>
        <v>482010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IFERROR(VLOOKUP(B240,input_482010!L:R,7,FALSE),VLOOKUP(tables_482010!C240,input_482010!A:H,8,FALSE))</f>
        <v>420548.07692000002</v>
      </c>
      <c r="P240" s="46">
        <f t="shared" ca="1" si="10"/>
        <v>3.706575682355009E-3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input_482010!A$2</f>
        <v>482010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IFERROR(VLOOKUP(B241,input_482010!L:R,7,FALSE),VLOOKUP(tables_482010!C241,input_482010!A:H,8,FALSE))</f>
        <v>53776.442309999999</v>
      </c>
      <c r="P241" s="46">
        <f t="shared" ca="1" si="10"/>
        <v>4.7396829111581094E-4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input_482010!A$2</f>
        <v>482010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IFERROR(VLOOKUP(B242,input_482010!L:R,7,FALSE),VLOOKUP(tables_482010!C242,input_482010!A:H,8,FALSE))</f>
        <v>26505</v>
      </c>
      <c r="P242" s="46">
        <f t="shared" ca="1" si="10"/>
        <v>2.3360655737704878E-4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input_482010!A$2</f>
        <v>482010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IFERROR(VLOOKUP(B243,input_482010!L:R,7,FALSE),VLOOKUP(tables_482010!C243,input_482010!A:H,8,FALSE))</f>
        <v>1395</v>
      </c>
      <c r="P243" s="46">
        <f t="shared" ca="1" si="10"/>
        <v>1.2295081967213094E-5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input_482010!A$2</f>
        <v>482010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IFERROR(VLOOKUP(B244,input_482010!L:R,7,FALSE),VLOOKUP(tables_482010!C244,input_482010!A:H,8,FALSE))</f>
        <v>26505</v>
      </c>
      <c r="P244" s="46">
        <f t="shared" ca="1" si="10"/>
        <v>2.3360655737704878E-4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input_482010!A$2</f>
        <v>482010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IFERROR(VLOOKUP(B245,input_482010!L:R,7,FALSE),VLOOKUP(tables_482010!C245,input_482010!A:H,8,FALSE))</f>
        <v>1395</v>
      </c>
      <c r="P245" s="46">
        <f t="shared" ca="1" si="10"/>
        <v>1.2295081967213094E-5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input_482010!A$2</f>
        <v>482010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IFERROR(VLOOKUP(B246,input_482010!L:R,7,FALSE),VLOOKUP(tables_482010!C246,input_482010!A:H,8,FALSE))</f>
        <v>564250</v>
      </c>
      <c r="P246" s="46">
        <f t="shared" ca="1" si="10"/>
        <v>4.9731182795698841E-3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input_482010!A$2</f>
        <v>482010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IFERROR(VLOOKUP(B247,input_482010!L:R,7,FALSE),VLOOKUP(tables_482010!C247,input_482010!A:H,8,FALSE))</f>
        <v>420548.07692000002</v>
      </c>
      <c r="P247" s="46">
        <f t="shared" ca="1" si="10"/>
        <v>3.706575682355009E-3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input_482010!A$2</f>
        <v>482010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IFERROR(VLOOKUP(B248,input_482010!L:R,7,FALSE),VLOOKUP(tables_482010!C248,input_482010!A:H,8,FALSE))</f>
        <v>53776.442309999999</v>
      </c>
      <c r="P248" s="46">
        <f t="shared" ca="1" si="10"/>
        <v>4.7396829111581094E-4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input_482010!A$2</f>
        <v>482010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IFERROR(VLOOKUP(B249,input_482010!L:R,7,FALSE),VLOOKUP(tables_482010!C249,input_482010!A:H,8,FALSE))</f>
        <v>564250</v>
      </c>
      <c r="P249" s="46">
        <f t="shared" ca="1" si="10"/>
        <v>4.9731182795698841E-3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input_482010!A$2</f>
        <v>482010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IFERROR(VLOOKUP(B250,input_482010!L:R,7,FALSE),VLOOKUP(tables_482010!C250,input_482010!A:H,8,FALSE))</f>
        <v>420548.07692000002</v>
      </c>
      <c r="P250" s="46">
        <f t="shared" ca="1" si="10"/>
        <v>3.706575682355009E-3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input_482010!A$2</f>
        <v>482010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IFERROR(VLOOKUP(B251,input_482010!L:R,7,FALSE),VLOOKUP(tables_482010!C251,input_482010!A:H,8,FALSE))</f>
        <v>53776.442309999999</v>
      </c>
      <c r="P251" s="46">
        <f t="shared" ca="1" si="10"/>
        <v>4.7396829111581094E-4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input_482010!A$2</f>
        <v>482010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IFERROR(VLOOKUP(B252,input_482010!L:R,7,FALSE),VLOOKUP(tables_482010!C252,input_482010!A:H,8,FALSE))</f>
        <v>564250</v>
      </c>
      <c r="P252" s="46">
        <f t="shared" ca="1" si="10"/>
        <v>4.9731182795698841E-3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input_482010!A$2</f>
        <v>482010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IFERROR(VLOOKUP(B253,input_482010!L:R,7,FALSE),VLOOKUP(tables_482010!C253,input_482010!A:H,8,FALSE))</f>
        <v>420548.07692000002</v>
      </c>
      <c r="P253" s="46">
        <f t="shared" ca="1" si="10"/>
        <v>3.706575682355009E-3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input_482010!A$2</f>
        <v>482010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IFERROR(VLOOKUP(B254,input_482010!L:R,7,FALSE),VLOOKUP(tables_482010!C254,input_482010!A:H,8,FALSE))</f>
        <v>53776.442309999999</v>
      </c>
      <c r="P254" s="46">
        <f t="shared" ca="1" si="10"/>
        <v>4.7396829111581094E-4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input_482010!A$2</f>
        <v>482010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IFERROR(VLOOKUP(B255,input_482010!L:R,7,FALSE),VLOOKUP(tables_482010!C255,input_482010!A:H,8,FALSE))</f>
        <v>564250</v>
      </c>
      <c r="P255" s="46">
        <f t="shared" ca="1" si="10"/>
        <v>4.9731182795698841E-3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input_482010!A$2</f>
        <v>482010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IFERROR(VLOOKUP(B256,input_482010!L:R,7,FALSE),VLOOKUP(tables_482010!C256,input_482010!A:H,8,FALSE))</f>
        <v>420548.07692000002</v>
      </c>
      <c r="P256" s="46">
        <f t="shared" ca="1" si="10"/>
        <v>3.706575682355009E-3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input_482010!A$2</f>
        <v>482010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IFERROR(VLOOKUP(B257,input_482010!L:R,7,FALSE),VLOOKUP(tables_482010!C257,input_482010!A:H,8,FALSE))</f>
        <v>53776.442309999999</v>
      </c>
      <c r="P257" s="46">
        <f t="shared" ca="1" si="10"/>
        <v>4.7396829111581094E-4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input_482010!A$2</f>
        <v>482010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IFERROR(VLOOKUP(B258,input_482010!L:R,7,FALSE),VLOOKUP(tables_482010!C258,input_482010!A:H,8,FALSE))</f>
        <v>26505</v>
      </c>
      <c r="P258" s="46">
        <f t="shared" ref="P258:P321" ca="1" si="13">O258/SUM(O:O)</f>
        <v>2.3360655737704878E-4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input_482010!A$2</f>
        <v>482010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IFERROR(VLOOKUP(B259,input_482010!L:R,7,FALSE),VLOOKUP(tables_482010!C259,input_482010!A:H,8,FALSE))</f>
        <v>1395</v>
      </c>
      <c r="P259" s="46">
        <f t="shared" ca="1" si="13"/>
        <v>1.2295081967213094E-5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input_482010!A$2</f>
        <v>482010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IFERROR(VLOOKUP(B260,input_482010!L:R,7,FALSE),VLOOKUP(tables_482010!C260,input_482010!A:H,8,FALSE))</f>
        <v>26505</v>
      </c>
      <c r="P260" s="46">
        <f t="shared" ca="1" si="13"/>
        <v>2.3360655737704878E-4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input_482010!A$2</f>
        <v>482010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IFERROR(VLOOKUP(B261,input_482010!L:R,7,FALSE),VLOOKUP(tables_482010!C261,input_482010!A:H,8,FALSE))</f>
        <v>1395</v>
      </c>
      <c r="P261" s="46">
        <f t="shared" ca="1" si="13"/>
        <v>1.2295081967213094E-5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input_482010!A$2</f>
        <v>482010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IFERROR(VLOOKUP(B262,input_482010!L:R,7,FALSE),VLOOKUP(tables_482010!C262,input_482010!A:H,8,FALSE))</f>
        <v>1052160.29412</v>
      </c>
      <c r="P262" s="46">
        <f t="shared" ca="1" si="13"/>
        <v>9.2734029095716385E-3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input_482010!A$2</f>
        <v>482010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IFERROR(VLOOKUP(B263,input_482010!L:R,7,FALSE),VLOOKUP(tables_482010!C263,input_482010!A:H,8,FALSE))</f>
        <v>56425</v>
      </c>
      <c r="P263" s="46">
        <f t="shared" ca="1" si="13"/>
        <v>4.9731182795698841E-4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input_482010!A$2</f>
        <v>482010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IFERROR(VLOOKUP(B264,input_482010!L:R,7,FALSE),VLOOKUP(tables_482010!C264,input_482010!A:H,8,FALSE))</f>
        <v>1052160.29412</v>
      </c>
      <c r="P264" s="46">
        <f t="shared" ca="1" si="13"/>
        <v>9.2734029095716385E-3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input_482010!A$2</f>
        <v>482010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IFERROR(VLOOKUP(B265,input_482010!L:R,7,FALSE),VLOOKUP(tables_482010!C265,input_482010!A:H,8,FALSE))</f>
        <v>56425</v>
      </c>
      <c r="P265" s="46">
        <f t="shared" ca="1" si="13"/>
        <v>4.9731182795698841E-4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input_482010!A$2</f>
        <v>482010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IFERROR(VLOOKUP(B266,input_482010!L:R,7,FALSE),VLOOKUP(tables_482010!C266,input_482010!A:H,8,FALSE))</f>
        <v>27900</v>
      </c>
      <c r="P266" s="46">
        <f t="shared" ca="1" si="13"/>
        <v>2.4590163934426186E-4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input_482010!A$2</f>
        <v>482010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IFERROR(VLOOKUP(B267,input_482010!L:R,7,FALSE),VLOOKUP(tables_482010!C267,input_482010!A:H,8,FALSE))</f>
        <v>27900</v>
      </c>
      <c r="P267" s="46">
        <f t="shared" ca="1" si="13"/>
        <v>2.4590163934426186E-4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input_482010!A$2</f>
        <v>482010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IFERROR(VLOOKUP(B268,input_482010!L:R,7,FALSE),VLOOKUP(tables_482010!C268,input_482010!A:H,8,FALSE))</f>
        <v>27900</v>
      </c>
      <c r="P268" s="46">
        <f t="shared" ca="1" si="13"/>
        <v>2.4590163934426186E-4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input_482010!A$2</f>
        <v>482010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IFERROR(VLOOKUP(B269,input_482010!L:R,7,FALSE),VLOOKUP(tables_482010!C269,input_482010!A:H,8,FALSE))</f>
        <v>27900</v>
      </c>
      <c r="P269" s="46">
        <f t="shared" ca="1" si="13"/>
        <v>2.4590163934426186E-4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input_482010!A$2</f>
        <v>482010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IFERROR(VLOOKUP(B270,input_482010!L:R,7,FALSE),VLOOKUP(tables_482010!C270,input_482010!A:H,8,FALSE))</f>
        <v>1052160.29412</v>
      </c>
      <c r="P270" s="46">
        <f t="shared" ca="1" si="13"/>
        <v>9.2734029095716385E-3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input_482010!A$2</f>
        <v>482010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IFERROR(VLOOKUP(B271,input_482010!L:R,7,FALSE),VLOOKUP(tables_482010!C271,input_482010!A:H,8,FALSE))</f>
        <v>56425</v>
      </c>
      <c r="P271" s="46">
        <f t="shared" ca="1" si="13"/>
        <v>4.9731182795698841E-4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input_482010!A$2</f>
        <v>482010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IFERROR(VLOOKUP(B272,input_482010!L:R,7,FALSE),VLOOKUP(tables_482010!C272,input_482010!A:H,8,FALSE))</f>
        <v>1052160.29412</v>
      </c>
      <c r="P272" s="46">
        <f t="shared" ca="1" si="13"/>
        <v>9.2734029095716385E-3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input_482010!A$2</f>
        <v>482010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IFERROR(VLOOKUP(B273,input_482010!L:R,7,FALSE),VLOOKUP(tables_482010!C273,input_482010!A:H,8,FALSE))</f>
        <v>56425</v>
      </c>
      <c r="P273" s="46">
        <f t="shared" ca="1" si="13"/>
        <v>4.9731182795698841E-4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input_482010!A$2</f>
        <v>482010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IFERROR(VLOOKUP(B274,input_482010!L:R,7,FALSE),VLOOKUP(tables_482010!C274,input_482010!A:H,8,FALSE))</f>
        <v>26505</v>
      </c>
      <c r="P274" s="46">
        <f t="shared" ca="1" si="13"/>
        <v>2.3360655737704878E-4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input_482010!A$2</f>
        <v>482010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IFERROR(VLOOKUP(B275,input_482010!L:R,7,FALSE),VLOOKUP(tables_482010!C275,input_482010!A:H,8,FALSE))</f>
        <v>1395</v>
      </c>
      <c r="P275" s="46">
        <f t="shared" ca="1" si="13"/>
        <v>1.2295081967213094E-5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input_482010!A$2</f>
        <v>482010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IFERROR(VLOOKUP(B276,input_482010!L:R,7,FALSE),VLOOKUP(tables_482010!C276,input_482010!A:H,8,FALSE))</f>
        <v>26505</v>
      </c>
      <c r="P276" s="46">
        <f t="shared" ca="1" si="13"/>
        <v>2.3360655737704878E-4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input_482010!A$2</f>
        <v>482010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IFERROR(VLOOKUP(B277,input_482010!L:R,7,FALSE),VLOOKUP(tables_482010!C277,input_482010!A:H,8,FALSE))</f>
        <v>1395</v>
      </c>
      <c r="P277" s="46">
        <f t="shared" ca="1" si="13"/>
        <v>1.2295081967213094E-5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input_482010!A$2</f>
        <v>482010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IFERROR(VLOOKUP(B278,input_482010!L:R,7,FALSE),VLOOKUP(tables_482010!C278,input_482010!A:H,8,FALSE))</f>
        <v>564250</v>
      </c>
      <c r="P278" s="46">
        <f t="shared" ca="1" si="13"/>
        <v>4.9731182795698841E-3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input_482010!A$2</f>
        <v>482010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IFERROR(VLOOKUP(B279,input_482010!L:R,7,FALSE),VLOOKUP(tables_482010!C279,input_482010!A:H,8,FALSE))</f>
        <v>420548.07692000002</v>
      </c>
      <c r="P279" s="46">
        <f t="shared" ca="1" si="13"/>
        <v>3.706575682355009E-3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input_482010!A$2</f>
        <v>482010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IFERROR(VLOOKUP(B280,input_482010!L:R,7,FALSE),VLOOKUP(tables_482010!C280,input_482010!A:H,8,FALSE))</f>
        <v>53776.442309999999</v>
      </c>
      <c r="P280" s="46">
        <f t="shared" ca="1" si="13"/>
        <v>4.7396829111581094E-4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input_482010!A$2</f>
        <v>482010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IFERROR(VLOOKUP(B281,input_482010!L:R,7,FALSE),VLOOKUP(tables_482010!C281,input_482010!A:H,8,FALSE))</f>
        <v>564250</v>
      </c>
      <c r="P281" s="46">
        <f t="shared" ca="1" si="13"/>
        <v>4.9731182795698841E-3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input_482010!A$2</f>
        <v>482010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IFERROR(VLOOKUP(B282,input_482010!L:R,7,FALSE),VLOOKUP(tables_482010!C282,input_482010!A:H,8,FALSE))</f>
        <v>420548.07692000002</v>
      </c>
      <c r="P282" s="46">
        <f t="shared" ca="1" si="13"/>
        <v>3.706575682355009E-3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input_482010!A$2</f>
        <v>482010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IFERROR(VLOOKUP(B283,input_482010!L:R,7,FALSE),VLOOKUP(tables_482010!C283,input_482010!A:H,8,FALSE))</f>
        <v>53776.442309999999</v>
      </c>
      <c r="P283" s="46">
        <f t="shared" ca="1" si="13"/>
        <v>4.7396829111581094E-4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input_482010!A$2</f>
        <v>482010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IFERROR(VLOOKUP(B284,input_482010!L:R,7,FALSE),VLOOKUP(tables_482010!C284,input_482010!A:H,8,FALSE))</f>
        <v>27900</v>
      </c>
      <c r="P284" s="46">
        <f t="shared" ca="1" si="13"/>
        <v>2.4590163934426186E-4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input_482010!A$2</f>
        <v>482010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IFERROR(VLOOKUP(B285,input_482010!L:R,7,FALSE),VLOOKUP(tables_482010!C285,input_482010!A:H,8,FALSE))</f>
        <v>27900</v>
      </c>
      <c r="P285" s="46">
        <f t="shared" ca="1" si="13"/>
        <v>2.4590163934426186E-4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input_482010!A$2</f>
        <v>482010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IFERROR(VLOOKUP(B286,input_482010!L:R,7,FALSE),VLOOKUP(tables_482010!C286,input_482010!A:H,8,FALSE))</f>
        <v>1052160.29412</v>
      </c>
      <c r="P286" s="46">
        <f t="shared" ca="1" si="13"/>
        <v>9.2734029095716385E-3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input_482010!A$2</f>
        <v>482010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IFERROR(VLOOKUP(B287,input_482010!L:R,7,FALSE),VLOOKUP(tables_482010!C287,input_482010!A:H,8,FALSE))</f>
        <v>56425</v>
      </c>
      <c r="P287" s="46">
        <f t="shared" ca="1" si="13"/>
        <v>4.9731182795698841E-4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input_482010!A$2</f>
        <v>482010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IFERROR(VLOOKUP(B288,input_482010!L:R,7,FALSE),VLOOKUP(tables_482010!C288,input_482010!A:H,8,FALSE))</f>
        <v>1052160.29412</v>
      </c>
      <c r="P288" s="46">
        <f t="shared" ca="1" si="13"/>
        <v>9.2734029095716385E-3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input_482010!A$2</f>
        <v>482010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IFERROR(VLOOKUP(B289,input_482010!L:R,7,FALSE),VLOOKUP(tables_482010!C289,input_482010!A:H,8,FALSE))</f>
        <v>56425</v>
      </c>
      <c r="P289" s="46">
        <f t="shared" ca="1" si="13"/>
        <v>4.9731182795698841E-4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input_482010!A$2</f>
        <v>482010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IFERROR(VLOOKUP(B290,input_482010!L:R,7,FALSE),VLOOKUP(tables_482010!C290,input_482010!A:H,8,FALSE))</f>
        <v>1052160.29412</v>
      </c>
      <c r="P290" s="46">
        <f t="shared" ca="1" si="13"/>
        <v>9.2734029095716385E-3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input_482010!A$2</f>
        <v>482010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IFERROR(VLOOKUP(B291,input_482010!L:R,7,FALSE),VLOOKUP(tables_482010!C291,input_482010!A:H,8,FALSE))</f>
        <v>56425</v>
      </c>
      <c r="P291" s="46">
        <f t="shared" ca="1" si="13"/>
        <v>4.9731182795698841E-4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input_482010!A$2</f>
        <v>482010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IFERROR(VLOOKUP(B292,input_482010!L:R,7,FALSE),VLOOKUP(tables_482010!C292,input_482010!A:H,8,FALSE))</f>
        <v>1052160.29412</v>
      </c>
      <c r="P292" s="46">
        <f t="shared" ca="1" si="13"/>
        <v>9.2734029095716385E-3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input_482010!A$2</f>
        <v>482010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IFERROR(VLOOKUP(B293,input_482010!L:R,7,FALSE),VLOOKUP(tables_482010!C293,input_482010!A:H,8,FALSE))</f>
        <v>56425</v>
      </c>
      <c r="P293" s="46">
        <f t="shared" ca="1" si="13"/>
        <v>4.9731182795698841E-4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input_482010!A$2</f>
        <v>482010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IFERROR(VLOOKUP(B294,input_482010!L:R,7,FALSE),VLOOKUP(tables_482010!C294,input_482010!A:H,8,FALSE))</f>
        <v>27900</v>
      </c>
      <c r="P294" s="46">
        <f t="shared" ca="1" si="13"/>
        <v>2.4590163934426186E-4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input_482010!A$2</f>
        <v>482010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IFERROR(VLOOKUP(B295,input_482010!L:R,7,FALSE),VLOOKUP(tables_482010!C295,input_482010!A:H,8,FALSE))</f>
        <v>27900</v>
      </c>
      <c r="P295" s="46">
        <f t="shared" ca="1" si="13"/>
        <v>2.4590163934426186E-4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input_482010!A$2</f>
        <v>482010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IFERROR(VLOOKUP(B296,input_482010!L:R,7,FALSE),VLOOKUP(tables_482010!C296,input_482010!A:H,8,FALSE))</f>
        <v>27900</v>
      </c>
      <c r="P296" s="46">
        <f t="shared" ca="1" si="13"/>
        <v>2.4590163934426186E-4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input_482010!A$2</f>
        <v>482010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IFERROR(VLOOKUP(B297,input_482010!L:R,7,FALSE),VLOOKUP(tables_482010!C297,input_482010!A:H,8,FALSE))</f>
        <v>1052160.29412</v>
      </c>
      <c r="P297" s="46">
        <f t="shared" ca="1" si="13"/>
        <v>9.2734029095716385E-3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input_482010!A$2</f>
        <v>482010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IFERROR(VLOOKUP(B298,input_482010!L:R,7,FALSE),VLOOKUP(tables_482010!C298,input_482010!A:H,8,FALSE))</f>
        <v>56425</v>
      </c>
      <c r="P298" s="46">
        <f t="shared" ca="1" si="13"/>
        <v>4.9731182795698841E-4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input_482010!A$2</f>
        <v>482010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IFERROR(VLOOKUP(B299,input_482010!L:R,7,FALSE),VLOOKUP(tables_482010!C299,input_482010!A:H,8,FALSE))</f>
        <v>27900</v>
      </c>
      <c r="P299" s="46">
        <f t="shared" ca="1" si="13"/>
        <v>2.4590163934426186E-4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input_482010!A$2</f>
        <v>482010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IFERROR(VLOOKUP(B300,input_482010!L:R,7,FALSE),VLOOKUP(tables_482010!C300,input_482010!A:H,8,FALSE))</f>
        <v>27900</v>
      </c>
      <c r="P300" s="46">
        <f t="shared" ca="1" si="13"/>
        <v>2.4590163934426186E-4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input_482010!A$2</f>
        <v>482010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IFERROR(VLOOKUP(B301,input_482010!L:R,7,FALSE),VLOOKUP(tables_482010!C301,input_482010!A:H,8,FALSE))</f>
        <v>27900</v>
      </c>
      <c r="P301" s="46">
        <f t="shared" ca="1" si="13"/>
        <v>2.4590163934426186E-4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input_482010!A$2</f>
        <v>482010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IFERROR(VLOOKUP(B302,input_482010!L:R,7,FALSE),VLOOKUP(tables_482010!C302,input_482010!A:H,8,FALSE))</f>
        <v>27900</v>
      </c>
      <c r="P302" s="46">
        <f t="shared" ca="1" si="13"/>
        <v>2.4590163934426186E-4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input_482010!A$2</f>
        <v>482010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IFERROR(VLOOKUP(B303,input_482010!L:R,7,FALSE),VLOOKUP(tables_482010!C303,input_482010!A:H,8,FALSE))</f>
        <v>1052160.29412</v>
      </c>
      <c r="P303" s="46">
        <f t="shared" ca="1" si="13"/>
        <v>9.2734029095716385E-3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input_482010!A$2</f>
        <v>482010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IFERROR(VLOOKUP(B304,input_482010!L:R,7,FALSE),VLOOKUP(tables_482010!C304,input_482010!A:H,8,FALSE))</f>
        <v>56425</v>
      </c>
      <c r="P304" s="46">
        <f t="shared" ca="1" si="13"/>
        <v>4.9731182795698841E-4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input_482010!A$2</f>
        <v>482010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IFERROR(VLOOKUP(B305,input_482010!L:R,7,FALSE),VLOOKUP(tables_482010!C305,input_482010!A:H,8,FALSE))</f>
        <v>27900</v>
      </c>
      <c r="P305" s="46">
        <f t="shared" ca="1" si="13"/>
        <v>2.4590163934426186E-4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input_482010!A$2</f>
        <v>482010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IFERROR(VLOOKUP(B306,input_482010!L:R,7,FALSE),VLOOKUP(tables_482010!C306,input_482010!A:H,8,FALSE))</f>
        <v>1052160.29412</v>
      </c>
      <c r="P306" s="46">
        <f t="shared" ca="1" si="13"/>
        <v>9.2734029095716385E-3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input_482010!A$2</f>
        <v>482010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IFERROR(VLOOKUP(B307,input_482010!L:R,7,FALSE),VLOOKUP(tables_482010!C307,input_482010!A:H,8,FALSE))</f>
        <v>56425</v>
      </c>
      <c r="P307" s="46">
        <f t="shared" ca="1" si="13"/>
        <v>4.9731182795698841E-4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input_482010!A$2</f>
        <v>482010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IFERROR(VLOOKUP(B308,input_482010!L:R,7,FALSE),VLOOKUP(tables_482010!C308,input_482010!A:H,8,FALSE))</f>
        <v>27900</v>
      </c>
      <c r="P308" s="46">
        <f t="shared" ca="1" si="13"/>
        <v>2.4590163934426186E-4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input_482010!A$2</f>
        <v>482010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IFERROR(VLOOKUP(B309,input_482010!L:R,7,FALSE),VLOOKUP(tables_482010!C309,input_482010!A:H,8,FALSE))</f>
        <v>27900</v>
      </c>
      <c r="P309" s="46">
        <f t="shared" ca="1" si="13"/>
        <v>2.4590163934426186E-4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input_482010!A$2</f>
        <v>482010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IFERROR(VLOOKUP(B310,input_482010!L:R,7,FALSE),VLOOKUP(tables_482010!C310,input_482010!A:H,8,FALSE))</f>
        <v>27900</v>
      </c>
      <c r="P310" s="46">
        <f t="shared" ca="1" si="13"/>
        <v>2.4590163934426186E-4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input_482010!A$2</f>
        <v>482010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IFERROR(VLOOKUP(B311,input_482010!L:R,7,FALSE),VLOOKUP(tables_482010!C311,input_482010!A:H,8,FALSE))</f>
        <v>1052160.29412</v>
      </c>
      <c r="P311" s="46">
        <f t="shared" ca="1" si="13"/>
        <v>9.2734029095716385E-3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input_482010!A$2</f>
        <v>482010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IFERROR(VLOOKUP(B312,input_482010!L:R,7,FALSE),VLOOKUP(tables_482010!C312,input_482010!A:H,8,FALSE))</f>
        <v>56425</v>
      </c>
      <c r="P312" s="46">
        <f t="shared" ca="1" si="13"/>
        <v>4.9731182795698841E-4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input_482010!A$2</f>
        <v>482010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IFERROR(VLOOKUP(B313,input_482010!L:R,7,FALSE),VLOOKUP(tables_482010!C313,input_482010!A:H,8,FALSE))</f>
        <v>27900</v>
      </c>
      <c r="P313" s="46">
        <f t="shared" ca="1" si="13"/>
        <v>2.4590163934426186E-4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input_482010!A$2</f>
        <v>482010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IFERROR(VLOOKUP(B314,input_482010!L:R,7,FALSE),VLOOKUP(tables_482010!C314,input_482010!A:H,8,FALSE))</f>
        <v>27900</v>
      </c>
      <c r="P314" s="46">
        <f t="shared" ca="1" si="13"/>
        <v>2.4590163934426186E-4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input_482010!A$2</f>
        <v>482010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IFERROR(VLOOKUP(B315,input_482010!L:R,7,FALSE),VLOOKUP(tables_482010!C315,input_482010!A:H,8,FALSE))</f>
        <v>27900</v>
      </c>
      <c r="P315" s="46">
        <f t="shared" ca="1" si="13"/>
        <v>2.4590163934426186E-4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input_482010!A$2</f>
        <v>482010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IFERROR(VLOOKUP(B316,input_482010!L:R,7,FALSE),VLOOKUP(tables_482010!C316,input_482010!A:H,8,FALSE))</f>
        <v>27900</v>
      </c>
      <c r="P316" s="46">
        <f t="shared" ca="1" si="13"/>
        <v>2.4590163934426186E-4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input_482010!A$2</f>
        <v>482010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IFERROR(VLOOKUP(B317,input_482010!L:R,7,FALSE),VLOOKUP(tables_482010!C317,input_482010!A:H,8,FALSE))</f>
        <v>27900</v>
      </c>
      <c r="P317" s="46">
        <f t="shared" ca="1" si="13"/>
        <v>2.4590163934426186E-4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input_482010!A$2</f>
        <v>482010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IFERROR(VLOOKUP(B318,input_482010!L:R,7,FALSE),VLOOKUP(tables_482010!C318,input_482010!A:H,8,FALSE))</f>
        <v>1052160.29412</v>
      </c>
      <c r="P318" s="46">
        <f t="shared" ca="1" si="13"/>
        <v>9.2734029095716385E-3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input_482010!A$2</f>
        <v>482010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IFERROR(VLOOKUP(B319,input_482010!L:R,7,FALSE),VLOOKUP(tables_482010!C319,input_482010!A:H,8,FALSE))</f>
        <v>56425</v>
      </c>
      <c r="P319" s="46">
        <f t="shared" ca="1" si="13"/>
        <v>4.9731182795698841E-4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input_482010!A$2</f>
        <v>482010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IFERROR(VLOOKUP(B320,input_482010!L:R,7,FALSE),VLOOKUP(tables_482010!C320,input_482010!A:H,8,FALSE))</f>
        <v>27900</v>
      </c>
      <c r="P320" s="46">
        <f t="shared" ca="1" si="13"/>
        <v>2.4590163934426186E-4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input_482010!A$2</f>
        <v>482010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IFERROR(VLOOKUP(B321,input_482010!L:R,7,FALSE),VLOOKUP(tables_482010!C321,input_482010!A:H,8,FALSE))</f>
        <v>27900</v>
      </c>
      <c r="P321" s="46">
        <f t="shared" ca="1" si="13"/>
        <v>2.4590163934426186E-4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input_482010!A$2</f>
        <v>482010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IFERROR(VLOOKUP(B322,input_482010!L:R,7,FALSE),VLOOKUP(tables_482010!C322,input_482010!A:H,8,FALSE))</f>
        <v>27900</v>
      </c>
      <c r="P322" s="46">
        <f t="shared" ref="P322:P330" ca="1" si="23">O322/SUM(O:O)</f>
        <v>2.4590163934426186E-4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input_482010!A$2</f>
        <v>482010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IFERROR(VLOOKUP(B323,input_482010!L:R,7,FALSE),VLOOKUP(tables_482010!C323,input_482010!A:H,8,FALSE))</f>
        <v>27900</v>
      </c>
      <c r="P323" s="46">
        <f t="shared" ca="1" si="23"/>
        <v>2.4590163934426186E-4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input_482010!A$2</f>
        <v>482010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IFERROR(VLOOKUP(B324,input_482010!L:R,7,FALSE),VLOOKUP(tables_482010!C324,input_482010!A:H,8,FALSE))</f>
        <v>1052160.29412</v>
      </c>
      <c r="P324" s="46">
        <f t="shared" ca="1" si="23"/>
        <v>9.2734029095716385E-3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input_482010!A$2</f>
        <v>482010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IFERROR(VLOOKUP(B325,input_482010!L:R,7,FALSE),VLOOKUP(tables_482010!C325,input_482010!A:H,8,FALSE))</f>
        <v>56425</v>
      </c>
      <c r="P325" s="46">
        <f t="shared" ca="1" si="23"/>
        <v>4.9731182795698841E-4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input_482010!A$2</f>
        <v>482010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IFERROR(VLOOKUP(B326,input_482010!L:R,7,FALSE),VLOOKUP(tables_482010!C326,input_482010!A:H,8,FALSE))</f>
        <v>1052160.29412</v>
      </c>
      <c r="P326" s="46">
        <f t="shared" ca="1" si="23"/>
        <v>9.2734029095716385E-3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input_482010!A$2</f>
        <v>482010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IFERROR(VLOOKUP(B327,input_482010!L:R,7,FALSE),VLOOKUP(tables_482010!C327,input_482010!A:H,8,FALSE))</f>
        <v>56425</v>
      </c>
      <c r="P327" s="46">
        <f t="shared" ca="1" si="23"/>
        <v>4.9731182795698841E-4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input_482010!A$2</f>
        <v>482010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IFERROR(VLOOKUP(B328,input_482010!L:R,7,FALSE),VLOOKUP(tables_482010!C328,input_482010!A:H,8,FALSE))</f>
        <v>27900</v>
      </c>
      <c r="P328" s="46">
        <f t="shared" ca="1" si="23"/>
        <v>2.4590163934426186E-4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input_482010!A$2</f>
        <v>482010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IFERROR(VLOOKUP(B329,input_482010!L:R,7,FALSE),VLOOKUP(tables_482010!C329,input_482010!A:H,8,FALSE))</f>
        <v>27900</v>
      </c>
      <c r="P329" s="46">
        <f t="shared" ca="1" si="23"/>
        <v>2.4590163934426186E-4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input_482010!A$2</f>
        <v>482010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IFERROR(VLOOKUP(B330,input_482010!L:R,7,FALSE),VLOOKUP(tables_482010!C330,input_482010!A:H,8,FALSE))</f>
        <v>27900</v>
      </c>
      <c r="P330" s="46">
        <f t="shared" ca="1" si="23"/>
        <v>2.4590163934426186E-4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input_482010!A$2</f>
        <v>482010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IFERROR(VLOOKUP(B331,input_482010!L:R,7,FALSE),VLOOKUP(tables_482010!C331,input_482010!A:H,8,FALSE))</f>
        <v>27900</v>
      </c>
      <c r="P331" s="46">
        <f t="shared" ref="P331:P335" ca="1" si="28">O331/SUM(O:O)</f>
        <v>2.4590163934426186E-4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input_482010!A$2</f>
        <v>482010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IFERROR(VLOOKUP(B332,input_482010!L:R,7,FALSE),VLOOKUP(tables_482010!C332,input_482010!A:H,8,FALSE))</f>
        <v>27900</v>
      </c>
      <c r="P332" s="46">
        <f t="shared" ca="1" si="28"/>
        <v>2.4590163934426186E-4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input_482010!A$2</f>
        <v>482010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IFERROR(VLOOKUP(B333,input_482010!L:R,7,FALSE),VLOOKUP(tables_482010!C333,input_482010!A:H,8,FALSE))</f>
        <v>27900</v>
      </c>
      <c r="P333" s="46">
        <f t="shared" ca="1" si="28"/>
        <v>2.4590163934426186E-4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input_482010!A$2</f>
        <v>482010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IFERROR(VLOOKUP(B334,input_482010!L:R,7,FALSE),VLOOKUP(tables_482010!C334,input_482010!A:H,8,FALSE))</f>
        <v>1052160.29412</v>
      </c>
      <c r="P334" s="46">
        <f t="shared" ca="1" si="28"/>
        <v>9.2734029095716385E-3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input_482010!A$2</f>
        <v>482010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IFERROR(VLOOKUP(B335,input_482010!L:R,7,FALSE),VLOOKUP(tables_482010!C335,input_482010!A:H,8,FALSE))</f>
        <v>56425</v>
      </c>
      <c r="P335" s="46">
        <f t="shared" ca="1" si="28"/>
        <v>4.9731182795698841E-4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input_482010!A$2</f>
        <v>482010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IFERROR(VLOOKUP(B336,input_482010!L:R,7,FALSE),VLOOKUP(tables_482010!C336,input_482010!A:H,8,FALSE))</f>
        <v>1052160.29412</v>
      </c>
      <c r="P336" s="46">
        <f t="shared" ref="P336:P340" ca="1" si="31">O336/SUM(O:O)</f>
        <v>9.2734029095716385E-3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input_482010!A$2</f>
        <v>482010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IFERROR(VLOOKUP(B337,input_482010!L:R,7,FALSE),VLOOKUP(tables_482010!C337,input_482010!A:H,8,FALSE))</f>
        <v>56425</v>
      </c>
      <c r="P337" s="46">
        <f t="shared" ca="1" si="31"/>
        <v>4.9731182795698841E-4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input_482010!A$2</f>
        <v>482010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IFERROR(VLOOKUP(B338,input_482010!L:R,7,FALSE),VLOOKUP(tables_482010!C338,input_482010!A:H,8,FALSE))</f>
        <v>27900</v>
      </c>
      <c r="P338" s="46">
        <f t="shared" ca="1" si="31"/>
        <v>2.4590163934426186E-4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input_482010!A$2</f>
        <v>482010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IFERROR(VLOOKUP(B339,input_482010!L:R,7,FALSE),VLOOKUP(tables_482010!C339,input_482010!A:H,8,FALSE))</f>
        <v>27900</v>
      </c>
      <c r="P339" s="46">
        <f t="shared" ca="1" si="31"/>
        <v>2.4590163934426186E-4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input_482010!A$2</f>
        <v>482010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IFERROR(VLOOKUP(B340,input_482010!L:R,7,FALSE),VLOOKUP(tables_482010!C340,input_482010!A:H,8,FALSE))</f>
        <v>27900</v>
      </c>
      <c r="P340" s="46">
        <f t="shared" ca="1" si="31"/>
        <v>2.4590163934426186E-4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H35" sqref="H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322</v>
      </c>
      <c r="M3" s="37" t="str">
        <f>VLOOKUP(L3,[1]characters!$A:$C,3,FALSE)</f>
        <v>愛志士 土方歳三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VLOOKUP(L3,tables_482100!B:C,2,FALSE)</f>
        <v>PremiumSS4</v>
      </c>
      <c r="R3" s="62">
        <f t="shared" ref="R3:R20" si="1">N3*A$36</f>
        <v>3233610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323</v>
      </c>
      <c r="M4" s="37" t="str">
        <f>VLOOKUP(L4,[1]characters!$A:$C,3,FALSE)</f>
        <v>流麗の愛志士 土方歳三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VLOOKUP(L4,tables_482100!B:C,2,FALSE)</f>
        <v>PremiumSS5</v>
      </c>
      <c r="R4" s="62">
        <f t="shared" si="1"/>
        <v>170190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2.4590163934426229E-4</v>
      </c>
      <c r="F5">
        <f>(COUNTIF(tables_482100!C:C,input_482100!A28)+COUNTIF(tables_482100!C:C,input_482100!A29))</f>
        <v>63</v>
      </c>
      <c r="H5" s="84">
        <v>0.06</v>
      </c>
      <c r="I5" s="31">
        <v>2</v>
      </c>
      <c r="L5" s="60">
        <v>326</v>
      </c>
      <c r="M5" s="37" t="str">
        <f>VLOOKUP(L5,[1]characters!$A:$C,3,FALSE)</f>
        <v>妖志士 斎藤一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VLOOKUP(L5,tables_482100!B:C,2,FALSE)</f>
        <v>PremiumSS4</v>
      </c>
      <c r="R5" s="62">
        <f t="shared" si="1"/>
        <v>3233610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9.9462365591397855E-3</v>
      </c>
      <c r="F6">
        <f>(COUNTIF(tables_482100!C:C,input_482100!A25)+COUNTIF(tables_482100!C:C,input_482100!A18)+COUNTIF(tables_482100!C:C,input_482100!A20)+COUNTIF(tables_482100!C:C,input_482100!A22))</f>
        <v>93</v>
      </c>
      <c r="H6" s="89">
        <v>0</v>
      </c>
      <c r="I6" s="31">
        <v>0</v>
      </c>
      <c r="L6" s="93">
        <v>327</v>
      </c>
      <c r="M6" s="37" t="str">
        <f>VLOOKUP(L6,[1]characters!$A:$C,3,FALSE)</f>
        <v>千殺の妖志士 斎藤一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VLOOKUP(L6,tables_482100!B:C,2,FALSE)</f>
        <v>PremiumSS5</v>
      </c>
      <c r="R6" s="62">
        <f t="shared" si="1"/>
        <v>170190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5.7000000000000002E-2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3.0000000000000001E-3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COUNTIF(tables_482100!C:C,input_482100!A17)-COUNTIF(Q:Q,A17)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0.22013859509994704</v>
      </c>
      <c r="C18" s="85">
        <f t="shared" si="2"/>
        <v>0</v>
      </c>
      <c r="D18" s="74">
        <f t="shared" si="3"/>
        <v>0.22013859509994704</v>
      </c>
      <c r="E18">
        <f>COUNTIF(tables_482100!C:C,input_482100!A18)-COUNTIF(Q:Q,A18)</f>
        <v>20</v>
      </c>
      <c r="F18" s="43">
        <f>IFERROR(B18/E18,0)</f>
        <v>1.1006929754997351E-2</v>
      </c>
      <c r="G18">
        <f t="shared" si="4"/>
        <v>24976925.000039991</v>
      </c>
      <c r="H18">
        <f t="shared" si="5"/>
        <v>1248846.25</v>
      </c>
      <c r="I18">
        <f t="shared" si="6"/>
        <v>0.25</v>
      </c>
      <c r="J18">
        <f t="shared" si="7"/>
        <v>4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COUNTIF(tables_482100!C:C,input_482100!A19)-COUNTIF(Q:Q,A19)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0.47134408602150535</v>
      </c>
      <c r="C20" s="85">
        <f t="shared" si="2"/>
        <v>0</v>
      </c>
      <c r="D20" s="74">
        <f t="shared" si="3"/>
        <v>0.47134408602150535</v>
      </c>
      <c r="E20">
        <f>COUNTIF(tables_482100!C:C,input_482100!A20)-COUNTIF(Q:Q,A20)</f>
        <v>52</v>
      </c>
      <c r="F20" s="43">
        <f t="shared" si="8"/>
        <v>9.0643093465674097E-3</v>
      </c>
      <c r="G20">
        <f t="shared" si="4"/>
        <v>53478700</v>
      </c>
      <c r="H20">
        <f t="shared" si="5"/>
        <v>1028436.53846</v>
      </c>
      <c r="I20">
        <f t="shared" si="6"/>
        <v>0.5384599999524653</v>
      </c>
      <c r="J20">
        <f t="shared" si="7"/>
        <v>1.8571481634444136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2.4646351136259462E-2</v>
      </c>
      <c r="C21" s="85">
        <f t="shared" si="2"/>
        <v>0</v>
      </c>
      <c r="D21" s="74">
        <f t="shared" si="3"/>
        <v>2.4646351136259462E-2</v>
      </c>
      <c r="E21">
        <f>COUNTIF(tables_482100!C:C,input_482100!A21)-COUNTIF(Q:Q,A21)</f>
        <v>52</v>
      </c>
      <c r="F21" s="43">
        <f t="shared" si="8"/>
        <v>4.7396829108191276E-4</v>
      </c>
      <c r="G21">
        <f t="shared" si="4"/>
        <v>2796374.9999199985</v>
      </c>
      <c r="H21">
        <f t="shared" si="5"/>
        <v>53776.442309999999</v>
      </c>
      <c r="I21">
        <f t="shared" si="6"/>
        <v>0.44230999999854248</v>
      </c>
      <c r="J21">
        <f t="shared" si="7"/>
        <v>2.2608577694451748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0.1576478494623656</v>
      </c>
      <c r="C22" s="85">
        <f t="shared" si="2"/>
        <v>0</v>
      </c>
      <c r="D22" s="74">
        <f t="shared" si="3"/>
        <v>0.1576478494623656</v>
      </c>
      <c r="E22">
        <f>COUNTIF(tables_482100!C:C,input_482100!A22)-COUNTIF(Q:Q,A22)</f>
        <v>17</v>
      </c>
      <c r="F22" s="43">
        <f t="shared" si="8"/>
        <v>9.2734029095509173E-3</v>
      </c>
      <c r="G22">
        <f t="shared" si="4"/>
        <v>17886725</v>
      </c>
      <c r="H22">
        <f t="shared" si="5"/>
        <v>1052160.29412</v>
      </c>
      <c r="I22">
        <f t="shared" si="6"/>
        <v>0.29411999997682869</v>
      </c>
      <c r="J22">
        <f t="shared" si="7"/>
        <v>3.3999728004854544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1.1438172043010755E-2</v>
      </c>
      <c r="C23" s="85">
        <f t="shared" si="2"/>
        <v>0</v>
      </c>
      <c r="D23" s="74">
        <f t="shared" si="3"/>
        <v>1.1438172043010755E-2</v>
      </c>
      <c r="E23">
        <f>COUNTIF(tables_482100!C:C,input_482100!A23)-COUNTIF(Q:Q,A23)</f>
        <v>23</v>
      </c>
      <c r="F23" s="43">
        <f t="shared" si="8"/>
        <v>4.9731182795698938E-4</v>
      </c>
      <c r="G23">
        <f t="shared" si="4"/>
        <v>1297775.0000000002</v>
      </c>
      <c r="H23">
        <f t="shared" si="5"/>
        <v>56425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COUNTIF(tables_482100!C:C,input_482100!A24)-COUNTIF(Q:Q,A24)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3.7795698924731183E-2</v>
      </c>
      <c r="C25" s="85">
        <f t="shared" si="2"/>
        <v>0</v>
      </c>
      <c r="D25" s="74">
        <f t="shared" si="3"/>
        <v>3.7795698924731183E-2</v>
      </c>
      <c r="E25">
        <f>COUNTIF(tables_482100!C:C,input_482100!A25)-COUNTIF(Q:Q,A25)</f>
        <v>4</v>
      </c>
      <c r="F25" s="43">
        <f t="shared" si="8"/>
        <v>9.4489247311827958E-3</v>
      </c>
      <c r="G25">
        <f t="shared" si="4"/>
        <v>4288300</v>
      </c>
      <c r="H25">
        <f t="shared" si="5"/>
        <v>1072075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1.9892473118279571E-3</v>
      </c>
      <c r="C26" s="85">
        <f t="shared" si="2"/>
        <v>0</v>
      </c>
      <c r="D26" s="74">
        <f t="shared" si="3"/>
        <v>1.9892473118279571E-3</v>
      </c>
      <c r="E26">
        <f>COUNTIF(tables_482100!C:C,input_482100!A26)-COUNTIF(Q:Q,A26)</f>
        <v>4</v>
      </c>
      <c r="F26" s="43">
        <f t="shared" si="8"/>
        <v>4.9731182795698927E-4</v>
      </c>
      <c r="G26">
        <f t="shared" si="4"/>
        <v>225700</v>
      </c>
      <c r="H26">
        <f t="shared" si="5"/>
        <v>56425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6.0737704918032778E-3</v>
      </c>
      <c r="C27" s="85">
        <f t="shared" si="2"/>
        <v>5.7000000000000002E-2</v>
      </c>
      <c r="D27" s="74">
        <f t="shared" si="3"/>
        <v>-5.0926229508196724E-2</v>
      </c>
      <c r="E27">
        <f>COUNTIF(tables_482100!C:C,input_482100!A27)-COUNTIF(Q:Q,A27)</f>
        <v>26</v>
      </c>
      <c r="F27" s="43">
        <f>IFERROR(B27/E27,0)</f>
        <v>2.3360655737704914E-4</v>
      </c>
      <c r="G27">
        <f t="shared" si="4"/>
        <v>689129.99999999988</v>
      </c>
      <c r="H27">
        <f t="shared" si="5"/>
        <v>26505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3.1967213114754097E-4</v>
      </c>
      <c r="C28" s="85">
        <f t="shared" si="2"/>
        <v>3.0000000000000001E-3</v>
      </c>
      <c r="D28" s="74">
        <f t="shared" si="3"/>
        <v>-2.6803278688524593E-3</v>
      </c>
      <c r="E28">
        <f>COUNTIF(tables_482100!C:C,input_482100!A28)-COUNTIF(Q:Q,A28)</f>
        <v>26</v>
      </c>
      <c r="F28" s="43">
        <f t="shared" si="8"/>
        <v>1.2295081967213114E-5</v>
      </c>
      <c r="G28">
        <f t="shared" si="4"/>
        <v>36270</v>
      </c>
      <c r="H28">
        <f t="shared" si="5"/>
        <v>1395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8.6065573770491809E-3</v>
      </c>
      <c r="C29" s="85">
        <f t="shared" si="2"/>
        <v>0</v>
      </c>
      <c r="D29" s="74">
        <f t="shared" si="3"/>
        <v>8.6065573770491809E-3</v>
      </c>
      <c r="E29">
        <f>COUNTIF(tables_482100!C:C,input_482100!A29)-COUNTIF(Q:Q,A29)</f>
        <v>35</v>
      </c>
      <c r="F29" s="43">
        <f t="shared" si="8"/>
        <v>2.4590163934426229E-4</v>
      </c>
      <c r="G29">
        <f t="shared" si="4"/>
        <v>976500.00000000012</v>
      </c>
      <c r="H29">
        <f t="shared" si="5"/>
        <v>27900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COUNTIF(tables_482100!C:C,input_482100!A30)-COUNTIF(Q:Q,A30)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COUNTIF(tables_482100!C:C,input_482100!A31)-COUNTIF(Q:Q,A31)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0.93999999999964745</v>
      </c>
      <c r="C32" s="41">
        <f>SUM(C19:C31)</f>
        <v>6.0000000000000005E-2</v>
      </c>
      <c r="D32" s="42">
        <f t="shared" si="3"/>
        <v>0.8799999999996474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1.2138639171513366E-3</v>
      </c>
      <c r="F34" s="55"/>
    </row>
    <row r="35" spans="1:7" x14ac:dyDescent="0.15">
      <c r="A35" t="s">
        <v>73</v>
      </c>
      <c r="E35">
        <v>3.0000000007050984E-3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SUMIF(tables_482100!C:C,input_482100!A40,tables_482100!O:O)</f>
        <v>0</v>
      </c>
      <c r="C40" s="54">
        <f t="shared" ref="C40:C46" ca="1" si="9">B40/B$47</f>
        <v>0</v>
      </c>
      <c r="E40">
        <v>3</v>
      </c>
      <c r="F40">
        <f ca="1">SUMIF(tables_482100!J:J,input_482100!E40,tables_482100!O:O)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SUMIF(tables_482100!C:C,input_482100!A41,tables_482100!O:O)</f>
        <v>53478699.99992004</v>
      </c>
      <c r="C41" s="54">
        <f t="shared" ca="1" si="9"/>
        <v>0.8381180595071468</v>
      </c>
      <c r="E41">
        <v>4</v>
      </c>
      <c r="F41">
        <f ca="1">SUMIF(tables_482100!J:J,input_482100!E41,tables_482100!O:O)</f>
        <v>107786999.99996005</v>
      </c>
      <c r="G41">
        <f ca="1">F41/A36</f>
        <v>0.9499999999996479</v>
      </c>
    </row>
    <row r="42" spans="1:7" x14ac:dyDescent="0.15">
      <c r="A42" s="33" t="s">
        <v>106</v>
      </c>
      <c r="B42">
        <f ca="1">SUMIF(tables_482100!C:C,input_482100!A42,tables_482100!O:O)</f>
        <v>7156350</v>
      </c>
      <c r="C42" s="54">
        <f t="shared" ca="1" si="9"/>
        <v>0.11215430021976858</v>
      </c>
      <c r="E42">
        <v>5</v>
      </c>
      <c r="F42">
        <f ca="1">SUMIF(tables_482100!J:J,input_482100!E42,tables_482100!O:O)</f>
        <v>5673000.0001199972</v>
      </c>
      <c r="G42">
        <f ca="1">F42/A36</f>
        <v>5.0000000001057615E-2</v>
      </c>
    </row>
    <row r="43" spans="1:7" x14ac:dyDescent="0.15">
      <c r="A43" s="33" t="s">
        <v>109</v>
      </c>
      <c r="B43">
        <f>SUMIF(tables_482100!C:C,input_482100!A43,tables_482100!O:O)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SUMIF(tables_482100!C:C,input_482100!A44,tables_482100!O:O)</f>
        <v>2796375.0001199986</v>
      </c>
      <c r="C44" s="54">
        <f t="shared" ca="1" si="9"/>
        <v>4.382478236678107E-2</v>
      </c>
      <c r="E44" t="s">
        <v>54</v>
      </c>
      <c r="F44" s="55"/>
    </row>
    <row r="45" spans="1:7" x14ac:dyDescent="0.15">
      <c r="A45" s="33" t="s">
        <v>107</v>
      </c>
      <c r="B45">
        <f ca="1">SUMIF(tables_482100!C:C,input_482100!A45,tables_482100!O:O)</f>
        <v>376650</v>
      </c>
      <c r="C45" s="54">
        <f t="shared" ca="1" si="9"/>
        <v>5.9028579063036086E-3</v>
      </c>
      <c r="E45" t="s">
        <v>204</v>
      </c>
      <c r="F45" s="55">
        <f ca="1">SUMIF(tables_482100!I:I,input_482100!E45,tables_482100!P:P)</f>
        <v>0.22312246606717892</v>
      </c>
    </row>
    <row r="46" spans="1:7" x14ac:dyDescent="0.15">
      <c r="A46" s="33" t="s">
        <v>108</v>
      </c>
      <c r="B46">
        <f>SUMIF(tables_482100!C:C,input_482100!A46,tables_482100!O:O)</f>
        <v>0</v>
      </c>
      <c r="C46" s="54">
        <f t="shared" ca="1" si="9"/>
        <v>0</v>
      </c>
      <c r="E46" t="s">
        <v>205</v>
      </c>
      <c r="F46" s="55">
        <f ca="1">SUMIF(tables_482100!I:I,input_482100!E46,tables_482100!P:P)</f>
        <v>0.19198942951766804</v>
      </c>
    </row>
    <row r="47" spans="1:7" x14ac:dyDescent="0.15">
      <c r="A47" s="39" t="s">
        <v>59</v>
      </c>
      <c r="B47">
        <f ca="1">SUM(B40:B46)</f>
        <v>63808075.000040039</v>
      </c>
      <c r="C47" s="55">
        <f ca="1">SUM(C40:C46)</f>
        <v>1</v>
      </c>
      <c r="E47" t="s">
        <v>206</v>
      </c>
      <c r="F47" s="55">
        <f ca="1">SUMIF(tables_482100!I:I,input_482100!E47,tables_482100!P:P)</f>
        <v>0.50988810441520527</v>
      </c>
    </row>
    <row r="48" spans="1:7" x14ac:dyDescent="0.15">
      <c r="E48" t="s">
        <v>207</v>
      </c>
      <c r="F48" s="55">
        <f ca="1">SUMIF(tables_482100!I:I,input_482100!E48,tables_482100!P:P)</f>
        <v>7.3524590163882325E-2</v>
      </c>
    </row>
    <row r="49" spans="5:6" x14ac:dyDescent="0.15">
      <c r="E49" t="s">
        <v>251</v>
      </c>
      <c r="F49" s="55">
        <f ca="1">SUMIF(tables_482100!I:I,input_482100!E49,tables_482100!P:P)</f>
        <v>1.4754098360645319E-3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C335" sqref="C335:V34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input_482100!A$2</f>
        <v>482100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IFERROR(VLOOKUP(B2,input_482100!L:R,7,FALSE),VLOOKUP(tables_482100!C2,input_482100!A:H,8,FALSE))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input_482100!A$2</f>
        <v>482100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IFERROR(VLOOKUP(B3,input_482100!L:R,7,FALSE),VLOOKUP(tables_482100!C3,input_482100!A:H,8,FALSE))</f>
        <v>1248846.25</v>
      </c>
      <c r="P3" s="46">
        <f t="shared" ca="1" si="1"/>
        <v>1.1006929754971953E-2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input_482100!A$2</f>
        <v>482100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IFERROR(VLOOKUP(B4,input_482100!L:R,7,FALSE),VLOOKUP(tables_482100!C4,input_482100!A:H,8,FALSE))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input_482100!A$2</f>
        <v>482100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IFERROR(VLOOKUP(B5,input_482100!L:R,7,FALSE),VLOOKUP(tables_482100!C5,input_482100!A:H,8,FALSE))</f>
        <v>1248846.25</v>
      </c>
      <c r="P5" s="46">
        <f t="shared" ca="1" si="1"/>
        <v>1.1006929754971953E-2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input_482100!A$2</f>
        <v>482100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IFERROR(VLOOKUP(B6,input_482100!L:R,7,FALSE),VLOOKUP(tables_482100!C6,input_482100!A:H,8,FALSE))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input_482100!A$2</f>
        <v>482100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IFERROR(VLOOKUP(B7,input_482100!L:R,7,FALSE),VLOOKUP(tables_482100!C7,input_482100!A:H,8,FALSE))</f>
        <v>1248846.25</v>
      </c>
      <c r="P7" s="46">
        <f t="shared" ca="1" si="1"/>
        <v>1.1006929754971953E-2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input_482100!A$2</f>
        <v>482100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IFERROR(VLOOKUP(B8,input_482100!L:R,7,FALSE),VLOOKUP(tables_482100!C8,input_482100!A:H,8,FALSE))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input_482100!A$2</f>
        <v>482100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IFERROR(VLOOKUP(B9,input_482100!L:R,7,FALSE),VLOOKUP(tables_482100!C9,input_482100!A:H,8,FALSE))</f>
        <v>1248846.25</v>
      </c>
      <c r="P9" s="46">
        <f t="shared" ca="1" si="1"/>
        <v>1.1006929754971953E-2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input_482100!A$2</f>
        <v>482100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IFERROR(VLOOKUP(B10,input_482100!L:R,7,FALSE),VLOOKUP(tables_482100!C10,input_482100!A:H,8,FALSE))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input_482100!A$2</f>
        <v>482100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IFERROR(VLOOKUP(B11,input_482100!L:R,7,FALSE),VLOOKUP(tables_482100!C11,input_482100!A:H,8,FALSE))</f>
        <v>1248846.25</v>
      </c>
      <c r="P11" s="46">
        <f t="shared" ca="1" si="1"/>
        <v>1.1006929754971953E-2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input_482100!A$2</f>
        <v>482100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IFERROR(VLOOKUP(B12,input_482100!L:R,7,FALSE),VLOOKUP(tables_482100!C12,input_482100!A:H,8,FALSE))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input_482100!A$2</f>
        <v>482100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IFERROR(VLOOKUP(B13,input_482100!L:R,7,FALSE),VLOOKUP(tables_482100!C13,input_482100!A:H,8,FALSE))</f>
        <v>1248846.25</v>
      </c>
      <c r="P13" s="46">
        <f t="shared" ca="1" si="1"/>
        <v>1.1006929754971953E-2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input_482100!A$2</f>
        <v>482100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IFERROR(VLOOKUP(B14,input_482100!L:R,7,FALSE),VLOOKUP(tables_482100!C14,input_482100!A:H,8,FALSE))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input_482100!A$2</f>
        <v>482100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IFERROR(VLOOKUP(B15,input_482100!L:R,7,FALSE),VLOOKUP(tables_482100!C15,input_482100!A:H,8,FALSE))</f>
        <v>1248846.25</v>
      </c>
      <c r="P15" s="46">
        <f t="shared" ca="1" si="1"/>
        <v>1.1006929754971953E-2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input_482100!A$2</f>
        <v>482100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IFERROR(VLOOKUP(B16,input_482100!L:R,7,FALSE),VLOOKUP(tables_482100!C16,input_482100!A:H,8,FALSE))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input_482100!A$2</f>
        <v>482100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IFERROR(VLOOKUP(B17,input_482100!L:R,7,FALSE),VLOOKUP(tables_482100!C17,input_482100!A:H,8,FALSE))</f>
        <v>1248846.25</v>
      </c>
      <c r="P17" s="46">
        <f t="shared" ca="1" si="1"/>
        <v>1.1006929754971953E-2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input_482100!A$2</f>
        <v>482100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IFERROR(VLOOKUP(B18,input_482100!L:R,7,FALSE),VLOOKUP(tables_482100!C18,input_482100!A:H,8,FALSE))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input_482100!A$2</f>
        <v>482100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IFERROR(VLOOKUP(B19,input_482100!L:R,7,FALSE),VLOOKUP(tables_482100!C19,input_482100!A:H,8,FALSE))</f>
        <v>1248846.25</v>
      </c>
      <c r="P19" s="46">
        <f t="shared" ca="1" si="1"/>
        <v>1.1006929754971953E-2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input_482100!A$2</f>
        <v>482100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IFERROR(VLOOKUP(B20,input_482100!L:R,7,FALSE),VLOOKUP(tables_482100!C20,input_482100!A:H,8,FALSE))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input_482100!A$2</f>
        <v>482100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IFERROR(VLOOKUP(B21,input_482100!L:R,7,FALSE),VLOOKUP(tables_482100!C21,input_482100!A:H,8,FALSE))</f>
        <v>1248846.25</v>
      </c>
      <c r="P21" s="46">
        <f t="shared" ca="1" si="1"/>
        <v>1.1006929754971953E-2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input_482100!A$2</f>
        <v>482100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IFERROR(VLOOKUP(B22,input_482100!L:R,7,FALSE),VLOOKUP(tables_482100!C22,input_482100!A:H,8,FALSE))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input_482100!A$2</f>
        <v>482100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IFERROR(VLOOKUP(B23,input_482100!L:R,7,FALSE),VLOOKUP(tables_482100!C23,input_482100!A:H,8,FALSE))</f>
        <v>1248846.25</v>
      </c>
      <c r="P23" s="46">
        <f t="shared" ca="1" si="1"/>
        <v>1.1006929754971953E-2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input_482100!A$2</f>
        <v>482100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IFERROR(VLOOKUP(B24,input_482100!L:R,7,FALSE),VLOOKUP(tables_482100!C24,input_482100!A:H,8,FALSE))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input_482100!A$2</f>
        <v>482100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IFERROR(VLOOKUP(B25,input_482100!L:R,7,FALSE),VLOOKUP(tables_482100!C25,input_482100!A:H,8,FALSE))</f>
        <v>1248846.25</v>
      </c>
      <c r="P25" s="46">
        <f t="shared" ca="1" si="1"/>
        <v>1.1006929754971953E-2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input_482100!A$2</f>
        <v>482100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IFERROR(VLOOKUP(B26,input_482100!L:R,7,FALSE),VLOOKUP(tables_482100!C26,input_482100!A:H,8,FALSE))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input_482100!A$2</f>
        <v>482100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IFERROR(VLOOKUP(B27,input_482100!L:R,7,FALSE),VLOOKUP(tables_482100!C27,input_482100!A:H,8,FALSE))</f>
        <v>1248846.25</v>
      </c>
      <c r="P27" s="46">
        <f t="shared" ca="1" si="1"/>
        <v>1.1006929754971953E-2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input_482100!A$2</f>
        <v>482100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IFERROR(VLOOKUP(B28,input_482100!L:R,7,FALSE),VLOOKUP(tables_482100!C28,input_482100!A:H,8,FALSE))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input_482100!A$2</f>
        <v>482100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IFERROR(VLOOKUP(B29,input_482100!L:R,7,FALSE),VLOOKUP(tables_482100!C29,input_482100!A:H,8,FALSE))</f>
        <v>1248846.25</v>
      </c>
      <c r="P29" s="46">
        <f t="shared" ca="1" si="1"/>
        <v>1.1006929754971953E-2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input_482100!A$2</f>
        <v>482100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IFERROR(VLOOKUP(B30,input_482100!L:R,7,FALSE),VLOOKUP(tables_482100!C30,input_482100!A:H,8,FALSE))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input_482100!A$2</f>
        <v>482100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IFERROR(VLOOKUP(B31,input_482100!L:R,7,FALSE),VLOOKUP(tables_482100!C31,input_482100!A:H,8,FALSE))</f>
        <v>1248846.25</v>
      </c>
      <c r="P31" s="46">
        <f t="shared" ca="1" si="1"/>
        <v>1.1006929754971953E-2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input_482100!A$2</f>
        <v>482100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IFERROR(VLOOKUP(B32,input_482100!L:R,7,FALSE),VLOOKUP(tables_482100!C32,input_482100!A:H,8,FALSE))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input_482100!A$2</f>
        <v>482100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IFERROR(VLOOKUP(B33,input_482100!L:R,7,FALSE),VLOOKUP(tables_482100!C33,input_482100!A:H,8,FALSE))</f>
        <v>1248846.25</v>
      </c>
      <c r="P33" s="46">
        <f t="shared" ca="1" si="1"/>
        <v>1.1006929754971953E-2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input_482100!A$2</f>
        <v>482100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IFERROR(VLOOKUP(B34,input_482100!L:R,7,FALSE),VLOOKUP(tables_482100!C34,input_482100!A:H,8,FALSE))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input_482100!A$2</f>
        <v>482100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IFERROR(VLOOKUP(B35,input_482100!L:R,7,FALSE),VLOOKUP(tables_482100!C35,input_482100!A:H,8,FALSE))</f>
        <v>1248846.25</v>
      </c>
      <c r="P35" s="46">
        <f t="shared" ca="1" si="1"/>
        <v>1.1006929754971953E-2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input_482100!A$2</f>
        <v>482100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IFERROR(VLOOKUP(B36,input_482100!L:R,7,FALSE),VLOOKUP(tables_482100!C36,input_482100!A:H,8,FALSE))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input_482100!A$2</f>
        <v>482100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IFERROR(VLOOKUP(B37,input_482100!L:R,7,FALSE),VLOOKUP(tables_482100!C37,input_482100!A:H,8,FALSE))</f>
        <v>1248846.25</v>
      </c>
      <c r="P37" s="46">
        <f t="shared" ca="1" si="1"/>
        <v>1.1006929754971953E-2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input_482100!A$2</f>
        <v>482100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IFERROR(VLOOKUP(B38,input_482100!L:R,7,FALSE),VLOOKUP(tables_482100!C38,input_482100!A:H,8,FALSE))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input_482100!A$2</f>
        <v>482100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IFERROR(VLOOKUP(B39,input_482100!L:R,7,FALSE),VLOOKUP(tables_482100!C39,input_482100!A:H,8,FALSE))</f>
        <v>1248846.25</v>
      </c>
      <c r="P39" s="46">
        <f t="shared" ca="1" si="1"/>
        <v>1.1006929754971953E-2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input_482100!A$2</f>
        <v>482100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IFERROR(VLOOKUP(B40,input_482100!L:R,7,FALSE),VLOOKUP(tables_482100!C40,input_482100!A:H,8,FALSE))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input_482100!A$2</f>
        <v>482100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IFERROR(VLOOKUP(B41,input_482100!L:R,7,FALSE),VLOOKUP(tables_482100!C41,input_482100!A:H,8,FALSE))</f>
        <v>1248846.25</v>
      </c>
      <c r="P41" s="46">
        <f t="shared" ca="1" si="1"/>
        <v>1.1006929754971953E-2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input_482100!A$2</f>
        <v>482100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IFERROR(VLOOKUP(B42,input_482100!L:R,7,FALSE),VLOOKUP(tables_482100!C42,input_482100!A:H,8,FALSE))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input_482100!A$2</f>
        <v>482100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IFERROR(VLOOKUP(B43,input_482100!L:R,7,FALSE),VLOOKUP(tables_482100!C43,input_482100!A:H,8,FALSE))</f>
        <v>1072075</v>
      </c>
      <c r="P43" s="46">
        <f t="shared" ca="1" si="1"/>
        <v>9.4489247311761223E-3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input_482100!A$2</f>
        <v>482100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IFERROR(VLOOKUP(B44,input_482100!L:R,7,FALSE),VLOOKUP(tables_482100!C44,input_482100!A:H,8,FALSE))</f>
        <v>56425</v>
      </c>
      <c r="P44" s="46">
        <f t="shared" ca="1" si="1"/>
        <v>4.9731182795663799E-4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input_482100!A$2</f>
        <v>482100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IFERROR(VLOOKUP(B45,input_482100!L:R,7,FALSE),VLOOKUP(tables_482100!C45,input_482100!A:H,8,FALSE))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input_482100!A$2</f>
        <v>482100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IFERROR(VLOOKUP(B46,input_482100!L:R,7,FALSE),VLOOKUP(tables_482100!C46,input_482100!A:H,8,FALSE))</f>
        <v>1072075</v>
      </c>
      <c r="P46" s="46">
        <f t="shared" ca="1" si="1"/>
        <v>9.4489247311761223E-3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input_482100!A$2</f>
        <v>482100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IFERROR(VLOOKUP(B47,input_482100!L:R,7,FALSE),VLOOKUP(tables_482100!C47,input_482100!A:H,8,FALSE))</f>
        <v>56425</v>
      </c>
      <c r="P47" s="46">
        <f t="shared" ca="1" si="1"/>
        <v>4.9731182795663799E-4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input_482100!A$2</f>
        <v>482100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IFERROR(VLOOKUP(B48,input_482100!L:R,7,FALSE),VLOOKUP(tables_482100!C48,input_482100!A:H,8,FALSE))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input_482100!A$2</f>
        <v>482100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IFERROR(VLOOKUP(B49,input_482100!L:R,7,FALSE),VLOOKUP(tables_482100!C49,input_482100!A:H,8,FALSE))</f>
        <v>1072075</v>
      </c>
      <c r="P49" s="46">
        <f t="shared" ca="1" si="1"/>
        <v>9.4489247311761223E-3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input_482100!A$2</f>
        <v>482100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IFERROR(VLOOKUP(B50,input_482100!L:R,7,FALSE),VLOOKUP(tables_482100!C50,input_482100!A:H,8,FALSE))</f>
        <v>56425</v>
      </c>
      <c r="P50" s="46">
        <f t="shared" ca="1" si="1"/>
        <v>4.9731182795663799E-4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input_482100!A$2</f>
        <v>482100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IFERROR(VLOOKUP(B51,input_482100!L:R,7,FALSE),VLOOKUP(tables_482100!C51,input_482100!A:H,8,FALSE))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input_482100!A$2</f>
        <v>482100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IFERROR(VLOOKUP(B52,input_482100!L:R,7,FALSE),VLOOKUP(tables_482100!C52,input_482100!A:H,8,FALSE))</f>
        <v>1028436.53846</v>
      </c>
      <c r="P52" s="46">
        <f t="shared" ca="1" si="1"/>
        <v>9.0643093465474483E-3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input_482100!A$2</f>
        <v>482100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IFERROR(VLOOKUP(B53,input_482100!L:R,7,FALSE),VLOOKUP(tables_482100!C53,input_482100!A:H,8,FALSE))</f>
        <v>53776.442309999999</v>
      </c>
      <c r="P53" s="46">
        <f t="shared" ca="1" si="1"/>
        <v>4.7396829111547695E-4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input_482100!A$2</f>
        <v>482100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IFERROR(VLOOKUP(B54,input_482100!L:R,7,FALSE),VLOOKUP(tables_482100!C54,input_482100!A:H,8,FALSE))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input_482100!A$2</f>
        <v>482100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IFERROR(VLOOKUP(B55,input_482100!L:R,7,FALSE),VLOOKUP(tables_482100!C55,input_482100!A:H,8,FALSE))</f>
        <v>1028436.53846</v>
      </c>
      <c r="P55" s="46">
        <f t="shared" ca="1" si="1"/>
        <v>9.0643093465474483E-3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input_482100!A$2</f>
        <v>482100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IFERROR(VLOOKUP(B56,input_482100!L:R,7,FALSE),VLOOKUP(tables_482100!C56,input_482100!A:H,8,FALSE))</f>
        <v>53776.442309999999</v>
      </c>
      <c r="P56" s="46">
        <f t="shared" ca="1" si="1"/>
        <v>4.7396829111547695E-4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input_482100!A$2</f>
        <v>482100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IFERROR(VLOOKUP(B57,input_482100!L:R,7,FALSE),VLOOKUP(tables_482100!C57,input_482100!A:H,8,FALSE))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input_482100!A$2</f>
        <v>482100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IFERROR(VLOOKUP(B58,input_482100!L:R,7,FALSE),VLOOKUP(tables_482100!C58,input_482100!A:H,8,FALSE))</f>
        <v>1028436.53846</v>
      </c>
      <c r="P58" s="46">
        <f t="shared" ca="1" si="1"/>
        <v>9.0643093465474483E-3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input_482100!A$2</f>
        <v>482100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IFERROR(VLOOKUP(B59,input_482100!L:R,7,FALSE),VLOOKUP(tables_482100!C59,input_482100!A:H,8,FALSE))</f>
        <v>53776.442309999999</v>
      </c>
      <c r="P59" s="46">
        <f t="shared" ca="1" si="1"/>
        <v>4.7396829111547695E-4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input_482100!A$2</f>
        <v>482100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IFERROR(VLOOKUP(B60,input_482100!L:R,7,FALSE),VLOOKUP(tables_482100!C60,input_482100!A:H,8,FALSE))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input_482100!A$2</f>
        <v>482100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IFERROR(VLOOKUP(B61,input_482100!L:R,7,FALSE),VLOOKUP(tables_482100!C61,input_482100!A:H,8,FALSE))</f>
        <v>1028436.53846</v>
      </c>
      <c r="P61" s="46">
        <f t="shared" ca="1" si="1"/>
        <v>9.0643093465474483E-3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input_482100!A$2</f>
        <v>482100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IFERROR(VLOOKUP(B62,input_482100!L:R,7,FALSE),VLOOKUP(tables_482100!C62,input_482100!A:H,8,FALSE))</f>
        <v>53776.442309999999</v>
      </c>
      <c r="P62" s="46">
        <f t="shared" ca="1" si="1"/>
        <v>4.7396829111547695E-4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input_482100!A$2</f>
        <v>482100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IFERROR(VLOOKUP(B63,input_482100!L:R,7,FALSE),VLOOKUP(tables_482100!C63,input_482100!A:H,8,FALSE))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input_482100!A$2</f>
        <v>482100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IFERROR(VLOOKUP(B64,input_482100!L:R,7,FALSE),VLOOKUP(tables_482100!C64,input_482100!A:H,8,FALSE))</f>
        <v>1028436.53846</v>
      </c>
      <c r="P64" s="46">
        <f t="shared" ca="1" si="1"/>
        <v>9.0643093465474483E-3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input_482100!A$2</f>
        <v>482100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IFERROR(VLOOKUP(B65,input_482100!L:R,7,FALSE),VLOOKUP(tables_482100!C65,input_482100!A:H,8,FALSE))</f>
        <v>53776.442309999999</v>
      </c>
      <c r="P65" s="46">
        <f t="shared" ca="1" si="1"/>
        <v>4.7396829111547695E-4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input_482100!A$2</f>
        <v>482100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IFERROR(VLOOKUP(B66,input_482100!L:R,7,FALSE),VLOOKUP(tables_482100!C66,input_482100!A:H,8,FALSE))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input_482100!A$2</f>
        <v>482100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IFERROR(VLOOKUP(B67,input_482100!L:R,7,FALSE),VLOOKUP(tables_482100!C67,input_482100!A:H,8,FALSE))</f>
        <v>1028436.53846</v>
      </c>
      <c r="P67" s="46">
        <f t="shared" ca="1" si="4"/>
        <v>9.0643093465474483E-3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input_482100!A$2</f>
        <v>482100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IFERROR(VLOOKUP(B68,input_482100!L:R,7,FALSE),VLOOKUP(tables_482100!C68,input_482100!A:H,8,FALSE))</f>
        <v>53776.442309999999</v>
      </c>
      <c r="P68" s="46">
        <f t="shared" ca="1" si="4"/>
        <v>4.7396829111547695E-4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input_482100!A$2</f>
        <v>482100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IFERROR(VLOOKUP(B69,input_482100!L:R,7,FALSE),VLOOKUP(tables_482100!C69,input_482100!A:H,8,FALSE))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input_482100!A$2</f>
        <v>482100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IFERROR(VLOOKUP(B70,input_482100!L:R,7,FALSE),VLOOKUP(tables_482100!C70,input_482100!A:H,8,FALSE))</f>
        <v>1028436.53846</v>
      </c>
      <c r="P70" s="46">
        <f t="shared" ca="1" si="4"/>
        <v>9.0643093465474483E-3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input_482100!A$2</f>
        <v>482100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IFERROR(VLOOKUP(B71,input_482100!L:R,7,FALSE),VLOOKUP(tables_482100!C71,input_482100!A:H,8,FALSE))</f>
        <v>53776.442309999999</v>
      </c>
      <c r="P71" s="46">
        <f t="shared" ca="1" si="4"/>
        <v>4.7396829111547695E-4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input_482100!A$2</f>
        <v>482100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IFERROR(VLOOKUP(B72,input_482100!L:R,7,FALSE),VLOOKUP(tables_482100!C72,input_482100!A:H,8,FALSE))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input_482100!A$2</f>
        <v>482100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IFERROR(VLOOKUP(B73,input_482100!L:R,7,FALSE),VLOOKUP(tables_482100!C73,input_482100!A:H,8,FALSE))</f>
        <v>1028436.53846</v>
      </c>
      <c r="P73" s="46">
        <f t="shared" ca="1" si="4"/>
        <v>9.0643093465474483E-3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input_482100!A$2</f>
        <v>482100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IFERROR(VLOOKUP(B74,input_482100!L:R,7,FALSE),VLOOKUP(tables_482100!C74,input_482100!A:H,8,FALSE))</f>
        <v>53776.442309999999</v>
      </c>
      <c r="P74" s="46">
        <f t="shared" ca="1" si="4"/>
        <v>4.7396829111547695E-4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input_482100!A$2</f>
        <v>482100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IFERROR(VLOOKUP(B75,input_482100!L:R,7,FALSE),VLOOKUP(tables_482100!C75,input_482100!A:H,8,FALSE))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input_482100!A$2</f>
        <v>482100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IFERROR(VLOOKUP(B76,input_482100!L:R,7,FALSE),VLOOKUP(tables_482100!C76,input_482100!A:H,8,FALSE))</f>
        <v>1028436.53846</v>
      </c>
      <c r="P76" s="46">
        <f t="shared" ca="1" si="4"/>
        <v>9.0643093465474483E-3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input_482100!A$2</f>
        <v>482100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IFERROR(VLOOKUP(B77,input_482100!L:R,7,FALSE),VLOOKUP(tables_482100!C77,input_482100!A:H,8,FALSE))</f>
        <v>53776.442309999999</v>
      </c>
      <c r="P77" s="46">
        <f t="shared" ca="1" si="4"/>
        <v>4.7396829111547695E-4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input_482100!A$2</f>
        <v>482100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IFERROR(VLOOKUP(B78,input_482100!L:R,7,FALSE),VLOOKUP(tables_482100!C78,input_482100!A:H,8,FALSE))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input_482100!A$2</f>
        <v>482100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IFERROR(VLOOKUP(B79,input_482100!L:R,7,FALSE),VLOOKUP(tables_482100!C79,input_482100!A:H,8,FALSE))</f>
        <v>1028436.53846</v>
      </c>
      <c r="P79" s="46">
        <f t="shared" ca="1" si="4"/>
        <v>9.0643093465474483E-3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input_482100!A$2</f>
        <v>482100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IFERROR(VLOOKUP(B80,input_482100!L:R,7,FALSE),VLOOKUP(tables_482100!C80,input_482100!A:H,8,FALSE))</f>
        <v>53776.442309999999</v>
      </c>
      <c r="P80" s="46">
        <f t="shared" ca="1" si="4"/>
        <v>4.7396829111547695E-4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input_482100!A$2</f>
        <v>482100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IFERROR(VLOOKUP(B81,input_482100!L:R,7,FALSE),VLOOKUP(tables_482100!C81,input_482100!A:H,8,FALSE))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input_482100!A$2</f>
        <v>482100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IFERROR(VLOOKUP(B82,input_482100!L:R,7,FALSE),VLOOKUP(tables_482100!C82,input_482100!A:H,8,FALSE))</f>
        <v>1028436.53846</v>
      </c>
      <c r="P82" s="46">
        <f t="shared" ca="1" si="4"/>
        <v>9.0643093465474483E-3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input_482100!A$2</f>
        <v>482100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IFERROR(VLOOKUP(B83,input_482100!L:R,7,FALSE),VLOOKUP(tables_482100!C83,input_482100!A:H,8,FALSE))</f>
        <v>53776.442309999999</v>
      </c>
      <c r="P83" s="46">
        <f t="shared" ca="1" si="4"/>
        <v>4.7396829111547695E-4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input_482100!A$2</f>
        <v>482100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IFERROR(VLOOKUP(B84,input_482100!L:R,7,FALSE),VLOOKUP(tables_482100!C84,input_482100!A:H,8,FALSE))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input_482100!A$2</f>
        <v>482100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IFERROR(VLOOKUP(B85,input_482100!L:R,7,FALSE),VLOOKUP(tables_482100!C85,input_482100!A:H,8,FALSE))</f>
        <v>1028436.53846</v>
      </c>
      <c r="P85" s="46">
        <f t="shared" ca="1" si="4"/>
        <v>9.0643093465474483E-3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input_482100!A$2</f>
        <v>482100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IFERROR(VLOOKUP(B86,input_482100!L:R,7,FALSE),VLOOKUP(tables_482100!C86,input_482100!A:H,8,FALSE))</f>
        <v>53776.442309999999</v>
      </c>
      <c r="P86" s="46">
        <f t="shared" ca="1" si="4"/>
        <v>4.7396829111547695E-4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input_482100!A$2</f>
        <v>482100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IFERROR(VLOOKUP(B87,input_482100!L:R,7,FALSE),VLOOKUP(tables_482100!C87,input_482100!A:H,8,FALSE))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input_482100!A$2</f>
        <v>482100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IFERROR(VLOOKUP(B88,input_482100!L:R,7,FALSE),VLOOKUP(tables_482100!C88,input_482100!A:H,8,FALSE))</f>
        <v>1028436.53846</v>
      </c>
      <c r="P88" s="46">
        <f t="shared" ca="1" si="4"/>
        <v>9.0643093465474483E-3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input_482100!A$2</f>
        <v>482100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IFERROR(VLOOKUP(B89,input_482100!L:R,7,FALSE),VLOOKUP(tables_482100!C89,input_482100!A:H,8,FALSE))</f>
        <v>53776.442309999999</v>
      </c>
      <c r="P89" s="46">
        <f t="shared" ca="1" si="4"/>
        <v>4.7396829111547695E-4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input_482100!A$2</f>
        <v>482100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IFERROR(VLOOKUP(B90,input_482100!L:R,7,FALSE),VLOOKUP(tables_482100!C90,input_482100!A:H,8,FALSE))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input_482100!A$2</f>
        <v>482100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IFERROR(VLOOKUP(B91,input_482100!L:R,7,FALSE),VLOOKUP(tables_482100!C91,input_482100!A:H,8,FALSE))</f>
        <v>1028436.53846</v>
      </c>
      <c r="P91" s="46">
        <f t="shared" ca="1" si="4"/>
        <v>9.0643093465474483E-3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input_482100!A$2</f>
        <v>482100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IFERROR(VLOOKUP(B92,input_482100!L:R,7,FALSE),VLOOKUP(tables_482100!C92,input_482100!A:H,8,FALSE))</f>
        <v>53776.442309999999</v>
      </c>
      <c r="P92" s="46">
        <f t="shared" ca="1" si="4"/>
        <v>4.7396829111547695E-4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input_482100!A$2</f>
        <v>482100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IFERROR(VLOOKUP(B93,input_482100!L:R,7,FALSE),VLOOKUP(tables_482100!C93,input_482100!A:H,8,FALSE))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input_482100!A$2</f>
        <v>482100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IFERROR(VLOOKUP(B94,input_482100!L:R,7,FALSE),VLOOKUP(tables_482100!C94,input_482100!A:H,8,FALSE))</f>
        <v>1028436.53846</v>
      </c>
      <c r="P94" s="46">
        <f t="shared" ca="1" si="4"/>
        <v>9.0643093465474483E-3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input_482100!A$2</f>
        <v>482100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IFERROR(VLOOKUP(B95,input_482100!L:R,7,FALSE),VLOOKUP(tables_482100!C95,input_482100!A:H,8,FALSE))</f>
        <v>53776.442309999999</v>
      </c>
      <c r="P95" s="46">
        <f t="shared" ca="1" si="4"/>
        <v>4.7396829111547695E-4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input_482100!A$2</f>
        <v>482100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IFERROR(VLOOKUP(B96,input_482100!L:R,7,FALSE),VLOOKUP(tables_482100!C96,input_482100!A:H,8,FALSE))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input_482100!A$2</f>
        <v>482100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IFERROR(VLOOKUP(B97,input_482100!L:R,7,FALSE),VLOOKUP(tables_482100!C97,input_482100!A:H,8,FALSE))</f>
        <v>1028436.53846</v>
      </c>
      <c r="P97" s="46">
        <f t="shared" ca="1" si="4"/>
        <v>9.0643093465474483E-3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input_482100!A$2</f>
        <v>482100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IFERROR(VLOOKUP(B98,input_482100!L:R,7,FALSE),VLOOKUP(tables_482100!C98,input_482100!A:H,8,FALSE))</f>
        <v>53776.442309999999</v>
      </c>
      <c r="P98" s="46">
        <f t="shared" ca="1" si="4"/>
        <v>4.7396829111547695E-4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input_482100!A$2</f>
        <v>482100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IFERROR(VLOOKUP(B99,input_482100!L:R,7,FALSE),VLOOKUP(tables_482100!C99,input_482100!A:H,8,FALSE))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input_482100!A$2</f>
        <v>482100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IFERROR(VLOOKUP(B100,input_482100!L:R,7,FALSE),VLOOKUP(tables_482100!C100,input_482100!A:H,8,FALSE))</f>
        <v>1028436.53846</v>
      </c>
      <c r="P100" s="46">
        <f t="shared" ca="1" si="4"/>
        <v>9.0643093465474483E-3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input_482100!A$2</f>
        <v>482100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IFERROR(VLOOKUP(B101,input_482100!L:R,7,FALSE),VLOOKUP(tables_482100!C101,input_482100!A:H,8,FALSE))</f>
        <v>53776.442309999999</v>
      </c>
      <c r="P101" s="46">
        <f t="shared" ca="1" si="4"/>
        <v>4.7396829111547695E-4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input_482100!A$2</f>
        <v>482100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IFERROR(VLOOKUP(B102,input_482100!L:R,7,FALSE),VLOOKUP(tables_482100!C102,input_482100!A:H,8,FALSE))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input_482100!A$2</f>
        <v>482100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IFERROR(VLOOKUP(B103,input_482100!L:R,7,FALSE),VLOOKUP(tables_482100!C103,input_482100!A:H,8,FALSE))</f>
        <v>1028436.53846</v>
      </c>
      <c r="P103" s="46">
        <f t="shared" ca="1" si="4"/>
        <v>9.0643093465474483E-3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input_482100!A$2</f>
        <v>482100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IFERROR(VLOOKUP(B104,input_482100!L:R,7,FALSE),VLOOKUP(tables_482100!C104,input_482100!A:H,8,FALSE))</f>
        <v>53776.442309999999</v>
      </c>
      <c r="P104" s="46">
        <f t="shared" ca="1" si="4"/>
        <v>4.7396829111547695E-4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input_482100!A$2</f>
        <v>482100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IFERROR(VLOOKUP(B105,input_482100!L:R,7,FALSE),VLOOKUP(tables_482100!C105,input_482100!A:H,8,FALSE))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input_482100!A$2</f>
        <v>482100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IFERROR(VLOOKUP(B106,input_482100!L:R,7,FALSE),VLOOKUP(tables_482100!C106,input_482100!A:H,8,FALSE))</f>
        <v>1028436.53846</v>
      </c>
      <c r="P106" s="46">
        <f t="shared" ca="1" si="4"/>
        <v>9.0643093465474483E-3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input_482100!A$2</f>
        <v>482100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IFERROR(VLOOKUP(B107,input_482100!L:R,7,FALSE),VLOOKUP(tables_482100!C107,input_482100!A:H,8,FALSE))</f>
        <v>53776.442309999999</v>
      </c>
      <c r="P107" s="46">
        <f t="shared" ca="1" si="4"/>
        <v>4.7396829111547695E-4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input_482100!A$2</f>
        <v>482100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IFERROR(VLOOKUP(B108,input_482100!L:R,7,FALSE),VLOOKUP(tables_482100!C108,input_482100!A:H,8,FALSE))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input_482100!A$2</f>
        <v>482100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IFERROR(VLOOKUP(B109,input_482100!L:R,7,FALSE),VLOOKUP(tables_482100!C109,input_482100!A:H,8,FALSE))</f>
        <v>1028436.53846</v>
      </c>
      <c r="P109" s="46">
        <f t="shared" ca="1" si="4"/>
        <v>9.0643093465474483E-3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input_482100!A$2</f>
        <v>482100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IFERROR(VLOOKUP(B110,input_482100!L:R,7,FALSE),VLOOKUP(tables_482100!C110,input_482100!A:H,8,FALSE))</f>
        <v>53776.442309999999</v>
      </c>
      <c r="P110" s="46">
        <f t="shared" ca="1" si="4"/>
        <v>4.7396829111547695E-4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input_482100!A$2</f>
        <v>482100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IFERROR(VLOOKUP(B111,input_482100!L:R,7,FALSE),VLOOKUP(tables_482100!C111,input_482100!A:H,8,FALSE))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input_482100!A$2</f>
        <v>482100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IFERROR(VLOOKUP(B112,input_482100!L:R,7,FALSE),VLOOKUP(tables_482100!C112,input_482100!A:H,8,FALSE))</f>
        <v>1072075</v>
      </c>
      <c r="P112" s="46">
        <f t="shared" ca="1" si="4"/>
        <v>9.4489247311761223E-3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input_482100!A$2</f>
        <v>482100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IFERROR(VLOOKUP(B113,input_482100!L:R,7,FALSE),VLOOKUP(tables_482100!C113,input_482100!A:H,8,FALSE))</f>
        <v>56425</v>
      </c>
      <c r="P113" s="46">
        <f t="shared" ca="1" si="4"/>
        <v>4.9731182795663799E-4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input_482100!A$2</f>
        <v>482100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IFERROR(VLOOKUP(B114,input_482100!L:R,7,FALSE),VLOOKUP(tables_482100!C114,input_482100!A:H,8,FALSE))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input_482100!A$2</f>
        <v>482100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IFERROR(VLOOKUP(B115,input_482100!L:R,7,FALSE),VLOOKUP(tables_482100!C115,input_482100!A:H,8,FALSE))</f>
        <v>1028436.53846</v>
      </c>
      <c r="P115" s="46">
        <f t="shared" ca="1" si="4"/>
        <v>9.0643093465474483E-3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input_482100!A$2</f>
        <v>482100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IFERROR(VLOOKUP(B116,input_482100!L:R,7,FALSE),VLOOKUP(tables_482100!C116,input_482100!A:H,8,FALSE))</f>
        <v>53776.442309999999</v>
      </c>
      <c r="P116" s="46">
        <f t="shared" ca="1" si="4"/>
        <v>4.7396829111547695E-4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input_482100!A$2</f>
        <v>482100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IFERROR(VLOOKUP(B117,input_482100!L:R,7,FALSE),VLOOKUP(tables_482100!C117,input_482100!A:H,8,FALSE))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input_482100!A$2</f>
        <v>482100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IFERROR(VLOOKUP(B118,input_482100!L:R,7,FALSE),VLOOKUP(tables_482100!C118,input_482100!A:H,8,FALSE))</f>
        <v>1028436.53846</v>
      </c>
      <c r="P118" s="46">
        <f t="shared" ca="1" si="4"/>
        <v>9.0643093465474483E-3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input_482100!A$2</f>
        <v>482100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IFERROR(VLOOKUP(B119,input_482100!L:R,7,FALSE),VLOOKUP(tables_482100!C119,input_482100!A:H,8,FALSE))</f>
        <v>53776.442309999999</v>
      </c>
      <c r="P119" s="46">
        <f t="shared" ca="1" si="4"/>
        <v>4.7396829111547695E-4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input_482100!A$2</f>
        <v>482100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IFERROR(VLOOKUP(B120,input_482100!L:R,7,FALSE),VLOOKUP(tables_482100!C120,input_482100!A:H,8,FALSE))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input_482100!A$2</f>
        <v>482100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IFERROR(VLOOKUP(B121,input_482100!L:R,7,FALSE),VLOOKUP(tables_482100!C121,input_482100!A:H,8,FALSE))</f>
        <v>1028436.53846</v>
      </c>
      <c r="P121" s="46">
        <f t="shared" ca="1" si="4"/>
        <v>9.0643093465474483E-3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input_482100!A$2</f>
        <v>482100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IFERROR(VLOOKUP(B122,input_482100!L:R,7,FALSE),VLOOKUP(tables_482100!C122,input_482100!A:H,8,FALSE))</f>
        <v>53776.442309999999</v>
      </c>
      <c r="P122" s="46">
        <f t="shared" ca="1" si="4"/>
        <v>4.7396829111547695E-4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input_482100!A$2</f>
        <v>482100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IFERROR(VLOOKUP(B123,input_482100!L:R,7,FALSE),VLOOKUP(tables_482100!C123,input_482100!A:H,8,FALSE))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input_482100!A$2</f>
        <v>482100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IFERROR(VLOOKUP(B124,input_482100!L:R,7,FALSE),VLOOKUP(tables_482100!C124,input_482100!A:H,8,FALSE))</f>
        <v>1028436.53846</v>
      </c>
      <c r="P124" s="46">
        <f t="shared" ca="1" si="4"/>
        <v>9.0643093465474483E-3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input_482100!A$2</f>
        <v>482100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IFERROR(VLOOKUP(B125,input_482100!L:R,7,FALSE),VLOOKUP(tables_482100!C125,input_482100!A:H,8,FALSE))</f>
        <v>53776.442309999999</v>
      </c>
      <c r="P125" s="46">
        <f t="shared" ca="1" si="4"/>
        <v>4.7396829111547695E-4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input_482100!A$2</f>
        <v>482100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IFERROR(VLOOKUP(B126,input_482100!L:R,7,FALSE),VLOOKUP(tables_482100!C126,input_482100!A:H,8,FALSE))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input_482100!A$2</f>
        <v>482100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IFERROR(VLOOKUP(B127,input_482100!L:R,7,FALSE),VLOOKUP(tables_482100!C127,input_482100!A:H,8,FALSE))</f>
        <v>1028436.53846</v>
      </c>
      <c r="P127" s="46">
        <f t="shared" ca="1" si="4"/>
        <v>9.0643093465474483E-3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input_482100!A$2</f>
        <v>482100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IFERROR(VLOOKUP(B128,input_482100!L:R,7,FALSE),VLOOKUP(tables_482100!C128,input_482100!A:H,8,FALSE))</f>
        <v>53776.442309999999</v>
      </c>
      <c r="P128" s="46">
        <f t="shared" ca="1" si="4"/>
        <v>4.7396829111547695E-4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input_482100!A$2</f>
        <v>482100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IFERROR(VLOOKUP(B129,input_482100!L:R,7,FALSE),VLOOKUP(tables_482100!C129,input_482100!A:H,8,FALSE))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input_482100!A$2</f>
        <v>482100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IFERROR(VLOOKUP(B130,input_482100!L:R,7,FALSE),VLOOKUP(tables_482100!C130,input_482100!A:H,8,FALSE))</f>
        <v>1028436.53846</v>
      </c>
      <c r="P130" s="46">
        <f t="shared" ref="P130:P193" ca="1" si="7">O130/SUM(O:O)</f>
        <v>9.0643093465474483E-3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input_482100!A$2</f>
        <v>482100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IFERROR(VLOOKUP(B131,input_482100!L:R,7,FALSE),VLOOKUP(tables_482100!C131,input_482100!A:H,8,FALSE))</f>
        <v>53776.442309999999</v>
      </c>
      <c r="P131" s="46">
        <f t="shared" ca="1" si="7"/>
        <v>4.7396829111547695E-4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input_482100!A$2</f>
        <v>482100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IFERROR(VLOOKUP(B132,input_482100!L:R,7,FALSE),VLOOKUP(tables_482100!C132,input_482100!A:H,8,FALSE))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input_482100!A$2</f>
        <v>482100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IFERROR(VLOOKUP(B133,input_482100!L:R,7,FALSE),VLOOKUP(tables_482100!C133,input_482100!A:H,8,FALSE))</f>
        <v>1028436.53846</v>
      </c>
      <c r="P133" s="46">
        <f t="shared" ca="1" si="7"/>
        <v>9.0643093465474483E-3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input_482100!A$2</f>
        <v>482100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IFERROR(VLOOKUP(B134,input_482100!L:R,7,FALSE),VLOOKUP(tables_482100!C134,input_482100!A:H,8,FALSE))</f>
        <v>53776.442309999999</v>
      </c>
      <c r="P134" s="46">
        <f t="shared" ca="1" si="7"/>
        <v>4.7396829111547695E-4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input_482100!A$2</f>
        <v>482100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IFERROR(VLOOKUP(B135,input_482100!L:R,7,FALSE),VLOOKUP(tables_482100!C135,input_482100!A:H,8,FALSE))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input_482100!A$2</f>
        <v>482100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IFERROR(VLOOKUP(B136,input_482100!L:R,7,FALSE),VLOOKUP(tables_482100!C136,input_482100!A:H,8,FALSE))</f>
        <v>1028436.53846</v>
      </c>
      <c r="P136" s="46">
        <f t="shared" ca="1" si="7"/>
        <v>9.0643093465474483E-3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input_482100!A$2</f>
        <v>482100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IFERROR(VLOOKUP(B137,input_482100!L:R,7,FALSE),VLOOKUP(tables_482100!C137,input_482100!A:H,8,FALSE))</f>
        <v>53776.442309999999</v>
      </c>
      <c r="P137" s="46">
        <f t="shared" ca="1" si="7"/>
        <v>4.7396829111547695E-4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input_482100!A$2</f>
        <v>482100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IFERROR(VLOOKUP(B138,input_482100!L:R,7,FALSE),VLOOKUP(tables_482100!C138,input_482100!A:H,8,FALSE))</f>
        <v>26505</v>
      </c>
      <c r="P138" s="46">
        <f t="shared" ca="1" si="7"/>
        <v>2.3360655737688418E-4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input_482100!A$2</f>
        <v>482100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IFERROR(VLOOKUP(B139,input_482100!L:R,7,FALSE),VLOOKUP(tables_482100!C139,input_482100!A:H,8,FALSE))</f>
        <v>1395</v>
      </c>
      <c r="P139" s="46">
        <f t="shared" ca="1" si="7"/>
        <v>1.229508196720443E-5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input_482100!A$2</f>
        <v>482100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>IFERROR(VLOOKUP(B140,input_482100!L:R,7,FALSE),VLOOKUP(tables_482100!C140,input_482100!A:H,8,FALSE))</f>
        <v>3233610</v>
      </c>
      <c r="P140" s="46">
        <f t="shared" ca="1" si="7"/>
        <v>2.8499999999979871E-2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input_482100!A$2</f>
        <v>482100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>IFERROR(VLOOKUP(B141,input_482100!L:R,7,FALSE),VLOOKUP(tables_482100!C141,input_482100!A:H,8,FALSE))</f>
        <v>170190</v>
      </c>
      <c r="P141" s="46">
        <f t="shared" ca="1" si="7"/>
        <v>1.4999999999989405E-3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input_482100!A$2</f>
        <v>482100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IFERROR(VLOOKUP(B142,input_482100!L:R,7,FALSE),VLOOKUP(tables_482100!C142,input_482100!A:H,8,FALSE))</f>
        <v>26505</v>
      </c>
      <c r="P142" s="46">
        <f t="shared" ca="1" si="7"/>
        <v>2.3360655737688418E-4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input_482100!A$2</f>
        <v>482100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IFERROR(VLOOKUP(B143,input_482100!L:R,7,FALSE),VLOOKUP(tables_482100!C143,input_482100!A:H,8,FALSE))</f>
        <v>1395</v>
      </c>
      <c r="P143" s="46">
        <f t="shared" ca="1" si="7"/>
        <v>1.229508196720443E-5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input_482100!A$2</f>
        <v>482100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>IFERROR(VLOOKUP(B144,input_482100!L:R,7,FALSE),VLOOKUP(tables_482100!C144,input_482100!A:H,8,FALSE))</f>
        <v>3233610</v>
      </c>
      <c r="P144" s="46">
        <f t="shared" ca="1" si="7"/>
        <v>2.8499999999979871E-2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input_482100!A$2</f>
        <v>482100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>IFERROR(VLOOKUP(B145,input_482100!L:R,7,FALSE),VLOOKUP(tables_482100!C145,input_482100!A:H,8,FALSE))</f>
        <v>170190</v>
      </c>
      <c r="P145" s="46">
        <f t="shared" ca="1" si="7"/>
        <v>1.4999999999989405E-3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input_482100!A$2</f>
        <v>482100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IFERROR(VLOOKUP(B146,input_482100!L:R,7,FALSE),VLOOKUP(tables_482100!C146,input_482100!A:H,8,FALSE))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input_482100!A$2</f>
        <v>482100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IFERROR(VLOOKUP(B147,input_482100!L:R,7,FALSE),VLOOKUP(tables_482100!C147,input_482100!A:H,8,FALSE))</f>
        <v>1028436.53846</v>
      </c>
      <c r="P147" s="46">
        <f t="shared" ca="1" si="7"/>
        <v>9.0643093465474483E-3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input_482100!A$2</f>
        <v>482100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IFERROR(VLOOKUP(B148,input_482100!L:R,7,FALSE),VLOOKUP(tables_482100!C148,input_482100!A:H,8,FALSE))</f>
        <v>53776.442309999999</v>
      </c>
      <c r="P148" s="46">
        <f t="shared" ca="1" si="7"/>
        <v>4.7396829111547695E-4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input_482100!A$2</f>
        <v>482100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IFERROR(VLOOKUP(B149,input_482100!L:R,7,FALSE),VLOOKUP(tables_482100!C149,input_482100!A:H,8,FALSE))</f>
        <v>26505</v>
      </c>
      <c r="P149" s="46">
        <f t="shared" ca="1" si="7"/>
        <v>2.3360655737688418E-4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input_482100!A$2</f>
        <v>482100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IFERROR(VLOOKUP(B150,input_482100!L:R,7,FALSE),VLOOKUP(tables_482100!C150,input_482100!A:H,8,FALSE))</f>
        <v>1395</v>
      </c>
      <c r="P150" s="46">
        <f t="shared" ca="1" si="7"/>
        <v>1.229508196720443E-5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input_482100!A$2</f>
        <v>482100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IFERROR(VLOOKUP(B151,input_482100!L:R,7,FALSE),VLOOKUP(tables_482100!C151,input_482100!A:H,8,FALSE))</f>
        <v>26505</v>
      </c>
      <c r="P151" s="46">
        <f t="shared" ca="1" si="7"/>
        <v>2.3360655737688418E-4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input_482100!A$2</f>
        <v>482100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IFERROR(VLOOKUP(B152,input_482100!L:R,7,FALSE),VLOOKUP(tables_482100!C152,input_482100!A:H,8,FALSE))</f>
        <v>1395</v>
      </c>
      <c r="P152" s="46">
        <f t="shared" ca="1" si="7"/>
        <v>1.229508196720443E-5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input_482100!A$2</f>
        <v>482100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IFERROR(VLOOKUP(B153,input_482100!L:R,7,FALSE),VLOOKUP(tables_482100!C153,input_482100!A:H,8,FALSE))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input_482100!A$2</f>
        <v>482100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IFERROR(VLOOKUP(B154,input_482100!L:R,7,FALSE),VLOOKUP(tables_482100!C154,input_482100!A:H,8,FALSE))</f>
        <v>1028436.53846</v>
      </c>
      <c r="P154" s="46">
        <f t="shared" ca="1" si="7"/>
        <v>9.0643093465474483E-3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input_482100!A$2</f>
        <v>482100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IFERROR(VLOOKUP(B155,input_482100!L:R,7,FALSE),VLOOKUP(tables_482100!C155,input_482100!A:H,8,FALSE))</f>
        <v>53776.442309999999</v>
      </c>
      <c r="P155" s="46">
        <f t="shared" ca="1" si="7"/>
        <v>4.7396829111547695E-4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input_482100!A$2</f>
        <v>482100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IFERROR(VLOOKUP(B156,input_482100!L:R,7,FALSE),VLOOKUP(tables_482100!C156,input_482100!A:H,8,FALSE))</f>
        <v>26505</v>
      </c>
      <c r="P156" s="46">
        <f t="shared" ca="1" si="7"/>
        <v>2.3360655737688418E-4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input_482100!A$2</f>
        <v>482100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IFERROR(VLOOKUP(B157,input_482100!L:R,7,FALSE),VLOOKUP(tables_482100!C157,input_482100!A:H,8,FALSE))</f>
        <v>1395</v>
      </c>
      <c r="P157" s="46">
        <f t="shared" ca="1" si="7"/>
        <v>1.229508196720443E-5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input_482100!A$2</f>
        <v>482100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IFERROR(VLOOKUP(B158,input_482100!L:R,7,FALSE),VLOOKUP(tables_482100!C158,input_482100!A:H,8,FALSE))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input_482100!A$2</f>
        <v>482100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IFERROR(VLOOKUP(B159,input_482100!L:R,7,FALSE),VLOOKUP(tables_482100!C159,input_482100!A:H,8,FALSE))</f>
        <v>1028436.53846</v>
      </c>
      <c r="P159" s="46">
        <f t="shared" ca="1" si="7"/>
        <v>9.0643093465474483E-3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input_482100!A$2</f>
        <v>482100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IFERROR(VLOOKUP(B160,input_482100!L:R,7,FALSE),VLOOKUP(tables_482100!C160,input_482100!A:H,8,FALSE))</f>
        <v>53776.442309999999</v>
      </c>
      <c r="P160" s="46">
        <f t="shared" ca="1" si="7"/>
        <v>4.7396829111547695E-4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input_482100!A$2</f>
        <v>482100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IFERROR(VLOOKUP(B161,input_482100!L:R,7,FALSE),VLOOKUP(tables_482100!C161,input_482100!A:H,8,FALSE))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input_482100!A$2</f>
        <v>482100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IFERROR(VLOOKUP(B162,input_482100!L:R,7,FALSE),VLOOKUP(tables_482100!C162,input_482100!A:H,8,FALSE))</f>
        <v>1028436.53846</v>
      </c>
      <c r="P162" s="46">
        <f t="shared" ca="1" si="7"/>
        <v>9.0643093465474483E-3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input_482100!A$2</f>
        <v>482100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IFERROR(VLOOKUP(B163,input_482100!L:R,7,FALSE),VLOOKUP(tables_482100!C163,input_482100!A:H,8,FALSE))</f>
        <v>53776.442309999999</v>
      </c>
      <c r="P163" s="46">
        <f t="shared" ca="1" si="7"/>
        <v>4.7396829111547695E-4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input_482100!A$2</f>
        <v>482100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IFERROR(VLOOKUP(B164,input_482100!L:R,7,FALSE),VLOOKUP(tables_482100!C164,input_482100!A:H,8,FALSE))</f>
        <v>26505</v>
      </c>
      <c r="P164" s="46">
        <f t="shared" ca="1" si="7"/>
        <v>2.3360655737688418E-4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input_482100!A$2</f>
        <v>482100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IFERROR(VLOOKUP(B165,input_482100!L:R,7,FALSE),VLOOKUP(tables_482100!C165,input_482100!A:H,8,FALSE))</f>
        <v>1395</v>
      </c>
      <c r="P165" s="46">
        <f t="shared" ca="1" si="7"/>
        <v>1.229508196720443E-5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input_482100!A$2</f>
        <v>482100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IFERROR(VLOOKUP(B166,input_482100!L:R,7,FALSE),VLOOKUP(tables_482100!C166,input_482100!A:H,8,FALSE))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input_482100!A$2</f>
        <v>482100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IFERROR(VLOOKUP(B167,input_482100!L:R,7,FALSE),VLOOKUP(tables_482100!C167,input_482100!A:H,8,FALSE))</f>
        <v>1028436.53846</v>
      </c>
      <c r="P167" s="46">
        <f t="shared" ca="1" si="7"/>
        <v>9.0643093465474483E-3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input_482100!A$2</f>
        <v>482100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IFERROR(VLOOKUP(B168,input_482100!L:R,7,FALSE),VLOOKUP(tables_482100!C168,input_482100!A:H,8,FALSE))</f>
        <v>53776.442309999999</v>
      </c>
      <c r="P168" s="46">
        <f t="shared" ca="1" si="7"/>
        <v>4.7396829111547695E-4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input_482100!A$2</f>
        <v>482100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IFERROR(VLOOKUP(B169,input_482100!L:R,7,FALSE),VLOOKUP(tables_482100!C169,input_482100!A:H,8,FALSE))</f>
        <v>26505</v>
      </c>
      <c r="P169" s="46">
        <f t="shared" ca="1" si="7"/>
        <v>2.3360655737688418E-4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input_482100!A$2</f>
        <v>482100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IFERROR(VLOOKUP(B170,input_482100!L:R,7,FALSE),VLOOKUP(tables_482100!C170,input_482100!A:H,8,FALSE))</f>
        <v>1395</v>
      </c>
      <c r="P170" s="46">
        <f t="shared" ca="1" si="7"/>
        <v>1.229508196720443E-5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input_482100!A$2</f>
        <v>482100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IFERROR(VLOOKUP(B171,input_482100!L:R,7,FALSE),VLOOKUP(tables_482100!C171,input_482100!A:H,8,FALSE))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input_482100!A$2</f>
        <v>482100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IFERROR(VLOOKUP(B172,input_482100!L:R,7,FALSE),VLOOKUP(tables_482100!C172,input_482100!A:H,8,FALSE))</f>
        <v>1028436.53846</v>
      </c>
      <c r="P172" s="46">
        <f t="shared" ca="1" si="7"/>
        <v>9.0643093465474483E-3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input_482100!A$2</f>
        <v>482100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IFERROR(VLOOKUP(B173,input_482100!L:R,7,FALSE),VLOOKUP(tables_482100!C173,input_482100!A:H,8,FALSE))</f>
        <v>53776.442309999999</v>
      </c>
      <c r="P173" s="46">
        <f t="shared" ca="1" si="7"/>
        <v>4.7396829111547695E-4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input_482100!A$2</f>
        <v>482100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IFERROR(VLOOKUP(B174,input_482100!L:R,7,FALSE),VLOOKUP(tables_482100!C174,input_482100!A:H,8,FALSE))</f>
        <v>26505</v>
      </c>
      <c r="P174" s="46">
        <f t="shared" ca="1" si="7"/>
        <v>2.3360655737688418E-4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input_482100!A$2</f>
        <v>482100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IFERROR(VLOOKUP(B175,input_482100!L:R,7,FALSE),VLOOKUP(tables_482100!C175,input_482100!A:H,8,FALSE))</f>
        <v>1395</v>
      </c>
      <c r="P175" s="46">
        <f t="shared" ca="1" si="7"/>
        <v>1.229508196720443E-5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input_482100!A$2</f>
        <v>482100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IFERROR(VLOOKUP(B176,input_482100!L:R,7,FALSE),VLOOKUP(tables_482100!C176,input_482100!A:H,8,FALSE))</f>
        <v>26505</v>
      </c>
      <c r="P176" s="46">
        <f t="shared" ca="1" si="7"/>
        <v>2.3360655737688418E-4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input_482100!A$2</f>
        <v>482100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IFERROR(VLOOKUP(B177,input_482100!L:R,7,FALSE),VLOOKUP(tables_482100!C177,input_482100!A:H,8,FALSE))</f>
        <v>1395</v>
      </c>
      <c r="P177" s="46">
        <f t="shared" ca="1" si="7"/>
        <v>1.229508196720443E-5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input_482100!A$2</f>
        <v>482100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IFERROR(VLOOKUP(B178,input_482100!L:R,7,FALSE),VLOOKUP(tables_482100!C178,input_482100!A:H,8,FALSE))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input_482100!A$2</f>
        <v>482100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IFERROR(VLOOKUP(B179,input_482100!L:R,7,FALSE),VLOOKUP(tables_482100!C179,input_482100!A:H,8,FALSE))</f>
        <v>1028436.53846</v>
      </c>
      <c r="P179" s="46">
        <f t="shared" ca="1" si="7"/>
        <v>9.0643093465474483E-3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input_482100!A$2</f>
        <v>482100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IFERROR(VLOOKUP(B180,input_482100!L:R,7,FALSE),VLOOKUP(tables_482100!C180,input_482100!A:H,8,FALSE))</f>
        <v>53776.442309999999</v>
      </c>
      <c r="P180" s="46">
        <f t="shared" ca="1" si="7"/>
        <v>4.7396829111547695E-4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input_482100!A$2</f>
        <v>482100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IFERROR(VLOOKUP(B181,input_482100!L:R,7,FALSE),VLOOKUP(tables_482100!C181,input_482100!A:H,8,FALSE))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input_482100!A$2</f>
        <v>482100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IFERROR(VLOOKUP(B182,input_482100!L:R,7,FALSE),VLOOKUP(tables_482100!C182,input_482100!A:H,8,FALSE))</f>
        <v>1028436.53846</v>
      </c>
      <c r="P182" s="46">
        <f t="shared" ca="1" si="7"/>
        <v>9.0643093465474483E-3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input_482100!A$2</f>
        <v>482100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IFERROR(VLOOKUP(B183,input_482100!L:R,7,FALSE),VLOOKUP(tables_482100!C183,input_482100!A:H,8,FALSE))</f>
        <v>53776.442309999999</v>
      </c>
      <c r="P183" s="46">
        <f t="shared" ca="1" si="7"/>
        <v>4.7396829111547695E-4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input_482100!A$2</f>
        <v>482100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IFERROR(VLOOKUP(B184,input_482100!L:R,7,FALSE),VLOOKUP(tables_482100!C184,input_482100!A:H,8,FALSE))</f>
        <v>26505</v>
      </c>
      <c r="P184" s="46">
        <f t="shared" ca="1" si="7"/>
        <v>2.3360655737688418E-4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input_482100!A$2</f>
        <v>482100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IFERROR(VLOOKUP(B185,input_482100!L:R,7,FALSE),VLOOKUP(tables_482100!C185,input_482100!A:H,8,FALSE))</f>
        <v>1395</v>
      </c>
      <c r="P185" s="46">
        <f t="shared" ca="1" si="7"/>
        <v>1.229508196720443E-5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input_482100!A$2</f>
        <v>482100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IFERROR(VLOOKUP(B186,input_482100!L:R,7,FALSE),VLOOKUP(tables_482100!C186,input_482100!A:H,8,FALSE))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input_482100!A$2</f>
        <v>482100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IFERROR(VLOOKUP(B187,input_482100!L:R,7,FALSE),VLOOKUP(tables_482100!C187,input_482100!A:H,8,FALSE))</f>
        <v>1028436.53846</v>
      </c>
      <c r="P187" s="46">
        <f t="shared" ca="1" si="7"/>
        <v>9.0643093465474483E-3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input_482100!A$2</f>
        <v>482100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IFERROR(VLOOKUP(B188,input_482100!L:R,7,FALSE),VLOOKUP(tables_482100!C188,input_482100!A:H,8,FALSE))</f>
        <v>53776.442309999999</v>
      </c>
      <c r="P188" s="46">
        <f t="shared" ca="1" si="7"/>
        <v>4.7396829111547695E-4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input_482100!A$2</f>
        <v>482100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IFERROR(VLOOKUP(B189,input_482100!L:R,7,FALSE),VLOOKUP(tables_482100!C189,input_482100!A:H,8,FALSE))</f>
        <v>26505</v>
      </c>
      <c r="P189" s="46">
        <f t="shared" ca="1" si="7"/>
        <v>2.3360655737688418E-4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input_482100!A$2</f>
        <v>482100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IFERROR(VLOOKUP(B190,input_482100!L:R,7,FALSE),VLOOKUP(tables_482100!C190,input_482100!A:H,8,FALSE))</f>
        <v>1395</v>
      </c>
      <c r="P190" s="46">
        <f t="shared" ca="1" si="7"/>
        <v>1.229508196720443E-5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input_482100!A$2</f>
        <v>482100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IFERROR(VLOOKUP(B191,input_482100!L:R,7,FALSE),VLOOKUP(tables_482100!C191,input_482100!A:H,8,FALSE))</f>
        <v>26505</v>
      </c>
      <c r="P191" s="46">
        <f t="shared" ca="1" si="7"/>
        <v>2.3360655737688418E-4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input_482100!A$2</f>
        <v>482100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IFERROR(VLOOKUP(B192,input_482100!L:R,7,FALSE),VLOOKUP(tables_482100!C192,input_482100!A:H,8,FALSE))</f>
        <v>1395</v>
      </c>
      <c r="P192" s="46">
        <f t="shared" ca="1" si="7"/>
        <v>1.229508196720443E-5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input_482100!A$2</f>
        <v>482100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IFERROR(VLOOKUP(B193,input_482100!L:R,7,FALSE),VLOOKUP(tables_482100!C193,input_482100!A:H,8,FALSE))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input_482100!A$2</f>
        <v>482100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IFERROR(VLOOKUP(B194,input_482100!L:R,7,FALSE),VLOOKUP(tables_482100!C194,input_482100!A:H,8,FALSE))</f>
        <v>1028436.53846</v>
      </c>
      <c r="P194" s="46">
        <f t="shared" ref="P194:P257" ca="1" si="10">O194/SUM(O:O)</f>
        <v>9.0643093465474483E-3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input_482100!A$2</f>
        <v>482100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IFERROR(VLOOKUP(B195,input_482100!L:R,7,FALSE),VLOOKUP(tables_482100!C195,input_482100!A:H,8,FALSE))</f>
        <v>53776.442309999999</v>
      </c>
      <c r="P195" s="46">
        <f t="shared" ca="1" si="10"/>
        <v>4.7396829111547695E-4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input_482100!A$2</f>
        <v>482100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IFERROR(VLOOKUP(B196,input_482100!L:R,7,FALSE),VLOOKUP(tables_482100!C196,input_482100!A:H,8,FALSE))</f>
        <v>26505</v>
      </c>
      <c r="P196" s="46">
        <f t="shared" ca="1" si="10"/>
        <v>2.3360655737688418E-4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input_482100!A$2</f>
        <v>482100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IFERROR(VLOOKUP(B197,input_482100!L:R,7,FALSE),VLOOKUP(tables_482100!C197,input_482100!A:H,8,FALSE))</f>
        <v>1395</v>
      </c>
      <c r="P197" s="46">
        <f t="shared" ca="1" si="10"/>
        <v>1.229508196720443E-5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input_482100!A$2</f>
        <v>482100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IFERROR(VLOOKUP(B198,input_482100!L:R,7,FALSE),VLOOKUP(tables_482100!C198,input_482100!A:H,8,FALSE))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input_482100!A$2</f>
        <v>482100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IFERROR(VLOOKUP(B199,input_482100!L:R,7,FALSE),VLOOKUP(tables_482100!C199,input_482100!A:H,8,FALSE))</f>
        <v>1028436.53846</v>
      </c>
      <c r="P199" s="46">
        <f t="shared" ca="1" si="10"/>
        <v>9.0643093465474483E-3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input_482100!A$2</f>
        <v>482100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IFERROR(VLOOKUP(B200,input_482100!L:R,7,FALSE),VLOOKUP(tables_482100!C200,input_482100!A:H,8,FALSE))</f>
        <v>53776.442309999999</v>
      </c>
      <c r="P200" s="46">
        <f t="shared" ca="1" si="10"/>
        <v>4.7396829111547695E-4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input_482100!A$2</f>
        <v>482100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IFERROR(VLOOKUP(B201,input_482100!L:R,7,FALSE),VLOOKUP(tables_482100!C201,input_482100!A:H,8,FALSE))</f>
        <v>26505</v>
      </c>
      <c r="P201" s="46">
        <f t="shared" ca="1" si="10"/>
        <v>2.3360655737688418E-4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input_482100!A$2</f>
        <v>482100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IFERROR(VLOOKUP(B202,input_482100!L:R,7,FALSE),VLOOKUP(tables_482100!C202,input_482100!A:H,8,FALSE))</f>
        <v>1395</v>
      </c>
      <c r="P202" s="46">
        <f t="shared" ca="1" si="10"/>
        <v>1.229508196720443E-5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input_482100!A$2</f>
        <v>482100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IFERROR(VLOOKUP(B203,input_482100!L:R,7,FALSE),VLOOKUP(tables_482100!C203,input_482100!A:H,8,FALSE))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input_482100!A$2</f>
        <v>482100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IFERROR(VLOOKUP(B204,input_482100!L:R,7,FALSE),VLOOKUP(tables_482100!C204,input_482100!A:H,8,FALSE))</f>
        <v>1028436.53846</v>
      </c>
      <c r="P204" s="46">
        <f t="shared" ca="1" si="10"/>
        <v>9.0643093465474483E-3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input_482100!A$2</f>
        <v>482100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IFERROR(VLOOKUP(B205,input_482100!L:R,7,FALSE),VLOOKUP(tables_482100!C205,input_482100!A:H,8,FALSE))</f>
        <v>53776.442309999999</v>
      </c>
      <c r="P205" s="46">
        <f t="shared" ca="1" si="10"/>
        <v>4.7396829111547695E-4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input_482100!A$2</f>
        <v>482100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IFERROR(VLOOKUP(B206,input_482100!L:R,7,FALSE),VLOOKUP(tables_482100!C206,input_482100!A:H,8,FALSE))</f>
        <v>26505</v>
      </c>
      <c r="P206" s="46">
        <f t="shared" ca="1" si="10"/>
        <v>2.3360655737688418E-4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input_482100!A$2</f>
        <v>482100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IFERROR(VLOOKUP(B207,input_482100!L:R,7,FALSE),VLOOKUP(tables_482100!C207,input_482100!A:H,8,FALSE))</f>
        <v>1395</v>
      </c>
      <c r="P207" s="46">
        <f t="shared" ca="1" si="10"/>
        <v>1.229508196720443E-5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input_482100!A$2</f>
        <v>482100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IFERROR(VLOOKUP(B208,input_482100!L:R,7,FALSE),VLOOKUP(tables_482100!C208,input_482100!A:H,8,FALSE))</f>
        <v>26505</v>
      </c>
      <c r="P208" s="46">
        <f t="shared" ca="1" si="10"/>
        <v>2.3360655737688418E-4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input_482100!A$2</f>
        <v>482100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IFERROR(VLOOKUP(B209,input_482100!L:R,7,FALSE),VLOOKUP(tables_482100!C209,input_482100!A:H,8,FALSE))</f>
        <v>1395</v>
      </c>
      <c r="P209" s="46">
        <f t="shared" ca="1" si="10"/>
        <v>1.229508196720443E-5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input_482100!A$2</f>
        <v>482100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IFERROR(VLOOKUP(B210,input_482100!L:R,7,FALSE),VLOOKUP(tables_482100!C210,input_482100!A:H,8,FALSE))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input_482100!A$2</f>
        <v>482100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IFERROR(VLOOKUP(B211,input_482100!L:R,7,FALSE),VLOOKUP(tables_482100!C211,input_482100!A:H,8,FALSE))</f>
        <v>1028436.53846</v>
      </c>
      <c r="P211" s="46">
        <f t="shared" ca="1" si="10"/>
        <v>9.0643093465474483E-3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input_482100!A$2</f>
        <v>482100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IFERROR(VLOOKUP(B212,input_482100!L:R,7,FALSE),VLOOKUP(tables_482100!C212,input_482100!A:H,8,FALSE))</f>
        <v>53776.442309999999</v>
      </c>
      <c r="P212" s="46">
        <f t="shared" ca="1" si="10"/>
        <v>4.7396829111547695E-4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input_482100!A$2</f>
        <v>482100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IFERROR(VLOOKUP(B213,input_482100!L:R,7,FALSE),VLOOKUP(tables_482100!C213,input_482100!A:H,8,FALSE))</f>
        <v>26505</v>
      </c>
      <c r="P213" s="46">
        <f t="shared" ca="1" si="10"/>
        <v>2.3360655737688418E-4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input_482100!A$2</f>
        <v>482100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IFERROR(VLOOKUP(B214,input_482100!L:R,7,FALSE),VLOOKUP(tables_482100!C214,input_482100!A:H,8,FALSE))</f>
        <v>1395</v>
      </c>
      <c r="P214" s="46">
        <f t="shared" ca="1" si="10"/>
        <v>1.229508196720443E-5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input_482100!A$2</f>
        <v>482100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IFERROR(VLOOKUP(B215,input_482100!L:R,7,FALSE),VLOOKUP(tables_482100!C215,input_482100!A:H,8,FALSE))</f>
        <v>56425</v>
      </c>
      <c r="P215" s="46">
        <f t="shared" ca="1" si="10"/>
        <v>4.9731182795663799E-4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input_482100!A$2</f>
        <v>482100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IFERROR(VLOOKUP(B216,input_482100!L:R,7,FALSE),VLOOKUP(tables_482100!C216,input_482100!A:H,8,FALSE))</f>
        <v>56425</v>
      </c>
      <c r="P216" s="46">
        <f t="shared" ca="1" si="10"/>
        <v>4.9731182795663799E-4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input_482100!A$2</f>
        <v>482100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IFERROR(VLOOKUP(B217,input_482100!L:R,7,FALSE),VLOOKUP(tables_482100!C217,input_482100!A:H,8,FALSE))</f>
        <v>56425</v>
      </c>
      <c r="P217" s="46">
        <f t="shared" ca="1" si="10"/>
        <v>4.9731182795663799E-4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input_482100!A$2</f>
        <v>482100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IFERROR(VLOOKUP(B218,input_482100!L:R,7,FALSE),VLOOKUP(tables_482100!C218,input_482100!A:H,8,FALSE))</f>
        <v>56425</v>
      </c>
      <c r="P218" s="46">
        <f t="shared" ca="1" si="10"/>
        <v>4.9731182795663799E-4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input_482100!A$2</f>
        <v>482100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IFERROR(VLOOKUP(B219,input_482100!L:R,7,FALSE),VLOOKUP(tables_482100!C219,input_482100!A:H,8,FALSE))</f>
        <v>56425</v>
      </c>
      <c r="P219" s="46">
        <f t="shared" ca="1" si="10"/>
        <v>4.9731182795663799E-4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input_482100!A$2</f>
        <v>482100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IFERROR(VLOOKUP(B220,input_482100!L:R,7,FALSE),VLOOKUP(tables_482100!C220,input_482100!A:H,8,FALSE))</f>
        <v>56425</v>
      </c>
      <c r="P220" s="46">
        <f t="shared" ca="1" si="10"/>
        <v>4.9731182795663799E-4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input_482100!A$2</f>
        <v>482100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IFERROR(VLOOKUP(B221,input_482100!L:R,7,FALSE),VLOOKUP(tables_482100!C221,input_482100!A:H,8,FALSE))</f>
        <v>26505</v>
      </c>
      <c r="P221" s="46">
        <f t="shared" ca="1" si="10"/>
        <v>2.3360655737688418E-4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input_482100!A$2</f>
        <v>482100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IFERROR(VLOOKUP(B222,input_482100!L:R,7,FALSE),VLOOKUP(tables_482100!C222,input_482100!A:H,8,FALSE))</f>
        <v>1395</v>
      </c>
      <c r="P222" s="46">
        <f t="shared" ca="1" si="10"/>
        <v>1.229508196720443E-5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input_482100!A$2</f>
        <v>482100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IFERROR(VLOOKUP(B223,input_482100!L:R,7,FALSE),VLOOKUP(tables_482100!C223,input_482100!A:H,8,FALSE))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input_482100!A$2</f>
        <v>482100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IFERROR(VLOOKUP(B224,input_482100!L:R,7,FALSE),VLOOKUP(tables_482100!C224,input_482100!A:H,8,FALSE))</f>
        <v>1028436.53846</v>
      </c>
      <c r="P224" s="46">
        <f t="shared" ca="1" si="10"/>
        <v>9.0643093465474483E-3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input_482100!A$2</f>
        <v>482100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IFERROR(VLOOKUP(B225,input_482100!L:R,7,FALSE),VLOOKUP(tables_482100!C225,input_482100!A:H,8,FALSE))</f>
        <v>53776.442309999999</v>
      </c>
      <c r="P225" s="46">
        <f t="shared" ca="1" si="10"/>
        <v>4.7396829111547695E-4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input_482100!A$2</f>
        <v>482100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IFERROR(VLOOKUP(B226,input_482100!L:R,7,FALSE),VLOOKUP(tables_482100!C226,input_482100!A:H,8,FALSE))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input_482100!A$2</f>
        <v>482100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IFERROR(VLOOKUP(B227,input_482100!L:R,7,FALSE),VLOOKUP(tables_482100!C227,input_482100!A:H,8,FALSE))</f>
        <v>1028436.53846</v>
      </c>
      <c r="P227" s="46">
        <f t="shared" ca="1" si="10"/>
        <v>9.0643093465474483E-3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input_482100!A$2</f>
        <v>482100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IFERROR(VLOOKUP(B228,input_482100!L:R,7,FALSE),VLOOKUP(tables_482100!C228,input_482100!A:H,8,FALSE))</f>
        <v>53776.442309999999</v>
      </c>
      <c r="P228" s="46">
        <f t="shared" ca="1" si="10"/>
        <v>4.7396829111547695E-4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input_482100!A$2</f>
        <v>482100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IFERROR(VLOOKUP(B229,input_482100!L:R,7,FALSE),VLOOKUP(tables_482100!C229,input_482100!A:H,8,FALSE))</f>
        <v>26505</v>
      </c>
      <c r="P229" s="46">
        <f t="shared" ca="1" si="10"/>
        <v>2.3360655737688418E-4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input_482100!A$2</f>
        <v>482100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IFERROR(VLOOKUP(B230,input_482100!L:R,7,FALSE),VLOOKUP(tables_482100!C230,input_482100!A:H,8,FALSE))</f>
        <v>1395</v>
      </c>
      <c r="P230" s="46">
        <f t="shared" ca="1" si="10"/>
        <v>1.229508196720443E-5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input_482100!A$2</f>
        <v>482100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IFERROR(VLOOKUP(B231,input_482100!L:R,7,FALSE),VLOOKUP(tables_482100!C231,input_482100!A:H,8,FALSE))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input_482100!A$2</f>
        <v>482100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IFERROR(VLOOKUP(B232,input_482100!L:R,7,FALSE),VLOOKUP(tables_482100!C232,input_482100!A:H,8,FALSE))</f>
        <v>1028436.53846</v>
      </c>
      <c r="P232" s="46">
        <f t="shared" ca="1" si="10"/>
        <v>9.0643093465474483E-3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input_482100!A$2</f>
        <v>482100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IFERROR(VLOOKUP(B233,input_482100!L:R,7,FALSE),VLOOKUP(tables_482100!C233,input_482100!A:H,8,FALSE))</f>
        <v>53776.442309999999</v>
      </c>
      <c r="P233" s="46">
        <f t="shared" ca="1" si="10"/>
        <v>4.7396829111547695E-4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input_482100!A$2</f>
        <v>482100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IFERROR(VLOOKUP(B234,input_482100!L:R,7,FALSE),VLOOKUP(tables_482100!C234,input_482100!A:H,8,FALSE))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input_482100!A$2</f>
        <v>482100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IFERROR(VLOOKUP(B235,input_482100!L:R,7,FALSE),VLOOKUP(tables_482100!C235,input_482100!A:H,8,FALSE))</f>
        <v>1028436.53846</v>
      </c>
      <c r="P235" s="46">
        <f t="shared" ca="1" si="10"/>
        <v>9.0643093465474483E-3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input_482100!A$2</f>
        <v>482100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IFERROR(VLOOKUP(B236,input_482100!L:R,7,FALSE),VLOOKUP(tables_482100!C236,input_482100!A:H,8,FALSE))</f>
        <v>53776.442309999999</v>
      </c>
      <c r="P236" s="46">
        <f t="shared" ca="1" si="10"/>
        <v>4.7396829111547695E-4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input_482100!A$2</f>
        <v>482100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IFERROR(VLOOKUP(B237,input_482100!L:R,7,FALSE),VLOOKUP(tables_482100!C237,input_482100!A:H,8,FALSE))</f>
        <v>26505</v>
      </c>
      <c r="P237" s="46">
        <f t="shared" ca="1" si="10"/>
        <v>2.3360655737688418E-4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input_482100!A$2</f>
        <v>482100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IFERROR(VLOOKUP(B238,input_482100!L:R,7,FALSE),VLOOKUP(tables_482100!C238,input_482100!A:H,8,FALSE))</f>
        <v>1395</v>
      </c>
      <c r="P238" s="46">
        <f t="shared" ca="1" si="10"/>
        <v>1.229508196720443E-5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input_482100!A$2</f>
        <v>482100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IFERROR(VLOOKUP(B239,input_482100!L:R,7,FALSE),VLOOKUP(tables_482100!C239,input_482100!A:H,8,FALSE))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input_482100!A$2</f>
        <v>482100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IFERROR(VLOOKUP(B240,input_482100!L:R,7,FALSE),VLOOKUP(tables_482100!C240,input_482100!A:H,8,FALSE))</f>
        <v>1028436.53846</v>
      </c>
      <c r="P240" s="46">
        <f t="shared" ca="1" si="10"/>
        <v>9.0643093465474483E-3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input_482100!A$2</f>
        <v>482100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IFERROR(VLOOKUP(B241,input_482100!L:R,7,FALSE),VLOOKUP(tables_482100!C241,input_482100!A:H,8,FALSE))</f>
        <v>53776.442309999999</v>
      </c>
      <c r="P241" s="46">
        <f t="shared" ca="1" si="10"/>
        <v>4.7396829111547695E-4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input_482100!A$2</f>
        <v>482100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IFERROR(VLOOKUP(B242,input_482100!L:R,7,FALSE),VLOOKUP(tables_482100!C242,input_482100!A:H,8,FALSE))</f>
        <v>26505</v>
      </c>
      <c r="P242" s="46">
        <f t="shared" ca="1" si="10"/>
        <v>2.3360655737688418E-4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input_482100!A$2</f>
        <v>482100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IFERROR(VLOOKUP(B243,input_482100!L:R,7,FALSE),VLOOKUP(tables_482100!C243,input_482100!A:H,8,FALSE))</f>
        <v>1395</v>
      </c>
      <c r="P243" s="46">
        <f t="shared" ca="1" si="10"/>
        <v>1.229508196720443E-5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input_482100!A$2</f>
        <v>482100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IFERROR(VLOOKUP(B244,input_482100!L:R,7,FALSE),VLOOKUP(tables_482100!C244,input_482100!A:H,8,FALSE))</f>
        <v>26505</v>
      </c>
      <c r="P244" s="46">
        <f t="shared" ca="1" si="10"/>
        <v>2.3360655737688418E-4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input_482100!A$2</f>
        <v>482100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IFERROR(VLOOKUP(B245,input_482100!L:R,7,FALSE),VLOOKUP(tables_482100!C245,input_482100!A:H,8,FALSE))</f>
        <v>1395</v>
      </c>
      <c r="P245" s="46">
        <f t="shared" ca="1" si="10"/>
        <v>1.229508196720443E-5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input_482100!A$2</f>
        <v>482100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IFERROR(VLOOKUP(B246,input_482100!L:R,7,FALSE),VLOOKUP(tables_482100!C246,input_482100!A:H,8,FALSE))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input_482100!A$2</f>
        <v>482100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IFERROR(VLOOKUP(B247,input_482100!L:R,7,FALSE),VLOOKUP(tables_482100!C247,input_482100!A:H,8,FALSE))</f>
        <v>1028436.53846</v>
      </c>
      <c r="P247" s="46">
        <f t="shared" ca="1" si="10"/>
        <v>9.0643093465474483E-3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input_482100!A$2</f>
        <v>482100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IFERROR(VLOOKUP(B248,input_482100!L:R,7,FALSE),VLOOKUP(tables_482100!C248,input_482100!A:H,8,FALSE))</f>
        <v>53776.442309999999</v>
      </c>
      <c r="P248" s="46">
        <f t="shared" ca="1" si="10"/>
        <v>4.7396829111547695E-4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input_482100!A$2</f>
        <v>482100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IFERROR(VLOOKUP(B249,input_482100!L:R,7,FALSE),VLOOKUP(tables_482100!C249,input_482100!A:H,8,FALSE))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input_482100!A$2</f>
        <v>482100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IFERROR(VLOOKUP(B250,input_482100!L:R,7,FALSE),VLOOKUP(tables_482100!C250,input_482100!A:H,8,FALSE))</f>
        <v>1028436.53846</v>
      </c>
      <c r="P250" s="46">
        <f t="shared" ca="1" si="10"/>
        <v>9.0643093465474483E-3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input_482100!A$2</f>
        <v>482100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IFERROR(VLOOKUP(B251,input_482100!L:R,7,FALSE),VLOOKUP(tables_482100!C251,input_482100!A:H,8,FALSE))</f>
        <v>53776.442309999999</v>
      </c>
      <c r="P251" s="46">
        <f t="shared" ca="1" si="10"/>
        <v>4.7396829111547695E-4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input_482100!A$2</f>
        <v>482100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IFERROR(VLOOKUP(B252,input_482100!L:R,7,FALSE),VLOOKUP(tables_482100!C252,input_482100!A:H,8,FALSE))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input_482100!A$2</f>
        <v>482100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IFERROR(VLOOKUP(B253,input_482100!L:R,7,FALSE),VLOOKUP(tables_482100!C253,input_482100!A:H,8,FALSE))</f>
        <v>1028436.53846</v>
      </c>
      <c r="P253" s="46">
        <f t="shared" ca="1" si="10"/>
        <v>9.0643093465474483E-3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input_482100!A$2</f>
        <v>482100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IFERROR(VLOOKUP(B254,input_482100!L:R,7,FALSE),VLOOKUP(tables_482100!C254,input_482100!A:H,8,FALSE))</f>
        <v>53776.442309999999</v>
      </c>
      <c r="P254" s="46">
        <f t="shared" ca="1" si="10"/>
        <v>4.7396829111547695E-4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input_482100!A$2</f>
        <v>482100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IFERROR(VLOOKUP(B255,input_482100!L:R,7,FALSE),VLOOKUP(tables_482100!C255,input_482100!A:H,8,FALSE))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input_482100!A$2</f>
        <v>482100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IFERROR(VLOOKUP(B256,input_482100!L:R,7,FALSE),VLOOKUP(tables_482100!C256,input_482100!A:H,8,FALSE))</f>
        <v>1028436.53846</v>
      </c>
      <c r="P256" s="46">
        <f t="shared" ca="1" si="10"/>
        <v>9.0643093465474483E-3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input_482100!A$2</f>
        <v>482100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IFERROR(VLOOKUP(B257,input_482100!L:R,7,FALSE),VLOOKUP(tables_482100!C257,input_482100!A:H,8,FALSE))</f>
        <v>53776.442309999999</v>
      </c>
      <c r="P257" s="46">
        <f t="shared" ca="1" si="10"/>
        <v>4.7396829111547695E-4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input_482100!A$2</f>
        <v>482100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IFERROR(VLOOKUP(B258,input_482100!L:R,7,FALSE),VLOOKUP(tables_482100!C258,input_482100!A:H,8,FALSE))</f>
        <v>26505</v>
      </c>
      <c r="P258" s="46">
        <f t="shared" ref="P258:P294" ca="1" si="13">O258/SUM(O:O)</f>
        <v>2.3360655737688418E-4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input_482100!A$2</f>
        <v>482100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IFERROR(VLOOKUP(B259,input_482100!L:R,7,FALSE),VLOOKUP(tables_482100!C259,input_482100!A:H,8,FALSE))</f>
        <v>1395</v>
      </c>
      <c r="P259" s="46">
        <f t="shared" ca="1" si="13"/>
        <v>1.229508196720443E-5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input_482100!A$2</f>
        <v>482100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IFERROR(VLOOKUP(B260,input_482100!L:R,7,FALSE),VLOOKUP(tables_482100!C260,input_482100!A:H,8,FALSE))</f>
        <v>26505</v>
      </c>
      <c r="P260" s="46">
        <f t="shared" ca="1" si="13"/>
        <v>2.3360655737688418E-4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input_482100!A$2</f>
        <v>482100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IFERROR(VLOOKUP(B261,input_482100!L:R,7,FALSE),VLOOKUP(tables_482100!C261,input_482100!A:H,8,FALSE))</f>
        <v>1395</v>
      </c>
      <c r="P261" s="46">
        <f t="shared" ca="1" si="13"/>
        <v>1.229508196720443E-5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input_482100!A$2</f>
        <v>482100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IFERROR(VLOOKUP(B262,input_482100!L:R,7,FALSE),VLOOKUP(tables_482100!C262,input_482100!A:H,8,FALSE))</f>
        <v>1052160.29412</v>
      </c>
      <c r="P262" s="46">
        <f t="shared" ca="1" si="13"/>
        <v>9.2734029095651056E-3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input_482100!A$2</f>
        <v>482100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IFERROR(VLOOKUP(B263,input_482100!L:R,7,FALSE),VLOOKUP(tables_482100!C263,input_482100!A:H,8,FALSE))</f>
        <v>56425</v>
      </c>
      <c r="P263" s="46">
        <f t="shared" ca="1" si="13"/>
        <v>4.9731182795663799E-4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input_482100!A$2</f>
        <v>482100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IFERROR(VLOOKUP(B264,input_482100!L:R,7,FALSE),VLOOKUP(tables_482100!C264,input_482100!A:H,8,FALSE))</f>
        <v>1052160.29412</v>
      </c>
      <c r="P264" s="46">
        <f t="shared" ca="1" si="13"/>
        <v>9.2734029095651056E-3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input_482100!A$2</f>
        <v>482100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IFERROR(VLOOKUP(B265,input_482100!L:R,7,FALSE),VLOOKUP(tables_482100!C265,input_482100!A:H,8,FALSE))</f>
        <v>56425</v>
      </c>
      <c r="P265" s="46">
        <f t="shared" ca="1" si="13"/>
        <v>4.9731182795663799E-4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input_482100!A$2</f>
        <v>482100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IFERROR(VLOOKUP(B266,input_482100!L:R,7,FALSE),VLOOKUP(tables_482100!C266,input_482100!A:H,8,FALSE))</f>
        <v>27900</v>
      </c>
      <c r="P266" s="46">
        <f t="shared" ca="1" si="13"/>
        <v>2.4590163934408861E-4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input_482100!A$2</f>
        <v>482100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IFERROR(VLOOKUP(B267,input_482100!L:R,7,FALSE),VLOOKUP(tables_482100!C267,input_482100!A:H,8,FALSE))</f>
        <v>27900</v>
      </c>
      <c r="P267" s="46">
        <f t="shared" ca="1" si="13"/>
        <v>2.4590163934408861E-4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input_482100!A$2</f>
        <v>482100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IFERROR(VLOOKUP(B268,input_482100!L:R,7,FALSE),VLOOKUP(tables_482100!C268,input_482100!A:H,8,FALSE))</f>
        <v>27900</v>
      </c>
      <c r="P268" s="46">
        <f t="shared" ca="1" si="13"/>
        <v>2.4590163934408861E-4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input_482100!A$2</f>
        <v>482100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IFERROR(VLOOKUP(B269,input_482100!L:R,7,FALSE),VLOOKUP(tables_482100!C269,input_482100!A:H,8,FALSE))</f>
        <v>27900</v>
      </c>
      <c r="P269" s="46">
        <f t="shared" ca="1" si="13"/>
        <v>2.4590163934408861E-4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input_482100!A$2</f>
        <v>482100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IFERROR(VLOOKUP(B270,input_482100!L:R,7,FALSE),VLOOKUP(tables_482100!C270,input_482100!A:H,8,FALSE))</f>
        <v>1052160.29412</v>
      </c>
      <c r="P270" s="46">
        <f t="shared" ca="1" si="13"/>
        <v>9.2734029095651056E-3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input_482100!A$2</f>
        <v>482100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IFERROR(VLOOKUP(B271,input_482100!L:R,7,FALSE),VLOOKUP(tables_482100!C271,input_482100!A:H,8,FALSE))</f>
        <v>56425</v>
      </c>
      <c r="P271" s="46">
        <f t="shared" ca="1" si="13"/>
        <v>4.9731182795663799E-4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input_482100!A$2</f>
        <v>482100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IFERROR(VLOOKUP(B272,input_482100!L:R,7,FALSE),VLOOKUP(tables_482100!C272,input_482100!A:H,8,FALSE))</f>
        <v>1052160.29412</v>
      </c>
      <c r="P272" s="46">
        <f t="shared" ca="1" si="13"/>
        <v>9.2734029095651056E-3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input_482100!A$2</f>
        <v>482100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IFERROR(VLOOKUP(B273,input_482100!L:R,7,FALSE),VLOOKUP(tables_482100!C273,input_482100!A:H,8,FALSE))</f>
        <v>56425</v>
      </c>
      <c r="P273" s="46">
        <f t="shared" ca="1" si="13"/>
        <v>4.9731182795663799E-4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input_482100!A$2</f>
        <v>482100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IFERROR(VLOOKUP(B274,input_482100!L:R,7,FALSE),VLOOKUP(tables_482100!C274,input_482100!A:H,8,FALSE))</f>
        <v>26505</v>
      </c>
      <c r="P274" s="46">
        <f t="shared" ca="1" si="13"/>
        <v>2.3360655737688418E-4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input_482100!A$2</f>
        <v>482100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IFERROR(VLOOKUP(B275,input_482100!L:R,7,FALSE),VLOOKUP(tables_482100!C275,input_482100!A:H,8,FALSE))</f>
        <v>1395</v>
      </c>
      <c r="P275" s="46">
        <f t="shared" ca="1" si="13"/>
        <v>1.229508196720443E-5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input_482100!A$2</f>
        <v>482100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IFERROR(VLOOKUP(B276,input_482100!L:R,7,FALSE),VLOOKUP(tables_482100!C276,input_482100!A:H,8,FALSE))</f>
        <v>26505</v>
      </c>
      <c r="P276" s="46">
        <f t="shared" ca="1" si="13"/>
        <v>2.3360655737688418E-4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input_482100!A$2</f>
        <v>482100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IFERROR(VLOOKUP(B277,input_482100!L:R,7,FALSE),VLOOKUP(tables_482100!C277,input_482100!A:H,8,FALSE))</f>
        <v>1395</v>
      </c>
      <c r="P277" s="46">
        <f t="shared" ca="1" si="13"/>
        <v>1.229508196720443E-5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input_482100!A$2</f>
        <v>482100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IFERROR(VLOOKUP(B278,input_482100!L:R,7,FALSE),VLOOKUP(tables_482100!C278,input_482100!A:H,8,FALSE))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input_482100!A$2</f>
        <v>482100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IFERROR(VLOOKUP(B279,input_482100!L:R,7,FALSE),VLOOKUP(tables_482100!C279,input_482100!A:H,8,FALSE))</f>
        <v>1028436.53846</v>
      </c>
      <c r="P279" s="46">
        <f t="shared" ca="1" si="13"/>
        <v>9.0643093465474483E-3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input_482100!A$2</f>
        <v>482100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IFERROR(VLOOKUP(B280,input_482100!L:R,7,FALSE),VLOOKUP(tables_482100!C280,input_482100!A:H,8,FALSE))</f>
        <v>53776.442309999999</v>
      </c>
      <c r="P280" s="46">
        <f t="shared" ca="1" si="13"/>
        <v>4.7396829111547695E-4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input_482100!A$2</f>
        <v>482100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IFERROR(VLOOKUP(B281,input_482100!L:R,7,FALSE),VLOOKUP(tables_482100!C281,input_482100!A:H,8,FALSE))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input_482100!A$2</f>
        <v>482100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IFERROR(VLOOKUP(B282,input_482100!L:R,7,FALSE),VLOOKUP(tables_482100!C282,input_482100!A:H,8,FALSE))</f>
        <v>1028436.53846</v>
      </c>
      <c r="P282" s="46">
        <f t="shared" ca="1" si="13"/>
        <v>9.0643093465474483E-3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input_482100!A$2</f>
        <v>482100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IFERROR(VLOOKUP(B283,input_482100!L:R,7,FALSE),VLOOKUP(tables_482100!C283,input_482100!A:H,8,FALSE))</f>
        <v>53776.442309999999</v>
      </c>
      <c r="P283" s="46">
        <f t="shared" ca="1" si="13"/>
        <v>4.7396829111547695E-4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input_482100!A$2</f>
        <v>482100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IFERROR(VLOOKUP(B284,input_482100!L:R,7,FALSE),VLOOKUP(tables_482100!C284,input_482100!A:H,8,FALSE))</f>
        <v>27900</v>
      </c>
      <c r="P284" s="46">
        <f t="shared" ca="1" si="13"/>
        <v>2.4590163934408861E-4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input_482100!A$2</f>
        <v>482100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IFERROR(VLOOKUP(B285,input_482100!L:R,7,FALSE),VLOOKUP(tables_482100!C285,input_482100!A:H,8,FALSE))</f>
        <v>27900</v>
      </c>
      <c r="P285" s="46">
        <f t="shared" ca="1" si="13"/>
        <v>2.4590163934408861E-4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input_482100!A$2</f>
        <v>482100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IFERROR(VLOOKUP(B286,input_482100!L:R,7,FALSE),VLOOKUP(tables_482100!C286,input_482100!A:H,8,FALSE))</f>
        <v>1052160.29412</v>
      </c>
      <c r="P286" s="46">
        <f t="shared" ca="1" si="13"/>
        <v>9.2734029095651056E-3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input_482100!A$2</f>
        <v>482100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IFERROR(VLOOKUP(B287,input_482100!L:R,7,FALSE),VLOOKUP(tables_482100!C287,input_482100!A:H,8,FALSE))</f>
        <v>56425</v>
      </c>
      <c r="P287" s="46">
        <f t="shared" ca="1" si="13"/>
        <v>4.9731182795663799E-4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input_482100!A$2</f>
        <v>482100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IFERROR(VLOOKUP(B288,input_482100!L:R,7,FALSE),VLOOKUP(tables_482100!C288,input_482100!A:H,8,FALSE))</f>
        <v>1052160.29412</v>
      </c>
      <c r="P288" s="46">
        <f t="shared" ca="1" si="13"/>
        <v>9.2734029095651056E-3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input_482100!A$2</f>
        <v>482100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IFERROR(VLOOKUP(B289,input_482100!L:R,7,FALSE),VLOOKUP(tables_482100!C289,input_482100!A:H,8,FALSE))</f>
        <v>56425</v>
      </c>
      <c r="P289" s="46">
        <f t="shared" ca="1" si="13"/>
        <v>4.9731182795663799E-4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input_482100!A$2</f>
        <v>482100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IFERROR(VLOOKUP(B290,input_482100!L:R,7,FALSE),VLOOKUP(tables_482100!C290,input_482100!A:H,8,FALSE))</f>
        <v>1052160.29412</v>
      </c>
      <c r="P290" s="46">
        <f t="shared" ca="1" si="13"/>
        <v>9.2734029095651056E-3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input_482100!A$2</f>
        <v>482100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IFERROR(VLOOKUP(B291,input_482100!L:R,7,FALSE),VLOOKUP(tables_482100!C291,input_482100!A:H,8,FALSE))</f>
        <v>56425</v>
      </c>
      <c r="P291" s="46">
        <f t="shared" ca="1" si="13"/>
        <v>4.9731182795663799E-4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input_482100!A$2</f>
        <v>482100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IFERROR(VLOOKUP(B292,input_482100!L:R,7,FALSE),VLOOKUP(tables_482100!C292,input_482100!A:H,8,FALSE))</f>
        <v>1052160.29412</v>
      </c>
      <c r="P292" s="46">
        <f t="shared" ca="1" si="13"/>
        <v>9.2734029095651056E-3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input_482100!A$2</f>
        <v>482100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IFERROR(VLOOKUP(B293,input_482100!L:R,7,FALSE),VLOOKUP(tables_482100!C293,input_482100!A:H,8,FALSE))</f>
        <v>56425</v>
      </c>
      <c r="P293" s="46">
        <f t="shared" ca="1" si="13"/>
        <v>4.9731182795663799E-4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input_482100!A$2</f>
        <v>482100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IFERROR(VLOOKUP(B294,input_482100!L:R,7,FALSE),VLOOKUP(tables_482100!C294,input_482100!A:H,8,FALSE))</f>
        <v>27900</v>
      </c>
      <c r="P294" s="46">
        <f t="shared" ca="1" si="13"/>
        <v>2.4590163934408861E-4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input_482100!A$2</f>
        <v>482100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IFERROR(VLOOKUP(B295,input_482100!L:R,7,FALSE),VLOOKUP(tables_482100!C295,input_482100!A:H,8,FALSE))</f>
        <v>27900</v>
      </c>
      <c r="P295" s="46">
        <f t="shared" ref="P295:P299" ca="1" si="20">O295/SUM(O:O)</f>
        <v>2.4590163934408861E-4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input_482100!A$2</f>
        <v>482100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IFERROR(VLOOKUP(B296,input_482100!L:R,7,FALSE),VLOOKUP(tables_482100!C296,input_482100!A:H,8,FALSE))</f>
        <v>27900</v>
      </c>
      <c r="P296" s="46">
        <f t="shared" ca="1" si="20"/>
        <v>2.4590163934408861E-4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input_482100!A$2</f>
        <v>482100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IFERROR(VLOOKUP(B297,input_482100!L:R,7,FALSE),VLOOKUP(tables_482100!C297,input_482100!A:H,8,FALSE))</f>
        <v>1052160.29412</v>
      </c>
      <c r="P297" s="46">
        <f t="shared" ca="1" si="20"/>
        <v>9.2734029095651056E-3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input_482100!A$2</f>
        <v>482100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IFERROR(VLOOKUP(B298,input_482100!L:R,7,FALSE),VLOOKUP(tables_482100!C298,input_482100!A:H,8,FALSE))</f>
        <v>56425</v>
      </c>
      <c r="P298" s="46">
        <f t="shared" ca="1" si="20"/>
        <v>4.9731182795663799E-4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input_482100!A$2</f>
        <v>482100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IFERROR(VLOOKUP(B299,input_482100!L:R,7,FALSE),VLOOKUP(tables_482100!C299,input_482100!A:H,8,FALSE))</f>
        <v>27900</v>
      </c>
      <c r="P299" s="46">
        <f t="shared" ca="1" si="20"/>
        <v>2.4590163934408861E-4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input_482100!A$2</f>
        <v>482100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IFERROR(VLOOKUP(B300,input_482100!L:R,7,FALSE),VLOOKUP(tables_482100!C300,input_482100!A:H,8,FALSE))</f>
        <v>27900</v>
      </c>
      <c r="P300" s="46">
        <f t="shared" ref="P300:P304" ca="1" si="22">O300/SUM(O:O)</f>
        <v>2.4590163934408861E-4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input_482100!A$2</f>
        <v>482100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IFERROR(VLOOKUP(B301,input_482100!L:R,7,FALSE),VLOOKUP(tables_482100!C301,input_482100!A:H,8,FALSE))</f>
        <v>27900</v>
      </c>
      <c r="P301" s="46">
        <f t="shared" ca="1" si="22"/>
        <v>2.4590163934408861E-4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input_482100!A$2</f>
        <v>482100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IFERROR(VLOOKUP(B302,input_482100!L:R,7,FALSE),VLOOKUP(tables_482100!C302,input_482100!A:H,8,FALSE))</f>
        <v>27900</v>
      </c>
      <c r="P302" s="46">
        <f t="shared" ca="1" si="22"/>
        <v>2.4590163934408861E-4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input_482100!A$2</f>
        <v>482100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IFERROR(VLOOKUP(B303,input_482100!L:R,7,FALSE),VLOOKUP(tables_482100!C303,input_482100!A:H,8,FALSE))</f>
        <v>1052160.29412</v>
      </c>
      <c r="P303" s="46">
        <f t="shared" ca="1" si="22"/>
        <v>9.2734029095651056E-3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input_482100!A$2</f>
        <v>482100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IFERROR(VLOOKUP(B304,input_482100!L:R,7,FALSE),VLOOKUP(tables_482100!C304,input_482100!A:H,8,FALSE))</f>
        <v>56425</v>
      </c>
      <c r="P304" s="46">
        <f t="shared" ca="1" si="22"/>
        <v>4.9731182795663799E-4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input_482100!A$2</f>
        <v>482100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IFERROR(VLOOKUP(B305,input_482100!L:R,7,FALSE),VLOOKUP(tables_482100!C305,input_482100!A:H,8,FALSE))</f>
        <v>27900</v>
      </c>
      <c r="P305" s="46">
        <f t="shared" ref="P305:P308" ca="1" si="24">O305/SUM(O:O)</f>
        <v>2.4590163934408861E-4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input_482100!A$2</f>
        <v>482100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IFERROR(VLOOKUP(B306,input_482100!L:R,7,FALSE),VLOOKUP(tables_482100!C306,input_482100!A:H,8,FALSE))</f>
        <v>1052160.29412</v>
      </c>
      <c r="P306" s="46">
        <f t="shared" ca="1" si="24"/>
        <v>9.2734029095651056E-3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input_482100!A$2</f>
        <v>482100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IFERROR(VLOOKUP(B307,input_482100!L:R,7,FALSE),VLOOKUP(tables_482100!C307,input_482100!A:H,8,FALSE))</f>
        <v>56425</v>
      </c>
      <c r="P307" s="46">
        <f t="shared" ca="1" si="24"/>
        <v>4.9731182795663799E-4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input_482100!A$2</f>
        <v>482100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IFERROR(VLOOKUP(B308,input_482100!L:R,7,FALSE),VLOOKUP(tables_482100!C308,input_482100!A:H,8,FALSE))</f>
        <v>27900</v>
      </c>
      <c r="P308" s="46">
        <f t="shared" ca="1" si="24"/>
        <v>2.4590163934408861E-4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input_482100!A$2</f>
        <v>482100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IFERROR(VLOOKUP(B309,input_482100!L:R,7,FALSE),VLOOKUP(tables_482100!C309,input_482100!A:H,8,FALSE))</f>
        <v>27900</v>
      </c>
      <c r="P309" s="46">
        <f t="shared" ref="P309" ca="1" si="26">O309/SUM(O:O)</f>
        <v>2.4590163934408861E-4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input_482100!A$2</f>
        <v>482100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IFERROR(VLOOKUP(B310,input_482100!L:R,7,FALSE),VLOOKUP(tables_482100!C310,input_482100!A:H,8,FALSE))</f>
        <v>27900</v>
      </c>
      <c r="P310" s="46">
        <f t="shared" ref="P310:P314" ca="1" si="28">O310/SUM(O:O)</f>
        <v>2.4590163934408861E-4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input_482100!A$2</f>
        <v>482100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IFERROR(VLOOKUP(B311,input_482100!L:R,7,FALSE),VLOOKUP(tables_482100!C311,input_482100!A:H,8,FALSE))</f>
        <v>1052160.29412</v>
      </c>
      <c r="P311" s="46">
        <f t="shared" ca="1" si="28"/>
        <v>9.2734029095651056E-3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input_482100!A$2</f>
        <v>482100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IFERROR(VLOOKUP(B312,input_482100!L:R,7,FALSE),VLOOKUP(tables_482100!C312,input_482100!A:H,8,FALSE))</f>
        <v>56425</v>
      </c>
      <c r="P312" s="46">
        <f t="shared" ca="1" si="28"/>
        <v>4.9731182795663799E-4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input_482100!A$2</f>
        <v>482100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IFERROR(VLOOKUP(B313,input_482100!L:R,7,FALSE),VLOOKUP(tables_482100!C313,input_482100!A:H,8,FALSE))</f>
        <v>27900</v>
      </c>
      <c r="P313" s="46">
        <f t="shared" ca="1" si="28"/>
        <v>2.4590163934408861E-4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input_482100!A$2</f>
        <v>482100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IFERROR(VLOOKUP(B314,input_482100!L:R,7,FALSE),VLOOKUP(tables_482100!C314,input_482100!A:H,8,FALSE))</f>
        <v>27900</v>
      </c>
      <c r="P314" s="46">
        <f t="shared" ca="1" si="28"/>
        <v>2.4590163934408861E-4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input_482100!A$2</f>
        <v>482100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IFERROR(VLOOKUP(B315,input_482100!L:R,7,FALSE),VLOOKUP(tables_482100!C315,input_482100!A:H,8,FALSE))</f>
        <v>27900</v>
      </c>
      <c r="P315" s="46">
        <f t="shared" ref="P315:P319" ca="1" si="30">O315/SUM(O:O)</f>
        <v>2.4590163934408861E-4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input_482100!A$2</f>
        <v>482100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IFERROR(VLOOKUP(B316,input_482100!L:R,7,FALSE),VLOOKUP(tables_482100!C316,input_482100!A:H,8,FALSE))</f>
        <v>27900</v>
      </c>
      <c r="P316" s="46">
        <f t="shared" ca="1" si="30"/>
        <v>2.4590163934408861E-4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input_482100!A$2</f>
        <v>482100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IFERROR(VLOOKUP(B317,input_482100!L:R,7,FALSE),VLOOKUP(tables_482100!C317,input_482100!A:H,8,FALSE))</f>
        <v>27900</v>
      </c>
      <c r="P317" s="46">
        <f t="shared" ca="1" si="30"/>
        <v>2.4590163934408861E-4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input_482100!A$2</f>
        <v>482100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IFERROR(VLOOKUP(B318,input_482100!L:R,7,FALSE),VLOOKUP(tables_482100!C318,input_482100!A:H,8,FALSE))</f>
        <v>1052160.29412</v>
      </c>
      <c r="P318" s="46">
        <f t="shared" ca="1" si="30"/>
        <v>9.2734029095651056E-3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input_482100!A$2</f>
        <v>482100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IFERROR(VLOOKUP(B319,input_482100!L:R,7,FALSE),VLOOKUP(tables_482100!C319,input_482100!A:H,8,FALSE))</f>
        <v>56425</v>
      </c>
      <c r="P319" s="46">
        <f t="shared" ca="1" si="30"/>
        <v>4.9731182795663799E-4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input_482100!A$2</f>
        <v>482100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IFERROR(VLOOKUP(B320,input_482100!L:R,7,FALSE),VLOOKUP(tables_482100!C320,input_482100!A:H,8,FALSE))</f>
        <v>27900</v>
      </c>
      <c r="P320" s="46">
        <f t="shared" ref="P320:P324" ca="1" si="32">O320/SUM(O:O)</f>
        <v>2.4590163934408861E-4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input_482100!A$2</f>
        <v>482100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IFERROR(VLOOKUP(B321,input_482100!L:R,7,FALSE),VLOOKUP(tables_482100!C321,input_482100!A:H,8,FALSE))</f>
        <v>27900</v>
      </c>
      <c r="P321" s="46">
        <f t="shared" ca="1" si="32"/>
        <v>2.4590163934408861E-4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input_482100!A$2</f>
        <v>482100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IFERROR(VLOOKUP(B322,input_482100!L:R,7,FALSE),VLOOKUP(tables_482100!C322,input_482100!A:H,8,FALSE))</f>
        <v>27900</v>
      </c>
      <c r="P322" s="46">
        <f t="shared" ca="1" si="32"/>
        <v>2.4590163934408861E-4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input_482100!A$2</f>
        <v>482100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IFERROR(VLOOKUP(B323,input_482100!L:R,7,FALSE),VLOOKUP(tables_482100!C323,input_482100!A:H,8,FALSE))</f>
        <v>27900</v>
      </c>
      <c r="P323" s="46">
        <f t="shared" ca="1" si="32"/>
        <v>2.4590163934408861E-4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input_482100!A$2</f>
        <v>482100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IFERROR(VLOOKUP(B324,input_482100!L:R,7,FALSE),VLOOKUP(tables_482100!C324,input_482100!A:H,8,FALSE))</f>
        <v>1052160.29412</v>
      </c>
      <c r="P324" s="46">
        <f t="shared" ca="1" si="32"/>
        <v>9.2734029095651056E-3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input_482100!A$2</f>
        <v>482100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IFERROR(VLOOKUP(B325,input_482100!L:R,7,FALSE),VLOOKUP(tables_482100!C325,input_482100!A:H,8,FALSE))</f>
        <v>56425</v>
      </c>
      <c r="P325" s="46">
        <f t="shared" ref="P325:P330" ca="1" si="35">O325/SUM(O:O)</f>
        <v>4.9731182795663799E-4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input_482100!A$2</f>
        <v>482100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IFERROR(VLOOKUP(B326,input_482100!L:R,7,FALSE),VLOOKUP(tables_482100!C326,input_482100!A:H,8,FALSE))</f>
        <v>1052160.29412</v>
      </c>
      <c r="P326" s="46">
        <f t="shared" ca="1" si="35"/>
        <v>9.2734029095651056E-3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input_482100!A$2</f>
        <v>482100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IFERROR(VLOOKUP(B327,input_482100!L:R,7,FALSE),VLOOKUP(tables_482100!C327,input_482100!A:H,8,FALSE))</f>
        <v>56425</v>
      </c>
      <c r="P327" s="46">
        <f t="shared" ca="1" si="35"/>
        <v>4.9731182795663799E-4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input_482100!A$2</f>
        <v>482100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IFERROR(VLOOKUP(B328,input_482100!L:R,7,FALSE),VLOOKUP(tables_482100!C328,input_482100!A:H,8,FALSE))</f>
        <v>27900</v>
      </c>
      <c r="P328" s="46">
        <f t="shared" ca="1" si="35"/>
        <v>2.4590163934408861E-4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input_482100!A$2</f>
        <v>482100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IFERROR(VLOOKUP(B329,input_482100!L:R,7,FALSE),VLOOKUP(tables_482100!C329,input_482100!A:H,8,FALSE))</f>
        <v>27900</v>
      </c>
      <c r="P329" s="46">
        <f t="shared" ca="1" si="35"/>
        <v>2.4590163934408861E-4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input_482100!A$2</f>
        <v>482100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IFERROR(VLOOKUP(B330,input_482100!L:R,7,FALSE),VLOOKUP(tables_482100!C330,input_482100!A:H,8,FALSE))</f>
        <v>27900</v>
      </c>
      <c r="P330" s="46">
        <f t="shared" ca="1" si="35"/>
        <v>2.4590163934408861E-4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input_482100!A$2</f>
        <v>482100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IFERROR(VLOOKUP(B331,input_482100!L:R,7,FALSE),VLOOKUP(tables_482100!C331,input_482100!A:H,8,FALSE))</f>
        <v>27900</v>
      </c>
      <c r="P331" s="46">
        <f t="shared" ref="P331:P335" ca="1" si="38">O331/SUM(O:O)</f>
        <v>2.4590163934408861E-4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input_482100!A$2</f>
        <v>482100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IFERROR(VLOOKUP(B332,input_482100!L:R,7,FALSE),VLOOKUP(tables_482100!C332,input_482100!A:H,8,FALSE))</f>
        <v>27900</v>
      </c>
      <c r="P332" s="46">
        <f t="shared" ca="1" si="38"/>
        <v>2.4590163934408861E-4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input_482100!A$2</f>
        <v>482100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IFERROR(VLOOKUP(B333,input_482100!L:R,7,FALSE),VLOOKUP(tables_482100!C333,input_482100!A:H,8,FALSE))</f>
        <v>27900</v>
      </c>
      <c r="P333" s="46">
        <f t="shared" ca="1" si="38"/>
        <v>2.4590163934408861E-4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input_482100!A$2</f>
        <v>482100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IFERROR(VLOOKUP(B334,input_482100!L:R,7,FALSE),VLOOKUP(tables_482100!C334,input_482100!A:H,8,FALSE))</f>
        <v>1052160.29412</v>
      </c>
      <c r="P334" s="46">
        <f t="shared" ca="1" si="38"/>
        <v>9.2734029095651056E-3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input_482100!A$2</f>
        <v>482100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IFERROR(VLOOKUP(B335,input_482100!L:R,7,FALSE),VLOOKUP(tables_482100!C335,input_482100!A:H,8,FALSE))</f>
        <v>56425</v>
      </c>
      <c r="P335" s="46">
        <f t="shared" ca="1" si="38"/>
        <v>4.9731182795663799E-4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input_482100!A$2</f>
        <v>482100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IFERROR(VLOOKUP(B336,input_482100!L:R,7,FALSE),VLOOKUP(tables_482100!C336,input_482100!A:H,8,FALSE))</f>
        <v>1052160.29412</v>
      </c>
      <c r="P336" s="46">
        <f t="shared" ref="P336:P340" ca="1" si="41">O336/SUM(O:O)</f>
        <v>9.2734029095651056E-3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input_482100!A$2</f>
        <v>482100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IFERROR(VLOOKUP(B337,input_482100!L:R,7,FALSE),VLOOKUP(tables_482100!C337,input_482100!A:H,8,FALSE))</f>
        <v>56425</v>
      </c>
      <c r="P337" s="46">
        <f t="shared" ca="1" si="41"/>
        <v>4.9731182795663799E-4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input_482100!A$2</f>
        <v>482100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IFERROR(VLOOKUP(B338,input_482100!L:R,7,FALSE),VLOOKUP(tables_482100!C338,input_482100!A:H,8,FALSE))</f>
        <v>27900</v>
      </c>
      <c r="P338" s="46">
        <f t="shared" ca="1" si="41"/>
        <v>2.4590163934408861E-4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input_482100!A$2</f>
        <v>482100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IFERROR(VLOOKUP(B339,input_482100!L:R,7,FALSE),VLOOKUP(tables_482100!C339,input_482100!A:H,8,FALSE))</f>
        <v>27900</v>
      </c>
      <c r="P339" s="46">
        <f t="shared" ca="1" si="41"/>
        <v>2.4590163934408861E-4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input_482100!A$2</f>
        <v>482100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IFERROR(VLOOKUP(B340,input_482100!L:R,7,FALSE),VLOOKUP(tables_482100!C340,input_482100!A:H,8,FALSE))</f>
        <v>27900</v>
      </c>
      <c r="P340" s="46">
        <f t="shared" ca="1" si="41"/>
        <v>2.4590163934408861E-4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N13" sqref="N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482105</v>
      </c>
      <c r="B2" s="6">
        <v>322</v>
      </c>
      <c r="C2" s="7" t="str">
        <f t="shared" ref="C2:C5" si="0">D2&amp;J2&amp;E2&amp;F2&amp;G2</f>
        <v>PremiumSS4</v>
      </c>
      <c r="D2" s="7" t="str">
        <f t="shared" ref="D2:D5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愛志士 土方歳三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v>19</v>
      </c>
      <c r="P2" s="46">
        <f>O2/SUM(O:O)</f>
        <v>0.47499999999999998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482105</v>
      </c>
      <c r="B3" s="6">
        <v>323</v>
      </c>
      <c r="C3" s="7" t="str">
        <f t="shared" si="0"/>
        <v>PremiumSS5</v>
      </c>
      <c r="D3" s="7" t="str">
        <f t="shared" si="1"/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</v>
      </c>
      <c r="P3" s="46">
        <f>O3/SUM(O:O)</f>
        <v>2.5000000000000001E-2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482105</v>
      </c>
      <c r="B4" s="6">
        <v>326</v>
      </c>
      <c r="C4" s="7" t="str">
        <f t="shared" si="0"/>
        <v>PremiumSS4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妖志士 斎藤一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yellow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19</v>
      </c>
      <c r="P4" s="46">
        <f>O4/SUM(O:O)</f>
        <v>0.47499999999999998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482105</v>
      </c>
      <c r="B5" s="6">
        <v>327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</v>
      </c>
      <c r="P5" s="46">
        <f>O5/SUM(O:O)</f>
        <v>2.5000000000000001E-2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</sheetData>
  <autoFilter ref="A1:V5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input_482010</vt:lpstr>
      <vt:lpstr>tables_482010</vt:lpstr>
      <vt:lpstr>input_482100</vt:lpstr>
      <vt:lpstr>tables_482100</vt:lpstr>
      <vt:lpstr>tables_settle_482105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2016-12-06T03:42:06Z</dcterms:modified>
</cp:coreProperties>
</file>